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9"/>
  </bookViews>
  <sheets>
    <sheet name="Online shop" sheetId="1" r:id="rId1"/>
    <sheet name="30 08" sheetId="2" r:id="rId2"/>
    <sheet name="1909" sheetId="3" r:id="rId3"/>
    <sheet name="2409" sheetId="4" r:id="rId4"/>
    <sheet name="2709" sheetId="5" r:id="rId5"/>
    <sheet name="0410" sheetId="6" r:id="rId6"/>
    <sheet name="1110" sheetId="7" r:id="rId7"/>
    <sheet name="1810" sheetId="8" r:id="rId8"/>
    <sheet name="2510" sheetId="9" r:id="rId9"/>
    <sheet name="0111" sheetId="10" r:id="rId10"/>
    <sheet name="Sheet1" sheetId="11" r:id="rId11"/>
  </sheets>
  <externalReferences>
    <externalReference r:id="rId12"/>
    <externalReference r:id="rId13"/>
  </externalReferences>
  <definedNames>
    <definedName name="_xlnm._FilterDatabase" localSheetId="9" hidden="1">'0111'!$A$5:$M$58</definedName>
  </definedNames>
  <calcPr calcId="145621"/>
</workbook>
</file>

<file path=xl/calcChain.xml><?xml version="1.0" encoding="utf-8"?>
<calcChain xmlns="http://schemas.openxmlformats.org/spreadsheetml/2006/main">
  <c r="J38" i="10" l="1"/>
  <c r="J39" i="10"/>
  <c r="J40" i="10"/>
  <c r="J50" i="10"/>
  <c r="J51" i="10"/>
  <c r="J56" i="10"/>
  <c r="J57" i="10"/>
  <c r="J36" i="10"/>
  <c r="K37" i="10"/>
  <c r="J37" i="10" s="1"/>
  <c r="K38" i="10"/>
  <c r="K39" i="10"/>
  <c r="K40" i="10"/>
  <c r="K41" i="10"/>
  <c r="J41" i="10" s="1"/>
  <c r="K42" i="10"/>
  <c r="J42" i="10" s="1"/>
  <c r="K43" i="10"/>
  <c r="J43" i="10" s="1"/>
  <c r="K44" i="10"/>
  <c r="J44" i="10" s="1"/>
  <c r="K45" i="10"/>
  <c r="J45" i="10" s="1"/>
  <c r="K46" i="10"/>
  <c r="J46" i="10" s="1"/>
  <c r="K47" i="10"/>
  <c r="J47" i="10" s="1"/>
  <c r="K48" i="10"/>
  <c r="J48" i="10" s="1"/>
  <c r="K49" i="10"/>
  <c r="J49" i="10" s="1"/>
  <c r="K50" i="10"/>
  <c r="K51" i="10"/>
  <c r="K52" i="10"/>
  <c r="J52" i="10" s="1"/>
  <c r="K53" i="10"/>
  <c r="J53" i="10" s="1"/>
  <c r="K54" i="10"/>
  <c r="J54" i="10" s="1"/>
  <c r="K55" i="10"/>
  <c r="J55" i="10" s="1"/>
  <c r="K56" i="10"/>
  <c r="K57" i="10"/>
  <c r="K36" i="10"/>
  <c r="J11" i="10"/>
  <c r="J17" i="10"/>
  <c r="J18" i="10"/>
  <c r="J19" i="10"/>
  <c r="J29" i="10"/>
  <c r="J6" i="10"/>
  <c r="K7" i="10"/>
  <c r="J7" i="10" s="1"/>
  <c r="K8" i="10"/>
  <c r="J8" i="10" s="1"/>
  <c r="K9" i="10"/>
  <c r="J9" i="10" s="1"/>
  <c r="K10" i="10"/>
  <c r="J10" i="10" s="1"/>
  <c r="K11" i="10"/>
  <c r="K12" i="10"/>
  <c r="J12" i="10" s="1"/>
  <c r="K13" i="10"/>
  <c r="J13" i="10" s="1"/>
  <c r="K14" i="10"/>
  <c r="J14" i="10" s="1"/>
  <c r="K15" i="10"/>
  <c r="J15" i="10" s="1"/>
  <c r="K16" i="10"/>
  <c r="J16" i="10" s="1"/>
  <c r="K17" i="10"/>
  <c r="K18" i="10"/>
  <c r="K19" i="10"/>
  <c r="K20" i="10"/>
  <c r="J20" i="10" s="1"/>
  <c r="K21" i="10"/>
  <c r="J21" i="10" s="1"/>
  <c r="K22" i="10"/>
  <c r="J22" i="10" s="1"/>
  <c r="K23" i="10"/>
  <c r="J23" i="10" s="1"/>
  <c r="K24" i="10"/>
  <c r="J24" i="10" s="1"/>
  <c r="K25" i="10"/>
  <c r="J25" i="10" s="1"/>
  <c r="K26" i="10"/>
  <c r="J26" i="10" s="1"/>
  <c r="K27" i="10"/>
  <c r="J27" i="10" s="1"/>
  <c r="K28" i="10"/>
  <c r="J28" i="10" s="1"/>
  <c r="K29" i="10"/>
  <c r="K30" i="10"/>
  <c r="J30" i="10" s="1"/>
  <c r="K31" i="10"/>
  <c r="J31" i="10" s="1"/>
  <c r="K32" i="10"/>
  <c r="J32" i="10" s="1"/>
  <c r="K33" i="10"/>
  <c r="J33" i="10" s="1"/>
  <c r="K34" i="10"/>
  <c r="J34" i="10" s="1"/>
  <c r="K6" i="10"/>
  <c r="N78" i="10"/>
  <c r="L36" i="10" l="1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3" i="10"/>
  <c r="L34" i="10"/>
  <c r="L6" i="10"/>
  <c r="K6" i="1" l="1"/>
  <c r="I58" i="10" l="1"/>
  <c r="I35" i="10"/>
  <c r="K50" i="9" l="1"/>
  <c r="J50" i="9"/>
  <c r="I50" i="9"/>
  <c r="K43" i="9"/>
  <c r="J43" i="9" s="1"/>
  <c r="K41" i="9"/>
  <c r="J41" i="9" s="1"/>
  <c r="K40" i="9"/>
  <c r="J40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K39" i="9"/>
  <c r="J39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I39" i="9" l="1"/>
  <c r="J24" i="8" l="1"/>
  <c r="I46" i="8" l="1"/>
  <c r="I40" i="8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I31" i="7"/>
  <c r="G33" i="7"/>
  <c r="G34" i="7"/>
  <c r="G35" i="7"/>
  <c r="I36" i="7"/>
  <c r="G1" i="7" l="1"/>
  <c r="I42" i="6" l="1"/>
  <c r="I31" i="6"/>
  <c r="J60" i="5" l="1"/>
  <c r="J59" i="5"/>
  <c r="J58" i="5"/>
  <c r="J57" i="5"/>
  <c r="J56" i="5"/>
  <c r="J55" i="5"/>
  <c r="J54" i="5"/>
  <c r="J53" i="5"/>
  <c r="J52" i="5"/>
  <c r="K60" i="5"/>
  <c r="K59" i="5"/>
  <c r="K58" i="5"/>
  <c r="K57" i="5"/>
  <c r="K56" i="5"/>
  <c r="K55" i="5"/>
  <c r="K54" i="5"/>
  <c r="K53" i="5"/>
  <c r="K52" i="5"/>
  <c r="K61" i="5"/>
  <c r="J61" i="5"/>
  <c r="H62" i="5"/>
  <c r="J62" i="5" s="1"/>
  <c r="H68" i="5" l="1"/>
  <c r="H50" i="5"/>
  <c r="H61" i="4" l="1"/>
  <c r="H46" i="4"/>
  <c r="H218" i="3" l="1"/>
  <c r="H204" i="3"/>
  <c r="H204" i="2" l="1"/>
  <c r="H194" i="2"/>
  <c r="H206" i="2" s="1"/>
  <c r="J58" i="10" l="1"/>
  <c r="J366" i="1"/>
  <c r="J350" i="1"/>
  <c r="J364" i="1"/>
  <c r="L32" i="10" l="1"/>
</calcChain>
</file>

<file path=xl/sharedStrings.xml><?xml version="1.0" encoding="utf-8"?>
<sst xmlns="http://schemas.openxmlformats.org/spreadsheetml/2006/main" count="5454" uniqueCount="675">
  <si>
    <t>No</t>
  </si>
  <si>
    <t>Tanggal  Faktur</t>
  </si>
  <si>
    <t>No. Faktur</t>
  </si>
  <si>
    <t>Sales</t>
  </si>
  <si>
    <t>Collection</t>
  </si>
  <si>
    <t>KODE</t>
  </si>
  <si>
    <t>Nama Customer/Toko</t>
  </si>
  <si>
    <t>KOTA</t>
  </si>
  <si>
    <t xml:space="preserve">Bts JT (hr) </t>
  </si>
  <si>
    <t>Saldo PD/Faktur</t>
  </si>
  <si>
    <t>A25001419</t>
  </si>
  <si>
    <t>Faisal</t>
  </si>
  <si>
    <t>Exclusive</t>
  </si>
  <si>
    <t>ONLI01</t>
  </si>
  <si>
    <t>Online Shop Shopee</t>
  </si>
  <si>
    <t>Jember</t>
  </si>
  <si>
    <t>A25001418</t>
  </si>
  <si>
    <t>A25001425</t>
  </si>
  <si>
    <t>A25001420</t>
  </si>
  <si>
    <t>A25001417</t>
  </si>
  <si>
    <t>A25001424</t>
  </si>
  <si>
    <t>A25001427</t>
  </si>
  <si>
    <t>A25001423</t>
  </si>
  <si>
    <t>A25001422</t>
  </si>
  <si>
    <t>A25001421</t>
  </si>
  <si>
    <t>A25001426</t>
  </si>
  <si>
    <t>A25001444</t>
  </si>
  <si>
    <t>A25001439</t>
  </si>
  <si>
    <t>A25001442</t>
  </si>
  <si>
    <t>A25001435</t>
  </si>
  <si>
    <t>A25001436</t>
  </si>
  <si>
    <t>A25001441</t>
  </si>
  <si>
    <t>A25001429</t>
  </si>
  <si>
    <t>A25001428</t>
  </si>
  <si>
    <t>A25001438</t>
  </si>
  <si>
    <t>A25001440</t>
  </si>
  <si>
    <t>A25001443</t>
  </si>
  <si>
    <t>A25001430</t>
  </si>
  <si>
    <t>A25001431</t>
  </si>
  <si>
    <t>A25001432</t>
  </si>
  <si>
    <t>A25001433</t>
  </si>
  <si>
    <t>A25001434</t>
  </si>
  <si>
    <t>A25001453</t>
  </si>
  <si>
    <t>A25001448</t>
  </si>
  <si>
    <t>A25001452</t>
  </si>
  <si>
    <t>A25001449</t>
  </si>
  <si>
    <t>A25001450</t>
  </si>
  <si>
    <t>A25001446</t>
  </si>
  <si>
    <t>A25001447</t>
  </si>
  <si>
    <t>A25001454</t>
  </si>
  <si>
    <t>A25001451</t>
  </si>
  <si>
    <t>A25001455</t>
  </si>
  <si>
    <t>A25001445</t>
  </si>
  <si>
    <t>A25001465</t>
  </si>
  <si>
    <t>A25001464</t>
  </si>
  <si>
    <t>A25001462</t>
  </si>
  <si>
    <t>A25001457</t>
  </si>
  <si>
    <t>A25001458</t>
  </si>
  <si>
    <t>A25001456</t>
  </si>
  <si>
    <t>A25001460</t>
  </si>
  <si>
    <t>A25001463</t>
  </si>
  <si>
    <t>A25001461</t>
  </si>
  <si>
    <t>A25001459</t>
  </si>
  <si>
    <t>A25001472</t>
  </si>
  <si>
    <t>A25001474</t>
  </si>
  <si>
    <t>A25001477</t>
  </si>
  <si>
    <t>A25001471</t>
  </si>
  <si>
    <t>A25001475</t>
  </si>
  <si>
    <t>A25001478</t>
  </si>
  <si>
    <t>A25001473</t>
  </si>
  <si>
    <t>A25001476</t>
  </si>
  <si>
    <t>A25001480</t>
  </si>
  <si>
    <t>A25001466</t>
  </si>
  <si>
    <t>A25001467</t>
  </si>
  <si>
    <t>A25001468</t>
  </si>
  <si>
    <t>A25001469</t>
  </si>
  <si>
    <t>A25001470</t>
  </si>
  <si>
    <t>A25001479</t>
  </si>
  <si>
    <t>A25001483</t>
  </si>
  <si>
    <t>A25001494</t>
  </si>
  <si>
    <t>A25001489</t>
  </si>
  <si>
    <t>A25001487</t>
  </si>
  <si>
    <t>A25001488</t>
  </si>
  <si>
    <t>A25001486</t>
  </si>
  <si>
    <t>A25001495</t>
  </si>
  <si>
    <t>A25001484</t>
  </si>
  <si>
    <t>A25001496</t>
  </si>
  <si>
    <t>A25001491</t>
  </si>
  <si>
    <t>A25001490</t>
  </si>
  <si>
    <t>A25001493</t>
  </si>
  <si>
    <t>A25001492</t>
  </si>
  <si>
    <t>A25001497</t>
  </si>
  <si>
    <t>A25001485</t>
  </si>
  <si>
    <t>A25001482</t>
  </si>
  <si>
    <t>A25001481</t>
  </si>
  <si>
    <t>A25001498</t>
  </si>
  <si>
    <t>A25001500</t>
  </si>
  <si>
    <t>A25001510</t>
  </si>
  <si>
    <t>A25001508</t>
  </si>
  <si>
    <t>A25001505</t>
  </si>
  <si>
    <t>A25001503</t>
  </si>
  <si>
    <t>A25001506</t>
  </si>
  <si>
    <t>A25001502</t>
  </si>
  <si>
    <t>A25001501</t>
  </si>
  <si>
    <t>A25001504</t>
  </si>
  <si>
    <t>A25001499</t>
  </si>
  <si>
    <t>A25001507</t>
  </si>
  <si>
    <t>A25001509</t>
  </si>
  <si>
    <t>A25001511</t>
  </si>
  <si>
    <t>A25001516</t>
  </si>
  <si>
    <t>A25001512</t>
  </si>
  <si>
    <t>A25001513</t>
  </si>
  <si>
    <t>A25001515</t>
  </si>
  <si>
    <t>A25001517</t>
  </si>
  <si>
    <t>A25001514</t>
  </si>
  <si>
    <t>A25001536</t>
  </si>
  <si>
    <t>A25001544</t>
  </si>
  <si>
    <t>A25001545</t>
  </si>
  <si>
    <t>A25001538</t>
  </si>
  <si>
    <t>A25001537</t>
  </si>
  <si>
    <t>A25001541</t>
  </si>
  <si>
    <t>A25001539</t>
  </si>
  <si>
    <t>A25001543</t>
  </si>
  <si>
    <t>A25001534</t>
  </si>
  <si>
    <t>A25001535</t>
  </si>
  <si>
    <t>A25001540</t>
  </si>
  <si>
    <t>A25001542</t>
  </si>
  <si>
    <t>A25001533</t>
  </si>
  <si>
    <t>A25001519</t>
  </si>
  <si>
    <t>A25001520</t>
  </si>
  <si>
    <t>A25001521</t>
  </si>
  <si>
    <t>A25001522</t>
  </si>
  <si>
    <t>A25001523</t>
  </si>
  <si>
    <t>A25001524</t>
  </si>
  <si>
    <t>A25001525</t>
  </si>
  <si>
    <t>A25001526</t>
  </si>
  <si>
    <t>A25001527</t>
  </si>
  <si>
    <t>A25001528</t>
  </si>
  <si>
    <t>A25001529</t>
  </si>
  <si>
    <t>A25001530</t>
  </si>
  <si>
    <t>A25001531</t>
  </si>
  <si>
    <t>A25001532</t>
  </si>
  <si>
    <t>A25001554</t>
  </si>
  <si>
    <t>A25001558</t>
  </si>
  <si>
    <t>A25001549</t>
  </si>
  <si>
    <t>A25001553</t>
  </si>
  <si>
    <t>A25001551</t>
  </si>
  <si>
    <t>A25001552</t>
  </si>
  <si>
    <t>A25001550</t>
  </si>
  <si>
    <t>A25001555</t>
  </si>
  <si>
    <t>A25001556</t>
  </si>
  <si>
    <t>A25001548</t>
  </si>
  <si>
    <t>A25001564</t>
  </si>
  <si>
    <t>A25001575</t>
  </si>
  <si>
    <t>A25001571</t>
  </si>
  <si>
    <t>A25001574</t>
  </si>
  <si>
    <t>A25001573</t>
  </si>
  <si>
    <t>A25001567</t>
  </si>
  <si>
    <t>A25001565</t>
  </si>
  <si>
    <t>A25001561</t>
  </si>
  <si>
    <t>A25001568</t>
  </si>
  <si>
    <t>A25001566</t>
  </si>
  <si>
    <t>A25001563</t>
  </si>
  <si>
    <t>A25001569</t>
  </si>
  <si>
    <t>A25001572</t>
  </si>
  <si>
    <t>A25001576</t>
  </si>
  <si>
    <t>A25001560</t>
  </si>
  <si>
    <t>A25001562</t>
  </si>
  <si>
    <t>A25001577</t>
  </si>
  <si>
    <t>A25001559</t>
  </si>
  <si>
    <t>A25001570</t>
  </si>
  <si>
    <t>A25001590</t>
  </si>
  <si>
    <t>A25001581</t>
  </si>
  <si>
    <t>A25001599</t>
  </si>
  <si>
    <t>A25001595</t>
  </si>
  <si>
    <t>A25001592</t>
  </si>
  <si>
    <t>A25001585</t>
  </si>
  <si>
    <t>A25001594</t>
  </si>
  <si>
    <t>A25001588</t>
  </si>
  <si>
    <t>A25001584</t>
  </si>
  <si>
    <t>A25001591</t>
  </si>
  <si>
    <t>A25001593</t>
  </si>
  <si>
    <t>A25001587</t>
  </si>
  <si>
    <t>A25001589</t>
  </si>
  <si>
    <t>A25001597</t>
  </si>
  <si>
    <t>A25001598</t>
  </si>
  <si>
    <t>A25001579</t>
  </si>
  <si>
    <t>A25001580</t>
  </si>
  <si>
    <t>A25001582</t>
  </si>
  <si>
    <t>A25001600</t>
  </si>
  <si>
    <t>A25001583</t>
  </si>
  <si>
    <t>A25001586</t>
  </si>
  <si>
    <t>A25001596</t>
  </si>
  <si>
    <t>A25001608</t>
  </si>
  <si>
    <t>A25001611</t>
  </si>
  <si>
    <t>A25001605</t>
  </si>
  <si>
    <t>A25001604</t>
  </si>
  <si>
    <t>A25001613</t>
  </si>
  <si>
    <t>A25001607</t>
  </si>
  <si>
    <t>A25001602</t>
  </si>
  <si>
    <t>A25001603</t>
  </si>
  <si>
    <t>A25001610</t>
  </si>
  <si>
    <t>A25001614</t>
  </si>
  <si>
    <t>A25001615</t>
  </si>
  <si>
    <t>A25001609</t>
  </si>
  <si>
    <t>A25001606</t>
  </si>
  <si>
    <t>A25001612</t>
  </si>
  <si>
    <t>A25001621</t>
  </si>
  <si>
    <t>A25001620</t>
  </si>
  <si>
    <t>A25001616</t>
  </si>
  <si>
    <t>A25001618</t>
  </si>
  <si>
    <t>A25001617</t>
  </si>
  <si>
    <t>A25001622</t>
  </si>
  <si>
    <t>A25001619</t>
  </si>
  <si>
    <t>A25001625</t>
  </si>
  <si>
    <t>A25001626</t>
  </si>
  <si>
    <t>A25001629</t>
  </si>
  <si>
    <t>A25001628</t>
  </si>
  <si>
    <t>A25001624</t>
  </si>
  <si>
    <t>A25001623</t>
  </si>
  <si>
    <t>A25001627</t>
  </si>
  <si>
    <t>A25001634</t>
  </si>
  <si>
    <t>A25001635</t>
  </si>
  <si>
    <t>A25001636</t>
  </si>
  <si>
    <t>A25001631</t>
  </si>
  <si>
    <t>A25001639</t>
  </si>
  <si>
    <t>A25001630</t>
  </si>
  <si>
    <t>A25001632</t>
  </si>
  <si>
    <t>A25001633</t>
  </si>
  <si>
    <t>A25001637</t>
  </si>
  <si>
    <t>A25001638</t>
  </si>
  <si>
    <t>A25001641</t>
  </si>
  <si>
    <t>A25001644</t>
  </si>
  <si>
    <t>A25001642</t>
  </si>
  <si>
    <t>A25001645</t>
  </si>
  <si>
    <t>A25001643</t>
  </si>
  <si>
    <t>A25001640</t>
  </si>
  <si>
    <t>A25001659</t>
  </si>
  <si>
    <t>A25001651</t>
  </si>
  <si>
    <t>A25001655</t>
  </si>
  <si>
    <t>A25001658</t>
  </si>
  <si>
    <t>A25001649</t>
  </si>
  <si>
    <t>A25001654</t>
  </si>
  <si>
    <t>A25001652</t>
  </si>
  <si>
    <t>A25001657</t>
  </si>
  <si>
    <t>A25001647</t>
  </si>
  <si>
    <t>A25001650</t>
  </si>
  <si>
    <t>A25001660</t>
  </si>
  <si>
    <t>A25001653</t>
  </si>
  <si>
    <t>A25001648</t>
  </si>
  <si>
    <t>A25001656</t>
  </si>
  <si>
    <t>A25001661</t>
  </si>
  <si>
    <t>A25001670</t>
  </si>
  <si>
    <t>A25001665</t>
  </si>
  <si>
    <t>A25001664</t>
  </si>
  <si>
    <t>A25001668</t>
  </si>
  <si>
    <t>A25001666</t>
  </si>
  <si>
    <t>A25001669</t>
  </si>
  <si>
    <t>A25001663</t>
  </si>
  <si>
    <t>A25001667</t>
  </si>
  <si>
    <t>A25001662</t>
  </si>
  <si>
    <t>A25001676</t>
  </si>
  <si>
    <t>A25001677</t>
  </si>
  <si>
    <t>A25001679</t>
  </si>
  <si>
    <t>A25001678</t>
  </si>
  <si>
    <t>A25001681</t>
  </si>
  <si>
    <t>A25001673</t>
  </si>
  <si>
    <t>A25001680</t>
  </si>
  <si>
    <t>A25001671</t>
  </si>
  <si>
    <t>A25001675</t>
  </si>
  <si>
    <t>A25001672</t>
  </si>
  <si>
    <t>A25001674</t>
  </si>
  <si>
    <t>A25001690</t>
  </si>
  <si>
    <t>A25001685</t>
  </si>
  <si>
    <t>A25001694</t>
  </si>
  <si>
    <t>A25001687</t>
  </si>
  <si>
    <t>A25001693</t>
  </si>
  <si>
    <t>A25001682</t>
  </si>
  <si>
    <t>A25001696</t>
  </si>
  <si>
    <t>A25001683</t>
  </si>
  <si>
    <t>A25001691</t>
  </si>
  <si>
    <t>A25001688</t>
  </si>
  <si>
    <t>A25001695</t>
  </si>
  <si>
    <t>A25001689</t>
  </si>
  <si>
    <t>A25001697</t>
  </si>
  <si>
    <t>A25001684</t>
  </si>
  <si>
    <t>A25001692</t>
  </si>
  <si>
    <t>A25001686</t>
  </si>
  <si>
    <t>A25001699</t>
  </si>
  <si>
    <t>A25001708</t>
  </si>
  <si>
    <t>A25001707</t>
  </si>
  <si>
    <t>A25001698</t>
  </si>
  <si>
    <t>A25001700</t>
  </si>
  <si>
    <t>A25001706</t>
  </si>
  <si>
    <t>A25001726</t>
  </si>
  <si>
    <t>A25001718</t>
  </si>
  <si>
    <t>A25001720</t>
  </si>
  <si>
    <t>A25001723</t>
  </si>
  <si>
    <t>A25001711</t>
  </si>
  <si>
    <t>A25001725</t>
  </si>
  <si>
    <t>A25001721</t>
  </si>
  <si>
    <t>A25001730</t>
  </si>
  <si>
    <t>A25001722</t>
  </si>
  <si>
    <t>A25001728</t>
  </si>
  <si>
    <t>A25001710</t>
  </si>
  <si>
    <t>A25001731</t>
  </si>
  <si>
    <t>A25001716</t>
  </si>
  <si>
    <t>A25001724</t>
  </si>
  <si>
    <t>A25001714</t>
  </si>
  <si>
    <t>A25001733</t>
  </si>
  <si>
    <t>A25001729</t>
  </si>
  <si>
    <t>A25001732</t>
  </si>
  <si>
    <t>A25001712</t>
  </si>
  <si>
    <t>A25001713</t>
  </si>
  <si>
    <t>A25001717</t>
  </si>
  <si>
    <t>A25001727</t>
  </si>
  <si>
    <t>A25001719</t>
  </si>
  <si>
    <t>A25001734</t>
  </si>
  <si>
    <t>A25001715</t>
  </si>
  <si>
    <t>A25001709</t>
  </si>
  <si>
    <t>A25001735</t>
  </si>
  <si>
    <t>A25001736</t>
  </si>
  <si>
    <t>A25001737</t>
  </si>
  <si>
    <t>A25001741</t>
  </si>
  <si>
    <t>A25001746</t>
  </si>
  <si>
    <t>A25001747</t>
  </si>
  <si>
    <t>A25001739</t>
  </si>
  <si>
    <t>A25001743</t>
  </si>
  <si>
    <t>A25001749</t>
  </si>
  <si>
    <t>A25001742</t>
  </si>
  <si>
    <t>A25001738</t>
  </si>
  <si>
    <t>A25001748</t>
  </si>
  <si>
    <t>A25001740</t>
  </si>
  <si>
    <t>A25001744</t>
  </si>
  <si>
    <t>A25001745</t>
  </si>
  <si>
    <t>A25001753</t>
  </si>
  <si>
    <t>A25001758</t>
  </si>
  <si>
    <t>A25001760</t>
  </si>
  <si>
    <t>A25001759</t>
  </si>
  <si>
    <t>A25001757</t>
  </si>
  <si>
    <t>A25001755</t>
  </si>
  <si>
    <t>A25001761</t>
  </si>
  <si>
    <t>A25001764</t>
  </si>
  <si>
    <t>A25001752</t>
  </si>
  <si>
    <t>A25001763</t>
  </si>
  <si>
    <t>A25001756</t>
  </si>
  <si>
    <t>A25001754</t>
  </si>
  <si>
    <t>A25001751</t>
  </si>
  <si>
    <t>A25001750</t>
  </si>
  <si>
    <t>TOTAL</t>
  </si>
  <si>
    <t>A25001437</t>
  </si>
  <si>
    <t>ONLI02</t>
  </si>
  <si>
    <t>Online Shop Tik tok</t>
  </si>
  <si>
    <t>A25001518</t>
  </si>
  <si>
    <t>A25001547</t>
  </si>
  <si>
    <t>A25001546</t>
  </si>
  <si>
    <t>A25001557</t>
  </si>
  <si>
    <t>A25001601</t>
  </si>
  <si>
    <t>A25001646</t>
  </si>
  <si>
    <t>A25001704</t>
  </si>
  <si>
    <t>A25001705</t>
  </si>
  <si>
    <t>A25001762</t>
  </si>
  <si>
    <t>A25001765</t>
  </si>
  <si>
    <t>A25001766</t>
  </si>
  <si>
    <t>A25001767</t>
  </si>
  <si>
    <t>A25001768</t>
  </si>
  <si>
    <t>A25001769</t>
  </si>
  <si>
    <t>A25001770</t>
  </si>
  <si>
    <t>A25001771</t>
  </si>
  <si>
    <t>A25001772</t>
  </si>
  <si>
    <t>A25001773</t>
  </si>
  <si>
    <t>A25001774</t>
  </si>
  <si>
    <t>A25001775</t>
  </si>
  <si>
    <t>A25001776</t>
  </si>
  <si>
    <t>SUBTOTAL</t>
  </si>
  <si>
    <t>Daftar Tagihan Piutang Online Shop per 28/08/2025</t>
  </si>
  <si>
    <t>Daftar Tagihan Piutang Online Shop</t>
  </si>
  <si>
    <t>SALDO</t>
  </si>
  <si>
    <t>A25001780</t>
  </si>
  <si>
    <t>A25001781</t>
  </si>
  <si>
    <t>A25001783</t>
  </si>
  <si>
    <t>A25001778</t>
  </si>
  <si>
    <t>A25001784</t>
  </si>
  <si>
    <t>A25001779</t>
  </si>
  <si>
    <t>A25001782</t>
  </si>
  <si>
    <t>A25001777</t>
  </si>
  <si>
    <t>A25001795</t>
  </si>
  <si>
    <t>A25001796</t>
  </si>
  <si>
    <t>A25001797</t>
  </si>
  <si>
    <t>A25001798</t>
  </si>
  <si>
    <t>A25001788</t>
  </si>
  <si>
    <t>A25001790</t>
  </si>
  <si>
    <t>A25001799</t>
  </si>
  <si>
    <t>A25001794</t>
  </si>
  <si>
    <t>A25001789</t>
  </si>
  <si>
    <t>A25001791</t>
  </si>
  <si>
    <t>A25001793</t>
  </si>
  <si>
    <t>A25001792</t>
  </si>
  <si>
    <t>A25001815</t>
  </si>
  <si>
    <t>A25001814</t>
  </si>
  <si>
    <t>A25001808</t>
  </si>
  <si>
    <t>A25001809</t>
  </si>
  <si>
    <t>A25001803</t>
  </si>
  <si>
    <t>A25001810</t>
  </si>
  <si>
    <t>A25001804</t>
  </si>
  <si>
    <t>A25001805</t>
  </si>
  <si>
    <t>A25001811</t>
  </si>
  <si>
    <t>A25001812</t>
  </si>
  <si>
    <t>A25001813</t>
  </si>
  <si>
    <t>A25001817</t>
  </si>
  <si>
    <t>A25001807</t>
  </si>
  <si>
    <t>A25001816</t>
  </si>
  <si>
    <t>A25001806</t>
  </si>
  <si>
    <t>A25001833</t>
  </si>
  <si>
    <t>A25001825</t>
  </si>
  <si>
    <t>A25001823</t>
  </si>
  <si>
    <t>A25001826</t>
  </si>
  <si>
    <t>A25001838</t>
  </si>
  <si>
    <t>A25001834</t>
  </si>
  <si>
    <t>A25001835</t>
  </si>
  <si>
    <t>A25001839</t>
  </si>
  <si>
    <t>A25001829</t>
  </si>
  <si>
    <t>A25001831</t>
  </si>
  <si>
    <t>A25001837</t>
  </si>
  <si>
    <t>A25001830</t>
  </si>
  <si>
    <t>A25001822</t>
  </si>
  <si>
    <t>A25001828</t>
  </si>
  <si>
    <t>A25001836</t>
  </si>
  <si>
    <t>A25001832</t>
  </si>
  <si>
    <t>A25001827</t>
  </si>
  <si>
    <t>A25001845</t>
  </si>
  <si>
    <t>A25001857</t>
  </si>
  <si>
    <t>A25001848</t>
  </si>
  <si>
    <t>A25001849</t>
  </si>
  <si>
    <t>A25001856</t>
  </si>
  <si>
    <t>A25001841</t>
  </si>
  <si>
    <t>A25001844</t>
  </si>
  <si>
    <t>A25001854</t>
  </si>
  <si>
    <t>A25001850</t>
  </si>
  <si>
    <t>A25001843</t>
  </si>
  <si>
    <t>A25001852</t>
  </si>
  <si>
    <t>A25001846</t>
  </si>
  <si>
    <t>A25001851</t>
  </si>
  <si>
    <t>A25001855</t>
  </si>
  <si>
    <t>A25001847</t>
  </si>
  <si>
    <t>A25001842</t>
  </si>
  <si>
    <t>A25001840</t>
  </si>
  <si>
    <t>A25001853</t>
  </si>
  <si>
    <t>A25001864</t>
  </si>
  <si>
    <t>A25001863</t>
  </si>
  <si>
    <t>A25001866</t>
  </si>
  <si>
    <t>A25001865</t>
  </si>
  <si>
    <t>A25001861</t>
  </si>
  <si>
    <t>A25001868</t>
  </si>
  <si>
    <t>A25001862</t>
  </si>
  <si>
    <t>A25001859</t>
  </si>
  <si>
    <t>A25001860</t>
  </si>
  <si>
    <t>A25001867</t>
  </si>
  <si>
    <t>A25001858</t>
  </si>
  <si>
    <t>A25001883</t>
  </si>
  <si>
    <t>A25001876</t>
  </si>
  <si>
    <t>A25001879</t>
  </si>
  <si>
    <t>A25001878</t>
  </si>
  <si>
    <t>A25001870</t>
  </si>
  <si>
    <t>A25001875</t>
  </si>
  <si>
    <t>A25001890</t>
  </si>
  <si>
    <t>A25001892</t>
  </si>
  <si>
    <t>A25001873</t>
  </si>
  <si>
    <t>A25001886</t>
  </si>
  <si>
    <t>A25001888</t>
  </si>
  <si>
    <t>A25001880</t>
  </si>
  <si>
    <t>A25001887</t>
  </si>
  <si>
    <t>A25001893</t>
  </si>
  <si>
    <t>A25001885</t>
  </si>
  <si>
    <t>A25001889</t>
  </si>
  <si>
    <t>A25001877</t>
  </si>
  <si>
    <t>A25001884</t>
  </si>
  <si>
    <t>A25001881</t>
  </si>
  <si>
    <t>A25001895</t>
  </si>
  <si>
    <t>A25001894</t>
  </si>
  <si>
    <t>A25001871</t>
  </si>
  <si>
    <t>A25001882</t>
  </si>
  <si>
    <t>A25001872</t>
  </si>
  <si>
    <t>A25001891</t>
  </si>
  <si>
    <t>A25001874</t>
  </si>
  <si>
    <t>A25001900</t>
  </si>
  <si>
    <t>A25001898</t>
  </si>
  <si>
    <t>A25001899</t>
  </si>
  <si>
    <t>A25001897</t>
  </si>
  <si>
    <t>A25001901</t>
  </si>
  <si>
    <t>A25001896</t>
  </si>
  <si>
    <t>A25001902</t>
  </si>
  <si>
    <t>A25001903</t>
  </si>
  <si>
    <t>A25001908</t>
  </si>
  <si>
    <t>A25001909</t>
  </si>
  <si>
    <t>A25001910</t>
  </si>
  <si>
    <t>A25001911</t>
  </si>
  <si>
    <t>A25001907</t>
  </si>
  <si>
    <t>A25001914</t>
  </si>
  <si>
    <t>A25001915</t>
  </si>
  <si>
    <t>A25001912</t>
  </si>
  <si>
    <t>A25001913</t>
  </si>
  <si>
    <t>A25001916</t>
  </si>
  <si>
    <t>A25001918</t>
  </si>
  <si>
    <t>A25001919</t>
  </si>
  <si>
    <t>A25001917</t>
  </si>
  <si>
    <t>A25001922</t>
  </si>
  <si>
    <t>A25001923</t>
  </si>
  <si>
    <t>A25001924</t>
  </si>
  <si>
    <t>A25001926</t>
  </si>
  <si>
    <t>A25001925</t>
  </si>
  <si>
    <t>A25001927</t>
  </si>
  <si>
    <t>A25001930</t>
  </si>
  <si>
    <t>A25001931</t>
  </si>
  <si>
    <t>A25001932</t>
  </si>
  <si>
    <t>A25001933</t>
  </si>
  <si>
    <t>A25001934</t>
  </si>
  <si>
    <t>A25001800</t>
  </si>
  <si>
    <t>A25001904</t>
  </si>
  <si>
    <t>A25001905</t>
  </si>
  <si>
    <t>A25001906</t>
  </si>
  <si>
    <t>A25001928</t>
  </si>
  <si>
    <t>A25001929</t>
  </si>
  <si>
    <t>A25001939</t>
  </si>
  <si>
    <t>A25001945</t>
  </si>
  <si>
    <t>A25001941</t>
  </si>
  <si>
    <t>A25001935</t>
  </si>
  <si>
    <t>A25001944</t>
  </si>
  <si>
    <t>A25001938</t>
  </si>
  <si>
    <t>A25001943</t>
  </si>
  <si>
    <t>Daftar Tagihan Piutang per 23/09/2025</t>
  </si>
  <si>
    <t>Retur</t>
  </si>
  <si>
    <t>A25001946</t>
  </si>
  <si>
    <t>A25001947</t>
  </si>
  <si>
    <t>A25001948</t>
  </si>
  <si>
    <t>A25001949</t>
  </si>
  <si>
    <t>A25001950</t>
  </si>
  <si>
    <t>Daftar Tagihan Piutang per 27/09/2025</t>
  </si>
  <si>
    <t>Tgl Faktur</t>
  </si>
  <si>
    <t>Kota</t>
  </si>
  <si>
    <t>BTS JT</t>
  </si>
  <si>
    <t>A25001955</t>
  </si>
  <si>
    <t>A25001956</t>
  </si>
  <si>
    <t>A25001957</t>
  </si>
  <si>
    <t>A25001959</t>
  </si>
  <si>
    <t>A25001960</t>
  </si>
  <si>
    <t>A25001961</t>
  </si>
  <si>
    <t>A25001963</t>
  </si>
  <si>
    <t>A25001964</t>
  </si>
  <si>
    <t>A25001965</t>
  </si>
  <si>
    <t>A25001967</t>
  </si>
  <si>
    <t>A25001969</t>
  </si>
  <si>
    <t>A25001970</t>
  </si>
  <si>
    <t>A25001971</t>
  </si>
  <si>
    <t>A25001972</t>
  </si>
  <si>
    <t>A25001973</t>
  </si>
  <si>
    <t>A25001974</t>
  </si>
  <si>
    <t>A25001978</t>
  </si>
  <si>
    <t>A25001958</t>
  </si>
  <si>
    <t>A25001962</t>
  </si>
  <si>
    <t>A25001966</t>
  </si>
  <si>
    <t>A25001968</t>
  </si>
  <si>
    <t>Daftar Tagihan Piutang per 04/10/2025</t>
  </si>
  <si>
    <t>Today:</t>
  </si>
  <si>
    <t>A25001980</t>
  </si>
  <si>
    <t>A25001979</t>
  </si>
  <si>
    <t>A25001983</t>
  </si>
  <si>
    <t>A25001982</t>
  </si>
  <si>
    <t>A25001981</t>
  </si>
  <si>
    <t>A25001984</t>
  </si>
  <si>
    <t>A25001987</t>
  </si>
  <si>
    <t>A25001985</t>
  </si>
  <si>
    <t>A25001986</t>
  </si>
  <si>
    <t>A25001988</t>
  </si>
  <si>
    <t>A25001989</t>
  </si>
  <si>
    <t>A25001990</t>
  </si>
  <si>
    <t>A25001994</t>
  </si>
  <si>
    <t>A25001992</t>
  </si>
  <si>
    <t>A25001991</t>
  </si>
  <si>
    <t>A25001993</t>
  </si>
  <si>
    <t>Daftar Tagihan Piutang per 10/10/2025</t>
  </si>
  <si>
    <t>Daftar Tagihan Piutang per 18/10/2025</t>
  </si>
  <si>
    <t>Sheila</t>
  </si>
  <si>
    <t>A25001998</t>
  </si>
  <si>
    <t>A25002000</t>
  </si>
  <si>
    <t>A25001999</t>
  </si>
  <si>
    <t>A25002002</t>
  </si>
  <si>
    <t>A25002004</t>
  </si>
  <si>
    <t>A25002006</t>
  </si>
  <si>
    <t>A25002005</t>
  </si>
  <si>
    <t>A25002008</t>
  </si>
  <si>
    <t>A25002003</t>
  </si>
  <si>
    <t>A25002007</t>
  </si>
  <si>
    <t>A25002009</t>
  </si>
  <si>
    <t>A25002010</t>
  </si>
  <si>
    <t>A25002011</t>
  </si>
  <si>
    <t>A25002013</t>
  </si>
  <si>
    <t>A25002015</t>
  </si>
  <si>
    <t>A25002014</t>
  </si>
  <si>
    <t>A25002019</t>
  </si>
  <si>
    <t>A25002017</t>
  </si>
  <si>
    <t>A25002020</t>
  </si>
  <si>
    <t>A25002018</t>
  </si>
  <si>
    <t>A25002016</t>
  </si>
  <si>
    <t>A25002001</t>
  </si>
  <si>
    <t>A25002012</t>
  </si>
  <si>
    <t>Sedang Dikirim</t>
  </si>
  <si>
    <t>Proses pengiriman</t>
  </si>
  <si>
    <t>Perlu dibayar</t>
  </si>
  <si>
    <t>Done 20/10/2025</t>
  </si>
  <si>
    <t>Keterangan</t>
  </si>
  <si>
    <t>Terbayarkan</t>
  </si>
  <si>
    <t>A25002023</t>
  </si>
  <si>
    <t>A25002027</t>
  </si>
  <si>
    <t>A25002021</t>
  </si>
  <si>
    <t>A25002030</t>
  </si>
  <si>
    <t>A25002029</t>
  </si>
  <si>
    <t>A25002028</t>
  </si>
  <si>
    <t>A25002034</t>
  </si>
  <si>
    <t>A25002033</t>
  </si>
  <si>
    <t>A25002036</t>
  </si>
  <si>
    <t>A25002038</t>
  </si>
  <si>
    <t>A25002040</t>
  </si>
  <si>
    <t>A25002044</t>
  </si>
  <si>
    <t>A25002041</t>
  </si>
  <si>
    <t>A25002042</t>
  </si>
  <si>
    <t>A25002046</t>
  </si>
  <si>
    <t>A25002048</t>
  </si>
  <si>
    <t>A25002045</t>
  </si>
  <si>
    <t>A25002047</t>
  </si>
  <si>
    <t>A25002031</t>
  </si>
  <si>
    <t>A25002032</t>
  </si>
  <si>
    <t>A25002022</t>
  </si>
  <si>
    <t>A25002035</t>
  </si>
  <si>
    <t>A25002037</t>
  </si>
  <si>
    <t>A25002039</t>
  </si>
  <si>
    <t>A25002043</t>
  </si>
  <si>
    <t>A25002049</t>
  </si>
  <si>
    <t>Daftar Tagihan Piutang per 25/10/2025</t>
  </si>
  <si>
    <t>Ongkir</t>
  </si>
  <si>
    <t>A25002050</t>
  </si>
  <si>
    <t>A25002051</t>
  </si>
  <si>
    <t>A25002057</t>
  </si>
  <si>
    <t>A25002058</t>
  </si>
  <si>
    <t>A25002059</t>
  </si>
  <si>
    <t>A25002060</t>
  </si>
  <si>
    <t>A25002061</t>
  </si>
  <si>
    <t>A25002066</t>
  </si>
  <si>
    <t>A25002072</t>
  </si>
  <si>
    <t>A25002073</t>
  </si>
  <si>
    <t>A25002074</t>
  </si>
  <si>
    <t>A25002075</t>
  </si>
  <si>
    <t>A25002078</t>
  </si>
  <si>
    <t>A25002079</t>
  </si>
  <si>
    <t>A25002081</t>
  </si>
  <si>
    <t>A25002083</t>
  </si>
  <si>
    <t>A25002052</t>
  </si>
  <si>
    <t>A25002053</t>
  </si>
  <si>
    <t>A25002062</t>
  </si>
  <si>
    <t>A25002063</t>
  </si>
  <si>
    <t>A25002064</t>
  </si>
  <si>
    <t>A25002065</t>
  </si>
  <si>
    <t>A25002067</t>
  </si>
  <si>
    <t>A25002068</t>
  </si>
  <si>
    <t>A25002069</t>
  </si>
  <si>
    <t>A25002070</t>
  </si>
  <si>
    <t>A25002071</t>
  </si>
  <si>
    <t>A25002076</t>
  </si>
  <si>
    <t>A25002077</t>
  </si>
  <si>
    <t>A25002080</t>
  </si>
  <si>
    <t>A25002082</t>
  </si>
  <si>
    <t>Daftar Tagihan Piutang per 01/11/2025</t>
  </si>
  <si>
    <t>KETERANGAN</t>
  </si>
  <si>
    <t>Selesai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</si>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</sst>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d\-mmm\-yy;@"/>
    <numFmt numFmtId="167" formatCode="_(* #,##0_);_(* \(#,##0\);_(* &quot;-&quot;??_);_(@_)"/>
    <numFmt numFmtId="168" formatCode="[$-409]d\-mmm\-yy;@"/>
    <numFmt numFmtId="169" formatCode="_-[$Rp-421]* #,##0.00_-;\-[$Rp-421]* #,##0.00_-;_-[$Rp-421]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sz val="8.5"/>
      <color theme="0"/>
      <name val="Arial"/>
      <family val="2"/>
    </font>
    <font>
      <b/>
      <sz val="8.5"/>
      <color theme="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10"/>
      <name val="Arial"/>
      <family val="2"/>
    </font>
    <font>
      <b/>
      <sz val="11"/>
      <name val="Arial"/>
      <family val="2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mediumDashed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03">
    <xf numFmtId="0" fontId="0" fillId="0" borderId="0"/>
    <xf numFmtId="43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9" fillId="0" borderId="0"/>
    <xf numFmtId="0" fontId="8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8" fillId="0" borderId="0"/>
    <xf numFmtId="0" fontId="12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9" fillId="5" borderId="0"/>
    <xf numFmtId="0" fontId="9" fillId="5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3" fillId="5" borderId="0"/>
    <xf numFmtId="0" fontId="8" fillId="0" borderId="0"/>
    <xf numFmtId="168" fontId="1" fillId="0" borderId="0"/>
    <xf numFmtId="168" fontId="1" fillId="0" borderId="0"/>
    <xf numFmtId="168" fontId="1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center" vertical="top"/>
    </xf>
    <xf numFmtId="0" fontId="9" fillId="0" borderId="0">
      <alignment horizontal="center" vertical="top"/>
    </xf>
    <xf numFmtId="0" fontId="9" fillId="0" borderId="0">
      <alignment horizontal="left" vertical="top"/>
    </xf>
    <xf numFmtId="0" fontId="15" fillId="0" borderId="0">
      <alignment horizontal="left" vertical="top"/>
    </xf>
    <xf numFmtId="0" fontId="16" fillId="0" borderId="0">
      <alignment horizontal="left" vertical="top"/>
    </xf>
    <xf numFmtId="0" fontId="9" fillId="6" borderId="0">
      <alignment horizontal="center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17" fillId="0" borderId="0">
      <alignment horizontal="righ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18" fillId="0" borderId="0">
      <alignment horizontal="left" vertical="top"/>
    </xf>
    <xf numFmtId="0" fontId="14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center" vertical="top"/>
    </xf>
    <xf numFmtId="0" fontId="9" fillId="0" borderId="0">
      <alignment horizontal="center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9" fillId="6" borderId="0">
      <alignment horizontal="center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17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top"/>
    </xf>
    <xf numFmtId="0" fontId="9" fillId="6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right" vertical="top"/>
    </xf>
    <xf numFmtId="0" fontId="27" fillId="0" borderId="0">
      <alignment horizontal="right" vertical="center"/>
    </xf>
    <xf numFmtId="0" fontId="14" fillId="0" borderId="0">
      <alignment horizontal="right" vertical="top"/>
    </xf>
    <xf numFmtId="0" fontId="14" fillId="0" borderId="0">
      <alignment horizontal="left" vertical="top"/>
    </xf>
    <xf numFmtId="168" fontId="24" fillId="0" borderId="0">
      <alignment horizontal="left" vertical="top"/>
    </xf>
    <xf numFmtId="0" fontId="23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24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right" vertical="top"/>
    </xf>
    <xf numFmtId="0" fontId="9" fillId="0" borderId="0">
      <alignment horizontal="left" vertical="top"/>
    </xf>
    <xf numFmtId="0" fontId="9" fillId="0" borderId="0">
      <alignment horizontal="right" vertical="top"/>
    </xf>
    <xf numFmtId="0" fontId="19" fillId="0" borderId="0">
      <alignment horizontal="right" vertical="top"/>
    </xf>
    <xf numFmtId="0" fontId="28" fillId="0" borderId="0">
      <alignment horizontal="left" vertical="top"/>
    </xf>
    <xf numFmtId="0" fontId="22" fillId="0" borderId="0">
      <alignment horizontal="left" vertical="top"/>
    </xf>
    <xf numFmtId="0" fontId="9" fillId="6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25" fillId="0" borderId="0">
      <alignment horizontal="right" vertical="top"/>
    </xf>
    <xf numFmtId="0" fontId="14" fillId="0" borderId="0">
      <alignment horizontal="left" vertical="top"/>
    </xf>
    <xf numFmtId="0" fontId="22" fillId="0" borderId="0">
      <alignment horizontal="left" vertical="top"/>
    </xf>
    <xf numFmtId="0" fontId="14" fillId="0" borderId="0">
      <alignment horizontal="right" vertical="top"/>
    </xf>
    <xf numFmtId="0" fontId="22" fillId="0" borderId="0">
      <alignment horizontal="right" vertical="top"/>
    </xf>
    <xf numFmtId="168" fontId="14" fillId="0" borderId="0">
      <alignment horizontal="right" vertical="top"/>
    </xf>
    <xf numFmtId="0" fontId="9" fillId="6" borderId="0">
      <alignment horizontal="left" vertical="top"/>
    </xf>
    <xf numFmtId="0" fontId="9" fillId="0" borderId="0">
      <alignment horizontal="left" vertical="top"/>
    </xf>
    <xf numFmtId="0" fontId="24" fillId="0" borderId="0">
      <alignment horizontal="left" vertical="top"/>
    </xf>
    <xf numFmtId="0" fontId="9" fillId="0" borderId="0">
      <alignment horizontal="righ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26" fillId="0" borderId="0">
      <alignment horizontal="right" vertical="top"/>
    </xf>
    <xf numFmtId="0" fontId="23" fillId="0" borderId="0">
      <alignment horizontal="left" vertical="top"/>
    </xf>
    <xf numFmtId="0" fontId="29" fillId="0" borderId="0">
      <alignment horizontal="right" vertical="top"/>
    </xf>
    <xf numFmtId="0" fontId="22" fillId="0" borderId="0">
      <alignment horizontal="right" vertical="top"/>
    </xf>
    <xf numFmtId="0" fontId="24" fillId="0" borderId="0">
      <alignment horizontal="left" vertical="top"/>
    </xf>
    <xf numFmtId="168" fontId="14" fillId="0" borderId="0">
      <alignment horizontal="righ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right" vertical="top"/>
    </xf>
    <xf numFmtId="0" fontId="9" fillId="0" borderId="0">
      <alignment horizontal="right" vertical="top"/>
    </xf>
    <xf numFmtId="0" fontId="25" fillId="0" borderId="0">
      <alignment horizontal="right" vertical="top"/>
    </xf>
    <xf numFmtId="0" fontId="14" fillId="0" borderId="0">
      <alignment horizontal="right" vertical="top"/>
    </xf>
    <xf numFmtId="0" fontId="22" fillId="0" borderId="0">
      <alignment horizontal="right" vertical="top"/>
    </xf>
    <xf numFmtId="0" fontId="22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left" vertical="center"/>
    </xf>
    <xf numFmtId="0" fontId="27" fillId="0" borderId="0">
      <alignment horizontal="left" vertical="center"/>
    </xf>
    <xf numFmtId="0" fontId="14" fillId="0" borderId="0">
      <alignment horizontal="left" vertical="top"/>
    </xf>
    <xf numFmtId="168" fontId="14" fillId="0" borderId="0">
      <alignment horizontal="left" vertical="top"/>
    </xf>
    <xf numFmtId="0" fontId="9" fillId="0" borderId="0">
      <alignment horizontal="left" vertical="top"/>
    </xf>
    <xf numFmtId="0" fontId="26" fillId="0" borderId="0">
      <alignment horizontal="left" vertical="top"/>
    </xf>
    <xf numFmtId="0" fontId="9" fillId="0" borderId="0">
      <alignment horizontal="left" vertical="top"/>
    </xf>
    <xf numFmtId="0" fontId="25" fillId="0" borderId="0">
      <alignment horizontal="right" vertical="top"/>
    </xf>
    <xf numFmtId="0" fontId="31" fillId="0" borderId="0">
      <alignment horizontal="left" vertical="top"/>
    </xf>
    <xf numFmtId="0" fontId="14" fillId="0" borderId="0">
      <alignment horizontal="right" vertical="top"/>
    </xf>
    <xf numFmtId="0" fontId="30" fillId="0" borderId="0">
      <alignment horizontal="left" vertical="center"/>
    </xf>
    <xf numFmtId="0" fontId="24" fillId="0" borderId="0">
      <alignment horizontal="left" vertical="top"/>
    </xf>
    <xf numFmtId="0" fontId="22" fillId="0" borderId="0">
      <alignment horizontal="right" vertical="top"/>
    </xf>
    <xf numFmtId="0" fontId="26" fillId="0" borderId="0">
      <alignment horizontal="right" vertical="top"/>
    </xf>
    <xf numFmtId="0" fontId="29" fillId="0" borderId="0">
      <alignment horizontal="left" vertical="top"/>
    </xf>
    <xf numFmtId="0" fontId="14" fillId="0" borderId="0">
      <alignment horizontal="left" vertical="top"/>
    </xf>
    <xf numFmtId="168" fontId="24" fillId="0" borderId="0">
      <alignment horizontal="left" vertical="top"/>
    </xf>
    <xf numFmtId="0" fontId="32" fillId="0" borderId="0">
      <alignment horizontal="left" vertical="top"/>
    </xf>
    <xf numFmtId="0" fontId="9" fillId="0" borderId="0">
      <alignment horizontal="left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17" fillId="0" borderId="0">
      <alignment horizontal="left" vertical="top"/>
    </xf>
    <xf numFmtId="0" fontId="27" fillId="0" borderId="0">
      <alignment horizontal="center" vertical="center"/>
    </xf>
    <xf numFmtId="0" fontId="24" fillId="0" borderId="0">
      <alignment horizontal="left" vertical="top"/>
    </xf>
    <xf numFmtId="0" fontId="26" fillId="0" borderId="0">
      <alignment horizontal="right" vertical="top"/>
    </xf>
    <xf numFmtId="0" fontId="27" fillId="0" borderId="0">
      <alignment horizontal="left" vertical="center"/>
    </xf>
    <xf numFmtId="0" fontId="28" fillId="0" borderId="0">
      <alignment horizontal="left" vertical="top"/>
    </xf>
    <xf numFmtId="0" fontId="33" fillId="0" borderId="0">
      <alignment horizontal="right" vertical="top"/>
    </xf>
    <xf numFmtId="0" fontId="14" fillId="0" borderId="0">
      <alignment horizontal="right" vertical="top"/>
    </xf>
    <xf numFmtId="0" fontId="33" fillId="0" borderId="0">
      <alignment horizontal="right" vertical="top"/>
    </xf>
    <xf numFmtId="0" fontId="24" fillId="0" borderId="0">
      <alignment horizontal="left" vertical="top"/>
    </xf>
    <xf numFmtId="0" fontId="33" fillId="0" borderId="0">
      <alignment horizontal="left" vertical="top"/>
    </xf>
    <xf numFmtId="0" fontId="14" fillId="0" borderId="0">
      <alignment horizontal="left" vertical="top"/>
    </xf>
    <xf numFmtId="0" fontId="26" fillId="0" borderId="0">
      <alignment horizontal="left" vertical="top"/>
    </xf>
    <xf numFmtId="0" fontId="27" fillId="0" borderId="0">
      <alignment horizontal="center" vertical="center"/>
    </xf>
    <xf numFmtId="168" fontId="14" fillId="0" borderId="0">
      <alignment horizontal="left" vertical="top"/>
    </xf>
    <xf numFmtId="0" fontId="29" fillId="0" borderId="0">
      <alignment horizontal="left" vertical="top"/>
    </xf>
    <xf numFmtId="0" fontId="33" fillId="0" borderId="0">
      <alignment horizontal="left" vertical="top"/>
    </xf>
    <xf numFmtId="0" fontId="14" fillId="0" borderId="0">
      <alignment horizontal="left" vertical="top"/>
    </xf>
    <xf numFmtId="0" fontId="33" fillId="0" borderId="0">
      <alignment horizontal="left" vertical="top"/>
    </xf>
    <xf numFmtId="0" fontId="33" fillId="0" borderId="0">
      <alignment horizontal="right" vertical="top"/>
    </xf>
    <xf numFmtId="0" fontId="24" fillId="0" borderId="0">
      <alignment horizontal="left" vertical="top"/>
    </xf>
    <xf numFmtId="168" fontId="24" fillId="0" borderId="0">
      <alignment horizontal="left" vertical="top"/>
    </xf>
    <xf numFmtId="0" fontId="28" fillId="0" borderId="0">
      <alignment horizontal="left" vertical="top"/>
    </xf>
    <xf numFmtId="0" fontId="26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right" vertical="top"/>
    </xf>
    <xf numFmtId="168" fontId="26" fillId="0" borderId="0">
      <alignment horizontal="right" vertical="top"/>
    </xf>
    <xf numFmtId="0" fontId="34" fillId="0" borderId="0">
      <alignment horizontal="right" vertical="top"/>
    </xf>
    <xf numFmtId="0" fontId="32" fillId="0" borderId="0">
      <alignment horizontal="left" vertical="top"/>
    </xf>
    <xf numFmtId="0" fontId="26" fillId="0" borderId="0">
      <alignment horizontal="left" vertical="top"/>
    </xf>
    <xf numFmtId="0" fontId="14" fillId="0" borderId="0">
      <alignment horizontal="left" vertical="top"/>
    </xf>
    <xf numFmtId="168" fontId="26" fillId="0" borderId="0">
      <alignment horizontal="left" vertical="top"/>
    </xf>
    <xf numFmtId="0" fontId="34" fillId="0" borderId="0">
      <alignment horizontal="left" vertical="top"/>
    </xf>
    <xf numFmtId="0" fontId="14" fillId="0" borderId="0">
      <alignment horizontal="righ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center" vertical="top"/>
    </xf>
    <xf numFmtId="0" fontId="9" fillId="0" borderId="0">
      <alignment horizontal="center" vertical="top"/>
    </xf>
    <xf numFmtId="0" fontId="9" fillId="0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left" vertical="top"/>
    </xf>
    <xf numFmtId="0" fontId="9" fillId="6" borderId="0">
      <alignment horizontal="center" vertical="top"/>
    </xf>
    <xf numFmtId="0" fontId="14" fillId="0" borderId="0">
      <alignment horizontal="right" vertical="top"/>
    </xf>
    <xf numFmtId="0" fontId="14" fillId="0" borderId="0">
      <alignment horizontal="right" vertical="top"/>
    </xf>
    <xf numFmtId="0" fontId="17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37" fillId="0" borderId="0">
      <alignment horizontal="left" vertical="top"/>
    </xf>
    <xf numFmtId="0" fontId="38" fillId="0" borderId="0">
      <alignment horizontal="center" vertical="top"/>
    </xf>
    <xf numFmtId="0" fontId="39" fillId="0" borderId="0">
      <alignment horizontal="left" vertical="top"/>
    </xf>
    <xf numFmtId="168" fontId="40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40" fillId="0" borderId="0">
      <alignment horizontal="left" vertical="top"/>
    </xf>
    <xf numFmtId="0" fontId="9" fillId="6" borderId="0">
      <alignment horizontal="left" vertical="top"/>
    </xf>
    <xf numFmtId="0" fontId="39" fillId="0" borderId="0">
      <alignment horizontal="center" vertical="top"/>
    </xf>
    <xf numFmtId="0" fontId="41" fillId="0" borderId="0">
      <alignment horizontal="left" vertical="top"/>
    </xf>
    <xf numFmtId="0" fontId="42" fillId="0" borderId="0">
      <alignment horizontal="center" vertical="top"/>
    </xf>
    <xf numFmtId="0" fontId="9" fillId="6" borderId="0">
      <alignment horizontal="left" vertical="top"/>
    </xf>
    <xf numFmtId="0" fontId="32" fillId="0" borderId="0">
      <alignment horizontal="left" vertical="top"/>
    </xf>
    <xf numFmtId="0" fontId="9" fillId="6" borderId="0">
      <alignment horizontal="left" vertical="top"/>
    </xf>
    <xf numFmtId="0" fontId="20" fillId="0" borderId="0">
      <alignment horizontal="center" vertical="top"/>
    </xf>
    <xf numFmtId="0" fontId="42" fillId="0" borderId="0">
      <alignment horizontal="center" vertical="top"/>
    </xf>
    <xf numFmtId="0" fontId="24" fillId="0" borderId="0">
      <alignment horizontal="right" vertical="top"/>
    </xf>
    <xf numFmtId="0" fontId="9" fillId="6" borderId="0">
      <alignment horizontal="left" vertical="top"/>
    </xf>
    <xf numFmtId="0" fontId="20" fillId="0" borderId="0">
      <alignment horizontal="left" vertical="top"/>
    </xf>
    <xf numFmtId="168" fontId="24" fillId="0" borderId="0">
      <alignment horizontal="right" vertical="top"/>
    </xf>
    <xf numFmtId="0" fontId="24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0" borderId="0">
      <alignment horizontal="lef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8" fillId="0" borderId="0">
      <alignment horizontal="right" vertical="top"/>
    </xf>
    <xf numFmtId="0" fontId="24" fillId="6" borderId="0">
      <alignment horizontal="left" vertical="top"/>
    </xf>
    <xf numFmtId="0" fontId="9" fillId="6" borderId="0">
      <alignment horizontal="left" vertical="top"/>
    </xf>
    <xf numFmtId="0" fontId="36" fillId="0" borderId="0">
      <alignment horizontal="center" vertical="top"/>
    </xf>
    <xf numFmtId="0" fontId="24" fillId="6" borderId="0">
      <alignment horizontal="left" vertical="top"/>
    </xf>
    <xf numFmtId="0" fontId="14" fillId="0" borderId="0">
      <alignment horizontal="right" vertical="top"/>
    </xf>
    <xf numFmtId="168" fontId="24" fillId="0" borderId="0">
      <alignment horizontal="left" vertical="top"/>
    </xf>
    <xf numFmtId="0" fontId="24" fillId="0" borderId="0">
      <alignment horizontal="left" vertical="top"/>
    </xf>
    <xf numFmtId="0" fontId="43" fillId="0" borderId="0">
      <alignment horizontal="center" vertical="top"/>
    </xf>
    <xf numFmtId="0" fontId="9" fillId="6" borderId="0">
      <alignment horizontal="left" vertical="top"/>
    </xf>
    <xf numFmtId="0" fontId="9" fillId="6" borderId="0">
      <alignment horizontal="righ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1" fillId="0" borderId="0">
      <alignment horizontal="left" vertical="top"/>
    </xf>
    <xf numFmtId="0" fontId="24" fillId="0" borderId="0">
      <alignment horizontal="left" vertical="top"/>
    </xf>
    <xf numFmtId="0" fontId="28" fillId="0" borderId="0">
      <alignment horizontal="left" vertical="top"/>
    </xf>
    <xf numFmtId="0" fontId="33" fillId="0" borderId="0">
      <alignment horizontal="left" vertical="center"/>
    </xf>
    <xf numFmtId="0" fontId="19" fillId="0" borderId="0">
      <alignment horizontal="right" vertical="top"/>
    </xf>
    <xf numFmtId="0" fontId="1" fillId="0" borderId="0">
      <alignment horizontal="righ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9" fillId="6" borderId="0">
      <alignment horizontal="right" vertical="top"/>
    </xf>
    <xf numFmtId="0" fontId="26" fillId="0" borderId="0">
      <alignment horizontal="left" vertical="top"/>
    </xf>
    <xf numFmtId="0" fontId="26" fillId="0" borderId="0">
      <alignment horizontal="center" vertical="center"/>
    </xf>
    <xf numFmtId="0" fontId="33" fillId="0" borderId="0">
      <alignment horizontal="left" vertical="center"/>
    </xf>
    <xf numFmtId="0" fontId="44" fillId="0" borderId="0">
      <alignment horizontal="center" vertical="top"/>
    </xf>
    <xf numFmtId="168" fontId="24" fillId="0" borderId="0">
      <alignment horizontal="left" vertical="top"/>
    </xf>
    <xf numFmtId="0" fontId="24" fillId="0" borderId="0">
      <alignment horizontal="right" vertical="top"/>
    </xf>
    <xf numFmtId="0" fontId="9" fillId="6" borderId="0">
      <alignment horizontal="righ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right" vertical="top"/>
    </xf>
    <xf numFmtId="0" fontId="9" fillId="6" borderId="0">
      <alignment horizontal="right" vertical="top"/>
    </xf>
    <xf numFmtId="0" fontId="9" fillId="6" borderId="0">
      <alignment horizontal="right" vertical="top"/>
    </xf>
    <xf numFmtId="0" fontId="9" fillId="0" borderId="0">
      <alignment horizontal="left" vertical="top"/>
    </xf>
    <xf numFmtId="0" fontId="9" fillId="0" borderId="0">
      <alignment horizontal="right" vertical="top"/>
    </xf>
    <xf numFmtId="0" fontId="28" fillId="0" borderId="0">
      <alignment horizontal="left" vertical="top"/>
    </xf>
    <xf numFmtId="0" fontId="33" fillId="0" borderId="0">
      <alignment horizontal="left" vertical="center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9" fillId="6" borderId="0">
      <alignment horizontal="left" vertical="top"/>
    </xf>
    <xf numFmtId="0" fontId="26" fillId="0" borderId="0">
      <alignment horizontal="left" vertical="top"/>
    </xf>
    <xf numFmtId="0" fontId="27" fillId="0" borderId="0">
      <alignment horizontal="left" vertical="center"/>
    </xf>
    <xf numFmtId="0" fontId="33" fillId="0" borderId="0">
      <alignment horizontal="left" vertical="center"/>
    </xf>
    <xf numFmtId="0" fontId="45" fillId="0" borderId="0">
      <alignment horizontal="left" vertical="top"/>
    </xf>
    <xf numFmtId="168" fontId="24" fillId="0" borderId="0">
      <alignment horizontal="right" vertical="top"/>
    </xf>
    <xf numFmtId="0" fontId="46" fillId="0" borderId="0">
      <alignment horizontal="left" vertical="top"/>
    </xf>
    <xf numFmtId="0" fontId="24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righ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0" borderId="0">
      <alignment horizontal="righ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28" fillId="0" borderId="0">
      <alignment horizontal="right" vertical="top"/>
    </xf>
    <xf numFmtId="0" fontId="33" fillId="0" borderId="0">
      <alignment horizontal="right" vertical="center"/>
    </xf>
    <xf numFmtId="0" fontId="27" fillId="0" borderId="0">
      <alignment horizontal="left" vertical="center"/>
    </xf>
    <xf numFmtId="0" fontId="33" fillId="0" borderId="0">
      <alignment horizontal="right" vertical="center"/>
    </xf>
    <xf numFmtId="0" fontId="33" fillId="0" borderId="0">
      <alignment horizontal="left" vertical="top"/>
    </xf>
    <xf numFmtId="0" fontId="27" fillId="0" borderId="0">
      <alignment horizontal="right" vertical="center"/>
    </xf>
    <xf numFmtId="168" fontId="24" fillId="0" borderId="0">
      <alignment horizontal="left" vertical="top"/>
    </xf>
    <xf numFmtId="0" fontId="33" fillId="0" borderId="0">
      <alignment horizontal="right" vertical="center"/>
    </xf>
    <xf numFmtId="0" fontId="22" fillId="0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9" fillId="6" borderId="0">
      <alignment horizontal="left" vertical="top"/>
    </xf>
    <xf numFmtId="0" fontId="24" fillId="0" borderId="0">
      <alignment horizontal="righ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40" fillId="0" borderId="0">
      <alignment horizontal="left" vertical="top"/>
    </xf>
    <xf numFmtId="0" fontId="9" fillId="6" borderId="0">
      <alignment horizontal="left" vertical="top"/>
    </xf>
    <xf numFmtId="0" fontId="26" fillId="0" borderId="0">
      <alignment horizontal="right" vertical="top"/>
    </xf>
    <xf numFmtId="0" fontId="28" fillId="0" borderId="0">
      <alignment horizontal="left" vertical="top"/>
    </xf>
    <xf numFmtId="0" fontId="22" fillId="0" borderId="0">
      <alignment horizontal="left" vertical="top"/>
    </xf>
    <xf numFmtId="0" fontId="24" fillId="0" borderId="0">
      <alignment horizontal="left" vertical="top"/>
    </xf>
    <xf numFmtId="0" fontId="9" fillId="6" borderId="0">
      <alignment horizontal="right" vertical="top"/>
    </xf>
    <xf numFmtId="0" fontId="25" fillId="0" borderId="0">
      <alignment horizontal="left" vertical="top"/>
    </xf>
    <xf numFmtId="0" fontId="14" fillId="0" borderId="0">
      <alignment horizontal="left" vertical="top"/>
    </xf>
    <xf numFmtId="0" fontId="27" fillId="0" borderId="0">
      <alignment horizontal="center" vertical="center"/>
    </xf>
    <xf numFmtId="0" fontId="22" fillId="0" borderId="0">
      <alignment horizontal="left" vertical="top"/>
    </xf>
    <xf numFmtId="0" fontId="33" fillId="0" borderId="0">
      <alignment horizontal="right" vertical="top"/>
    </xf>
    <xf numFmtId="0" fontId="24" fillId="0" borderId="0">
      <alignment horizontal="right" vertical="top"/>
    </xf>
    <xf numFmtId="168" fontId="14" fillId="0" borderId="0">
      <alignment horizontal="left" vertical="top"/>
    </xf>
    <xf numFmtId="0" fontId="9" fillId="6" borderId="0">
      <alignment horizontal="right" vertical="top"/>
    </xf>
    <xf numFmtId="0" fontId="9" fillId="6" borderId="0">
      <alignment horizontal="left" vertical="top"/>
    </xf>
    <xf numFmtId="0" fontId="9" fillId="6" borderId="0">
      <alignment horizontal="right" vertical="top"/>
    </xf>
    <xf numFmtId="0" fontId="9" fillId="6" borderId="0">
      <alignment horizontal="right" vertical="top"/>
    </xf>
    <xf numFmtId="0" fontId="9" fillId="6" borderId="0">
      <alignment horizontal="right" vertical="top"/>
    </xf>
    <xf numFmtId="0" fontId="9" fillId="6" borderId="0">
      <alignment horizontal="left" vertical="top"/>
    </xf>
    <xf numFmtId="0" fontId="9" fillId="0" borderId="0">
      <alignment horizontal="left" vertical="top"/>
    </xf>
    <xf numFmtId="0" fontId="19" fillId="0" borderId="0">
      <alignment horizontal="left" vertical="top"/>
    </xf>
    <xf numFmtId="0" fontId="29" fillId="0" borderId="0">
      <alignment horizontal="left" vertical="top"/>
    </xf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1" xfId="0" applyFont="1" applyFill="1" applyBorder="1"/>
    <xf numFmtId="0" fontId="3" fillId="0" borderId="0" xfId="0" applyFont="1" applyFill="1" applyBorder="1" applyAlignment="1">
      <alignment horizontal="left" vertical="center"/>
    </xf>
    <xf numFmtId="166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wrapText="1"/>
    </xf>
    <xf numFmtId="166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 wrapText="1"/>
    </xf>
    <xf numFmtId="167" fontId="5" fillId="2" borderId="2" xfId="1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168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1" fontId="4" fillId="0" borderId="4" xfId="0" applyNumberFormat="1" applyFont="1" applyFill="1" applyBorder="1" applyAlignment="1">
      <alignment horizontal="center" vertical="center"/>
    </xf>
    <xf numFmtId="167" fontId="4" fillId="0" borderId="2" xfId="1" applyNumberFormat="1" applyFont="1" applyBorder="1" applyAlignment="1">
      <alignment horizontal="center" vertical="center"/>
    </xf>
    <xf numFmtId="0" fontId="0" fillId="0" borderId="0" xfId="0" applyFont="1"/>
    <xf numFmtId="167" fontId="6" fillId="2" borderId="2" xfId="1" applyNumberFormat="1" applyFont="1" applyFill="1" applyBorder="1" applyAlignment="1">
      <alignment horizontal="center" vertical="center"/>
    </xf>
    <xf numFmtId="168" fontId="4" fillId="0" borderId="6" xfId="0" applyNumberFormat="1" applyFont="1" applyFill="1" applyBorder="1" applyAlignment="1">
      <alignment horizontal="center" vertical="center"/>
    </xf>
    <xf numFmtId="1" fontId="4" fillId="0" borderId="8" xfId="0" applyNumberFormat="1" applyFont="1" applyFill="1" applyBorder="1" applyAlignment="1">
      <alignment horizontal="center" vertical="center"/>
    </xf>
    <xf numFmtId="167" fontId="3" fillId="3" borderId="2" xfId="1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left" vertical="center"/>
    </xf>
    <xf numFmtId="0" fontId="5" fillId="3" borderId="3" xfId="0" applyNumberFormat="1" applyFont="1" applyFill="1" applyBorder="1" applyAlignment="1">
      <alignment horizontal="center" vertical="center" wrapText="1"/>
    </xf>
    <xf numFmtId="167" fontId="5" fillId="2" borderId="2" xfId="39" applyNumberFormat="1" applyFont="1" applyFill="1" applyBorder="1" applyAlignment="1">
      <alignment horizontal="center" vertical="center"/>
    </xf>
    <xf numFmtId="167" fontId="4" fillId="0" borderId="2" xfId="39" applyNumberFormat="1" applyFont="1" applyBorder="1" applyAlignment="1">
      <alignment horizontal="center" vertical="center"/>
    </xf>
    <xf numFmtId="167" fontId="6" fillId="2" borderId="2" xfId="39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167" fontId="48" fillId="3" borderId="2" xfId="39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0" fontId="4" fillId="0" borderId="0" xfId="0" applyFont="1" applyFill="1" applyAlignment="1">
      <alignment horizontal="left" vertical="center"/>
    </xf>
    <xf numFmtId="16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horizontal="center" vertical="center"/>
    </xf>
    <xf numFmtId="167" fontId="4" fillId="0" borderId="0" xfId="1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9" fillId="4" borderId="2" xfId="0" applyNumberFormat="1" applyFont="1" applyFill="1" applyBorder="1" applyAlignment="1">
      <alignment horizontal="center" vertical="center"/>
    </xf>
    <xf numFmtId="168" fontId="49" fillId="0" borderId="2" xfId="0" applyNumberFormat="1" applyFont="1" applyFill="1" applyBorder="1" applyAlignment="1">
      <alignment horizontal="center" vertical="center"/>
    </xf>
    <xf numFmtId="0" fontId="49" fillId="0" borderId="2" xfId="0" applyNumberFormat="1" applyFont="1" applyFill="1" applyBorder="1" applyAlignment="1">
      <alignment horizontal="center" vertical="center"/>
    </xf>
    <xf numFmtId="0" fontId="49" fillId="0" borderId="2" xfId="0" applyFont="1" applyFill="1" applyBorder="1" applyAlignment="1">
      <alignment horizontal="left" vertical="center"/>
    </xf>
    <xf numFmtId="0" fontId="49" fillId="0" borderId="2" xfId="0" applyFont="1" applyFill="1" applyBorder="1" applyAlignment="1">
      <alignment vertical="center"/>
    </xf>
    <xf numFmtId="1" fontId="49" fillId="0" borderId="4" xfId="0" applyNumberFormat="1" applyFont="1" applyFill="1" applyBorder="1" applyAlignment="1">
      <alignment horizontal="center" vertical="center"/>
    </xf>
    <xf numFmtId="167" fontId="49" fillId="0" borderId="2" xfId="1" applyNumberFormat="1" applyFont="1" applyBorder="1" applyAlignment="1">
      <alignment horizontal="center" vertical="center"/>
    </xf>
    <xf numFmtId="0" fontId="50" fillId="4" borderId="2" xfId="0" applyNumberFormat="1" applyFont="1" applyFill="1" applyBorder="1" applyAlignment="1">
      <alignment horizontal="center" vertical="center"/>
    </xf>
    <xf numFmtId="168" fontId="50" fillId="0" borderId="2" xfId="0" applyNumberFormat="1" applyFont="1" applyFill="1" applyBorder="1" applyAlignment="1">
      <alignment horizontal="center" vertical="center"/>
    </xf>
    <xf numFmtId="0" fontId="50" fillId="0" borderId="2" xfId="0" applyNumberFormat="1" applyFont="1" applyFill="1" applyBorder="1" applyAlignment="1">
      <alignment horizontal="center" vertical="center"/>
    </xf>
    <xf numFmtId="0" fontId="50" fillId="0" borderId="2" xfId="0" applyFont="1" applyFill="1" applyBorder="1" applyAlignment="1">
      <alignment horizontal="left" vertical="center"/>
    </xf>
    <xf numFmtId="0" fontId="50" fillId="0" borderId="2" xfId="0" applyFont="1" applyFill="1" applyBorder="1" applyAlignment="1">
      <alignment vertical="center"/>
    </xf>
    <xf numFmtId="1" fontId="50" fillId="0" borderId="4" xfId="0" applyNumberFormat="1" applyFont="1" applyFill="1" applyBorder="1" applyAlignment="1">
      <alignment horizontal="center" vertical="center"/>
    </xf>
    <xf numFmtId="167" fontId="50" fillId="0" borderId="2" xfId="1" applyNumberFormat="1" applyFont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2" borderId="2" xfId="0" applyNumberFormat="1" applyFont="1" applyFill="1" applyBorder="1" applyAlignment="1">
      <alignment horizontal="center" vertical="center"/>
    </xf>
    <xf numFmtId="168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1" fontId="5" fillId="2" borderId="4" xfId="0" applyNumberFormat="1" applyFont="1" applyFill="1" applyBorder="1" applyAlignment="1">
      <alignment horizontal="center" vertical="center"/>
    </xf>
    <xf numFmtId="3" fontId="0" fillId="0" borderId="0" xfId="0" applyNumberFormat="1" applyFont="1"/>
    <xf numFmtId="10" fontId="0" fillId="0" borderId="0" xfId="1202" applyNumberFormat="1" applyFont="1"/>
    <xf numFmtId="0" fontId="3" fillId="0" borderId="0" xfId="0" applyFont="1" applyFill="1" applyBorder="1" applyAlignment="1">
      <alignment vertical="center"/>
    </xf>
    <xf numFmtId="0" fontId="51" fillId="0" borderId="0" xfId="0" applyFont="1"/>
    <xf numFmtId="167" fontId="0" fillId="0" borderId="0" xfId="0" applyNumberFormat="1" applyFont="1"/>
    <xf numFmtId="0" fontId="5" fillId="2" borderId="3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/>
    </xf>
    <xf numFmtId="168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1" fontId="6" fillId="2" borderId="4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15" fontId="4" fillId="0" borderId="0" xfId="0" applyNumberFormat="1" applyFont="1" applyFill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167" fontId="52" fillId="0" borderId="2" xfId="0" applyNumberFormat="1" applyFont="1" applyFill="1" applyBorder="1" applyAlignment="1">
      <alignment vertical="center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 wrapText="1"/>
    </xf>
    <xf numFmtId="167" fontId="6" fillId="2" borderId="0" xfId="0" applyNumberFormat="1" applyFont="1" applyFill="1" applyBorder="1" applyAlignment="1">
      <alignment vertical="center"/>
    </xf>
    <xf numFmtId="0" fontId="0" fillId="0" borderId="2" xfId="0" applyFont="1" applyBorder="1"/>
    <xf numFmtId="0" fontId="5" fillId="2" borderId="9" xfId="0" applyNumberFormat="1" applyFont="1" applyFill="1" applyBorder="1" applyAlignment="1">
      <alignment horizontal="center" vertical="center"/>
    </xf>
    <xf numFmtId="169" fontId="0" fillId="0" borderId="0" xfId="0" applyNumberFormat="1"/>
    <xf numFmtId="169" fontId="6" fillId="2" borderId="9" xfId="1" applyNumberFormat="1" applyFont="1" applyFill="1" applyBorder="1" applyAlignment="1">
      <alignment horizontal="center" vertical="center"/>
    </xf>
    <xf numFmtId="169" fontId="0" fillId="0" borderId="0" xfId="0" applyNumberFormat="1" applyFont="1"/>
    <xf numFmtId="0" fontId="6" fillId="2" borderId="5" xfId="0" applyNumberFormat="1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0" fontId="48" fillId="3" borderId="5" xfId="0" applyNumberFormat="1" applyFont="1" applyFill="1" applyBorder="1" applyAlignment="1">
      <alignment horizontal="center" vertical="center"/>
    </xf>
    <xf numFmtId="0" fontId="48" fillId="3" borderId="6" xfId="0" applyNumberFormat="1" applyFont="1" applyFill="1" applyBorder="1" applyAlignment="1">
      <alignment horizontal="center" vertical="center"/>
    </xf>
    <xf numFmtId="0" fontId="48" fillId="3" borderId="7" xfId="0" applyNumberFormat="1" applyFont="1" applyFill="1" applyBorder="1" applyAlignment="1">
      <alignment horizontal="center" vertical="center"/>
    </xf>
    <xf numFmtId="0" fontId="0" fillId="7" borderId="0" xfId="0" applyFill="1"/>
    <xf numFmtId="169" fontId="0" fillId="7" borderId="0" xfId="0" applyNumberFormat="1" applyFill="1"/>
    <xf numFmtId="43" fontId="0" fillId="0" borderId="2" xfId="0" applyNumberFormat="1" applyFont="1" applyBorder="1"/>
    <xf numFmtId="167" fontId="6" fillId="4" borderId="2" xfId="1" applyNumberFormat="1" applyFont="1" applyFill="1" applyBorder="1" applyAlignment="1">
      <alignment horizontal="center" vertical="center"/>
    </xf>
    <xf numFmtId="167" fontId="53" fillId="4" borderId="2" xfId="1" applyNumberFormat="1" applyFont="1" applyFill="1" applyBorder="1" applyAlignment="1">
      <alignment horizontal="center" vertical="center"/>
    </xf>
  </cellXfs>
  <cellStyles count="1203">
    <cellStyle name="Comma" xfId="1" builtinId="3"/>
    <cellStyle name="Comma [0] 2" xfId="2"/>
    <cellStyle name="Comma [0] 2 2" xfId="3"/>
    <cellStyle name="Comma [0] 2 2 2" xfId="4"/>
    <cellStyle name="Comma [0] 2 3" xfId="5"/>
    <cellStyle name="Comma [0] 2 4" xfId="6"/>
    <cellStyle name="Comma [0] 3" xfId="7"/>
    <cellStyle name="Comma [0] 3 2" xfId="8"/>
    <cellStyle name="Comma [0] 3 3" xfId="9"/>
    <cellStyle name="Comma [0] 3 4" xfId="10"/>
    <cellStyle name="Comma [0] 4" xfId="11"/>
    <cellStyle name="Comma [0] 4 2" xfId="12"/>
    <cellStyle name="Comma [0] 5" xfId="13"/>
    <cellStyle name="Comma [0] 5 2" xfId="14"/>
    <cellStyle name="Comma [0] 6" xfId="15"/>
    <cellStyle name="Comma [0] 7" xfId="16"/>
    <cellStyle name="Comma [0] 8" xfId="17"/>
    <cellStyle name="Comma [0] 9" xfId="18"/>
    <cellStyle name="Comma 10" xfId="19"/>
    <cellStyle name="Comma 10 2" xfId="20"/>
    <cellStyle name="Comma 10 3" xfId="21"/>
    <cellStyle name="Comma 104" xfId="22"/>
    <cellStyle name="Comma 11" xfId="23"/>
    <cellStyle name="Comma 11 2" xfId="24"/>
    <cellStyle name="Comma 11 3" xfId="25"/>
    <cellStyle name="Comma 11 4" xfId="26"/>
    <cellStyle name="Comma 12" xfId="27"/>
    <cellStyle name="Comma 12 2" xfId="28"/>
    <cellStyle name="Comma 12 3" xfId="29"/>
    <cellStyle name="Comma 13" xfId="30"/>
    <cellStyle name="Comma 13 2" xfId="31"/>
    <cellStyle name="Comma 13 3" xfId="32"/>
    <cellStyle name="Comma 14" xfId="33"/>
    <cellStyle name="Comma 14 2" xfId="34"/>
    <cellStyle name="Comma 14 3" xfId="35"/>
    <cellStyle name="Comma 15" xfId="36"/>
    <cellStyle name="Comma 16" xfId="37"/>
    <cellStyle name="Comma 17" xfId="38"/>
    <cellStyle name="Comma 18" xfId="39"/>
    <cellStyle name="Comma 19" xfId="40"/>
    <cellStyle name="Comma 2" xfId="41"/>
    <cellStyle name="Comma 2 10" xfId="42"/>
    <cellStyle name="Comma 2 2" xfId="43"/>
    <cellStyle name="Comma 2 3" xfId="44"/>
    <cellStyle name="Comma 2 4" xfId="45"/>
    <cellStyle name="Comma 20" xfId="46"/>
    <cellStyle name="Comma 20 2" xfId="47"/>
    <cellStyle name="Comma 21" xfId="48"/>
    <cellStyle name="Comma 21 2" xfId="49"/>
    <cellStyle name="Comma 22" xfId="50"/>
    <cellStyle name="Comma 23" xfId="51"/>
    <cellStyle name="Comma 24" xfId="52"/>
    <cellStyle name="Comma 24 2" xfId="53"/>
    <cellStyle name="Comma 24 2 2" xfId="54"/>
    <cellStyle name="Comma 24 2 3" xfId="55"/>
    <cellStyle name="Comma 24 4" xfId="56"/>
    <cellStyle name="Comma 24 6" xfId="57"/>
    <cellStyle name="Comma 25" xfId="58"/>
    <cellStyle name="Comma 26" xfId="59"/>
    <cellStyle name="Comma 27" xfId="60"/>
    <cellStyle name="Comma 27 2" xfId="61"/>
    <cellStyle name="Comma 28" xfId="62"/>
    <cellStyle name="Comma 29" xfId="63"/>
    <cellStyle name="Comma 294" xfId="64"/>
    <cellStyle name="Comma 3" xfId="65"/>
    <cellStyle name="Comma 3 2" xfId="66"/>
    <cellStyle name="Comma 3 2 2" xfId="67"/>
    <cellStyle name="Comma 3 2 3" xfId="68"/>
    <cellStyle name="Comma 3 3" xfId="69"/>
    <cellStyle name="Comma 3 4" xfId="70"/>
    <cellStyle name="Comma 30" xfId="71"/>
    <cellStyle name="Comma 30 2" xfId="72"/>
    <cellStyle name="Comma 31" xfId="73"/>
    <cellStyle name="Comma 32" xfId="74"/>
    <cellStyle name="Comma 33" xfId="75"/>
    <cellStyle name="Comma 34" xfId="76"/>
    <cellStyle name="Comma 34 2" xfId="77"/>
    <cellStyle name="Comma 35" xfId="78"/>
    <cellStyle name="Comma 36" xfId="79"/>
    <cellStyle name="Comma 37" xfId="80"/>
    <cellStyle name="Comma 38" xfId="81"/>
    <cellStyle name="Comma 39" xfId="82"/>
    <cellStyle name="Comma 4" xfId="83"/>
    <cellStyle name="Comma 4 2" xfId="84"/>
    <cellStyle name="Comma 4 3" xfId="85"/>
    <cellStyle name="Comma 4 4" xfId="86"/>
    <cellStyle name="Comma 40" xfId="87"/>
    <cellStyle name="Comma 41" xfId="88"/>
    <cellStyle name="Comma 42" xfId="89"/>
    <cellStyle name="Comma 43" xfId="90"/>
    <cellStyle name="Comma 44" xfId="91"/>
    <cellStyle name="Comma 45" xfId="92"/>
    <cellStyle name="Comma 46" xfId="93"/>
    <cellStyle name="Comma 47" xfId="94"/>
    <cellStyle name="Comma 5" xfId="95"/>
    <cellStyle name="Comma 5 2" xfId="96"/>
    <cellStyle name="Comma 5 3" xfId="97"/>
    <cellStyle name="Comma 5 4" xfId="98"/>
    <cellStyle name="Comma 6" xfId="99"/>
    <cellStyle name="Comma 6 2" xfId="100"/>
    <cellStyle name="Comma 6 3" xfId="101"/>
    <cellStyle name="Comma 7" xfId="102"/>
    <cellStyle name="Comma 7 2" xfId="103"/>
    <cellStyle name="Comma 7 3" xfId="104"/>
    <cellStyle name="Comma 78 6" xfId="105"/>
    <cellStyle name="Comma 8" xfId="106"/>
    <cellStyle name="Comma 8 2" xfId="107"/>
    <cellStyle name="Comma 8 3" xfId="108"/>
    <cellStyle name="Comma 9" xfId="109"/>
    <cellStyle name="Comma 9 2" xfId="110"/>
    <cellStyle name="Comma 9 3" xfId="111"/>
    <cellStyle name="Hyperlink 2" xfId="112"/>
    <cellStyle name="Hyperlink 3" xfId="113"/>
    <cellStyle name="Hyperlink 4" xfId="114"/>
    <cellStyle name="Normal" xfId="0" builtinId="0"/>
    <cellStyle name="Normal 10" xfId="115"/>
    <cellStyle name="Normal 11" xfId="116"/>
    <cellStyle name="Normal 12" xfId="117"/>
    <cellStyle name="Normal 13" xfId="118"/>
    <cellStyle name="Normal 14" xfId="119"/>
    <cellStyle name="Normal 15" xfId="120"/>
    <cellStyle name="Normal 16" xfId="121"/>
    <cellStyle name="Normal 17" xfId="122"/>
    <cellStyle name="Normal 18" xfId="123"/>
    <cellStyle name="Normal 19" xfId="124"/>
    <cellStyle name="Normal 2" xfId="125"/>
    <cellStyle name="Normal 2 2" xfId="126"/>
    <cellStyle name="Normal 2 2 2" xfId="127"/>
    <cellStyle name="Normal 2 2 3" xfId="128"/>
    <cellStyle name="Normal 2 3" xfId="129"/>
    <cellStyle name="Normal 20" xfId="130"/>
    <cellStyle name="Normal 21" xfId="131"/>
    <cellStyle name="Normal 22" xfId="132"/>
    <cellStyle name="Normal 23" xfId="133"/>
    <cellStyle name="Normal 24" xfId="134"/>
    <cellStyle name="Normal 25" xfId="135"/>
    <cellStyle name="Normal 3" xfId="136"/>
    <cellStyle name="Normal 3 2" xfId="137"/>
    <cellStyle name="Normal 3 3" xfId="138"/>
    <cellStyle name="Normal 3 4" xfId="139"/>
    <cellStyle name="Normal 4" xfId="140"/>
    <cellStyle name="Normal 4 2" xfId="141"/>
    <cellStyle name="Normal 4 3" xfId="142"/>
    <cellStyle name="Normal 5" xfId="143"/>
    <cellStyle name="Normal 6" xfId="144"/>
    <cellStyle name="Normal 7" xfId="145"/>
    <cellStyle name="Normal 8" xfId="146"/>
    <cellStyle name="Normal 9" xfId="147"/>
    <cellStyle name="Percent" xfId="1202" builtinId="5"/>
    <cellStyle name="Percent 2" xfId="148"/>
    <cellStyle name="Percent 3" xfId="149"/>
    <cellStyle name="S0" xfId="150"/>
    <cellStyle name="S0 10" xfId="151"/>
    <cellStyle name="S0 100" xfId="152"/>
    <cellStyle name="S0 101" xfId="153"/>
    <cellStyle name="S0 102" xfId="154"/>
    <cellStyle name="S0 103" xfId="155"/>
    <cellStyle name="S0 104" xfId="156"/>
    <cellStyle name="S0 105" xfId="157"/>
    <cellStyle name="S0 106" xfId="158"/>
    <cellStyle name="S0 107" xfId="159"/>
    <cellStyle name="S0 108" xfId="160"/>
    <cellStyle name="S0 109" xfId="161"/>
    <cellStyle name="S0 11" xfId="162"/>
    <cellStyle name="S0 110" xfId="163"/>
    <cellStyle name="S0 111" xfId="164"/>
    <cellStyle name="S0 112" xfId="165"/>
    <cellStyle name="S0 113" xfId="166"/>
    <cellStyle name="S0 114" xfId="167"/>
    <cellStyle name="S0 115" xfId="168"/>
    <cellStyle name="S0 116" xfId="169"/>
    <cellStyle name="S0 117" xfId="170"/>
    <cellStyle name="S0 118" xfId="171"/>
    <cellStyle name="S0 119" xfId="172"/>
    <cellStyle name="S0 12" xfId="173"/>
    <cellStyle name="S0 120" xfId="174"/>
    <cellStyle name="S0 121" xfId="175"/>
    <cellStyle name="S0 122" xfId="176"/>
    <cellStyle name="S0 123" xfId="177"/>
    <cellStyle name="S0 124" xfId="178"/>
    <cellStyle name="S0 125" xfId="179"/>
    <cellStyle name="S0 126" xfId="180"/>
    <cellStyle name="S0 127" xfId="181"/>
    <cellStyle name="S0 128" xfId="182"/>
    <cellStyle name="S0 129" xfId="183"/>
    <cellStyle name="S0 13" xfId="184"/>
    <cellStyle name="S0 130" xfId="185"/>
    <cellStyle name="S0 131" xfId="186"/>
    <cellStyle name="S0 132" xfId="187"/>
    <cellStyle name="S0 133" xfId="188"/>
    <cellStyle name="S0 134" xfId="189"/>
    <cellStyle name="S0 135" xfId="190"/>
    <cellStyle name="S0 136" xfId="191"/>
    <cellStyle name="S0 137" xfId="192"/>
    <cellStyle name="S0 138" xfId="193"/>
    <cellStyle name="S0 139" xfId="194"/>
    <cellStyle name="S0 14" xfId="195"/>
    <cellStyle name="S0 140" xfId="196"/>
    <cellStyle name="S0 141" xfId="197"/>
    <cellStyle name="S0 142" xfId="198"/>
    <cellStyle name="S0 143" xfId="199"/>
    <cellStyle name="S0 144" xfId="200"/>
    <cellStyle name="S0 145" xfId="201"/>
    <cellStyle name="S0 146" xfId="202"/>
    <cellStyle name="S0 147" xfId="203"/>
    <cellStyle name="S0 148" xfId="204"/>
    <cellStyle name="S0 149" xfId="205"/>
    <cellStyle name="S0 15" xfId="206"/>
    <cellStyle name="S0 150" xfId="207"/>
    <cellStyle name="S0 151" xfId="208"/>
    <cellStyle name="S0 152" xfId="209"/>
    <cellStyle name="S0 153" xfId="210"/>
    <cellStyle name="S0 154" xfId="211"/>
    <cellStyle name="S0 155" xfId="212"/>
    <cellStyle name="S0 156" xfId="213"/>
    <cellStyle name="S0 157" xfId="214"/>
    <cellStyle name="S0 158" xfId="215"/>
    <cellStyle name="S0 159" xfId="216"/>
    <cellStyle name="S0 16" xfId="217"/>
    <cellStyle name="S0 160" xfId="218"/>
    <cellStyle name="S0 161" xfId="219"/>
    <cellStyle name="S0 162" xfId="220"/>
    <cellStyle name="S0 163" xfId="221"/>
    <cellStyle name="S0 164" xfId="222"/>
    <cellStyle name="S0 165" xfId="223"/>
    <cellStyle name="S0 166" xfId="224"/>
    <cellStyle name="S0 167" xfId="225"/>
    <cellStyle name="S0 168" xfId="226"/>
    <cellStyle name="S0 169" xfId="227"/>
    <cellStyle name="S0 17" xfId="228"/>
    <cellStyle name="S0 170" xfId="229"/>
    <cellStyle name="S0 171" xfId="230"/>
    <cellStyle name="S0 172" xfId="231"/>
    <cellStyle name="S0 173" xfId="232"/>
    <cellStyle name="S0 174" xfId="233"/>
    <cellStyle name="S0 175" xfId="234"/>
    <cellStyle name="S0 176" xfId="235"/>
    <cellStyle name="S0 177" xfId="236"/>
    <cellStyle name="S0 178" xfId="237"/>
    <cellStyle name="S0 179" xfId="238"/>
    <cellStyle name="S0 18" xfId="239"/>
    <cellStyle name="S0 180" xfId="240"/>
    <cellStyle name="S0 181" xfId="241"/>
    <cellStyle name="S0 182" xfId="242"/>
    <cellStyle name="S0 183" xfId="243"/>
    <cellStyle name="S0 184" xfId="244"/>
    <cellStyle name="S0 185" xfId="245"/>
    <cellStyle name="S0 186" xfId="246"/>
    <cellStyle name="S0 187" xfId="247"/>
    <cellStyle name="S0 188" xfId="248"/>
    <cellStyle name="S0 189" xfId="249"/>
    <cellStyle name="S0 19" xfId="250"/>
    <cellStyle name="S0 190" xfId="251"/>
    <cellStyle name="S0 191" xfId="252"/>
    <cellStyle name="S0 192" xfId="253"/>
    <cellStyle name="S0 193" xfId="254"/>
    <cellStyle name="S0 194" xfId="255"/>
    <cellStyle name="S0 195" xfId="256"/>
    <cellStyle name="S0 196" xfId="257"/>
    <cellStyle name="S0 197" xfId="258"/>
    <cellStyle name="S0 198" xfId="259"/>
    <cellStyle name="S0 199" xfId="260"/>
    <cellStyle name="S0 2" xfId="261"/>
    <cellStyle name="S0 20" xfId="262"/>
    <cellStyle name="S0 200" xfId="263"/>
    <cellStyle name="S0 201" xfId="264"/>
    <cellStyle name="S0 202" xfId="265"/>
    <cellStyle name="S0 203" xfId="266"/>
    <cellStyle name="S0 204" xfId="267"/>
    <cellStyle name="S0 205" xfId="268"/>
    <cellStyle name="S0 206" xfId="269"/>
    <cellStyle name="S0 207" xfId="270"/>
    <cellStyle name="S0 208" xfId="271"/>
    <cellStyle name="S0 209" xfId="272"/>
    <cellStyle name="S0 21" xfId="273"/>
    <cellStyle name="S0 210" xfId="274"/>
    <cellStyle name="S0 211" xfId="275"/>
    <cellStyle name="S0 212" xfId="276"/>
    <cellStyle name="S0 213" xfId="277"/>
    <cellStyle name="S0 214" xfId="278"/>
    <cellStyle name="S0 215" xfId="279"/>
    <cellStyle name="S0 216" xfId="280"/>
    <cellStyle name="S0 217" xfId="281"/>
    <cellStyle name="S0 218" xfId="282"/>
    <cellStyle name="S0 219" xfId="283"/>
    <cellStyle name="S0 22" xfId="284"/>
    <cellStyle name="S0 220" xfId="285"/>
    <cellStyle name="S0 221" xfId="286"/>
    <cellStyle name="S0 222" xfId="287"/>
    <cellStyle name="S0 223" xfId="288"/>
    <cellStyle name="S0 224" xfId="289"/>
    <cellStyle name="S0 225" xfId="290"/>
    <cellStyle name="S0 226" xfId="291"/>
    <cellStyle name="S0 227" xfId="292"/>
    <cellStyle name="S0 228" xfId="293"/>
    <cellStyle name="S0 229" xfId="294"/>
    <cellStyle name="S0 23" xfId="295"/>
    <cellStyle name="S0 230" xfId="296"/>
    <cellStyle name="S0 231" xfId="297"/>
    <cellStyle name="S0 232" xfId="298"/>
    <cellStyle name="S0 233" xfId="299"/>
    <cellStyle name="S0 234" xfId="300"/>
    <cellStyle name="S0 235" xfId="301"/>
    <cellStyle name="S0 236" xfId="302"/>
    <cellStyle name="S0 237" xfId="303"/>
    <cellStyle name="S0 238" xfId="304"/>
    <cellStyle name="S0 239" xfId="305"/>
    <cellStyle name="S0 24" xfId="306"/>
    <cellStyle name="S0 240" xfId="307"/>
    <cellStyle name="S0 241" xfId="308"/>
    <cellStyle name="S0 242" xfId="309"/>
    <cellStyle name="S0 243" xfId="310"/>
    <cellStyle name="S0 244" xfId="311"/>
    <cellStyle name="S0 245" xfId="312"/>
    <cellStyle name="S0 246" xfId="313"/>
    <cellStyle name="S0 247" xfId="314"/>
    <cellStyle name="S0 248" xfId="315"/>
    <cellStyle name="S0 249" xfId="316"/>
    <cellStyle name="S0 25" xfId="317"/>
    <cellStyle name="S0 250" xfId="318"/>
    <cellStyle name="S0 251" xfId="319"/>
    <cellStyle name="S0 252" xfId="320"/>
    <cellStyle name="S0 253" xfId="321"/>
    <cellStyle name="S0 254" xfId="322"/>
    <cellStyle name="S0 255" xfId="323"/>
    <cellStyle name="S0 256" xfId="324"/>
    <cellStyle name="S0 257" xfId="325"/>
    <cellStyle name="S0 258" xfId="326"/>
    <cellStyle name="S0 259" xfId="327"/>
    <cellStyle name="S0 26" xfId="328"/>
    <cellStyle name="S0 260" xfId="329"/>
    <cellStyle name="S0 261" xfId="330"/>
    <cellStyle name="S0 262" xfId="331"/>
    <cellStyle name="S0 263" xfId="332"/>
    <cellStyle name="S0 264" xfId="333"/>
    <cellStyle name="S0 265" xfId="334"/>
    <cellStyle name="S0 266" xfId="335"/>
    <cellStyle name="S0 266 2" xfId="336"/>
    <cellStyle name="S0 267" xfId="337"/>
    <cellStyle name="S0 268" xfId="338"/>
    <cellStyle name="S0 27" xfId="339"/>
    <cellStyle name="S0 28" xfId="340"/>
    <cellStyle name="S0 29" xfId="341"/>
    <cellStyle name="S0 3" xfId="342"/>
    <cellStyle name="S0 30" xfId="343"/>
    <cellStyle name="S0 31" xfId="344"/>
    <cellStyle name="S0 32" xfId="345"/>
    <cellStyle name="S0 33" xfId="346"/>
    <cellStyle name="S0 34" xfId="347"/>
    <cellStyle name="S0 35" xfId="348"/>
    <cellStyle name="S0 36" xfId="349"/>
    <cellStyle name="S0 37" xfId="350"/>
    <cellStyle name="S0 38" xfId="351"/>
    <cellStyle name="S0 39" xfId="352"/>
    <cellStyle name="S0 4" xfId="353"/>
    <cellStyle name="S0 40" xfId="354"/>
    <cellStyle name="S0 41" xfId="355"/>
    <cellStyle name="S0 42" xfId="356"/>
    <cellStyle name="S0 43" xfId="357"/>
    <cellStyle name="S0 44" xfId="358"/>
    <cellStyle name="S0 45" xfId="359"/>
    <cellStyle name="S0 46" xfId="360"/>
    <cellStyle name="S0 47" xfId="361"/>
    <cellStyle name="S0 48" xfId="362"/>
    <cellStyle name="S0 49" xfId="363"/>
    <cellStyle name="S0 5" xfId="364"/>
    <cellStyle name="S0 50" xfId="365"/>
    <cellStyle name="S0 51" xfId="366"/>
    <cellStyle name="S0 52" xfId="367"/>
    <cellStyle name="S0 53" xfId="368"/>
    <cellStyle name="S0 54" xfId="369"/>
    <cellStyle name="S0 55" xfId="370"/>
    <cellStyle name="S0 56" xfId="371"/>
    <cellStyle name="S0 57" xfId="372"/>
    <cellStyle name="S0 58" xfId="373"/>
    <cellStyle name="S0 59" xfId="374"/>
    <cellStyle name="S0 6" xfId="375"/>
    <cellStyle name="S0 60" xfId="376"/>
    <cellStyle name="S0 61" xfId="377"/>
    <cellStyle name="S0 62" xfId="378"/>
    <cellStyle name="S0 63" xfId="379"/>
    <cellStyle name="S0 64" xfId="380"/>
    <cellStyle name="S0 65" xfId="381"/>
    <cellStyle name="S0 66" xfId="382"/>
    <cellStyle name="S0 67" xfId="383"/>
    <cellStyle name="S0 68" xfId="384"/>
    <cellStyle name="S0 69" xfId="385"/>
    <cellStyle name="S0 7" xfId="386"/>
    <cellStyle name="S0 70" xfId="387"/>
    <cellStyle name="S0 71" xfId="388"/>
    <cellStyle name="S0 72" xfId="389"/>
    <cellStyle name="S0 73" xfId="390"/>
    <cellStyle name="S0 74" xfId="391"/>
    <cellStyle name="S0 75" xfId="392"/>
    <cellStyle name="S0 76" xfId="393"/>
    <cellStyle name="S0 77" xfId="394"/>
    <cellStyle name="S0 78" xfId="395"/>
    <cellStyle name="S0 79" xfId="396"/>
    <cellStyle name="S0 8" xfId="397"/>
    <cellStyle name="S0 80" xfId="398"/>
    <cellStyle name="S0 81" xfId="399"/>
    <cellStyle name="S0 82" xfId="400"/>
    <cellStyle name="S0 83" xfId="401"/>
    <cellStyle name="S0 84" xfId="402"/>
    <cellStyle name="S0 85" xfId="403"/>
    <cellStyle name="S0 86" xfId="404"/>
    <cellStyle name="S0 87" xfId="405"/>
    <cellStyle name="S0 88" xfId="406"/>
    <cellStyle name="S0 89" xfId="407"/>
    <cellStyle name="S0 9" xfId="408"/>
    <cellStyle name="S0 90" xfId="409"/>
    <cellStyle name="S0 91" xfId="410"/>
    <cellStyle name="S0 92" xfId="411"/>
    <cellStyle name="S0 93" xfId="412"/>
    <cellStyle name="S0 94" xfId="413"/>
    <cellStyle name="S0 95" xfId="414"/>
    <cellStyle name="S0 96" xfId="415"/>
    <cellStyle name="S0 97" xfId="416"/>
    <cellStyle name="S0 98" xfId="417"/>
    <cellStyle name="S0 99" xfId="418"/>
    <cellStyle name="S0_Pembelian" xfId="419"/>
    <cellStyle name="S1" xfId="420"/>
    <cellStyle name="S1 10" xfId="421"/>
    <cellStyle name="S1 100" xfId="422"/>
    <cellStyle name="S1 101" xfId="423"/>
    <cellStyle name="S1 102" xfId="424"/>
    <cellStyle name="S1 103" xfId="425"/>
    <cellStyle name="S1 104" xfId="426"/>
    <cellStyle name="S1 105" xfId="427"/>
    <cellStyle name="S1 106" xfId="428"/>
    <cellStyle name="S1 107" xfId="429"/>
    <cellStyle name="S1 108" xfId="430"/>
    <cellStyle name="S1 109" xfId="431"/>
    <cellStyle name="S1 11" xfId="432"/>
    <cellStyle name="S1 110" xfId="433"/>
    <cellStyle name="S1 111" xfId="434"/>
    <cellStyle name="S1 112" xfId="435"/>
    <cellStyle name="S1 113" xfId="436"/>
    <cellStyle name="S1 114" xfId="437"/>
    <cellStyle name="S1 115" xfId="438"/>
    <cellStyle name="S1 116" xfId="439"/>
    <cellStyle name="S1 117" xfId="440"/>
    <cellStyle name="S1 118" xfId="441"/>
    <cellStyle name="S1 119" xfId="442"/>
    <cellStyle name="S1 12" xfId="443"/>
    <cellStyle name="S1 120" xfId="444"/>
    <cellStyle name="S1 121" xfId="445"/>
    <cellStyle name="S1 122" xfId="446"/>
    <cellStyle name="S1 123" xfId="447"/>
    <cellStyle name="S1 124" xfId="448"/>
    <cellStyle name="S1 125" xfId="449"/>
    <cellStyle name="S1 126" xfId="450"/>
    <cellStyle name="S1 127" xfId="451"/>
    <cellStyle name="S1 128" xfId="452"/>
    <cellStyle name="S1 129" xfId="453"/>
    <cellStyle name="S1 13" xfId="454"/>
    <cellStyle name="S1 130" xfId="455"/>
    <cellStyle name="S1 131" xfId="456"/>
    <cellStyle name="S1 132" xfId="457"/>
    <cellStyle name="S1 133" xfId="458"/>
    <cellStyle name="S1 134" xfId="459"/>
    <cellStyle name="S1 135" xfId="460"/>
    <cellStyle name="S1 136" xfId="461"/>
    <cellStyle name="S1 137" xfId="462"/>
    <cellStyle name="S1 138" xfId="463"/>
    <cellStyle name="S1 139" xfId="464"/>
    <cellStyle name="S1 14" xfId="465"/>
    <cellStyle name="S1 140" xfId="466"/>
    <cellStyle name="S1 141" xfId="467"/>
    <cellStyle name="S1 142" xfId="468"/>
    <cellStyle name="S1 143" xfId="469"/>
    <cellStyle name="S1 144" xfId="470"/>
    <cellStyle name="S1 145" xfId="471"/>
    <cellStyle name="S1 146" xfId="472"/>
    <cellStyle name="S1 147" xfId="473"/>
    <cellStyle name="S1 148" xfId="474"/>
    <cellStyle name="S1 149" xfId="475"/>
    <cellStyle name="S1 15" xfId="476"/>
    <cellStyle name="S1 150" xfId="477"/>
    <cellStyle name="S1 151" xfId="478"/>
    <cellStyle name="S1 152" xfId="479"/>
    <cellStyle name="S1 153" xfId="480"/>
    <cellStyle name="S1 154" xfId="481"/>
    <cellStyle name="S1 155" xfId="482"/>
    <cellStyle name="S1 156" xfId="483"/>
    <cellStyle name="S1 157" xfId="484"/>
    <cellStyle name="S1 158" xfId="485"/>
    <cellStyle name="S1 159" xfId="486"/>
    <cellStyle name="S1 16" xfId="487"/>
    <cellStyle name="S1 160" xfId="488"/>
    <cellStyle name="S1 161" xfId="489"/>
    <cellStyle name="S1 162" xfId="490"/>
    <cellStyle name="S1 163" xfId="491"/>
    <cellStyle name="S1 164" xfId="492"/>
    <cellStyle name="S1 165" xfId="493"/>
    <cellStyle name="S1 166" xfId="494"/>
    <cellStyle name="S1 167" xfId="495"/>
    <cellStyle name="S1 168" xfId="496"/>
    <cellStyle name="S1 169" xfId="497"/>
    <cellStyle name="S1 17" xfId="498"/>
    <cellStyle name="S1 170" xfId="499"/>
    <cellStyle name="S1 171" xfId="500"/>
    <cellStyle name="S1 172" xfId="501"/>
    <cellStyle name="S1 173" xfId="502"/>
    <cellStyle name="S1 174" xfId="503"/>
    <cellStyle name="S1 175" xfId="504"/>
    <cellStyle name="S1 176" xfId="505"/>
    <cellStyle name="S1 177" xfId="506"/>
    <cellStyle name="S1 178" xfId="507"/>
    <cellStyle name="S1 179" xfId="508"/>
    <cellStyle name="S1 18" xfId="509"/>
    <cellStyle name="S1 180" xfId="510"/>
    <cellStyle name="S1 181" xfId="511"/>
    <cellStyle name="S1 182" xfId="512"/>
    <cellStyle name="S1 183" xfId="513"/>
    <cellStyle name="S1 184" xfId="514"/>
    <cellStyle name="S1 185" xfId="515"/>
    <cellStyle name="S1 186" xfId="516"/>
    <cellStyle name="S1 187" xfId="517"/>
    <cellStyle name="S1 188" xfId="518"/>
    <cellStyle name="S1 189" xfId="519"/>
    <cellStyle name="S1 19" xfId="520"/>
    <cellStyle name="S1 190" xfId="521"/>
    <cellStyle name="S1 191" xfId="522"/>
    <cellStyle name="S1 192" xfId="523"/>
    <cellStyle name="S1 193" xfId="524"/>
    <cellStyle name="S1 194" xfId="525"/>
    <cellStyle name="S1 195" xfId="526"/>
    <cellStyle name="S1 196" xfId="527"/>
    <cellStyle name="S1 197" xfId="528"/>
    <cellStyle name="S1 198" xfId="529"/>
    <cellStyle name="S1 199" xfId="530"/>
    <cellStyle name="S1 2" xfId="531"/>
    <cellStyle name="S1 20" xfId="532"/>
    <cellStyle name="S1 200" xfId="533"/>
    <cellStyle name="S1 201" xfId="534"/>
    <cellStyle name="S1 202" xfId="535"/>
    <cellStyle name="S1 203" xfId="536"/>
    <cellStyle name="S1 204" xfId="537"/>
    <cellStyle name="S1 205" xfId="538"/>
    <cellStyle name="S1 206" xfId="539"/>
    <cellStyle name="S1 207" xfId="540"/>
    <cellStyle name="S1 208" xfId="541"/>
    <cellStyle name="S1 209" xfId="542"/>
    <cellStyle name="S1 21" xfId="543"/>
    <cellStyle name="S1 210" xfId="544"/>
    <cellStyle name="S1 211" xfId="545"/>
    <cellStyle name="S1 212" xfId="546"/>
    <cellStyle name="S1 213" xfId="547"/>
    <cellStyle name="S1 214" xfId="548"/>
    <cellStyle name="S1 215" xfId="549"/>
    <cellStyle name="S1 216" xfId="550"/>
    <cellStyle name="S1 217" xfId="551"/>
    <cellStyle name="S1 218" xfId="552"/>
    <cellStyle name="S1 219" xfId="553"/>
    <cellStyle name="S1 22" xfId="554"/>
    <cellStyle name="S1 220" xfId="555"/>
    <cellStyle name="S1 221" xfId="556"/>
    <cellStyle name="S1 222" xfId="557"/>
    <cellStyle name="S1 223" xfId="558"/>
    <cellStyle name="S1 224" xfId="559"/>
    <cellStyle name="S1 225" xfId="560"/>
    <cellStyle name="S1 226" xfId="561"/>
    <cellStyle name="S1 227" xfId="562"/>
    <cellStyle name="S1 228" xfId="563"/>
    <cellStyle name="S1 229" xfId="564"/>
    <cellStyle name="S1 23" xfId="565"/>
    <cellStyle name="S1 230" xfId="566"/>
    <cellStyle name="S1 231" xfId="567"/>
    <cellStyle name="S1 232" xfId="568"/>
    <cellStyle name="S1 233" xfId="569"/>
    <cellStyle name="S1 234" xfId="570"/>
    <cellStyle name="S1 235" xfId="571"/>
    <cellStyle name="S1 236" xfId="572"/>
    <cellStyle name="S1 237" xfId="573"/>
    <cellStyle name="S1 238" xfId="574"/>
    <cellStyle name="S1 239" xfId="575"/>
    <cellStyle name="S1 24" xfId="576"/>
    <cellStyle name="S1 240" xfId="577"/>
    <cellStyle name="S1 241" xfId="578"/>
    <cellStyle name="S1 242" xfId="579"/>
    <cellStyle name="S1 243" xfId="580"/>
    <cellStyle name="S1 244" xfId="581"/>
    <cellStyle name="S1 245" xfId="582"/>
    <cellStyle name="S1 246" xfId="583"/>
    <cellStyle name="S1 247" xfId="584"/>
    <cellStyle name="S1 248" xfId="585"/>
    <cellStyle name="S1 249" xfId="586"/>
    <cellStyle name="S1 25" xfId="587"/>
    <cellStyle name="S1 250" xfId="588"/>
    <cellStyle name="S1 251" xfId="589"/>
    <cellStyle name="S1 252" xfId="590"/>
    <cellStyle name="S1 253" xfId="591"/>
    <cellStyle name="S1 254" xfId="592"/>
    <cellStyle name="S1 255" xfId="593"/>
    <cellStyle name="S1 256" xfId="594"/>
    <cellStyle name="S1 257" xfId="595"/>
    <cellStyle name="S1 258" xfId="596"/>
    <cellStyle name="S1 259" xfId="597"/>
    <cellStyle name="S1 26" xfId="598"/>
    <cellStyle name="S1 260" xfId="599"/>
    <cellStyle name="S1 261" xfId="600"/>
    <cellStyle name="S1 262" xfId="601"/>
    <cellStyle name="S1 263" xfId="602"/>
    <cellStyle name="S1 264" xfId="603"/>
    <cellStyle name="S1 265" xfId="604"/>
    <cellStyle name="S1 265 2" xfId="605"/>
    <cellStyle name="S1 266" xfId="606"/>
    <cellStyle name="S1 267" xfId="607"/>
    <cellStyle name="S1 27" xfId="608"/>
    <cellStyle name="S1 28" xfId="609"/>
    <cellStyle name="S1 29" xfId="610"/>
    <cellStyle name="S1 3" xfId="611"/>
    <cellStyle name="S1 30" xfId="612"/>
    <cellStyle name="S1 31" xfId="613"/>
    <cellStyle name="S1 32" xfId="614"/>
    <cellStyle name="S1 33" xfId="615"/>
    <cellStyle name="S1 34" xfId="616"/>
    <cellStyle name="S1 35" xfId="617"/>
    <cellStyle name="S1 36" xfId="618"/>
    <cellStyle name="S1 37" xfId="619"/>
    <cellStyle name="S1 38" xfId="620"/>
    <cellStyle name="S1 39" xfId="621"/>
    <cellStyle name="S1 4" xfId="622"/>
    <cellStyle name="S1 40" xfId="623"/>
    <cellStyle name="S1 41" xfId="624"/>
    <cellStyle name="S1 42" xfId="625"/>
    <cellStyle name="S1 43" xfId="626"/>
    <cellStyle name="S1 44" xfId="627"/>
    <cellStyle name="S1 45" xfId="628"/>
    <cellStyle name="S1 46" xfId="629"/>
    <cellStyle name="S1 47" xfId="630"/>
    <cellStyle name="S1 48" xfId="631"/>
    <cellStyle name="S1 49" xfId="632"/>
    <cellStyle name="S1 5" xfId="633"/>
    <cellStyle name="S1 50" xfId="634"/>
    <cellStyle name="S1 51" xfId="635"/>
    <cellStyle name="S1 52" xfId="636"/>
    <cellStyle name="S1 53" xfId="637"/>
    <cellStyle name="S1 54" xfId="638"/>
    <cellStyle name="S1 55" xfId="639"/>
    <cellStyle name="S1 56" xfId="640"/>
    <cellStyle name="S1 57" xfId="641"/>
    <cellStyle name="S1 58" xfId="642"/>
    <cellStyle name="S1 59" xfId="643"/>
    <cellStyle name="S1 6" xfId="644"/>
    <cellStyle name="S1 60" xfId="645"/>
    <cellStyle name="S1 61" xfId="646"/>
    <cellStyle name="S1 62" xfId="647"/>
    <cellStyle name="S1 63" xfId="648"/>
    <cellStyle name="S1 64" xfId="649"/>
    <cellStyle name="S1 65" xfId="650"/>
    <cellStyle name="S1 66" xfId="651"/>
    <cellStyle name="S1 67" xfId="652"/>
    <cellStyle name="S1 68" xfId="653"/>
    <cellStyle name="S1 69" xfId="654"/>
    <cellStyle name="S1 7" xfId="655"/>
    <cellStyle name="S1 70" xfId="656"/>
    <cellStyle name="S1 71" xfId="657"/>
    <cellStyle name="S1 72" xfId="658"/>
    <cellStyle name="S1 73" xfId="659"/>
    <cellStyle name="S1 74" xfId="660"/>
    <cellStyle name="S1 75" xfId="661"/>
    <cellStyle name="S1 76" xfId="662"/>
    <cellStyle name="S1 77" xfId="663"/>
    <cellStyle name="S1 78" xfId="664"/>
    <cellStyle name="S1 79" xfId="665"/>
    <cellStyle name="S1 8" xfId="666"/>
    <cellStyle name="S1 80" xfId="667"/>
    <cellStyle name="S1 81" xfId="668"/>
    <cellStyle name="S1 82" xfId="669"/>
    <cellStyle name="S1 83" xfId="670"/>
    <cellStyle name="S1 84" xfId="671"/>
    <cellStyle name="S1 85" xfId="672"/>
    <cellStyle name="S1 86" xfId="673"/>
    <cellStyle name="S1 87" xfId="674"/>
    <cellStyle name="S1 88" xfId="675"/>
    <cellStyle name="S1 89" xfId="676"/>
    <cellStyle name="S1 9" xfId="677"/>
    <cellStyle name="S1 90" xfId="678"/>
    <cellStyle name="S1 91" xfId="679"/>
    <cellStyle name="S1 92" xfId="680"/>
    <cellStyle name="S1 93" xfId="681"/>
    <cellStyle name="S1 94" xfId="682"/>
    <cellStyle name="S1 95" xfId="683"/>
    <cellStyle name="S1 96" xfId="684"/>
    <cellStyle name="S1 97" xfId="685"/>
    <cellStyle name="S1 98" xfId="686"/>
    <cellStyle name="S1 99" xfId="687"/>
    <cellStyle name="S1_Pembelian" xfId="688"/>
    <cellStyle name="S10" xfId="689"/>
    <cellStyle name="S10 10" xfId="690"/>
    <cellStyle name="S10 11" xfId="691"/>
    <cellStyle name="S10 12" xfId="692"/>
    <cellStyle name="S10 13" xfId="693"/>
    <cellStyle name="S10 13 2" xfId="694"/>
    <cellStyle name="S10 14" xfId="695"/>
    <cellStyle name="S10 15" xfId="696"/>
    <cellStyle name="S10 16" xfId="697"/>
    <cellStyle name="S10 17" xfId="698"/>
    <cellStyle name="S10 18" xfId="699"/>
    <cellStyle name="S10 19" xfId="700"/>
    <cellStyle name="S10 2" xfId="701"/>
    <cellStyle name="S10 3" xfId="702"/>
    <cellStyle name="S10 3 2" xfId="703"/>
    <cellStyle name="S10 4" xfId="704"/>
    <cellStyle name="S10 5" xfId="705"/>
    <cellStyle name="S10 6" xfId="706"/>
    <cellStyle name="S10 7" xfId="707"/>
    <cellStyle name="S10 8" xfId="708"/>
    <cellStyle name="S10 9" xfId="709"/>
    <cellStyle name="S10_Pembelian" xfId="710"/>
    <cellStyle name="S11" xfId="711"/>
    <cellStyle name="S11 10" xfId="712"/>
    <cellStyle name="S11 10 2" xfId="713"/>
    <cellStyle name="S11 11" xfId="714"/>
    <cellStyle name="S11 12" xfId="715"/>
    <cellStyle name="S11 13" xfId="716"/>
    <cellStyle name="S11 14" xfId="717"/>
    <cellStyle name="S11 14 2" xfId="718"/>
    <cellStyle name="S11 15" xfId="719"/>
    <cellStyle name="S11 16" xfId="720"/>
    <cellStyle name="S11 2" xfId="721"/>
    <cellStyle name="S11 3" xfId="722"/>
    <cellStyle name="S11 3 2" xfId="723"/>
    <cellStyle name="S11 4" xfId="724"/>
    <cellStyle name="S11 5" xfId="725"/>
    <cellStyle name="S11 6" xfId="726"/>
    <cellStyle name="S11 7" xfId="727"/>
    <cellStyle name="S11 8" xfId="728"/>
    <cellStyle name="S11 9" xfId="729"/>
    <cellStyle name="S11_Pembelian" xfId="730"/>
    <cellStyle name="S12" xfId="731"/>
    <cellStyle name="S12 10" xfId="732"/>
    <cellStyle name="S12 11" xfId="733"/>
    <cellStyle name="S12 2" xfId="734"/>
    <cellStyle name="S12 3" xfId="735"/>
    <cellStyle name="S12 4" xfId="736"/>
    <cellStyle name="S12 5" xfId="737"/>
    <cellStyle name="S12 6" xfId="738"/>
    <cellStyle name="S12 6 2" xfId="739"/>
    <cellStyle name="S12 7" xfId="740"/>
    <cellStyle name="S12 8" xfId="741"/>
    <cellStyle name="S12 9" xfId="742"/>
    <cellStyle name="S12_Pembelian" xfId="743"/>
    <cellStyle name="S13" xfId="744"/>
    <cellStyle name="S13 10" xfId="745"/>
    <cellStyle name="S13 11" xfId="746"/>
    <cellStyle name="S13 12" xfId="747"/>
    <cellStyle name="S13 2" xfId="748"/>
    <cellStyle name="S13 3" xfId="749"/>
    <cellStyle name="S13 4" xfId="750"/>
    <cellStyle name="S13 4 2" xfId="751"/>
    <cellStyle name="S13 5" xfId="752"/>
    <cellStyle name="S13 6" xfId="753"/>
    <cellStyle name="S13 7" xfId="754"/>
    <cellStyle name="S13 7 2" xfId="755"/>
    <cellStyle name="S13 8" xfId="756"/>
    <cellStyle name="S13 9" xfId="757"/>
    <cellStyle name="S13_Pembelian" xfId="758"/>
    <cellStyle name="S14" xfId="759"/>
    <cellStyle name="S14 10" xfId="760"/>
    <cellStyle name="S14 2" xfId="761"/>
    <cellStyle name="S14 3" xfId="762"/>
    <cellStyle name="S14 3 2" xfId="763"/>
    <cellStyle name="S14 4" xfId="764"/>
    <cellStyle name="S14 5" xfId="765"/>
    <cellStyle name="S14 6" xfId="766"/>
    <cellStyle name="S14 7" xfId="767"/>
    <cellStyle name="S14 8" xfId="768"/>
    <cellStyle name="S14 9" xfId="769"/>
    <cellStyle name="S14_Pembelian" xfId="770"/>
    <cellStyle name="S15" xfId="771"/>
    <cellStyle name="S15 2" xfId="772"/>
    <cellStyle name="S15 3" xfId="773"/>
    <cellStyle name="S15 3 2" xfId="774"/>
    <cellStyle name="S15 4" xfId="775"/>
    <cellStyle name="S15 4 2" xfId="776"/>
    <cellStyle name="S15 5" xfId="777"/>
    <cellStyle name="S15 6" xfId="778"/>
    <cellStyle name="S15 7" xfId="779"/>
    <cellStyle name="S15_Pembelian" xfId="780"/>
    <cellStyle name="S16" xfId="781"/>
    <cellStyle name="S16 2" xfId="782"/>
    <cellStyle name="S16 3" xfId="783"/>
    <cellStyle name="S16 4" xfId="784"/>
    <cellStyle name="S16 5" xfId="785"/>
    <cellStyle name="S16 6" xfId="786"/>
    <cellStyle name="S16_Pembelian" xfId="787"/>
    <cellStyle name="S17" xfId="788"/>
    <cellStyle name="S17 2" xfId="789"/>
    <cellStyle name="S17 3" xfId="790"/>
    <cellStyle name="S17 4" xfId="791"/>
    <cellStyle name="S17_Pembelian" xfId="792"/>
    <cellStyle name="S18" xfId="793"/>
    <cellStyle name="S18 2" xfId="794"/>
    <cellStyle name="S18 3" xfId="795"/>
    <cellStyle name="S18 4" xfId="796"/>
    <cellStyle name="S18_Pembelian" xfId="797"/>
    <cellStyle name="S2" xfId="798"/>
    <cellStyle name="S2 10" xfId="799"/>
    <cellStyle name="S2 100" xfId="800"/>
    <cellStyle name="S2 101" xfId="801"/>
    <cellStyle name="S2 102" xfId="802"/>
    <cellStyle name="S2 103" xfId="803"/>
    <cellStyle name="S2 104" xfId="804"/>
    <cellStyle name="S2 105" xfId="805"/>
    <cellStyle name="S2 106" xfId="806"/>
    <cellStyle name="S2 107" xfId="807"/>
    <cellStyle name="S2 108" xfId="808"/>
    <cellStyle name="S2 109" xfId="809"/>
    <cellStyle name="S2 11" xfId="810"/>
    <cellStyle name="S2 110" xfId="811"/>
    <cellStyle name="S2 111" xfId="812"/>
    <cellStyle name="S2 112" xfId="813"/>
    <cellStyle name="S2 113" xfId="814"/>
    <cellStyle name="S2 114" xfId="815"/>
    <cellStyle name="S2 115" xfId="816"/>
    <cellStyle name="S2 116" xfId="817"/>
    <cellStyle name="S2 117" xfId="818"/>
    <cellStyle name="S2 118" xfId="819"/>
    <cellStyle name="S2 119" xfId="820"/>
    <cellStyle name="S2 12" xfId="821"/>
    <cellStyle name="S2 120" xfId="822"/>
    <cellStyle name="S2 121" xfId="823"/>
    <cellStyle name="S2 122" xfId="824"/>
    <cellStyle name="S2 123" xfId="825"/>
    <cellStyle name="S2 124" xfId="826"/>
    <cellStyle name="S2 125" xfId="827"/>
    <cellStyle name="S2 126" xfId="828"/>
    <cellStyle name="S2 127" xfId="829"/>
    <cellStyle name="S2 128" xfId="830"/>
    <cellStyle name="S2 129" xfId="831"/>
    <cellStyle name="S2 13" xfId="832"/>
    <cellStyle name="S2 130" xfId="833"/>
    <cellStyle name="S2 131" xfId="834"/>
    <cellStyle name="S2 132" xfId="835"/>
    <cellStyle name="S2 133" xfId="836"/>
    <cellStyle name="S2 134" xfId="837"/>
    <cellStyle name="S2 135" xfId="838"/>
    <cellStyle name="S2 136" xfId="839"/>
    <cellStyle name="S2 137" xfId="840"/>
    <cellStyle name="S2 138" xfId="841"/>
    <cellStyle name="S2 139" xfId="842"/>
    <cellStyle name="S2 14" xfId="843"/>
    <cellStyle name="S2 140" xfId="844"/>
    <cellStyle name="S2 141" xfId="845"/>
    <cellStyle name="S2 142" xfId="846"/>
    <cellStyle name="S2 143" xfId="847"/>
    <cellStyle name="S2 144" xfId="848"/>
    <cellStyle name="S2 145" xfId="849"/>
    <cellStyle name="S2 146" xfId="850"/>
    <cellStyle name="S2 147" xfId="851"/>
    <cellStyle name="S2 148" xfId="852"/>
    <cellStyle name="S2 149" xfId="853"/>
    <cellStyle name="S2 15" xfId="854"/>
    <cellStyle name="S2 150" xfId="855"/>
    <cellStyle name="S2 151" xfId="856"/>
    <cellStyle name="S2 152" xfId="857"/>
    <cellStyle name="S2 153" xfId="858"/>
    <cellStyle name="S2 154" xfId="859"/>
    <cellStyle name="S2 155" xfId="860"/>
    <cellStyle name="S2 156" xfId="861"/>
    <cellStyle name="S2 157" xfId="862"/>
    <cellStyle name="S2 158" xfId="863"/>
    <cellStyle name="S2 159" xfId="864"/>
    <cellStyle name="S2 16" xfId="865"/>
    <cellStyle name="S2 160" xfId="866"/>
    <cellStyle name="S2 161" xfId="867"/>
    <cellStyle name="S2 162" xfId="868"/>
    <cellStyle name="S2 163" xfId="869"/>
    <cellStyle name="S2 164" xfId="870"/>
    <cellStyle name="S2 165" xfId="871"/>
    <cellStyle name="S2 166" xfId="872"/>
    <cellStyle name="S2 167" xfId="873"/>
    <cellStyle name="S2 168" xfId="874"/>
    <cellStyle name="S2 169" xfId="875"/>
    <cellStyle name="S2 17" xfId="876"/>
    <cellStyle name="S2 170" xfId="877"/>
    <cellStyle name="S2 171" xfId="878"/>
    <cellStyle name="S2 172" xfId="879"/>
    <cellStyle name="S2 173" xfId="880"/>
    <cellStyle name="S2 174" xfId="881"/>
    <cellStyle name="S2 175" xfId="882"/>
    <cellStyle name="S2 176" xfId="883"/>
    <cellStyle name="S2 177" xfId="884"/>
    <cellStyle name="S2 178" xfId="885"/>
    <cellStyle name="S2 179" xfId="886"/>
    <cellStyle name="S2 18" xfId="887"/>
    <cellStyle name="S2 180" xfId="888"/>
    <cellStyle name="S2 181" xfId="889"/>
    <cellStyle name="S2 182" xfId="890"/>
    <cellStyle name="S2 183" xfId="891"/>
    <cellStyle name="S2 184" xfId="892"/>
    <cellStyle name="S2 185" xfId="893"/>
    <cellStyle name="S2 186" xfId="894"/>
    <cellStyle name="S2 187" xfId="895"/>
    <cellStyle name="S2 188" xfId="896"/>
    <cellStyle name="S2 189" xfId="897"/>
    <cellStyle name="S2 19" xfId="898"/>
    <cellStyle name="S2 190" xfId="899"/>
    <cellStyle name="S2 191" xfId="900"/>
    <cellStyle name="S2 192" xfId="901"/>
    <cellStyle name="S2 193" xfId="902"/>
    <cellStyle name="S2 194" xfId="903"/>
    <cellStyle name="S2 195" xfId="904"/>
    <cellStyle name="S2 196" xfId="905"/>
    <cellStyle name="S2 197" xfId="906"/>
    <cellStyle name="S2 198" xfId="907"/>
    <cellStyle name="S2 199" xfId="908"/>
    <cellStyle name="S2 2" xfId="909"/>
    <cellStyle name="S2 20" xfId="910"/>
    <cellStyle name="S2 200" xfId="911"/>
    <cellStyle name="S2 201" xfId="912"/>
    <cellStyle name="S2 202" xfId="913"/>
    <cellStyle name="S2 203" xfId="914"/>
    <cellStyle name="S2 204" xfId="915"/>
    <cellStyle name="S2 205" xfId="916"/>
    <cellStyle name="S2 206" xfId="917"/>
    <cellStyle name="S2 207" xfId="918"/>
    <cellStyle name="S2 208" xfId="919"/>
    <cellStyle name="S2 209" xfId="920"/>
    <cellStyle name="S2 21" xfId="921"/>
    <cellStyle name="S2 210" xfId="922"/>
    <cellStyle name="S2 211" xfId="923"/>
    <cellStyle name="S2 212" xfId="924"/>
    <cellStyle name="S2 213" xfId="925"/>
    <cellStyle name="S2 214" xfId="926"/>
    <cellStyle name="S2 215" xfId="927"/>
    <cellStyle name="S2 216" xfId="928"/>
    <cellStyle name="S2 217" xfId="929"/>
    <cellStyle name="S2 218" xfId="930"/>
    <cellStyle name="S2 219" xfId="931"/>
    <cellStyle name="S2 22" xfId="932"/>
    <cellStyle name="S2 220" xfId="933"/>
    <cellStyle name="S2 221" xfId="934"/>
    <cellStyle name="S2 222" xfId="935"/>
    <cellStyle name="S2 223" xfId="936"/>
    <cellStyle name="S2 224" xfId="937"/>
    <cellStyle name="S2 225" xfId="938"/>
    <cellStyle name="S2 226" xfId="939"/>
    <cellStyle name="S2 227" xfId="940"/>
    <cellStyle name="S2 228" xfId="941"/>
    <cellStyle name="S2 229" xfId="942"/>
    <cellStyle name="S2 23" xfId="943"/>
    <cellStyle name="S2 230" xfId="944"/>
    <cellStyle name="S2 231" xfId="945"/>
    <cellStyle name="S2 232" xfId="946"/>
    <cellStyle name="S2 233" xfId="947"/>
    <cellStyle name="S2 234" xfId="948"/>
    <cellStyle name="S2 235" xfId="949"/>
    <cellStyle name="S2 236" xfId="950"/>
    <cellStyle name="S2 237" xfId="951"/>
    <cellStyle name="S2 238" xfId="952"/>
    <cellStyle name="S2 239" xfId="953"/>
    <cellStyle name="S2 24" xfId="954"/>
    <cellStyle name="S2 240" xfId="955"/>
    <cellStyle name="S2 241" xfId="956"/>
    <cellStyle name="S2 242" xfId="957"/>
    <cellStyle name="S2 243" xfId="958"/>
    <cellStyle name="S2 244" xfId="959"/>
    <cellStyle name="S2 245" xfId="960"/>
    <cellStyle name="S2 246" xfId="961"/>
    <cellStyle name="S2 247" xfId="962"/>
    <cellStyle name="S2 248" xfId="963"/>
    <cellStyle name="S2 249" xfId="964"/>
    <cellStyle name="S2 25" xfId="965"/>
    <cellStyle name="S2 250" xfId="966"/>
    <cellStyle name="S2 251" xfId="967"/>
    <cellStyle name="S2 252" xfId="968"/>
    <cellStyle name="S2 253" xfId="969"/>
    <cellStyle name="S2 254" xfId="970"/>
    <cellStyle name="S2 255" xfId="971"/>
    <cellStyle name="S2 256" xfId="972"/>
    <cellStyle name="S2 257" xfId="973"/>
    <cellStyle name="S2 258" xfId="974"/>
    <cellStyle name="S2 259" xfId="975"/>
    <cellStyle name="S2 26" xfId="976"/>
    <cellStyle name="S2 260" xfId="977"/>
    <cellStyle name="S2 261" xfId="978"/>
    <cellStyle name="S2 262" xfId="979"/>
    <cellStyle name="S2 263" xfId="980"/>
    <cellStyle name="S2 264" xfId="981"/>
    <cellStyle name="S2 265" xfId="982"/>
    <cellStyle name="S2 265 2" xfId="983"/>
    <cellStyle name="S2 266" xfId="984"/>
    <cellStyle name="S2 267" xfId="985"/>
    <cellStyle name="S2 27" xfId="986"/>
    <cellStyle name="S2 28" xfId="987"/>
    <cellStyle name="S2 29" xfId="988"/>
    <cellStyle name="S2 3" xfId="989"/>
    <cellStyle name="S2 30" xfId="990"/>
    <cellStyle name="S2 31" xfId="991"/>
    <cellStyle name="S2 32" xfId="992"/>
    <cellStyle name="S2 33" xfId="993"/>
    <cellStyle name="S2 34" xfId="994"/>
    <cellStyle name="S2 35" xfId="995"/>
    <cellStyle name="S2 36" xfId="996"/>
    <cellStyle name="S2 37" xfId="997"/>
    <cellStyle name="S2 38" xfId="998"/>
    <cellStyle name="S2 39" xfId="999"/>
    <cellStyle name="S2 4" xfId="1000"/>
    <cellStyle name="S2 40" xfId="1001"/>
    <cellStyle name="S2 41" xfId="1002"/>
    <cellStyle name="S2 42" xfId="1003"/>
    <cellStyle name="S2 43" xfId="1004"/>
    <cellStyle name="S2 44" xfId="1005"/>
    <cellStyle name="S2 45" xfId="1006"/>
    <cellStyle name="S2 46" xfId="1007"/>
    <cellStyle name="S2 47" xfId="1008"/>
    <cellStyle name="S2 48" xfId="1009"/>
    <cellStyle name="S2 49" xfId="1010"/>
    <cellStyle name="S2 5" xfId="1011"/>
    <cellStyle name="S2 50" xfId="1012"/>
    <cellStyle name="S2 51" xfId="1013"/>
    <cellStyle name="S2 52" xfId="1014"/>
    <cellStyle name="S2 53" xfId="1015"/>
    <cellStyle name="S2 54" xfId="1016"/>
    <cellStyle name="S2 55" xfId="1017"/>
    <cellStyle name="S2 56" xfId="1018"/>
    <cellStyle name="S2 57" xfId="1019"/>
    <cellStyle name="S2 58" xfId="1020"/>
    <cellStyle name="S2 59" xfId="1021"/>
    <cellStyle name="S2 6" xfId="1022"/>
    <cellStyle name="S2 60" xfId="1023"/>
    <cellStyle name="S2 61" xfId="1024"/>
    <cellStyle name="S2 62" xfId="1025"/>
    <cellStyle name="S2 63" xfId="1026"/>
    <cellStyle name="S2 64" xfId="1027"/>
    <cellStyle name="S2 65" xfId="1028"/>
    <cellStyle name="S2 66" xfId="1029"/>
    <cellStyle name="S2 67" xfId="1030"/>
    <cellStyle name="S2 68" xfId="1031"/>
    <cellStyle name="S2 69" xfId="1032"/>
    <cellStyle name="S2 7" xfId="1033"/>
    <cellStyle name="S2 70" xfId="1034"/>
    <cellStyle name="S2 71" xfId="1035"/>
    <cellStyle name="S2 72" xfId="1036"/>
    <cellStyle name="S2 73" xfId="1037"/>
    <cellStyle name="S2 74" xfId="1038"/>
    <cellStyle name="S2 75" xfId="1039"/>
    <cellStyle name="S2 76" xfId="1040"/>
    <cellStyle name="S2 77" xfId="1041"/>
    <cellStyle name="S2 78" xfId="1042"/>
    <cellStyle name="S2 79" xfId="1043"/>
    <cellStyle name="S2 8" xfId="1044"/>
    <cellStyle name="S2 80" xfId="1045"/>
    <cellStyle name="S2 81" xfId="1046"/>
    <cellStyle name="S2 82" xfId="1047"/>
    <cellStyle name="S2 83" xfId="1048"/>
    <cellStyle name="S2 84" xfId="1049"/>
    <cellStyle name="S2 85" xfId="1050"/>
    <cellStyle name="S2 86" xfId="1051"/>
    <cellStyle name="S2 87" xfId="1052"/>
    <cellStyle name="S2 88" xfId="1053"/>
    <cellStyle name="S2 89" xfId="1054"/>
    <cellStyle name="S2 9" xfId="1055"/>
    <cellStyle name="S2 90" xfId="1056"/>
    <cellStyle name="S2 91" xfId="1057"/>
    <cellStyle name="S2 92" xfId="1058"/>
    <cellStyle name="S2 93" xfId="1059"/>
    <cellStyle name="S2 94" xfId="1060"/>
    <cellStyle name="S2 95" xfId="1061"/>
    <cellStyle name="S2 96" xfId="1062"/>
    <cellStyle name="S2 97" xfId="1063"/>
    <cellStyle name="S2 98" xfId="1064"/>
    <cellStyle name="S2 99" xfId="1065"/>
    <cellStyle name="S2_Pembelian" xfId="1066"/>
    <cellStyle name="S3" xfId="1067"/>
    <cellStyle name="S3 10" xfId="1068"/>
    <cellStyle name="S3 11" xfId="1069"/>
    <cellStyle name="S3 2" xfId="1070"/>
    <cellStyle name="S3 3" xfId="1071"/>
    <cellStyle name="S3 4" xfId="1072"/>
    <cellStyle name="S3 5" xfId="1073"/>
    <cellStyle name="S3 6" xfId="1074"/>
    <cellStyle name="S3 7" xfId="1075"/>
    <cellStyle name="S3 8" xfId="1076"/>
    <cellStyle name="S3 9" xfId="1077"/>
    <cellStyle name="S3 9 2" xfId="1078"/>
    <cellStyle name="S3_Pembelian" xfId="1079"/>
    <cellStyle name="S4" xfId="1080"/>
    <cellStyle name="S4 10" xfId="1081"/>
    <cellStyle name="S4 11" xfId="1082"/>
    <cellStyle name="S4 12" xfId="1083"/>
    <cellStyle name="S4 12 2" xfId="1084"/>
    <cellStyle name="S4 13" xfId="1085"/>
    <cellStyle name="S4 14" xfId="1086"/>
    <cellStyle name="S4 14 2" xfId="1087"/>
    <cellStyle name="S4 15" xfId="1088"/>
    <cellStyle name="S4 16" xfId="1089"/>
    <cellStyle name="S4 19" xfId="1090"/>
    <cellStyle name="S4 2" xfId="1091"/>
    <cellStyle name="S4 3" xfId="1092"/>
    <cellStyle name="S4 4" xfId="1093"/>
    <cellStyle name="S4 5" xfId="1094"/>
    <cellStyle name="S4 6" xfId="1095"/>
    <cellStyle name="S4 7" xfId="1096"/>
    <cellStyle name="S4 8" xfId="1097"/>
    <cellStyle name="S4 9" xfId="1098"/>
    <cellStyle name="S4 9 2" xfId="1099"/>
    <cellStyle name="S4_Pembelian" xfId="1100"/>
    <cellStyle name="S5" xfId="1101"/>
    <cellStyle name="S5 10" xfId="1102"/>
    <cellStyle name="S5 10 2" xfId="1103"/>
    <cellStyle name="S5 11" xfId="1104"/>
    <cellStyle name="S5 12" xfId="1105"/>
    <cellStyle name="S5 13" xfId="1106"/>
    <cellStyle name="S5 19" xfId="1107"/>
    <cellStyle name="S5 2" xfId="1108"/>
    <cellStyle name="S5 2 2" xfId="1109"/>
    <cellStyle name="S5 3" xfId="1110"/>
    <cellStyle name="S5 3 2" xfId="1111"/>
    <cellStyle name="S5 4" xfId="1112"/>
    <cellStyle name="S5 5" xfId="1113"/>
    <cellStyle name="S5 6" xfId="1114"/>
    <cellStyle name="S5 7" xfId="1115"/>
    <cellStyle name="S5 8" xfId="1116"/>
    <cellStyle name="S5 9" xfId="1117"/>
    <cellStyle name="S5 9 2" xfId="1118"/>
    <cellStyle name="S5_Pembelian" xfId="1119"/>
    <cellStyle name="S6" xfId="1120"/>
    <cellStyle name="S6 10" xfId="1121"/>
    <cellStyle name="S6 11" xfId="1122"/>
    <cellStyle name="S6 11 2" xfId="1123"/>
    <cellStyle name="S6 12" xfId="1124"/>
    <cellStyle name="S6 13" xfId="1125"/>
    <cellStyle name="S6 13 2" xfId="1126"/>
    <cellStyle name="S6 14" xfId="1127"/>
    <cellStyle name="S6 15" xfId="1128"/>
    <cellStyle name="S6 16" xfId="1129"/>
    <cellStyle name="S6 17" xfId="1130"/>
    <cellStyle name="S6 18" xfId="1131"/>
    <cellStyle name="S6 2" xfId="1132"/>
    <cellStyle name="S6 3" xfId="1133"/>
    <cellStyle name="S6 4" xfId="1134"/>
    <cellStyle name="S6 5" xfId="1135"/>
    <cellStyle name="S6 6" xfId="1136"/>
    <cellStyle name="S6 7" xfId="1137"/>
    <cellStyle name="S6 8" xfId="1138"/>
    <cellStyle name="S6 9" xfId="1139"/>
    <cellStyle name="S6_Pembelian" xfId="1140"/>
    <cellStyle name="S7" xfId="1141"/>
    <cellStyle name="S7 10" xfId="1142"/>
    <cellStyle name="S7 10 2" xfId="1143"/>
    <cellStyle name="S7 11" xfId="1144"/>
    <cellStyle name="S7 12" xfId="1145"/>
    <cellStyle name="S7 12 2" xfId="1146"/>
    <cellStyle name="S7 13" xfId="1147"/>
    <cellStyle name="S7 14" xfId="1148"/>
    <cellStyle name="S7 15" xfId="1149"/>
    <cellStyle name="S7 16" xfId="1150"/>
    <cellStyle name="S7 19" xfId="1151"/>
    <cellStyle name="S7 19 2" xfId="1152"/>
    <cellStyle name="S7 2" xfId="1153"/>
    <cellStyle name="S7 3" xfId="1154"/>
    <cellStyle name="S7 4" xfId="1155"/>
    <cellStyle name="S7 5" xfId="1156"/>
    <cellStyle name="S7 6" xfId="1157"/>
    <cellStyle name="S7 7" xfId="1158"/>
    <cellStyle name="S7 8" xfId="1159"/>
    <cellStyle name="S7 9" xfId="1160"/>
    <cellStyle name="S7_Pembelian" xfId="1161"/>
    <cellStyle name="S8" xfId="1162"/>
    <cellStyle name="S8 10" xfId="1163"/>
    <cellStyle name="S8 11" xfId="1164"/>
    <cellStyle name="S8 12" xfId="1165"/>
    <cellStyle name="S8 13" xfId="1166"/>
    <cellStyle name="S8 14" xfId="1167"/>
    <cellStyle name="S8 15" xfId="1168"/>
    <cellStyle name="S8 16" xfId="1169"/>
    <cellStyle name="S8 2" xfId="1170"/>
    <cellStyle name="S8 3" xfId="1171"/>
    <cellStyle name="S8 4" xfId="1172"/>
    <cellStyle name="S8 5" xfId="1173"/>
    <cellStyle name="S8 5 2" xfId="1174"/>
    <cellStyle name="S8 6" xfId="1175"/>
    <cellStyle name="S8 7" xfId="1176"/>
    <cellStyle name="S8 8" xfId="1177"/>
    <cellStyle name="S8 8 2" xfId="1178"/>
    <cellStyle name="S8 8 3" xfId="1179"/>
    <cellStyle name="S8 9" xfId="1180"/>
    <cellStyle name="S8 9 2" xfId="1181"/>
    <cellStyle name="S8_Pembelian" xfId="1182"/>
    <cellStyle name="S9" xfId="1183"/>
    <cellStyle name="S9 10" xfId="1184"/>
    <cellStyle name="S9 11" xfId="1185"/>
    <cellStyle name="S9 11 2" xfId="1186"/>
    <cellStyle name="S9 12" xfId="1187"/>
    <cellStyle name="S9 13" xfId="1188"/>
    <cellStyle name="S9 14" xfId="1189"/>
    <cellStyle name="S9 15" xfId="1190"/>
    <cellStyle name="S9 16" xfId="1191"/>
    <cellStyle name="S9 17" xfId="1192"/>
    <cellStyle name="S9 2" xfId="1193"/>
    <cellStyle name="S9 3" xfId="1194"/>
    <cellStyle name="S9 4" xfId="1195"/>
    <cellStyle name="S9 5" xfId="1196"/>
    <cellStyle name="S9 6" xfId="1197"/>
    <cellStyle name="S9 7" xfId="1198"/>
    <cellStyle name="S9 8" xfId="1199"/>
    <cellStyle name="S9 9" xfId="1200"/>
    <cellStyle name="S9_Pembelian" xfId="1201"/>
  </cellStyles>
  <dxfs count="157"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userver\TAGPD\TAGPD%201\TAGPD\TAGPD%202025\TAGPD%2010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.%20Rekap%20Online%20Shop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T"/>
      <sheetName val="acak"/>
      <sheetName val="Cust2025"/>
      <sheetName val="TAGPD"/>
      <sheetName val="MTSBG"/>
      <sheetName val="MTSBG (BPK)"/>
      <sheetName val="Pemb TANI59"/>
      <sheetName val="Pemb FAST KIU"/>
      <sheetName val="Pemb FAST BPK"/>
    </sheetNames>
    <sheetDataSet>
      <sheetData sheetId="0"/>
      <sheetData sheetId="1"/>
      <sheetData sheetId="2"/>
      <sheetData sheetId="3">
        <row r="8">
          <cell r="E8" t="str">
            <v>B25014083</v>
          </cell>
          <cell r="F8"/>
          <cell r="G8">
            <v>1000</v>
          </cell>
          <cell r="H8" t="str">
            <v>Yuyun</v>
          </cell>
          <cell r="I8" t="str">
            <v>Farida</v>
          </cell>
          <cell r="J8" t="str">
            <v>New 27/10/23</v>
          </cell>
          <cell r="K8" t="str">
            <v>KU</v>
          </cell>
          <cell r="L8" t="str">
            <v>AARA01</v>
          </cell>
          <cell r="M8" t="str">
            <v>Aarash Utama/Ahmad Ghozali</v>
          </cell>
          <cell r="N8" t="str">
            <v>Ahmad Ghozali</v>
          </cell>
          <cell r="O8" t="str">
            <v>Dusun Krajan RT.001/RW.001, Kel. Sumberanget, Kec. Ledokombo</v>
          </cell>
          <cell r="P8" t="str">
            <v>Jember</v>
          </cell>
          <cell r="Q8" t="str">
            <v>Dusun Krajan RT.001/RW.001, Kel. Sumberanget, Kec. Ledokombo</v>
          </cell>
          <cell r="R8" t="str">
            <v>Jember</v>
          </cell>
          <cell r="S8" t="str">
            <v>L Kota1</v>
          </cell>
          <cell r="T8" t="str">
            <v>Wira</v>
          </cell>
          <cell r="U8">
            <v>0</v>
          </cell>
        </row>
        <row r="9">
          <cell r="E9" t="str">
            <v>D25016356</v>
          </cell>
          <cell r="F9"/>
          <cell r="G9">
            <v>1000</v>
          </cell>
          <cell r="H9" t="str">
            <v>Yuyun</v>
          </cell>
          <cell r="I9" t="str">
            <v>Farida</v>
          </cell>
          <cell r="J9" t="str">
            <v>New 27/10/23</v>
          </cell>
          <cell r="K9" t="str">
            <v>KU</v>
          </cell>
          <cell r="L9" t="str">
            <v>AARA01</v>
          </cell>
          <cell r="M9" t="str">
            <v>Aarash Utama/Ahmad Ghozali</v>
          </cell>
          <cell r="N9" t="str">
            <v>Ahmad Ghozali</v>
          </cell>
          <cell r="O9" t="str">
            <v>Dusun Krajan RT.001/RW.001, Kel. Sumberanget, Kec. Ledokombo</v>
          </cell>
          <cell r="P9" t="str">
            <v>Jember</v>
          </cell>
          <cell r="Q9" t="str">
            <v>Dusun Krajan RT.001/RW.001, Kel. Sumberanget, Kec. Ledokombo</v>
          </cell>
          <cell r="R9" t="str">
            <v>Jember</v>
          </cell>
          <cell r="S9" t="str">
            <v>L Kota1</v>
          </cell>
          <cell r="T9" t="str">
            <v>Wira</v>
          </cell>
          <cell r="U9">
            <v>0</v>
          </cell>
        </row>
        <row r="10">
          <cell r="E10" t="str">
            <v>D25013504</v>
          </cell>
          <cell r="F10"/>
          <cell r="G10">
            <v>1000</v>
          </cell>
          <cell r="H10" t="str">
            <v>Reni</v>
          </cell>
          <cell r="I10" t="str">
            <v>Farida</v>
          </cell>
          <cell r="J10" t="str">
            <v>New 16/01/25</v>
          </cell>
          <cell r="K10" t="str">
            <v>CBD</v>
          </cell>
          <cell r="L10" t="str">
            <v>ABAJ01</v>
          </cell>
          <cell r="M10" t="str">
            <v>Aba Jaya, Kios</v>
          </cell>
          <cell r="N10" t="str">
            <v>Mohammad Saiku Romadhona</v>
          </cell>
          <cell r="O10" t="str">
            <v>Dusun Juning RT.004/RW.001 , Kel. Mojoduwur, Kec. Mojowarno</v>
          </cell>
          <cell r="P10" t="str">
            <v>Jombang</v>
          </cell>
          <cell r="Q10" t="str">
            <v>Jalan Anjasmoro, Mojodukuh , Kel. Mojowangi, Kec. Mojowarno</v>
          </cell>
          <cell r="R10" t="str">
            <v xml:space="preserve">Jombang </v>
          </cell>
          <cell r="S10" t="str">
            <v>D Barat1</v>
          </cell>
          <cell r="T10" t="str">
            <v>Tomi</v>
          </cell>
          <cell r="U10">
            <v>0</v>
          </cell>
        </row>
        <row r="11">
          <cell r="E11" t="str">
            <v>B25012482</v>
          </cell>
          <cell r="F11"/>
          <cell r="G11">
            <v>100000000</v>
          </cell>
          <cell r="H11" t="str">
            <v>Faris</v>
          </cell>
          <cell r="I11" t="str">
            <v>Syahra</v>
          </cell>
          <cell r="J11"/>
          <cell r="K11" t="str">
            <v>KU</v>
          </cell>
          <cell r="L11" t="str">
            <v>ABAD01</v>
          </cell>
          <cell r="M11" t="str">
            <v>Abadi Tani, Toko</v>
          </cell>
          <cell r="N11" t="str">
            <v>Andreas Wijayanto</v>
          </cell>
          <cell r="O11" t="str">
            <v>Jl. Diponegoro No.42, RT.002/RW.001, Dawuhan</v>
          </cell>
          <cell r="P11" t="str">
            <v>Situbondo</v>
          </cell>
          <cell r="Q11" t="str">
            <v>Jl. Basuki Rahmat 112</v>
          </cell>
          <cell r="R11" t="str">
            <v>Situbondo</v>
          </cell>
          <cell r="S11" t="str">
            <v>N Bdw Stb</v>
          </cell>
          <cell r="T11" t="str">
            <v>Wira</v>
          </cell>
          <cell r="U11">
            <v>30</v>
          </cell>
        </row>
        <row r="12">
          <cell r="E12" t="str">
            <v>B25012483</v>
          </cell>
          <cell r="F12"/>
          <cell r="G12">
            <v>100000000</v>
          </cell>
          <cell r="H12" t="str">
            <v>Faris</v>
          </cell>
          <cell r="I12" t="str">
            <v>Syahra</v>
          </cell>
          <cell r="J12"/>
          <cell r="K12" t="str">
            <v>KU</v>
          </cell>
          <cell r="L12" t="str">
            <v>ABAD01</v>
          </cell>
          <cell r="M12" t="str">
            <v>Abadi Tani, Toko</v>
          </cell>
          <cell r="N12" t="str">
            <v>Andreas Wijayanto</v>
          </cell>
          <cell r="O12" t="str">
            <v>Jl. Diponegoro No.42, RT.002/RW.001, Dawuhan</v>
          </cell>
          <cell r="P12" t="str">
            <v>Situbondo</v>
          </cell>
          <cell r="Q12" t="str">
            <v>Jl. Basuki Rahmat 112</v>
          </cell>
          <cell r="R12" t="str">
            <v>Situbondo</v>
          </cell>
          <cell r="S12" t="str">
            <v>N Bdw Stb</v>
          </cell>
          <cell r="T12" t="str">
            <v>Wira</v>
          </cell>
          <cell r="U12">
            <v>30</v>
          </cell>
        </row>
        <row r="13">
          <cell r="E13" t="str">
            <v>B25012547</v>
          </cell>
          <cell r="F13"/>
          <cell r="G13">
            <v>100000000</v>
          </cell>
          <cell r="H13" t="str">
            <v>Faris</v>
          </cell>
          <cell r="I13" t="str">
            <v>Syahra</v>
          </cell>
          <cell r="J13"/>
          <cell r="K13" t="str">
            <v>KU</v>
          </cell>
          <cell r="L13" t="str">
            <v>ABAD01</v>
          </cell>
          <cell r="M13" t="str">
            <v>Abadi Tani, Toko</v>
          </cell>
          <cell r="N13" t="str">
            <v>Andreas Wijayanto</v>
          </cell>
          <cell r="O13" t="str">
            <v>Jl. Diponegoro No.42, RT.002/RW.001, Dawuhan</v>
          </cell>
          <cell r="P13" t="str">
            <v>Situbondo</v>
          </cell>
          <cell r="Q13" t="str">
            <v>Jl. Basuki Rahmat 112</v>
          </cell>
          <cell r="R13" t="str">
            <v>Situbondo</v>
          </cell>
          <cell r="S13" t="str">
            <v>N Bdw Stb</v>
          </cell>
          <cell r="T13" t="str">
            <v>Wira</v>
          </cell>
          <cell r="U13">
            <v>30</v>
          </cell>
        </row>
        <row r="14">
          <cell r="E14" t="str">
            <v>B25012754</v>
          </cell>
          <cell r="F14"/>
          <cell r="G14">
            <v>100000000</v>
          </cell>
          <cell r="H14" t="str">
            <v>Faris</v>
          </cell>
          <cell r="I14" t="str">
            <v>Syahra</v>
          </cell>
          <cell r="J14"/>
          <cell r="K14" t="str">
            <v>KU</v>
          </cell>
          <cell r="L14" t="str">
            <v>ABAD01</v>
          </cell>
          <cell r="M14" t="str">
            <v>Abadi Tani, Toko</v>
          </cell>
          <cell r="N14" t="str">
            <v>Andreas Wijayanto</v>
          </cell>
          <cell r="O14" t="str">
            <v>Jl. Diponegoro No.42, RT.002/RW.001, Dawuhan</v>
          </cell>
          <cell r="P14" t="str">
            <v>Situbondo</v>
          </cell>
          <cell r="Q14" t="str">
            <v>Jl. Basuki Rahmat 112</v>
          </cell>
          <cell r="R14" t="str">
            <v>Situbondo</v>
          </cell>
          <cell r="S14" t="str">
            <v>N Bdw Stb</v>
          </cell>
          <cell r="T14" t="str">
            <v>Wira</v>
          </cell>
          <cell r="U14">
            <v>30</v>
          </cell>
        </row>
        <row r="15">
          <cell r="E15" t="str">
            <v>B25013308</v>
          </cell>
          <cell r="F15"/>
          <cell r="G15">
            <v>100000000</v>
          </cell>
          <cell r="H15" t="str">
            <v>Faris</v>
          </cell>
          <cell r="I15" t="str">
            <v>Syahra</v>
          </cell>
          <cell r="J15"/>
          <cell r="K15" t="str">
            <v>KU</v>
          </cell>
          <cell r="L15" t="str">
            <v>ABAD01</v>
          </cell>
          <cell r="M15" t="str">
            <v>Abadi Tani, Toko</v>
          </cell>
          <cell r="N15" t="str">
            <v>Andreas Wijayanto</v>
          </cell>
          <cell r="O15" t="str">
            <v>Jl. Diponegoro No.42, RT.002/RW.001, Dawuhan</v>
          </cell>
          <cell r="P15" t="str">
            <v>Situbondo</v>
          </cell>
          <cell r="Q15" t="str">
            <v>Jl. Basuki Rahmat 112</v>
          </cell>
          <cell r="R15" t="str">
            <v>Situbondo</v>
          </cell>
          <cell r="S15" t="str">
            <v>N Bdw Stb</v>
          </cell>
          <cell r="T15" t="str">
            <v>Wira</v>
          </cell>
          <cell r="U15">
            <v>30</v>
          </cell>
        </row>
        <row r="16">
          <cell r="E16" t="str">
            <v>B25011457</v>
          </cell>
          <cell r="F16"/>
          <cell r="G16">
            <v>30000000</v>
          </cell>
          <cell r="H16" t="str">
            <v>Yuyun</v>
          </cell>
          <cell r="I16" t="str">
            <v>Farida</v>
          </cell>
          <cell r="J16"/>
          <cell r="K16" t="str">
            <v>KU</v>
          </cell>
          <cell r="L16" t="str">
            <v>ABDI08</v>
          </cell>
          <cell r="M16" t="str">
            <v>Abdi Rahmat Tani/Lidya</v>
          </cell>
          <cell r="N16" t="str">
            <v>Lidya Agustiningrum</v>
          </cell>
          <cell r="O16" t="str">
            <v>Perum Dharma Alam D-9 RT.001/RW.014, Sempusari, Kaliwates</v>
          </cell>
          <cell r="P16" t="str">
            <v>Jember</v>
          </cell>
          <cell r="Q16" t="str">
            <v>Ledok Ombo</v>
          </cell>
          <cell r="R16" t="str">
            <v>Jember</v>
          </cell>
          <cell r="S16" t="str">
            <v>L Kota1</v>
          </cell>
          <cell r="T16" t="str">
            <v>Wira</v>
          </cell>
          <cell r="U16">
            <v>30</v>
          </cell>
        </row>
        <row r="17">
          <cell r="E17" t="str">
            <v>D25013969</v>
          </cell>
          <cell r="F17"/>
          <cell r="G17">
            <v>30000000</v>
          </cell>
          <cell r="H17" t="str">
            <v>Yuyun</v>
          </cell>
          <cell r="I17" t="str">
            <v>Farida</v>
          </cell>
          <cell r="J17"/>
          <cell r="K17" t="str">
            <v>KU</v>
          </cell>
          <cell r="L17" t="str">
            <v>ABDI08</v>
          </cell>
          <cell r="M17" t="str">
            <v>Abdi Rahmat Tani/Lidya</v>
          </cell>
          <cell r="N17" t="str">
            <v>Lidya Agustiningrum</v>
          </cell>
          <cell r="O17" t="str">
            <v>Perum Dharma Alam D-9 RT.001/RW.014, Sempusari, Kaliwates</v>
          </cell>
          <cell r="P17" t="str">
            <v>Jember</v>
          </cell>
          <cell r="Q17" t="str">
            <v>Ledok Ombo</v>
          </cell>
          <cell r="R17" t="str">
            <v>Jember</v>
          </cell>
          <cell r="S17" t="str">
            <v>L Kota1</v>
          </cell>
          <cell r="T17" t="str">
            <v>Wira</v>
          </cell>
          <cell r="U17">
            <v>30</v>
          </cell>
        </row>
        <row r="18">
          <cell r="E18" t="str">
            <v>B25011748</v>
          </cell>
          <cell r="F18"/>
          <cell r="G18">
            <v>30000000</v>
          </cell>
          <cell r="H18" t="str">
            <v>Yuyun</v>
          </cell>
          <cell r="I18" t="str">
            <v>Farida</v>
          </cell>
          <cell r="J18"/>
          <cell r="K18" t="str">
            <v>KU</v>
          </cell>
          <cell r="L18" t="str">
            <v>ABDI08</v>
          </cell>
          <cell r="M18" t="str">
            <v>Abdi Rahmat Tani/Lidya</v>
          </cell>
          <cell r="N18" t="str">
            <v>Lidya Agustiningrum</v>
          </cell>
          <cell r="O18" t="str">
            <v>Perum Dharma Alam D-9 RT.001/RW.014, Sempusari, Kaliwates</v>
          </cell>
          <cell r="P18" t="str">
            <v>Jember</v>
          </cell>
          <cell r="Q18" t="str">
            <v>Ledok Ombo</v>
          </cell>
          <cell r="R18" t="str">
            <v>Jember</v>
          </cell>
          <cell r="S18" t="str">
            <v>L Kota1</v>
          </cell>
          <cell r="T18" t="str">
            <v>Wira</v>
          </cell>
          <cell r="U18">
            <v>30</v>
          </cell>
        </row>
        <row r="19">
          <cell r="E19" t="str">
            <v>B25011965</v>
          </cell>
          <cell r="F19"/>
          <cell r="G19">
            <v>30000000</v>
          </cell>
          <cell r="H19" t="str">
            <v>Yuyun</v>
          </cell>
          <cell r="I19" t="str">
            <v>Farida</v>
          </cell>
          <cell r="J19"/>
          <cell r="K19" t="str">
            <v>KU</v>
          </cell>
          <cell r="L19" t="str">
            <v>ABDI08</v>
          </cell>
          <cell r="M19" t="str">
            <v>Abdi Rahmat Tani/Lidya</v>
          </cell>
          <cell r="N19" t="str">
            <v>Lidya Agustiningrum</v>
          </cell>
          <cell r="O19" t="str">
            <v>Perum Dharma Alam D-9 RT.001/RW.014, Sempusari, Kaliwates</v>
          </cell>
          <cell r="P19" t="str">
            <v>Jember</v>
          </cell>
          <cell r="Q19" t="str">
            <v>Ledok Ombo</v>
          </cell>
          <cell r="R19" t="str">
            <v>Jember</v>
          </cell>
          <cell r="S19" t="str">
            <v>L Kota1</v>
          </cell>
          <cell r="T19" t="str">
            <v>Wira</v>
          </cell>
          <cell r="U19">
            <v>30</v>
          </cell>
        </row>
        <row r="20">
          <cell r="E20" t="str">
            <v>B25011967</v>
          </cell>
          <cell r="F20"/>
          <cell r="G20">
            <v>30000000</v>
          </cell>
          <cell r="H20" t="str">
            <v>Yuyun</v>
          </cell>
          <cell r="I20" t="str">
            <v>Farida</v>
          </cell>
          <cell r="J20"/>
          <cell r="K20" t="str">
            <v>KU</v>
          </cell>
          <cell r="L20" t="str">
            <v>ABDI08</v>
          </cell>
          <cell r="M20" t="str">
            <v>Abdi Rahmat Tani/Lidya</v>
          </cell>
          <cell r="N20" t="str">
            <v>Lidya Agustiningrum</v>
          </cell>
          <cell r="O20" t="str">
            <v>Perum Dharma Alam D-9 RT.001/RW.014, Sempusari, Kaliwates</v>
          </cell>
          <cell r="P20" t="str">
            <v>Jember</v>
          </cell>
          <cell r="Q20" t="str">
            <v>Ledok Ombo</v>
          </cell>
          <cell r="R20" t="str">
            <v>Jember</v>
          </cell>
          <cell r="S20" t="str">
            <v>L Kota1</v>
          </cell>
          <cell r="T20" t="str">
            <v>Wira</v>
          </cell>
          <cell r="U20">
            <v>30</v>
          </cell>
        </row>
        <row r="21">
          <cell r="E21" t="str">
            <v>D25015287</v>
          </cell>
          <cell r="F21"/>
          <cell r="G21">
            <v>30000000</v>
          </cell>
          <cell r="H21" t="str">
            <v>Yuyun</v>
          </cell>
          <cell r="I21" t="str">
            <v>Farida</v>
          </cell>
          <cell r="J21"/>
          <cell r="K21" t="str">
            <v>KU</v>
          </cell>
          <cell r="L21" t="str">
            <v>ABDI08</v>
          </cell>
          <cell r="M21" t="str">
            <v>Abdi Rahmat Tani/Lidya</v>
          </cell>
          <cell r="N21" t="str">
            <v>Lidya Agustiningrum</v>
          </cell>
          <cell r="O21" t="str">
            <v>Perum Dharma Alam D-9 RT.001/RW.014, Sempusari, Kaliwates</v>
          </cell>
          <cell r="P21" t="str">
            <v>Jember</v>
          </cell>
          <cell r="Q21" t="str">
            <v>Ledok Ombo</v>
          </cell>
          <cell r="R21" t="str">
            <v>Jember</v>
          </cell>
          <cell r="S21" t="str">
            <v>L Kota1</v>
          </cell>
          <cell r="T21" t="str">
            <v>Wira</v>
          </cell>
          <cell r="U21">
            <v>30</v>
          </cell>
        </row>
        <row r="22">
          <cell r="E22" t="str">
            <v>B25013671</v>
          </cell>
          <cell r="F22"/>
          <cell r="G22">
            <v>30000000</v>
          </cell>
          <cell r="H22" t="str">
            <v>Yuyun</v>
          </cell>
          <cell r="I22" t="str">
            <v>Farida</v>
          </cell>
          <cell r="J22"/>
          <cell r="K22" t="str">
            <v>KU</v>
          </cell>
          <cell r="L22" t="str">
            <v>ABDI08</v>
          </cell>
          <cell r="M22" t="str">
            <v>Abdi Rahmat Tani/Lidya</v>
          </cell>
          <cell r="N22" t="str">
            <v>Lidya Agustiningrum</v>
          </cell>
          <cell r="O22" t="str">
            <v>Perum Dharma Alam D-9 RT.001/RW.014, Sempusari, Kaliwates</v>
          </cell>
          <cell r="P22" t="str">
            <v>Jember</v>
          </cell>
          <cell r="Q22" t="str">
            <v>Ledok Ombo</v>
          </cell>
          <cell r="R22" t="str">
            <v>Jember</v>
          </cell>
          <cell r="S22" t="str">
            <v>L Kota1</v>
          </cell>
          <cell r="T22" t="str">
            <v>Wira</v>
          </cell>
          <cell r="U22">
            <v>30</v>
          </cell>
        </row>
        <row r="23">
          <cell r="E23" t="str">
            <v>D25012409</v>
          </cell>
          <cell r="F23"/>
          <cell r="G23">
            <v>100000000</v>
          </cell>
          <cell r="H23" t="str">
            <v>Reni</v>
          </cell>
          <cell r="I23" t="str">
            <v>Farida</v>
          </cell>
          <cell r="J23"/>
          <cell r="K23" t="str">
            <v>KU</v>
          </cell>
          <cell r="L23" t="str">
            <v>ABDI03</v>
          </cell>
          <cell r="M23" t="str">
            <v>Abdi Tani/Yuswito</v>
          </cell>
          <cell r="N23" t="str">
            <v>Yuswito</v>
          </cell>
          <cell r="O23" t="str">
            <v>Bokor, RT.008/RW.003, Kel. Bokor, Kec. Tumpang</v>
          </cell>
          <cell r="P23" t="str">
            <v>Malang</v>
          </cell>
          <cell r="Q23" t="str">
            <v>Tumpang</v>
          </cell>
          <cell r="R23" t="str">
            <v>Malang</v>
          </cell>
          <cell r="S23" t="str">
            <v>F Utara1</v>
          </cell>
          <cell r="T23" t="str">
            <v>Tomi</v>
          </cell>
          <cell r="U23">
            <v>30</v>
          </cell>
        </row>
        <row r="24">
          <cell r="E24" t="str">
            <v>D25014476</v>
          </cell>
          <cell r="F24"/>
          <cell r="G24">
            <v>100000000</v>
          </cell>
          <cell r="H24" t="str">
            <v>Reni</v>
          </cell>
          <cell r="I24" t="str">
            <v>Farida</v>
          </cell>
          <cell r="J24"/>
          <cell r="K24" t="str">
            <v>KU</v>
          </cell>
          <cell r="L24" t="str">
            <v>ABDI03</v>
          </cell>
          <cell r="M24" t="str">
            <v>Abdi Tani/Yuswito</v>
          </cell>
          <cell r="N24" t="str">
            <v>Yuswito</v>
          </cell>
          <cell r="O24" t="str">
            <v>Bokor, RT.008/RW.003, Kel. Bokor, Kec. Tumpang</v>
          </cell>
          <cell r="P24" t="str">
            <v>Malang</v>
          </cell>
          <cell r="Q24" t="str">
            <v>Tumpang</v>
          </cell>
          <cell r="R24" t="str">
            <v>Malang</v>
          </cell>
          <cell r="S24" t="str">
            <v>F Utara1</v>
          </cell>
          <cell r="T24" t="str">
            <v>Tomi</v>
          </cell>
          <cell r="U24">
            <v>30</v>
          </cell>
        </row>
        <row r="25">
          <cell r="E25" t="str">
            <v>B25010304</v>
          </cell>
          <cell r="F25"/>
          <cell r="G25">
            <v>350000000</v>
          </cell>
          <cell r="H25" t="str">
            <v>Ariyani</v>
          </cell>
          <cell r="I25" t="str">
            <v>Fira</v>
          </cell>
          <cell r="J25"/>
          <cell r="K25" t="str">
            <v>KU</v>
          </cell>
          <cell r="L25" t="str">
            <v>ABDI07</v>
          </cell>
          <cell r="M25" t="str">
            <v>Abdi Tani/Zuhri</v>
          </cell>
          <cell r="N25" t="str">
            <v>Jumaali Suhri</v>
          </cell>
          <cell r="O25" t="str">
            <v>Dsn. Sanggar, RT.001/RW.007 Kel. Watuwungkuk, Kec. Dringu, Kab. Probolinggo</v>
          </cell>
          <cell r="P25" t="str">
            <v>Probolinggo</v>
          </cell>
          <cell r="Q25" t="str">
            <v>Dsn. Sanggar, RT.001/RW.007 Kel. Watuwungkuk, Kec. Dringu, Kab. Probolinggo</v>
          </cell>
          <cell r="R25" t="str">
            <v>Probolinggo</v>
          </cell>
          <cell r="S25" t="str">
            <v>G Prob2</v>
          </cell>
          <cell r="T25" t="str">
            <v>Wira</v>
          </cell>
          <cell r="U25">
            <v>76</v>
          </cell>
        </row>
        <row r="26">
          <cell r="E26" t="str">
            <v>B25011703</v>
          </cell>
          <cell r="F26"/>
          <cell r="G26">
            <v>350000000</v>
          </cell>
          <cell r="H26" t="str">
            <v>Ariyani</v>
          </cell>
          <cell r="I26" t="str">
            <v>Fira</v>
          </cell>
          <cell r="J26"/>
          <cell r="K26" t="str">
            <v>KU</v>
          </cell>
          <cell r="L26" t="str">
            <v>ABDI07</v>
          </cell>
          <cell r="M26" t="str">
            <v>Abdi Tani/Zuhri</v>
          </cell>
          <cell r="N26" t="str">
            <v>Jumaali Suhri</v>
          </cell>
          <cell r="O26" t="str">
            <v>Dsn. Sanggar, RT.001/RW.007 Kel. Watuwungkuk, Kec. Dringu, Kab. Probolinggo</v>
          </cell>
          <cell r="P26" t="str">
            <v>Probolinggo</v>
          </cell>
          <cell r="Q26" t="str">
            <v>Dsn. Sanggar, RT.001/RW.007 Kel. Watuwungkuk, Kec. Dringu, Kab. Probolinggo</v>
          </cell>
          <cell r="R26" t="str">
            <v>Probolinggo</v>
          </cell>
          <cell r="S26" t="str">
            <v>G Prob2</v>
          </cell>
          <cell r="T26" t="str">
            <v>Wira</v>
          </cell>
          <cell r="U26">
            <v>30</v>
          </cell>
        </row>
        <row r="27">
          <cell r="E27" t="str">
            <v>D25015010</v>
          </cell>
          <cell r="F27"/>
          <cell r="G27">
            <v>350000000</v>
          </cell>
          <cell r="H27" t="str">
            <v>Ariyani</v>
          </cell>
          <cell r="I27" t="str">
            <v>Fira</v>
          </cell>
          <cell r="J27"/>
          <cell r="K27" t="str">
            <v>KU</v>
          </cell>
          <cell r="L27" t="str">
            <v>ABDI07</v>
          </cell>
          <cell r="M27" t="str">
            <v>Abdi Tani/Zuhri</v>
          </cell>
          <cell r="N27" t="str">
            <v>Jumaali Suhri</v>
          </cell>
          <cell r="O27" t="str">
            <v>Dsn. Sanggar, RT.001/RW.007 Kel. Watuwungkuk, Kec. Dringu, Kab. Probolinggo</v>
          </cell>
          <cell r="P27" t="str">
            <v>Probolinggo</v>
          </cell>
          <cell r="Q27" t="str">
            <v>Dsn. Sanggar, RT.001/RW.007 Kel. Watuwungkuk, Kec. Dringu, Kab. Probolinggo</v>
          </cell>
          <cell r="R27" t="str">
            <v>Probolinggo</v>
          </cell>
          <cell r="S27" t="str">
            <v>G Prob2</v>
          </cell>
          <cell r="T27" t="str">
            <v>Wira</v>
          </cell>
          <cell r="U27">
            <v>60</v>
          </cell>
        </row>
        <row r="28">
          <cell r="E28" t="str">
            <v>D25015031</v>
          </cell>
          <cell r="F28"/>
          <cell r="G28">
            <v>350000000</v>
          </cell>
          <cell r="H28" t="str">
            <v>Ariyani</v>
          </cell>
          <cell r="I28" t="str">
            <v>Fira</v>
          </cell>
          <cell r="J28"/>
          <cell r="K28" t="str">
            <v>KU</v>
          </cell>
          <cell r="L28" t="str">
            <v>ABDI07</v>
          </cell>
          <cell r="M28" t="str">
            <v>Abdi Tani/Zuhri</v>
          </cell>
          <cell r="N28" t="str">
            <v>Jumaali Suhri</v>
          </cell>
          <cell r="O28" t="str">
            <v>Dsn. Sanggar, RT.001/RW.007 Kel. Watuwungkuk, Kec. Dringu, Kab. Probolinggo</v>
          </cell>
          <cell r="P28" t="str">
            <v>Probolinggo</v>
          </cell>
          <cell r="Q28" t="str">
            <v>Dsn. Sanggar, RT.001/RW.007 Kel. Watuwungkuk, Kec. Dringu, Kab. Probolinggo</v>
          </cell>
          <cell r="R28" t="str">
            <v>Probolinggo</v>
          </cell>
          <cell r="S28" t="str">
            <v>G Prob2</v>
          </cell>
          <cell r="T28" t="str">
            <v>Wira</v>
          </cell>
          <cell r="U28">
            <v>30</v>
          </cell>
        </row>
        <row r="29">
          <cell r="E29" t="str">
            <v>B25013091</v>
          </cell>
          <cell r="F29"/>
          <cell r="G29">
            <v>350000000</v>
          </cell>
          <cell r="H29" t="str">
            <v>Ariyani</v>
          </cell>
          <cell r="I29" t="str">
            <v>Fira</v>
          </cell>
          <cell r="J29"/>
          <cell r="K29" t="str">
            <v>KU</v>
          </cell>
          <cell r="L29" t="str">
            <v>ABDI07</v>
          </cell>
          <cell r="M29" t="str">
            <v>Abdi Tani/Zuhri</v>
          </cell>
          <cell r="N29" t="str">
            <v>Jumaali Suhri</v>
          </cell>
          <cell r="O29" t="str">
            <v>Dsn. Sanggar, RT.001/RW.007 Kel. Watuwungkuk, Kec. Dringu, Kab. Probolinggo</v>
          </cell>
          <cell r="P29" t="str">
            <v>Probolinggo</v>
          </cell>
          <cell r="Q29" t="str">
            <v>Dsn. Sanggar, RT.001/RW.007 Kel. Watuwungkuk, Kec. Dringu, Kab. Probolinggo</v>
          </cell>
          <cell r="R29" t="str">
            <v>Probolinggo</v>
          </cell>
          <cell r="S29" t="str">
            <v>G Prob2</v>
          </cell>
          <cell r="T29" t="str">
            <v>Wira</v>
          </cell>
          <cell r="U29">
            <v>30</v>
          </cell>
        </row>
        <row r="30">
          <cell r="E30" t="str">
            <v>D25015300</v>
          </cell>
          <cell r="F30"/>
          <cell r="G30">
            <v>1000</v>
          </cell>
          <cell r="H30" t="str">
            <v>Reni</v>
          </cell>
          <cell r="I30" t="str">
            <v>Farida</v>
          </cell>
          <cell r="J30"/>
          <cell r="K30" t="str">
            <v>KU</v>
          </cell>
          <cell r="L30" t="str">
            <v>ABDI04</v>
          </cell>
          <cell r="M30" t="str">
            <v>Abdillah/Sholikin</v>
          </cell>
          <cell r="N30" t="str">
            <v>Solikin</v>
          </cell>
          <cell r="O30" t="str">
            <v>Dsn. Ngreco, RT.02/RW.05 Ds. Sukorejo, Kec. Rejoso</v>
          </cell>
          <cell r="P30" t="str">
            <v>Nganjuk</v>
          </cell>
          <cell r="Q30" t="str">
            <v>Dsn. Ngreco, RT.02/RW.05 Ds. Sukorejo, Kec. Rejoso</v>
          </cell>
          <cell r="R30" t="str">
            <v>Nganjuk</v>
          </cell>
          <cell r="S30" t="str">
            <v>D Barat1</v>
          </cell>
          <cell r="T30" t="str">
            <v>Dian</v>
          </cell>
          <cell r="U30">
            <v>0</v>
          </cell>
        </row>
        <row r="31">
          <cell r="E31" t="str">
            <v>B25009074</v>
          </cell>
          <cell r="F31"/>
          <cell r="G31">
            <v>200000000</v>
          </cell>
          <cell r="H31" t="str">
            <v>Ariyani</v>
          </cell>
          <cell r="I31" t="str">
            <v>Fira</v>
          </cell>
          <cell r="J31" t="str">
            <v>New 02/06/20</v>
          </cell>
          <cell r="K31" t="str">
            <v>KU</v>
          </cell>
          <cell r="L31" t="str">
            <v>ABIT01</v>
          </cell>
          <cell r="M31" t="str">
            <v>Abi Tani/Soleudin</v>
          </cell>
          <cell r="N31" t="str">
            <v>Soleudin Efendi</v>
          </cell>
          <cell r="O31" t="str">
            <v>Dusun Karang Tengah RT.004/RW.001, Kel. Bulujaran Kidul, Kec. Tegal Siwalan</v>
          </cell>
          <cell r="P31" t="str">
            <v>Probolinggo</v>
          </cell>
          <cell r="Q31" t="str">
            <v>Desa Liprak Kulon RT.016/RW.006, Kel. Banyuanyar, Probolinggo</v>
          </cell>
          <cell r="R31" t="str">
            <v>Probolinggo</v>
          </cell>
          <cell r="S31" t="str">
            <v>G Prob2</v>
          </cell>
          <cell r="T31" t="str">
            <v>Wira</v>
          </cell>
          <cell r="U31">
            <v>60</v>
          </cell>
        </row>
        <row r="32">
          <cell r="E32" t="str">
            <v>B25009728</v>
          </cell>
          <cell r="F32"/>
          <cell r="G32">
            <v>200000000</v>
          </cell>
          <cell r="H32" t="str">
            <v>Ariyani</v>
          </cell>
          <cell r="I32" t="str">
            <v>Fira</v>
          </cell>
          <cell r="J32" t="str">
            <v>New 02/06/20</v>
          </cell>
          <cell r="K32" t="str">
            <v>KU</v>
          </cell>
          <cell r="L32" t="str">
            <v>ABIT01</v>
          </cell>
          <cell r="M32" t="str">
            <v>Abi Tani/Soleudin</v>
          </cell>
          <cell r="N32" t="str">
            <v>Soleudin Efendi</v>
          </cell>
          <cell r="O32" t="str">
            <v>Dusun Karang Tengah RT.004/RW.001, Kel. Bulujaran Kidul, Kec. Tegal Siwalan</v>
          </cell>
          <cell r="P32" t="str">
            <v>Probolinggo</v>
          </cell>
          <cell r="Q32" t="str">
            <v>Desa Liprak Kulon RT.016/RW.006, Kel. Banyuanyar, Probolinggo</v>
          </cell>
          <cell r="R32" t="str">
            <v>Probolinggo</v>
          </cell>
          <cell r="S32" t="str">
            <v>G Prob2</v>
          </cell>
          <cell r="T32" t="str">
            <v>Wira</v>
          </cell>
          <cell r="U32">
            <v>30</v>
          </cell>
        </row>
        <row r="33">
          <cell r="E33" t="str">
            <v>B25009736</v>
          </cell>
          <cell r="F33"/>
          <cell r="G33">
            <v>200000000</v>
          </cell>
          <cell r="H33" t="str">
            <v>Ariyani</v>
          </cell>
          <cell r="I33" t="str">
            <v>Fira</v>
          </cell>
          <cell r="J33" t="str">
            <v>New 02/06/20</v>
          </cell>
          <cell r="K33" t="str">
            <v>KU</v>
          </cell>
          <cell r="L33" t="str">
            <v>ABIT01</v>
          </cell>
          <cell r="M33" t="str">
            <v>Abi Tani/Soleudin</v>
          </cell>
          <cell r="N33" t="str">
            <v>Soleudin Efendi</v>
          </cell>
          <cell r="O33" t="str">
            <v>Dusun Karang Tengah RT.004/RW.001, Kel. Bulujaran Kidul, Kec. Tegal Siwalan</v>
          </cell>
          <cell r="P33" t="str">
            <v>Probolinggo</v>
          </cell>
          <cell r="Q33" t="str">
            <v>Desa Liprak Kulon RT.016/RW.006, Kel. Banyuanyar, Probolinggo</v>
          </cell>
          <cell r="R33" t="str">
            <v>Probolinggo</v>
          </cell>
          <cell r="S33" t="str">
            <v>G Prob2</v>
          </cell>
          <cell r="T33" t="str">
            <v>Wira</v>
          </cell>
          <cell r="U33">
            <v>30</v>
          </cell>
        </row>
        <row r="34">
          <cell r="E34" t="str">
            <v>D25013604</v>
          </cell>
          <cell r="F34"/>
          <cell r="G34">
            <v>200000000</v>
          </cell>
          <cell r="H34" t="str">
            <v>Ariyani</v>
          </cell>
          <cell r="I34" t="str">
            <v>Fira</v>
          </cell>
          <cell r="J34" t="str">
            <v>New 02/06/20</v>
          </cell>
          <cell r="K34" t="str">
            <v>KU</v>
          </cell>
          <cell r="L34" t="str">
            <v>ABIT01</v>
          </cell>
          <cell r="M34" t="str">
            <v>Abi Tani/Soleudin</v>
          </cell>
          <cell r="N34" t="str">
            <v>Soleudin Efendi</v>
          </cell>
          <cell r="O34" t="str">
            <v>Dusun Karang Tengah RT.004/RW.001, Kel. Bulujaran Kidul, Kec. Tegal Siwalan</v>
          </cell>
          <cell r="P34" t="str">
            <v>Probolinggo</v>
          </cell>
          <cell r="Q34" t="str">
            <v>Desa Liprak Kulon RT.016/RW.006, Kel. Banyuanyar, Probolinggo</v>
          </cell>
          <cell r="R34" t="str">
            <v>Probolinggo</v>
          </cell>
          <cell r="S34" t="str">
            <v>G Prob2</v>
          </cell>
          <cell r="T34" t="str">
            <v>Wira</v>
          </cell>
          <cell r="U34">
            <v>30</v>
          </cell>
        </row>
        <row r="35">
          <cell r="E35" t="str">
            <v>D25016328</v>
          </cell>
          <cell r="F35"/>
          <cell r="G35">
            <v>200000000</v>
          </cell>
          <cell r="H35" t="str">
            <v>Ariyani</v>
          </cell>
          <cell r="I35" t="str">
            <v>Fira</v>
          </cell>
          <cell r="J35" t="str">
            <v>New 02/06/20</v>
          </cell>
          <cell r="K35" t="str">
            <v>KU</v>
          </cell>
          <cell r="L35" t="str">
            <v>ABIT01</v>
          </cell>
          <cell r="M35" t="str">
            <v>Abi Tani/Soleudin</v>
          </cell>
          <cell r="N35" t="str">
            <v>Soleudin Efendi</v>
          </cell>
          <cell r="O35" t="str">
            <v>Dusun Karang Tengah RT.004/RW.001, Kel. Bulujaran Kidul, Kec. Tegal Siwalan</v>
          </cell>
          <cell r="P35" t="str">
            <v>Probolinggo</v>
          </cell>
          <cell r="Q35" t="str">
            <v>Desa Liprak Kulon RT.016/RW.006, Kel. Banyuanyar, Probolinggo</v>
          </cell>
          <cell r="R35" t="str">
            <v>Probolinggo</v>
          </cell>
          <cell r="S35" t="str">
            <v>G Prob2</v>
          </cell>
          <cell r="T35" t="str">
            <v>Wira</v>
          </cell>
          <cell r="U35">
            <v>30</v>
          </cell>
        </row>
        <row r="36">
          <cell r="E36" t="str">
            <v>B25012082</v>
          </cell>
          <cell r="F36"/>
          <cell r="G36">
            <v>60000000</v>
          </cell>
          <cell r="H36" t="str">
            <v>Reni</v>
          </cell>
          <cell r="I36" t="str">
            <v>Farida</v>
          </cell>
          <cell r="J36" t="str">
            <v>New 04/04/24</v>
          </cell>
          <cell r="K36" t="str">
            <v>KU</v>
          </cell>
          <cell r="L36" t="str">
            <v>ABIY01</v>
          </cell>
          <cell r="M36" t="str">
            <v>Abiyu Tani/Wahyu Cahyo</v>
          </cell>
          <cell r="N36" t="str">
            <v>Wahyu Cahyo Widodo</v>
          </cell>
          <cell r="O36" t="str">
            <v>Ds. Kedunghulu (Abiyu Tani) RT.001/RW.007, Ngadiboyo, Rejoso</v>
          </cell>
          <cell r="P36" t="str">
            <v>Nganjuk</v>
          </cell>
          <cell r="Q36" t="str">
            <v>Ds. Ngadiboyo, Kel. Ngadiboyo, Kec. Rejoso</v>
          </cell>
          <cell r="R36" t="str">
            <v>Nganjuk</v>
          </cell>
          <cell r="S36" t="str">
            <v>D Barat1</v>
          </cell>
          <cell r="T36" t="str">
            <v>Dian</v>
          </cell>
          <cell r="U36">
            <v>60</v>
          </cell>
        </row>
        <row r="37">
          <cell r="E37" t="str">
            <v>T25001465</v>
          </cell>
          <cell r="F37"/>
          <cell r="G37">
            <v>60000000</v>
          </cell>
          <cell r="H37" t="str">
            <v>Reni</v>
          </cell>
          <cell r="I37" t="str">
            <v>Farida</v>
          </cell>
          <cell r="J37" t="str">
            <v>New 04/04/24</v>
          </cell>
          <cell r="K37" t="str">
            <v>KU</v>
          </cell>
          <cell r="L37" t="str">
            <v>ABIY01</v>
          </cell>
          <cell r="M37" t="str">
            <v>Abiyu Tani/Wahyu Cahyo</v>
          </cell>
          <cell r="N37" t="str">
            <v>Wahyu Cahyo Widodo</v>
          </cell>
          <cell r="O37" t="str">
            <v>Ds. Kedunghulu (Abiyu Tani) RT.001/RW.007, Ngadiboyo, Rejoso</v>
          </cell>
          <cell r="P37" t="str">
            <v>Nganjuk</v>
          </cell>
          <cell r="Q37" t="str">
            <v>Ds. Ngadiboyo, Kel. Ngadiboyo, Kec. Rejoso</v>
          </cell>
          <cell r="R37" t="str">
            <v>Nganjuk</v>
          </cell>
          <cell r="S37" t="str">
            <v>D Barat1</v>
          </cell>
          <cell r="T37" t="str">
            <v>Dian</v>
          </cell>
          <cell r="U37">
            <v>60</v>
          </cell>
        </row>
        <row r="38">
          <cell r="E38" t="str">
            <v>T25001465</v>
          </cell>
          <cell r="F38"/>
          <cell r="G38">
            <v>60000000</v>
          </cell>
          <cell r="H38" t="str">
            <v>Reni</v>
          </cell>
          <cell r="I38" t="str">
            <v>Farida</v>
          </cell>
          <cell r="J38" t="str">
            <v>New 04/04/24</v>
          </cell>
          <cell r="K38" t="str">
            <v>KU</v>
          </cell>
          <cell r="L38" t="str">
            <v>ABIY01</v>
          </cell>
          <cell r="M38" t="str">
            <v>Abiyu Tani/Wahyu Cahyo</v>
          </cell>
          <cell r="N38" t="str">
            <v>Wahyu Cahyo Widodo</v>
          </cell>
          <cell r="O38" t="str">
            <v>Ds. Kedunghulu (Abiyu Tani) RT.001/RW.007, Ngadiboyo, Rejoso</v>
          </cell>
          <cell r="P38" t="str">
            <v>Nganjuk</v>
          </cell>
          <cell r="Q38" t="str">
            <v>Ds. Ngadiboyo, Kel. Ngadiboyo, Kec. Rejoso</v>
          </cell>
          <cell r="R38" t="str">
            <v>Nganjuk</v>
          </cell>
          <cell r="S38" t="str">
            <v>D Barat1</v>
          </cell>
          <cell r="T38" t="str">
            <v>Dian</v>
          </cell>
          <cell r="U38">
            <v>60</v>
          </cell>
        </row>
        <row r="39">
          <cell r="E39" t="str">
            <v>T25001465</v>
          </cell>
          <cell r="F39"/>
          <cell r="G39">
            <v>60000000</v>
          </cell>
          <cell r="H39" t="str">
            <v>Reni</v>
          </cell>
          <cell r="I39" t="str">
            <v>Farida</v>
          </cell>
          <cell r="J39" t="str">
            <v>New 04/04/24</v>
          </cell>
          <cell r="K39" t="str">
            <v>KU</v>
          </cell>
          <cell r="L39" t="str">
            <v>ABIY01</v>
          </cell>
          <cell r="M39" t="str">
            <v>Abiyu Tani/Wahyu Cahyo</v>
          </cell>
          <cell r="N39" t="str">
            <v>Wahyu Cahyo Widodo</v>
          </cell>
          <cell r="O39" t="str">
            <v>Ds. Kedunghulu (Abiyu Tani) RT.001/RW.007, Ngadiboyo, Rejoso</v>
          </cell>
          <cell r="P39" t="str">
            <v>Nganjuk</v>
          </cell>
          <cell r="Q39" t="str">
            <v>Ds. Ngadiboyo, Kel. Ngadiboyo, Kec. Rejoso</v>
          </cell>
          <cell r="R39" t="str">
            <v>Nganjuk</v>
          </cell>
          <cell r="S39" t="str">
            <v>D Barat1</v>
          </cell>
          <cell r="T39" t="str">
            <v>Dian</v>
          </cell>
          <cell r="U39">
            <v>60</v>
          </cell>
        </row>
        <row r="40">
          <cell r="E40" t="str">
            <v>B25012760</v>
          </cell>
          <cell r="F40"/>
          <cell r="G40">
            <v>60000000</v>
          </cell>
          <cell r="H40" t="str">
            <v>Reni</v>
          </cell>
          <cell r="I40" t="str">
            <v>Farida</v>
          </cell>
          <cell r="J40" t="str">
            <v>New 04/04/24</v>
          </cell>
          <cell r="K40" t="str">
            <v>KU</v>
          </cell>
          <cell r="L40" t="str">
            <v>ABIY01</v>
          </cell>
          <cell r="M40" t="str">
            <v>Abiyu Tani/Wahyu Cahyo</v>
          </cell>
          <cell r="N40" t="str">
            <v>Wahyu Cahyo Widodo</v>
          </cell>
          <cell r="O40" t="str">
            <v>Ds. Kedunghulu (Abiyu Tani) RT.001/RW.007, Ngadiboyo, Rejoso</v>
          </cell>
          <cell r="P40" t="str">
            <v>Nganjuk</v>
          </cell>
          <cell r="Q40" t="str">
            <v>Ds. Ngadiboyo, Kel. Ngadiboyo, Kec. Rejoso</v>
          </cell>
          <cell r="R40" t="str">
            <v>Nganjuk</v>
          </cell>
          <cell r="S40" t="str">
            <v>D Barat1</v>
          </cell>
          <cell r="T40" t="str">
            <v>Dian</v>
          </cell>
          <cell r="U40">
            <v>0</v>
          </cell>
        </row>
        <row r="41">
          <cell r="E41" t="str">
            <v>D25015794</v>
          </cell>
          <cell r="F41"/>
          <cell r="G41">
            <v>60000000</v>
          </cell>
          <cell r="H41" t="str">
            <v>Reni</v>
          </cell>
          <cell r="I41" t="str">
            <v>Farida</v>
          </cell>
          <cell r="J41" t="str">
            <v>New 04/04/24</v>
          </cell>
          <cell r="K41" t="str">
            <v>KU</v>
          </cell>
          <cell r="L41" t="str">
            <v>ABIY01</v>
          </cell>
          <cell r="M41" t="str">
            <v>Abiyu Tani/Wahyu Cahyo</v>
          </cell>
          <cell r="N41" t="str">
            <v>Wahyu Cahyo Widodo</v>
          </cell>
          <cell r="O41" t="str">
            <v>Ds. Kedunghulu (Abiyu Tani) RT.001/RW.007, Ngadiboyo, Rejoso</v>
          </cell>
          <cell r="P41" t="str">
            <v>Nganjuk</v>
          </cell>
          <cell r="Q41" t="str">
            <v>Ds. Ngadiboyo, Kel. Ngadiboyo, Kec. Rejoso</v>
          </cell>
          <cell r="R41" t="str">
            <v>Nganjuk</v>
          </cell>
          <cell r="S41" t="str">
            <v>D Barat1</v>
          </cell>
          <cell r="T41" t="str">
            <v>Dian</v>
          </cell>
          <cell r="U41">
            <v>60</v>
          </cell>
        </row>
        <row r="42">
          <cell r="E42" t="str">
            <v>D25016370</v>
          </cell>
          <cell r="F42"/>
          <cell r="G42">
            <v>60000000</v>
          </cell>
          <cell r="H42" t="str">
            <v>Reni</v>
          </cell>
          <cell r="I42" t="str">
            <v>Farida</v>
          </cell>
          <cell r="J42" t="str">
            <v>New 04/04/24</v>
          </cell>
          <cell r="K42" t="str">
            <v>KU</v>
          </cell>
          <cell r="L42" t="str">
            <v>ABIY01</v>
          </cell>
          <cell r="M42" t="str">
            <v>Abiyu Tani/Wahyu Cahyo</v>
          </cell>
          <cell r="N42" t="str">
            <v>Wahyu Cahyo Widodo</v>
          </cell>
          <cell r="O42" t="str">
            <v>Ds. Kedunghulu (Abiyu Tani) RT.001/RW.007, Ngadiboyo, Rejoso</v>
          </cell>
          <cell r="P42" t="str">
            <v>Nganjuk</v>
          </cell>
          <cell r="Q42" t="str">
            <v>Ds. Ngadiboyo, Kel. Ngadiboyo, Kec. Rejoso</v>
          </cell>
          <cell r="R42" t="str">
            <v>Nganjuk</v>
          </cell>
          <cell r="S42" t="str">
            <v>D Barat1</v>
          </cell>
          <cell r="T42" t="str">
            <v>Dian</v>
          </cell>
          <cell r="U42">
            <v>60</v>
          </cell>
        </row>
        <row r="43">
          <cell r="E43" t="str">
            <v>D25016371</v>
          </cell>
          <cell r="F43"/>
          <cell r="G43">
            <v>60000000</v>
          </cell>
          <cell r="H43" t="str">
            <v>Reni</v>
          </cell>
          <cell r="I43" t="str">
            <v>Farida</v>
          </cell>
          <cell r="J43" t="str">
            <v>New 04/04/24</v>
          </cell>
          <cell r="K43" t="str">
            <v>KU</v>
          </cell>
          <cell r="L43" t="str">
            <v>ABIY01</v>
          </cell>
          <cell r="M43" t="str">
            <v>Abiyu Tani/Wahyu Cahyo</v>
          </cell>
          <cell r="N43" t="str">
            <v>Wahyu Cahyo Widodo</v>
          </cell>
          <cell r="O43" t="str">
            <v>Ds. Kedunghulu (Abiyu Tani) RT.001/RW.007, Ngadiboyo, Rejoso</v>
          </cell>
          <cell r="P43" t="str">
            <v>Nganjuk</v>
          </cell>
          <cell r="Q43" t="str">
            <v>Ds. Ngadiboyo, Kel. Ngadiboyo, Kec. Rejoso</v>
          </cell>
          <cell r="R43" t="str">
            <v>Nganjuk</v>
          </cell>
          <cell r="S43" t="str">
            <v>D Barat1</v>
          </cell>
          <cell r="T43" t="str">
            <v>Dian</v>
          </cell>
          <cell r="U43">
            <v>60</v>
          </cell>
        </row>
        <row r="44">
          <cell r="E44" t="str">
            <v>T25001118</v>
          </cell>
          <cell r="F44"/>
          <cell r="G44">
            <v>10000000</v>
          </cell>
          <cell r="H44" t="str">
            <v>Ariyani</v>
          </cell>
          <cell r="I44" t="str">
            <v>Fira</v>
          </cell>
          <cell r="J44" t="str">
            <v>New 21/07/23</v>
          </cell>
          <cell r="K44" t="str">
            <v>KU</v>
          </cell>
          <cell r="L44" t="str">
            <v>ABOE01</v>
          </cell>
          <cell r="M44" t="str">
            <v>Aboe Tani</v>
          </cell>
          <cell r="N44" t="str">
            <v>Mak`in</v>
          </cell>
          <cell r="O44" t="str">
            <v>Dusun Krajan RT.004/RW.001, Kel. Mranggon Lawang, Kec. Dringu</v>
          </cell>
          <cell r="P44" t="str">
            <v>Probolinggo</v>
          </cell>
          <cell r="Q44" t="str">
            <v>Dusun Krajan RT.004/RW.001, Kel. Mranggon Lawang, Kec. Dringu</v>
          </cell>
          <cell r="R44" t="str">
            <v>Probolinggo</v>
          </cell>
          <cell r="S44" t="str">
            <v>G Prob2</v>
          </cell>
          <cell r="T44" t="str">
            <v>Wira</v>
          </cell>
          <cell r="U44">
            <v>60</v>
          </cell>
        </row>
        <row r="45">
          <cell r="E45" t="str">
            <v>B25011548</v>
          </cell>
          <cell r="F45"/>
          <cell r="G45">
            <v>10000000</v>
          </cell>
          <cell r="H45" t="str">
            <v>Ariyani</v>
          </cell>
          <cell r="I45" t="str">
            <v>Fira</v>
          </cell>
          <cell r="J45" t="str">
            <v>New 21/07/23</v>
          </cell>
          <cell r="K45" t="str">
            <v>KU</v>
          </cell>
          <cell r="L45" t="str">
            <v>ABOE01</v>
          </cell>
          <cell r="M45" t="str">
            <v>Aboe Tani</v>
          </cell>
          <cell r="N45" t="str">
            <v>Mak`in</v>
          </cell>
          <cell r="O45" t="str">
            <v>Dusun Krajan RT.004/RW.001, Kel. Mranggon Lawang, Kec. Dringu</v>
          </cell>
          <cell r="P45" t="str">
            <v>Probolinggo</v>
          </cell>
          <cell r="Q45" t="str">
            <v>Dusun Krajan RT.004/RW.001, Kel. Mranggon Lawang, Kec. Dringu</v>
          </cell>
          <cell r="R45" t="str">
            <v>Probolinggo</v>
          </cell>
          <cell r="S45" t="str">
            <v>G Prob2</v>
          </cell>
          <cell r="T45" t="str">
            <v>Wira</v>
          </cell>
          <cell r="U45">
            <v>30</v>
          </cell>
        </row>
        <row r="46">
          <cell r="E46" t="str">
            <v>T25000266</v>
          </cell>
          <cell r="F46"/>
          <cell r="G46">
            <v>1000</v>
          </cell>
          <cell r="H46" t="str">
            <v>Faris</v>
          </cell>
          <cell r="I46" t="str">
            <v>Syahra</v>
          </cell>
          <cell r="J46" t="str">
            <v>New 18/02/2025</v>
          </cell>
          <cell r="K46" t="str">
            <v>KU</v>
          </cell>
          <cell r="L46" t="str">
            <v>ACHW01</v>
          </cell>
          <cell r="M46" t="str">
            <v>Ach. Wagiyo Setiantoro</v>
          </cell>
          <cell r="N46" t="str">
            <v>Ach. Wagiyo Setiantoro</v>
          </cell>
          <cell r="O46" t="str">
            <v>Perum Puri Brawijaya Blok MD.08 RT.005/RW.004 , Kel. Kebalenan, Kec. Banyuwangi</v>
          </cell>
          <cell r="P46" t="str">
            <v>Banyuwangi</v>
          </cell>
          <cell r="Q46" t="str">
            <v>Perum Puri Brawijaya Blok MD.08 RT.005/RW.004 , Kel. Kebalenan, Kec. Banyuwangi</v>
          </cell>
          <cell r="R46" t="str">
            <v>Banyuwangi</v>
          </cell>
          <cell r="S46" t="str">
            <v>H Bwi2</v>
          </cell>
          <cell r="T46" t="str">
            <v>Hafid</v>
          </cell>
          <cell r="U46">
            <v>194</v>
          </cell>
        </row>
        <row r="47">
          <cell r="E47" t="str">
            <v>B25007543</v>
          </cell>
          <cell r="F47"/>
          <cell r="G47">
            <v>150000000</v>
          </cell>
          <cell r="H47" t="str">
            <v>Ariyani</v>
          </cell>
          <cell r="I47" t="str">
            <v>Fira</v>
          </cell>
          <cell r="J47"/>
          <cell r="K47" t="str">
            <v>KU</v>
          </cell>
          <cell r="L47" t="str">
            <v>ADAM02</v>
          </cell>
          <cell r="M47" t="str">
            <v>Adam Jaya/Indah</v>
          </cell>
          <cell r="N47" t="str">
            <v>Indah Fawaziah</v>
          </cell>
          <cell r="O47" t="str">
            <v>Dsn. Dauh RT.002/RW.003, Kel. Alas Tengah, Kec. Besuk</v>
          </cell>
          <cell r="P47" t="str">
            <v>Probolinggo</v>
          </cell>
          <cell r="Q47" t="str">
            <v>Jl. Raya Besuk, Kec. Besuk</v>
          </cell>
          <cell r="R47" t="str">
            <v>Probolinggo</v>
          </cell>
          <cell r="S47" t="str">
            <v>G Prob2</v>
          </cell>
          <cell r="T47" t="str">
            <v>Wira</v>
          </cell>
          <cell r="U47">
            <v>30</v>
          </cell>
        </row>
        <row r="48">
          <cell r="E48" t="str">
            <v>T25001091</v>
          </cell>
          <cell r="F48"/>
          <cell r="G48">
            <v>150000000</v>
          </cell>
          <cell r="H48" t="str">
            <v>Ariyani</v>
          </cell>
          <cell r="I48" t="str">
            <v>Fira</v>
          </cell>
          <cell r="J48"/>
          <cell r="K48" t="str">
            <v>KU</v>
          </cell>
          <cell r="L48" t="str">
            <v>ADAM02</v>
          </cell>
          <cell r="M48" t="str">
            <v>Adam Jaya/Indah</v>
          </cell>
          <cell r="N48" t="str">
            <v>Indah Fawaziah</v>
          </cell>
          <cell r="O48" t="str">
            <v>Dsn. Dauh RT.002/RW.003, Kel. Alas Tengah, Kec. Besuk</v>
          </cell>
          <cell r="P48" t="str">
            <v>Probolinggo</v>
          </cell>
          <cell r="Q48" t="str">
            <v>Jl. Raya Besuk, Kec. Besuk</v>
          </cell>
          <cell r="R48" t="str">
            <v>Probolinggo</v>
          </cell>
          <cell r="S48" t="str">
            <v>G Prob2</v>
          </cell>
          <cell r="T48" t="str">
            <v>Wira</v>
          </cell>
          <cell r="U48">
            <v>60</v>
          </cell>
        </row>
        <row r="49">
          <cell r="E49" t="str">
            <v>T25001114</v>
          </cell>
          <cell r="F49"/>
          <cell r="G49">
            <v>150000000</v>
          </cell>
          <cell r="H49" t="str">
            <v>Ariyani</v>
          </cell>
          <cell r="I49" t="str">
            <v>Fira</v>
          </cell>
          <cell r="J49"/>
          <cell r="K49" t="str">
            <v>KU</v>
          </cell>
          <cell r="L49" t="str">
            <v>ADAM02</v>
          </cell>
          <cell r="M49" t="str">
            <v>Adam Jaya/Indah</v>
          </cell>
          <cell r="N49" t="str">
            <v>Indah Fawaziah</v>
          </cell>
          <cell r="O49" t="str">
            <v>Dsn. Dauh RT.002/RW.003, Kel. Alas Tengah, Kec. Besuk</v>
          </cell>
          <cell r="P49" t="str">
            <v>Probolinggo</v>
          </cell>
          <cell r="Q49" t="str">
            <v>Jl. Raya Besuk, Kec. Besuk</v>
          </cell>
          <cell r="R49" t="str">
            <v>Probolinggo</v>
          </cell>
          <cell r="S49" t="str">
            <v>G Prob2</v>
          </cell>
          <cell r="T49" t="str">
            <v>Wira</v>
          </cell>
          <cell r="U49">
            <v>60</v>
          </cell>
        </row>
        <row r="50">
          <cell r="E50" t="str">
            <v>B25009155</v>
          </cell>
          <cell r="F50"/>
          <cell r="G50">
            <v>150000000</v>
          </cell>
          <cell r="H50" t="str">
            <v>Ariyani</v>
          </cell>
          <cell r="I50" t="str">
            <v>Fira</v>
          </cell>
          <cell r="J50"/>
          <cell r="K50" t="str">
            <v>KU</v>
          </cell>
          <cell r="L50" t="str">
            <v>ADAM02</v>
          </cell>
          <cell r="M50" t="str">
            <v>Adam Jaya/Indah</v>
          </cell>
          <cell r="N50" t="str">
            <v>Indah Fawaziah</v>
          </cell>
          <cell r="O50" t="str">
            <v>Dsn. Dauh RT.002/RW.003, Kel. Alas Tengah, Kec. Besuk</v>
          </cell>
          <cell r="P50" t="str">
            <v>Probolinggo</v>
          </cell>
          <cell r="Q50" t="str">
            <v>Jl. Raya Besuk, Kec. Besuk</v>
          </cell>
          <cell r="R50" t="str">
            <v>Probolinggo</v>
          </cell>
          <cell r="S50" t="str">
            <v>G Prob2</v>
          </cell>
          <cell r="T50" t="str">
            <v>Wira</v>
          </cell>
          <cell r="U50">
            <v>60</v>
          </cell>
        </row>
        <row r="51">
          <cell r="E51" t="str">
            <v>B25009537</v>
          </cell>
          <cell r="F51"/>
          <cell r="G51">
            <v>150000000</v>
          </cell>
          <cell r="H51" t="str">
            <v>Ariyani</v>
          </cell>
          <cell r="I51" t="str">
            <v>Fira</v>
          </cell>
          <cell r="J51"/>
          <cell r="K51" t="str">
            <v>KU</v>
          </cell>
          <cell r="L51" t="str">
            <v>ADAM02</v>
          </cell>
          <cell r="M51" t="str">
            <v>Adam Jaya/Indah</v>
          </cell>
          <cell r="N51" t="str">
            <v>Indah Fawaziah</v>
          </cell>
          <cell r="O51" t="str">
            <v>Dsn. Dauh RT.002/RW.003, Kel. Alas Tengah, Kec. Besuk</v>
          </cell>
          <cell r="P51" t="str">
            <v>Probolinggo</v>
          </cell>
          <cell r="Q51" t="str">
            <v>Jl. Raya Besuk, Kec. Besuk</v>
          </cell>
          <cell r="R51" t="str">
            <v>Probolinggo</v>
          </cell>
          <cell r="S51" t="str">
            <v>G Prob2</v>
          </cell>
          <cell r="T51" t="str">
            <v>Wira</v>
          </cell>
          <cell r="U51">
            <v>60</v>
          </cell>
        </row>
        <row r="52">
          <cell r="E52" t="str">
            <v>D25011465</v>
          </cell>
          <cell r="F52"/>
          <cell r="G52">
            <v>150000000</v>
          </cell>
          <cell r="H52" t="str">
            <v>Ariyani</v>
          </cell>
          <cell r="I52" t="str">
            <v>Fira</v>
          </cell>
          <cell r="J52"/>
          <cell r="K52" t="str">
            <v>KU</v>
          </cell>
          <cell r="L52" t="str">
            <v>ADAM02</v>
          </cell>
          <cell r="M52" t="str">
            <v>Adam Jaya/Indah</v>
          </cell>
          <cell r="N52" t="str">
            <v>Indah Fawaziah</v>
          </cell>
          <cell r="O52" t="str">
            <v>Dsn. Dauh RT.002/RW.003, Kel. Alas Tengah, Kec. Besuk</v>
          </cell>
          <cell r="P52" t="str">
            <v>Probolinggo</v>
          </cell>
          <cell r="Q52" t="str">
            <v>Jl. Raya Besuk, Kec. Besuk</v>
          </cell>
          <cell r="R52" t="str">
            <v>Probolinggo</v>
          </cell>
          <cell r="S52" t="str">
            <v>G Prob2</v>
          </cell>
          <cell r="T52" t="str">
            <v>Wira</v>
          </cell>
          <cell r="U52">
            <v>60</v>
          </cell>
        </row>
        <row r="53">
          <cell r="E53" t="str">
            <v>D25011875</v>
          </cell>
          <cell r="F53"/>
          <cell r="G53">
            <v>150000000</v>
          </cell>
          <cell r="H53" t="str">
            <v>Ariyani</v>
          </cell>
          <cell r="I53" t="str">
            <v>Fira</v>
          </cell>
          <cell r="J53"/>
          <cell r="K53" t="str">
            <v>KU</v>
          </cell>
          <cell r="L53" t="str">
            <v>ADAM02</v>
          </cell>
          <cell r="M53" t="str">
            <v>Adam Jaya/Indah</v>
          </cell>
          <cell r="N53" t="str">
            <v>Indah Fawaziah</v>
          </cell>
          <cell r="O53" t="str">
            <v>Dsn. Dauh RT.002/RW.003, Kel. Alas Tengah, Kec. Besuk</v>
          </cell>
          <cell r="P53" t="str">
            <v>Probolinggo</v>
          </cell>
          <cell r="Q53" t="str">
            <v>Jl. Raya Besuk, Kec. Besuk</v>
          </cell>
          <cell r="R53" t="str">
            <v>Probolinggo</v>
          </cell>
          <cell r="S53" t="str">
            <v>G Prob2</v>
          </cell>
          <cell r="T53" t="str">
            <v>Wira</v>
          </cell>
          <cell r="U53">
            <v>60</v>
          </cell>
        </row>
        <row r="54">
          <cell r="E54" t="str">
            <v>D25012100</v>
          </cell>
          <cell r="F54"/>
          <cell r="G54">
            <v>150000000</v>
          </cell>
          <cell r="H54" t="str">
            <v>Ariyani</v>
          </cell>
          <cell r="I54" t="str">
            <v>Fira</v>
          </cell>
          <cell r="J54"/>
          <cell r="K54" t="str">
            <v>KU</v>
          </cell>
          <cell r="L54" t="str">
            <v>ADAM02</v>
          </cell>
          <cell r="M54" t="str">
            <v>Adam Jaya/Indah</v>
          </cell>
          <cell r="N54" t="str">
            <v>Indah Fawaziah</v>
          </cell>
          <cell r="O54" t="str">
            <v>Dsn. Dauh RT.002/RW.003, Kel. Alas Tengah, Kec. Besuk</v>
          </cell>
          <cell r="P54" t="str">
            <v>Probolinggo</v>
          </cell>
          <cell r="Q54" t="str">
            <v>Jl. Raya Besuk, Kec. Besuk</v>
          </cell>
          <cell r="R54" t="str">
            <v>Probolinggo</v>
          </cell>
          <cell r="S54" t="str">
            <v>G Prob2</v>
          </cell>
          <cell r="T54" t="str">
            <v>Wira</v>
          </cell>
          <cell r="U54">
            <v>30</v>
          </cell>
        </row>
        <row r="55">
          <cell r="E55" t="str">
            <v>D25012994</v>
          </cell>
          <cell r="F55"/>
          <cell r="G55">
            <v>150000000</v>
          </cell>
          <cell r="H55" t="str">
            <v>Ariyani</v>
          </cell>
          <cell r="I55" t="str">
            <v>Fira</v>
          </cell>
          <cell r="J55"/>
          <cell r="K55" t="str">
            <v>KU</v>
          </cell>
          <cell r="L55" t="str">
            <v>ADAM02</v>
          </cell>
          <cell r="M55" t="str">
            <v>Adam Jaya/Indah</v>
          </cell>
          <cell r="N55" t="str">
            <v>Indah Fawaziah</v>
          </cell>
          <cell r="O55" t="str">
            <v>Dsn. Dauh RT.002/RW.003, Kel. Alas Tengah, Kec. Besuk</v>
          </cell>
          <cell r="P55" t="str">
            <v>Probolinggo</v>
          </cell>
          <cell r="Q55" t="str">
            <v>Jl. Raya Besuk, Kec. Besuk</v>
          </cell>
          <cell r="R55" t="str">
            <v>Probolinggo</v>
          </cell>
          <cell r="S55" t="str">
            <v>G Prob2</v>
          </cell>
          <cell r="T55" t="str">
            <v>Wira</v>
          </cell>
          <cell r="U55">
            <v>30</v>
          </cell>
        </row>
        <row r="56">
          <cell r="E56" t="str">
            <v>D25014005</v>
          </cell>
          <cell r="F56"/>
          <cell r="G56">
            <v>150000000</v>
          </cell>
          <cell r="H56" t="str">
            <v>Ariyani</v>
          </cell>
          <cell r="I56" t="str">
            <v>Fira</v>
          </cell>
          <cell r="J56"/>
          <cell r="K56" t="str">
            <v>KU</v>
          </cell>
          <cell r="L56" t="str">
            <v>ADAM02</v>
          </cell>
          <cell r="M56" t="str">
            <v>Adam Jaya/Indah</v>
          </cell>
          <cell r="N56" t="str">
            <v>Indah Fawaziah</v>
          </cell>
          <cell r="O56" t="str">
            <v>Dsn. Dauh RT.002/RW.003, Kel. Alas Tengah, Kec. Besuk</v>
          </cell>
          <cell r="P56" t="str">
            <v>Probolinggo</v>
          </cell>
          <cell r="Q56" t="str">
            <v>Jl. Raya Besuk, Kec. Besuk</v>
          </cell>
          <cell r="R56" t="str">
            <v>Probolinggo</v>
          </cell>
          <cell r="S56" t="str">
            <v>G Prob2</v>
          </cell>
          <cell r="T56" t="str">
            <v>Wira</v>
          </cell>
          <cell r="U56">
            <v>60</v>
          </cell>
        </row>
        <row r="57">
          <cell r="E57" t="str">
            <v>B25011923</v>
          </cell>
          <cell r="F57"/>
          <cell r="G57">
            <v>150000000</v>
          </cell>
          <cell r="H57" t="str">
            <v>Ariyani</v>
          </cell>
          <cell r="I57" t="str">
            <v>Fira</v>
          </cell>
          <cell r="J57"/>
          <cell r="K57" t="str">
            <v>KU</v>
          </cell>
          <cell r="L57" t="str">
            <v>ADAM02</v>
          </cell>
          <cell r="M57" t="str">
            <v>Adam Jaya/Indah</v>
          </cell>
          <cell r="N57" t="str">
            <v>Indah Fawaziah</v>
          </cell>
          <cell r="O57" t="str">
            <v>Dsn. Dauh RT.002/RW.003, Kel. Alas Tengah, Kec. Besuk</v>
          </cell>
          <cell r="P57" t="str">
            <v>Probolinggo</v>
          </cell>
          <cell r="Q57" t="str">
            <v>Jl. Raya Besuk, Kec. Besuk</v>
          </cell>
          <cell r="R57" t="str">
            <v>Probolinggo</v>
          </cell>
          <cell r="S57" t="str">
            <v>G Prob2</v>
          </cell>
          <cell r="T57" t="str">
            <v>Wira</v>
          </cell>
          <cell r="U57">
            <v>30</v>
          </cell>
        </row>
        <row r="58">
          <cell r="E58" t="str">
            <v>D25014223</v>
          </cell>
          <cell r="F58"/>
          <cell r="G58">
            <v>150000000</v>
          </cell>
          <cell r="H58" t="str">
            <v>Ariyani</v>
          </cell>
          <cell r="I58" t="str">
            <v>Fira</v>
          </cell>
          <cell r="J58"/>
          <cell r="K58" t="str">
            <v>KU</v>
          </cell>
          <cell r="L58" t="str">
            <v>ADAM02</v>
          </cell>
          <cell r="M58" t="str">
            <v>Adam Jaya/Indah</v>
          </cell>
          <cell r="N58" t="str">
            <v>Indah Fawaziah</v>
          </cell>
          <cell r="O58" t="str">
            <v>Dsn. Dauh RT.002/RW.003, Kel. Alas Tengah, Kec. Besuk</v>
          </cell>
          <cell r="P58" t="str">
            <v>Probolinggo</v>
          </cell>
          <cell r="Q58" t="str">
            <v>Jl. Raya Besuk, Kec. Besuk</v>
          </cell>
          <cell r="R58" t="str">
            <v>Probolinggo</v>
          </cell>
          <cell r="S58" t="str">
            <v>G Prob2</v>
          </cell>
          <cell r="T58" t="str">
            <v>Wira</v>
          </cell>
          <cell r="U58">
            <v>30</v>
          </cell>
        </row>
        <row r="59">
          <cell r="E59" t="str">
            <v>B25013633</v>
          </cell>
          <cell r="F59"/>
          <cell r="G59">
            <v>150000000</v>
          </cell>
          <cell r="H59" t="str">
            <v>Ariyani</v>
          </cell>
          <cell r="I59" t="str">
            <v>Fira</v>
          </cell>
          <cell r="J59"/>
          <cell r="K59" t="str">
            <v>KU</v>
          </cell>
          <cell r="L59" t="str">
            <v>ADAM02</v>
          </cell>
          <cell r="M59" t="str">
            <v>Adam Jaya/Indah</v>
          </cell>
          <cell r="N59" t="str">
            <v>Indah Fawaziah</v>
          </cell>
          <cell r="O59" t="str">
            <v>Dsn. Dauh RT.002/RW.003, Kel. Alas Tengah, Kec. Besuk</v>
          </cell>
          <cell r="P59" t="str">
            <v>Probolinggo</v>
          </cell>
          <cell r="Q59" t="str">
            <v>Jl. Raya Besuk, Kec. Besuk</v>
          </cell>
          <cell r="R59" t="str">
            <v>Probolinggo</v>
          </cell>
          <cell r="S59" t="str">
            <v>G Prob2</v>
          </cell>
          <cell r="T59" t="str">
            <v>Wira</v>
          </cell>
          <cell r="U59">
            <v>60</v>
          </cell>
        </row>
        <row r="60">
          <cell r="E60" t="str">
            <v>B25013634</v>
          </cell>
          <cell r="F60"/>
          <cell r="G60">
            <v>150000000</v>
          </cell>
          <cell r="H60" t="str">
            <v>Ariyani</v>
          </cell>
          <cell r="I60" t="str">
            <v>Fira</v>
          </cell>
          <cell r="J60"/>
          <cell r="K60" t="str">
            <v>KU</v>
          </cell>
          <cell r="L60" t="str">
            <v>ADAM02</v>
          </cell>
          <cell r="M60" t="str">
            <v>Adam Jaya/Indah</v>
          </cell>
          <cell r="N60" t="str">
            <v>Indah Fawaziah</v>
          </cell>
          <cell r="O60" t="str">
            <v>Dsn. Dauh RT.002/RW.003, Kel. Alas Tengah, Kec. Besuk</v>
          </cell>
          <cell r="P60" t="str">
            <v>Probolinggo</v>
          </cell>
          <cell r="Q60" t="str">
            <v>Jl. Raya Besuk, Kec. Besuk</v>
          </cell>
          <cell r="R60" t="str">
            <v>Probolinggo</v>
          </cell>
          <cell r="S60" t="str">
            <v>G Prob2</v>
          </cell>
          <cell r="T60" t="str">
            <v>Wira</v>
          </cell>
          <cell r="U60">
            <v>60</v>
          </cell>
        </row>
        <row r="61">
          <cell r="E61" t="str">
            <v>B25013635</v>
          </cell>
          <cell r="F61"/>
          <cell r="G61">
            <v>150000000</v>
          </cell>
          <cell r="H61" t="str">
            <v>Ariyani</v>
          </cell>
          <cell r="I61" t="str">
            <v>Fira</v>
          </cell>
          <cell r="J61"/>
          <cell r="K61" t="str">
            <v>KU</v>
          </cell>
          <cell r="L61" t="str">
            <v>ADAM02</v>
          </cell>
          <cell r="M61" t="str">
            <v>Adam Jaya/Indah</v>
          </cell>
          <cell r="N61" t="str">
            <v>Indah Fawaziah</v>
          </cell>
          <cell r="O61" t="str">
            <v>Dsn. Dauh RT.002/RW.003, Kel. Alas Tengah, Kec. Besuk</v>
          </cell>
          <cell r="P61" t="str">
            <v>Probolinggo</v>
          </cell>
          <cell r="Q61" t="str">
            <v>Jl. Raya Besuk, Kec. Besuk</v>
          </cell>
          <cell r="R61" t="str">
            <v>Probolinggo</v>
          </cell>
          <cell r="S61" t="str">
            <v>G Prob2</v>
          </cell>
          <cell r="T61" t="str">
            <v>Wira</v>
          </cell>
          <cell r="U61">
            <v>60</v>
          </cell>
        </row>
        <row r="62">
          <cell r="E62" t="str">
            <v>B25013636</v>
          </cell>
          <cell r="F62"/>
          <cell r="G62">
            <v>150000000</v>
          </cell>
          <cell r="H62" t="str">
            <v>Ariyani</v>
          </cell>
          <cell r="I62" t="str">
            <v>Fira</v>
          </cell>
          <cell r="J62"/>
          <cell r="K62" t="str">
            <v>KU</v>
          </cell>
          <cell r="L62" t="str">
            <v>ADAM02</v>
          </cell>
          <cell r="M62" t="str">
            <v>Adam Jaya/Indah</v>
          </cell>
          <cell r="N62" t="str">
            <v>Indah Fawaziah</v>
          </cell>
          <cell r="O62" t="str">
            <v>Dsn. Dauh RT.002/RW.003, Kel. Alas Tengah, Kec. Besuk</v>
          </cell>
          <cell r="P62" t="str">
            <v>Probolinggo</v>
          </cell>
          <cell r="Q62" t="str">
            <v>Jl. Raya Besuk, Kec. Besuk</v>
          </cell>
          <cell r="R62" t="str">
            <v>Probolinggo</v>
          </cell>
          <cell r="S62" t="str">
            <v>G Prob2</v>
          </cell>
          <cell r="T62" t="str">
            <v>Wira</v>
          </cell>
          <cell r="U62">
            <v>60</v>
          </cell>
        </row>
        <row r="63">
          <cell r="E63" t="str">
            <v>B25013952</v>
          </cell>
          <cell r="F63"/>
          <cell r="G63">
            <v>150000000</v>
          </cell>
          <cell r="H63" t="str">
            <v>Ariyani</v>
          </cell>
          <cell r="I63" t="str">
            <v>Fira</v>
          </cell>
          <cell r="J63"/>
          <cell r="K63" t="str">
            <v>KU</v>
          </cell>
          <cell r="L63" t="str">
            <v>ADAM02</v>
          </cell>
          <cell r="M63" t="str">
            <v>Adam Jaya/Indah</v>
          </cell>
          <cell r="N63" t="str">
            <v>Indah Fawaziah</v>
          </cell>
          <cell r="O63" t="str">
            <v>Dsn. Dauh RT.002/RW.003, Kel. Alas Tengah, Kec. Besuk</v>
          </cell>
          <cell r="P63" t="str">
            <v>Probolinggo</v>
          </cell>
          <cell r="Q63" t="str">
            <v>Jl. Raya Besuk, Kec. Besuk</v>
          </cell>
          <cell r="R63" t="str">
            <v>Probolinggo</v>
          </cell>
          <cell r="S63" t="str">
            <v>G Prob2</v>
          </cell>
          <cell r="T63" t="str">
            <v>Wira</v>
          </cell>
          <cell r="U63">
            <v>30</v>
          </cell>
        </row>
        <row r="64">
          <cell r="E64" t="str">
            <v>Z25002451</v>
          </cell>
          <cell r="F64"/>
          <cell r="G64">
            <v>1000</v>
          </cell>
          <cell r="H64" t="str">
            <v>Reni</v>
          </cell>
          <cell r="I64" t="str">
            <v>Farida</v>
          </cell>
          <cell r="J64"/>
          <cell r="K64" t="str">
            <v>KU</v>
          </cell>
          <cell r="L64" t="str">
            <v>ADHI02</v>
          </cell>
          <cell r="M64" t="str">
            <v>Adhi Tani Mulyo, UD</v>
          </cell>
          <cell r="N64" t="str">
            <v>Yuliana</v>
          </cell>
          <cell r="O64" t="str">
            <v>Dsn. Setono RT.014/RW.004, Des. Gondang Kec. Tugu</v>
          </cell>
          <cell r="P64" t="str">
            <v>Trenggalek</v>
          </cell>
          <cell r="Q64" t="str">
            <v>Depan KUA Tugu</v>
          </cell>
          <cell r="R64" t="str">
            <v>Trenggalek</v>
          </cell>
          <cell r="S64" t="str">
            <v>D Barat1</v>
          </cell>
          <cell r="T64" t="str">
            <v>Dian</v>
          </cell>
          <cell r="U64">
            <v>0</v>
          </cell>
        </row>
        <row r="65">
          <cell r="E65" t="str">
            <v>Z25002578</v>
          </cell>
          <cell r="F65"/>
          <cell r="G65">
            <v>1000</v>
          </cell>
          <cell r="H65" t="str">
            <v>Reni</v>
          </cell>
          <cell r="I65" t="str">
            <v>Farida</v>
          </cell>
          <cell r="J65"/>
          <cell r="K65" t="str">
            <v>KU</v>
          </cell>
          <cell r="L65" t="str">
            <v>ADHI02</v>
          </cell>
          <cell r="M65" t="str">
            <v>Adhi Tani Mulyo, UD</v>
          </cell>
          <cell r="N65" t="str">
            <v>Yuliana</v>
          </cell>
          <cell r="O65" t="str">
            <v>Dsn. Setono RT.014/RW.004, Des. Gondang Kec. Tugu</v>
          </cell>
          <cell r="P65" t="str">
            <v>Trenggalek</v>
          </cell>
          <cell r="Q65" t="str">
            <v>Depan KUA Tugu</v>
          </cell>
          <cell r="R65" t="str">
            <v>Trenggalek</v>
          </cell>
          <cell r="S65" t="str">
            <v>D Barat1</v>
          </cell>
          <cell r="T65" t="str">
            <v>Dian</v>
          </cell>
          <cell r="U65">
            <v>0</v>
          </cell>
        </row>
        <row r="66">
          <cell r="E66" t="str">
            <v>Z25002683</v>
          </cell>
          <cell r="F66"/>
          <cell r="G66">
            <v>1000</v>
          </cell>
          <cell r="H66" t="str">
            <v>Reni</v>
          </cell>
          <cell r="I66" t="str">
            <v>Farida</v>
          </cell>
          <cell r="J66"/>
          <cell r="K66" t="str">
            <v>KU</v>
          </cell>
          <cell r="L66" t="str">
            <v>ADHI02</v>
          </cell>
          <cell r="M66" t="str">
            <v>Adhi Tani Mulyo, UD</v>
          </cell>
          <cell r="N66" t="str">
            <v>Yuliana</v>
          </cell>
          <cell r="O66" t="str">
            <v>Dsn. Setono RT.014/RW.004, Des. Gondang Kec. Tugu</v>
          </cell>
          <cell r="P66" t="str">
            <v>Trenggalek</v>
          </cell>
          <cell r="Q66" t="str">
            <v>Depan KUA Tugu</v>
          </cell>
          <cell r="R66" t="str">
            <v>Trenggalek</v>
          </cell>
          <cell r="S66" t="str">
            <v>D Barat1</v>
          </cell>
          <cell r="T66" t="str">
            <v>Dian</v>
          </cell>
          <cell r="U66">
            <v>0</v>
          </cell>
        </row>
        <row r="67">
          <cell r="E67" t="str">
            <v>Z25002833</v>
          </cell>
          <cell r="F67"/>
          <cell r="G67">
            <v>1000</v>
          </cell>
          <cell r="H67" t="str">
            <v>Reni</v>
          </cell>
          <cell r="I67" t="str">
            <v>Farida</v>
          </cell>
          <cell r="J67"/>
          <cell r="K67" t="str">
            <v>KU</v>
          </cell>
          <cell r="L67" t="str">
            <v>ADHI02</v>
          </cell>
          <cell r="M67" t="str">
            <v>Adhi Tani Mulyo, UD</v>
          </cell>
          <cell r="N67" t="str">
            <v>Yuliana</v>
          </cell>
          <cell r="O67" t="str">
            <v>Dsn. Setono RT.014/RW.004, Des. Gondang Kec. Tugu</v>
          </cell>
          <cell r="P67" t="str">
            <v>Trenggalek</v>
          </cell>
          <cell r="Q67" t="str">
            <v>Depan KUA Tugu</v>
          </cell>
          <cell r="R67" t="str">
            <v>Trenggalek</v>
          </cell>
          <cell r="S67" t="str">
            <v>D Barat1</v>
          </cell>
          <cell r="T67" t="str">
            <v>Dian</v>
          </cell>
          <cell r="U67">
            <v>0</v>
          </cell>
        </row>
        <row r="68">
          <cell r="E68" t="str">
            <v>B25013615</v>
          </cell>
          <cell r="F68"/>
          <cell r="G68">
            <v>25000000</v>
          </cell>
          <cell r="H68" t="str">
            <v>Reni</v>
          </cell>
          <cell r="I68" t="str">
            <v>Farida</v>
          </cell>
          <cell r="J68"/>
          <cell r="K68" t="str">
            <v>KU</v>
          </cell>
          <cell r="L68" t="str">
            <v>ADIT02</v>
          </cell>
          <cell r="M68" t="str">
            <v>Adib Lancar/Adib Irwanto</v>
          </cell>
          <cell r="N68" t="str">
            <v>Adib Irwanto</v>
          </cell>
          <cell r="O68" t="str">
            <v>Dsn Dayangan Ds. Genukwatu Kec. Ngoro</v>
          </cell>
          <cell r="P68" t="str">
            <v>Jombang</v>
          </cell>
          <cell r="Q68" t="str">
            <v>Dayangan Genuk Watu Ngoro</v>
          </cell>
          <cell r="R68" t="str">
            <v>Jombang</v>
          </cell>
          <cell r="S68" t="str">
            <v>D Barat1</v>
          </cell>
          <cell r="T68" t="str">
            <v>Tomi</v>
          </cell>
          <cell r="U68">
            <v>0</v>
          </cell>
        </row>
        <row r="69">
          <cell r="E69" t="str">
            <v>R25000092</v>
          </cell>
          <cell r="F69"/>
          <cell r="G69">
            <v>500000000</v>
          </cell>
          <cell r="H69" t="str">
            <v>Ariyani</v>
          </cell>
          <cell r="I69" t="str">
            <v>Fira</v>
          </cell>
          <cell r="J69"/>
          <cell r="K69" t="str">
            <v>KU</v>
          </cell>
          <cell r="L69" t="str">
            <v>ADVA02</v>
          </cell>
          <cell r="M69" t="str">
            <v>Advanta Seeds Indonesia, PT</v>
          </cell>
          <cell r="N69" t="str">
            <v>Advanta Seeds Indonesia, PT</v>
          </cell>
          <cell r="O69" t="str">
            <v>Jl. HR Rasuna Said Blok X-2, No.4 Kuniangan Timur, Setiabudi</v>
          </cell>
          <cell r="P69" t="str">
            <v>Jakarta Selatan</v>
          </cell>
          <cell r="Q69" t="str">
            <v>Jl. Kraton Industri Raya No. 15, Curah Dukuh Barat, Kraton, PIER</v>
          </cell>
          <cell r="R69" t="str">
            <v>Pasuruan</v>
          </cell>
          <cell r="S69" t="str">
            <v>F Utara1</v>
          </cell>
          <cell r="T69" t="str">
            <v>Tomi</v>
          </cell>
          <cell r="U69">
            <v>0</v>
          </cell>
        </row>
        <row r="70">
          <cell r="E70" t="str">
            <v>D25016113</v>
          </cell>
          <cell r="F70"/>
          <cell r="G70">
            <v>1000</v>
          </cell>
          <cell r="H70" t="str">
            <v>Yuyun</v>
          </cell>
          <cell r="I70" t="str">
            <v>Syahra</v>
          </cell>
          <cell r="J70" t="str">
            <v>New 11/02/20</v>
          </cell>
          <cell r="K70" t="str">
            <v>KU</v>
          </cell>
          <cell r="L70" t="str">
            <v>AFAN04</v>
          </cell>
          <cell r="M70" t="str">
            <v>Afan/JAI</v>
          </cell>
          <cell r="N70" t="str">
            <v>Afan Mufid Zainudin</v>
          </cell>
          <cell r="O70" t="str">
            <v>Dsn Krajan I RT 003/ RW 016 Kel. Kasiyan Timur, Kec Puger</v>
          </cell>
          <cell r="P70" t="str">
            <v>Jember</v>
          </cell>
          <cell r="Q70" t="str">
            <v>Dsn Krajan I RT 003/ RW 016 Kel. Kasiyan Timur, Kec Puger</v>
          </cell>
          <cell r="R70" t="str">
            <v>Jember</v>
          </cell>
          <cell r="S70" t="str">
            <v>B Agronomis</v>
          </cell>
          <cell r="T70" t="str">
            <v>Wira</v>
          </cell>
          <cell r="U70">
            <v>0</v>
          </cell>
        </row>
        <row r="71">
          <cell r="E71" t="str">
            <v>D25012851</v>
          </cell>
          <cell r="F71"/>
          <cell r="G71">
            <v>400000000</v>
          </cell>
          <cell r="H71" t="str">
            <v>Reni</v>
          </cell>
          <cell r="I71" t="str">
            <v>Fira</v>
          </cell>
          <cell r="J71" t="str">
            <v>New 19/12/19</v>
          </cell>
          <cell r="K71" t="str">
            <v>KU, Tunai</v>
          </cell>
          <cell r="L71" t="str">
            <v>AFIJ01</v>
          </cell>
          <cell r="M71" t="str">
            <v>Afi Jaya</v>
          </cell>
          <cell r="N71" t="str">
            <v>Narto</v>
          </cell>
          <cell r="O71" t="str">
            <v>Ds. Gemulung, RT.002/RW.001 Kel. Gemulung, Kec. Kerek</v>
          </cell>
          <cell r="P71" t="str">
            <v>Tuban</v>
          </cell>
          <cell r="Q71" t="str">
            <v>Ds. Gemulung, RT.002/RW.001 Kel. Gemulung, Kec. Kerek</v>
          </cell>
          <cell r="R71" t="str">
            <v>Tuban</v>
          </cell>
          <cell r="S71" t="str">
            <v>F Utara1</v>
          </cell>
          <cell r="T71" t="str">
            <v>Dian</v>
          </cell>
          <cell r="U71">
            <v>30</v>
          </cell>
        </row>
        <row r="72">
          <cell r="E72" t="str">
            <v>B25011283</v>
          </cell>
          <cell r="F72"/>
          <cell r="G72">
            <v>400000000</v>
          </cell>
          <cell r="H72" t="str">
            <v>Reni</v>
          </cell>
          <cell r="I72" t="str">
            <v>Fira</v>
          </cell>
          <cell r="J72" t="str">
            <v>New 19/12/19</v>
          </cell>
          <cell r="K72" t="str">
            <v>KU, Tunai</v>
          </cell>
          <cell r="L72" t="str">
            <v>AFIJ01</v>
          </cell>
          <cell r="M72" t="str">
            <v>Afi Jaya</v>
          </cell>
          <cell r="N72" t="str">
            <v>Narto</v>
          </cell>
          <cell r="O72" t="str">
            <v>Ds. Gemulung, RT.002/RW.001 Kel. Gemulung, Kec. Kerek</v>
          </cell>
          <cell r="P72" t="str">
            <v>Tuban</v>
          </cell>
          <cell r="Q72" t="str">
            <v>Ds. Gemulung, RT.002/RW.001 Kel. Gemulung, Kec. Kerek</v>
          </cell>
          <cell r="R72" t="str">
            <v>Tuban</v>
          </cell>
          <cell r="S72" t="str">
            <v>F Utara1</v>
          </cell>
          <cell r="T72" t="str">
            <v>Dian</v>
          </cell>
          <cell r="U72">
            <v>30</v>
          </cell>
        </row>
        <row r="73">
          <cell r="E73" t="str">
            <v>D25015305</v>
          </cell>
          <cell r="F73"/>
          <cell r="G73">
            <v>100000000</v>
          </cell>
          <cell r="H73" t="str">
            <v>Yuyun</v>
          </cell>
          <cell r="I73" t="str">
            <v>Farida</v>
          </cell>
          <cell r="J73"/>
          <cell r="K73" t="str">
            <v>KU</v>
          </cell>
          <cell r="L73" t="str">
            <v>AGOE01</v>
          </cell>
          <cell r="M73" t="str">
            <v>Agoes Santoso</v>
          </cell>
          <cell r="N73" t="str">
            <v>Agoes Santoso</v>
          </cell>
          <cell r="O73" t="str">
            <v>Jember</v>
          </cell>
          <cell r="P73" t="str">
            <v>Jember</v>
          </cell>
          <cell r="Q73" t="str">
            <v>Jember</v>
          </cell>
          <cell r="R73" t="str">
            <v>Jember</v>
          </cell>
          <cell r="S73" t="str">
            <v>L Kota1</v>
          </cell>
          <cell r="T73" t="str">
            <v>Wira</v>
          </cell>
          <cell r="U73">
            <v>0</v>
          </cell>
        </row>
        <row r="74">
          <cell r="E74" t="str">
            <v>D25015953</v>
          </cell>
          <cell r="F74"/>
          <cell r="G74">
            <v>100000000</v>
          </cell>
          <cell r="H74" t="str">
            <v>Yuyun</v>
          </cell>
          <cell r="I74" t="str">
            <v>Farida</v>
          </cell>
          <cell r="J74"/>
          <cell r="K74" t="str">
            <v>KU</v>
          </cell>
          <cell r="L74" t="str">
            <v>AGOE01</v>
          </cell>
          <cell r="M74" t="str">
            <v>Agoes Santoso</v>
          </cell>
          <cell r="N74" t="str">
            <v>Agoes Santoso</v>
          </cell>
          <cell r="O74" t="str">
            <v>Jember</v>
          </cell>
          <cell r="P74" t="str">
            <v>Jember</v>
          </cell>
          <cell r="Q74" t="str">
            <v>Jember</v>
          </cell>
          <cell r="R74" t="str">
            <v>Jember</v>
          </cell>
          <cell r="S74" t="str">
            <v>L Kota1</v>
          </cell>
          <cell r="T74" t="str">
            <v>Wira</v>
          </cell>
          <cell r="U74">
            <v>30</v>
          </cell>
        </row>
        <row r="75">
          <cell r="E75" t="str">
            <v>B25009266</v>
          </cell>
          <cell r="F75"/>
          <cell r="G75">
            <v>1000000000</v>
          </cell>
          <cell r="H75" t="str">
            <v>Hendra</v>
          </cell>
          <cell r="I75" t="str">
            <v>Tiya</v>
          </cell>
          <cell r="J75" t="str">
            <v>New 14/09/22</v>
          </cell>
          <cell r="K75" t="str">
            <v>KU</v>
          </cell>
          <cell r="L75" t="str">
            <v>AGRI06</v>
          </cell>
          <cell r="M75" t="str">
            <v>Agri Bina Cipta, CV</v>
          </cell>
          <cell r="N75" t="str">
            <v>Agri Bina Cipta, CV</v>
          </cell>
          <cell r="O75" t="str">
            <v>Jl. KF Tandean, Kel. Bandar Sakti Kec. Bajenis</v>
          </cell>
          <cell r="P75" t="str">
            <v>Tebing Tinggi</v>
          </cell>
          <cell r="Q75" t="str">
            <v>Jl. KF Tandean, Kel. Bandar Sakti Kec. Bajenis</v>
          </cell>
          <cell r="R75" t="str">
            <v>Tebing Tinggi</v>
          </cell>
          <cell r="S75" t="str">
            <v>E Luar Pulau1</v>
          </cell>
          <cell r="T75" t="str">
            <v>Non SE &amp; JSE</v>
          </cell>
          <cell r="U75">
            <v>45</v>
          </cell>
        </row>
        <row r="76">
          <cell r="E76" t="str">
            <v>B25010918</v>
          </cell>
          <cell r="F76"/>
          <cell r="G76">
            <v>1000000000</v>
          </cell>
          <cell r="H76" t="str">
            <v>Hendra</v>
          </cell>
          <cell r="I76" t="str">
            <v>Tiya</v>
          </cell>
          <cell r="J76" t="str">
            <v>New 14/09/22</v>
          </cell>
          <cell r="K76" t="str">
            <v>KU</v>
          </cell>
          <cell r="L76" t="str">
            <v>AGRI06</v>
          </cell>
          <cell r="M76" t="str">
            <v>Agri Bina Cipta, CV</v>
          </cell>
          <cell r="N76" t="str">
            <v>Agri Bina Cipta, CV</v>
          </cell>
          <cell r="O76" t="str">
            <v>Jl. KF Tandean, Kel. Bandar Sakti Kec. Bajenis</v>
          </cell>
          <cell r="P76" t="str">
            <v>Tebing Tinggi</v>
          </cell>
          <cell r="Q76" t="str">
            <v>Jl. KF Tandean, Kel. Bandar Sakti Kec. Bajenis</v>
          </cell>
          <cell r="R76" t="str">
            <v>Tebing Tinggi</v>
          </cell>
          <cell r="S76" t="str">
            <v>E Luar Pulau1</v>
          </cell>
          <cell r="T76" t="str">
            <v>Non SE &amp; JSE</v>
          </cell>
          <cell r="U76">
            <v>45</v>
          </cell>
        </row>
        <row r="77">
          <cell r="E77" t="str">
            <v>D25013507</v>
          </cell>
          <cell r="F77"/>
          <cell r="G77">
            <v>1000000000</v>
          </cell>
          <cell r="H77" t="str">
            <v>Hendra</v>
          </cell>
          <cell r="I77" t="str">
            <v>Tiya</v>
          </cell>
          <cell r="J77" t="str">
            <v>New 14/09/22</v>
          </cell>
          <cell r="K77" t="str">
            <v>KU</v>
          </cell>
          <cell r="L77" t="str">
            <v>AGRI06</v>
          </cell>
          <cell r="M77" t="str">
            <v>Agri Bina Cipta, CV</v>
          </cell>
          <cell r="N77" t="str">
            <v>Agri Bina Cipta, CV</v>
          </cell>
          <cell r="O77" t="str">
            <v>Jl. KF Tandean, Kel. Bandar Sakti Kec. Bajenis</v>
          </cell>
          <cell r="P77" t="str">
            <v>Tebing Tinggi</v>
          </cell>
          <cell r="Q77" t="str">
            <v>Jl. KF Tandean, Kel. Bandar Sakti Kec. Bajenis</v>
          </cell>
          <cell r="R77" t="str">
            <v>Tebing Tinggi</v>
          </cell>
          <cell r="S77" t="str">
            <v>E Luar Pulau1</v>
          </cell>
          <cell r="T77" t="str">
            <v>Non SE &amp; JSE</v>
          </cell>
          <cell r="U77">
            <v>45</v>
          </cell>
        </row>
        <row r="78">
          <cell r="E78" t="str">
            <v>B25012533</v>
          </cell>
          <cell r="F78"/>
          <cell r="G78">
            <v>1000000000</v>
          </cell>
          <cell r="H78" t="str">
            <v>Hendra</v>
          </cell>
          <cell r="I78" t="str">
            <v>Tiya</v>
          </cell>
          <cell r="J78" t="str">
            <v>New 14/09/22</v>
          </cell>
          <cell r="K78" t="str">
            <v>KU</v>
          </cell>
          <cell r="L78" t="str">
            <v>AGRI06</v>
          </cell>
          <cell r="M78" t="str">
            <v>Agri Bina Cipta, CV</v>
          </cell>
          <cell r="N78" t="str">
            <v>Agri Bina Cipta, CV</v>
          </cell>
          <cell r="O78" t="str">
            <v>Jl. KF Tandean, Kel. Bandar Sakti Kec. Bajenis</v>
          </cell>
          <cell r="P78" t="str">
            <v>Tebing Tinggi</v>
          </cell>
          <cell r="Q78" t="str">
            <v>Jl. KF Tandean, Kel. Bandar Sakti Kec. Bajenis</v>
          </cell>
          <cell r="R78" t="str">
            <v>Tebing Tinggi</v>
          </cell>
          <cell r="S78" t="str">
            <v>E Luar Pulau1</v>
          </cell>
          <cell r="T78" t="str">
            <v>Non SE &amp; JSE</v>
          </cell>
          <cell r="U78">
            <v>45</v>
          </cell>
        </row>
        <row r="79">
          <cell r="E79" t="str">
            <v>B25012534</v>
          </cell>
          <cell r="F79"/>
          <cell r="G79">
            <v>1000000000</v>
          </cell>
          <cell r="H79" t="str">
            <v>Hendra</v>
          </cell>
          <cell r="I79" t="str">
            <v>Tiya</v>
          </cell>
          <cell r="J79" t="str">
            <v>New 14/09/22</v>
          </cell>
          <cell r="K79" t="str">
            <v>KU</v>
          </cell>
          <cell r="L79" t="str">
            <v>AGRI06</v>
          </cell>
          <cell r="M79" t="str">
            <v>Agri Bina Cipta, CV</v>
          </cell>
          <cell r="N79" t="str">
            <v>Agri Bina Cipta, CV</v>
          </cell>
          <cell r="O79" t="str">
            <v>Jl. KF Tandean, Kel. Bandar Sakti Kec. Bajenis</v>
          </cell>
          <cell r="P79" t="str">
            <v>Tebing Tinggi</v>
          </cell>
          <cell r="Q79" t="str">
            <v>Jl. KF Tandean, Kel. Bandar Sakti Kec. Bajenis</v>
          </cell>
          <cell r="R79" t="str">
            <v>Tebing Tinggi</v>
          </cell>
          <cell r="S79" t="str">
            <v>E Luar Pulau1</v>
          </cell>
          <cell r="T79" t="str">
            <v>Non SE &amp; JSE</v>
          </cell>
          <cell r="U79">
            <v>45</v>
          </cell>
        </row>
        <row r="80">
          <cell r="E80" t="str">
            <v>B25012733</v>
          </cell>
          <cell r="F80"/>
          <cell r="G80">
            <v>1000000000</v>
          </cell>
          <cell r="H80" t="str">
            <v>Hendra</v>
          </cell>
          <cell r="I80" t="str">
            <v>Tiya</v>
          </cell>
          <cell r="J80" t="str">
            <v>New 14/09/22</v>
          </cell>
          <cell r="K80" t="str">
            <v>KU</v>
          </cell>
          <cell r="L80" t="str">
            <v>AGRI06</v>
          </cell>
          <cell r="M80" t="str">
            <v>Agri Bina Cipta, CV</v>
          </cell>
          <cell r="N80" t="str">
            <v>Agri Bina Cipta, CV</v>
          </cell>
          <cell r="O80" t="str">
            <v>Jl. KF Tandean, Kel. Bandar Sakti Kec. Bajenis</v>
          </cell>
          <cell r="P80" t="str">
            <v>Tebing Tinggi</v>
          </cell>
          <cell r="Q80" t="str">
            <v>Jl. KF Tandean, Kel. Bandar Sakti Kec. Bajenis</v>
          </cell>
          <cell r="R80" t="str">
            <v>Tebing Tinggi</v>
          </cell>
          <cell r="S80" t="str">
            <v>E Luar Pulau1</v>
          </cell>
          <cell r="T80" t="str">
            <v>Non SE &amp; JSE</v>
          </cell>
          <cell r="U80">
            <v>15</v>
          </cell>
        </row>
        <row r="81">
          <cell r="E81" t="str">
            <v>B25012734</v>
          </cell>
          <cell r="F81"/>
          <cell r="G81">
            <v>1000000000</v>
          </cell>
          <cell r="H81" t="str">
            <v>Hendra</v>
          </cell>
          <cell r="I81" t="str">
            <v>Tiya</v>
          </cell>
          <cell r="J81" t="str">
            <v>New 14/09/22</v>
          </cell>
          <cell r="K81" t="str">
            <v>KU</v>
          </cell>
          <cell r="L81" t="str">
            <v>AGRI06</v>
          </cell>
          <cell r="M81" t="str">
            <v>Agri Bina Cipta, CV</v>
          </cell>
          <cell r="N81" t="str">
            <v>Agri Bina Cipta, CV</v>
          </cell>
          <cell r="O81" t="str">
            <v>Jl. KF Tandean, Kel. Bandar Sakti Kec. Bajenis</v>
          </cell>
          <cell r="P81" t="str">
            <v>Tebing Tinggi</v>
          </cell>
          <cell r="Q81" t="str">
            <v>Jl. KF Tandean, Kel. Bandar Sakti Kec. Bajenis</v>
          </cell>
          <cell r="R81" t="str">
            <v>Tebing Tinggi</v>
          </cell>
          <cell r="S81" t="str">
            <v>E Luar Pulau1</v>
          </cell>
          <cell r="T81" t="str">
            <v>Non SE &amp; JSE</v>
          </cell>
          <cell r="U81">
            <v>45</v>
          </cell>
        </row>
        <row r="82">
          <cell r="E82" t="str">
            <v>D25016179</v>
          </cell>
          <cell r="F82"/>
          <cell r="G82">
            <v>1000000000</v>
          </cell>
          <cell r="H82" t="str">
            <v>Hendra</v>
          </cell>
          <cell r="I82" t="str">
            <v>Tiya</v>
          </cell>
          <cell r="J82" t="str">
            <v>New 14/09/22</v>
          </cell>
          <cell r="K82" t="str">
            <v>KU</v>
          </cell>
          <cell r="L82" t="str">
            <v>AGRI06</v>
          </cell>
          <cell r="M82" t="str">
            <v>Agri Bina Cipta, CV</v>
          </cell>
          <cell r="N82" t="str">
            <v>Agri Bina Cipta, CV</v>
          </cell>
          <cell r="O82" t="str">
            <v>Jl. KF Tandean, Kel. Bandar Sakti Kec. Bajenis</v>
          </cell>
          <cell r="P82" t="str">
            <v>Tebing Tinggi</v>
          </cell>
          <cell r="Q82" t="str">
            <v>Jl. KF Tandean, Kel. Bandar Sakti Kec. Bajenis</v>
          </cell>
          <cell r="R82" t="str">
            <v>Tebing Tinggi</v>
          </cell>
          <cell r="S82" t="str">
            <v>E Luar Pulau1</v>
          </cell>
          <cell r="T82" t="str">
            <v>Non SE &amp; JSE</v>
          </cell>
          <cell r="U82">
            <v>45</v>
          </cell>
        </row>
        <row r="83">
          <cell r="E83" t="str">
            <v>D25016182</v>
          </cell>
          <cell r="F83"/>
          <cell r="G83">
            <v>1000000000</v>
          </cell>
          <cell r="H83" t="str">
            <v>Hendra</v>
          </cell>
          <cell r="I83" t="str">
            <v>Tiya</v>
          </cell>
          <cell r="J83" t="str">
            <v>New 14/09/22</v>
          </cell>
          <cell r="K83" t="str">
            <v>KU</v>
          </cell>
          <cell r="L83" t="str">
            <v>AGRI06</v>
          </cell>
          <cell r="M83" t="str">
            <v>Agri Bina Cipta, CV</v>
          </cell>
          <cell r="N83" t="str">
            <v>Agri Bina Cipta, CV</v>
          </cell>
          <cell r="O83" t="str">
            <v>Jl. KF Tandean, Kel. Bandar Sakti Kec. Bajenis</v>
          </cell>
          <cell r="P83" t="str">
            <v>Tebing Tinggi</v>
          </cell>
          <cell r="Q83" t="str">
            <v>Jl. KF Tandean, Kel. Bandar Sakti Kec. Bajenis</v>
          </cell>
          <cell r="R83" t="str">
            <v>Tebing Tinggi</v>
          </cell>
          <cell r="S83" t="str">
            <v>E Luar Pulau1</v>
          </cell>
          <cell r="T83" t="str">
            <v>Non SE &amp; JSE</v>
          </cell>
          <cell r="U83">
            <v>45</v>
          </cell>
        </row>
        <row r="84">
          <cell r="E84" t="str">
            <v>D25013247</v>
          </cell>
          <cell r="F84"/>
          <cell r="G84">
            <v>500000000</v>
          </cell>
          <cell r="H84" t="str">
            <v>Reni</v>
          </cell>
          <cell r="I84" t="str">
            <v>Farida</v>
          </cell>
          <cell r="J84" t="str">
            <v>New 24/01/24</v>
          </cell>
          <cell r="K84" t="str">
            <v>KU</v>
          </cell>
          <cell r="L84" t="str">
            <v>AGRI09</v>
          </cell>
          <cell r="M84" t="str">
            <v>Agrikultur Gelora Nusantara, PT/Eric</v>
          </cell>
          <cell r="N84" t="str">
            <v>Agrikultur Gelora Nusantara, PT</v>
          </cell>
          <cell r="O84" t="str">
            <v>Jalan Panglima Sudirman D10/57 RT.005/RW.001, Dilem, Kepanjen</v>
          </cell>
          <cell r="P84" t="str">
            <v>Malang</v>
          </cell>
          <cell r="Q84" t="str">
            <v>Jalan Panglima Sudirman D/10, No 57, Ketawang, Dilem, Kepanjen</v>
          </cell>
          <cell r="R84" t="str">
            <v>Malang</v>
          </cell>
          <cell r="S84" t="str">
            <v>F Utara1</v>
          </cell>
          <cell r="T84" t="str">
            <v>Tomi</v>
          </cell>
          <cell r="U84">
            <v>30</v>
          </cell>
        </row>
        <row r="85">
          <cell r="E85" t="str">
            <v>D25014032</v>
          </cell>
          <cell r="F85"/>
          <cell r="G85">
            <v>500000000</v>
          </cell>
          <cell r="H85" t="str">
            <v>Reni</v>
          </cell>
          <cell r="I85" t="str">
            <v>Farida</v>
          </cell>
          <cell r="J85" t="str">
            <v>New 24/01/24</v>
          </cell>
          <cell r="K85" t="str">
            <v>KU</v>
          </cell>
          <cell r="L85" t="str">
            <v>AGRI09</v>
          </cell>
          <cell r="M85" t="str">
            <v>Agrikultur Gelora Nusantara, PT/Eric</v>
          </cell>
          <cell r="N85" t="str">
            <v>Agrikultur Gelora Nusantara, PT</v>
          </cell>
          <cell r="O85" t="str">
            <v>Jalan Panglima Sudirman D10/57 RT.005/RW.001, Dilem, Kepanjen</v>
          </cell>
          <cell r="P85" t="str">
            <v>Malang</v>
          </cell>
          <cell r="Q85" t="str">
            <v>Jalan Panglima Sudirman D/10, No 57, Ketawang, Dilem, Kepanjen</v>
          </cell>
          <cell r="R85" t="str">
            <v>Malang</v>
          </cell>
          <cell r="S85" t="str">
            <v>F Utara1</v>
          </cell>
          <cell r="T85" t="str">
            <v>Tomi</v>
          </cell>
          <cell r="U85">
            <v>30</v>
          </cell>
        </row>
        <row r="86">
          <cell r="E86" t="str">
            <v>D25015698</v>
          </cell>
          <cell r="F86"/>
          <cell r="G86">
            <v>500000000</v>
          </cell>
          <cell r="H86" t="str">
            <v>Reni</v>
          </cell>
          <cell r="I86" t="str">
            <v>Farida</v>
          </cell>
          <cell r="J86" t="str">
            <v>New 24/01/24</v>
          </cell>
          <cell r="K86" t="str">
            <v>KU</v>
          </cell>
          <cell r="L86" t="str">
            <v>AGRI09</v>
          </cell>
          <cell r="M86" t="str">
            <v>Agrikultur Gelora Nusantara, PT/Eric</v>
          </cell>
          <cell r="N86" t="str">
            <v>Agrikultur Gelora Nusantara, PT</v>
          </cell>
          <cell r="O86" t="str">
            <v>Jalan Panglima Sudirman D10/57 RT.005/RW.001, Dilem, Kepanjen</v>
          </cell>
          <cell r="P86" t="str">
            <v>Malang</v>
          </cell>
          <cell r="Q86" t="str">
            <v>Jalan Panglima Sudirman D/10, No 57, Ketawang, Dilem, Kepanjen</v>
          </cell>
          <cell r="R86" t="str">
            <v>Malang</v>
          </cell>
          <cell r="S86" t="str">
            <v>F Utara1</v>
          </cell>
          <cell r="T86" t="str">
            <v>Tomi</v>
          </cell>
          <cell r="U86">
            <v>30</v>
          </cell>
        </row>
        <row r="87">
          <cell r="E87" t="str">
            <v>R25000091</v>
          </cell>
          <cell r="F87"/>
          <cell r="G87">
            <v>1000</v>
          </cell>
          <cell r="H87" t="str">
            <v>Others</v>
          </cell>
          <cell r="I87" t="str">
            <v>Exclusive</v>
          </cell>
          <cell r="J87" t="str">
            <v>New 23/04/24</v>
          </cell>
          <cell r="K87" t="str">
            <v>KU</v>
          </cell>
          <cell r="L87" t="str">
            <v>AGRO61</v>
          </cell>
          <cell r="M87" t="str">
            <v>Agro Guna Makmur, PT</v>
          </cell>
          <cell r="N87" t="str">
            <v>Agro Guna Makmur, PT</v>
          </cell>
          <cell r="O87" t="str">
            <v>Jl. Agung Utara I Blok Blok A2 No. 27 RT.005/RW.008</v>
          </cell>
          <cell r="P87" t="str">
            <v>Jakarta Utara</v>
          </cell>
          <cell r="Q87" t="str">
            <v>Jl. Agung Utara I Blok Blok A2 No. 27 RT.005/RW.008</v>
          </cell>
          <cell r="R87" t="str">
            <v>Jakarta Utara</v>
          </cell>
          <cell r="S87" t="str">
            <v>I Jabar Jateng</v>
          </cell>
          <cell r="T87" t="str">
            <v>Non SE &amp; JSE</v>
          </cell>
          <cell r="U87">
            <v>15</v>
          </cell>
        </row>
        <row r="88">
          <cell r="E88" t="str">
            <v>B25012175</v>
          </cell>
          <cell r="F88"/>
          <cell r="G88">
            <v>2000000000</v>
          </cell>
          <cell r="H88" t="str">
            <v>Hendra</v>
          </cell>
          <cell r="I88" t="str">
            <v>Tiya</v>
          </cell>
          <cell r="J88"/>
          <cell r="K88" t="str">
            <v>KU</v>
          </cell>
          <cell r="L88" t="str">
            <v>AGRO44</v>
          </cell>
          <cell r="M88" t="str">
            <v>Agro Kalimantan Sejahtera</v>
          </cell>
          <cell r="N88" t="str">
            <v>Agro Kalimantan Sejahtera</v>
          </cell>
          <cell r="O88" t="str">
            <v>Jl. Jend. A. Yani KM. 2.5, No. 107-195 , Melayu, Banjarmasin Tengah</v>
          </cell>
          <cell r="P88" t="str">
            <v>Banjarmasin - Kalsel</v>
          </cell>
          <cell r="Q88" t="str">
            <v>Jl. Jend. A. Yani KM. 2.5, No. 107-195 , Melayu, Banjarmasin Tengah</v>
          </cell>
          <cell r="R88" t="str">
            <v>Banjarmasin - Kalsel</v>
          </cell>
          <cell r="S88" t="str">
            <v>E Luar Pulau1</v>
          </cell>
          <cell r="T88" t="str">
            <v>Non SE &amp; JSE</v>
          </cell>
          <cell r="U88">
            <v>45</v>
          </cell>
        </row>
        <row r="89">
          <cell r="E89" t="str">
            <v>B25013824</v>
          </cell>
          <cell r="F89"/>
          <cell r="G89">
            <v>2000000000</v>
          </cell>
          <cell r="H89" t="str">
            <v>Hendra</v>
          </cell>
          <cell r="I89" t="str">
            <v>Tiya</v>
          </cell>
          <cell r="J89"/>
          <cell r="K89" t="str">
            <v>KU</v>
          </cell>
          <cell r="L89" t="str">
            <v>AGRO44</v>
          </cell>
          <cell r="M89" t="str">
            <v>Agro Kalimantan Sejahtera</v>
          </cell>
          <cell r="N89" t="str">
            <v>Agro Kalimantan Sejahtera</v>
          </cell>
          <cell r="O89" t="str">
            <v>Jl. Jend. A. Yani KM. 2.5, No. 107-195 , Melayu, Banjarmasin Tengah</v>
          </cell>
          <cell r="P89" t="str">
            <v>Banjarmasin - Kalsel</v>
          </cell>
          <cell r="Q89" t="str">
            <v>Jl. Jend. A. Yani KM. 2.5, No. 107-195 , Melayu, Banjarmasin Tengah</v>
          </cell>
          <cell r="R89" t="str">
            <v>Banjarmasin - Kalsel</v>
          </cell>
          <cell r="S89" t="str">
            <v>E Luar Pulau1</v>
          </cell>
          <cell r="T89" t="str">
            <v>Non SE &amp; JSE</v>
          </cell>
          <cell r="U89">
            <v>45</v>
          </cell>
        </row>
        <row r="90">
          <cell r="E90" t="str">
            <v>B25013825</v>
          </cell>
          <cell r="F90"/>
          <cell r="G90">
            <v>2000000000</v>
          </cell>
          <cell r="H90" t="str">
            <v>Hendra</v>
          </cell>
          <cell r="I90" t="str">
            <v>Tiya</v>
          </cell>
          <cell r="J90"/>
          <cell r="K90" t="str">
            <v>KU</v>
          </cell>
          <cell r="L90" t="str">
            <v>AGRO44</v>
          </cell>
          <cell r="M90" t="str">
            <v>Agro Kalimantan Sejahtera</v>
          </cell>
          <cell r="N90" t="str">
            <v>Agro Kalimantan Sejahtera</v>
          </cell>
          <cell r="O90" t="str">
            <v>Jl. Jend. A. Yani KM. 2.5, No. 107-195 , Melayu, Banjarmasin Tengah</v>
          </cell>
          <cell r="P90" t="str">
            <v>Banjarmasin - Kalsel</v>
          </cell>
          <cell r="Q90" t="str">
            <v>Jl. Jend. A. Yani KM. 2.5, No. 107-195 , Melayu, Banjarmasin Tengah</v>
          </cell>
          <cell r="R90" t="str">
            <v>Banjarmasin - Kalsel</v>
          </cell>
          <cell r="S90" t="str">
            <v>E Luar Pulau1</v>
          </cell>
          <cell r="T90" t="str">
            <v>Non SE &amp; JSE</v>
          </cell>
          <cell r="U90">
            <v>45</v>
          </cell>
        </row>
        <row r="91">
          <cell r="E91" t="str">
            <v>B25013826</v>
          </cell>
          <cell r="F91"/>
          <cell r="G91">
            <v>2000000000</v>
          </cell>
          <cell r="H91" t="str">
            <v>Hendra</v>
          </cell>
          <cell r="I91" t="str">
            <v>Tiya</v>
          </cell>
          <cell r="J91"/>
          <cell r="K91" t="str">
            <v>KU</v>
          </cell>
          <cell r="L91" t="str">
            <v>AGRO44</v>
          </cell>
          <cell r="M91" t="str">
            <v>Agro Kalimantan Sejahtera</v>
          </cell>
          <cell r="N91" t="str">
            <v>Agro Kalimantan Sejahtera</v>
          </cell>
          <cell r="O91" t="str">
            <v>Jl. Jend. A. Yani KM. 2.5, No. 107-195 , Melayu, Banjarmasin Tengah</v>
          </cell>
          <cell r="P91" t="str">
            <v>Banjarmasin - Kalsel</v>
          </cell>
          <cell r="Q91" t="str">
            <v>Jl. Jend. A. Yani KM. 2.5, No. 107-195 , Melayu, Banjarmasin Tengah</v>
          </cell>
          <cell r="R91" t="str">
            <v>Banjarmasin - Kalsel</v>
          </cell>
          <cell r="S91" t="str">
            <v>E Luar Pulau1</v>
          </cell>
          <cell r="T91" t="str">
            <v>Non SE &amp; JSE</v>
          </cell>
          <cell r="U91">
            <v>45</v>
          </cell>
        </row>
        <row r="92">
          <cell r="E92" t="str">
            <v>B25013841</v>
          </cell>
          <cell r="F92"/>
          <cell r="G92">
            <v>2000000000</v>
          </cell>
          <cell r="H92" t="str">
            <v>Hendra</v>
          </cell>
          <cell r="I92" t="str">
            <v>Tiya</v>
          </cell>
          <cell r="J92"/>
          <cell r="K92" t="str">
            <v>KU</v>
          </cell>
          <cell r="L92" t="str">
            <v>AGRO44</v>
          </cell>
          <cell r="M92" t="str">
            <v>Agro Kalimantan Sejahtera</v>
          </cell>
          <cell r="N92" t="str">
            <v>Agro Kalimantan Sejahtera</v>
          </cell>
          <cell r="O92" t="str">
            <v>Jl. Jend. A. Yani KM. 2.5, No. 107-195 , Melayu, Banjarmasin Tengah</v>
          </cell>
          <cell r="P92" t="str">
            <v>Banjarmasin - Kalsel</v>
          </cell>
          <cell r="Q92" t="str">
            <v>Jl. Jend. A. Yani KM. 2.5, No. 107-195 , Melayu, Banjarmasin Tengah</v>
          </cell>
          <cell r="R92" t="str">
            <v>Banjarmasin - Kalsel</v>
          </cell>
          <cell r="S92" t="str">
            <v>E Luar Pulau1</v>
          </cell>
          <cell r="T92" t="str">
            <v>Non SE &amp; JSE</v>
          </cell>
          <cell r="U92">
            <v>45</v>
          </cell>
        </row>
        <row r="93">
          <cell r="E93" t="str">
            <v>D25011587</v>
          </cell>
          <cell r="F93"/>
          <cell r="G93">
            <v>500000000</v>
          </cell>
          <cell r="H93" t="str">
            <v>Faris</v>
          </cell>
          <cell r="I93" t="str">
            <v>Syahra</v>
          </cell>
          <cell r="J93"/>
          <cell r="K93" t="str">
            <v>BG</v>
          </cell>
          <cell r="L93" t="str">
            <v>AGRO07</v>
          </cell>
          <cell r="M93" t="str">
            <v>Agro Lestari, UD/Puguh</v>
          </cell>
          <cell r="N93" t="str">
            <v>Ika Jaya Makmur, CV</v>
          </cell>
          <cell r="O93" t="str">
            <v>Lugundang Barat RT.004/RW.008, Talkandang</v>
          </cell>
          <cell r="P93" t="str">
            <v>Situbondo</v>
          </cell>
          <cell r="Q93" t="str">
            <v>Jl. Anggrek, RT.04/RW.08, Talkandang</v>
          </cell>
          <cell r="R93" t="str">
            <v>Situbondo</v>
          </cell>
          <cell r="S93" t="str">
            <v>N Bdw Stb</v>
          </cell>
          <cell r="T93" t="str">
            <v>Wira</v>
          </cell>
          <cell r="U93">
            <v>60</v>
          </cell>
        </row>
        <row r="94">
          <cell r="E94" t="str">
            <v>D25011796</v>
          </cell>
          <cell r="F94"/>
          <cell r="G94">
            <v>500000000</v>
          </cell>
          <cell r="H94" t="str">
            <v>Faris</v>
          </cell>
          <cell r="I94" t="str">
            <v>Syahra</v>
          </cell>
          <cell r="J94"/>
          <cell r="K94" t="str">
            <v>BG</v>
          </cell>
          <cell r="L94" t="str">
            <v>AGRO07</v>
          </cell>
          <cell r="M94" t="str">
            <v>Agro Lestari, UD/Puguh</v>
          </cell>
          <cell r="N94" t="str">
            <v>Ika Jaya Makmur, CV</v>
          </cell>
          <cell r="O94" t="str">
            <v>Lugundang Barat RT.004/RW.008, Talkandang</v>
          </cell>
          <cell r="P94" t="str">
            <v>Situbondo</v>
          </cell>
          <cell r="Q94" t="str">
            <v>Jl. Anggrek, RT.04/RW.08, Talkandang</v>
          </cell>
          <cell r="R94" t="str">
            <v>Situbondo</v>
          </cell>
          <cell r="S94" t="str">
            <v>N Bdw Stb</v>
          </cell>
          <cell r="T94" t="str">
            <v>Wira</v>
          </cell>
          <cell r="U94">
            <v>60</v>
          </cell>
        </row>
        <row r="95">
          <cell r="E95" t="str">
            <v>B25012545</v>
          </cell>
          <cell r="F95"/>
          <cell r="G95">
            <v>500000000</v>
          </cell>
          <cell r="H95" t="str">
            <v>Faris</v>
          </cell>
          <cell r="I95" t="str">
            <v>Syahra</v>
          </cell>
          <cell r="J95"/>
          <cell r="K95" t="str">
            <v>BG</v>
          </cell>
          <cell r="L95" t="str">
            <v>AGRO07</v>
          </cell>
          <cell r="M95" t="str">
            <v>Agro Lestari, UD/Puguh</v>
          </cell>
          <cell r="N95" t="str">
            <v>Ika Jaya Makmur, CV</v>
          </cell>
          <cell r="O95" t="str">
            <v>Lugundang Barat RT.004/RW.008, Talkandang</v>
          </cell>
          <cell r="P95" t="str">
            <v>Situbondo</v>
          </cell>
          <cell r="Q95" t="str">
            <v>Jl. Anggrek, RT.04/RW.08, Talkandang</v>
          </cell>
          <cell r="R95" t="str">
            <v>Situbondo</v>
          </cell>
          <cell r="S95" t="str">
            <v>N Bdw Stb</v>
          </cell>
          <cell r="T95" t="str">
            <v>Wira</v>
          </cell>
          <cell r="U95">
            <v>30</v>
          </cell>
        </row>
        <row r="96">
          <cell r="E96" t="str">
            <v>B25011537</v>
          </cell>
          <cell r="F96"/>
          <cell r="G96">
            <v>30000000</v>
          </cell>
          <cell r="H96" t="str">
            <v>Reni</v>
          </cell>
          <cell r="I96" t="str">
            <v>Fira</v>
          </cell>
          <cell r="J96" t="str">
            <v>New 04/07/22</v>
          </cell>
          <cell r="K96" t="str">
            <v>KU</v>
          </cell>
          <cell r="L96" t="str">
            <v>AGRO54</v>
          </cell>
          <cell r="M96" t="str">
            <v>Agro Lestari/Sudirman</v>
          </cell>
          <cell r="N96" t="str">
            <v>Sudirman</v>
          </cell>
          <cell r="O96" t="str">
            <v>Jl. Apokat No.35 RT.001/RW.003, Kel. Perbon, Kec. Tuban</v>
          </cell>
          <cell r="P96" t="str">
            <v>Tuban</v>
          </cell>
          <cell r="Q96" t="str">
            <v>Jl. Raya Dander Temayang, Kel. Dander Kec. Dander</v>
          </cell>
          <cell r="R96" t="str">
            <v>Bojonegoro</v>
          </cell>
          <cell r="S96" t="str">
            <v>F Utara1</v>
          </cell>
          <cell r="T96" t="str">
            <v>Dian</v>
          </cell>
          <cell r="U96">
            <v>30</v>
          </cell>
        </row>
        <row r="97">
          <cell r="E97" t="str">
            <v>T25001174</v>
          </cell>
          <cell r="F97"/>
          <cell r="G97">
            <v>15000000</v>
          </cell>
          <cell r="H97" t="str">
            <v>Reni</v>
          </cell>
          <cell r="I97" t="str">
            <v>Fira</v>
          </cell>
          <cell r="J97" t="str">
            <v>New 06/06/24</v>
          </cell>
          <cell r="K97" t="str">
            <v>COD</v>
          </cell>
          <cell r="L97" t="str">
            <v>AGRO62</v>
          </cell>
          <cell r="M97" t="str">
            <v>Agro Makmur/Atik</v>
          </cell>
          <cell r="N97" t="str">
            <v>Rifai</v>
          </cell>
          <cell r="O97" t="str">
            <v>Dsn Penidon RT.002/RW.001, Kel. Penidon, Kec. Plumpang</v>
          </cell>
          <cell r="P97" t="str">
            <v>Tuban</v>
          </cell>
          <cell r="Q97" t="str">
            <v>Dsn Penidon RT.002/RW.001, Kel. Penidon, Kec. Plumpang</v>
          </cell>
          <cell r="R97" t="str">
            <v>Tuban</v>
          </cell>
          <cell r="S97" t="str">
            <v>F Utara1</v>
          </cell>
          <cell r="T97" t="str">
            <v>Dian</v>
          </cell>
          <cell r="U97">
            <v>60</v>
          </cell>
        </row>
        <row r="98">
          <cell r="E98" t="str">
            <v>T25001367k</v>
          </cell>
          <cell r="F98"/>
          <cell r="G98">
            <v>1000</v>
          </cell>
          <cell r="H98" t="str">
            <v>Reni</v>
          </cell>
          <cell r="I98" t="str">
            <v>Farida</v>
          </cell>
          <cell r="J98"/>
          <cell r="K98" t="str">
            <v>KU</v>
          </cell>
          <cell r="L98" t="str">
            <v>AGRO19</v>
          </cell>
          <cell r="M98" t="str">
            <v>Agro Makmur/Gamiran</v>
          </cell>
          <cell r="N98" t="str">
            <v>Suharti</v>
          </cell>
          <cell r="O98" t="str">
            <v>Dusun. Karang Tengah I, RT.003/RW.002, Kel. Karang Tengah, Kec. Bagor</v>
          </cell>
          <cell r="P98" t="str">
            <v>Nganjuk</v>
          </cell>
          <cell r="Q98" t="str">
            <v>Ds. Karang Tengah, Bagor</v>
          </cell>
          <cell r="R98" t="str">
            <v>Nganjuk</v>
          </cell>
          <cell r="S98" t="str">
            <v>D Barat1</v>
          </cell>
          <cell r="T98" t="str">
            <v>Dian</v>
          </cell>
          <cell r="U98">
            <v>120</v>
          </cell>
        </row>
        <row r="99">
          <cell r="E99" t="str">
            <v>D25015915</v>
          </cell>
          <cell r="F99"/>
          <cell r="G99">
            <v>1000</v>
          </cell>
          <cell r="H99" t="str">
            <v>Ariyani</v>
          </cell>
          <cell r="I99" t="str">
            <v>Fira</v>
          </cell>
          <cell r="J99"/>
          <cell r="K99" t="str">
            <v>CBD</v>
          </cell>
          <cell r="L99" t="str">
            <v>AGRO59</v>
          </cell>
          <cell r="M99" t="str">
            <v>Agro Mandiri/Eko</v>
          </cell>
          <cell r="N99" t="str">
            <v>Eko Susilo</v>
          </cell>
          <cell r="O99" t="str">
            <v>Dsn kalipang RT.003/RW.001, Kel. Wahas, Kec. Balongpanggang</v>
          </cell>
          <cell r="P99" t="str">
            <v>Gresik</v>
          </cell>
          <cell r="Q99" t="str">
            <v>Jl. Raya Kalipang Balong Panggang, Kel. Wonorejo, KEc. Balong panggang</v>
          </cell>
          <cell r="R99" t="str">
            <v>Gresik</v>
          </cell>
          <cell r="S99" t="str">
            <v>F Utara1</v>
          </cell>
          <cell r="T99" t="str">
            <v>Tomi</v>
          </cell>
          <cell r="U99">
            <v>0</v>
          </cell>
        </row>
        <row r="100">
          <cell r="E100" t="str">
            <v>B25008071</v>
          </cell>
          <cell r="F100"/>
          <cell r="G100">
            <v>20000000</v>
          </cell>
          <cell r="H100" t="str">
            <v>Reni</v>
          </cell>
          <cell r="I100" t="str">
            <v>Farida</v>
          </cell>
          <cell r="J100"/>
          <cell r="K100" t="str">
            <v>KU, Tunai</v>
          </cell>
          <cell r="L100" t="str">
            <v>AGRO31</v>
          </cell>
          <cell r="M100" t="str">
            <v>Agro Mandiri/Nurlaela</v>
          </cell>
          <cell r="N100" t="str">
            <v>Nurlaela</v>
          </cell>
          <cell r="O100" t="str">
            <v>Jl. Raya Pacitan, RT.003/RW.002 Kel. Nailan, Kec. Slahung</v>
          </cell>
          <cell r="P100" t="str">
            <v>Ponorogo</v>
          </cell>
          <cell r="Q100" t="str">
            <v>Jl. Raya Ponorogo Pacitan, Kec. Slahung</v>
          </cell>
          <cell r="R100" t="str">
            <v>Ponorogo</v>
          </cell>
          <cell r="S100" t="str">
            <v>D Barat1</v>
          </cell>
          <cell r="T100" t="str">
            <v>Dian</v>
          </cell>
          <cell r="U100">
            <v>60</v>
          </cell>
        </row>
        <row r="101">
          <cell r="E101" t="str">
            <v>T25001144</v>
          </cell>
          <cell r="F101"/>
          <cell r="G101">
            <v>20000000</v>
          </cell>
          <cell r="H101" t="str">
            <v>Reni</v>
          </cell>
          <cell r="I101" t="str">
            <v>Farida</v>
          </cell>
          <cell r="J101"/>
          <cell r="K101" t="str">
            <v>KU, Tunai</v>
          </cell>
          <cell r="L101" t="str">
            <v>AGRO31</v>
          </cell>
          <cell r="M101" t="str">
            <v>Agro Mandiri/Nurlaela</v>
          </cell>
          <cell r="N101" t="str">
            <v>Nurlaela</v>
          </cell>
          <cell r="O101" t="str">
            <v>Jl. Raya Pacitan, RT.003/RW.002 Kel. Nailan, Kec. Slahung</v>
          </cell>
          <cell r="P101" t="str">
            <v>Ponorogo</v>
          </cell>
          <cell r="Q101" t="str">
            <v>Jl. Raya Ponorogo Pacitan, Kec. Slahung</v>
          </cell>
          <cell r="R101" t="str">
            <v>Ponorogo</v>
          </cell>
          <cell r="S101" t="str">
            <v>D Barat1</v>
          </cell>
          <cell r="T101" t="str">
            <v>Dian</v>
          </cell>
          <cell r="U101">
            <v>60</v>
          </cell>
        </row>
        <row r="102">
          <cell r="E102" t="str">
            <v>B25012753</v>
          </cell>
          <cell r="F102"/>
          <cell r="G102">
            <v>20000000</v>
          </cell>
          <cell r="H102" t="str">
            <v>Reni</v>
          </cell>
          <cell r="I102" t="str">
            <v>Farida</v>
          </cell>
          <cell r="J102"/>
          <cell r="K102" t="str">
            <v>KU, Tunai</v>
          </cell>
          <cell r="L102" t="str">
            <v>AGRO31</v>
          </cell>
          <cell r="M102" t="str">
            <v>Agro Mandiri/Nurlaela</v>
          </cell>
          <cell r="N102" t="str">
            <v>Nurlaela</v>
          </cell>
          <cell r="O102" t="str">
            <v>Jl. Raya Pacitan, RT.003/RW.002 Kel. Nailan, Kec. Slahung</v>
          </cell>
          <cell r="P102" t="str">
            <v>Ponorogo</v>
          </cell>
          <cell r="Q102" t="str">
            <v>Jl. Raya Ponorogo Pacitan, Kec. Slahung</v>
          </cell>
          <cell r="R102" t="str">
            <v>Ponorogo</v>
          </cell>
          <cell r="S102" t="str">
            <v>D Barat1</v>
          </cell>
          <cell r="T102" t="str">
            <v>Dian</v>
          </cell>
          <cell r="U102">
            <v>60</v>
          </cell>
        </row>
        <row r="103">
          <cell r="E103" t="str">
            <v>B25012889</v>
          </cell>
          <cell r="F103"/>
          <cell r="G103">
            <v>20000000</v>
          </cell>
          <cell r="H103" t="str">
            <v>Reni</v>
          </cell>
          <cell r="I103" t="str">
            <v>Farida</v>
          </cell>
          <cell r="J103"/>
          <cell r="K103" t="str">
            <v>KU, Tunai</v>
          </cell>
          <cell r="L103" t="str">
            <v>AGRO31</v>
          </cell>
          <cell r="M103" t="str">
            <v>Agro Mandiri/Nurlaela</v>
          </cell>
          <cell r="N103" t="str">
            <v>Nurlaela</v>
          </cell>
          <cell r="O103" t="str">
            <v>Jl. Raya Pacitan, RT.003/RW.002 Kel. Nailan, Kec. Slahung</v>
          </cell>
          <cell r="P103" t="str">
            <v>Ponorogo</v>
          </cell>
          <cell r="Q103" t="str">
            <v>Jl. Raya Ponorogo Pacitan, Kec. Slahung</v>
          </cell>
          <cell r="R103" t="str">
            <v>Ponorogo</v>
          </cell>
          <cell r="S103" t="str">
            <v>D Barat1</v>
          </cell>
          <cell r="T103" t="str">
            <v>Dian</v>
          </cell>
          <cell r="U103">
            <v>60</v>
          </cell>
        </row>
        <row r="104">
          <cell r="E104" t="str">
            <v>D25015193</v>
          </cell>
          <cell r="F104"/>
          <cell r="G104">
            <v>20000000</v>
          </cell>
          <cell r="H104" t="str">
            <v>Reni</v>
          </cell>
          <cell r="I104" t="str">
            <v>Farida</v>
          </cell>
          <cell r="J104"/>
          <cell r="K104" t="str">
            <v>KU, Tunai</v>
          </cell>
          <cell r="L104" t="str">
            <v>AGRO31</v>
          </cell>
          <cell r="M104" t="str">
            <v>Agro Mandiri/Nurlaela</v>
          </cell>
          <cell r="N104" t="str">
            <v>Nurlaela</v>
          </cell>
          <cell r="O104" t="str">
            <v>Jl. Raya Pacitan, RT.003/RW.002 Kel. Nailan, Kec. Slahung</v>
          </cell>
          <cell r="P104" t="str">
            <v>Ponorogo</v>
          </cell>
          <cell r="Q104" t="str">
            <v>Jl. Raya Ponorogo Pacitan, Kec. Slahung</v>
          </cell>
          <cell r="R104" t="str">
            <v>Ponorogo</v>
          </cell>
          <cell r="S104" t="str">
            <v>D Barat1</v>
          </cell>
          <cell r="T104" t="str">
            <v>Dian</v>
          </cell>
          <cell r="U104">
            <v>60</v>
          </cell>
        </row>
        <row r="105">
          <cell r="E105" t="str">
            <v>D25016013</v>
          </cell>
          <cell r="F105"/>
          <cell r="G105">
            <v>20000000</v>
          </cell>
          <cell r="H105" t="str">
            <v>Reni</v>
          </cell>
          <cell r="I105" t="str">
            <v>Farida</v>
          </cell>
          <cell r="J105"/>
          <cell r="K105" t="str">
            <v>KU, Tunai</v>
          </cell>
          <cell r="L105" t="str">
            <v>AGRO31</v>
          </cell>
          <cell r="M105" t="str">
            <v>Agro Mandiri/Nurlaela</v>
          </cell>
          <cell r="N105" t="str">
            <v>Nurlaela</v>
          </cell>
          <cell r="O105" t="str">
            <v>Jl. Raya Pacitan, RT.003/RW.002 Kel. Nailan, Kec. Slahung</v>
          </cell>
          <cell r="P105" t="str">
            <v>Ponorogo</v>
          </cell>
          <cell r="Q105" t="str">
            <v>Jl. Raya Ponorogo Pacitan, Kec. Slahung</v>
          </cell>
          <cell r="R105" t="str">
            <v>Ponorogo</v>
          </cell>
          <cell r="S105" t="str">
            <v>D Barat1</v>
          </cell>
          <cell r="T105" t="str">
            <v>Dian</v>
          </cell>
          <cell r="U105">
            <v>60</v>
          </cell>
        </row>
        <row r="106">
          <cell r="E106" t="str">
            <v>T25001619</v>
          </cell>
          <cell r="F106"/>
          <cell r="G106">
            <v>1000</v>
          </cell>
          <cell r="H106" t="str">
            <v>Faris</v>
          </cell>
          <cell r="I106" t="str">
            <v>Syahra</v>
          </cell>
          <cell r="J106" t="str">
            <v>New 03/10/24</v>
          </cell>
          <cell r="K106" t="str">
            <v>KU</v>
          </cell>
          <cell r="L106" t="str">
            <v>AGRO67</v>
          </cell>
          <cell r="M106" t="str">
            <v>Agro Nursery/Achmad Yusuf</v>
          </cell>
          <cell r="N106" t="str">
            <v>Achmad Yusuf Ali Hasbi</v>
          </cell>
          <cell r="O106" t="str">
            <v>Dusun Pekulo RT.002/RW.002, Ds. Kepundungan Kec. Srono</v>
          </cell>
          <cell r="P106" t="str">
            <v>Banyuwangi</v>
          </cell>
          <cell r="Q106" t="str">
            <v>Dusun Pekulo RT.002/RW.002, Ds. Kepundungan Kec. Srono</v>
          </cell>
          <cell r="R106" t="str">
            <v>Banyuwangi</v>
          </cell>
          <cell r="S106" t="str">
            <v>H Bwi2</v>
          </cell>
          <cell r="T106" t="str">
            <v>Hafid</v>
          </cell>
          <cell r="U106">
            <v>0</v>
          </cell>
        </row>
        <row r="107">
          <cell r="E107" t="str">
            <v>D25012899</v>
          </cell>
          <cell r="F107"/>
          <cell r="G107">
            <v>300000000</v>
          </cell>
          <cell r="H107" t="str">
            <v>Yuyun</v>
          </cell>
          <cell r="I107" t="str">
            <v>Farida</v>
          </cell>
          <cell r="J107"/>
          <cell r="K107" t="str">
            <v>KU</v>
          </cell>
          <cell r="L107" t="str">
            <v>AGRO52</v>
          </cell>
          <cell r="M107" t="str">
            <v>Agro Suci/Bety</v>
          </cell>
          <cell r="N107" t="str">
            <v>Bety Jannaty Saadaty</v>
          </cell>
          <cell r="O107" t="str">
            <v>Dusun Glundengan RT.005/RW.004, Suci, Panti</v>
          </cell>
          <cell r="P107" t="str">
            <v>Jember</v>
          </cell>
          <cell r="Q107" t="str">
            <v>Dusun Glundengan RT.005/RW.004, Suci, Panti</v>
          </cell>
          <cell r="R107" t="str">
            <v>Jember</v>
          </cell>
          <cell r="S107" t="str">
            <v>L Kota1</v>
          </cell>
          <cell r="T107" t="str">
            <v>Wira</v>
          </cell>
          <cell r="U107">
            <v>30</v>
          </cell>
        </row>
        <row r="108">
          <cell r="E108" t="str">
            <v>D25012933</v>
          </cell>
          <cell r="F108"/>
          <cell r="G108">
            <v>300000000</v>
          </cell>
          <cell r="H108" t="str">
            <v>Yuyun</v>
          </cell>
          <cell r="I108" t="str">
            <v>Farida</v>
          </cell>
          <cell r="J108"/>
          <cell r="K108" t="str">
            <v>KU</v>
          </cell>
          <cell r="L108" t="str">
            <v>AGRO52</v>
          </cell>
          <cell r="M108" t="str">
            <v>Agro Suci/Bety</v>
          </cell>
          <cell r="N108" t="str">
            <v>Bety Jannaty Saadaty</v>
          </cell>
          <cell r="O108" t="str">
            <v>Dusun Glundengan RT.005/RW.004, Suci, Panti</v>
          </cell>
          <cell r="P108" t="str">
            <v>Jember</v>
          </cell>
          <cell r="Q108" t="str">
            <v>Dusun Glundengan RT.005/RW.004, Suci, Panti</v>
          </cell>
          <cell r="R108" t="str">
            <v>Jember</v>
          </cell>
          <cell r="S108" t="str">
            <v>L Kota1</v>
          </cell>
          <cell r="T108" t="str">
            <v>Wira</v>
          </cell>
          <cell r="U108">
            <v>30</v>
          </cell>
        </row>
        <row r="109">
          <cell r="E109" t="str">
            <v>B25011246</v>
          </cell>
          <cell r="F109"/>
          <cell r="G109">
            <v>300000000</v>
          </cell>
          <cell r="H109" t="str">
            <v>Yuyun</v>
          </cell>
          <cell r="I109" t="str">
            <v>Farida</v>
          </cell>
          <cell r="J109"/>
          <cell r="K109" t="str">
            <v>KU</v>
          </cell>
          <cell r="L109" t="str">
            <v>AGRO52</v>
          </cell>
          <cell r="M109" t="str">
            <v>Agro Suci/Bety</v>
          </cell>
          <cell r="N109" t="str">
            <v>Bety Jannaty Saadaty</v>
          </cell>
          <cell r="O109" t="str">
            <v>Dusun Glundengan RT.005/RW.004, Suci, Panti</v>
          </cell>
          <cell r="P109" t="str">
            <v>Jember</v>
          </cell>
          <cell r="Q109" t="str">
            <v>Dusun Glundengan RT.005/RW.004, Suci, Panti</v>
          </cell>
          <cell r="R109" t="str">
            <v>Jember</v>
          </cell>
          <cell r="S109" t="str">
            <v>L Kota1</v>
          </cell>
          <cell r="T109" t="str">
            <v>Wira</v>
          </cell>
          <cell r="U109">
            <v>30</v>
          </cell>
        </row>
        <row r="110">
          <cell r="E110" t="str">
            <v>B25011344</v>
          </cell>
          <cell r="F110"/>
          <cell r="G110">
            <v>300000000</v>
          </cell>
          <cell r="H110" t="str">
            <v>Yuyun</v>
          </cell>
          <cell r="I110" t="str">
            <v>Farida</v>
          </cell>
          <cell r="J110"/>
          <cell r="K110" t="str">
            <v>KU</v>
          </cell>
          <cell r="L110" t="str">
            <v>AGRO52</v>
          </cell>
          <cell r="M110" t="str">
            <v>Agro Suci/Bety</v>
          </cell>
          <cell r="N110" t="str">
            <v>Bety Jannaty Saadaty</v>
          </cell>
          <cell r="O110" t="str">
            <v>Dusun Glundengan RT.005/RW.004, Suci, Panti</v>
          </cell>
          <cell r="P110" t="str">
            <v>Jember</v>
          </cell>
          <cell r="Q110" t="str">
            <v>Dusun Glundengan RT.005/RW.004, Suci, Panti</v>
          </cell>
          <cell r="R110" t="str">
            <v>Jember</v>
          </cell>
          <cell r="S110" t="str">
            <v>L Kota1</v>
          </cell>
          <cell r="T110" t="str">
            <v>Wira</v>
          </cell>
          <cell r="U110">
            <v>30</v>
          </cell>
        </row>
        <row r="111">
          <cell r="E111" t="str">
            <v>B25011452</v>
          </cell>
          <cell r="F111"/>
          <cell r="G111">
            <v>300000000</v>
          </cell>
          <cell r="H111" t="str">
            <v>Yuyun</v>
          </cell>
          <cell r="I111" t="str">
            <v>Farida</v>
          </cell>
          <cell r="J111"/>
          <cell r="K111" t="str">
            <v>KU</v>
          </cell>
          <cell r="L111" t="str">
            <v>AGRO52</v>
          </cell>
          <cell r="M111" t="str">
            <v>Agro Suci/Bety</v>
          </cell>
          <cell r="N111" t="str">
            <v>Bety Jannaty Saadaty</v>
          </cell>
          <cell r="O111" t="str">
            <v>Dusun Glundengan RT.005/RW.004, Suci, Panti</v>
          </cell>
          <cell r="P111" t="str">
            <v>Jember</v>
          </cell>
          <cell r="Q111" t="str">
            <v>Dusun Glundengan RT.005/RW.004, Suci, Panti</v>
          </cell>
          <cell r="R111" t="str">
            <v>Jember</v>
          </cell>
          <cell r="S111" t="str">
            <v>L Kota1</v>
          </cell>
          <cell r="T111" t="str">
            <v>Wira</v>
          </cell>
          <cell r="U111">
            <v>30</v>
          </cell>
        </row>
        <row r="112">
          <cell r="E112" t="str">
            <v>B25011461</v>
          </cell>
          <cell r="F112"/>
          <cell r="G112">
            <v>300000000</v>
          </cell>
          <cell r="H112" t="str">
            <v>Yuyun</v>
          </cell>
          <cell r="I112" t="str">
            <v>Farida</v>
          </cell>
          <cell r="J112"/>
          <cell r="K112" t="str">
            <v>KU</v>
          </cell>
          <cell r="L112" t="str">
            <v>AGRO52</v>
          </cell>
          <cell r="M112" t="str">
            <v>Agro Suci/Bety</v>
          </cell>
          <cell r="N112" t="str">
            <v>Bety Jannaty Saadaty</v>
          </cell>
          <cell r="O112" t="str">
            <v>Dusun Glundengan RT.005/RW.004, Suci, Panti</v>
          </cell>
          <cell r="P112" t="str">
            <v>Jember</v>
          </cell>
          <cell r="Q112" t="str">
            <v>Dusun Glundengan RT.005/RW.004, Suci, Panti</v>
          </cell>
          <cell r="R112" t="str">
            <v>Jember</v>
          </cell>
          <cell r="S112" t="str">
            <v>L Kota1</v>
          </cell>
          <cell r="T112" t="str">
            <v>Wira</v>
          </cell>
          <cell r="U112">
            <v>30</v>
          </cell>
        </row>
        <row r="113">
          <cell r="E113" t="str">
            <v>B25011584</v>
          </cell>
          <cell r="F113"/>
          <cell r="G113">
            <v>300000000</v>
          </cell>
          <cell r="H113" t="str">
            <v>Yuyun</v>
          </cell>
          <cell r="I113" t="str">
            <v>Farida</v>
          </cell>
          <cell r="J113"/>
          <cell r="K113" t="str">
            <v>KU</v>
          </cell>
          <cell r="L113" t="str">
            <v>AGRO52</v>
          </cell>
          <cell r="M113" t="str">
            <v>Agro Suci/Bety</v>
          </cell>
          <cell r="N113" t="str">
            <v>Bety Jannaty Saadaty</v>
          </cell>
          <cell r="O113" t="str">
            <v>Dusun Glundengan RT.005/RW.004, Suci, Panti</v>
          </cell>
          <cell r="P113" t="str">
            <v>Jember</v>
          </cell>
          <cell r="Q113" t="str">
            <v>Dusun Glundengan RT.005/RW.004, Suci, Panti</v>
          </cell>
          <cell r="R113" t="str">
            <v>Jember</v>
          </cell>
          <cell r="S113" t="str">
            <v>L Kota1</v>
          </cell>
          <cell r="T113" t="str">
            <v>Wira</v>
          </cell>
          <cell r="U113">
            <v>30</v>
          </cell>
        </row>
        <row r="114">
          <cell r="E114" t="str">
            <v>B25011585</v>
          </cell>
          <cell r="F114"/>
          <cell r="G114">
            <v>300000000</v>
          </cell>
          <cell r="H114" t="str">
            <v>Yuyun</v>
          </cell>
          <cell r="I114" t="str">
            <v>Farida</v>
          </cell>
          <cell r="J114"/>
          <cell r="K114" t="str">
            <v>KU</v>
          </cell>
          <cell r="L114" t="str">
            <v>AGRO52</v>
          </cell>
          <cell r="M114" t="str">
            <v>Agro Suci/Bety</v>
          </cell>
          <cell r="N114" t="str">
            <v>Bety Jannaty Saadaty</v>
          </cell>
          <cell r="O114" t="str">
            <v>Dusun Glundengan RT.005/RW.004, Suci, Panti</v>
          </cell>
          <cell r="P114" t="str">
            <v>Jember</v>
          </cell>
          <cell r="Q114" t="str">
            <v>Dusun Glundengan RT.005/RW.004, Suci, Panti</v>
          </cell>
          <cell r="R114" t="str">
            <v>Jember</v>
          </cell>
          <cell r="S114" t="str">
            <v>L Kota1</v>
          </cell>
          <cell r="T114" t="str">
            <v>Wira</v>
          </cell>
          <cell r="U114">
            <v>30</v>
          </cell>
        </row>
        <row r="115">
          <cell r="E115" t="str">
            <v>B25011707</v>
          </cell>
          <cell r="F115"/>
          <cell r="G115">
            <v>300000000</v>
          </cell>
          <cell r="H115" t="str">
            <v>Yuyun</v>
          </cell>
          <cell r="I115" t="str">
            <v>Farida</v>
          </cell>
          <cell r="J115"/>
          <cell r="K115" t="str">
            <v>KU</v>
          </cell>
          <cell r="L115" t="str">
            <v>AGRO52</v>
          </cell>
          <cell r="M115" t="str">
            <v>Agro Suci/Bety</v>
          </cell>
          <cell r="N115" t="str">
            <v>Bety Jannaty Saadaty</v>
          </cell>
          <cell r="O115" t="str">
            <v>Dusun Glundengan RT.005/RW.004, Suci, Panti</v>
          </cell>
          <cell r="P115" t="str">
            <v>Jember</v>
          </cell>
          <cell r="Q115" t="str">
            <v>Dusun Glundengan RT.005/RW.004, Suci, Panti</v>
          </cell>
          <cell r="R115" t="str">
            <v>Jember</v>
          </cell>
          <cell r="S115" t="str">
            <v>L Kota1</v>
          </cell>
          <cell r="T115" t="str">
            <v>Wira</v>
          </cell>
          <cell r="U115">
            <v>30</v>
          </cell>
        </row>
        <row r="116">
          <cell r="E116" t="str">
            <v>B25011869</v>
          </cell>
          <cell r="F116"/>
          <cell r="G116">
            <v>300000000</v>
          </cell>
          <cell r="H116" t="str">
            <v>Yuyun</v>
          </cell>
          <cell r="I116" t="str">
            <v>Farida</v>
          </cell>
          <cell r="J116"/>
          <cell r="K116" t="str">
            <v>KU</v>
          </cell>
          <cell r="L116" t="str">
            <v>AGRO52</v>
          </cell>
          <cell r="M116" t="str">
            <v>Agro Suci/Bety</v>
          </cell>
          <cell r="N116" t="str">
            <v>Bety Jannaty Saadaty</v>
          </cell>
          <cell r="O116" t="str">
            <v>Dusun Glundengan RT.005/RW.004, Suci, Panti</v>
          </cell>
          <cell r="P116" t="str">
            <v>Jember</v>
          </cell>
          <cell r="Q116" t="str">
            <v>Dusun Glundengan RT.005/RW.004, Suci, Panti</v>
          </cell>
          <cell r="R116" t="str">
            <v>Jember</v>
          </cell>
          <cell r="S116" t="str">
            <v>L Kota1</v>
          </cell>
          <cell r="T116" t="str">
            <v>Wira</v>
          </cell>
          <cell r="U116">
            <v>30</v>
          </cell>
        </row>
        <row r="117">
          <cell r="E117" t="str">
            <v>B25011995</v>
          </cell>
          <cell r="F117"/>
          <cell r="G117">
            <v>300000000</v>
          </cell>
          <cell r="H117" t="str">
            <v>Yuyun</v>
          </cell>
          <cell r="I117" t="str">
            <v>Farida</v>
          </cell>
          <cell r="J117"/>
          <cell r="K117" t="str">
            <v>KU</v>
          </cell>
          <cell r="L117" t="str">
            <v>AGRO52</v>
          </cell>
          <cell r="M117" t="str">
            <v>Agro Suci/Bety</v>
          </cell>
          <cell r="N117" t="str">
            <v>Bety Jannaty Saadaty</v>
          </cell>
          <cell r="O117" t="str">
            <v>Dusun Glundengan RT.005/RW.004, Suci, Panti</v>
          </cell>
          <cell r="P117" t="str">
            <v>Jember</v>
          </cell>
          <cell r="Q117" t="str">
            <v>Dusun Glundengan RT.005/RW.004, Suci, Panti</v>
          </cell>
          <cell r="R117" t="str">
            <v>Jember</v>
          </cell>
          <cell r="S117" t="str">
            <v>L Kota1</v>
          </cell>
          <cell r="T117" t="str">
            <v>Wira</v>
          </cell>
          <cell r="U117">
            <v>30</v>
          </cell>
        </row>
        <row r="118">
          <cell r="E118" t="str">
            <v>B25012074</v>
          </cell>
          <cell r="F118"/>
          <cell r="G118">
            <v>300000000</v>
          </cell>
          <cell r="H118" t="str">
            <v>Yuyun</v>
          </cell>
          <cell r="I118" t="str">
            <v>Farida</v>
          </cell>
          <cell r="J118"/>
          <cell r="K118" t="str">
            <v>KU</v>
          </cell>
          <cell r="L118" t="str">
            <v>AGRO52</v>
          </cell>
          <cell r="M118" t="str">
            <v>Agro Suci/Bety</v>
          </cell>
          <cell r="N118" t="str">
            <v>Bety Jannaty Saadaty</v>
          </cell>
          <cell r="O118" t="str">
            <v>Dusun Glundengan RT.005/RW.004, Suci, Panti</v>
          </cell>
          <cell r="P118" t="str">
            <v>Jember</v>
          </cell>
          <cell r="Q118" t="str">
            <v>Dusun Glundengan RT.005/RW.004, Suci, Panti</v>
          </cell>
          <cell r="R118" t="str">
            <v>Jember</v>
          </cell>
          <cell r="S118" t="str">
            <v>L Kota1</v>
          </cell>
          <cell r="T118" t="str">
            <v>Wira</v>
          </cell>
          <cell r="U118">
            <v>0</v>
          </cell>
        </row>
        <row r="119">
          <cell r="E119" t="str">
            <v>B25012096</v>
          </cell>
          <cell r="F119"/>
          <cell r="G119">
            <v>300000000</v>
          </cell>
          <cell r="H119" t="str">
            <v>Yuyun</v>
          </cell>
          <cell r="I119" t="str">
            <v>Farida</v>
          </cell>
          <cell r="J119"/>
          <cell r="K119" t="str">
            <v>KU</v>
          </cell>
          <cell r="L119" t="str">
            <v>AGRO52</v>
          </cell>
          <cell r="M119" t="str">
            <v>Agro Suci/Bety</v>
          </cell>
          <cell r="N119" t="str">
            <v>Bety Jannaty Saadaty</v>
          </cell>
          <cell r="O119" t="str">
            <v>Dusun Glundengan RT.005/RW.004, Suci, Panti</v>
          </cell>
          <cell r="P119" t="str">
            <v>Jember</v>
          </cell>
          <cell r="Q119" t="str">
            <v>Dusun Glundengan RT.005/RW.004, Suci, Panti</v>
          </cell>
          <cell r="R119" t="str">
            <v>Jember</v>
          </cell>
          <cell r="S119" t="str">
            <v>L Kota1</v>
          </cell>
          <cell r="T119" t="str">
            <v>Wira</v>
          </cell>
          <cell r="U119">
            <v>30</v>
          </cell>
        </row>
        <row r="120">
          <cell r="E120" t="str">
            <v>D25014307</v>
          </cell>
          <cell r="F120"/>
          <cell r="G120">
            <v>300000000</v>
          </cell>
          <cell r="H120" t="str">
            <v>Yuyun</v>
          </cell>
          <cell r="I120" t="str">
            <v>Farida</v>
          </cell>
          <cell r="J120"/>
          <cell r="K120" t="str">
            <v>KU</v>
          </cell>
          <cell r="L120" t="str">
            <v>AGRO52</v>
          </cell>
          <cell r="M120" t="str">
            <v>Agro Suci/Bety</v>
          </cell>
          <cell r="N120" t="str">
            <v>Bety Jannaty Saadaty</v>
          </cell>
          <cell r="O120" t="str">
            <v>Dusun Glundengan RT.005/RW.004, Suci, Panti</v>
          </cell>
          <cell r="P120" t="str">
            <v>Jember</v>
          </cell>
          <cell r="Q120" t="str">
            <v>Dusun Glundengan RT.005/RW.004, Suci, Panti</v>
          </cell>
          <cell r="R120" t="str">
            <v>Jember</v>
          </cell>
          <cell r="S120" t="str">
            <v>L Kota1</v>
          </cell>
          <cell r="T120" t="str">
            <v>Wira</v>
          </cell>
          <cell r="U120">
            <v>30</v>
          </cell>
        </row>
        <row r="121">
          <cell r="E121" t="str">
            <v>D25014558</v>
          </cell>
          <cell r="F121"/>
          <cell r="G121">
            <v>300000000</v>
          </cell>
          <cell r="H121" t="str">
            <v>Yuyun</v>
          </cell>
          <cell r="I121" t="str">
            <v>Farida</v>
          </cell>
          <cell r="J121"/>
          <cell r="K121" t="str">
            <v>KU</v>
          </cell>
          <cell r="L121" t="str">
            <v>AGRO52</v>
          </cell>
          <cell r="M121" t="str">
            <v>Agro Suci/Bety</v>
          </cell>
          <cell r="N121" t="str">
            <v>Bety Jannaty Saadaty</v>
          </cell>
          <cell r="O121" t="str">
            <v>Dusun Glundengan RT.005/RW.004, Suci, Panti</v>
          </cell>
          <cell r="P121" t="str">
            <v>Jember</v>
          </cell>
          <cell r="Q121" t="str">
            <v>Dusun Glundengan RT.005/RW.004, Suci, Panti</v>
          </cell>
          <cell r="R121" t="str">
            <v>Jember</v>
          </cell>
          <cell r="S121" t="str">
            <v>L Kota1</v>
          </cell>
          <cell r="T121" t="str">
            <v>Wira</v>
          </cell>
          <cell r="U121">
            <v>30</v>
          </cell>
        </row>
        <row r="122">
          <cell r="E122" t="str">
            <v>B25012463</v>
          </cell>
          <cell r="F122"/>
          <cell r="G122">
            <v>300000000</v>
          </cell>
          <cell r="H122" t="str">
            <v>Yuyun</v>
          </cell>
          <cell r="I122" t="str">
            <v>Farida</v>
          </cell>
          <cell r="J122"/>
          <cell r="K122" t="str">
            <v>KU</v>
          </cell>
          <cell r="L122" t="str">
            <v>AGRO52</v>
          </cell>
          <cell r="M122" t="str">
            <v>Agro Suci/Bety</v>
          </cell>
          <cell r="N122" t="str">
            <v>Bety Jannaty Saadaty</v>
          </cell>
          <cell r="O122" t="str">
            <v>Dusun Glundengan RT.005/RW.004, Suci, Panti</v>
          </cell>
          <cell r="P122" t="str">
            <v>Jember</v>
          </cell>
          <cell r="Q122" t="str">
            <v>Dusun Glundengan RT.005/RW.004, Suci, Panti</v>
          </cell>
          <cell r="R122" t="str">
            <v>Jember</v>
          </cell>
          <cell r="S122" t="str">
            <v>L Kota1</v>
          </cell>
          <cell r="T122" t="str">
            <v>Wira</v>
          </cell>
          <cell r="U122">
            <v>30</v>
          </cell>
        </row>
        <row r="123">
          <cell r="E123" t="str">
            <v>B25012507</v>
          </cell>
          <cell r="F123"/>
          <cell r="G123">
            <v>300000000</v>
          </cell>
          <cell r="H123" t="str">
            <v>Yuyun</v>
          </cell>
          <cell r="I123" t="str">
            <v>Farida</v>
          </cell>
          <cell r="J123"/>
          <cell r="K123" t="str">
            <v>KU</v>
          </cell>
          <cell r="L123" t="str">
            <v>AGRO52</v>
          </cell>
          <cell r="M123" t="str">
            <v>Agro Suci/Bety</v>
          </cell>
          <cell r="N123" t="str">
            <v>Bety Jannaty Saadaty</v>
          </cell>
          <cell r="O123" t="str">
            <v>Dusun Glundengan RT.005/RW.004, Suci, Panti</v>
          </cell>
          <cell r="P123" t="str">
            <v>Jember</v>
          </cell>
          <cell r="Q123" t="str">
            <v>Dusun Glundengan RT.005/RW.004, Suci, Panti</v>
          </cell>
          <cell r="R123" t="str">
            <v>Jember</v>
          </cell>
          <cell r="S123" t="str">
            <v>L Kota1</v>
          </cell>
          <cell r="T123" t="str">
            <v>Wira</v>
          </cell>
          <cell r="U123">
            <v>0</v>
          </cell>
        </row>
        <row r="124">
          <cell r="E124" t="str">
            <v>B25012687</v>
          </cell>
          <cell r="F124"/>
          <cell r="G124">
            <v>300000000</v>
          </cell>
          <cell r="H124" t="str">
            <v>Yuyun</v>
          </cell>
          <cell r="I124" t="str">
            <v>Farida</v>
          </cell>
          <cell r="J124"/>
          <cell r="K124" t="str">
            <v>KU</v>
          </cell>
          <cell r="L124" t="str">
            <v>AGRO52</v>
          </cell>
          <cell r="M124" t="str">
            <v>Agro Suci/Bety</v>
          </cell>
          <cell r="N124" t="str">
            <v>Bety Jannaty Saadaty</v>
          </cell>
          <cell r="O124" t="str">
            <v>Dusun Glundengan RT.005/RW.004, Suci, Panti</v>
          </cell>
          <cell r="P124" t="str">
            <v>Jember</v>
          </cell>
          <cell r="Q124" t="str">
            <v>Dusun Glundengan RT.005/RW.004, Suci, Panti</v>
          </cell>
          <cell r="R124" t="str">
            <v>Jember</v>
          </cell>
          <cell r="S124" t="str">
            <v>L Kota1</v>
          </cell>
          <cell r="T124" t="str">
            <v>Wira</v>
          </cell>
          <cell r="U124">
            <v>30</v>
          </cell>
        </row>
        <row r="125">
          <cell r="E125" t="str">
            <v>B25012735</v>
          </cell>
          <cell r="F125"/>
          <cell r="G125">
            <v>300000000</v>
          </cell>
          <cell r="H125" t="str">
            <v>Yuyun</v>
          </cell>
          <cell r="I125" t="str">
            <v>Farida</v>
          </cell>
          <cell r="J125"/>
          <cell r="K125" t="str">
            <v>KU</v>
          </cell>
          <cell r="L125" t="str">
            <v>AGRO52</v>
          </cell>
          <cell r="M125" t="str">
            <v>Agro Suci/Bety</v>
          </cell>
          <cell r="N125" t="str">
            <v>Bety Jannaty Saadaty</v>
          </cell>
          <cell r="O125" t="str">
            <v>Dusun Glundengan RT.005/RW.004, Suci, Panti</v>
          </cell>
          <cell r="P125" t="str">
            <v>Jember</v>
          </cell>
          <cell r="Q125" t="str">
            <v>Dusun Glundengan RT.005/RW.004, Suci, Panti</v>
          </cell>
          <cell r="R125" t="str">
            <v>Jember</v>
          </cell>
          <cell r="S125" t="str">
            <v>L Kota1</v>
          </cell>
          <cell r="T125" t="str">
            <v>Wira</v>
          </cell>
          <cell r="U125">
            <v>30</v>
          </cell>
        </row>
        <row r="126">
          <cell r="E126" t="str">
            <v>B25012814</v>
          </cell>
          <cell r="F126"/>
          <cell r="G126">
            <v>300000000</v>
          </cell>
          <cell r="H126" t="str">
            <v>Yuyun</v>
          </cell>
          <cell r="I126" t="str">
            <v>Farida</v>
          </cell>
          <cell r="J126"/>
          <cell r="K126" t="str">
            <v>KU</v>
          </cell>
          <cell r="L126" t="str">
            <v>AGRO52</v>
          </cell>
          <cell r="M126" t="str">
            <v>Agro Suci/Bety</v>
          </cell>
          <cell r="N126" t="str">
            <v>Bety Jannaty Saadaty</v>
          </cell>
          <cell r="O126" t="str">
            <v>Dusun Glundengan RT.005/RW.004, Suci, Panti</v>
          </cell>
          <cell r="P126" t="str">
            <v>Jember</v>
          </cell>
          <cell r="Q126" t="str">
            <v>Dusun Glundengan RT.005/RW.004, Suci, Panti</v>
          </cell>
          <cell r="R126" t="str">
            <v>Jember</v>
          </cell>
          <cell r="S126" t="str">
            <v>L Kota1</v>
          </cell>
          <cell r="T126" t="str">
            <v>Wira</v>
          </cell>
          <cell r="U126">
            <v>30</v>
          </cell>
        </row>
        <row r="127">
          <cell r="E127" t="str">
            <v>D25015124</v>
          </cell>
          <cell r="F127"/>
          <cell r="G127">
            <v>300000000</v>
          </cell>
          <cell r="H127" t="str">
            <v>Yuyun</v>
          </cell>
          <cell r="I127" t="str">
            <v>Farida</v>
          </cell>
          <cell r="J127"/>
          <cell r="K127" t="str">
            <v>KU</v>
          </cell>
          <cell r="L127" t="str">
            <v>AGRO52</v>
          </cell>
          <cell r="M127" t="str">
            <v>Agro Suci/Bety</v>
          </cell>
          <cell r="N127" t="str">
            <v>Bety Jannaty Saadaty</v>
          </cell>
          <cell r="O127" t="str">
            <v>Dusun Glundengan RT.005/RW.004, Suci, Panti</v>
          </cell>
          <cell r="P127" t="str">
            <v>Jember</v>
          </cell>
          <cell r="Q127" t="str">
            <v>Dusun Glundengan RT.005/RW.004, Suci, Panti</v>
          </cell>
          <cell r="R127" t="str">
            <v>Jember</v>
          </cell>
          <cell r="S127" t="str">
            <v>L Kota1</v>
          </cell>
          <cell r="T127" t="str">
            <v>Wira</v>
          </cell>
          <cell r="U127">
            <v>30</v>
          </cell>
        </row>
        <row r="128">
          <cell r="E128" t="str">
            <v>B25013131</v>
          </cell>
          <cell r="F128"/>
          <cell r="G128">
            <v>300000000</v>
          </cell>
          <cell r="H128" t="str">
            <v>Yuyun</v>
          </cell>
          <cell r="I128" t="str">
            <v>Farida</v>
          </cell>
          <cell r="J128"/>
          <cell r="K128" t="str">
            <v>KU</v>
          </cell>
          <cell r="L128" t="str">
            <v>AGRO52</v>
          </cell>
          <cell r="M128" t="str">
            <v>Agro Suci/Bety</v>
          </cell>
          <cell r="N128" t="str">
            <v>Bety Jannaty Saadaty</v>
          </cell>
          <cell r="O128" t="str">
            <v>Dusun Glundengan RT.005/RW.004, Suci, Panti</v>
          </cell>
          <cell r="P128" t="str">
            <v>Jember</v>
          </cell>
          <cell r="Q128" t="str">
            <v>Dusun Glundengan RT.005/RW.004, Suci, Panti</v>
          </cell>
          <cell r="R128" t="str">
            <v>Jember</v>
          </cell>
          <cell r="S128" t="str">
            <v>L Kota1</v>
          </cell>
          <cell r="T128" t="str">
            <v>Wira</v>
          </cell>
          <cell r="U128">
            <v>30</v>
          </cell>
        </row>
        <row r="129">
          <cell r="E129" t="str">
            <v>D25015413</v>
          </cell>
          <cell r="F129"/>
          <cell r="G129">
            <v>300000000</v>
          </cell>
          <cell r="H129" t="str">
            <v>Yuyun</v>
          </cell>
          <cell r="I129" t="str">
            <v>Farida</v>
          </cell>
          <cell r="J129"/>
          <cell r="K129" t="str">
            <v>KU</v>
          </cell>
          <cell r="L129" t="str">
            <v>AGRO52</v>
          </cell>
          <cell r="M129" t="str">
            <v>Agro Suci/Bety</v>
          </cell>
          <cell r="N129" t="str">
            <v>Bety Jannaty Saadaty</v>
          </cell>
          <cell r="O129" t="str">
            <v>Dusun Glundengan RT.005/RW.004, Suci, Panti</v>
          </cell>
          <cell r="P129" t="str">
            <v>Jember</v>
          </cell>
          <cell r="Q129" t="str">
            <v>Dusun Glundengan RT.005/RW.004, Suci, Panti</v>
          </cell>
          <cell r="R129" t="str">
            <v>Jember</v>
          </cell>
          <cell r="S129" t="str">
            <v>L Kota1</v>
          </cell>
          <cell r="T129" t="str">
            <v>Wira</v>
          </cell>
          <cell r="U129">
            <v>30</v>
          </cell>
        </row>
        <row r="130">
          <cell r="E130" t="str">
            <v>D25015553</v>
          </cell>
          <cell r="F130"/>
          <cell r="G130">
            <v>300000000</v>
          </cell>
          <cell r="H130" t="str">
            <v>Yuyun</v>
          </cell>
          <cell r="I130" t="str">
            <v>Farida</v>
          </cell>
          <cell r="J130"/>
          <cell r="K130" t="str">
            <v>KU</v>
          </cell>
          <cell r="L130" t="str">
            <v>AGRO52</v>
          </cell>
          <cell r="M130" t="str">
            <v>Agro Suci/Bety</v>
          </cell>
          <cell r="N130" t="str">
            <v>Bety Jannaty Saadaty</v>
          </cell>
          <cell r="O130" t="str">
            <v>Dusun Glundengan RT.005/RW.004, Suci, Panti</v>
          </cell>
          <cell r="P130" t="str">
            <v>Jember</v>
          </cell>
          <cell r="Q130" t="str">
            <v>Dusun Glundengan RT.005/RW.004, Suci, Panti</v>
          </cell>
          <cell r="R130" t="str">
            <v>Jember</v>
          </cell>
          <cell r="S130" t="str">
            <v>L Kota1</v>
          </cell>
          <cell r="T130" t="str">
            <v>Wira</v>
          </cell>
          <cell r="U130">
            <v>30</v>
          </cell>
        </row>
        <row r="131">
          <cell r="E131" t="str">
            <v>B25013406</v>
          </cell>
          <cell r="F131"/>
          <cell r="G131">
            <v>300000000</v>
          </cell>
          <cell r="H131" t="str">
            <v>Yuyun</v>
          </cell>
          <cell r="I131" t="str">
            <v>Farida</v>
          </cell>
          <cell r="J131"/>
          <cell r="K131" t="str">
            <v>KU</v>
          </cell>
          <cell r="L131" t="str">
            <v>AGRO52</v>
          </cell>
          <cell r="M131" t="str">
            <v>Agro Suci/Bety</v>
          </cell>
          <cell r="N131" t="str">
            <v>Bety Jannaty Saadaty</v>
          </cell>
          <cell r="O131" t="str">
            <v>Dusun Glundengan RT.005/RW.004, Suci, Panti</v>
          </cell>
          <cell r="P131" t="str">
            <v>Jember</v>
          </cell>
          <cell r="Q131" t="str">
            <v>Dusun Glundengan RT.005/RW.004, Suci, Panti</v>
          </cell>
          <cell r="R131" t="str">
            <v>Jember</v>
          </cell>
          <cell r="S131" t="str">
            <v>L Kota1</v>
          </cell>
          <cell r="T131" t="str">
            <v>Wira</v>
          </cell>
          <cell r="U131">
            <v>30</v>
          </cell>
        </row>
        <row r="132">
          <cell r="E132" t="str">
            <v>B25013868</v>
          </cell>
          <cell r="F132"/>
          <cell r="G132">
            <v>300000000</v>
          </cell>
          <cell r="H132" t="str">
            <v>Yuyun</v>
          </cell>
          <cell r="I132" t="str">
            <v>Farida</v>
          </cell>
          <cell r="J132"/>
          <cell r="K132" t="str">
            <v>KU</v>
          </cell>
          <cell r="L132" t="str">
            <v>AGRO52</v>
          </cell>
          <cell r="M132" t="str">
            <v>Agro Suci/Bety</v>
          </cell>
          <cell r="N132" t="str">
            <v>Bety Jannaty Saadaty</v>
          </cell>
          <cell r="O132" t="str">
            <v>Dusun Glundengan RT.005/RW.004, Suci, Panti</v>
          </cell>
          <cell r="P132" t="str">
            <v>Jember</v>
          </cell>
          <cell r="Q132" t="str">
            <v>Dusun Glundengan RT.005/RW.004, Suci, Panti</v>
          </cell>
          <cell r="R132" t="str">
            <v>Jember</v>
          </cell>
          <cell r="S132" t="str">
            <v>L Kota1</v>
          </cell>
          <cell r="T132" t="str">
            <v>Wira</v>
          </cell>
          <cell r="U132">
            <v>30</v>
          </cell>
        </row>
        <row r="133">
          <cell r="E133" t="str">
            <v>B25014032</v>
          </cell>
          <cell r="F133"/>
          <cell r="G133">
            <v>300000000</v>
          </cell>
          <cell r="H133" t="str">
            <v>Yuyun</v>
          </cell>
          <cell r="I133" t="str">
            <v>Farida</v>
          </cell>
          <cell r="J133"/>
          <cell r="K133" t="str">
            <v>KU</v>
          </cell>
          <cell r="L133" t="str">
            <v>AGRO52</v>
          </cell>
          <cell r="M133" t="str">
            <v>Agro Suci/Bety</v>
          </cell>
          <cell r="N133" t="str">
            <v>Bety Jannaty Saadaty</v>
          </cell>
          <cell r="O133" t="str">
            <v>Dusun Glundengan RT.005/RW.004, Suci, Panti</v>
          </cell>
          <cell r="P133" t="str">
            <v>Jember</v>
          </cell>
          <cell r="Q133" t="str">
            <v>Dusun Glundengan RT.005/RW.004, Suci, Panti</v>
          </cell>
          <cell r="R133" t="str">
            <v>Jember</v>
          </cell>
          <cell r="S133" t="str">
            <v>L Kota1</v>
          </cell>
          <cell r="T133" t="str">
            <v>Wira</v>
          </cell>
          <cell r="U133">
            <v>30</v>
          </cell>
        </row>
        <row r="134">
          <cell r="E134" t="str">
            <v>D25013877</v>
          </cell>
          <cell r="F134"/>
          <cell r="G134">
            <v>500000000</v>
          </cell>
          <cell r="H134" t="str">
            <v>Ariyani</v>
          </cell>
          <cell r="I134" t="str">
            <v>Fira</v>
          </cell>
          <cell r="J134"/>
          <cell r="K134" t="str">
            <v>KU</v>
          </cell>
          <cell r="L134" t="str">
            <v>AGRO12</v>
          </cell>
          <cell r="M134" t="str">
            <v>Agro Sukses Surabaya, PT</v>
          </cell>
          <cell r="N134" t="str">
            <v>Pratama Sumber Milindo,PT</v>
          </cell>
          <cell r="O134" t="str">
            <v>Baliwerti No. 32</v>
          </cell>
          <cell r="P134" t="str">
            <v>Surabaya</v>
          </cell>
          <cell r="Q134" t="str">
            <v>Baliwerti No. 32</v>
          </cell>
          <cell r="R134" t="str">
            <v>Surabaya</v>
          </cell>
          <cell r="S134" t="str">
            <v>F Utara1</v>
          </cell>
          <cell r="T134" t="str">
            <v>OTHERS</v>
          </cell>
          <cell r="U134">
            <v>60</v>
          </cell>
        </row>
        <row r="135">
          <cell r="E135" t="str">
            <v>T25001130</v>
          </cell>
          <cell r="F135"/>
          <cell r="G135">
            <v>80000000</v>
          </cell>
          <cell r="H135" t="str">
            <v>Ariyani</v>
          </cell>
          <cell r="I135" t="str">
            <v>Fira</v>
          </cell>
          <cell r="J135" t="str">
            <v>New 03/07/21</v>
          </cell>
          <cell r="K135" t="str">
            <v>KU, Tunai</v>
          </cell>
          <cell r="L135" t="str">
            <v>AGRO49</v>
          </cell>
          <cell r="M135" t="str">
            <v>Agro Tani Mandiri</v>
          </cell>
          <cell r="N135" t="str">
            <v>Adi Prasetyo</v>
          </cell>
          <cell r="O135" t="str">
            <v>Jl. Mayjend Sutoyono Gg. I/No. 11 RT.003/RW.002, Kel. Patokan, Kec. Kraksaan</v>
          </cell>
          <cell r="P135" t="str">
            <v>Probolinggo</v>
          </cell>
          <cell r="Q135" t="str">
            <v>Jl. Mayjend Sutoyono Gg. I/No. 11 RT.003/RW.002, Kel. Patokan, Kec. Kraksaan</v>
          </cell>
          <cell r="R135" t="str">
            <v>Probolinggo</v>
          </cell>
          <cell r="S135" t="str">
            <v>G Prob2</v>
          </cell>
          <cell r="T135" t="str">
            <v>Wira</v>
          </cell>
          <cell r="U135">
            <v>60</v>
          </cell>
        </row>
        <row r="136">
          <cell r="E136" t="str">
            <v>B25009617</v>
          </cell>
          <cell r="F136"/>
          <cell r="G136">
            <v>80000000</v>
          </cell>
          <cell r="H136" t="str">
            <v>Ariyani</v>
          </cell>
          <cell r="I136" t="str">
            <v>Fira</v>
          </cell>
          <cell r="J136" t="str">
            <v>New 03/07/21</v>
          </cell>
          <cell r="K136" t="str">
            <v>KU, Tunai</v>
          </cell>
          <cell r="L136" t="str">
            <v>AGRO49</v>
          </cell>
          <cell r="M136" t="str">
            <v>Agro Tani Mandiri</v>
          </cell>
          <cell r="N136" t="str">
            <v>Adi Prasetyo</v>
          </cell>
          <cell r="O136" t="str">
            <v>Jl. Mayjend Sutoyono Gg. I/No. 11 RT.003/RW.002, Kel. Patokan, Kec. Kraksaan</v>
          </cell>
          <cell r="P136" t="str">
            <v>Probolinggo</v>
          </cell>
          <cell r="Q136" t="str">
            <v>Jl. Mayjend Sutoyono Gg. I/No. 11 RT.003/RW.002, Kel. Patokan, Kec. Kraksaan</v>
          </cell>
          <cell r="R136" t="str">
            <v>Probolinggo</v>
          </cell>
          <cell r="S136" t="str">
            <v>G Prob2</v>
          </cell>
          <cell r="T136" t="str">
            <v>Wira</v>
          </cell>
          <cell r="U136">
            <v>30</v>
          </cell>
        </row>
        <row r="137">
          <cell r="E137" t="str">
            <v>B25009617</v>
          </cell>
          <cell r="F137"/>
          <cell r="G137">
            <v>80000000</v>
          </cell>
          <cell r="H137" t="str">
            <v>Ariyani</v>
          </cell>
          <cell r="I137" t="str">
            <v>Fira</v>
          </cell>
          <cell r="J137" t="str">
            <v>New 03/07/21</v>
          </cell>
          <cell r="K137" t="str">
            <v>KU, Tunai</v>
          </cell>
          <cell r="L137" t="str">
            <v>AGRO49</v>
          </cell>
          <cell r="M137" t="str">
            <v>Agro Tani Mandiri</v>
          </cell>
          <cell r="N137" t="str">
            <v>Adi Prasetyo</v>
          </cell>
          <cell r="O137" t="str">
            <v>Jl. Mayjend Sutoyono Gg. I/No. 11 RT.003/RW.002, Kel. Patokan, Kec. Kraksaan</v>
          </cell>
          <cell r="P137" t="str">
            <v>Probolinggo</v>
          </cell>
          <cell r="Q137" t="str">
            <v>Jl. Mayjend Sutoyono Gg. I/No. 11 RT.003/RW.002, Kel. Patokan, Kec. Kraksaan</v>
          </cell>
          <cell r="R137" t="str">
            <v>Probolinggo</v>
          </cell>
          <cell r="S137" t="str">
            <v>G Prob2</v>
          </cell>
          <cell r="T137" t="str">
            <v>Wira</v>
          </cell>
          <cell r="U137">
            <v>30</v>
          </cell>
        </row>
        <row r="138">
          <cell r="E138" t="str">
            <v>B25009617</v>
          </cell>
          <cell r="F138"/>
          <cell r="G138">
            <v>80000000</v>
          </cell>
          <cell r="H138" t="str">
            <v>Ariyani</v>
          </cell>
          <cell r="I138" t="str">
            <v>Fira</v>
          </cell>
          <cell r="J138" t="str">
            <v>New 03/07/21</v>
          </cell>
          <cell r="K138" t="str">
            <v>KU, Tunai</v>
          </cell>
          <cell r="L138" t="str">
            <v>AGRO49</v>
          </cell>
          <cell r="M138" t="str">
            <v>Agro Tani Mandiri</v>
          </cell>
          <cell r="N138" t="str">
            <v>Adi Prasetyo</v>
          </cell>
          <cell r="O138" t="str">
            <v>Jl. Mayjend Sutoyono Gg. I/No. 11 RT.003/RW.002, Kel. Patokan, Kec. Kraksaan</v>
          </cell>
          <cell r="P138" t="str">
            <v>Probolinggo</v>
          </cell>
          <cell r="Q138" t="str">
            <v>Jl. Mayjend Sutoyono Gg. I/No. 11 RT.003/RW.002, Kel. Patokan, Kec. Kraksaan</v>
          </cell>
          <cell r="R138" t="str">
            <v>Probolinggo</v>
          </cell>
          <cell r="S138" t="str">
            <v>G Prob2</v>
          </cell>
          <cell r="T138" t="str">
            <v>Wira</v>
          </cell>
          <cell r="U138">
            <v>30</v>
          </cell>
        </row>
        <row r="139">
          <cell r="E139" t="str">
            <v>B25010587</v>
          </cell>
          <cell r="F139"/>
          <cell r="G139">
            <v>80000000</v>
          </cell>
          <cell r="H139" t="str">
            <v>Ariyani</v>
          </cell>
          <cell r="I139" t="str">
            <v>Fira</v>
          </cell>
          <cell r="J139" t="str">
            <v>New 03/07/21</v>
          </cell>
          <cell r="K139" t="str">
            <v>KU, Tunai</v>
          </cell>
          <cell r="L139" t="str">
            <v>AGRO49</v>
          </cell>
          <cell r="M139" t="str">
            <v>Agro Tani Mandiri</v>
          </cell>
          <cell r="N139" t="str">
            <v>Adi Prasetyo</v>
          </cell>
          <cell r="O139" t="str">
            <v>Jl. Mayjend Sutoyono Gg. I/No. 11 RT.003/RW.002, Kel. Patokan, Kec. Kraksaan</v>
          </cell>
          <cell r="P139" t="str">
            <v>Probolinggo</v>
          </cell>
          <cell r="Q139" t="str">
            <v>Jl. Mayjend Sutoyono Gg. I/No. 11 RT.003/RW.002, Kel. Patokan, Kec. Kraksaan</v>
          </cell>
          <cell r="R139" t="str">
            <v>Probolinggo</v>
          </cell>
          <cell r="S139" t="str">
            <v>G Prob2</v>
          </cell>
          <cell r="T139" t="str">
            <v>Wira</v>
          </cell>
          <cell r="U139">
            <v>30</v>
          </cell>
        </row>
        <row r="140">
          <cell r="E140" t="str">
            <v>B25010725</v>
          </cell>
          <cell r="F140"/>
          <cell r="G140">
            <v>80000000</v>
          </cell>
          <cell r="H140" t="str">
            <v>Ariyani</v>
          </cell>
          <cell r="I140" t="str">
            <v>Fira</v>
          </cell>
          <cell r="J140" t="str">
            <v>New 03/07/21</v>
          </cell>
          <cell r="K140" t="str">
            <v>KU, Tunai</v>
          </cell>
          <cell r="L140" t="str">
            <v>AGRO49</v>
          </cell>
          <cell r="M140" t="str">
            <v>Agro Tani Mandiri</v>
          </cell>
          <cell r="N140" t="str">
            <v>Adi Prasetyo</v>
          </cell>
          <cell r="O140" t="str">
            <v>Jl. Mayjend Sutoyono Gg. I/No. 11 RT.003/RW.002, Kel. Patokan, Kec. Kraksaan</v>
          </cell>
          <cell r="P140" t="str">
            <v>Probolinggo</v>
          </cell>
          <cell r="Q140" t="str">
            <v>Jl. Mayjend Sutoyono Gg. I/No. 11 RT.003/RW.002, Kel. Patokan, Kec. Kraksaan</v>
          </cell>
          <cell r="R140" t="str">
            <v>Probolinggo</v>
          </cell>
          <cell r="S140" t="str">
            <v>G Prob2</v>
          </cell>
          <cell r="T140" t="str">
            <v>Wira</v>
          </cell>
          <cell r="U140">
            <v>30</v>
          </cell>
        </row>
        <row r="141">
          <cell r="E141" t="str">
            <v>D25013007</v>
          </cell>
          <cell r="F141"/>
          <cell r="G141">
            <v>80000000</v>
          </cell>
          <cell r="H141" t="str">
            <v>Ariyani</v>
          </cell>
          <cell r="I141" t="str">
            <v>Fira</v>
          </cell>
          <cell r="J141" t="str">
            <v>New 03/07/21</v>
          </cell>
          <cell r="K141" t="str">
            <v>KU, Tunai</v>
          </cell>
          <cell r="L141" t="str">
            <v>AGRO49</v>
          </cell>
          <cell r="M141" t="str">
            <v>Agro Tani Mandiri</v>
          </cell>
          <cell r="N141" t="str">
            <v>Adi Prasetyo</v>
          </cell>
          <cell r="O141" t="str">
            <v>Jl. Mayjend Sutoyono Gg. I/No. 11 RT.003/RW.002, Kel. Patokan, Kec. Kraksaan</v>
          </cell>
          <cell r="P141" t="str">
            <v>Probolinggo</v>
          </cell>
          <cell r="Q141" t="str">
            <v>Jl. Mayjend Sutoyono Gg. I/No. 11 RT.003/RW.002, Kel. Patokan, Kec. Kraksaan</v>
          </cell>
          <cell r="R141" t="str">
            <v>Probolinggo</v>
          </cell>
          <cell r="S141" t="str">
            <v>G Prob2</v>
          </cell>
          <cell r="T141" t="str">
            <v>Wira</v>
          </cell>
          <cell r="U141">
            <v>30</v>
          </cell>
        </row>
        <row r="142">
          <cell r="E142" t="str">
            <v>D25013195</v>
          </cell>
          <cell r="F142"/>
          <cell r="G142">
            <v>80000000</v>
          </cell>
          <cell r="H142" t="str">
            <v>Ariyani</v>
          </cell>
          <cell r="I142" t="str">
            <v>Fira</v>
          </cell>
          <cell r="J142" t="str">
            <v>New 03/07/21</v>
          </cell>
          <cell r="K142" t="str">
            <v>KU, Tunai</v>
          </cell>
          <cell r="L142" t="str">
            <v>AGRO49</v>
          </cell>
          <cell r="M142" t="str">
            <v>Agro Tani Mandiri</v>
          </cell>
          <cell r="N142" t="str">
            <v>Adi Prasetyo</v>
          </cell>
          <cell r="O142" t="str">
            <v>Jl. Mayjend Sutoyono Gg. I/No. 11 RT.003/RW.002, Kel. Patokan, Kec. Kraksaan</v>
          </cell>
          <cell r="P142" t="str">
            <v>Probolinggo</v>
          </cell>
          <cell r="Q142" t="str">
            <v>Jl. Mayjend Sutoyono Gg. I/No. 11 RT.003/RW.002, Kel. Patokan, Kec. Kraksaan</v>
          </cell>
          <cell r="R142" t="str">
            <v>Probolinggo</v>
          </cell>
          <cell r="S142" t="str">
            <v>G Prob2</v>
          </cell>
          <cell r="T142" t="str">
            <v>Wira</v>
          </cell>
          <cell r="U142">
            <v>30</v>
          </cell>
        </row>
        <row r="143">
          <cell r="E143" t="str">
            <v>B25012049</v>
          </cell>
          <cell r="F143"/>
          <cell r="G143">
            <v>80000000</v>
          </cell>
          <cell r="H143" t="str">
            <v>Ariyani</v>
          </cell>
          <cell r="I143" t="str">
            <v>Fira</v>
          </cell>
          <cell r="J143" t="str">
            <v>New 03/07/21</v>
          </cell>
          <cell r="K143" t="str">
            <v>KU, Tunai</v>
          </cell>
          <cell r="L143" t="str">
            <v>AGRO49</v>
          </cell>
          <cell r="M143" t="str">
            <v>Agro Tani Mandiri</v>
          </cell>
          <cell r="N143" t="str">
            <v>Adi Prasetyo</v>
          </cell>
          <cell r="O143" t="str">
            <v>Jl. Mayjend Sutoyono Gg. I/No. 11 RT.003/RW.002, Kel. Patokan, Kec. Kraksaan</v>
          </cell>
          <cell r="P143" t="str">
            <v>Probolinggo</v>
          </cell>
          <cell r="Q143" t="str">
            <v>Jl. Mayjend Sutoyono Gg. I/No. 11 RT.003/RW.002, Kel. Patokan, Kec. Kraksaan</v>
          </cell>
          <cell r="R143" t="str">
            <v>Probolinggo</v>
          </cell>
          <cell r="S143" t="str">
            <v>G Prob2</v>
          </cell>
          <cell r="T143" t="str">
            <v>Wira</v>
          </cell>
          <cell r="U143">
            <v>30</v>
          </cell>
        </row>
        <row r="144">
          <cell r="E144" t="str">
            <v>D25014681</v>
          </cell>
          <cell r="F144"/>
          <cell r="G144">
            <v>80000000</v>
          </cell>
          <cell r="H144" t="str">
            <v>Ariyani</v>
          </cell>
          <cell r="I144" t="str">
            <v>Fira</v>
          </cell>
          <cell r="J144" t="str">
            <v>New 03/07/21</v>
          </cell>
          <cell r="K144" t="str">
            <v>KU, Tunai</v>
          </cell>
          <cell r="L144" t="str">
            <v>AGRO49</v>
          </cell>
          <cell r="M144" t="str">
            <v>Agro Tani Mandiri</v>
          </cell>
          <cell r="N144" t="str">
            <v>Adi Prasetyo</v>
          </cell>
          <cell r="O144" t="str">
            <v>Jl. Mayjend Sutoyono Gg. I/No. 11 RT.003/RW.002, Kel. Patokan, Kec. Kraksaan</v>
          </cell>
          <cell r="P144" t="str">
            <v>Probolinggo</v>
          </cell>
          <cell r="Q144" t="str">
            <v>Jl. Mayjend Sutoyono Gg. I/No. 11 RT.003/RW.002, Kel. Patokan, Kec. Kraksaan</v>
          </cell>
          <cell r="R144" t="str">
            <v>Probolinggo</v>
          </cell>
          <cell r="S144" t="str">
            <v>G Prob2</v>
          </cell>
          <cell r="T144" t="str">
            <v>Wira</v>
          </cell>
          <cell r="U144">
            <v>30</v>
          </cell>
        </row>
        <row r="145">
          <cell r="E145" t="str">
            <v>B25012469</v>
          </cell>
          <cell r="F145"/>
          <cell r="G145">
            <v>80000000</v>
          </cell>
          <cell r="H145" t="str">
            <v>Ariyani</v>
          </cell>
          <cell r="I145" t="str">
            <v>Fira</v>
          </cell>
          <cell r="J145" t="str">
            <v>New 03/07/21</v>
          </cell>
          <cell r="K145" t="str">
            <v>KU, Tunai</v>
          </cell>
          <cell r="L145" t="str">
            <v>AGRO49</v>
          </cell>
          <cell r="M145" t="str">
            <v>Agro Tani Mandiri</v>
          </cell>
          <cell r="N145" t="str">
            <v>Adi Prasetyo</v>
          </cell>
          <cell r="O145" t="str">
            <v>Jl. Mayjend Sutoyono Gg. I/No. 11 RT.003/RW.002, Kel. Patokan, Kec. Kraksaan</v>
          </cell>
          <cell r="P145" t="str">
            <v>Probolinggo</v>
          </cell>
          <cell r="Q145" t="str">
            <v>Jl. Mayjend Sutoyono Gg. I/No. 11 RT.003/RW.002, Kel. Patokan, Kec. Kraksaan</v>
          </cell>
          <cell r="R145" t="str">
            <v>Probolinggo</v>
          </cell>
          <cell r="S145" t="str">
            <v>G Prob2</v>
          </cell>
          <cell r="T145" t="str">
            <v>Wira</v>
          </cell>
          <cell r="U145">
            <v>30</v>
          </cell>
        </row>
        <row r="146">
          <cell r="E146" t="str">
            <v>B25012865</v>
          </cell>
          <cell r="F146"/>
          <cell r="G146">
            <v>80000000</v>
          </cell>
          <cell r="H146" t="str">
            <v>Ariyani</v>
          </cell>
          <cell r="I146" t="str">
            <v>Fira</v>
          </cell>
          <cell r="J146" t="str">
            <v>New 03/07/21</v>
          </cell>
          <cell r="K146" t="str">
            <v>KU, Tunai</v>
          </cell>
          <cell r="L146" t="str">
            <v>AGRO49</v>
          </cell>
          <cell r="M146" t="str">
            <v>Agro Tani Mandiri</v>
          </cell>
          <cell r="N146" t="str">
            <v>Adi Prasetyo</v>
          </cell>
          <cell r="O146" t="str">
            <v>Jl. Mayjend Sutoyono Gg. I/No. 11 RT.003/RW.002, Kel. Patokan, Kec. Kraksaan</v>
          </cell>
          <cell r="P146" t="str">
            <v>Probolinggo</v>
          </cell>
          <cell r="Q146" t="str">
            <v>Jl. Mayjend Sutoyono Gg. I/No. 11 RT.003/RW.002, Kel. Patokan, Kec. Kraksaan</v>
          </cell>
          <cell r="R146" t="str">
            <v>Probolinggo</v>
          </cell>
          <cell r="S146" t="str">
            <v>G Prob2</v>
          </cell>
          <cell r="T146" t="str">
            <v>Wira</v>
          </cell>
          <cell r="U146">
            <v>30</v>
          </cell>
        </row>
        <row r="147">
          <cell r="E147" t="str">
            <v>B25012998</v>
          </cell>
          <cell r="F147"/>
          <cell r="G147">
            <v>80000000</v>
          </cell>
          <cell r="H147" t="str">
            <v>Ariyani</v>
          </cell>
          <cell r="I147" t="str">
            <v>Fira</v>
          </cell>
          <cell r="J147" t="str">
            <v>New 03/07/21</v>
          </cell>
          <cell r="K147" t="str">
            <v>KU, Tunai</v>
          </cell>
          <cell r="L147" t="str">
            <v>AGRO49</v>
          </cell>
          <cell r="M147" t="str">
            <v>Agro Tani Mandiri</v>
          </cell>
          <cell r="N147" t="str">
            <v>Adi Prasetyo</v>
          </cell>
          <cell r="O147" t="str">
            <v>Jl. Mayjend Sutoyono Gg. I/No. 11 RT.003/RW.002, Kel. Patokan, Kec. Kraksaan</v>
          </cell>
          <cell r="P147" t="str">
            <v>Probolinggo</v>
          </cell>
          <cell r="Q147" t="str">
            <v>Jl. Mayjend Sutoyono Gg. I/No. 11 RT.003/RW.002, Kel. Patokan, Kec. Kraksaan</v>
          </cell>
          <cell r="R147" t="str">
            <v>Probolinggo</v>
          </cell>
          <cell r="S147" t="str">
            <v>G Prob2</v>
          </cell>
          <cell r="T147" t="str">
            <v>Wira</v>
          </cell>
          <cell r="U147">
            <v>30</v>
          </cell>
        </row>
        <row r="148">
          <cell r="E148" t="str">
            <v>D25015903</v>
          </cell>
          <cell r="F148"/>
          <cell r="G148">
            <v>80000000</v>
          </cell>
          <cell r="H148" t="str">
            <v>Ariyani</v>
          </cell>
          <cell r="I148" t="str">
            <v>Fira</v>
          </cell>
          <cell r="J148" t="str">
            <v>New 03/07/21</v>
          </cell>
          <cell r="K148" t="str">
            <v>KU, Tunai</v>
          </cell>
          <cell r="L148" t="str">
            <v>AGRO49</v>
          </cell>
          <cell r="M148" t="str">
            <v>Agro Tani Mandiri</v>
          </cell>
          <cell r="N148" t="str">
            <v>Adi Prasetyo</v>
          </cell>
          <cell r="O148" t="str">
            <v>Jl. Mayjend Sutoyono Gg. I/No. 11 RT.003/RW.002, Kel. Patokan, Kec. Kraksaan</v>
          </cell>
          <cell r="P148" t="str">
            <v>Probolinggo</v>
          </cell>
          <cell r="Q148" t="str">
            <v>Jl. Mayjend Sutoyono Gg. I/No. 11 RT.003/RW.002, Kel. Patokan, Kec. Kraksaan</v>
          </cell>
          <cell r="R148" t="str">
            <v>Probolinggo</v>
          </cell>
          <cell r="S148" t="str">
            <v>G Prob2</v>
          </cell>
          <cell r="T148" t="str">
            <v>Wira</v>
          </cell>
          <cell r="U148">
            <v>30</v>
          </cell>
        </row>
        <row r="149">
          <cell r="E149" t="str">
            <v>D25016016</v>
          </cell>
          <cell r="F149"/>
          <cell r="G149">
            <v>80000000</v>
          </cell>
          <cell r="H149" t="str">
            <v>Ariyani</v>
          </cell>
          <cell r="I149" t="str">
            <v>Fira</v>
          </cell>
          <cell r="J149" t="str">
            <v>New 03/07/21</v>
          </cell>
          <cell r="K149" t="str">
            <v>KU, Tunai</v>
          </cell>
          <cell r="L149" t="str">
            <v>AGRO49</v>
          </cell>
          <cell r="M149" t="str">
            <v>Agro Tani Mandiri</v>
          </cell>
          <cell r="N149" t="str">
            <v>Adi Prasetyo</v>
          </cell>
          <cell r="O149" t="str">
            <v>Jl. Mayjend Sutoyono Gg. I/No. 11 RT.003/RW.002, Kel. Patokan, Kec. Kraksaan</v>
          </cell>
          <cell r="P149" t="str">
            <v>Probolinggo</v>
          </cell>
          <cell r="Q149" t="str">
            <v>Jl. Mayjend Sutoyono Gg. I/No. 11 RT.003/RW.002, Kel. Patokan, Kec. Kraksaan</v>
          </cell>
          <cell r="R149" t="str">
            <v>Probolinggo</v>
          </cell>
          <cell r="S149" t="str">
            <v>G Prob2</v>
          </cell>
          <cell r="T149" t="str">
            <v>Wira</v>
          </cell>
          <cell r="U149">
            <v>30</v>
          </cell>
        </row>
        <row r="150">
          <cell r="E150" t="str">
            <v>B25013906</v>
          </cell>
          <cell r="F150"/>
          <cell r="G150">
            <v>80000000</v>
          </cell>
          <cell r="H150" t="str">
            <v>Ariyani</v>
          </cell>
          <cell r="I150" t="str">
            <v>Fira</v>
          </cell>
          <cell r="J150" t="str">
            <v>New 03/07/21</v>
          </cell>
          <cell r="K150" t="str">
            <v>KU, Tunai</v>
          </cell>
          <cell r="L150" t="str">
            <v>AGRO49</v>
          </cell>
          <cell r="M150" t="str">
            <v>Agro Tani Mandiri</v>
          </cell>
          <cell r="N150" t="str">
            <v>Adi Prasetyo</v>
          </cell>
          <cell r="O150" t="str">
            <v>Jl. Mayjend Sutoyono Gg. I/No. 11 RT.003/RW.002, Kel. Patokan, Kec. Kraksaan</v>
          </cell>
          <cell r="P150" t="str">
            <v>Probolinggo</v>
          </cell>
          <cell r="Q150" t="str">
            <v>Jl. Mayjend Sutoyono Gg. I/No. 11 RT.003/RW.002, Kel. Patokan, Kec. Kraksaan</v>
          </cell>
          <cell r="R150" t="str">
            <v>Probolinggo</v>
          </cell>
          <cell r="S150" t="str">
            <v>G Prob2</v>
          </cell>
          <cell r="T150" t="str">
            <v>Wira</v>
          </cell>
          <cell r="U150">
            <v>30</v>
          </cell>
        </row>
        <row r="151">
          <cell r="E151" t="str">
            <v>D25016257</v>
          </cell>
          <cell r="F151"/>
          <cell r="G151">
            <v>80000000</v>
          </cell>
          <cell r="H151" t="str">
            <v>Ariyani</v>
          </cell>
          <cell r="I151" t="str">
            <v>Fira</v>
          </cell>
          <cell r="J151" t="str">
            <v>New 03/07/21</v>
          </cell>
          <cell r="K151" t="str">
            <v>KU, Tunai</v>
          </cell>
          <cell r="L151" t="str">
            <v>AGRO49</v>
          </cell>
          <cell r="M151" t="str">
            <v>Agro Tani Mandiri</v>
          </cell>
          <cell r="N151" t="str">
            <v>Adi Prasetyo</v>
          </cell>
          <cell r="O151" t="str">
            <v>Jl. Mayjend Sutoyono Gg. I/No. 11 RT.003/RW.002, Kel. Patokan, Kec. Kraksaan</v>
          </cell>
          <cell r="P151" t="str">
            <v>Probolinggo</v>
          </cell>
          <cell r="Q151" t="str">
            <v>Jl. Mayjend Sutoyono Gg. I/No. 11 RT.003/RW.002, Kel. Patokan, Kec. Kraksaan</v>
          </cell>
          <cell r="R151" t="str">
            <v>Probolinggo</v>
          </cell>
          <cell r="S151" t="str">
            <v>G Prob2</v>
          </cell>
          <cell r="T151" t="str">
            <v>Wira</v>
          </cell>
          <cell r="U151">
            <v>30</v>
          </cell>
        </row>
        <row r="152">
          <cell r="E152" t="str">
            <v>D25012011</v>
          </cell>
          <cell r="F152"/>
          <cell r="G152">
            <v>250000000</v>
          </cell>
          <cell r="H152" t="str">
            <v>Zakia</v>
          </cell>
          <cell r="I152" t="str">
            <v>Tiya</v>
          </cell>
          <cell r="J152" t="str">
            <v>New 04/02/2022</v>
          </cell>
          <cell r="K152" t="str">
            <v>KU</v>
          </cell>
          <cell r="L152" t="str">
            <v>AGRO51</v>
          </cell>
          <cell r="M152" t="str">
            <v>Agro Tani Sejahtera/Ni Putu Esthi</v>
          </cell>
          <cell r="N152" t="str">
            <v>Ni Putu Esthi Saraswati</v>
          </cell>
          <cell r="O152" t="str">
            <v>BR Dinas Piling Tengah, Kel. Mengesta, Kec. Penebel</v>
          </cell>
          <cell r="P152" t="str">
            <v>Tabanan - Bali</v>
          </cell>
          <cell r="Q152" t="str">
            <v>Jl. Raya Penarukan Kelating, Kerambitan</v>
          </cell>
          <cell r="R152" t="str">
            <v>Tabanan - Bali</v>
          </cell>
          <cell r="S152" t="str">
            <v>S Bali1</v>
          </cell>
          <cell r="T152" t="str">
            <v>Wira</v>
          </cell>
          <cell r="U152">
            <v>30</v>
          </cell>
        </row>
        <row r="153">
          <cell r="E153" t="str">
            <v>D25012012</v>
          </cell>
          <cell r="F153"/>
          <cell r="G153">
            <v>250000000</v>
          </cell>
          <cell r="H153" t="str">
            <v>Zakia</v>
          </cell>
          <cell r="I153" t="str">
            <v>Tiya</v>
          </cell>
          <cell r="J153" t="str">
            <v>New 04/02/2022</v>
          </cell>
          <cell r="K153" t="str">
            <v>KU</v>
          </cell>
          <cell r="L153" t="str">
            <v>AGRO51</v>
          </cell>
          <cell r="M153" t="str">
            <v>Agro Tani Sejahtera/Ni Putu Esthi</v>
          </cell>
          <cell r="N153" t="str">
            <v>Ni Putu Esthi Saraswati</v>
          </cell>
          <cell r="O153" t="str">
            <v>BR Dinas Piling Tengah, Kel. Mengesta, Kec. Penebel</v>
          </cell>
          <cell r="P153" t="str">
            <v>Tabanan - Bali</v>
          </cell>
          <cell r="Q153" t="str">
            <v>Jl. Raya Penarukan Kelating, Kerambitan</v>
          </cell>
          <cell r="R153" t="str">
            <v>Tabanan - Bali</v>
          </cell>
          <cell r="S153" t="str">
            <v>S Bali1</v>
          </cell>
          <cell r="T153" t="str">
            <v>Wira</v>
          </cell>
          <cell r="U153">
            <v>30</v>
          </cell>
        </row>
        <row r="154">
          <cell r="E154" t="str">
            <v>D25012013</v>
          </cell>
          <cell r="F154"/>
          <cell r="G154">
            <v>250000000</v>
          </cell>
          <cell r="H154" t="str">
            <v>Zakia</v>
          </cell>
          <cell r="I154" t="str">
            <v>Tiya</v>
          </cell>
          <cell r="J154" t="str">
            <v>New 04/02/2022</v>
          </cell>
          <cell r="K154" t="str">
            <v>KU</v>
          </cell>
          <cell r="L154" t="str">
            <v>AGRO51</v>
          </cell>
          <cell r="M154" t="str">
            <v>Agro Tani Sejahtera/Ni Putu Esthi</v>
          </cell>
          <cell r="N154" t="str">
            <v>Ni Putu Esthi Saraswati</v>
          </cell>
          <cell r="O154" t="str">
            <v>BR Dinas Piling Tengah, Kel. Mengesta, Kec. Penebel</v>
          </cell>
          <cell r="P154" t="str">
            <v>Tabanan - Bali</v>
          </cell>
          <cell r="Q154" t="str">
            <v>Jl. Raya Penarukan Kelating, Kerambitan</v>
          </cell>
          <cell r="R154" t="str">
            <v>Tabanan - Bali</v>
          </cell>
          <cell r="S154" t="str">
            <v>S Bali1</v>
          </cell>
          <cell r="T154" t="str">
            <v>Wira</v>
          </cell>
          <cell r="U154">
            <v>30</v>
          </cell>
        </row>
        <row r="155">
          <cell r="E155" t="str">
            <v>D25012033</v>
          </cell>
          <cell r="F155"/>
          <cell r="G155">
            <v>250000000</v>
          </cell>
          <cell r="H155" t="str">
            <v>Zakia</v>
          </cell>
          <cell r="I155" t="str">
            <v>Tiya</v>
          </cell>
          <cell r="J155" t="str">
            <v>New 04/02/2022</v>
          </cell>
          <cell r="K155" t="str">
            <v>KU</v>
          </cell>
          <cell r="L155" t="str">
            <v>AGRO51</v>
          </cell>
          <cell r="M155" t="str">
            <v>Agro Tani Sejahtera/Ni Putu Esthi</v>
          </cell>
          <cell r="N155" t="str">
            <v>Ni Putu Esthi Saraswati</v>
          </cell>
          <cell r="O155" t="str">
            <v>BR Dinas Piling Tengah, Kel. Mengesta, Kec. Penebel</v>
          </cell>
          <cell r="P155" t="str">
            <v>Tabanan - Bali</v>
          </cell>
          <cell r="Q155" t="str">
            <v>Jl. Raya Penarukan Kelating, Kerambitan</v>
          </cell>
          <cell r="R155" t="str">
            <v>Tabanan - Bali</v>
          </cell>
          <cell r="S155" t="str">
            <v>S Bali1</v>
          </cell>
          <cell r="T155" t="str">
            <v>Wira</v>
          </cell>
          <cell r="U155">
            <v>30</v>
          </cell>
        </row>
        <row r="156">
          <cell r="E156" t="str">
            <v>B25010371</v>
          </cell>
          <cell r="F156"/>
          <cell r="G156">
            <v>250000000</v>
          </cell>
          <cell r="H156" t="str">
            <v>Zakia</v>
          </cell>
          <cell r="I156" t="str">
            <v>Tiya</v>
          </cell>
          <cell r="J156" t="str">
            <v>New 04/02/2022</v>
          </cell>
          <cell r="K156" t="str">
            <v>KU</v>
          </cell>
          <cell r="L156" t="str">
            <v>AGRO51</v>
          </cell>
          <cell r="M156" t="str">
            <v>Agro Tani Sejahtera/Ni Putu Esthi</v>
          </cell>
          <cell r="N156" t="str">
            <v>Ni Putu Esthi Saraswati</v>
          </cell>
          <cell r="O156" t="str">
            <v>BR Dinas Piling Tengah, Kel. Mengesta, Kec. Penebel</v>
          </cell>
          <cell r="P156" t="str">
            <v>Tabanan - Bali</v>
          </cell>
          <cell r="Q156" t="str">
            <v>Jl. Raya Penarukan Kelating, Kerambitan</v>
          </cell>
          <cell r="R156" t="str">
            <v>Tabanan - Bali</v>
          </cell>
          <cell r="S156" t="str">
            <v>S Bali1</v>
          </cell>
          <cell r="T156" t="str">
            <v>Wira</v>
          </cell>
          <cell r="U156">
            <v>30</v>
          </cell>
        </row>
        <row r="157">
          <cell r="E157" t="str">
            <v>B25010481</v>
          </cell>
          <cell r="F157"/>
          <cell r="G157">
            <v>250000000</v>
          </cell>
          <cell r="H157" t="str">
            <v>Zakia</v>
          </cell>
          <cell r="I157" t="str">
            <v>Tiya</v>
          </cell>
          <cell r="J157" t="str">
            <v>New 04/02/2022</v>
          </cell>
          <cell r="K157" t="str">
            <v>KU</v>
          </cell>
          <cell r="L157" t="str">
            <v>AGRO51</v>
          </cell>
          <cell r="M157" t="str">
            <v>Agro Tani Sejahtera/Ni Putu Esthi</v>
          </cell>
          <cell r="N157" t="str">
            <v>Ni Putu Esthi Saraswati</v>
          </cell>
          <cell r="O157" t="str">
            <v>BR Dinas Piling Tengah, Kel. Mengesta, Kec. Penebel</v>
          </cell>
          <cell r="P157" t="str">
            <v>Tabanan - Bali</v>
          </cell>
          <cell r="Q157" t="str">
            <v>Jl. Raya Penarukan Kelating, Kerambitan</v>
          </cell>
          <cell r="R157" t="str">
            <v>Tabanan - Bali</v>
          </cell>
          <cell r="S157" t="str">
            <v>S Bali1</v>
          </cell>
          <cell r="T157" t="str">
            <v>Wira</v>
          </cell>
          <cell r="U157">
            <v>30</v>
          </cell>
        </row>
        <row r="158">
          <cell r="E158" t="str">
            <v>B25010482</v>
          </cell>
          <cell r="F158"/>
          <cell r="G158">
            <v>250000000</v>
          </cell>
          <cell r="H158" t="str">
            <v>Zakia</v>
          </cell>
          <cell r="I158" t="str">
            <v>Tiya</v>
          </cell>
          <cell r="J158" t="str">
            <v>New 04/02/2022</v>
          </cell>
          <cell r="K158" t="str">
            <v>KU</v>
          </cell>
          <cell r="L158" t="str">
            <v>AGRO51</v>
          </cell>
          <cell r="M158" t="str">
            <v>Agro Tani Sejahtera/Ni Putu Esthi</v>
          </cell>
          <cell r="N158" t="str">
            <v>Ni Putu Esthi Saraswati</v>
          </cell>
          <cell r="O158" t="str">
            <v>BR Dinas Piling Tengah, Kel. Mengesta, Kec. Penebel</v>
          </cell>
          <cell r="P158" t="str">
            <v>Tabanan - Bali</v>
          </cell>
          <cell r="Q158" t="str">
            <v>Jl. Raya Penarukan Kelating, Kerambitan</v>
          </cell>
          <cell r="R158" t="str">
            <v>Tabanan - Bali</v>
          </cell>
          <cell r="S158" t="str">
            <v>S Bali1</v>
          </cell>
          <cell r="T158" t="str">
            <v>Wira</v>
          </cell>
          <cell r="U158">
            <v>30</v>
          </cell>
        </row>
        <row r="159">
          <cell r="E159" t="str">
            <v>D25012455</v>
          </cell>
          <cell r="F159"/>
          <cell r="G159">
            <v>250000000</v>
          </cell>
          <cell r="H159" t="str">
            <v>Zakia</v>
          </cell>
          <cell r="I159" t="str">
            <v>Tiya</v>
          </cell>
          <cell r="J159" t="str">
            <v>New 04/02/2022</v>
          </cell>
          <cell r="K159" t="str">
            <v>KU</v>
          </cell>
          <cell r="L159" t="str">
            <v>AGRO51</v>
          </cell>
          <cell r="M159" t="str">
            <v>Agro Tani Sejahtera/Ni Putu Esthi</v>
          </cell>
          <cell r="N159" t="str">
            <v>Ni Putu Esthi Saraswati</v>
          </cell>
          <cell r="O159" t="str">
            <v>BR Dinas Piling Tengah, Kel. Mengesta, Kec. Penebel</v>
          </cell>
          <cell r="P159" t="str">
            <v>Tabanan - Bali</v>
          </cell>
          <cell r="Q159" t="str">
            <v>Jl. Raya Penarukan Kelating, Kerambitan</v>
          </cell>
          <cell r="R159" t="str">
            <v>Tabanan - Bali</v>
          </cell>
          <cell r="S159" t="str">
            <v>S Bali1</v>
          </cell>
          <cell r="T159" t="str">
            <v>Wira</v>
          </cell>
          <cell r="U159">
            <v>30</v>
          </cell>
        </row>
        <row r="160">
          <cell r="E160" t="str">
            <v>D25012455</v>
          </cell>
          <cell r="F160"/>
          <cell r="G160">
            <v>250000000</v>
          </cell>
          <cell r="H160" t="str">
            <v>Zakia</v>
          </cell>
          <cell r="I160" t="str">
            <v>Tiya</v>
          </cell>
          <cell r="J160" t="str">
            <v>New 04/02/2022</v>
          </cell>
          <cell r="K160" t="str">
            <v>KU</v>
          </cell>
          <cell r="L160" t="str">
            <v>AGRO51</v>
          </cell>
          <cell r="M160" t="str">
            <v>Agro Tani Sejahtera/Ni Putu Esthi</v>
          </cell>
          <cell r="N160" t="str">
            <v>Ni Putu Esthi Saraswati</v>
          </cell>
          <cell r="O160" t="str">
            <v>BR Dinas Piling Tengah, Kel. Mengesta, Kec. Penebel</v>
          </cell>
          <cell r="P160" t="str">
            <v>Tabanan - Bali</v>
          </cell>
          <cell r="Q160" t="str">
            <v>Jl. Raya Penarukan Kelating, Kerambitan</v>
          </cell>
          <cell r="R160" t="str">
            <v>Tabanan - Bali</v>
          </cell>
          <cell r="S160" t="str">
            <v>S Bali1</v>
          </cell>
          <cell r="T160" t="str">
            <v>Wira</v>
          </cell>
          <cell r="U160">
            <v>30</v>
          </cell>
        </row>
        <row r="161">
          <cell r="E161" t="str">
            <v>D25012458</v>
          </cell>
          <cell r="F161"/>
          <cell r="G161">
            <v>250000000</v>
          </cell>
          <cell r="H161" t="str">
            <v>Zakia</v>
          </cell>
          <cell r="I161" t="str">
            <v>Tiya</v>
          </cell>
          <cell r="J161" t="str">
            <v>New 04/02/2022</v>
          </cell>
          <cell r="K161" t="str">
            <v>KU</v>
          </cell>
          <cell r="L161" t="str">
            <v>AGRO51</v>
          </cell>
          <cell r="M161" t="str">
            <v>Agro Tani Sejahtera/Ni Putu Esthi</v>
          </cell>
          <cell r="N161" t="str">
            <v>Ni Putu Esthi Saraswati</v>
          </cell>
          <cell r="O161" t="str">
            <v>BR Dinas Piling Tengah, Kel. Mengesta, Kec. Penebel</v>
          </cell>
          <cell r="P161" t="str">
            <v>Tabanan - Bali</v>
          </cell>
          <cell r="Q161" t="str">
            <v>Jl. Raya Penarukan Kelating, Kerambitan</v>
          </cell>
          <cell r="R161" t="str">
            <v>Tabanan - Bali</v>
          </cell>
          <cell r="S161" t="str">
            <v>S Bali1</v>
          </cell>
          <cell r="T161" t="str">
            <v>Wira</v>
          </cell>
          <cell r="U161">
            <v>30</v>
          </cell>
        </row>
        <row r="162">
          <cell r="E162" t="str">
            <v>D25012866</v>
          </cell>
          <cell r="F162"/>
          <cell r="G162">
            <v>250000000</v>
          </cell>
          <cell r="H162" t="str">
            <v>Zakia</v>
          </cell>
          <cell r="I162" t="str">
            <v>Tiya</v>
          </cell>
          <cell r="J162" t="str">
            <v>New 04/02/2022</v>
          </cell>
          <cell r="K162" t="str">
            <v>KU</v>
          </cell>
          <cell r="L162" t="str">
            <v>AGRO51</v>
          </cell>
          <cell r="M162" t="str">
            <v>Agro Tani Sejahtera/Ni Putu Esthi</v>
          </cell>
          <cell r="N162" t="str">
            <v>Ni Putu Esthi Saraswati</v>
          </cell>
          <cell r="O162" t="str">
            <v>BR Dinas Piling Tengah, Kel. Mengesta, Kec. Penebel</v>
          </cell>
          <cell r="P162" t="str">
            <v>Tabanan - Bali</v>
          </cell>
          <cell r="Q162" t="str">
            <v>Jl. Raya Penarukan Kelating, Kerambitan</v>
          </cell>
          <cell r="R162" t="str">
            <v>Tabanan - Bali</v>
          </cell>
          <cell r="S162" t="str">
            <v>S Bali1</v>
          </cell>
          <cell r="T162" t="str">
            <v>Wira</v>
          </cell>
          <cell r="U162">
            <v>30</v>
          </cell>
        </row>
        <row r="163">
          <cell r="E163" t="str">
            <v>D25012946</v>
          </cell>
          <cell r="F163"/>
          <cell r="G163">
            <v>250000000</v>
          </cell>
          <cell r="H163" t="str">
            <v>Zakia</v>
          </cell>
          <cell r="I163" t="str">
            <v>Tiya</v>
          </cell>
          <cell r="J163" t="str">
            <v>New 04/02/2022</v>
          </cell>
          <cell r="K163" t="str">
            <v>KU</v>
          </cell>
          <cell r="L163" t="str">
            <v>AGRO51</v>
          </cell>
          <cell r="M163" t="str">
            <v>Agro Tani Sejahtera/Ni Putu Esthi</v>
          </cell>
          <cell r="N163" t="str">
            <v>Ni Putu Esthi Saraswati</v>
          </cell>
          <cell r="O163" t="str">
            <v>BR Dinas Piling Tengah, Kel. Mengesta, Kec. Penebel</v>
          </cell>
          <cell r="P163" t="str">
            <v>Tabanan - Bali</v>
          </cell>
          <cell r="Q163" t="str">
            <v>Jl. Raya Penarukan Kelating, Kerambitan</v>
          </cell>
          <cell r="R163" t="str">
            <v>Tabanan - Bali</v>
          </cell>
          <cell r="S163" t="str">
            <v>S Bali1</v>
          </cell>
          <cell r="T163" t="str">
            <v>Wira</v>
          </cell>
          <cell r="U163">
            <v>30</v>
          </cell>
        </row>
        <row r="164">
          <cell r="E164" t="str">
            <v>D25012961</v>
          </cell>
          <cell r="F164"/>
          <cell r="G164">
            <v>250000000</v>
          </cell>
          <cell r="H164" t="str">
            <v>Zakia</v>
          </cell>
          <cell r="I164" t="str">
            <v>Tiya</v>
          </cell>
          <cell r="J164" t="str">
            <v>New 04/02/2022</v>
          </cell>
          <cell r="K164" t="str">
            <v>KU</v>
          </cell>
          <cell r="L164" t="str">
            <v>AGRO51</v>
          </cell>
          <cell r="M164" t="str">
            <v>Agro Tani Sejahtera/Ni Putu Esthi</v>
          </cell>
          <cell r="N164" t="str">
            <v>Ni Putu Esthi Saraswati</v>
          </cell>
          <cell r="O164" t="str">
            <v>BR Dinas Piling Tengah, Kel. Mengesta, Kec. Penebel</v>
          </cell>
          <cell r="P164" t="str">
            <v>Tabanan - Bali</v>
          </cell>
          <cell r="Q164" t="str">
            <v>Jl. Raya Penarukan Kelating, Kerambitan</v>
          </cell>
          <cell r="R164" t="str">
            <v>Tabanan - Bali</v>
          </cell>
          <cell r="S164" t="str">
            <v>S Bali1</v>
          </cell>
          <cell r="T164" t="str">
            <v>Wira</v>
          </cell>
          <cell r="U164">
            <v>30</v>
          </cell>
        </row>
        <row r="165">
          <cell r="E165" t="str">
            <v>D25013285</v>
          </cell>
          <cell r="F165"/>
          <cell r="G165">
            <v>250000000</v>
          </cell>
          <cell r="H165" t="str">
            <v>Zakia</v>
          </cell>
          <cell r="I165" t="str">
            <v>Tiya</v>
          </cell>
          <cell r="J165" t="str">
            <v>New 04/02/2022</v>
          </cell>
          <cell r="K165" t="str">
            <v>KU</v>
          </cell>
          <cell r="L165" t="str">
            <v>AGRO51</v>
          </cell>
          <cell r="M165" t="str">
            <v>Agro Tani Sejahtera/Ni Putu Esthi</v>
          </cell>
          <cell r="N165" t="str">
            <v>Ni Putu Esthi Saraswati</v>
          </cell>
          <cell r="O165" t="str">
            <v>BR Dinas Piling Tengah, Kel. Mengesta, Kec. Penebel</v>
          </cell>
          <cell r="P165" t="str">
            <v>Tabanan - Bali</v>
          </cell>
          <cell r="Q165" t="str">
            <v>Jl. Raya Penarukan Kelating, Kerambitan</v>
          </cell>
          <cell r="R165" t="str">
            <v>Tabanan - Bali</v>
          </cell>
          <cell r="S165" t="str">
            <v>S Bali1</v>
          </cell>
          <cell r="T165" t="str">
            <v>Wira</v>
          </cell>
          <cell r="U165">
            <v>30</v>
          </cell>
        </row>
        <row r="166">
          <cell r="E166" t="str">
            <v>D25013334</v>
          </cell>
          <cell r="F166"/>
          <cell r="G166">
            <v>250000000</v>
          </cell>
          <cell r="H166" t="str">
            <v>Zakia</v>
          </cell>
          <cell r="I166" t="str">
            <v>Tiya</v>
          </cell>
          <cell r="J166" t="str">
            <v>New 04/02/2022</v>
          </cell>
          <cell r="K166" t="str">
            <v>KU</v>
          </cell>
          <cell r="L166" t="str">
            <v>AGRO51</v>
          </cell>
          <cell r="M166" t="str">
            <v>Agro Tani Sejahtera/Ni Putu Esthi</v>
          </cell>
          <cell r="N166" t="str">
            <v>Ni Putu Esthi Saraswati</v>
          </cell>
          <cell r="O166" t="str">
            <v>BR Dinas Piling Tengah, Kel. Mengesta, Kec. Penebel</v>
          </cell>
          <cell r="P166" t="str">
            <v>Tabanan - Bali</v>
          </cell>
          <cell r="Q166" t="str">
            <v>Jl. Raya Penarukan Kelating, Kerambitan</v>
          </cell>
          <cell r="R166" t="str">
            <v>Tabanan - Bali</v>
          </cell>
          <cell r="S166" t="str">
            <v>S Bali1</v>
          </cell>
          <cell r="T166" t="str">
            <v>Wira</v>
          </cell>
          <cell r="U166">
            <v>30</v>
          </cell>
        </row>
        <row r="167">
          <cell r="E167" t="str">
            <v>D25013349</v>
          </cell>
          <cell r="F167"/>
          <cell r="G167">
            <v>250000000</v>
          </cell>
          <cell r="H167" t="str">
            <v>Zakia</v>
          </cell>
          <cell r="I167" t="str">
            <v>Tiya</v>
          </cell>
          <cell r="J167" t="str">
            <v>New 04/02/2022</v>
          </cell>
          <cell r="K167" t="str">
            <v>KU</v>
          </cell>
          <cell r="L167" t="str">
            <v>AGRO51</v>
          </cell>
          <cell r="M167" t="str">
            <v>Agro Tani Sejahtera/Ni Putu Esthi</v>
          </cell>
          <cell r="N167" t="str">
            <v>Ni Putu Esthi Saraswati</v>
          </cell>
          <cell r="O167" t="str">
            <v>BR Dinas Piling Tengah, Kel. Mengesta, Kec. Penebel</v>
          </cell>
          <cell r="P167" t="str">
            <v>Tabanan - Bali</v>
          </cell>
          <cell r="Q167" t="str">
            <v>Jl. Raya Penarukan Kelating, Kerambitan</v>
          </cell>
          <cell r="R167" t="str">
            <v>Tabanan - Bali</v>
          </cell>
          <cell r="S167" t="str">
            <v>S Bali1</v>
          </cell>
          <cell r="T167" t="str">
            <v>Wira</v>
          </cell>
          <cell r="U167">
            <v>30</v>
          </cell>
        </row>
        <row r="168">
          <cell r="E168" t="str">
            <v>D25013350</v>
          </cell>
          <cell r="F168"/>
          <cell r="G168">
            <v>250000000</v>
          </cell>
          <cell r="H168" t="str">
            <v>Zakia</v>
          </cell>
          <cell r="I168" t="str">
            <v>Tiya</v>
          </cell>
          <cell r="J168" t="str">
            <v>New 04/02/2022</v>
          </cell>
          <cell r="K168" t="str">
            <v>KU</v>
          </cell>
          <cell r="L168" t="str">
            <v>AGRO51</v>
          </cell>
          <cell r="M168" t="str">
            <v>Agro Tani Sejahtera/Ni Putu Esthi</v>
          </cell>
          <cell r="N168" t="str">
            <v>Ni Putu Esthi Saraswati</v>
          </cell>
          <cell r="O168" t="str">
            <v>BR Dinas Piling Tengah, Kel. Mengesta, Kec. Penebel</v>
          </cell>
          <cell r="P168" t="str">
            <v>Tabanan - Bali</v>
          </cell>
          <cell r="Q168" t="str">
            <v>Jl. Raya Penarukan Kelating, Kerambitan</v>
          </cell>
          <cell r="R168" t="str">
            <v>Tabanan - Bali</v>
          </cell>
          <cell r="S168" t="str">
            <v>S Bali1</v>
          </cell>
          <cell r="T168" t="str">
            <v>Wira</v>
          </cell>
          <cell r="U168">
            <v>30</v>
          </cell>
        </row>
        <row r="169">
          <cell r="E169" t="str">
            <v>B25011603</v>
          </cell>
          <cell r="F169"/>
          <cell r="G169">
            <v>250000000</v>
          </cell>
          <cell r="H169" t="str">
            <v>Zakia</v>
          </cell>
          <cell r="I169" t="str">
            <v>Tiya</v>
          </cell>
          <cell r="J169" t="str">
            <v>New 04/02/2022</v>
          </cell>
          <cell r="K169" t="str">
            <v>KU</v>
          </cell>
          <cell r="L169" t="str">
            <v>AGRO51</v>
          </cell>
          <cell r="M169" t="str">
            <v>Agro Tani Sejahtera/Ni Putu Esthi</v>
          </cell>
          <cell r="N169" t="str">
            <v>Ni Putu Esthi Saraswati</v>
          </cell>
          <cell r="O169" t="str">
            <v>BR Dinas Piling Tengah, Kel. Mengesta, Kec. Penebel</v>
          </cell>
          <cell r="P169" t="str">
            <v>Tabanan - Bali</v>
          </cell>
          <cell r="Q169" t="str">
            <v>Jl. Raya Penarukan Kelating, Kerambitan</v>
          </cell>
          <cell r="R169" t="str">
            <v>Tabanan - Bali</v>
          </cell>
          <cell r="S169" t="str">
            <v>S Bali1</v>
          </cell>
          <cell r="T169" t="str">
            <v>Wira</v>
          </cell>
          <cell r="U169">
            <v>30</v>
          </cell>
        </row>
        <row r="170">
          <cell r="E170" t="str">
            <v>B25011604</v>
          </cell>
          <cell r="F170"/>
          <cell r="G170">
            <v>250000000</v>
          </cell>
          <cell r="H170" t="str">
            <v>Zakia</v>
          </cell>
          <cell r="I170" t="str">
            <v>Tiya</v>
          </cell>
          <cell r="J170" t="str">
            <v>New 04/02/2022</v>
          </cell>
          <cell r="K170" t="str">
            <v>KU</v>
          </cell>
          <cell r="L170" t="str">
            <v>AGRO51</v>
          </cell>
          <cell r="M170" t="str">
            <v>Agro Tani Sejahtera/Ni Putu Esthi</v>
          </cell>
          <cell r="N170" t="str">
            <v>Ni Putu Esthi Saraswati</v>
          </cell>
          <cell r="O170" t="str">
            <v>BR Dinas Piling Tengah, Kel. Mengesta, Kec. Penebel</v>
          </cell>
          <cell r="P170" t="str">
            <v>Tabanan - Bali</v>
          </cell>
          <cell r="Q170" t="str">
            <v>Jl. Raya Penarukan Kelating, Kerambitan</v>
          </cell>
          <cell r="R170" t="str">
            <v>Tabanan - Bali</v>
          </cell>
          <cell r="S170" t="str">
            <v>S Bali1</v>
          </cell>
          <cell r="T170" t="str">
            <v>Wira</v>
          </cell>
          <cell r="U170">
            <v>30</v>
          </cell>
        </row>
        <row r="171">
          <cell r="E171" t="str">
            <v>B25011605</v>
          </cell>
          <cell r="F171"/>
          <cell r="G171">
            <v>250000000</v>
          </cell>
          <cell r="H171" t="str">
            <v>Zakia</v>
          </cell>
          <cell r="I171" t="str">
            <v>Tiya</v>
          </cell>
          <cell r="J171" t="str">
            <v>New 04/02/2022</v>
          </cell>
          <cell r="K171" t="str">
            <v>KU</v>
          </cell>
          <cell r="L171" t="str">
            <v>AGRO51</v>
          </cell>
          <cell r="M171" t="str">
            <v>Agro Tani Sejahtera/Ni Putu Esthi</v>
          </cell>
          <cell r="N171" t="str">
            <v>Ni Putu Esthi Saraswati</v>
          </cell>
          <cell r="O171" t="str">
            <v>BR Dinas Piling Tengah, Kel. Mengesta, Kec. Penebel</v>
          </cell>
          <cell r="P171" t="str">
            <v>Tabanan - Bali</v>
          </cell>
          <cell r="Q171" t="str">
            <v>Jl. Raya Penarukan Kelating, Kerambitan</v>
          </cell>
          <cell r="R171" t="str">
            <v>Tabanan - Bali</v>
          </cell>
          <cell r="S171" t="str">
            <v>S Bali1</v>
          </cell>
          <cell r="T171" t="str">
            <v>Wira</v>
          </cell>
          <cell r="U171">
            <v>30</v>
          </cell>
        </row>
        <row r="172">
          <cell r="E172" t="str">
            <v>B25011606</v>
          </cell>
          <cell r="F172"/>
          <cell r="G172">
            <v>250000000</v>
          </cell>
          <cell r="H172" t="str">
            <v>Zakia</v>
          </cell>
          <cell r="I172" t="str">
            <v>Tiya</v>
          </cell>
          <cell r="J172" t="str">
            <v>New 04/02/2022</v>
          </cell>
          <cell r="K172" t="str">
            <v>KU</v>
          </cell>
          <cell r="L172" t="str">
            <v>AGRO51</v>
          </cell>
          <cell r="M172" t="str">
            <v>Agro Tani Sejahtera/Ni Putu Esthi</v>
          </cell>
          <cell r="N172" t="str">
            <v>Ni Putu Esthi Saraswati</v>
          </cell>
          <cell r="O172" t="str">
            <v>BR Dinas Piling Tengah, Kel. Mengesta, Kec. Penebel</v>
          </cell>
          <cell r="P172" t="str">
            <v>Tabanan - Bali</v>
          </cell>
          <cell r="Q172" t="str">
            <v>Jl. Raya Penarukan Kelating, Kerambitan</v>
          </cell>
          <cell r="R172" t="str">
            <v>Tabanan - Bali</v>
          </cell>
          <cell r="S172" t="str">
            <v>S Bali1</v>
          </cell>
          <cell r="T172" t="str">
            <v>Wira</v>
          </cell>
          <cell r="U172">
            <v>30</v>
          </cell>
        </row>
        <row r="173">
          <cell r="E173" t="str">
            <v>D25014075</v>
          </cell>
          <cell r="F173"/>
          <cell r="G173">
            <v>250000000</v>
          </cell>
          <cell r="H173" t="str">
            <v>Zakia</v>
          </cell>
          <cell r="I173" t="str">
            <v>Tiya</v>
          </cell>
          <cell r="J173" t="str">
            <v>New 04/02/2022</v>
          </cell>
          <cell r="K173" t="str">
            <v>KU</v>
          </cell>
          <cell r="L173" t="str">
            <v>AGRO51</v>
          </cell>
          <cell r="M173" t="str">
            <v>Agro Tani Sejahtera/Ni Putu Esthi</v>
          </cell>
          <cell r="N173" t="str">
            <v>Ni Putu Esthi Saraswati</v>
          </cell>
          <cell r="O173" t="str">
            <v>BR Dinas Piling Tengah, Kel. Mengesta, Kec. Penebel</v>
          </cell>
          <cell r="P173" t="str">
            <v>Tabanan - Bali</v>
          </cell>
          <cell r="Q173" t="str">
            <v>Jl. Raya Penarukan Kelating, Kerambitan</v>
          </cell>
          <cell r="R173" t="str">
            <v>Tabanan - Bali</v>
          </cell>
          <cell r="S173" t="str">
            <v>S Bali1</v>
          </cell>
          <cell r="T173" t="str">
            <v>Wira</v>
          </cell>
          <cell r="U173">
            <v>30</v>
          </cell>
        </row>
        <row r="174">
          <cell r="E174" t="str">
            <v>D25014076</v>
          </cell>
          <cell r="F174"/>
          <cell r="G174">
            <v>250000000</v>
          </cell>
          <cell r="H174" t="str">
            <v>Zakia</v>
          </cell>
          <cell r="I174" t="str">
            <v>Tiya</v>
          </cell>
          <cell r="J174" t="str">
            <v>New 04/02/2022</v>
          </cell>
          <cell r="K174" t="str">
            <v>KU</v>
          </cell>
          <cell r="L174" t="str">
            <v>AGRO51</v>
          </cell>
          <cell r="M174" t="str">
            <v>Agro Tani Sejahtera/Ni Putu Esthi</v>
          </cell>
          <cell r="N174" t="str">
            <v>Ni Putu Esthi Saraswati</v>
          </cell>
          <cell r="O174" t="str">
            <v>BR Dinas Piling Tengah, Kel. Mengesta, Kec. Penebel</v>
          </cell>
          <cell r="P174" t="str">
            <v>Tabanan - Bali</v>
          </cell>
          <cell r="Q174" t="str">
            <v>Jl. Raya Penarukan Kelating, Kerambitan</v>
          </cell>
          <cell r="R174" t="str">
            <v>Tabanan - Bali</v>
          </cell>
          <cell r="S174" t="str">
            <v>S Bali1</v>
          </cell>
          <cell r="T174" t="str">
            <v>Wira</v>
          </cell>
          <cell r="U174">
            <v>30</v>
          </cell>
        </row>
        <row r="175">
          <cell r="E175" t="str">
            <v>B25012602</v>
          </cell>
          <cell r="F175"/>
          <cell r="G175">
            <v>250000000</v>
          </cell>
          <cell r="H175" t="str">
            <v>Zakia</v>
          </cell>
          <cell r="I175" t="str">
            <v>Tiya</v>
          </cell>
          <cell r="J175" t="str">
            <v>New 04/02/2022</v>
          </cell>
          <cell r="K175" t="str">
            <v>KU</v>
          </cell>
          <cell r="L175" t="str">
            <v>AGRO51</v>
          </cell>
          <cell r="M175" t="str">
            <v>Agro Tani Sejahtera/Ni Putu Esthi</v>
          </cell>
          <cell r="N175" t="str">
            <v>Ni Putu Esthi Saraswati</v>
          </cell>
          <cell r="O175" t="str">
            <v>BR Dinas Piling Tengah, Kel. Mengesta, Kec. Penebel</v>
          </cell>
          <cell r="P175" t="str">
            <v>Tabanan - Bali</v>
          </cell>
          <cell r="Q175" t="str">
            <v>Jl. Raya Penarukan Kelating, Kerambitan</v>
          </cell>
          <cell r="R175" t="str">
            <v>Tabanan - Bali</v>
          </cell>
          <cell r="S175" t="str">
            <v>S Bali1</v>
          </cell>
          <cell r="T175" t="str">
            <v>Wira</v>
          </cell>
          <cell r="U175">
            <v>0</v>
          </cell>
        </row>
        <row r="176">
          <cell r="E176" t="str">
            <v>B25012608</v>
          </cell>
          <cell r="F176"/>
          <cell r="G176">
            <v>250000000</v>
          </cell>
          <cell r="H176" t="str">
            <v>Zakia</v>
          </cell>
          <cell r="I176" t="str">
            <v>Tiya</v>
          </cell>
          <cell r="J176" t="str">
            <v>New 04/02/2022</v>
          </cell>
          <cell r="K176" t="str">
            <v>KU</v>
          </cell>
          <cell r="L176" t="str">
            <v>AGRO51</v>
          </cell>
          <cell r="M176" t="str">
            <v>Agro Tani Sejahtera/Ni Putu Esthi</v>
          </cell>
          <cell r="N176" t="str">
            <v>Ni Putu Esthi Saraswati</v>
          </cell>
          <cell r="O176" t="str">
            <v>BR Dinas Piling Tengah, Kel. Mengesta, Kec. Penebel</v>
          </cell>
          <cell r="P176" t="str">
            <v>Tabanan - Bali</v>
          </cell>
          <cell r="Q176" t="str">
            <v>Jl. Raya Penarukan Kelating, Kerambitan</v>
          </cell>
          <cell r="R176" t="str">
            <v>Tabanan - Bali</v>
          </cell>
          <cell r="S176" t="str">
            <v>S Bali1</v>
          </cell>
          <cell r="T176" t="str">
            <v>Wira</v>
          </cell>
          <cell r="U176">
            <v>30</v>
          </cell>
        </row>
        <row r="177">
          <cell r="E177" t="str">
            <v>B25012609</v>
          </cell>
          <cell r="F177"/>
          <cell r="G177">
            <v>250000000</v>
          </cell>
          <cell r="H177" t="str">
            <v>Zakia</v>
          </cell>
          <cell r="I177" t="str">
            <v>Tiya</v>
          </cell>
          <cell r="J177" t="str">
            <v>New 04/02/2022</v>
          </cell>
          <cell r="K177" t="str">
            <v>KU</v>
          </cell>
          <cell r="L177" t="str">
            <v>AGRO51</v>
          </cell>
          <cell r="M177" t="str">
            <v>Agro Tani Sejahtera/Ni Putu Esthi</v>
          </cell>
          <cell r="N177" t="str">
            <v>Ni Putu Esthi Saraswati</v>
          </cell>
          <cell r="O177" t="str">
            <v>BR Dinas Piling Tengah, Kel. Mengesta, Kec. Penebel</v>
          </cell>
          <cell r="P177" t="str">
            <v>Tabanan - Bali</v>
          </cell>
          <cell r="Q177" t="str">
            <v>Jl. Raya Penarukan Kelating, Kerambitan</v>
          </cell>
          <cell r="R177" t="str">
            <v>Tabanan - Bali</v>
          </cell>
          <cell r="S177" t="str">
            <v>S Bali1</v>
          </cell>
          <cell r="T177" t="str">
            <v>Wira</v>
          </cell>
          <cell r="U177">
            <v>30</v>
          </cell>
        </row>
        <row r="178">
          <cell r="E178" t="str">
            <v>D25014942</v>
          </cell>
          <cell r="F178"/>
          <cell r="G178">
            <v>250000000</v>
          </cell>
          <cell r="H178" t="str">
            <v>Zakia</v>
          </cell>
          <cell r="I178" t="str">
            <v>Tiya</v>
          </cell>
          <cell r="J178" t="str">
            <v>New 04/02/2022</v>
          </cell>
          <cell r="K178" t="str">
            <v>KU</v>
          </cell>
          <cell r="L178" t="str">
            <v>AGRO51</v>
          </cell>
          <cell r="M178" t="str">
            <v>Agro Tani Sejahtera/Ni Putu Esthi</v>
          </cell>
          <cell r="N178" t="str">
            <v>Ni Putu Esthi Saraswati</v>
          </cell>
          <cell r="O178" t="str">
            <v>BR Dinas Piling Tengah, Kel. Mengesta, Kec. Penebel</v>
          </cell>
          <cell r="P178" t="str">
            <v>Tabanan - Bali</v>
          </cell>
          <cell r="Q178" t="str">
            <v>Jl. Raya Penarukan Kelating, Kerambitan</v>
          </cell>
          <cell r="R178" t="str">
            <v>Tabanan - Bali</v>
          </cell>
          <cell r="S178" t="str">
            <v>S Bali1</v>
          </cell>
          <cell r="T178" t="str">
            <v>Wira</v>
          </cell>
          <cell r="U178">
            <v>30</v>
          </cell>
        </row>
        <row r="179">
          <cell r="E179" t="str">
            <v>B25012948</v>
          </cell>
          <cell r="F179"/>
          <cell r="G179">
            <v>250000000</v>
          </cell>
          <cell r="H179" t="str">
            <v>Zakia</v>
          </cell>
          <cell r="I179" t="str">
            <v>Tiya</v>
          </cell>
          <cell r="J179" t="str">
            <v>New 04/02/2022</v>
          </cell>
          <cell r="K179" t="str">
            <v>KU</v>
          </cell>
          <cell r="L179" t="str">
            <v>AGRO51</v>
          </cell>
          <cell r="M179" t="str">
            <v>Agro Tani Sejahtera/Ni Putu Esthi</v>
          </cell>
          <cell r="N179" t="str">
            <v>Ni Putu Esthi Saraswati</v>
          </cell>
          <cell r="O179" t="str">
            <v>BR Dinas Piling Tengah, Kel. Mengesta, Kec. Penebel</v>
          </cell>
          <cell r="P179" t="str">
            <v>Tabanan - Bali</v>
          </cell>
          <cell r="Q179" t="str">
            <v>Jl. Raya Penarukan Kelating, Kerambitan</v>
          </cell>
          <cell r="R179" t="str">
            <v>Tabanan - Bali</v>
          </cell>
          <cell r="S179" t="str">
            <v>S Bali1</v>
          </cell>
          <cell r="T179" t="str">
            <v>Wira</v>
          </cell>
          <cell r="U179">
            <v>30</v>
          </cell>
        </row>
        <row r="180">
          <cell r="E180" t="str">
            <v>B25012949</v>
          </cell>
          <cell r="F180"/>
          <cell r="G180">
            <v>250000000</v>
          </cell>
          <cell r="H180" t="str">
            <v>Zakia</v>
          </cell>
          <cell r="I180" t="str">
            <v>Tiya</v>
          </cell>
          <cell r="J180" t="str">
            <v>New 04/02/2022</v>
          </cell>
          <cell r="K180" t="str">
            <v>KU</v>
          </cell>
          <cell r="L180" t="str">
            <v>AGRO51</v>
          </cell>
          <cell r="M180" t="str">
            <v>Agro Tani Sejahtera/Ni Putu Esthi</v>
          </cell>
          <cell r="N180" t="str">
            <v>Ni Putu Esthi Saraswati</v>
          </cell>
          <cell r="O180" t="str">
            <v>BR Dinas Piling Tengah, Kel. Mengesta, Kec. Penebel</v>
          </cell>
          <cell r="P180" t="str">
            <v>Tabanan - Bali</v>
          </cell>
          <cell r="Q180" t="str">
            <v>Jl. Raya Penarukan Kelating, Kerambitan</v>
          </cell>
          <cell r="R180" t="str">
            <v>Tabanan - Bali</v>
          </cell>
          <cell r="S180" t="str">
            <v>S Bali1</v>
          </cell>
          <cell r="T180" t="str">
            <v>Wira</v>
          </cell>
          <cell r="U180">
            <v>0</v>
          </cell>
        </row>
        <row r="181">
          <cell r="E181" t="str">
            <v>B25012950</v>
          </cell>
          <cell r="F181"/>
          <cell r="G181">
            <v>250000000</v>
          </cell>
          <cell r="H181" t="str">
            <v>Zakia</v>
          </cell>
          <cell r="I181" t="str">
            <v>Tiya</v>
          </cell>
          <cell r="J181" t="str">
            <v>New 04/02/2022</v>
          </cell>
          <cell r="K181" t="str">
            <v>KU</v>
          </cell>
          <cell r="L181" t="str">
            <v>AGRO51</v>
          </cell>
          <cell r="M181" t="str">
            <v>Agro Tani Sejahtera/Ni Putu Esthi</v>
          </cell>
          <cell r="N181" t="str">
            <v>Ni Putu Esthi Saraswati</v>
          </cell>
          <cell r="O181" t="str">
            <v>BR Dinas Piling Tengah, Kel. Mengesta, Kec. Penebel</v>
          </cell>
          <cell r="P181" t="str">
            <v>Tabanan - Bali</v>
          </cell>
          <cell r="Q181" t="str">
            <v>Jl. Raya Penarukan Kelating, Kerambitan</v>
          </cell>
          <cell r="R181" t="str">
            <v>Tabanan - Bali</v>
          </cell>
          <cell r="S181" t="str">
            <v>S Bali1</v>
          </cell>
          <cell r="T181" t="str">
            <v>Wira</v>
          </cell>
          <cell r="U181">
            <v>30</v>
          </cell>
        </row>
        <row r="182">
          <cell r="E182" t="str">
            <v>B25012951</v>
          </cell>
          <cell r="F182"/>
          <cell r="G182">
            <v>250000000</v>
          </cell>
          <cell r="H182" t="str">
            <v>Zakia</v>
          </cell>
          <cell r="I182" t="str">
            <v>Tiya</v>
          </cell>
          <cell r="J182" t="str">
            <v>New 04/02/2022</v>
          </cell>
          <cell r="K182" t="str">
            <v>KU</v>
          </cell>
          <cell r="L182" t="str">
            <v>AGRO51</v>
          </cell>
          <cell r="M182" t="str">
            <v>Agro Tani Sejahtera/Ni Putu Esthi</v>
          </cell>
          <cell r="N182" t="str">
            <v>Ni Putu Esthi Saraswati</v>
          </cell>
          <cell r="O182" t="str">
            <v>BR Dinas Piling Tengah, Kel. Mengesta, Kec. Penebel</v>
          </cell>
          <cell r="P182" t="str">
            <v>Tabanan - Bali</v>
          </cell>
          <cell r="Q182" t="str">
            <v>Jl. Raya Penarukan Kelating, Kerambitan</v>
          </cell>
          <cell r="R182" t="str">
            <v>Tabanan - Bali</v>
          </cell>
          <cell r="S182" t="str">
            <v>S Bali1</v>
          </cell>
          <cell r="T182" t="str">
            <v>Wira</v>
          </cell>
          <cell r="U182">
            <v>30</v>
          </cell>
        </row>
        <row r="183">
          <cell r="E183" t="str">
            <v>B25013332</v>
          </cell>
          <cell r="F183"/>
          <cell r="G183">
            <v>250000000</v>
          </cell>
          <cell r="H183" t="str">
            <v>Zakia</v>
          </cell>
          <cell r="I183" t="str">
            <v>Tiya</v>
          </cell>
          <cell r="J183" t="str">
            <v>New 04/02/2022</v>
          </cell>
          <cell r="K183" t="str">
            <v>KU</v>
          </cell>
          <cell r="L183" t="str">
            <v>AGRO51</v>
          </cell>
          <cell r="M183" t="str">
            <v>Agro Tani Sejahtera/Ni Putu Esthi</v>
          </cell>
          <cell r="N183" t="str">
            <v>Ni Putu Esthi Saraswati</v>
          </cell>
          <cell r="O183" t="str">
            <v>BR Dinas Piling Tengah, Kel. Mengesta, Kec. Penebel</v>
          </cell>
          <cell r="P183" t="str">
            <v>Tabanan - Bali</v>
          </cell>
          <cell r="Q183" t="str">
            <v>Jl. Raya Penarukan Kelating, Kerambitan</v>
          </cell>
          <cell r="R183" t="str">
            <v>Tabanan - Bali</v>
          </cell>
          <cell r="S183" t="str">
            <v>S Bali1</v>
          </cell>
          <cell r="T183" t="str">
            <v>Wira</v>
          </cell>
          <cell r="U183">
            <v>30</v>
          </cell>
        </row>
        <row r="184">
          <cell r="E184" t="str">
            <v>D25015756</v>
          </cell>
          <cell r="F184"/>
          <cell r="G184">
            <v>250000000</v>
          </cell>
          <cell r="H184" t="str">
            <v>Zakia</v>
          </cell>
          <cell r="I184" t="str">
            <v>Tiya</v>
          </cell>
          <cell r="J184" t="str">
            <v>New 04/02/2022</v>
          </cell>
          <cell r="K184" t="str">
            <v>KU</v>
          </cell>
          <cell r="L184" t="str">
            <v>AGRO51</v>
          </cell>
          <cell r="M184" t="str">
            <v>Agro Tani Sejahtera/Ni Putu Esthi</v>
          </cell>
          <cell r="N184" t="str">
            <v>Ni Putu Esthi Saraswati</v>
          </cell>
          <cell r="O184" t="str">
            <v>BR Dinas Piling Tengah, Kel. Mengesta, Kec. Penebel</v>
          </cell>
          <cell r="P184" t="str">
            <v>Tabanan - Bali</v>
          </cell>
          <cell r="Q184" t="str">
            <v>Jl. Raya Penarukan Kelating, Kerambitan</v>
          </cell>
          <cell r="R184" t="str">
            <v>Tabanan - Bali</v>
          </cell>
          <cell r="S184" t="str">
            <v>S Bali1</v>
          </cell>
          <cell r="T184" t="str">
            <v>Wira</v>
          </cell>
          <cell r="U184">
            <v>30</v>
          </cell>
        </row>
        <row r="185">
          <cell r="E185" t="str">
            <v>D25016243</v>
          </cell>
          <cell r="F185"/>
          <cell r="G185">
            <v>250000000</v>
          </cell>
          <cell r="H185" t="str">
            <v>Zakia</v>
          </cell>
          <cell r="I185" t="str">
            <v>Tiya</v>
          </cell>
          <cell r="J185" t="str">
            <v>New 04/02/2022</v>
          </cell>
          <cell r="K185" t="str">
            <v>KU</v>
          </cell>
          <cell r="L185" t="str">
            <v>AGRO51</v>
          </cell>
          <cell r="M185" t="str">
            <v>Agro Tani Sejahtera/Ni Putu Esthi</v>
          </cell>
          <cell r="N185" t="str">
            <v>Ni Putu Esthi Saraswati</v>
          </cell>
          <cell r="O185" t="str">
            <v>BR Dinas Piling Tengah, Kel. Mengesta, Kec. Penebel</v>
          </cell>
          <cell r="P185" t="str">
            <v>Tabanan - Bali</v>
          </cell>
          <cell r="Q185" t="str">
            <v>Jl. Raya Penarukan Kelating, Kerambitan</v>
          </cell>
          <cell r="R185" t="str">
            <v>Tabanan - Bali</v>
          </cell>
          <cell r="S185" t="str">
            <v>S Bali1</v>
          </cell>
          <cell r="T185" t="str">
            <v>Wira</v>
          </cell>
          <cell r="U185">
            <v>30</v>
          </cell>
        </row>
        <row r="186">
          <cell r="E186" t="str">
            <v>D25016273</v>
          </cell>
          <cell r="F186"/>
          <cell r="G186">
            <v>250000000</v>
          </cell>
          <cell r="H186" t="str">
            <v>Zakia</v>
          </cell>
          <cell r="I186" t="str">
            <v>Tiya</v>
          </cell>
          <cell r="J186" t="str">
            <v>New 04/02/2022</v>
          </cell>
          <cell r="K186" t="str">
            <v>KU</v>
          </cell>
          <cell r="L186" t="str">
            <v>AGRO51</v>
          </cell>
          <cell r="M186" t="str">
            <v>Agro Tani Sejahtera/Ni Putu Esthi</v>
          </cell>
          <cell r="N186" t="str">
            <v>Ni Putu Esthi Saraswati</v>
          </cell>
          <cell r="O186" t="str">
            <v>BR Dinas Piling Tengah, Kel. Mengesta, Kec. Penebel</v>
          </cell>
          <cell r="P186" t="str">
            <v>Tabanan - Bali</v>
          </cell>
          <cell r="Q186" t="str">
            <v>Jl. Raya Penarukan Kelating, Kerambitan</v>
          </cell>
          <cell r="R186" t="str">
            <v>Tabanan - Bali</v>
          </cell>
          <cell r="S186" t="str">
            <v>S Bali1</v>
          </cell>
          <cell r="T186" t="str">
            <v>Wira</v>
          </cell>
          <cell r="U186">
            <v>30</v>
          </cell>
        </row>
        <row r="187">
          <cell r="E187" t="str">
            <v>D25012713</v>
          </cell>
          <cell r="F187"/>
          <cell r="G187">
            <v>300000000</v>
          </cell>
          <cell r="H187" t="str">
            <v>Faris</v>
          </cell>
          <cell r="I187" t="str">
            <v>Syahra</v>
          </cell>
          <cell r="J187"/>
          <cell r="K187" t="str">
            <v>KU</v>
          </cell>
          <cell r="L187" t="str">
            <v>AGRO14</v>
          </cell>
          <cell r="M187" t="str">
            <v>Agro Tani, UD</v>
          </cell>
          <cell r="N187" t="str">
            <v>Supardi</v>
          </cell>
          <cell r="O187" t="str">
            <v>Sukonatar Srono</v>
          </cell>
          <cell r="P187" t="str">
            <v>Banyuwangi</v>
          </cell>
          <cell r="Q187" t="str">
            <v>Sukonatar Srono</v>
          </cell>
          <cell r="R187" t="str">
            <v>Banyuwangi</v>
          </cell>
          <cell r="S187" t="str">
            <v>H Bwi2</v>
          </cell>
          <cell r="T187" t="str">
            <v>Hafid</v>
          </cell>
          <cell r="U187">
            <v>30</v>
          </cell>
        </row>
        <row r="188">
          <cell r="E188">
            <v>250077</v>
          </cell>
          <cell r="F188"/>
          <cell r="G188">
            <v>300000000</v>
          </cell>
          <cell r="H188" t="str">
            <v>Faris</v>
          </cell>
          <cell r="I188" t="str">
            <v>Syahra</v>
          </cell>
          <cell r="J188"/>
          <cell r="K188" t="str">
            <v>KU</v>
          </cell>
          <cell r="L188" t="str">
            <v>AGRO14</v>
          </cell>
          <cell r="M188" t="str">
            <v>Agro Tani, UD</v>
          </cell>
          <cell r="N188" t="str">
            <v>Supardi</v>
          </cell>
          <cell r="O188" t="str">
            <v>Sukonatar Srono</v>
          </cell>
          <cell r="P188" t="str">
            <v>Banyuwangi</v>
          </cell>
          <cell r="Q188" t="str">
            <v>Sukonatar Srono</v>
          </cell>
          <cell r="R188" t="str">
            <v>Banyuwangi</v>
          </cell>
          <cell r="S188" t="str">
            <v>H Bwi2</v>
          </cell>
          <cell r="T188" t="str">
            <v>Hafid</v>
          </cell>
          <cell r="U188">
            <v>30</v>
          </cell>
        </row>
        <row r="189">
          <cell r="E189" t="str">
            <v>D25013313</v>
          </cell>
          <cell r="F189"/>
          <cell r="G189">
            <v>300000000</v>
          </cell>
          <cell r="H189" t="str">
            <v>Faris</v>
          </cell>
          <cell r="I189" t="str">
            <v>Syahra</v>
          </cell>
          <cell r="J189"/>
          <cell r="K189" t="str">
            <v>KU</v>
          </cell>
          <cell r="L189" t="str">
            <v>AGRO14</v>
          </cell>
          <cell r="M189" t="str">
            <v>Agro Tani, UD</v>
          </cell>
          <cell r="N189" t="str">
            <v>Supardi</v>
          </cell>
          <cell r="O189" t="str">
            <v>Sukonatar Srono</v>
          </cell>
          <cell r="P189" t="str">
            <v>Banyuwangi</v>
          </cell>
          <cell r="Q189" t="str">
            <v>Sukonatar Srono</v>
          </cell>
          <cell r="R189" t="str">
            <v>Banyuwangi</v>
          </cell>
          <cell r="S189" t="str">
            <v>H Bwi2</v>
          </cell>
          <cell r="T189" t="str">
            <v>Hafid</v>
          </cell>
          <cell r="U189">
            <v>30</v>
          </cell>
        </row>
        <row r="190">
          <cell r="E190" t="str">
            <v>B25011207</v>
          </cell>
          <cell r="F190"/>
          <cell r="G190">
            <v>300000000</v>
          </cell>
          <cell r="H190" t="str">
            <v>Faris</v>
          </cell>
          <cell r="I190" t="str">
            <v>Syahra</v>
          </cell>
          <cell r="J190"/>
          <cell r="K190" t="str">
            <v>KU</v>
          </cell>
          <cell r="L190" t="str">
            <v>AGRO14</v>
          </cell>
          <cell r="M190" t="str">
            <v>Agro Tani, UD</v>
          </cell>
          <cell r="N190" t="str">
            <v>Supardi</v>
          </cell>
          <cell r="O190" t="str">
            <v>Sukonatar Srono</v>
          </cell>
          <cell r="P190" t="str">
            <v>Banyuwangi</v>
          </cell>
          <cell r="Q190" t="str">
            <v>Sukonatar Srono</v>
          </cell>
          <cell r="R190" t="str">
            <v>Banyuwangi</v>
          </cell>
          <cell r="S190" t="str">
            <v>H Bwi2</v>
          </cell>
          <cell r="T190" t="str">
            <v>Hafid</v>
          </cell>
          <cell r="U190">
            <v>30</v>
          </cell>
        </row>
        <row r="191">
          <cell r="E191">
            <v>250093</v>
          </cell>
          <cell r="F191"/>
          <cell r="G191">
            <v>300000000</v>
          </cell>
          <cell r="H191" t="str">
            <v>Faris</v>
          </cell>
          <cell r="I191" t="str">
            <v>Syahra</v>
          </cell>
          <cell r="J191"/>
          <cell r="K191" t="str">
            <v>KU</v>
          </cell>
          <cell r="L191" t="str">
            <v>AGRO14</v>
          </cell>
          <cell r="M191" t="str">
            <v>Agro Tani, UD</v>
          </cell>
          <cell r="N191" t="str">
            <v>Supardi</v>
          </cell>
          <cell r="O191" t="str">
            <v>Sukonatar Srono</v>
          </cell>
          <cell r="P191" t="str">
            <v>Banyuwangi</v>
          </cell>
          <cell r="Q191" t="str">
            <v>Sukonatar Srono</v>
          </cell>
          <cell r="R191" t="str">
            <v>Banyuwangi</v>
          </cell>
          <cell r="S191" t="str">
            <v>H Bwi2</v>
          </cell>
          <cell r="T191" t="str">
            <v>Hafid</v>
          </cell>
          <cell r="U191">
            <v>30</v>
          </cell>
        </row>
        <row r="192">
          <cell r="E192" t="str">
            <v>D25013590</v>
          </cell>
          <cell r="F192"/>
          <cell r="G192">
            <v>300000000</v>
          </cell>
          <cell r="H192" t="str">
            <v>Faris</v>
          </cell>
          <cell r="I192" t="str">
            <v>Syahra</v>
          </cell>
          <cell r="J192"/>
          <cell r="K192" t="str">
            <v>KU</v>
          </cell>
          <cell r="L192" t="str">
            <v>AGRO14</v>
          </cell>
          <cell r="M192" t="str">
            <v>Agro Tani, UD</v>
          </cell>
          <cell r="N192" t="str">
            <v>Supardi</v>
          </cell>
          <cell r="O192" t="str">
            <v>Sukonatar Srono</v>
          </cell>
          <cell r="P192" t="str">
            <v>Banyuwangi</v>
          </cell>
          <cell r="Q192" t="str">
            <v>Sukonatar Srono</v>
          </cell>
          <cell r="R192" t="str">
            <v>Banyuwangi</v>
          </cell>
          <cell r="S192" t="str">
            <v>H Bwi2</v>
          </cell>
          <cell r="T192" t="str">
            <v>Hafid</v>
          </cell>
          <cell r="U192">
            <v>30</v>
          </cell>
        </row>
        <row r="193">
          <cell r="E193" t="str">
            <v>B25012296</v>
          </cell>
          <cell r="F193"/>
          <cell r="G193">
            <v>300000000</v>
          </cell>
          <cell r="H193" t="str">
            <v>Faris</v>
          </cell>
          <cell r="I193" t="str">
            <v>Syahra</v>
          </cell>
          <cell r="J193"/>
          <cell r="K193" t="str">
            <v>KU</v>
          </cell>
          <cell r="L193" t="str">
            <v>AGRO14</v>
          </cell>
          <cell r="M193" t="str">
            <v>Agro Tani, UD</v>
          </cell>
          <cell r="N193" t="str">
            <v>Supardi</v>
          </cell>
          <cell r="O193" t="str">
            <v>Sukonatar Srono</v>
          </cell>
          <cell r="P193" t="str">
            <v>Banyuwangi</v>
          </cell>
          <cell r="Q193" t="str">
            <v>Sukonatar Srono</v>
          </cell>
          <cell r="R193" t="str">
            <v>Banyuwangi</v>
          </cell>
          <cell r="S193" t="str">
            <v>H Bwi2</v>
          </cell>
          <cell r="T193" t="str">
            <v>Hafid</v>
          </cell>
          <cell r="U193">
            <v>30</v>
          </cell>
        </row>
        <row r="194">
          <cell r="E194" t="str">
            <v>B25012297</v>
          </cell>
          <cell r="F194"/>
          <cell r="G194">
            <v>300000000</v>
          </cell>
          <cell r="H194" t="str">
            <v>Faris</v>
          </cell>
          <cell r="I194" t="str">
            <v>Syahra</v>
          </cell>
          <cell r="J194"/>
          <cell r="K194" t="str">
            <v>KU</v>
          </cell>
          <cell r="L194" t="str">
            <v>AGRO14</v>
          </cell>
          <cell r="M194" t="str">
            <v>Agro Tani, UD</v>
          </cell>
          <cell r="N194" t="str">
            <v>Supardi</v>
          </cell>
          <cell r="O194" t="str">
            <v>Sukonatar Srono</v>
          </cell>
          <cell r="P194" t="str">
            <v>Banyuwangi</v>
          </cell>
          <cell r="Q194" t="str">
            <v>Sukonatar Srono</v>
          </cell>
          <cell r="R194" t="str">
            <v>Banyuwangi</v>
          </cell>
          <cell r="S194" t="str">
            <v>H Bwi2</v>
          </cell>
          <cell r="T194" t="str">
            <v>Hafid</v>
          </cell>
          <cell r="U194">
            <v>30</v>
          </cell>
        </row>
        <row r="195">
          <cell r="E195" t="str">
            <v>B25012322</v>
          </cell>
          <cell r="F195"/>
          <cell r="G195">
            <v>300000000</v>
          </cell>
          <cell r="H195" t="str">
            <v>Faris</v>
          </cell>
          <cell r="I195" t="str">
            <v>Syahra</v>
          </cell>
          <cell r="J195"/>
          <cell r="K195" t="str">
            <v>KU</v>
          </cell>
          <cell r="L195" t="str">
            <v>AGRO14</v>
          </cell>
          <cell r="M195" t="str">
            <v>Agro Tani, UD</v>
          </cell>
          <cell r="N195" t="str">
            <v>Supardi</v>
          </cell>
          <cell r="O195" t="str">
            <v>Sukonatar Srono</v>
          </cell>
          <cell r="P195" t="str">
            <v>Banyuwangi</v>
          </cell>
          <cell r="Q195" t="str">
            <v>Sukonatar Srono</v>
          </cell>
          <cell r="R195" t="str">
            <v>Banyuwangi</v>
          </cell>
          <cell r="S195" t="str">
            <v>H Bwi2</v>
          </cell>
          <cell r="T195" t="str">
            <v>Hafid</v>
          </cell>
          <cell r="U195">
            <v>30</v>
          </cell>
        </row>
        <row r="196">
          <cell r="E196" t="str">
            <v>B25012324</v>
          </cell>
          <cell r="F196"/>
          <cell r="G196">
            <v>300000000</v>
          </cell>
          <cell r="H196" t="str">
            <v>Faris</v>
          </cell>
          <cell r="I196" t="str">
            <v>Syahra</v>
          </cell>
          <cell r="J196"/>
          <cell r="K196" t="str">
            <v>KU</v>
          </cell>
          <cell r="L196" t="str">
            <v>AGRO14</v>
          </cell>
          <cell r="M196" t="str">
            <v>Agro Tani, UD</v>
          </cell>
          <cell r="N196" t="str">
            <v>Supardi</v>
          </cell>
          <cell r="O196" t="str">
            <v>Sukonatar Srono</v>
          </cell>
          <cell r="P196" t="str">
            <v>Banyuwangi</v>
          </cell>
          <cell r="Q196" t="str">
            <v>Sukonatar Srono</v>
          </cell>
          <cell r="R196" t="str">
            <v>Banyuwangi</v>
          </cell>
          <cell r="S196" t="str">
            <v>H Bwi2</v>
          </cell>
          <cell r="T196" t="str">
            <v>Hafid</v>
          </cell>
          <cell r="U196">
            <v>30</v>
          </cell>
        </row>
        <row r="197">
          <cell r="E197" t="str">
            <v>B25012341</v>
          </cell>
          <cell r="F197"/>
          <cell r="G197">
            <v>300000000</v>
          </cell>
          <cell r="H197" t="str">
            <v>Faris</v>
          </cell>
          <cell r="I197" t="str">
            <v>Syahra</v>
          </cell>
          <cell r="J197"/>
          <cell r="K197" t="str">
            <v>KU</v>
          </cell>
          <cell r="L197" t="str">
            <v>AGRO14</v>
          </cell>
          <cell r="M197" t="str">
            <v>Agro Tani, UD</v>
          </cell>
          <cell r="N197" t="str">
            <v>Supardi</v>
          </cell>
          <cell r="O197" t="str">
            <v>Sukonatar Srono</v>
          </cell>
          <cell r="P197" t="str">
            <v>Banyuwangi</v>
          </cell>
          <cell r="Q197" t="str">
            <v>Sukonatar Srono</v>
          </cell>
          <cell r="R197" t="str">
            <v>Banyuwangi</v>
          </cell>
          <cell r="S197" t="str">
            <v>H Bwi2</v>
          </cell>
          <cell r="T197" t="str">
            <v>Hafid</v>
          </cell>
          <cell r="U197">
            <v>30</v>
          </cell>
        </row>
        <row r="198">
          <cell r="E198">
            <v>250120</v>
          </cell>
          <cell r="F198"/>
          <cell r="G198">
            <v>300000000</v>
          </cell>
          <cell r="H198" t="str">
            <v>Faris</v>
          </cell>
          <cell r="I198" t="str">
            <v>Syahra</v>
          </cell>
          <cell r="J198"/>
          <cell r="K198" t="str">
            <v>KU</v>
          </cell>
          <cell r="L198" t="str">
            <v>AGRO14</v>
          </cell>
          <cell r="M198" t="str">
            <v>Agro Tani, UD</v>
          </cell>
          <cell r="N198" t="str">
            <v>Supardi</v>
          </cell>
          <cell r="O198" t="str">
            <v>Sukonatar Srono</v>
          </cell>
          <cell r="P198" t="str">
            <v>Banyuwangi</v>
          </cell>
          <cell r="Q198" t="str">
            <v>Sukonatar Srono</v>
          </cell>
          <cell r="R198" t="str">
            <v>Banyuwangi</v>
          </cell>
          <cell r="S198" t="str">
            <v>H Bwi2</v>
          </cell>
          <cell r="T198" t="str">
            <v>Hafid</v>
          </cell>
          <cell r="U198">
            <v>30</v>
          </cell>
        </row>
        <row r="199">
          <cell r="E199">
            <v>250145</v>
          </cell>
          <cell r="F199"/>
          <cell r="G199">
            <v>300000000</v>
          </cell>
          <cell r="H199" t="str">
            <v>Faris</v>
          </cell>
          <cell r="I199" t="str">
            <v>Syahra</v>
          </cell>
          <cell r="J199"/>
          <cell r="K199" t="str">
            <v>KU</v>
          </cell>
          <cell r="L199" t="str">
            <v>AGRO14</v>
          </cell>
          <cell r="M199" t="str">
            <v>Agro Tani, UD</v>
          </cell>
          <cell r="N199" t="str">
            <v>Supardi</v>
          </cell>
          <cell r="O199" t="str">
            <v>Sukonatar Srono</v>
          </cell>
          <cell r="P199" t="str">
            <v>Banyuwangi</v>
          </cell>
          <cell r="Q199" t="str">
            <v>Sukonatar Srono</v>
          </cell>
          <cell r="R199" t="str">
            <v>Banyuwangi</v>
          </cell>
          <cell r="S199" t="str">
            <v>H Bwi2</v>
          </cell>
          <cell r="T199" t="str">
            <v>Hafid</v>
          </cell>
          <cell r="U199">
            <v>30</v>
          </cell>
        </row>
        <row r="200">
          <cell r="E200" t="str">
            <v>B25013695</v>
          </cell>
          <cell r="F200"/>
          <cell r="G200">
            <v>300000000</v>
          </cell>
          <cell r="H200" t="str">
            <v>Faris</v>
          </cell>
          <cell r="I200" t="str">
            <v>Syahra</v>
          </cell>
          <cell r="J200"/>
          <cell r="K200" t="str">
            <v>KU</v>
          </cell>
          <cell r="L200" t="str">
            <v>AGRO14</v>
          </cell>
          <cell r="M200" t="str">
            <v>Agro Tani, UD</v>
          </cell>
          <cell r="N200" t="str">
            <v>Supardi</v>
          </cell>
          <cell r="O200" t="str">
            <v>Sukonatar Srono</v>
          </cell>
          <cell r="P200" t="str">
            <v>Banyuwangi</v>
          </cell>
          <cell r="Q200" t="str">
            <v>Sukonatar Srono</v>
          </cell>
          <cell r="R200" t="str">
            <v>Banyuwangi</v>
          </cell>
          <cell r="S200" t="str">
            <v>H Bwi2</v>
          </cell>
          <cell r="T200" t="str">
            <v>Hafid</v>
          </cell>
          <cell r="U200">
            <v>30</v>
          </cell>
        </row>
        <row r="201">
          <cell r="E201" t="str">
            <v>B25013696</v>
          </cell>
          <cell r="F201"/>
          <cell r="G201">
            <v>300000000</v>
          </cell>
          <cell r="H201" t="str">
            <v>Faris</v>
          </cell>
          <cell r="I201" t="str">
            <v>Syahra</v>
          </cell>
          <cell r="J201"/>
          <cell r="K201" t="str">
            <v>KU</v>
          </cell>
          <cell r="L201" t="str">
            <v>AGRO14</v>
          </cell>
          <cell r="M201" t="str">
            <v>Agro Tani, UD</v>
          </cell>
          <cell r="N201" t="str">
            <v>Supardi</v>
          </cell>
          <cell r="O201" t="str">
            <v>Sukonatar Srono</v>
          </cell>
          <cell r="P201" t="str">
            <v>Banyuwangi</v>
          </cell>
          <cell r="Q201" t="str">
            <v>Sukonatar Srono</v>
          </cell>
          <cell r="R201" t="str">
            <v>Banyuwangi</v>
          </cell>
          <cell r="S201" t="str">
            <v>H Bwi2</v>
          </cell>
          <cell r="T201" t="str">
            <v>Hafid</v>
          </cell>
          <cell r="U201">
            <v>30</v>
          </cell>
        </row>
        <row r="202">
          <cell r="E202" t="str">
            <v>B25013698</v>
          </cell>
          <cell r="F202"/>
          <cell r="G202">
            <v>300000000</v>
          </cell>
          <cell r="H202" t="str">
            <v>Faris</v>
          </cell>
          <cell r="I202" t="str">
            <v>Syahra</v>
          </cell>
          <cell r="J202"/>
          <cell r="K202" t="str">
            <v>KU</v>
          </cell>
          <cell r="L202" t="str">
            <v>AGRO14</v>
          </cell>
          <cell r="M202" t="str">
            <v>Agro Tani, UD</v>
          </cell>
          <cell r="N202" t="str">
            <v>Supardi</v>
          </cell>
          <cell r="O202" t="str">
            <v>Sukonatar Srono</v>
          </cell>
          <cell r="P202" t="str">
            <v>Banyuwangi</v>
          </cell>
          <cell r="Q202" t="str">
            <v>Sukonatar Srono</v>
          </cell>
          <cell r="R202" t="str">
            <v>Banyuwangi</v>
          </cell>
          <cell r="S202" t="str">
            <v>H Bwi2</v>
          </cell>
          <cell r="T202" t="str">
            <v>Hafid</v>
          </cell>
          <cell r="U202">
            <v>30</v>
          </cell>
        </row>
        <row r="203">
          <cell r="E203" t="str">
            <v>B25013699</v>
          </cell>
          <cell r="F203"/>
          <cell r="G203">
            <v>300000000</v>
          </cell>
          <cell r="H203" t="str">
            <v>Faris</v>
          </cell>
          <cell r="I203" t="str">
            <v>Syahra</v>
          </cell>
          <cell r="J203"/>
          <cell r="K203" t="str">
            <v>KU</v>
          </cell>
          <cell r="L203" t="str">
            <v>AGRO14</v>
          </cell>
          <cell r="M203" t="str">
            <v>Agro Tani, UD</v>
          </cell>
          <cell r="N203" t="str">
            <v>Supardi</v>
          </cell>
          <cell r="O203" t="str">
            <v>Sukonatar Srono</v>
          </cell>
          <cell r="P203" t="str">
            <v>Banyuwangi</v>
          </cell>
          <cell r="Q203" t="str">
            <v>Sukonatar Srono</v>
          </cell>
          <cell r="R203" t="str">
            <v>Banyuwangi</v>
          </cell>
          <cell r="S203" t="str">
            <v>H Bwi2</v>
          </cell>
          <cell r="T203" t="str">
            <v>Hafid</v>
          </cell>
          <cell r="U203">
            <v>30</v>
          </cell>
        </row>
        <row r="204">
          <cell r="E204" t="str">
            <v>D25016199</v>
          </cell>
          <cell r="F204"/>
          <cell r="G204">
            <v>300000000</v>
          </cell>
          <cell r="H204" t="str">
            <v>Faris</v>
          </cell>
          <cell r="I204" t="str">
            <v>Syahra</v>
          </cell>
          <cell r="J204"/>
          <cell r="K204" t="str">
            <v>KU</v>
          </cell>
          <cell r="L204" t="str">
            <v>AGRO14</v>
          </cell>
          <cell r="M204" t="str">
            <v>Agro Tani, UD</v>
          </cell>
          <cell r="N204" t="str">
            <v>Supardi</v>
          </cell>
          <cell r="O204" t="str">
            <v>Sukonatar Srono</v>
          </cell>
          <cell r="P204" t="str">
            <v>Banyuwangi</v>
          </cell>
          <cell r="Q204" t="str">
            <v>Sukonatar Srono</v>
          </cell>
          <cell r="R204" t="str">
            <v>Banyuwangi</v>
          </cell>
          <cell r="S204" t="str">
            <v>H Bwi2</v>
          </cell>
          <cell r="T204" t="str">
            <v>Hafid</v>
          </cell>
          <cell r="U204">
            <v>60</v>
          </cell>
        </row>
        <row r="205">
          <cell r="E205" t="str">
            <v>D25015571</v>
          </cell>
          <cell r="F205"/>
          <cell r="G205">
            <v>1000</v>
          </cell>
          <cell r="H205" t="str">
            <v>Reni</v>
          </cell>
          <cell r="I205" t="str">
            <v>Farida</v>
          </cell>
          <cell r="J205" t="str">
            <v>New 31/07/25</v>
          </cell>
          <cell r="K205" t="str">
            <v>CBD</v>
          </cell>
          <cell r="L205" t="str">
            <v>AGRO72</v>
          </cell>
          <cell r="M205" t="str">
            <v>Agro Tani/Ahmad Fauzi</v>
          </cell>
          <cell r="N205" t="str">
            <v>Ahmad Fauzi</v>
          </cell>
          <cell r="O205" t="str">
            <v>Dusun Budug RT.010/RW.003 , Kel. Tugus Sumberejo Kec. Peterongan</v>
          </cell>
          <cell r="P205" t="str">
            <v>Jombang</v>
          </cell>
          <cell r="Q205" t="str">
            <v>Dusun Budug RT.010/RW.003 , Kel. Tugus Sumberejo Kec. Peterongan</v>
          </cell>
          <cell r="R205" t="str">
            <v>Jombang</v>
          </cell>
          <cell r="S205" t="str">
            <v>D Barat1</v>
          </cell>
          <cell r="T205" t="str">
            <v>Tomi</v>
          </cell>
          <cell r="U205">
            <v>0</v>
          </cell>
        </row>
        <row r="206">
          <cell r="E206" t="str">
            <v>B25011045</v>
          </cell>
          <cell r="F206"/>
          <cell r="G206">
            <v>75000000</v>
          </cell>
          <cell r="H206" t="str">
            <v>Reni</v>
          </cell>
          <cell r="I206" t="str">
            <v>Fira</v>
          </cell>
          <cell r="J206"/>
          <cell r="K206" t="str">
            <v>KU</v>
          </cell>
          <cell r="L206" t="str">
            <v>AGRO13</v>
          </cell>
          <cell r="M206" t="str">
            <v>Agro Tani/Rusdi</v>
          </cell>
          <cell r="N206" t="str">
            <v>Rusdi</v>
          </cell>
          <cell r="O206" t="str">
            <v>Ds. Sukosari RT.01  RW.02 Soko</v>
          </cell>
          <cell r="P206" t="str">
            <v>Tuban</v>
          </cell>
          <cell r="Q206" t="str">
            <v>Sukosari</v>
          </cell>
          <cell r="R206" t="str">
            <v>Tuban</v>
          </cell>
          <cell r="S206" t="str">
            <v>F Utara1</v>
          </cell>
          <cell r="T206" t="str">
            <v>Dian</v>
          </cell>
          <cell r="U206">
            <v>60</v>
          </cell>
        </row>
        <row r="207">
          <cell r="E207" t="str">
            <v>D25013225</v>
          </cell>
          <cell r="F207"/>
          <cell r="G207">
            <v>75000000</v>
          </cell>
          <cell r="H207" t="str">
            <v>Reni</v>
          </cell>
          <cell r="I207" t="str">
            <v>Fira</v>
          </cell>
          <cell r="J207"/>
          <cell r="K207" t="str">
            <v>KU</v>
          </cell>
          <cell r="L207" t="str">
            <v>AGRO13</v>
          </cell>
          <cell r="M207" t="str">
            <v>Agro Tani/Rusdi</v>
          </cell>
          <cell r="N207" t="str">
            <v>Rusdi</v>
          </cell>
          <cell r="O207" t="str">
            <v>Ds. Sukosari RT.01  RW.02 Soko</v>
          </cell>
          <cell r="P207" t="str">
            <v>Tuban</v>
          </cell>
          <cell r="Q207" t="str">
            <v>Sukosari</v>
          </cell>
          <cell r="R207" t="str">
            <v>Tuban</v>
          </cell>
          <cell r="S207" t="str">
            <v>F Utara1</v>
          </cell>
          <cell r="T207" t="str">
            <v>Dian</v>
          </cell>
          <cell r="U207">
            <v>60</v>
          </cell>
        </row>
        <row r="208">
          <cell r="E208" t="str">
            <v>D25014128</v>
          </cell>
          <cell r="F208"/>
          <cell r="G208">
            <v>75000000</v>
          </cell>
          <cell r="H208" t="str">
            <v>Reni</v>
          </cell>
          <cell r="I208" t="str">
            <v>Fira</v>
          </cell>
          <cell r="J208"/>
          <cell r="K208" t="str">
            <v>KU</v>
          </cell>
          <cell r="L208" t="str">
            <v>AGRO13</v>
          </cell>
          <cell r="M208" t="str">
            <v>Agro Tani/Rusdi</v>
          </cell>
          <cell r="N208" t="str">
            <v>Rusdi</v>
          </cell>
          <cell r="O208" t="str">
            <v>Ds. Sukosari RT.01  RW.02 Soko</v>
          </cell>
          <cell r="P208" t="str">
            <v>Tuban</v>
          </cell>
          <cell r="Q208" t="str">
            <v>Sukosari</v>
          </cell>
          <cell r="R208" t="str">
            <v>Tuban</v>
          </cell>
          <cell r="S208" t="str">
            <v>F Utara1</v>
          </cell>
          <cell r="T208" t="str">
            <v>Dian</v>
          </cell>
          <cell r="U208">
            <v>60</v>
          </cell>
        </row>
        <row r="209">
          <cell r="E209" t="str">
            <v>B25012160</v>
          </cell>
          <cell r="F209"/>
          <cell r="G209">
            <v>75000000</v>
          </cell>
          <cell r="H209" t="str">
            <v>Reni</v>
          </cell>
          <cell r="I209" t="str">
            <v>Fira</v>
          </cell>
          <cell r="J209"/>
          <cell r="K209" t="str">
            <v>KU</v>
          </cell>
          <cell r="L209" t="str">
            <v>AGRO13</v>
          </cell>
          <cell r="M209" t="str">
            <v>Agro Tani/Rusdi</v>
          </cell>
          <cell r="N209" t="str">
            <v>Rusdi</v>
          </cell>
          <cell r="O209" t="str">
            <v>Ds. Sukosari RT.01  RW.02 Soko</v>
          </cell>
          <cell r="P209" t="str">
            <v>Tuban</v>
          </cell>
          <cell r="Q209" t="str">
            <v>Sukosari</v>
          </cell>
          <cell r="R209" t="str">
            <v>Tuban</v>
          </cell>
          <cell r="S209" t="str">
            <v>F Utara1</v>
          </cell>
          <cell r="T209" t="str">
            <v>Dian</v>
          </cell>
          <cell r="U209">
            <v>60</v>
          </cell>
        </row>
        <row r="210">
          <cell r="E210" t="str">
            <v>D25015047</v>
          </cell>
          <cell r="F210"/>
          <cell r="G210">
            <v>75000000</v>
          </cell>
          <cell r="H210" t="str">
            <v>Reni</v>
          </cell>
          <cell r="I210" t="str">
            <v>Fira</v>
          </cell>
          <cell r="J210"/>
          <cell r="K210" t="str">
            <v>KU</v>
          </cell>
          <cell r="L210" t="str">
            <v>AGRO13</v>
          </cell>
          <cell r="M210" t="str">
            <v>Agro Tani/Rusdi</v>
          </cell>
          <cell r="N210" t="str">
            <v>Rusdi</v>
          </cell>
          <cell r="O210" t="str">
            <v>Ds. Sukosari RT.01  RW.02 Soko</v>
          </cell>
          <cell r="P210" t="str">
            <v>Tuban</v>
          </cell>
          <cell r="Q210" t="str">
            <v>Sukosari</v>
          </cell>
          <cell r="R210" t="str">
            <v>Tuban</v>
          </cell>
          <cell r="S210" t="str">
            <v>F Utara1</v>
          </cell>
          <cell r="T210" t="str">
            <v>Dian</v>
          </cell>
          <cell r="U210">
            <v>0</v>
          </cell>
        </row>
        <row r="211">
          <cell r="E211" t="str">
            <v>B25013312</v>
          </cell>
          <cell r="F211"/>
          <cell r="G211">
            <v>75000000</v>
          </cell>
          <cell r="H211" t="str">
            <v>Reni</v>
          </cell>
          <cell r="I211" t="str">
            <v>Fira</v>
          </cell>
          <cell r="J211"/>
          <cell r="K211" t="str">
            <v>KU</v>
          </cell>
          <cell r="L211" t="str">
            <v>AGRO13</v>
          </cell>
          <cell r="M211" t="str">
            <v>Agro Tani/Rusdi</v>
          </cell>
          <cell r="N211" t="str">
            <v>Rusdi</v>
          </cell>
          <cell r="O211" t="str">
            <v>Ds. Sukosari RT.01  RW.02 Soko</v>
          </cell>
          <cell r="P211" t="str">
            <v>Tuban</v>
          </cell>
          <cell r="Q211" t="str">
            <v>Sukosari</v>
          </cell>
          <cell r="R211" t="str">
            <v>Tuban</v>
          </cell>
          <cell r="S211" t="str">
            <v>F Utara1</v>
          </cell>
          <cell r="T211" t="str">
            <v>Dian</v>
          </cell>
          <cell r="U211">
            <v>60</v>
          </cell>
        </row>
        <row r="212">
          <cell r="E212" t="str">
            <v>D25008356</v>
          </cell>
          <cell r="F212"/>
          <cell r="G212">
            <v>1000000000</v>
          </cell>
          <cell r="H212" t="str">
            <v>Faris</v>
          </cell>
          <cell r="I212" t="str">
            <v>Syahra</v>
          </cell>
          <cell r="J212"/>
          <cell r="K212" t="str">
            <v>KU</v>
          </cell>
          <cell r="L212" t="str">
            <v>AGRO15</v>
          </cell>
          <cell r="M212" t="str">
            <v>Agro Tiara Jaya</v>
          </cell>
          <cell r="N212" t="str">
            <v>Tiara Nusa Agro Gemilang, PT</v>
          </cell>
          <cell r="O212" t="str">
            <v>Jl. Raya Jember No.59, Setail, Genteng Kab. Banyuwangi</v>
          </cell>
          <cell r="P212" t="str">
            <v>Banyuwangi</v>
          </cell>
          <cell r="Q212" t="str">
            <v>Jl. Raya Jember No.59, Setail, Genteng Kab. Banyuwangi</v>
          </cell>
          <cell r="R212" t="str">
            <v>Banyuwangi</v>
          </cell>
          <cell r="S212" t="str">
            <v>H Bwi2</v>
          </cell>
          <cell r="T212" t="str">
            <v>Hafid</v>
          </cell>
          <cell r="U212">
            <v>60</v>
          </cell>
        </row>
        <row r="213">
          <cell r="E213" t="str">
            <v>D25008357</v>
          </cell>
          <cell r="F213"/>
          <cell r="G213">
            <v>1000000000</v>
          </cell>
          <cell r="H213" t="str">
            <v>Faris</v>
          </cell>
          <cell r="I213" t="str">
            <v>Syahra</v>
          </cell>
          <cell r="J213"/>
          <cell r="K213" t="str">
            <v>KU</v>
          </cell>
          <cell r="L213" t="str">
            <v>AGRO15</v>
          </cell>
          <cell r="M213" t="str">
            <v>Agro Tiara Jaya</v>
          </cell>
          <cell r="N213" t="str">
            <v>Tiara Nusa Agro Gemilang, PT</v>
          </cell>
          <cell r="O213" t="str">
            <v>Jl. Raya Jember No.59, Setail, Genteng Kab. Banyuwangi</v>
          </cell>
          <cell r="P213" t="str">
            <v>Banyuwangi</v>
          </cell>
          <cell r="Q213" t="str">
            <v>Jl. Raya Jember No.59, Setail, Genteng Kab. Banyuwangi</v>
          </cell>
          <cell r="R213" t="str">
            <v>Banyuwangi</v>
          </cell>
          <cell r="S213" t="str">
            <v>H Bwi2</v>
          </cell>
          <cell r="T213" t="str">
            <v>Hafid</v>
          </cell>
          <cell r="U213">
            <v>60</v>
          </cell>
        </row>
        <row r="214">
          <cell r="E214" t="str">
            <v>D25008586</v>
          </cell>
          <cell r="F214"/>
          <cell r="G214">
            <v>1000000000</v>
          </cell>
          <cell r="H214" t="str">
            <v>Faris</v>
          </cell>
          <cell r="I214" t="str">
            <v>Syahra</v>
          </cell>
          <cell r="J214"/>
          <cell r="K214" t="str">
            <v>KU</v>
          </cell>
          <cell r="L214" t="str">
            <v>AGRO15</v>
          </cell>
          <cell r="M214" t="str">
            <v>Agro Tiara Jaya</v>
          </cell>
          <cell r="N214" t="str">
            <v>Tiara Nusa Agro Gemilang, PT</v>
          </cell>
          <cell r="O214" t="str">
            <v>Jl. Raya Jember No.59, Setail, Genteng Kab. Banyuwangi</v>
          </cell>
          <cell r="P214" t="str">
            <v>Banyuwangi</v>
          </cell>
          <cell r="Q214" t="str">
            <v>Jl. Raya Jember No.59, Setail, Genteng Kab. Banyuwangi</v>
          </cell>
          <cell r="R214" t="str">
            <v>Banyuwangi</v>
          </cell>
          <cell r="S214" t="str">
            <v>H Bwi2</v>
          </cell>
          <cell r="T214" t="str">
            <v>Hafid</v>
          </cell>
          <cell r="U214">
            <v>60</v>
          </cell>
        </row>
        <row r="215">
          <cell r="E215" t="str">
            <v>B25007108</v>
          </cell>
          <cell r="F215"/>
          <cell r="G215">
            <v>1000000000</v>
          </cell>
          <cell r="H215" t="str">
            <v>Faris</v>
          </cell>
          <cell r="I215" t="str">
            <v>Syahra</v>
          </cell>
          <cell r="J215"/>
          <cell r="K215" t="str">
            <v>KU</v>
          </cell>
          <cell r="L215" t="str">
            <v>AGRO15</v>
          </cell>
          <cell r="M215" t="str">
            <v>Agro Tiara Jaya</v>
          </cell>
          <cell r="N215" t="str">
            <v>Tiara Nusa Agro Gemilang, PT</v>
          </cell>
          <cell r="O215" t="str">
            <v>Jl. Raya Jember No.59, Setail, Genteng Kab. Banyuwangi</v>
          </cell>
          <cell r="P215" t="str">
            <v>Banyuwangi</v>
          </cell>
          <cell r="Q215" t="str">
            <v>Jl. Raya Jember No.59, Setail, Genteng Kab. Banyuwangi</v>
          </cell>
          <cell r="R215" t="str">
            <v>Banyuwangi</v>
          </cell>
          <cell r="S215" t="str">
            <v>H Bwi2</v>
          </cell>
          <cell r="T215" t="str">
            <v>Hafid</v>
          </cell>
          <cell r="U215">
            <v>60</v>
          </cell>
        </row>
        <row r="216">
          <cell r="E216" t="str">
            <v>B25007351</v>
          </cell>
          <cell r="F216"/>
          <cell r="G216">
            <v>1000000000</v>
          </cell>
          <cell r="H216" t="str">
            <v>Faris</v>
          </cell>
          <cell r="I216" t="str">
            <v>Syahra</v>
          </cell>
          <cell r="J216"/>
          <cell r="K216" t="str">
            <v>KU</v>
          </cell>
          <cell r="L216" t="str">
            <v>AGRO15</v>
          </cell>
          <cell r="M216" t="str">
            <v>Agro Tiara Jaya</v>
          </cell>
          <cell r="N216" t="str">
            <v>Tiara Nusa Agro Gemilang, PT</v>
          </cell>
          <cell r="O216" t="str">
            <v>Jl. Raya Jember No.59, Setail, Genteng Kab. Banyuwangi</v>
          </cell>
          <cell r="P216" t="str">
            <v>Banyuwangi</v>
          </cell>
          <cell r="Q216" t="str">
            <v>Jl. Raya Jember No.59, Setail, Genteng Kab. Banyuwangi</v>
          </cell>
          <cell r="R216" t="str">
            <v>Banyuwangi</v>
          </cell>
          <cell r="S216" t="str">
            <v>H Bwi2</v>
          </cell>
          <cell r="T216" t="str">
            <v>Hafid</v>
          </cell>
          <cell r="U216">
            <v>60</v>
          </cell>
        </row>
        <row r="217">
          <cell r="E217" t="str">
            <v>B25007487</v>
          </cell>
          <cell r="F217"/>
          <cell r="G217">
            <v>1000000000</v>
          </cell>
          <cell r="H217" t="str">
            <v>Faris</v>
          </cell>
          <cell r="I217" t="str">
            <v>Syahra</v>
          </cell>
          <cell r="J217"/>
          <cell r="K217" t="str">
            <v>KU</v>
          </cell>
          <cell r="L217" t="str">
            <v>AGRO15</v>
          </cell>
          <cell r="M217" t="str">
            <v>Agro Tiara Jaya</v>
          </cell>
          <cell r="N217" t="str">
            <v>Tiara Nusa Agro Gemilang, PT</v>
          </cell>
          <cell r="O217" t="str">
            <v>Jl. Raya Jember No.59, Setail, Genteng Kab. Banyuwangi</v>
          </cell>
          <cell r="P217" t="str">
            <v>Banyuwangi</v>
          </cell>
          <cell r="Q217" t="str">
            <v>Jl. Raya Jember No.59, Setail, Genteng Kab. Banyuwangi</v>
          </cell>
          <cell r="R217" t="str">
            <v>Banyuwangi</v>
          </cell>
          <cell r="S217" t="str">
            <v>H Bwi2</v>
          </cell>
          <cell r="T217" t="str">
            <v>Hafid</v>
          </cell>
          <cell r="U217">
            <v>60</v>
          </cell>
        </row>
        <row r="218">
          <cell r="E218" t="str">
            <v>D25009379</v>
          </cell>
          <cell r="F218"/>
          <cell r="G218">
            <v>1000000000</v>
          </cell>
          <cell r="H218" t="str">
            <v>Faris</v>
          </cell>
          <cell r="I218" t="str">
            <v>Syahra</v>
          </cell>
          <cell r="J218"/>
          <cell r="K218" t="str">
            <v>KU</v>
          </cell>
          <cell r="L218" t="str">
            <v>AGRO15</v>
          </cell>
          <cell r="M218" t="str">
            <v>Agro Tiara Jaya</v>
          </cell>
          <cell r="N218" t="str">
            <v>Tiara Nusa Agro Gemilang, PT</v>
          </cell>
          <cell r="O218" t="str">
            <v>Jl. Raya Jember No.59, Setail, Genteng Kab. Banyuwangi</v>
          </cell>
          <cell r="P218" t="str">
            <v>Banyuwangi</v>
          </cell>
          <cell r="Q218" t="str">
            <v>Jl. Raya Jember No.59, Setail, Genteng Kab. Banyuwangi</v>
          </cell>
          <cell r="R218" t="str">
            <v>Banyuwangi</v>
          </cell>
          <cell r="S218" t="str">
            <v>H Bwi2</v>
          </cell>
          <cell r="T218" t="str">
            <v>Hafid</v>
          </cell>
          <cell r="U218">
            <v>60</v>
          </cell>
        </row>
        <row r="219">
          <cell r="E219" t="str">
            <v>D25010131</v>
          </cell>
          <cell r="F219"/>
          <cell r="G219">
            <v>1000000000</v>
          </cell>
          <cell r="H219" t="str">
            <v>Faris</v>
          </cell>
          <cell r="I219" t="str">
            <v>Syahra</v>
          </cell>
          <cell r="J219"/>
          <cell r="K219" t="str">
            <v>KU</v>
          </cell>
          <cell r="L219" t="str">
            <v>AGRO15</v>
          </cell>
          <cell r="M219" t="str">
            <v>Agro Tiara Jaya</v>
          </cell>
          <cell r="N219" t="str">
            <v>Tiara Nusa Agro Gemilang, PT</v>
          </cell>
          <cell r="O219" t="str">
            <v>Jl. Raya Jember No.59, Setail, Genteng Kab. Banyuwangi</v>
          </cell>
          <cell r="P219" t="str">
            <v>Banyuwangi</v>
          </cell>
          <cell r="Q219" t="str">
            <v>Jl. Raya Jember No.59, Setail, Genteng Kab. Banyuwangi</v>
          </cell>
          <cell r="R219" t="str">
            <v>Banyuwangi</v>
          </cell>
          <cell r="S219" t="str">
            <v>H Bwi2</v>
          </cell>
          <cell r="T219" t="str">
            <v>Hafid</v>
          </cell>
          <cell r="U219">
            <v>60</v>
          </cell>
        </row>
        <row r="220">
          <cell r="E220" t="str">
            <v>D25013185</v>
          </cell>
          <cell r="F220"/>
          <cell r="G220">
            <v>1000000000</v>
          </cell>
          <cell r="H220" t="str">
            <v>Faris</v>
          </cell>
          <cell r="I220" t="str">
            <v>Syahra</v>
          </cell>
          <cell r="J220"/>
          <cell r="K220" t="str">
            <v>KU</v>
          </cell>
          <cell r="L220" t="str">
            <v>AGRO15</v>
          </cell>
          <cell r="M220" t="str">
            <v>Agro Tiara Jaya</v>
          </cell>
          <cell r="N220" t="str">
            <v>Tiara Nusa Agro Gemilang, PT</v>
          </cell>
          <cell r="O220" t="str">
            <v>Jl. Raya Jember No.59, Setail, Genteng Kab. Banyuwangi</v>
          </cell>
          <cell r="P220" t="str">
            <v>Banyuwangi</v>
          </cell>
          <cell r="Q220" t="str">
            <v>Jl. Raya Jember No.59, Setail, Genteng Kab. Banyuwangi</v>
          </cell>
          <cell r="R220" t="str">
            <v>Banyuwangi</v>
          </cell>
          <cell r="S220" t="str">
            <v>H Bwi2</v>
          </cell>
          <cell r="T220" t="str">
            <v>Hafid</v>
          </cell>
          <cell r="U220">
            <v>60</v>
          </cell>
        </row>
        <row r="221">
          <cell r="E221" t="str">
            <v>C25000849</v>
          </cell>
          <cell r="F221"/>
          <cell r="G221">
            <v>1000</v>
          </cell>
          <cell r="H221" t="str">
            <v>Yuyun</v>
          </cell>
          <cell r="I221" t="str">
            <v>Farida</v>
          </cell>
          <cell r="J221"/>
          <cell r="K221" t="str">
            <v>Lobi</v>
          </cell>
          <cell r="L221" t="str">
            <v>AGRO38</v>
          </cell>
          <cell r="M221" t="str">
            <v>Agro Timur</v>
          </cell>
          <cell r="N221" t="str">
            <v>Akhmad Kusyairi Ali</v>
          </cell>
          <cell r="O221" t="str">
            <v>Dsn. Klanceng, RT.004/RW.001 Kel. Kemal, Kec. Arjasa</v>
          </cell>
          <cell r="P221" t="str">
            <v>Jember</v>
          </cell>
          <cell r="Q221" t="str">
            <v>Dsn. Klanceng, RT.004/RW.001 Kel. Kemal, Kec. Arjasa</v>
          </cell>
          <cell r="R221" t="str">
            <v>Jember</v>
          </cell>
          <cell r="S221" t="str">
            <v>L Kota1</v>
          </cell>
          <cell r="T221" t="str">
            <v>Wira</v>
          </cell>
          <cell r="U221">
            <v>0</v>
          </cell>
        </row>
        <row r="222">
          <cell r="E222" t="str">
            <v>T25001468</v>
          </cell>
          <cell r="F222"/>
          <cell r="G222">
            <v>300000000</v>
          </cell>
          <cell r="H222" t="str">
            <v>Faris</v>
          </cell>
          <cell r="I222" t="str">
            <v>Syahra</v>
          </cell>
          <cell r="J222"/>
          <cell r="K222" t="str">
            <v>Tunai</v>
          </cell>
          <cell r="L222" t="str">
            <v>AGRO16</v>
          </cell>
          <cell r="M222" t="str">
            <v>Agro Tropica Raya</v>
          </cell>
          <cell r="N222" t="str">
            <v>Yuli Purwo Suwito</v>
          </cell>
          <cell r="O222" t="str">
            <v>Dsn. Sumbermulyo, RT.044/RW.007, Kel. Tegaldlimo, Kec. Tegal Dlimo</v>
          </cell>
          <cell r="P222" t="str">
            <v>Banyuwangi</v>
          </cell>
          <cell r="Q222" t="str">
            <v>Utara Koramil, Tegaldlimo</v>
          </cell>
          <cell r="R222" t="str">
            <v>Banyuwangi</v>
          </cell>
          <cell r="S222" t="str">
            <v>H Bwi3</v>
          </cell>
          <cell r="T222" t="str">
            <v>Hafid</v>
          </cell>
          <cell r="U222">
            <v>60</v>
          </cell>
        </row>
        <row r="223">
          <cell r="E223" t="str">
            <v>B25012964</v>
          </cell>
          <cell r="F223"/>
          <cell r="G223">
            <v>300000000</v>
          </cell>
          <cell r="H223" t="str">
            <v>Faris</v>
          </cell>
          <cell r="I223" t="str">
            <v>Syahra</v>
          </cell>
          <cell r="J223"/>
          <cell r="K223" t="str">
            <v>Tunai</v>
          </cell>
          <cell r="L223" t="str">
            <v>AGRO16</v>
          </cell>
          <cell r="M223" t="str">
            <v>Agro Tropica Raya</v>
          </cell>
          <cell r="N223" t="str">
            <v>Yuli Purwo Suwito</v>
          </cell>
          <cell r="O223" t="str">
            <v>Dsn. Sumbermulyo, RT.044/RW.007, Kel. Tegaldlimo, Kec. Tegal Dlimo</v>
          </cell>
          <cell r="P223" t="str">
            <v>Banyuwangi</v>
          </cell>
          <cell r="Q223" t="str">
            <v>Utara Koramil, Tegaldlimo</v>
          </cell>
          <cell r="R223" t="str">
            <v>Banyuwangi</v>
          </cell>
          <cell r="S223" t="str">
            <v>H Bwi3</v>
          </cell>
          <cell r="T223" t="str">
            <v>Hafid</v>
          </cell>
          <cell r="U223">
            <v>60</v>
          </cell>
        </row>
        <row r="224">
          <cell r="E224" t="str">
            <v>B25013290</v>
          </cell>
          <cell r="F224"/>
          <cell r="G224">
            <v>300000000</v>
          </cell>
          <cell r="H224" t="str">
            <v>Faris</v>
          </cell>
          <cell r="I224" t="str">
            <v>Syahra</v>
          </cell>
          <cell r="J224"/>
          <cell r="K224" t="str">
            <v>Tunai</v>
          </cell>
          <cell r="L224" t="str">
            <v>AGRO16</v>
          </cell>
          <cell r="M224" t="str">
            <v>Agro Tropica Raya</v>
          </cell>
          <cell r="N224" t="str">
            <v>Yuli Purwo Suwito</v>
          </cell>
          <cell r="O224" t="str">
            <v>Dsn. Sumbermulyo, RT.044/RW.007, Kel. Tegaldlimo, Kec. Tegal Dlimo</v>
          </cell>
          <cell r="P224" t="str">
            <v>Banyuwangi</v>
          </cell>
          <cell r="Q224" t="str">
            <v>Utara Koramil, Tegaldlimo</v>
          </cell>
          <cell r="R224" t="str">
            <v>Banyuwangi</v>
          </cell>
          <cell r="S224" t="str">
            <v>H Bwi3</v>
          </cell>
          <cell r="T224" t="str">
            <v>Hafid</v>
          </cell>
          <cell r="U224">
            <v>30</v>
          </cell>
        </row>
        <row r="225">
          <cell r="E225" t="str">
            <v>D25015362</v>
          </cell>
          <cell r="F225"/>
          <cell r="G225">
            <v>1000</v>
          </cell>
          <cell r="H225" t="str">
            <v>Reni</v>
          </cell>
          <cell r="I225" t="str">
            <v>Farida</v>
          </cell>
          <cell r="J225" t="str">
            <v>New 06/06/24</v>
          </cell>
          <cell r="K225" t="str">
            <v>CBD</v>
          </cell>
          <cell r="L225" t="str">
            <v>AGRO63</v>
          </cell>
          <cell r="M225" t="str">
            <v>Agrotane/Heru</v>
          </cell>
          <cell r="N225" t="str">
            <v>Heru Setiawan</v>
          </cell>
          <cell r="O225" t="str">
            <v>Jl. MT. Haryono III/28A RT.001/RW.004, Kel. Ploso, Kec. Nganjuk</v>
          </cell>
          <cell r="P225" t="str">
            <v>Nganjuk</v>
          </cell>
          <cell r="Q225" t="str">
            <v>Jl. Letjen MT Haryono III No. 28A, Kel. Ploso, Kec. Nganjuk</v>
          </cell>
          <cell r="R225" t="str">
            <v>Nganjuk</v>
          </cell>
          <cell r="S225" t="str">
            <v>D Barat1</v>
          </cell>
          <cell r="T225" t="str">
            <v>Dian</v>
          </cell>
          <cell r="U225">
            <v>0</v>
          </cell>
        </row>
        <row r="226">
          <cell r="E226" t="str">
            <v>B25013179</v>
          </cell>
          <cell r="F226"/>
          <cell r="G226">
            <v>1000</v>
          </cell>
          <cell r="H226" t="str">
            <v>Reni</v>
          </cell>
          <cell r="I226" t="str">
            <v>Farida</v>
          </cell>
          <cell r="J226" t="str">
            <v>New 06/06/24</v>
          </cell>
          <cell r="K226" t="str">
            <v>CBD</v>
          </cell>
          <cell r="L226" t="str">
            <v>AGRO63</v>
          </cell>
          <cell r="M226" t="str">
            <v>Agrotane/Heru</v>
          </cell>
          <cell r="N226" t="str">
            <v>Heru Setiawan</v>
          </cell>
          <cell r="O226" t="str">
            <v>Jl. MT. Haryono III/28A RT.001/RW.004, Kel. Ploso, Kec. Nganjuk</v>
          </cell>
          <cell r="P226" t="str">
            <v>Nganjuk</v>
          </cell>
          <cell r="Q226" t="str">
            <v>Jl. Letjen MT Haryono III No. 28A, Kel. Ploso, Kec. Nganjuk</v>
          </cell>
          <cell r="R226" t="str">
            <v>Nganjuk</v>
          </cell>
          <cell r="S226" t="str">
            <v>D Barat1</v>
          </cell>
          <cell r="T226" t="str">
            <v>Dian</v>
          </cell>
          <cell r="U226">
            <v>0</v>
          </cell>
        </row>
        <row r="227">
          <cell r="E227" t="str">
            <v>B25013421</v>
          </cell>
          <cell r="F227"/>
          <cell r="G227">
            <v>1000</v>
          </cell>
          <cell r="H227" t="str">
            <v>Reni</v>
          </cell>
          <cell r="I227" t="str">
            <v>Farida</v>
          </cell>
          <cell r="J227" t="str">
            <v>New 06/06/24</v>
          </cell>
          <cell r="K227" t="str">
            <v>CBD</v>
          </cell>
          <cell r="L227" t="str">
            <v>AGRO63</v>
          </cell>
          <cell r="M227" t="str">
            <v>Agrotane/Heru</v>
          </cell>
          <cell r="N227" t="str">
            <v>Heru Setiawan</v>
          </cell>
          <cell r="O227" t="str">
            <v>Jl. MT. Haryono III/28A RT.001/RW.004, Kel. Ploso, Kec. Nganjuk</v>
          </cell>
          <cell r="P227" t="str">
            <v>Nganjuk</v>
          </cell>
          <cell r="Q227" t="str">
            <v>Jl. Letjen MT Haryono III No. 28A, Kel. Ploso, Kec. Nganjuk</v>
          </cell>
          <cell r="R227" t="str">
            <v>Nganjuk</v>
          </cell>
          <cell r="S227" t="str">
            <v>D Barat1</v>
          </cell>
          <cell r="T227" t="str">
            <v>Dian</v>
          </cell>
          <cell r="U227">
            <v>0</v>
          </cell>
        </row>
        <row r="228">
          <cell r="E228" t="str">
            <v>B25013517</v>
          </cell>
          <cell r="F228"/>
          <cell r="G228">
            <v>1000</v>
          </cell>
          <cell r="H228" t="str">
            <v>Reni</v>
          </cell>
          <cell r="I228" t="str">
            <v>Farida</v>
          </cell>
          <cell r="J228" t="str">
            <v>New 06/06/24</v>
          </cell>
          <cell r="K228" t="str">
            <v>CBD</v>
          </cell>
          <cell r="L228" t="str">
            <v>AGRO63</v>
          </cell>
          <cell r="M228" t="str">
            <v>Agrotane/Heru</v>
          </cell>
          <cell r="N228" t="str">
            <v>Heru Setiawan</v>
          </cell>
          <cell r="O228" t="str">
            <v>Jl. MT. Haryono III/28A RT.001/RW.004, Kel. Ploso, Kec. Nganjuk</v>
          </cell>
          <cell r="P228" t="str">
            <v>Nganjuk</v>
          </cell>
          <cell r="Q228" t="str">
            <v>Jl. Letjen MT Haryono III No. 28A, Kel. Ploso, Kec. Nganjuk</v>
          </cell>
          <cell r="R228" t="str">
            <v>Nganjuk</v>
          </cell>
          <cell r="S228" t="str">
            <v>D Barat1</v>
          </cell>
          <cell r="T228" t="str">
            <v>Dian</v>
          </cell>
          <cell r="U228">
            <v>0</v>
          </cell>
        </row>
        <row r="229">
          <cell r="E229" t="str">
            <v>D25015824</v>
          </cell>
          <cell r="F229"/>
          <cell r="G229">
            <v>1000</v>
          </cell>
          <cell r="H229" t="str">
            <v>Reni</v>
          </cell>
          <cell r="I229" t="str">
            <v>Farida</v>
          </cell>
          <cell r="J229" t="str">
            <v>New 06/06/24</v>
          </cell>
          <cell r="K229" t="str">
            <v>CBD</v>
          </cell>
          <cell r="L229" t="str">
            <v>AGRO63</v>
          </cell>
          <cell r="M229" t="str">
            <v>Agrotane/Heru</v>
          </cell>
          <cell r="N229" t="str">
            <v>Heru Setiawan</v>
          </cell>
          <cell r="O229" t="str">
            <v>Jl. MT. Haryono III/28A RT.001/RW.004, Kel. Ploso, Kec. Nganjuk</v>
          </cell>
          <cell r="P229" t="str">
            <v>Nganjuk</v>
          </cell>
          <cell r="Q229" t="str">
            <v>Jl. Letjen MT Haryono III No. 28A, Kel. Ploso, Kec. Nganjuk</v>
          </cell>
          <cell r="R229" t="str">
            <v>Nganjuk</v>
          </cell>
          <cell r="S229" t="str">
            <v>D Barat1</v>
          </cell>
          <cell r="T229" t="str">
            <v>Dian</v>
          </cell>
          <cell r="U229">
            <v>0</v>
          </cell>
        </row>
        <row r="230">
          <cell r="E230" t="str">
            <v>D25010455</v>
          </cell>
          <cell r="F230"/>
          <cell r="G230">
            <v>1000</v>
          </cell>
          <cell r="H230" t="str">
            <v>Yuyun</v>
          </cell>
          <cell r="I230" t="str">
            <v>Syahra</v>
          </cell>
          <cell r="J230" t="str">
            <v>New 14/07/25</v>
          </cell>
          <cell r="K230" t="str">
            <v>KU</v>
          </cell>
          <cell r="L230" t="str">
            <v>AGUN24</v>
          </cell>
          <cell r="M230" t="str">
            <v>Agung/Excel</v>
          </cell>
          <cell r="N230" t="str">
            <v>Agung Edi Basuki</v>
          </cell>
          <cell r="O230" t="str">
            <v xml:space="preserve">Jl. Diponegoro No. 132, Lingk Pande Kel. Semarapura Klod Kangin, Kec. Klungkung </v>
          </cell>
          <cell r="P230" t="str">
            <v>Bali</v>
          </cell>
          <cell r="Q230" t="str">
            <v xml:space="preserve">Jl. Diponegoro No. 132, Lingk Pande Kel. Semarapura Klod Kangin, Kec. Klungkung </v>
          </cell>
          <cell r="R230" t="str">
            <v>Bali</v>
          </cell>
          <cell r="S230" t="str">
            <v>B Agronomis</v>
          </cell>
          <cell r="T230" t="str">
            <v>Wira</v>
          </cell>
          <cell r="U230">
            <v>30</v>
          </cell>
        </row>
        <row r="231">
          <cell r="E231" t="str">
            <v>D25010456</v>
          </cell>
          <cell r="F231"/>
          <cell r="G231">
            <v>1000</v>
          </cell>
          <cell r="H231" t="str">
            <v>Yuyun</v>
          </cell>
          <cell r="I231" t="str">
            <v>Syahra</v>
          </cell>
          <cell r="J231" t="str">
            <v>New 14/07/25</v>
          </cell>
          <cell r="K231" t="str">
            <v>KU</v>
          </cell>
          <cell r="L231" t="str">
            <v>AGUN24</v>
          </cell>
          <cell r="M231" t="str">
            <v>Agung/Excel</v>
          </cell>
          <cell r="N231" t="str">
            <v>Agung Edi Basuki</v>
          </cell>
          <cell r="O231" t="str">
            <v xml:space="preserve">Jl. Diponegoro No. 132, Lingk Pande Kel. Semarapura Klod Kangin, Kec. Klungkung </v>
          </cell>
          <cell r="P231" t="str">
            <v>Bali</v>
          </cell>
          <cell r="Q231" t="str">
            <v xml:space="preserve">Jl. Diponegoro No. 132, Lingk Pande Kel. Semarapura Klod Kangin, Kec. Klungkung </v>
          </cell>
          <cell r="R231" t="str">
            <v>Bali</v>
          </cell>
          <cell r="S231" t="str">
            <v>B Agronomis</v>
          </cell>
          <cell r="T231" t="str">
            <v>Wira</v>
          </cell>
          <cell r="U231">
            <v>30</v>
          </cell>
        </row>
        <row r="232">
          <cell r="E232" t="str">
            <v>D25010456</v>
          </cell>
          <cell r="F232"/>
          <cell r="G232">
            <v>1000</v>
          </cell>
          <cell r="H232" t="str">
            <v>Yuyun</v>
          </cell>
          <cell r="I232" t="str">
            <v>Syahra</v>
          </cell>
          <cell r="J232" t="str">
            <v>New 14/07/25</v>
          </cell>
          <cell r="K232" t="str">
            <v>KU</v>
          </cell>
          <cell r="L232" t="str">
            <v>AGUN24</v>
          </cell>
          <cell r="M232" t="str">
            <v>Agung/Excel</v>
          </cell>
          <cell r="N232" t="str">
            <v>Agung Edi Basuki</v>
          </cell>
          <cell r="O232" t="str">
            <v xml:space="preserve">Jl. Diponegoro No. 132, Lingk Pande Kel. Semarapura Klod Kangin, Kec. Klungkung </v>
          </cell>
          <cell r="P232" t="str">
            <v>Bali</v>
          </cell>
          <cell r="Q232" t="str">
            <v xml:space="preserve">Jl. Diponegoro No. 132, Lingk Pande Kel. Semarapura Klod Kangin, Kec. Klungkung </v>
          </cell>
          <cell r="R232" t="str">
            <v>Bali</v>
          </cell>
          <cell r="S232" t="str">
            <v>B Agronomis</v>
          </cell>
          <cell r="T232" t="str">
            <v>Wira</v>
          </cell>
          <cell r="U232">
            <v>30</v>
          </cell>
        </row>
        <row r="233">
          <cell r="E233" t="str">
            <v>C25000865</v>
          </cell>
          <cell r="F233"/>
          <cell r="G233">
            <v>1000</v>
          </cell>
          <cell r="H233" t="str">
            <v>Yuyun</v>
          </cell>
          <cell r="I233" t="str">
            <v>Syahra</v>
          </cell>
          <cell r="J233" t="str">
            <v>New 14/07/25</v>
          </cell>
          <cell r="K233" t="str">
            <v>KU</v>
          </cell>
          <cell r="L233" t="str">
            <v>AGUN24</v>
          </cell>
          <cell r="M233" t="str">
            <v>Agung/Excel</v>
          </cell>
          <cell r="N233" t="str">
            <v>Agung Edi Basuki</v>
          </cell>
          <cell r="O233" t="str">
            <v xml:space="preserve">Jl. Diponegoro No. 132, Lingk Pande Kel. Semarapura Klod Kangin, Kec. Klungkung </v>
          </cell>
          <cell r="P233" t="str">
            <v>Bali</v>
          </cell>
          <cell r="Q233" t="str">
            <v xml:space="preserve">Jl. Diponegoro No. 132, Lingk Pande Kel. Semarapura Klod Kangin, Kec. Klungkung </v>
          </cell>
          <cell r="R233" t="str">
            <v>Bali</v>
          </cell>
          <cell r="S233" t="str">
            <v>B Agronomis</v>
          </cell>
          <cell r="T233" t="str">
            <v>Wira</v>
          </cell>
          <cell r="U233">
            <v>0</v>
          </cell>
        </row>
        <row r="234">
          <cell r="E234" t="str">
            <v>C25000732</v>
          </cell>
          <cell r="F234"/>
          <cell r="G234">
            <v>50000000</v>
          </cell>
          <cell r="H234" t="str">
            <v>Yuyun</v>
          </cell>
          <cell r="I234" t="str">
            <v>Syahra</v>
          </cell>
          <cell r="J234"/>
          <cell r="K234" t="str">
            <v>KU</v>
          </cell>
          <cell r="L234" t="str">
            <v>AGUS06</v>
          </cell>
          <cell r="M234" t="str">
            <v>Agus/Nufarm</v>
          </cell>
          <cell r="N234" t="str">
            <v>Agus Supriyadi</v>
          </cell>
          <cell r="O234" t="str">
            <v>Jl. Ambulu Dsn. Bandi Alit RT.003 RW.005 Andongrejo, Tempurejo</v>
          </cell>
          <cell r="P234" t="str">
            <v>Jember</v>
          </cell>
          <cell r="Q234" t="str">
            <v>Jl. Ambulu Dsn. Bandi Alit RT.003 RW.005 Andongrejo, Tempurejo</v>
          </cell>
          <cell r="R234" t="str">
            <v>Jember</v>
          </cell>
          <cell r="S234" t="str">
            <v>B Agronomis</v>
          </cell>
          <cell r="T234" t="str">
            <v>Wira</v>
          </cell>
          <cell r="U234">
            <v>30</v>
          </cell>
        </row>
        <row r="235">
          <cell r="E235" t="str">
            <v>B25012075</v>
          </cell>
          <cell r="F235"/>
          <cell r="G235">
            <v>50000000</v>
          </cell>
          <cell r="H235" t="str">
            <v>Yuyun</v>
          </cell>
          <cell r="I235" t="str">
            <v>Syahra</v>
          </cell>
          <cell r="J235"/>
          <cell r="K235" t="str">
            <v>KU</v>
          </cell>
          <cell r="L235" t="str">
            <v>AGUS06</v>
          </cell>
          <cell r="M235" t="str">
            <v>Agus/Nufarm</v>
          </cell>
          <cell r="N235" t="str">
            <v>Agus Supriyadi</v>
          </cell>
          <cell r="O235" t="str">
            <v>Jl. Ambulu Dsn. Bandi Alit RT.003 RW.005 Andongrejo, Tempurejo</v>
          </cell>
          <cell r="P235" t="str">
            <v>Jember</v>
          </cell>
          <cell r="Q235" t="str">
            <v>Jl. Ambulu Dsn. Bandi Alit RT.003 RW.005 Andongrejo, Tempurejo</v>
          </cell>
          <cell r="R235" t="str">
            <v>Jember</v>
          </cell>
          <cell r="S235" t="str">
            <v>B Agronomis</v>
          </cell>
          <cell r="T235" t="str">
            <v>Wira</v>
          </cell>
          <cell r="U235">
            <v>30</v>
          </cell>
        </row>
        <row r="236">
          <cell r="E236" t="str">
            <v>D25006840</v>
          </cell>
          <cell r="F236"/>
          <cell r="G236">
            <v>1000</v>
          </cell>
          <cell r="H236" t="str">
            <v>Yuyun</v>
          </cell>
          <cell r="I236" t="str">
            <v>Syahra</v>
          </cell>
          <cell r="J236"/>
          <cell r="K236" t="str">
            <v>KU</v>
          </cell>
          <cell r="L236" t="str">
            <v>AHMA16</v>
          </cell>
          <cell r="M236" t="str">
            <v>Ahmad Arief/Syn</v>
          </cell>
          <cell r="N236" t="str">
            <v>Ahmad Arief</v>
          </cell>
          <cell r="O236" t="str">
            <v>Perum Dharma Alam Blok.Z-18 RT.004/RW.014, Kel. Sempusari, Kec. Kaliwates</v>
          </cell>
          <cell r="P236" t="str">
            <v>Jember</v>
          </cell>
          <cell r="Q236" t="str">
            <v>Perum Dharma Alam Blok.Z-18 RT.004/RW.014, Kel. Sempusari, Kec. Kaliwates</v>
          </cell>
          <cell r="R236" t="str">
            <v>Jember</v>
          </cell>
          <cell r="S236" t="str">
            <v>B Agronomis</v>
          </cell>
          <cell r="T236" t="str">
            <v>Wira</v>
          </cell>
          <cell r="U236">
            <v>60</v>
          </cell>
        </row>
        <row r="237">
          <cell r="E237" t="str">
            <v>B25013707</v>
          </cell>
          <cell r="F237"/>
          <cell r="G237">
            <v>1000</v>
          </cell>
          <cell r="H237" t="str">
            <v>Yuyun</v>
          </cell>
          <cell r="I237" t="str">
            <v>Farida</v>
          </cell>
          <cell r="J237"/>
          <cell r="K237" t="str">
            <v>KU</v>
          </cell>
          <cell r="L237" t="str">
            <v>AHMA32</v>
          </cell>
          <cell r="M237" t="str">
            <v>Ahmad EM4/Holifa</v>
          </cell>
          <cell r="N237" t="str">
            <v>Holifa</v>
          </cell>
          <cell r="O237" t="str">
            <v>Dusun Kidul Pasar RT.001/RW.017, Kel. Rambipuji, Kec. Rambipuji</v>
          </cell>
          <cell r="P237" t="str">
            <v>Jember</v>
          </cell>
          <cell r="Q237" t="str">
            <v>Dusun Kidul Pasar RT.001/RW.017, Kel. Rambipuji, Kec. Rambipuji</v>
          </cell>
          <cell r="R237" t="str">
            <v>Jember</v>
          </cell>
          <cell r="S237" t="str">
            <v>L Kota3</v>
          </cell>
          <cell r="T237" t="str">
            <v>Wira</v>
          </cell>
          <cell r="U237">
            <v>0</v>
          </cell>
        </row>
        <row r="238">
          <cell r="E238" t="str">
            <v>B25012961</v>
          </cell>
          <cell r="F238"/>
          <cell r="G238">
            <v>10000000</v>
          </cell>
          <cell r="H238" t="str">
            <v>Yuyun</v>
          </cell>
          <cell r="I238" t="str">
            <v>Syahra</v>
          </cell>
          <cell r="J238"/>
          <cell r="K238" t="str">
            <v>KU</v>
          </cell>
          <cell r="L238" t="str">
            <v>AHMA03</v>
          </cell>
          <cell r="M238" t="str">
            <v>Ahmad Fathorrosi/MKD</v>
          </cell>
          <cell r="N238" t="str">
            <v>Ahmad Fathorrosi</v>
          </cell>
          <cell r="O238" t="str">
            <v>Dsn. Pontang Krajan, RT.013/RW.004, Kel. Pontang, Kec. Ambulu</v>
          </cell>
          <cell r="P238" t="str">
            <v>Jember</v>
          </cell>
          <cell r="Q238" t="str">
            <v>Pontang</v>
          </cell>
          <cell r="R238" t="str">
            <v>Jember</v>
          </cell>
          <cell r="S238" t="str">
            <v>B Agronomis</v>
          </cell>
          <cell r="T238" t="str">
            <v>Wira</v>
          </cell>
          <cell r="U238">
            <v>30</v>
          </cell>
        </row>
        <row r="239">
          <cell r="E239" t="str">
            <v>B25013055</v>
          </cell>
          <cell r="F239"/>
          <cell r="G239">
            <v>10000000</v>
          </cell>
          <cell r="H239" t="str">
            <v>Yuyun</v>
          </cell>
          <cell r="I239" t="str">
            <v>Syahra</v>
          </cell>
          <cell r="J239"/>
          <cell r="K239" t="str">
            <v>KU</v>
          </cell>
          <cell r="L239" t="str">
            <v>AHMA03</v>
          </cell>
          <cell r="M239" t="str">
            <v>Ahmad Fathorrosi/MKD</v>
          </cell>
          <cell r="N239" t="str">
            <v>Ahmad Fathorrosi</v>
          </cell>
          <cell r="O239" t="str">
            <v>Dsn. Pontang Krajan, RT.013/RW.004, Kel. Pontang, Kec. Ambulu</v>
          </cell>
          <cell r="P239" t="str">
            <v>Jember</v>
          </cell>
          <cell r="Q239" t="str">
            <v>Pontang</v>
          </cell>
          <cell r="R239" t="str">
            <v>Jember</v>
          </cell>
          <cell r="S239" t="str">
            <v>B Agronomis</v>
          </cell>
          <cell r="T239" t="str">
            <v>Wira</v>
          </cell>
          <cell r="U239">
            <v>30</v>
          </cell>
        </row>
        <row r="240">
          <cell r="E240" t="str">
            <v>B25013735</v>
          </cell>
          <cell r="F240"/>
          <cell r="G240">
            <v>10000000</v>
          </cell>
          <cell r="H240" t="str">
            <v>Yuyun</v>
          </cell>
          <cell r="I240" t="str">
            <v>Syahra</v>
          </cell>
          <cell r="J240"/>
          <cell r="K240" t="str">
            <v>KU</v>
          </cell>
          <cell r="L240" t="str">
            <v>AHMA03</v>
          </cell>
          <cell r="M240" t="str">
            <v>Ahmad Fathorrosi/MKD</v>
          </cell>
          <cell r="N240" t="str">
            <v>Ahmad Fathorrosi</v>
          </cell>
          <cell r="O240" t="str">
            <v>Dsn. Pontang Krajan, RT.013/RW.004, Kel. Pontang, Kec. Ambulu</v>
          </cell>
          <cell r="P240" t="str">
            <v>Jember</v>
          </cell>
          <cell r="Q240" t="str">
            <v>Pontang</v>
          </cell>
          <cell r="R240" t="str">
            <v>Jember</v>
          </cell>
          <cell r="S240" t="str">
            <v>B Agronomis</v>
          </cell>
          <cell r="T240" t="str">
            <v>Wira</v>
          </cell>
          <cell r="U240">
            <v>30</v>
          </cell>
        </row>
        <row r="241">
          <cell r="E241" t="str">
            <v>D25014881</v>
          </cell>
          <cell r="F241"/>
          <cell r="G241">
            <v>1000</v>
          </cell>
          <cell r="H241" t="str">
            <v>Faris</v>
          </cell>
          <cell r="I241" t="str">
            <v>Syahra</v>
          </cell>
          <cell r="J241" t="str">
            <v>New 18/03/25</v>
          </cell>
          <cell r="K241" t="str">
            <v>CBD</v>
          </cell>
          <cell r="L241" t="str">
            <v>AHMA70</v>
          </cell>
          <cell r="M241" t="str">
            <v>Ahmad Mahsun Fuadi</v>
          </cell>
          <cell r="N241" t="str">
            <v>Ahmad Mahsun Fuadi</v>
          </cell>
          <cell r="O241" t="str">
            <v>Dusun Krajan RT.001/RW.008 , Kel. Sraten Kec. Cluring</v>
          </cell>
          <cell r="P241" t="str">
            <v>Banyuwangi</v>
          </cell>
          <cell r="Q241" t="str">
            <v>Dusun Krajan RT.001/RW.008 , Kel. Sraten Kec. Cluring</v>
          </cell>
          <cell r="R241" t="str">
            <v>Banyuwangi</v>
          </cell>
          <cell r="S241" t="str">
            <v>H Bwi3</v>
          </cell>
          <cell r="T241" t="str">
            <v>Hafid</v>
          </cell>
          <cell r="U241">
            <v>0</v>
          </cell>
        </row>
        <row r="242">
          <cell r="E242" t="str">
            <v>B25012715</v>
          </cell>
          <cell r="F242"/>
          <cell r="G242">
            <v>1000</v>
          </cell>
          <cell r="H242" t="str">
            <v>Faris</v>
          </cell>
          <cell r="I242" t="str">
            <v>Syahra</v>
          </cell>
          <cell r="J242" t="str">
            <v>New 18/03/25</v>
          </cell>
          <cell r="K242" t="str">
            <v>CBD</v>
          </cell>
          <cell r="L242" t="str">
            <v>AHMA70</v>
          </cell>
          <cell r="M242" t="str">
            <v>Ahmad Mahsun Fuadi</v>
          </cell>
          <cell r="N242" t="str">
            <v>Ahmad Mahsun Fuadi</v>
          </cell>
          <cell r="O242" t="str">
            <v>Dusun Krajan RT.001/RW.008 , Kel. Sraten Kec. Cluring</v>
          </cell>
          <cell r="P242" t="str">
            <v>Banyuwangi</v>
          </cell>
          <cell r="Q242" t="str">
            <v>Dusun Krajan RT.001/RW.008 , Kel. Sraten Kec. Cluring</v>
          </cell>
          <cell r="R242" t="str">
            <v>Banyuwangi</v>
          </cell>
          <cell r="S242" t="str">
            <v>H Bwi3</v>
          </cell>
          <cell r="T242" t="str">
            <v>Hafid</v>
          </cell>
          <cell r="U242">
            <v>0</v>
          </cell>
        </row>
        <row r="243">
          <cell r="E243" t="str">
            <v>L23000053</v>
          </cell>
          <cell r="F243"/>
          <cell r="G243">
            <v>1000</v>
          </cell>
          <cell r="H243" t="str">
            <v>Hendra</v>
          </cell>
          <cell r="I243" t="str">
            <v>Tiya</v>
          </cell>
          <cell r="J243" t="str">
            <v xml:space="preserve"> new 02/10/2023</v>
          </cell>
          <cell r="K243" t="str">
            <v>KU</v>
          </cell>
          <cell r="L243" t="str">
            <v>AHMA47</v>
          </cell>
          <cell r="M243" t="str">
            <v>Ahmad Muhlisin</v>
          </cell>
          <cell r="N243" t="str">
            <v>Ahmad Muhlisin</v>
          </cell>
          <cell r="O243" t="str">
            <v>Dusun Durian RT.000/RW.000, Kel. Durian, Kec. Janapria</v>
          </cell>
          <cell r="P243" t="str">
            <v>Lombok Tengah</v>
          </cell>
          <cell r="Q243" t="str">
            <v>Dusun Durian RT.000/RW.000, Kel. Durian, Kec. Janapria</v>
          </cell>
          <cell r="R243" t="str">
            <v>Lombok Tengah</v>
          </cell>
          <cell r="S243" t="str">
            <v>E Luar Pulau1</v>
          </cell>
          <cell r="T243" t="str">
            <v>Muhlisin</v>
          </cell>
          <cell r="U243">
            <v>425</v>
          </cell>
        </row>
        <row r="244">
          <cell r="E244" t="str">
            <v>D24005367</v>
          </cell>
          <cell r="F244"/>
          <cell r="G244">
            <v>1000</v>
          </cell>
          <cell r="H244" t="str">
            <v>Hendra</v>
          </cell>
          <cell r="I244" t="str">
            <v>Tiya</v>
          </cell>
          <cell r="J244" t="str">
            <v xml:space="preserve"> new 02/10/2023</v>
          </cell>
          <cell r="K244" t="str">
            <v>KU</v>
          </cell>
          <cell r="L244" t="str">
            <v>AHMA47</v>
          </cell>
          <cell r="M244" t="str">
            <v>Ahmad Muhlisin</v>
          </cell>
          <cell r="N244" t="str">
            <v>Ahmad Muhlisin</v>
          </cell>
          <cell r="O244" t="str">
            <v>Dusun Durian RT.000/RW.000, Kel. Durian, Kec. Janapria</v>
          </cell>
          <cell r="P244" t="str">
            <v>Lombok Tengah</v>
          </cell>
          <cell r="Q244" t="str">
            <v>Dusun Durian RT.000/RW.000, Kel. Durian, Kec. Janapria</v>
          </cell>
          <cell r="R244" t="str">
            <v>Lombok Tengah</v>
          </cell>
          <cell r="S244" t="str">
            <v>E Luar Pulau1</v>
          </cell>
          <cell r="T244" t="str">
            <v>Muhlisin</v>
          </cell>
          <cell r="U244">
            <v>204</v>
          </cell>
        </row>
        <row r="245">
          <cell r="E245" t="str">
            <v>D24011564</v>
          </cell>
          <cell r="F245"/>
          <cell r="G245">
            <v>1000</v>
          </cell>
          <cell r="H245" t="str">
            <v>Hendra</v>
          </cell>
          <cell r="I245" t="str">
            <v>Tiya</v>
          </cell>
          <cell r="J245" t="str">
            <v xml:space="preserve"> new 02/10/2023</v>
          </cell>
          <cell r="K245" t="str">
            <v>KU</v>
          </cell>
          <cell r="L245" t="str">
            <v>AHMA47</v>
          </cell>
          <cell r="M245" t="str">
            <v>Ahmad Muhlisin</v>
          </cell>
          <cell r="N245" t="str">
            <v>Ahmad Muhlisin</v>
          </cell>
          <cell r="O245" t="str">
            <v>Dusun Durian RT.000/RW.000, Kel. Durian, Kec. Janapria</v>
          </cell>
          <cell r="P245" t="str">
            <v>Lombok Tengah</v>
          </cell>
          <cell r="Q245" t="str">
            <v>Dusun Durian RT.000/RW.000, Kel. Durian, Kec. Janapria</v>
          </cell>
          <cell r="R245" t="str">
            <v>Lombok Tengah</v>
          </cell>
          <cell r="S245" t="str">
            <v>E Luar Pulau1</v>
          </cell>
          <cell r="T245" t="str">
            <v>Muhlisin</v>
          </cell>
          <cell r="U245">
            <v>45</v>
          </cell>
        </row>
        <row r="246">
          <cell r="E246" t="str">
            <v>B25010280</v>
          </cell>
          <cell r="F246"/>
          <cell r="G246">
            <v>1000</v>
          </cell>
          <cell r="H246" t="str">
            <v>Hendra</v>
          </cell>
          <cell r="I246" t="str">
            <v>Tiya</v>
          </cell>
          <cell r="J246" t="str">
            <v xml:space="preserve"> new 02/10/2023</v>
          </cell>
          <cell r="K246" t="str">
            <v>KU</v>
          </cell>
          <cell r="L246" t="str">
            <v>AHMA47</v>
          </cell>
          <cell r="M246" t="str">
            <v>Ahmad Muhlisin</v>
          </cell>
          <cell r="N246" t="str">
            <v>Ahmad Muhlisin</v>
          </cell>
          <cell r="O246" t="str">
            <v>Dusun Durian RT.000/RW.000, Kel. Durian, Kec. Janapria</v>
          </cell>
          <cell r="P246" t="str">
            <v>Lombok Tengah</v>
          </cell>
          <cell r="Q246" t="str">
            <v>Dusun Durian RT.000/RW.000, Kel. Durian, Kec. Janapria</v>
          </cell>
          <cell r="R246" t="str">
            <v>Lombok Tengah</v>
          </cell>
          <cell r="S246" t="str">
            <v>E Luar Pulau1</v>
          </cell>
          <cell r="T246" t="str">
            <v>Muhlisin</v>
          </cell>
          <cell r="U246">
            <v>60</v>
          </cell>
        </row>
        <row r="247">
          <cell r="E247" t="str">
            <v>B25014023</v>
          </cell>
          <cell r="F247"/>
          <cell r="G247">
            <v>1000</v>
          </cell>
          <cell r="H247" t="str">
            <v>Hendra</v>
          </cell>
          <cell r="I247" t="str">
            <v>Tiya</v>
          </cell>
          <cell r="J247" t="str">
            <v>New 31/10/25</v>
          </cell>
          <cell r="K247" t="str">
            <v>KU</v>
          </cell>
          <cell r="L247" t="str">
            <v>AHMA77</v>
          </cell>
          <cell r="M247" t="str">
            <v>Ahmad Murthadlo</v>
          </cell>
          <cell r="N247" t="str">
            <v>Ahmad Murthadlo</v>
          </cell>
          <cell r="O247" t="str">
            <v>Dukuh RT.014/RW.007, Kel. Janten, Kec. Temon</v>
          </cell>
          <cell r="P247" t="str">
            <v>Kulon Progo</v>
          </cell>
          <cell r="Q247" t="str">
            <v>Dukuh RT.014/RW.007, Kel. Janten, Kec. Temon</v>
          </cell>
          <cell r="R247" t="str">
            <v>Kulon Progo</v>
          </cell>
          <cell r="S247" t="str">
            <v>I Jabar Jateng</v>
          </cell>
          <cell r="T247" t="str">
            <v>Non SE &amp; JSE</v>
          </cell>
          <cell r="U247">
            <v>15</v>
          </cell>
        </row>
        <row r="248">
          <cell r="E248" t="str">
            <v>L25000052</v>
          </cell>
          <cell r="F248"/>
          <cell r="G248">
            <v>1000</v>
          </cell>
          <cell r="H248" t="str">
            <v>Yuyun</v>
          </cell>
          <cell r="I248" t="str">
            <v>Syahra</v>
          </cell>
          <cell r="J248" t="str">
            <v>New 04/05/24</v>
          </cell>
          <cell r="K248" t="str">
            <v>KU</v>
          </cell>
          <cell r="L248" t="str">
            <v>AHMA58</v>
          </cell>
          <cell r="M248" t="str">
            <v>Ahmad Zulfikar/Cheil Jedang</v>
          </cell>
          <cell r="N248" t="str">
            <v>Ahmad Zulfikar Alfianto</v>
          </cell>
          <cell r="O248" t="str">
            <v>Jl. Sunan Bonang Gg. Melati RT.003/RW.001, Kel. Jrebeng Wetan, Kec. Kedopok</v>
          </cell>
          <cell r="P248" t="str">
            <v>Probolinggo</v>
          </cell>
          <cell r="Q248" t="str">
            <v>Jl. Sunan Bonang Gg. Melati RT.003/RW.001, Kel. Jrebeng Wetan, Kec. Kedopok</v>
          </cell>
          <cell r="R248" t="str">
            <v>Probolinggo</v>
          </cell>
          <cell r="S248" t="str">
            <v>B Agronomis</v>
          </cell>
          <cell r="T248" t="str">
            <v>Wira</v>
          </cell>
          <cell r="U248">
            <v>0</v>
          </cell>
        </row>
        <row r="249">
          <cell r="E249" t="str">
            <v>L25000053</v>
          </cell>
          <cell r="F249"/>
          <cell r="G249">
            <v>1000</v>
          </cell>
          <cell r="H249" t="str">
            <v>Yuyun</v>
          </cell>
          <cell r="I249" t="str">
            <v>Syahra</v>
          </cell>
          <cell r="J249" t="str">
            <v>New 04/05/24</v>
          </cell>
          <cell r="K249" t="str">
            <v>KU</v>
          </cell>
          <cell r="L249" t="str">
            <v>AHMA58</v>
          </cell>
          <cell r="M249" t="str">
            <v>Ahmad Zulfikar/Cheil Jedang</v>
          </cell>
          <cell r="N249" t="str">
            <v>Ahmad Zulfikar Alfianto</v>
          </cell>
          <cell r="O249" t="str">
            <v>Jl. Sunan Bonang Gg. Melati RT.003/RW.001, Kel. Jrebeng Wetan, Kec. Kedopok</v>
          </cell>
          <cell r="P249" t="str">
            <v>Probolinggo</v>
          </cell>
          <cell r="Q249" t="str">
            <v>Jl. Sunan Bonang Gg. Melati RT.003/RW.001, Kel. Jrebeng Wetan, Kec. Kedopok</v>
          </cell>
          <cell r="R249" t="str">
            <v>Probolinggo</v>
          </cell>
          <cell r="S249" t="str">
            <v>B Agronomis</v>
          </cell>
          <cell r="T249" t="str">
            <v>Wira</v>
          </cell>
          <cell r="U249">
            <v>0</v>
          </cell>
        </row>
        <row r="250">
          <cell r="E250" t="str">
            <v>D25012078</v>
          </cell>
          <cell r="F250"/>
          <cell r="G250">
            <v>100000000</v>
          </cell>
          <cell r="H250" t="str">
            <v>Hendra</v>
          </cell>
          <cell r="I250" t="str">
            <v>Tiya</v>
          </cell>
          <cell r="J250"/>
          <cell r="K250" t="str">
            <v>KU</v>
          </cell>
          <cell r="L250" t="str">
            <v>AISA01</v>
          </cell>
          <cell r="M250" t="str">
            <v>Aisah Turabiah Sape</v>
          </cell>
          <cell r="N250" t="str">
            <v>Muhammad Nor</v>
          </cell>
          <cell r="O250" t="str">
            <v>Jl. Pelabuhan Sape Dsn. Kalo, RT.007/RW.004 Naru Barat - Sape</v>
          </cell>
          <cell r="P250" t="str">
            <v>Bima</v>
          </cell>
          <cell r="Q250" t="str">
            <v>Jl. Pelabuhan Sape Dsn. Kalo, RT.007/RW.004 Naru Barat - Sape</v>
          </cell>
          <cell r="R250" t="str">
            <v>Bima</v>
          </cell>
          <cell r="S250" t="str">
            <v>E Luar Pulau1</v>
          </cell>
          <cell r="T250" t="str">
            <v>Muhlisin</v>
          </cell>
          <cell r="U250">
            <v>45</v>
          </cell>
        </row>
        <row r="251">
          <cell r="E251" t="str">
            <v>D25012755</v>
          </cell>
          <cell r="F251"/>
          <cell r="G251">
            <v>100000000</v>
          </cell>
          <cell r="H251" t="str">
            <v>Hendra</v>
          </cell>
          <cell r="I251" t="str">
            <v>Tiya</v>
          </cell>
          <cell r="J251"/>
          <cell r="K251" t="str">
            <v>KU</v>
          </cell>
          <cell r="L251" t="str">
            <v>AISA01</v>
          </cell>
          <cell r="M251" t="str">
            <v>Aisah Turabiah Sape</v>
          </cell>
          <cell r="N251" t="str">
            <v>Muhammad Nor</v>
          </cell>
          <cell r="O251" t="str">
            <v>Jl. Pelabuhan Sape Dsn. Kalo, RT.007/RW.004 Naru Barat - Sape</v>
          </cell>
          <cell r="P251" t="str">
            <v>Bima</v>
          </cell>
          <cell r="Q251" t="str">
            <v>Jl. Pelabuhan Sape Dsn. Kalo, RT.007/RW.004 Naru Barat - Sape</v>
          </cell>
          <cell r="R251" t="str">
            <v>Bima</v>
          </cell>
          <cell r="S251" t="str">
            <v>E Luar Pulau1</v>
          </cell>
          <cell r="T251" t="str">
            <v>Muhlisin</v>
          </cell>
          <cell r="U251">
            <v>45</v>
          </cell>
        </row>
        <row r="252">
          <cell r="E252" t="str">
            <v>B25010783</v>
          </cell>
          <cell r="F252"/>
          <cell r="G252">
            <v>100000000</v>
          </cell>
          <cell r="H252" t="str">
            <v>Hendra</v>
          </cell>
          <cell r="I252" t="str">
            <v>Tiya</v>
          </cell>
          <cell r="J252"/>
          <cell r="K252" t="str">
            <v>KU</v>
          </cell>
          <cell r="L252" t="str">
            <v>AISA01</v>
          </cell>
          <cell r="M252" t="str">
            <v>Aisah Turabiah Sape</v>
          </cell>
          <cell r="N252" t="str">
            <v>Muhammad Nor</v>
          </cell>
          <cell r="O252" t="str">
            <v>Jl. Pelabuhan Sape Dsn. Kalo, RT.007/RW.004 Naru Barat - Sape</v>
          </cell>
          <cell r="P252" t="str">
            <v>Bima</v>
          </cell>
          <cell r="Q252" t="str">
            <v>Jl. Pelabuhan Sape Dsn. Kalo, RT.007/RW.004 Naru Barat - Sape</v>
          </cell>
          <cell r="R252" t="str">
            <v>Bima</v>
          </cell>
          <cell r="S252" t="str">
            <v>E Luar Pulau1</v>
          </cell>
          <cell r="T252" t="str">
            <v>Muhlisin</v>
          </cell>
          <cell r="U252">
            <v>45</v>
          </cell>
        </row>
        <row r="253">
          <cell r="E253" t="str">
            <v>D25013068</v>
          </cell>
          <cell r="F253"/>
          <cell r="G253">
            <v>100000000</v>
          </cell>
          <cell r="H253" t="str">
            <v>Hendra</v>
          </cell>
          <cell r="I253" t="str">
            <v>Tiya</v>
          </cell>
          <cell r="J253"/>
          <cell r="K253" t="str">
            <v>KU</v>
          </cell>
          <cell r="L253" t="str">
            <v>AISA01</v>
          </cell>
          <cell r="M253" t="str">
            <v>Aisah Turabiah Sape</v>
          </cell>
          <cell r="N253" t="str">
            <v>Muhammad Nor</v>
          </cell>
          <cell r="O253" t="str">
            <v>Jl. Pelabuhan Sape Dsn. Kalo, RT.007/RW.004 Naru Barat - Sape</v>
          </cell>
          <cell r="P253" t="str">
            <v>Bima</v>
          </cell>
          <cell r="Q253" t="str">
            <v>Jl. Pelabuhan Sape Dsn. Kalo, RT.007/RW.004 Naru Barat - Sape</v>
          </cell>
          <cell r="R253" t="str">
            <v>Bima</v>
          </cell>
          <cell r="S253" t="str">
            <v>E Luar Pulau1</v>
          </cell>
          <cell r="T253" t="str">
            <v>Muhlisin</v>
          </cell>
          <cell r="U253">
            <v>45</v>
          </cell>
        </row>
        <row r="254">
          <cell r="E254" t="str">
            <v>B25011012</v>
          </cell>
          <cell r="F254"/>
          <cell r="G254">
            <v>100000000</v>
          </cell>
          <cell r="H254" t="str">
            <v>Hendra</v>
          </cell>
          <cell r="I254" t="str">
            <v>Tiya</v>
          </cell>
          <cell r="J254"/>
          <cell r="K254" t="str">
            <v>KU</v>
          </cell>
          <cell r="L254" t="str">
            <v>AISA01</v>
          </cell>
          <cell r="M254" t="str">
            <v>Aisah Turabiah Sape</v>
          </cell>
          <cell r="N254" t="str">
            <v>Muhammad Nor</v>
          </cell>
          <cell r="O254" t="str">
            <v>Jl. Pelabuhan Sape Dsn. Kalo, RT.007/RW.004 Naru Barat - Sape</v>
          </cell>
          <cell r="P254" t="str">
            <v>Bima</v>
          </cell>
          <cell r="Q254" t="str">
            <v>Jl. Pelabuhan Sape Dsn. Kalo, RT.007/RW.004 Naru Barat - Sape</v>
          </cell>
          <cell r="R254" t="str">
            <v>Bima</v>
          </cell>
          <cell r="S254" t="str">
            <v>E Luar Pulau1</v>
          </cell>
          <cell r="T254" t="str">
            <v>Muhlisin</v>
          </cell>
          <cell r="U254">
            <v>45</v>
          </cell>
        </row>
        <row r="255">
          <cell r="E255" t="str">
            <v>L25000042</v>
          </cell>
          <cell r="F255"/>
          <cell r="G255">
            <v>100000000</v>
          </cell>
          <cell r="H255" t="str">
            <v>Hendra</v>
          </cell>
          <cell r="I255" t="str">
            <v>Tiya</v>
          </cell>
          <cell r="J255"/>
          <cell r="K255" t="str">
            <v>KU</v>
          </cell>
          <cell r="L255" t="str">
            <v>AISA01</v>
          </cell>
          <cell r="M255" t="str">
            <v>Aisah Turabiah Sape</v>
          </cell>
          <cell r="N255" t="str">
            <v>Muhammad Nor</v>
          </cell>
          <cell r="O255" t="str">
            <v>Jl. Pelabuhan Sape Dsn. Kalo, RT.007/RW.004 Naru Barat - Sape</v>
          </cell>
          <cell r="P255" t="str">
            <v>Bima</v>
          </cell>
          <cell r="Q255" t="str">
            <v>Jl. Pelabuhan Sape Dsn. Kalo, RT.007/RW.004 Naru Barat - Sape</v>
          </cell>
          <cell r="R255" t="str">
            <v>Bima</v>
          </cell>
          <cell r="S255" t="str">
            <v>E Luar Pulau1</v>
          </cell>
          <cell r="T255" t="str">
            <v>Muhlisin</v>
          </cell>
          <cell r="U255">
            <v>45</v>
          </cell>
        </row>
        <row r="256">
          <cell r="E256" t="str">
            <v>L25000042</v>
          </cell>
          <cell r="F256"/>
          <cell r="G256">
            <v>100000000</v>
          </cell>
          <cell r="H256" t="str">
            <v>Hendra</v>
          </cell>
          <cell r="I256" t="str">
            <v>Tiya</v>
          </cell>
          <cell r="J256"/>
          <cell r="K256" t="str">
            <v>KU</v>
          </cell>
          <cell r="L256" t="str">
            <v>AISA01</v>
          </cell>
          <cell r="M256" t="str">
            <v>Aisah Turabiah Sape</v>
          </cell>
          <cell r="N256" t="str">
            <v>Muhammad Nor</v>
          </cell>
          <cell r="O256" t="str">
            <v>Jl. Pelabuhan Sape Dsn. Kalo, RT.007/RW.004 Naru Barat - Sape</v>
          </cell>
          <cell r="P256" t="str">
            <v>Bima</v>
          </cell>
          <cell r="Q256" t="str">
            <v>Jl. Pelabuhan Sape Dsn. Kalo, RT.007/RW.004 Naru Barat - Sape</v>
          </cell>
          <cell r="R256" t="str">
            <v>Bima</v>
          </cell>
          <cell r="S256" t="str">
            <v>E Luar Pulau1</v>
          </cell>
          <cell r="T256" t="str">
            <v>Muhlisin</v>
          </cell>
          <cell r="U256">
            <v>45</v>
          </cell>
        </row>
        <row r="257">
          <cell r="E257" t="str">
            <v>D25013937</v>
          </cell>
          <cell r="F257"/>
          <cell r="G257">
            <v>100000000</v>
          </cell>
          <cell r="H257" t="str">
            <v>Hendra</v>
          </cell>
          <cell r="I257" t="str">
            <v>Tiya</v>
          </cell>
          <cell r="J257"/>
          <cell r="K257" t="str">
            <v>KU</v>
          </cell>
          <cell r="L257" t="str">
            <v>AISA01</v>
          </cell>
          <cell r="M257" t="str">
            <v>Aisah Turabiah Sape</v>
          </cell>
          <cell r="N257" t="str">
            <v>Muhammad Nor</v>
          </cell>
          <cell r="O257" t="str">
            <v>Jl. Pelabuhan Sape Dsn. Kalo, RT.007/RW.004 Naru Barat - Sape</v>
          </cell>
          <cell r="P257" t="str">
            <v>Bima</v>
          </cell>
          <cell r="Q257" t="str">
            <v>Jl. Pelabuhan Sape Dsn. Kalo, RT.007/RW.004 Naru Barat - Sape</v>
          </cell>
          <cell r="R257" t="str">
            <v>Bima</v>
          </cell>
          <cell r="S257" t="str">
            <v>E Luar Pulau1</v>
          </cell>
          <cell r="T257" t="str">
            <v>Muhlisin</v>
          </cell>
          <cell r="U257">
            <v>45</v>
          </cell>
        </row>
        <row r="258">
          <cell r="E258" t="str">
            <v>B25011823</v>
          </cell>
          <cell r="F258"/>
          <cell r="G258">
            <v>100000000</v>
          </cell>
          <cell r="H258" t="str">
            <v>Hendra</v>
          </cell>
          <cell r="I258" t="str">
            <v>Tiya</v>
          </cell>
          <cell r="J258"/>
          <cell r="K258" t="str">
            <v>KU</v>
          </cell>
          <cell r="L258" t="str">
            <v>AISA01</v>
          </cell>
          <cell r="M258" t="str">
            <v>Aisah Turabiah Sape</v>
          </cell>
          <cell r="N258" t="str">
            <v>Muhammad Nor</v>
          </cell>
          <cell r="O258" t="str">
            <v>Jl. Pelabuhan Sape Dsn. Kalo, RT.007/RW.004 Naru Barat - Sape</v>
          </cell>
          <cell r="P258" t="str">
            <v>Bima</v>
          </cell>
          <cell r="Q258" t="str">
            <v>Jl. Pelabuhan Sape Dsn. Kalo, RT.007/RW.004 Naru Barat - Sape</v>
          </cell>
          <cell r="R258" t="str">
            <v>Bima</v>
          </cell>
          <cell r="S258" t="str">
            <v>E Luar Pulau1</v>
          </cell>
          <cell r="T258" t="str">
            <v>Muhlisin</v>
          </cell>
          <cell r="U258">
            <v>45</v>
          </cell>
        </row>
        <row r="259">
          <cell r="E259" t="str">
            <v>B25010106</v>
          </cell>
          <cell r="F259"/>
          <cell r="G259">
            <v>175000000</v>
          </cell>
          <cell r="H259" t="str">
            <v>Faris</v>
          </cell>
          <cell r="I259" t="str">
            <v>Syahra</v>
          </cell>
          <cell r="J259"/>
          <cell r="K259" t="str">
            <v>KU</v>
          </cell>
          <cell r="L259" t="str">
            <v>AKBA01</v>
          </cell>
          <cell r="M259" t="str">
            <v>Akbar Tani, UD</v>
          </cell>
          <cell r="N259" t="str">
            <v>Hadi Purnomo</v>
          </cell>
          <cell r="O259" t="str">
            <v>Dsn. Tempursari, RT.001/RW.001, Ds. Sembulung Kec. Cluring, Kab. Banyuwangi</v>
          </cell>
          <cell r="P259" t="str">
            <v>Banyuwangi</v>
          </cell>
          <cell r="Q259" t="str">
            <v>Dsn. Tempursari, RT.001/RW.001, Ds. Sembulung Kec. Cluring, Kab. Banyuwangi</v>
          </cell>
          <cell r="R259" t="str">
            <v>Banyuwangi</v>
          </cell>
          <cell r="S259" t="str">
            <v>H Bwi3</v>
          </cell>
          <cell r="T259" t="str">
            <v>Hafid</v>
          </cell>
          <cell r="U259">
            <v>60</v>
          </cell>
        </row>
        <row r="260">
          <cell r="E260" t="str">
            <v>T25001288</v>
          </cell>
          <cell r="F260"/>
          <cell r="G260">
            <v>175000000</v>
          </cell>
          <cell r="H260" t="str">
            <v>Faris</v>
          </cell>
          <cell r="I260" t="str">
            <v>Syahra</v>
          </cell>
          <cell r="J260"/>
          <cell r="K260" t="str">
            <v>KU</v>
          </cell>
          <cell r="L260" t="str">
            <v>AKBA01</v>
          </cell>
          <cell r="M260" t="str">
            <v>Akbar Tani, UD</v>
          </cell>
          <cell r="N260" t="str">
            <v>Hadi Purnomo</v>
          </cell>
          <cell r="O260" t="str">
            <v>Dsn. Tempursari, RT.001/RW.001, Ds. Sembulung Kec. Cluring, Kab. Banyuwangi</v>
          </cell>
          <cell r="P260" t="str">
            <v>Banyuwangi</v>
          </cell>
          <cell r="Q260" t="str">
            <v>Dsn. Tempursari, RT.001/RW.001, Ds. Sembulung Kec. Cluring, Kab. Banyuwangi</v>
          </cell>
          <cell r="R260" t="str">
            <v>Banyuwangi</v>
          </cell>
          <cell r="S260" t="str">
            <v>H Bwi3</v>
          </cell>
          <cell r="T260" t="str">
            <v>Hafid</v>
          </cell>
          <cell r="U260">
            <v>60</v>
          </cell>
        </row>
        <row r="261">
          <cell r="E261" t="str">
            <v>D25013224</v>
          </cell>
          <cell r="F261"/>
          <cell r="G261">
            <v>175000000</v>
          </cell>
          <cell r="H261" t="str">
            <v>Faris</v>
          </cell>
          <cell r="I261" t="str">
            <v>Syahra</v>
          </cell>
          <cell r="J261"/>
          <cell r="K261" t="str">
            <v>KU</v>
          </cell>
          <cell r="L261" t="str">
            <v>AKBA01</v>
          </cell>
          <cell r="M261" t="str">
            <v>Akbar Tani, UD</v>
          </cell>
          <cell r="N261" t="str">
            <v>Hadi Purnomo</v>
          </cell>
          <cell r="O261" t="str">
            <v>Dsn. Tempursari, RT.001/RW.001, Ds. Sembulung Kec. Cluring, Kab. Banyuwangi</v>
          </cell>
          <cell r="P261" t="str">
            <v>Banyuwangi</v>
          </cell>
          <cell r="Q261" t="str">
            <v>Dsn. Tempursari, RT.001/RW.001, Ds. Sembulung Kec. Cluring, Kab. Banyuwangi</v>
          </cell>
          <cell r="R261" t="str">
            <v>Banyuwangi</v>
          </cell>
          <cell r="S261" t="str">
            <v>H Bwi3</v>
          </cell>
          <cell r="T261" t="str">
            <v>Hafid</v>
          </cell>
          <cell r="U261">
            <v>30</v>
          </cell>
        </row>
        <row r="262">
          <cell r="E262" t="str">
            <v>D25013321</v>
          </cell>
          <cell r="F262"/>
          <cell r="G262">
            <v>175000000</v>
          </cell>
          <cell r="H262" t="str">
            <v>Faris</v>
          </cell>
          <cell r="I262" t="str">
            <v>Syahra</v>
          </cell>
          <cell r="J262"/>
          <cell r="K262" t="str">
            <v>KU</v>
          </cell>
          <cell r="L262" t="str">
            <v>AKBA01</v>
          </cell>
          <cell r="M262" t="str">
            <v>Akbar Tani, UD</v>
          </cell>
          <cell r="N262" t="str">
            <v>Hadi Purnomo</v>
          </cell>
          <cell r="O262" t="str">
            <v>Dsn. Tempursari, RT.001/RW.001, Ds. Sembulung Kec. Cluring, Kab. Banyuwangi</v>
          </cell>
          <cell r="P262" t="str">
            <v>Banyuwangi</v>
          </cell>
          <cell r="Q262" t="str">
            <v>Dsn. Tempursari, RT.001/RW.001, Ds. Sembulung Kec. Cluring, Kab. Banyuwangi</v>
          </cell>
          <cell r="R262" t="str">
            <v>Banyuwangi</v>
          </cell>
          <cell r="S262" t="str">
            <v>H Bwi3</v>
          </cell>
          <cell r="T262" t="str">
            <v>Hafid</v>
          </cell>
          <cell r="U262">
            <v>60</v>
          </cell>
        </row>
        <row r="263">
          <cell r="E263" t="str">
            <v>B25011262</v>
          </cell>
          <cell r="F263"/>
          <cell r="G263">
            <v>175000000</v>
          </cell>
          <cell r="H263" t="str">
            <v>Faris</v>
          </cell>
          <cell r="I263" t="str">
            <v>Syahra</v>
          </cell>
          <cell r="J263"/>
          <cell r="K263" t="str">
            <v>KU</v>
          </cell>
          <cell r="L263" t="str">
            <v>AKBA01</v>
          </cell>
          <cell r="M263" t="str">
            <v>Akbar Tani, UD</v>
          </cell>
          <cell r="N263" t="str">
            <v>Hadi Purnomo</v>
          </cell>
          <cell r="O263" t="str">
            <v>Dsn. Tempursari, RT.001/RW.001, Ds. Sembulung Kec. Cluring, Kab. Banyuwangi</v>
          </cell>
          <cell r="P263" t="str">
            <v>Banyuwangi</v>
          </cell>
          <cell r="Q263" t="str">
            <v>Dsn. Tempursari, RT.001/RW.001, Ds. Sembulung Kec. Cluring, Kab. Banyuwangi</v>
          </cell>
          <cell r="R263" t="str">
            <v>Banyuwangi</v>
          </cell>
          <cell r="S263" t="str">
            <v>H Bwi3</v>
          </cell>
          <cell r="T263" t="str">
            <v>Hafid</v>
          </cell>
          <cell r="U263">
            <v>60</v>
          </cell>
        </row>
        <row r="264">
          <cell r="E264" t="str">
            <v>D25013517</v>
          </cell>
          <cell r="F264"/>
          <cell r="G264">
            <v>175000000</v>
          </cell>
          <cell r="H264" t="str">
            <v>Faris</v>
          </cell>
          <cell r="I264" t="str">
            <v>Syahra</v>
          </cell>
          <cell r="J264"/>
          <cell r="K264" t="str">
            <v>KU</v>
          </cell>
          <cell r="L264" t="str">
            <v>AKBA01</v>
          </cell>
          <cell r="M264" t="str">
            <v>Akbar Tani, UD</v>
          </cell>
          <cell r="N264" t="str">
            <v>Hadi Purnomo</v>
          </cell>
          <cell r="O264" t="str">
            <v>Dsn. Tempursari, RT.001/RW.001, Ds. Sembulung Kec. Cluring, Kab. Banyuwangi</v>
          </cell>
          <cell r="P264" t="str">
            <v>Banyuwangi</v>
          </cell>
          <cell r="Q264" t="str">
            <v>Dsn. Tempursari, RT.001/RW.001, Ds. Sembulung Kec. Cluring, Kab. Banyuwangi</v>
          </cell>
          <cell r="R264" t="str">
            <v>Banyuwangi</v>
          </cell>
          <cell r="S264" t="str">
            <v>H Bwi3</v>
          </cell>
          <cell r="T264" t="str">
            <v>Hafid</v>
          </cell>
          <cell r="U264">
            <v>30</v>
          </cell>
        </row>
        <row r="265">
          <cell r="E265" t="str">
            <v>D25013517</v>
          </cell>
          <cell r="F265"/>
          <cell r="G265">
            <v>175000000</v>
          </cell>
          <cell r="H265" t="str">
            <v>Faris</v>
          </cell>
          <cell r="I265" t="str">
            <v>Syahra</v>
          </cell>
          <cell r="J265"/>
          <cell r="K265" t="str">
            <v>KU</v>
          </cell>
          <cell r="L265" t="str">
            <v>AKBA01</v>
          </cell>
          <cell r="M265" t="str">
            <v>Akbar Tani, UD</v>
          </cell>
          <cell r="N265" t="str">
            <v>Hadi Purnomo</v>
          </cell>
          <cell r="O265" t="str">
            <v>Dsn. Tempursari, RT.001/RW.001, Ds. Sembulung Kec. Cluring, Kab. Banyuwangi</v>
          </cell>
          <cell r="P265" t="str">
            <v>Banyuwangi</v>
          </cell>
          <cell r="Q265" t="str">
            <v>Dsn. Tempursari, RT.001/RW.001, Ds. Sembulung Kec. Cluring, Kab. Banyuwangi</v>
          </cell>
          <cell r="R265" t="str">
            <v>Banyuwangi</v>
          </cell>
          <cell r="S265" t="str">
            <v>H Bwi3</v>
          </cell>
          <cell r="T265" t="str">
            <v>Hafid</v>
          </cell>
          <cell r="U265">
            <v>30</v>
          </cell>
        </row>
        <row r="266">
          <cell r="E266" t="str">
            <v>D25014225</v>
          </cell>
          <cell r="F266"/>
          <cell r="G266">
            <v>175000000</v>
          </cell>
          <cell r="H266" t="str">
            <v>Faris</v>
          </cell>
          <cell r="I266" t="str">
            <v>Syahra</v>
          </cell>
          <cell r="J266"/>
          <cell r="K266" t="str">
            <v>KU</v>
          </cell>
          <cell r="L266" t="str">
            <v>AKBA01</v>
          </cell>
          <cell r="M266" t="str">
            <v>Akbar Tani, UD</v>
          </cell>
          <cell r="N266" t="str">
            <v>Hadi Purnomo</v>
          </cell>
          <cell r="O266" t="str">
            <v>Dsn. Tempursari, RT.001/RW.001, Ds. Sembulung Kec. Cluring, Kab. Banyuwangi</v>
          </cell>
          <cell r="P266" t="str">
            <v>Banyuwangi</v>
          </cell>
          <cell r="Q266" t="str">
            <v>Dsn. Tempursari, RT.001/RW.001, Ds. Sembulung Kec. Cluring, Kab. Banyuwangi</v>
          </cell>
          <cell r="R266" t="str">
            <v>Banyuwangi</v>
          </cell>
          <cell r="S266" t="str">
            <v>H Bwi3</v>
          </cell>
          <cell r="T266" t="str">
            <v>Hafid</v>
          </cell>
          <cell r="U266">
            <v>30</v>
          </cell>
        </row>
        <row r="267">
          <cell r="E267" t="str">
            <v>B25012712</v>
          </cell>
          <cell r="F267"/>
          <cell r="G267">
            <v>175000000</v>
          </cell>
          <cell r="H267" t="str">
            <v>Faris</v>
          </cell>
          <cell r="I267" t="str">
            <v>Syahra</v>
          </cell>
          <cell r="J267"/>
          <cell r="K267" t="str">
            <v>KU</v>
          </cell>
          <cell r="L267" t="str">
            <v>AKBA01</v>
          </cell>
          <cell r="M267" t="str">
            <v>Akbar Tani, UD</v>
          </cell>
          <cell r="N267" t="str">
            <v>Hadi Purnomo</v>
          </cell>
          <cell r="O267" t="str">
            <v>Dsn. Tempursari, RT.001/RW.001, Ds. Sembulung Kec. Cluring, Kab. Banyuwangi</v>
          </cell>
          <cell r="P267" t="str">
            <v>Banyuwangi</v>
          </cell>
          <cell r="Q267" t="str">
            <v>Dsn. Tempursari, RT.001/RW.001, Ds. Sembulung Kec. Cluring, Kab. Banyuwangi</v>
          </cell>
          <cell r="R267" t="str">
            <v>Banyuwangi</v>
          </cell>
          <cell r="S267" t="str">
            <v>H Bwi3</v>
          </cell>
          <cell r="T267" t="str">
            <v>Hafid</v>
          </cell>
          <cell r="U267">
            <v>30</v>
          </cell>
        </row>
        <row r="268">
          <cell r="E268" t="str">
            <v>B25012911</v>
          </cell>
          <cell r="F268"/>
          <cell r="G268">
            <v>175000000</v>
          </cell>
          <cell r="H268" t="str">
            <v>Faris</v>
          </cell>
          <cell r="I268" t="str">
            <v>Syahra</v>
          </cell>
          <cell r="J268"/>
          <cell r="K268" t="str">
            <v>KU</v>
          </cell>
          <cell r="L268" t="str">
            <v>AKBA01</v>
          </cell>
          <cell r="M268" t="str">
            <v>Akbar Tani, UD</v>
          </cell>
          <cell r="N268" t="str">
            <v>Hadi Purnomo</v>
          </cell>
          <cell r="O268" t="str">
            <v>Dsn. Tempursari, RT.001/RW.001, Ds. Sembulung Kec. Cluring, Kab. Banyuwangi</v>
          </cell>
          <cell r="P268" t="str">
            <v>Banyuwangi</v>
          </cell>
          <cell r="Q268" t="str">
            <v>Dsn. Tempursari, RT.001/RW.001, Ds. Sembulung Kec. Cluring, Kab. Banyuwangi</v>
          </cell>
          <cell r="R268" t="str">
            <v>Banyuwangi</v>
          </cell>
          <cell r="S268" t="str">
            <v>H Bwi3</v>
          </cell>
          <cell r="T268" t="str">
            <v>Hafid</v>
          </cell>
          <cell r="U268">
            <v>60</v>
          </cell>
        </row>
        <row r="269">
          <cell r="E269" t="str">
            <v>D25015534</v>
          </cell>
          <cell r="F269"/>
          <cell r="G269">
            <v>175000000</v>
          </cell>
          <cell r="H269" t="str">
            <v>Faris</v>
          </cell>
          <cell r="I269" t="str">
            <v>Syahra</v>
          </cell>
          <cell r="J269"/>
          <cell r="K269" t="str">
            <v>KU</v>
          </cell>
          <cell r="L269" t="str">
            <v>AKBA01</v>
          </cell>
          <cell r="M269" t="str">
            <v>Akbar Tani, UD</v>
          </cell>
          <cell r="N269" t="str">
            <v>Hadi Purnomo</v>
          </cell>
          <cell r="O269" t="str">
            <v>Dsn. Tempursari, RT.001/RW.001, Ds. Sembulung Kec. Cluring, Kab. Banyuwangi</v>
          </cell>
          <cell r="P269" t="str">
            <v>Banyuwangi</v>
          </cell>
          <cell r="Q269" t="str">
            <v>Dsn. Tempursari, RT.001/RW.001, Ds. Sembulung Kec. Cluring, Kab. Banyuwangi</v>
          </cell>
          <cell r="R269" t="str">
            <v>Banyuwangi</v>
          </cell>
          <cell r="S269" t="str">
            <v>H Bwi3</v>
          </cell>
          <cell r="T269" t="str">
            <v>Hafid</v>
          </cell>
          <cell r="U269">
            <v>30</v>
          </cell>
        </row>
        <row r="270">
          <cell r="E270" t="str">
            <v>D25015843</v>
          </cell>
          <cell r="F270"/>
          <cell r="G270">
            <v>175000000</v>
          </cell>
          <cell r="H270" t="str">
            <v>Faris</v>
          </cell>
          <cell r="I270" t="str">
            <v>Syahra</v>
          </cell>
          <cell r="J270"/>
          <cell r="K270" t="str">
            <v>KU</v>
          </cell>
          <cell r="L270" t="str">
            <v>AKBA01</v>
          </cell>
          <cell r="M270" t="str">
            <v>Akbar Tani, UD</v>
          </cell>
          <cell r="N270" t="str">
            <v>Hadi Purnomo</v>
          </cell>
          <cell r="O270" t="str">
            <v>Dsn. Tempursari, RT.001/RW.001, Ds. Sembulung Kec. Cluring, Kab. Banyuwangi</v>
          </cell>
          <cell r="P270" t="str">
            <v>Banyuwangi</v>
          </cell>
          <cell r="Q270" t="str">
            <v>Dsn. Tempursari, RT.001/RW.001, Ds. Sembulung Kec. Cluring, Kab. Banyuwangi</v>
          </cell>
          <cell r="R270" t="str">
            <v>Banyuwangi</v>
          </cell>
          <cell r="S270" t="str">
            <v>H Bwi3</v>
          </cell>
          <cell r="T270" t="str">
            <v>Hafid</v>
          </cell>
          <cell r="U270">
            <v>0</v>
          </cell>
        </row>
        <row r="271">
          <cell r="E271" t="str">
            <v>B25013847</v>
          </cell>
          <cell r="F271"/>
          <cell r="G271">
            <v>175000000</v>
          </cell>
          <cell r="H271" t="str">
            <v>Faris</v>
          </cell>
          <cell r="I271" t="str">
            <v>Syahra</v>
          </cell>
          <cell r="J271"/>
          <cell r="K271" t="str">
            <v>KU</v>
          </cell>
          <cell r="L271" t="str">
            <v>AKBA01</v>
          </cell>
          <cell r="M271" t="str">
            <v>Akbar Tani, UD</v>
          </cell>
          <cell r="N271" t="str">
            <v>Hadi Purnomo</v>
          </cell>
          <cell r="O271" t="str">
            <v>Dsn. Tempursari, RT.001/RW.001, Ds. Sembulung Kec. Cluring, Kab. Banyuwangi</v>
          </cell>
          <cell r="P271" t="str">
            <v>Banyuwangi</v>
          </cell>
          <cell r="Q271" t="str">
            <v>Dsn. Tempursari, RT.001/RW.001, Ds. Sembulung Kec. Cluring, Kab. Banyuwangi</v>
          </cell>
          <cell r="R271" t="str">
            <v>Banyuwangi</v>
          </cell>
          <cell r="S271" t="str">
            <v>H Bwi3</v>
          </cell>
          <cell r="T271" t="str">
            <v>Hafid</v>
          </cell>
          <cell r="U271">
            <v>30</v>
          </cell>
        </row>
        <row r="272">
          <cell r="E272" t="str">
            <v>B25013848</v>
          </cell>
          <cell r="F272"/>
          <cell r="G272">
            <v>175000000</v>
          </cell>
          <cell r="H272" t="str">
            <v>Faris</v>
          </cell>
          <cell r="I272" t="str">
            <v>Syahra</v>
          </cell>
          <cell r="J272"/>
          <cell r="K272" t="str">
            <v>KU</v>
          </cell>
          <cell r="L272" t="str">
            <v>AKBA01</v>
          </cell>
          <cell r="M272" t="str">
            <v>Akbar Tani, UD</v>
          </cell>
          <cell r="N272" t="str">
            <v>Hadi Purnomo</v>
          </cell>
          <cell r="O272" t="str">
            <v>Dsn. Tempursari, RT.001/RW.001, Ds. Sembulung Kec. Cluring, Kab. Banyuwangi</v>
          </cell>
          <cell r="P272" t="str">
            <v>Banyuwangi</v>
          </cell>
          <cell r="Q272" t="str">
            <v>Dsn. Tempursari, RT.001/RW.001, Ds. Sembulung Kec. Cluring, Kab. Banyuwangi</v>
          </cell>
          <cell r="R272" t="str">
            <v>Banyuwangi</v>
          </cell>
          <cell r="S272" t="str">
            <v>H Bwi3</v>
          </cell>
          <cell r="T272" t="str">
            <v>Hafid</v>
          </cell>
          <cell r="U272">
            <v>0</v>
          </cell>
        </row>
        <row r="273">
          <cell r="E273" t="str">
            <v>B25013876</v>
          </cell>
          <cell r="F273"/>
          <cell r="G273">
            <v>175000000</v>
          </cell>
          <cell r="H273" t="str">
            <v>Faris</v>
          </cell>
          <cell r="I273" t="str">
            <v>Syahra</v>
          </cell>
          <cell r="J273"/>
          <cell r="K273" t="str">
            <v>KU</v>
          </cell>
          <cell r="L273" t="str">
            <v>AKBA01</v>
          </cell>
          <cell r="M273" t="str">
            <v>Akbar Tani, UD</v>
          </cell>
          <cell r="N273" t="str">
            <v>Hadi Purnomo</v>
          </cell>
          <cell r="O273" t="str">
            <v>Dsn. Tempursari, RT.001/RW.001, Ds. Sembulung Kec. Cluring, Kab. Banyuwangi</v>
          </cell>
          <cell r="P273" t="str">
            <v>Banyuwangi</v>
          </cell>
          <cell r="Q273" t="str">
            <v>Dsn. Tempursari, RT.001/RW.001, Ds. Sembulung Kec. Cluring, Kab. Banyuwangi</v>
          </cell>
          <cell r="R273" t="str">
            <v>Banyuwangi</v>
          </cell>
          <cell r="S273" t="str">
            <v>H Bwi3</v>
          </cell>
          <cell r="T273" t="str">
            <v>Hafid</v>
          </cell>
          <cell r="U273">
            <v>60</v>
          </cell>
        </row>
        <row r="274">
          <cell r="E274" t="str">
            <v>T25001599</v>
          </cell>
          <cell r="F274"/>
          <cell r="G274">
            <v>175000000</v>
          </cell>
          <cell r="H274" t="str">
            <v>Faris</v>
          </cell>
          <cell r="I274" t="str">
            <v>Syahra</v>
          </cell>
          <cell r="J274"/>
          <cell r="K274" t="str">
            <v>KU</v>
          </cell>
          <cell r="L274" t="str">
            <v>AKBA01</v>
          </cell>
          <cell r="M274" t="str">
            <v>Akbar Tani, UD</v>
          </cell>
          <cell r="N274" t="str">
            <v>Hadi Purnomo</v>
          </cell>
          <cell r="O274" t="str">
            <v>Dsn. Tempursari, RT.001/RW.001, Ds. Sembulung Kec. Cluring, Kab. Banyuwangi</v>
          </cell>
          <cell r="P274" t="str">
            <v>Banyuwangi</v>
          </cell>
          <cell r="Q274" t="str">
            <v>Dsn. Tempursari, RT.001/RW.001, Ds. Sembulung Kec. Cluring, Kab. Banyuwangi</v>
          </cell>
          <cell r="R274" t="str">
            <v>Banyuwangi</v>
          </cell>
          <cell r="S274" t="str">
            <v>H Bwi3</v>
          </cell>
          <cell r="T274" t="str">
            <v>Hafid</v>
          </cell>
          <cell r="U274">
            <v>60</v>
          </cell>
        </row>
        <row r="275">
          <cell r="E275" t="str">
            <v>D25016385</v>
          </cell>
          <cell r="F275"/>
          <cell r="G275">
            <v>175000000</v>
          </cell>
          <cell r="H275" t="str">
            <v>Faris</v>
          </cell>
          <cell r="I275" t="str">
            <v>Syahra</v>
          </cell>
          <cell r="J275"/>
          <cell r="K275" t="str">
            <v>KU</v>
          </cell>
          <cell r="L275" t="str">
            <v>AKBA01</v>
          </cell>
          <cell r="M275" t="str">
            <v>Akbar Tani, UD</v>
          </cell>
          <cell r="N275" t="str">
            <v>Hadi Purnomo</v>
          </cell>
          <cell r="O275" t="str">
            <v>Dsn. Tempursari, RT.001/RW.001, Ds. Sembulung Kec. Cluring, Kab. Banyuwangi</v>
          </cell>
          <cell r="P275" t="str">
            <v>Banyuwangi</v>
          </cell>
          <cell r="Q275" t="str">
            <v>Dsn. Tempursari, RT.001/RW.001, Ds. Sembulung Kec. Cluring, Kab. Banyuwangi</v>
          </cell>
          <cell r="R275" t="str">
            <v>Banyuwangi</v>
          </cell>
          <cell r="S275" t="str">
            <v>H Bwi3</v>
          </cell>
          <cell r="T275" t="str">
            <v>Hafid</v>
          </cell>
          <cell r="U275">
            <v>60</v>
          </cell>
        </row>
        <row r="276">
          <cell r="E276" t="str">
            <v>D25009518</v>
          </cell>
          <cell r="F276"/>
          <cell r="G276">
            <v>1300000000</v>
          </cell>
          <cell r="H276" t="str">
            <v>Yuyun</v>
          </cell>
          <cell r="I276" t="str">
            <v>Farida</v>
          </cell>
          <cell r="J276"/>
          <cell r="K276" t="str">
            <v>KU</v>
          </cell>
          <cell r="L276" t="str">
            <v>ALBA01</v>
          </cell>
          <cell r="M276" t="str">
            <v>Al Badar/Badar, H</v>
          </cell>
          <cell r="N276" t="str">
            <v>Mohamad Badarudin</v>
          </cell>
          <cell r="O276" t="str">
            <v>Dsn. Sumbersari, RT.001/RW.015 Kel. Mayangan, Kec. Gumukmas</v>
          </cell>
          <cell r="P276" t="str">
            <v>Jember</v>
          </cell>
          <cell r="Q276" t="str">
            <v>Dsn. Sumbersari, RT.001/RW.015 Kel. Mayangan, Kec. Gumukmas</v>
          </cell>
          <cell r="R276" t="str">
            <v>Jember</v>
          </cell>
          <cell r="S276" t="str">
            <v>L Kota3</v>
          </cell>
          <cell r="T276" t="str">
            <v>Efendi</v>
          </cell>
          <cell r="U276">
            <v>90</v>
          </cell>
        </row>
        <row r="277">
          <cell r="E277" t="str">
            <v>D25009518</v>
          </cell>
          <cell r="F277"/>
          <cell r="G277">
            <v>1300000000</v>
          </cell>
          <cell r="H277" t="str">
            <v>Yuyun</v>
          </cell>
          <cell r="I277" t="str">
            <v>Farida</v>
          </cell>
          <cell r="J277"/>
          <cell r="K277" t="str">
            <v>KU</v>
          </cell>
          <cell r="L277" t="str">
            <v>ALBA01</v>
          </cell>
          <cell r="M277" t="str">
            <v>Al Badar/Badar, H</v>
          </cell>
          <cell r="N277" t="str">
            <v>Mohamad Badarudin</v>
          </cell>
          <cell r="O277" t="str">
            <v>Dsn. Sumbersari, RT.001/RW.015 Kel. Mayangan, Kec. Gumukmas</v>
          </cell>
          <cell r="P277" t="str">
            <v>Jember</v>
          </cell>
          <cell r="Q277" t="str">
            <v>Dsn. Sumbersari, RT.001/RW.015 Kel. Mayangan, Kec. Gumukmas</v>
          </cell>
          <cell r="R277" t="str">
            <v>Jember</v>
          </cell>
          <cell r="S277" t="str">
            <v>L Kota3</v>
          </cell>
          <cell r="T277" t="str">
            <v>Efendi</v>
          </cell>
          <cell r="U277">
            <v>90</v>
          </cell>
        </row>
        <row r="278">
          <cell r="E278" t="str">
            <v>D25011265</v>
          </cell>
          <cell r="F278"/>
          <cell r="G278">
            <v>1300000000</v>
          </cell>
          <cell r="H278" t="str">
            <v>Yuyun</v>
          </cell>
          <cell r="I278" t="str">
            <v>Farida</v>
          </cell>
          <cell r="J278"/>
          <cell r="K278" t="str">
            <v>KU</v>
          </cell>
          <cell r="L278" t="str">
            <v>ALBA01</v>
          </cell>
          <cell r="M278" t="str">
            <v>Al Badar/Badar, H</v>
          </cell>
          <cell r="N278" t="str">
            <v>Mohamad Badarudin</v>
          </cell>
          <cell r="O278" t="str">
            <v>Dsn. Sumbersari, RT.001/RW.015 Kel. Mayangan, Kec. Gumukmas</v>
          </cell>
          <cell r="P278" t="str">
            <v>Jember</v>
          </cell>
          <cell r="Q278" t="str">
            <v>Dsn. Sumbersari, RT.001/RW.015 Kel. Mayangan, Kec. Gumukmas</v>
          </cell>
          <cell r="R278" t="str">
            <v>Jember</v>
          </cell>
          <cell r="S278" t="str">
            <v>L Kota3</v>
          </cell>
          <cell r="T278" t="str">
            <v>Efendi</v>
          </cell>
          <cell r="U278">
            <v>30</v>
          </cell>
        </row>
        <row r="279">
          <cell r="E279" t="str">
            <v>D25012245</v>
          </cell>
          <cell r="F279"/>
          <cell r="G279">
            <v>1300000000</v>
          </cell>
          <cell r="H279" t="str">
            <v>Yuyun</v>
          </cell>
          <cell r="I279" t="str">
            <v>Farida</v>
          </cell>
          <cell r="J279"/>
          <cell r="K279" t="str">
            <v>KU</v>
          </cell>
          <cell r="L279" t="str">
            <v>ALBA01</v>
          </cell>
          <cell r="M279" t="str">
            <v>Al Badar/Badar, H</v>
          </cell>
          <cell r="N279" t="str">
            <v>Mohamad Badarudin</v>
          </cell>
          <cell r="O279" t="str">
            <v>Dsn. Sumbersari, RT.001/RW.015 Kel. Mayangan, Kec. Gumukmas</v>
          </cell>
          <cell r="P279" t="str">
            <v>Jember</v>
          </cell>
          <cell r="Q279" t="str">
            <v>Dsn. Sumbersari, RT.001/RW.015 Kel. Mayangan, Kec. Gumukmas</v>
          </cell>
          <cell r="R279" t="str">
            <v>Jember</v>
          </cell>
          <cell r="S279" t="str">
            <v>L Kota3</v>
          </cell>
          <cell r="T279" t="str">
            <v>Efendi</v>
          </cell>
          <cell r="U279">
            <v>30</v>
          </cell>
        </row>
        <row r="280">
          <cell r="E280" t="str">
            <v>D25012716</v>
          </cell>
          <cell r="F280"/>
          <cell r="G280">
            <v>1300000000</v>
          </cell>
          <cell r="H280" t="str">
            <v>Yuyun</v>
          </cell>
          <cell r="I280" t="str">
            <v>Farida</v>
          </cell>
          <cell r="J280"/>
          <cell r="K280" t="str">
            <v>KU</v>
          </cell>
          <cell r="L280" t="str">
            <v>ALBA01</v>
          </cell>
          <cell r="M280" t="str">
            <v>Al Badar/Badar, H</v>
          </cell>
          <cell r="N280" t="str">
            <v>Mohamad Badarudin</v>
          </cell>
          <cell r="O280" t="str">
            <v>Dsn. Sumbersari, RT.001/RW.015 Kel. Mayangan, Kec. Gumukmas</v>
          </cell>
          <cell r="P280" t="str">
            <v>Jember</v>
          </cell>
          <cell r="Q280" t="str">
            <v>Dsn. Sumbersari, RT.001/RW.015 Kel. Mayangan, Kec. Gumukmas</v>
          </cell>
          <cell r="R280" t="str">
            <v>Jember</v>
          </cell>
          <cell r="S280" t="str">
            <v>L Kota3</v>
          </cell>
          <cell r="T280" t="str">
            <v>Efendi</v>
          </cell>
          <cell r="U280">
            <v>30</v>
          </cell>
        </row>
        <row r="281">
          <cell r="E281" t="str">
            <v>D25012717</v>
          </cell>
          <cell r="F281"/>
          <cell r="G281">
            <v>1300000000</v>
          </cell>
          <cell r="H281" t="str">
            <v>Yuyun</v>
          </cell>
          <cell r="I281" t="str">
            <v>Farida</v>
          </cell>
          <cell r="J281"/>
          <cell r="K281" t="str">
            <v>KU</v>
          </cell>
          <cell r="L281" t="str">
            <v>ALBA01</v>
          </cell>
          <cell r="M281" t="str">
            <v>Al Badar/Badar, H</v>
          </cell>
          <cell r="N281" t="str">
            <v>Mohamad Badarudin</v>
          </cell>
          <cell r="O281" t="str">
            <v>Dsn. Sumbersari, RT.001/RW.015 Kel. Mayangan, Kec. Gumukmas</v>
          </cell>
          <cell r="P281" t="str">
            <v>Jember</v>
          </cell>
          <cell r="Q281" t="str">
            <v>Dsn. Sumbersari, RT.001/RW.015 Kel. Mayangan, Kec. Gumukmas</v>
          </cell>
          <cell r="R281" t="str">
            <v>Jember</v>
          </cell>
          <cell r="S281" t="str">
            <v>L Kota3</v>
          </cell>
          <cell r="T281" t="str">
            <v>Efendi</v>
          </cell>
          <cell r="U281">
            <v>30</v>
          </cell>
        </row>
        <row r="282">
          <cell r="E282" t="str">
            <v>D25012720</v>
          </cell>
          <cell r="F282"/>
          <cell r="G282">
            <v>1300000000</v>
          </cell>
          <cell r="H282" t="str">
            <v>Yuyun</v>
          </cell>
          <cell r="I282" t="str">
            <v>Farida</v>
          </cell>
          <cell r="J282"/>
          <cell r="K282" t="str">
            <v>KU</v>
          </cell>
          <cell r="L282" t="str">
            <v>ALBA01</v>
          </cell>
          <cell r="M282" t="str">
            <v>Al Badar/Badar, H</v>
          </cell>
          <cell r="N282" t="str">
            <v>Mohamad Badarudin</v>
          </cell>
          <cell r="O282" t="str">
            <v>Dsn. Sumbersari, RT.001/RW.015 Kel. Mayangan, Kec. Gumukmas</v>
          </cell>
          <cell r="P282" t="str">
            <v>Jember</v>
          </cell>
          <cell r="Q282" t="str">
            <v>Dsn. Sumbersari, RT.001/RW.015 Kel. Mayangan, Kec. Gumukmas</v>
          </cell>
          <cell r="R282" t="str">
            <v>Jember</v>
          </cell>
          <cell r="S282" t="str">
            <v>L Kota3</v>
          </cell>
          <cell r="T282" t="str">
            <v>Efendi</v>
          </cell>
          <cell r="U282">
            <v>30</v>
          </cell>
        </row>
        <row r="283">
          <cell r="E283" t="str">
            <v>B25010956</v>
          </cell>
          <cell r="F283"/>
          <cell r="G283">
            <v>1300000000</v>
          </cell>
          <cell r="H283" t="str">
            <v>Yuyun</v>
          </cell>
          <cell r="I283" t="str">
            <v>Farida</v>
          </cell>
          <cell r="J283"/>
          <cell r="K283" t="str">
            <v>KU</v>
          </cell>
          <cell r="L283" t="str">
            <v>ALBA01</v>
          </cell>
          <cell r="M283" t="str">
            <v>Al Badar/Badar, H</v>
          </cell>
          <cell r="N283" t="str">
            <v>Mohamad Badarudin</v>
          </cell>
          <cell r="O283" t="str">
            <v>Dsn. Sumbersari, RT.001/RW.015 Kel. Mayangan, Kec. Gumukmas</v>
          </cell>
          <cell r="P283" t="str">
            <v>Jember</v>
          </cell>
          <cell r="Q283" t="str">
            <v>Dsn. Sumbersari, RT.001/RW.015 Kel. Mayangan, Kec. Gumukmas</v>
          </cell>
          <cell r="R283" t="str">
            <v>Jember</v>
          </cell>
          <cell r="S283" t="str">
            <v>L Kota3</v>
          </cell>
          <cell r="T283" t="str">
            <v>Efendi</v>
          </cell>
          <cell r="U283">
            <v>30</v>
          </cell>
        </row>
        <row r="284">
          <cell r="E284" t="str">
            <v>D25013241</v>
          </cell>
          <cell r="F284"/>
          <cell r="G284">
            <v>1300000000</v>
          </cell>
          <cell r="H284" t="str">
            <v>Yuyun</v>
          </cell>
          <cell r="I284" t="str">
            <v>Farida</v>
          </cell>
          <cell r="J284"/>
          <cell r="K284" t="str">
            <v>KU</v>
          </cell>
          <cell r="L284" t="str">
            <v>ALBA01</v>
          </cell>
          <cell r="M284" t="str">
            <v>Al Badar/Badar, H</v>
          </cell>
          <cell r="N284" t="str">
            <v>Mohamad Badarudin</v>
          </cell>
          <cell r="O284" t="str">
            <v>Dsn. Sumbersari, RT.001/RW.015 Kel. Mayangan, Kec. Gumukmas</v>
          </cell>
          <cell r="P284" t="str">
            <v>Jember</v>
          </cell>
          <cell r="Q284" t="str">
            <v>Dsn. Sumbersari, RT.001/RW.015 Kel. Mayangan, Kec. Gumukmas</v>
          </cell>
          <cell r="R284" t="str">
            <v>Jember</v>
          </cell>
          <cell r="S284" t="str">
            <v>L Kota3</v>
          </cell>
          <cell r="T284" t="str">
            <v>Efendi</v>
          </cell>
          <cell r="U284">
            <v>30</v>
          </cell>
        </row>
        <row r="285">
          <cell r="E285" t="str">
            <v>B25011080</v>
          </cell>
          <cell r="F285"/>
          <cell r="G285">
            <v>1300000000</v>
          </cell>
          <cell r="H285" t="str">
            <v>Yuyun</v>
          </cell>
          <cell r="I285" t="str">
            <v>Farida</v>
          </cell>
          <cell r="J285"/>
          <cell r="K285" t="str">
            <v>KU</v>
          </cell>
          <cell r="L285" t="str">
            <v>ALBA01</v>
          </cell>
          <cell r="M285" t="str">
            <v>Al Badar/Badar, H</v>
          </cell>
          <cell r="N285" t="str">
            <v>Mohamad Badarudin</v>
          </cell>
          <cell r="O285" t="str">
            <v>Dsn. Sumbersari, RT.001/RW.015 Kel. Mayangan, Kec. Gumukmas</v>
          </cell>
          <cell r="P285" t="str">
            <v>Jember</v>
          </cell>
          <cell r="Q285" t="str">
            <v>Dsn. Sumbersari, RT.001/RW.015 Kel. Mayangan, Kec. Gumukmas</v>
          </cell>
          <cell r="R285" t="str">
            <v>Jember</v>
          </cell>
          <cell r="S285" t="str">
            <v>L Kota3</v>
          </cell>
          <cell r="T285" t="str">
            <v>Efendi</v>
          </cell>
          <cell r="U285">
            <v>30</v>
          </cell>
        </row>
        <row r="286">
          <cell r="E286" t="str">
            <v>B25011081</v>
          </cell>
          <cell r="F286"/>
          <cell r="G286">
            <v>1300000000</v>
          </cell>
          <cell r="H286" t="str">
            <v>Yuyun</v>
          </cell>
          <cell r="I286" t="str">
            <v>Farida</v>
          </cell>
          <cell r="J286"/>
          <cell r="K286" t="str">
            <v>KU</v>
          </cell>
          <cell r="L286" t="str">
            <v>ALBA01</v>
          </cell>
          <cell r="M286" t="str">
            <v>Al Badar/Badar, H</v>
          </cell>
          <cell r="N286" t="str">
            <v>Mohamad Badarudin</v>
          </cell>
          <cell r="O286" t="str">
            <v>Dsn. Sumbersari, RT.001/RW.015 Kel. Mayangan, Kec. Gumukmas</v>
          </cell>
          <cell r="P286" t="str">
            <v>Jember</v>
          </cell>
          <cell r="Q286" t="str">
            <v>Dsn. Sumbersari, RT.001/RW.015 Kel. Mayangan, Kec. Gumukmas</v>
          </cell>
          <cell r="R286" t="str">
            <v>Jember</v>
          </cell>
          <cell r="S286" t="str">
            <v>L Kota3</v>
          </cell>
          <cell r="T286" t="str">
            <v>Efendi</v>
          </cell>
          <cell r="U286">
            <v>30</v>
          </cell>
        </row>
        <row r="287">
          <cell r="E287" t="str">
            <v>D25013410</v>
          </cell>
          <cell r="F287"/>
          <cell r="G287">
            <v>1300000000</v>
          </cell>
          <cell r="H287" t="str">
            <v>Yuyun</v>
          </cell>
          <cell r="I287" t="str">
            <v>Farida</v>
          </cell>
          <cell r="J287"/>
          <cell r="K287" t="str">
            <v>KU</v>
          </cell>
          <cell r="L287" t="str">
            <v>ALBA01</v>
          </cell>
          <cell r="M287" t="str">
            <v>Al Badar/Badar, H</v>
          </cell>
          <cell r="N287" t="str">
            <v>Mohamad Badarudin</v>
          </cell>
          <cell r="O287" t="str">
            <v>Dsn. Sumbersari, RT.001/RW.015 Kel. Mayangan, Kec. Gumukmas</v>
          </cell>
          <cell r="P287" t="str">
            <v>Jember</v>
          </cell>
          <cell r="Q287" t="str">
            <v>Dsn. Sumbersari, RT.001/RW.015 Kel. Mayangan, Kec. Gumukmas</v>
          </cell>
          <cell r="R287" t="str">
            <v>Jember</v>
          </cell>
          <cell r="S287" t="str">
            <v>L Kota3</v>
          </cell>
          <cell r="T287" t="str">
            <v>Efendi</v>
          </cell>
          <cell r="U287">
            <v>30</v>
          </cell>
        </row>
        <row r="288">
          <cell r="E288" t="str">
            <v>D25013689</v>
          </cell>
          <cell r="F288"/>
          <cell r="G288">
            <v>1300000000</v>
          </cell>
          <cell r="H288" t="str">
            <v>Yuyun</v>
          </cell>
          <cell r="I288" t="str">
            <v>Farida</v>
          </cell>
          <cell r="J288"/>
          <cell r="K288" t="str">
            <v>KU</v>
          </cell>
          <cell r="L288" t="str">
            <v>ALBA01</v>
          </cell>
          <cell r="M288" t="str">
            <v>Al Badar/Badar, H</v>
          </cell>
          <cell r="N288" t="str">
            <v>Mohamad Badarudin</v>
          </cell>
          <cell r="O288" t="str">
            <v>Dsn. Sumbersari, RT.001/RW.015 Kel. Mayangan, Kec. Gumukmas</v>
          </cell>
          <cell r="P288" t="str">
            <v>Jember</v>
          </cell>
          <cell r="Q288" t="str">
            <v>Dsn. Sumbersari, RT.001/RW.015 Kel. Mayangan, Kec. Gumukmas</v>
          </cell>
          <cell r="R288" t="str">
            <v>Jember</v>
          </cell>
          <cell r="S288" t="str">
            <v>L Kota3</v>
          </cell>
          <cell r="T288" t="str">
            <v>Efendi</v>
          </cell>
          <cell r="U288">
            <v>60</v>
          </cell>
        </row>
        <row r="289">
          <cell r="E289" t="str">
            <v>D25013690</v>
          </cell>
          <cell r="F289"/>
          <cell r="G289">
            <v>1300000000</v>
          </cell>
          <cell r="H289" t="str">
            <v>Yuyun</v>
          </cell>
          <cell r="I289" t="str">
            <v>Farida</v>
          </cell>
          <cell r="J289"/>
          <cell r="K289" t="str">
            <v>KU</v>
          </cell>
          <cell r="L289" t="str">
            <v>ALBA01</v>
          </cell>
          <cell r="M289" t="str">
            <v>Al Badar/Badar, H</v>
          </cell>
          <cell r="N289" t="str">
            <v>Mohamad Badarudin</v>
          </cell>
          <cell r="O289" t="str">
            <v>Dsn. Sumbersari, RT.001/RW.015 Kel. Mayangan, Kec. Gumukmas</v>
          </cell>
          <cell r="P289" t="str">
            <v>Jember</v>
          </cell>
          <cell r="Q289" t="str">
            <v>Dsn. Sumbersari, RT.001/RW.015 Kel. Mayangan, Kec. Gumukmas</v>
          </cell>
          <cell r="R289" t="str">
            <v>Jember</v>
          </cell>
          <cell r="S289" t="str">
            <v>L Kota3</v>
          </cell>
          <cell r="T289" t="str">
            <v>Efendi</v>
          </cell>
          <cell r="U289">
            <v>30</v>
          </cell>
        </row>
        <row r="290">
          <cell r="E290" t="str">
            <v>B25011515</v>
          </cell>
          <cell r="F290"/>
          <cell r="G290">
            <v>1300000000</v>
          </cell>
          <cell r="H290" t="str">
            <v>Yuyun</v>
          </cell>
          <cell r="I290" t="str">
            <v>Farida</v>
          </cell>
          <cell r="J290"/>
          <cell r="K290" t="str">
            <v>KU</v>
          </cell>
          <cell r="L290" t="str">
            <v>ALBA01</v>
          </cell>
          <cell r="M290" t="str">
            <v>Al Badar/Badar, H</v>
          </cell>
          <cell r="N290" t="str">
            <v>Mohamad Badarudin</v>
          </cell>
          <cell r="O290" t="str">
            <v>Dsn. Sumbersari, RT.001/RW.015 Kel. Mayangan, Kec. Gumukmas</v>
          </cell>
          <cell r="P290" t="str">
            <v>Jember</v>
          </cell>
          <cell r="Q290" t="str">
            <v>Dsn. Sumbersari, RT.001/RW.015 Kel. Mayangan, Kec. Gumukmas</v>
          </cell>
          <cell r="R290" t="str">
            <v>Jember</v>
          </cell>
          <cell r="S290" t="str">
            <v>L Kota3</v>
          </cell>
          <cell r="T290" t="str">
            <v>Efendi</v>
          </cell>
          <cell r="U290">
            <v>30</v>
          </cell>
        </row>
        <row r="291">
          <cell r="E291" t="str">
            <v>D25013861</v>
          </cell>
          <cell r="F291"/>
          <cell r="G291">
            <v>1300000000</v>
          </cell>
          <cell r="H291" t="str">
            <v>Yuyun</v>
          </cell>
          <cell r="I291" t="str">
            <v>Farida</v>
          </cell>
          <cell r="J291"/>
          <cell r="K291" t="str">
            <v>KU</v>
          </cell>
          <cell r="L291" t="str">
            <v>ALBA01</v>
          </cell>
          <cell r="M291" t="str">
            <v>Al Badar/Badar, H</v>
          </cell>
          <cell r="N291" t="str">
            <v>Mohamad Badarudin</v>
          </cell>
          <cell r="O291" t="str">
            <v>Dsn. Sumbersari, RT.001/RW.015 Kel. Mayangan, Kec. Gumukmas</v>
          </cell>
          <cell r="P291" t="str">
            <v>Jember</v>
          </cell>
          <cell r="Q291" t="str">
            <v>Dsn. Sumbersari, RT.001/RW.015 Kel. Mayangan, Kec. Gumukmas</v>
          </cell>
          <cell r="R291" t="str">
            <v>Jember</v>
          </cell>
          <cell r="S291" t="str">
            <v>L Kota3</v>
          </cell>
          <cell r="T291" t="str">
            <v>Efendi</v>
          </cell>
          <cell r="U291">
            <v>30</v>
          </cell>
        </row>
        <row r="292">
          <cell r="E292" t="str">
            <v>D25014131</v>
          </cell>
          <cell r="F292"/>
          <cell r="G292">
            <v>1300000000</v>
          </cell>
          <cell r="H292" t="str">
            <v>Yuyun</v>
          </cell>
          <cell r="I292" t="str">
            <v>Farida</v>
          </cell>
          <cell r="J292"/>
          <cell r="K292" t="str">
            <v>KU</v>
          </cell>
          <cell r="L292" t="str">
            <v>ALBA01</v>
          </cell>
          <cell r="M292" t="str">
            <v>Al Badar/Badar, H</v>
          </cell>
          <cell r="N292" t="str">
            <v>Mohamad Badarudin</v>
          </cell>
          <cell r="O292" t="str">
            <v>Dsn. Sumbersari, RT.001/RW.015 Kel. Mayangan, Kec. Gumukmas</v>
          </cell>
          <cell r="P292" t="str">
            <v>Jember</v>
          </cell>
          <cell r="Q292" t="str">
            <v>Dsn. Sumbersari, RT.001/RW.015 Kel. Mayangan, Kec. Gumukmas</v>
          </cell>
          <cell r="R292" t="str">
            <v>Jember</v>
          </cell>
          <cell r="S292" t="str">
            <v>L Kota3</v>
          </cell>
          <cell r="T292" t="str">
            <v>Efendi</v>
          </cell>
          <cell r="U292">
            <v>30</v>
          </cell>
        </row>
        <row r="293">
          <cell r="E293" t="str">
            <v>D25014143</v>
          </cell>
          <cell r="F293"/>
          <cell r="G293">
            <v>1300000000</v>
          </cell>
          <cell r="H293" t="str">
            <v>Yuyun</v>
          </cell>
          <cell r="I293" t="str">
            <v>Farida</v>
          </cell>
          <cell r="J293"/>
          <cell r="K293" t="str">
            <v>KU</v>
          </cell>
          <cell r="L293" t="str">
            <v>ALBA01</v>
          </cell>
          <cell r="M293" t="str">
            <v>Al Badar/Badar, H</v>
          </cell>
          <cell r="N293" t="str">
            <v>Mohamad Badarudin</v>
          </cell>
          <cell r="O293" t="str">
            <v>Dsn. Sumbersari, RT.001/RW.015 Kel. Mayangan, Kec. Gumukmas</v>
          </cell>
          <cell r="P293" t="str">
            <v>Jember</v>
          </cell>
          <cell r="Q293" t="str">
            <v>Dsn. Sumbersari, RT.001/RW.015 Kel. Mayangan, Kec. Gumukmas</v>
          </cell>
          <cell r="R293" t="str">
            <v>Jember</v>
          </cell>
          <cell r="S293" t="str">
            <v>L Kota3</v>
          </cell>
          <cell r="T293" t="str">
            <v>Efendi</v>
          </cell>
          <cell r="U293">
            <v>30</v>
          </cell>
        </row>
        <row r="294">
          <cell r="E294" t="str">
            <v>D25014157</v>
          </cell>
          <cell r="F294"/>
          <cell r="G294">
            <v>1300000000</v>
          </cell>
          <cell r="H294" t="str">
            <v>Yuyun</v>
          </cell>
          <cell r="I294" t="str">
            <v>Farida</v>
          </cell>
          <cell r="J294"/>
          <cell r="K294" t="str">
            <v>KU</v>
          </cell>
          <cell r="L294" t="str">
            <v>ALBA01</v>
          </cell>
          <cell r="M294" t="str">
            <v>Al Badar/Badar, H</v>
          </cell>
          <cell r="N294" t="str">
            <v>Mohamad Badarudin</v>
          </cell>
          <cell r="O294" t="str">
            <v>Dsn. Sumbersari, RT.001/RW.015 Kel. Mayangan, Kec. Gumukmas</v>
          </cell>
          <cell r="P294" t="str">
            <v>Jember</v>
          </cell>
          <cell r="Q294" t="str">
            <v>Dsn. Sumbersari, RT.001/RW.015 Kel. Mayangan, Kec. Gumukmas</v>
          </cell>
          <cell r="R294" t="str">
            <v>Jember</v>
          </cell>
          <cell r="S294" t="str">
            <v>L Kota3</v>
          </cell>
          <cell r="T294" t="str">
            <v>Efendi</v>
          </cell>
          <cell r="U294">
            <v>30</v>
          </cell>
        </row>
        <row r="295">
          <cell r="E295" t="str">
            <v>D25014769</v>
          </cell>
          <cell r="F295"/>
          <cell r="G295">
            <v>1300000000</v>
          </cell>
          <cell r="H295" t="str">
            <v>Yuyun</v>
          </cell>
          <cell r="I295" t="str">
            <v>Farida</v>
          </cell>
          <cell r="J295"/>
          <cell r="K295" t="str">
            <v>KU</v>
          </cell>
          <cell r="L295" t="str">
            <v>ALBA01</v>
          </cell>
          <cell r="M295" t="str">
            <v>Al Badar/Badar, H</v>
          </cell>
          <cell r="N295" t="str">
            <v>Mohamad Badarudin</v>
          </cell>
          <cell r="O295" t="str">
            <v>Dsn. Sumbersari, RT.001/RW.015 Kel. Mayangan, Kec. Gumukmas</v>
          </cell>
          <cell r="P295" t="str">
            <v>Jember</v>
          </cell>
          <cell r="Q295" t="str">
            <v>Dsn. Sumbersari, RT.001/RW.015 Kel. Mayangan, Kec. Gumukmas</v>
          </cell>
          <cell r="R295" t="str">
            <v>Jember</v>
          </cell>
          <cell r="S295" t="str">
            <v>L Kota3</v>
          </cell>
          <cell r="T295" t="str">
            <v>Efendi</v>
          </cell>
          <cell r="U295">
            <v>30</v>
          </cell>
        </row>
        <row r="296">
          <cell r="E296" t="str">
            <v>D25014770</v>
          </cell>
          <cell r="F296"/>
          <cell r="G296">
            <v>1300000000</v>
          </cell>
          <cell r="H296" t="str">
            <v>Yuyun</v>
          </cell>
          <cell r="I296" t="str">
            <v>Farida</v>
          </cell>
          <cell r="J296"/>
          <cell r="K296" t="str">
            <v>KU</v>
          </cell>
          <cell r="L296" t="str">
            <v>ALBA01</v>
          </cell>
          <cell r="M296" t="str">
            <v>Al Badar/Badar, H</v>
          </cell>
          <cell r="N296" t="str">
            <v>Mohamad Badarudin</v>
          </cell>
          <cell r="O296" t="str">
            <v>Dsn. Sumbersari, RT.001/RW.015 Kel. Mayangan, Kec. Gumukmas</v>
          </cell>
          <cell r="P296" t="str">
            <v>Jember</v>
          </cell>
          <cell r="Q296" t="str">
            <v>Dsn. Sumbersari, RT.001/RW.015 Kel. Mayangan, Kec. Gumukmas</v>
          </cell>
          <cell r="R296" t="str">
            <v>Jember</v>
          </cell>
          <cell r="S296" t="str">
            <v>L Kota3</v>
          </cell>
          <cell r="T296" t="str">
            <v>Efendi</v>
          </cell>
          <cell r="U296">
            <v>0</v>
          </cell>
        </row>
        <row r="297">
          <cell r="E297" t="str">
            <v>D25015014</v>
          </cell>
          <cell r="F297"/>
          <cell r="G297">
            <v>1300000000</v>
          </cell>
          <cell r="H297" t="str">
            <v>Yuyun</v>
          </cell>
          <cell r="I297" t="str">
            <v>Farida</v>
          </cell>
          <cell r="J297"/>
          <cell r="K297" t="str">
            <v>KU</v>
          </cell>
          <cell r="L297" t="str">
            <v>ALBA01</v>
          </cell>
          <cell r="M297" t="str">
            <v>Al Badar/Badar, H</v>
          </cell>
          <cell r="N297" t="str">
            <v>Mohamad Badarudin</v>
          </cell>
          <cell r="O297" t="str">
            <v>Dsn. Sumbersari, RT.001/RW.015 Kel. Mayangan, Kec. Gumukmas</v>
          </cell>
          <cell r="P297" t="str">
            <v>Jember</v>
          </cell>
          <cell r="Q297" t="str">
            <v>Dsn. Sumbersari, RT.001/RW.015 Kel. Mayangan, Kec. Gumukmas</v>
          </cell>
          <cell r="R297" t="str">
            <v>Jember</v>
          </cell>
          <cell r="S297" t="str">
            <v>L Kota3</v>
          </cell>
          <cell r="T297" t="str">
            <v>Efendi</v>
          </cell>
          <cell r="U297">
            <v>30</v>
          </cell>
        </row>
        <row r="298">
          <cell r="E298" t="str">
            <v>B25012851</v>
          </cell>
          <cell r="F298"/>
          <cell r="G298">
            <v>1300000000</v>
          </cell>
          <cell r="H298" t="str">
            <v>Yuyun</v>
          </cell>
          <cell r="I298" t="str">
            <v>Farida</v>
          </cell>
          <cell r="J298"/>
          <cell r="K298" t="str">
            <v>KU</v>
          </cell>
          <cell r="L298" t="str">
            <v>ALBA01</v>
          </cell>
          <cell r="M298" t="str">
            <v>Al Badar/Badar, H</v>
          </cell>
          <cell r="N298" t="str">
            <v>Mohamad Badarudin</v>
          </cell>
          <cell r="O298" t="str">
            <v>Dsn. Sumbersari, RT.001/RW.015 Kel. Mayangan, Kec. Gumukmas</v>
          </cell>
          <cell r="P298" t="str">
            <v>Jember</v>
          </cell>
          <cell r="Q298" t="str">
            <v>Dsn. Sumbersari, RT.001/RW.015 Kel. Mayangan, Kec. Gumukmas</v>
          </cell>
          <cell r="R298" t="str">
            <v>Jember</v>
          </cell>
          <cell r="S298" t="str">
            <v>L Kota3</v>
          </cell>
          <cell r="T298" t="str">
            <v>Efendi</v>
          </cell>
          <cell r="U298">
            <v>30</v>
          </cell>
        </row>
        <row r="299">
          <cell r="E299" t="str">
            <v>D25015145</v>
          </cell>
          <cell r="F299"/>
          <cell r="G299">
            <v>1300000000</v>
          </cell>
          <cell r="H299" t="str">
            <v>Yuyun</v>
          </cell>
          <cell r="I299" t="str">
            <v>Farida</v>
          </cell>
          <cell r="J299"/>
          <cell r="K299" t="str">
            <v>KU</v>
          </cell>
          <cell r="L299" t="str">
            <v>ALBA01</v>
          </cell>
          <cell r="M299" t="str">
            <v>Al Badar/Badar, H</v>
          </cell>
          <cell r="N299" t="str">
            <v>Mohamad Badarudin</v>
          </cell>
          <cell r="O299" t="str">
            <v>Dsn. Sumbersari, RT.001/RW.015 Kel. Mayangan, Kec. Gumukmas</v>
          </cell>
          <cell r="P299" t="str">
            <v>Jember</v>
          </cell>
          <cell r="Q299" t="str">
            <v>Dsn. Sumbersari, RT.001/RW.015 Kel. Mayangan, Kec. Gumukmas</v>
          </cell>
          <cell r="R299" t="str">
            <v>Jember</v>
          </cell>
          <cell r="S299" t="str">
            <v>L Kota3</v>
          </cell>
          <cell r="T299" t="str">
            <v>Efendi</v>
          </cell>
          <cell r="U299">
            <v>30</v>
          </cell>
        </row>
        <row r="300">
          <cell r="E300" t="str">
            <v>D25015152</v>
          </cell>
          <cell r="F300"/>
          <cell r="G300">
            <v>1300000000</v>
          </cell>
          <cell r="H300" t="str">
            <v>Yuyun</v>
          </cell>
          <cell r="I300" t="str">
            <v>Farida</v>
          </cell>
          <cell r="J300"/>
          <cell r="K300" t="str">
            <v>KU</v>
          </cell>
          <cell r="L300" t="str">
            <v>ALBA01</v>
          </cell>
          <cell r="M300" t="str">
            <v>Al Badar/Badar, H</v>
          </cell>
          <cell r="N300" t="str">
            <v>Mohamad Badarudin</v>
          </cell>
          <cell r="O300" t="str">
            <v>Dsn. Sumbersari, RT.001/RW.015 Kel. Mayangan, Kec. Gumukmas</v>
          </cell>
          <cell r="P300" t="str">
            <v>Jember</v>
          </cell>
          <cell r="Q300" t="str">
            <v>Dsn. Sumbersari, RT.001/RW.015 Kel. Mayangan, Kec. Gumukmas</v>
          </cell>
          <cell r="R300" t="str">
            <v>Jember</v>
          </cell>
          <cell r="S300" t="str">
            <v>L Kota3</v>
          </cell>
          <cell r="T300" t="str">
            <v>Efendi</v>
          </cell>
          <cell r="U300">
            <v>30</v>
          </cell>
        </row>
        <row r="301">
          <cell r="E301" t="str">
            <v>B25013422</v>
          </cell>
          <cell r="F301"/>
          <cell r="G301">
            <v>1300000000</v>
          </cell>
          <cell r="H301" t="str">
            <v>Yuyun</v>
          </cell>
          <cell r="I301" t="str">
            <v>Farida</v>
          </cell>
          <cell r="J301"/>
          <cell r="K301" t="str">
            <v>KU</v>
          </cell>
          <cell r="L301" t="str">
            <v>ALBA01</v>
          </cell>
          <cell r="M301" t="str">
            <v>Al Badar/Badar, H</v>
          </cell>
          <cell r="N301" t="str">
            <v>Mohamad Badarudin</v>
          </cell>
          <cell r="O301" t="str">
            <v>Dsn. Sumbersari, RT.001/RW.015 Kel. Mayangan, Kec. Gumukmas</v>
          </cell>
          <cell r="P301" t="str">
            <v>Jember</v>
          </cell>
          <cell r="Q301" t="str">
            <v>Dsn. Sumbersari, RT.001/RW.015 Kel. Mayangan, Kec. Gumukmas</v>
          </cell>
          <cell r="R301" t="str">
            <v>Jember</v>
          </cell>
          <cell r="S301" t="str">
            <v>L Kota3</v>
          </cell>
          <cell r="T301" t="str">
            <v>Efendi</v>
          </cell>
          <cell r="U301">
            <v>0</v>
          </cell>
        </row>
        <row r="302">
          <cell r="E302" t="str">
            <v>B25013423</v>
          </cell>
          <cell r="F302"/>
          <cell r="G302">
            <v>1300000000</v>
          </cell>
          <cell r="H302" t="str">
            <v>Yuyun</v>
          </cell>
          <cell r="I302" t="str">
            <v>Farida</v>
          </cell>
          <cell r="J302"/>
          <cell r="K302" t="str">
            <v>KU</v>
          </cell>
          <cell r="L302" t="str">
            <v>ALBA01</v>
          </cell>
          <cell r="M302" t="str">
            <v>Al Badar/Badar, H</v>
          </cell>
          <cell r="N302" t="str">
            <v>Mohamad Badarudin</v>
          </cell>
          <cell r="O302" t="str">
            <v>Dsn. Sumbersari, RT.001/RW.015 Kel. Mayangan, Kec. Gumukmas</v>
          </cell>
          <cell r="P302" t="str">
            <v>Jember</v>
          </cell>
          <cell r="Q302" t="str">
            <v>Dsn. Sumbersari, RT.001/RW.015 Kel. Mayangan, Kec. Gumukmas</v>
          </cell>
          <cell r="R302" t="str">
            <v>Jember</v>
          </cell>
          <cell r="S302" t="str">
            <v>L Kota3</v>
          </cell>
          <cell r="T302" t="str">
            <v>Efendi</v>
          </cell>
          <cell r="U302">
            <v>0</v>
          </cell>
        </row>
        <row r="303">
          <cell r="E303" t="str">
            <v>D25016263</v>
          </cell>
          <cell r="F303"/>
          <cell r="G303">
            <v>1300000000</v>
          </cell>
          <cell r="H303" t="str">
            <v>Yuyun</v>
          </cell>
          <cell r="I303" t="str">
            <v>Farida</v>
          </cell>
          <cell r="J303"/>
          <cell r="K303" t="str">
            <v>KU</v>
          </cell>
          <cell r="L303" t="str">
            <v>ALBA01</v>
          </cell>
          <cell r="M303" t="str">
            <v>Al Badar/Badar, H</v>
          </cell>
          <cell r="N303" t="str">
            <v>Mohamad Badarudin</v>
          </cell>
          <cell r="O303" t="str">
            <v>Dsn. Sumbersari, RT.001/RW.015 Kel. Mayangan, Kec. Gumukmas</v>
          </cell>
          <cell r="P303" t="str">
            <v>Jember</v>
          </cell>
          <cell r="Q303" t="str">
            <v>Dsn. Sumbersari, RT.001/RW.015 Kel. Mayangan, Kec. Gumukmas</v>
          </cell>
          <cell r="R303" t="str">
            <v>Jember</v>
          </cell>
          <cell r="S303" t="str">
            <v>L Kota3</v>
          </cell>
          <cell r="T303" t="str">
            <v>Efendi</v>
          </cell>
          <cell r="U303">
            <v>0</v>
          </cell>
        </row>
        <row r="304">
          <cell r="E304" t="str">
            <v>B25014037</v>
          </cell>
          <cell r="F304"/>
          <cell r="G304">
            <v>1300000000</v>
          </cell>
          <cell r="H304" t="str">
            <v>Yuyun</v>
          </cell>
          <cell r="I304" t="str">
            <v>Farida</v>
          </cell>
          <cell r="J304"/>
          <cell r="K304" t="str">
            <v>KU</v>
          </cell>
          <cell r="L304" t="str">
            <v>ALBA01</v>
          </cell>
          <cell r="M304" t="str">
            <v>Al Badar/Badar, H</v>
          </cell>
          <cell r="N304" t="str">
            <v>Mohamad Badarudin</v>
          </cell>
          <cell r="O304" t="str">
            <v>Dsn. Sumbersari, RT.001/RW.015 Kel. Mayangan, Kec. Gumukmas</v>
          </cell>
          <cell r="P304" t="str">
            <v>Jember</v>
          </cell>
          <cell r="Q304" t="str">
            <v>Dsn. Sumbersari, RT.001/RW.015 Kel. Mayangan, Kec. Gumukmas</v>
          </cell>
          <cell r="R304" t="str">
            <v>Jember</v>
          </cell>
          <cell r="S304" t="str">
            <v>L Kota3</v>
          </cell>
          <cell r="T304" t="str">
            <v>Efendi</v>
          </cell>
          <cell r="U304">
            <v>0</v>
          </cell>
        </row>
        <row r="305">
          <cell r="E305" t="str">
            <v>B25014038</v>
          </cell>
          <cell r="F305"/>
          <cell r="G305">
            <v>1300000000</v>
          </cell>
          <cell r="H305" t="str">
            <v>Yuyun</v>
          </cell>
          <cell r="I305" t="str">
            <v>Farida</v>
          </cell>
          <cell r="J305"/>
          <cell r="K305" t="str">
            <v>KU</v>
          </cell>
          <cell r="L305" t="str">
            <v>ALBA01</v>
          </cell>
          <cell r="M305" t="str">
            <v>Al Badar/Badar, H</v>
          </cell>
          <cell r="N305" t="str">
            <v>Mohamad Badarudin</v>
          </cell>
          <cell r="O305" t="str">
            <v>Dsn. Sumbersari, RT.001/RW.015 Kel. Mayangan, Kec. Gumukmas</v>
          </cell>
          <cell r="P305" t="str">
            <v>Jember</v>
          </cell>
          <cell r="Q305" t="str">
            <v>Dsn. Sumbersari, RT.001/RW.015 Kel. Mayangan, Kec. Gumukmas</v>
          </cell>
          <cell r="R305" t="str">
            <v>Jember</v>
          </cell>
          <cell r="S305" t="str">
            <v>L Kota3</v>
          </cell>
          <cell r="T305" t="str">
            <v>Efendi</v>
          </cell>
          <cell r="U305">
            <v>30</v>
          </cell>
        </row>
        <row r="306">
          <cell r="E306" t="str">
            <v>D25016362</v>
          </cell>
          <cell r="F306"/>
          <cell r="G306">
            <v>1300000000</v>
          </cell>
          <cell r="H306" t="str">
            <v>Yuyun</v>
          </cell>
          <cell r="I306" t="str">
            <v>Farida</v>
          </cell>
          <cell r="J306"/>
          <cell r="K306" t="str">
            <v>KU</v>
          </cell>
          <cell r="L306" t="str">
            <v>ALBA01</v>
          </cell>
          <cell r="M306" t="str">
            <v>Al Badar/Badar, H</v>
          </cell>
          <cell r="N306" t="str">
            <v>Mohamad Badarudin</v>
          </cell>
          <cell r="O306" t="str">
            <v>Dsn. Sumbersari, RT.001/RW.015 Kel. Mayangan, Kec. Gumukmas</v>
          </cell>
          <cell r="P306" t="str">
            <v>Jember</v>
          </cell>
          <cell r="Q306" t="str">
            <v>Dsn. Sumbersari, RT.001/RW.015 Kel. Mayangan, Kec. Gumukmas</v>
          </cell>
          <cell r="R306" t="str">
            <v>Jember</v>
          </cell>
          <cell r="S306" t="str">
            <v>L Kota3</v>
          </cell>
          <cell r="T306" t="str">
            <v>Efendi</v>
          </cell>
          <cell r="U306">
            <v>30</v>
          </cell>
        </row>
        <row r="307">
          <cell r="E307" t="str">
            <v>D25016363</v>
          </cell>
          <cell r="F307"/>
          <cell r="G307">
            <v>1000</v>
          </cell>
          <cell r="H307" t="str">
            <v>Yuyun</v>
          </cell>
          <cell r="I307" t="str">
            <v>Farida</v>
          </cell>
          <cell r="J307" t="str">
            <v>New 31/08/20</v>
          </cell>
          <cell r="K307" t="str">
            <v>KU</v>
          </cell>
          <cell r="L307" t="str">
            <v>ALFA02</v>
          </cell>
          <cell r="M307" t="str">
            <v>Al Fazza Jaya, UD</v>
          </cell>
          <cell r="N307" t="str">
            <v>Eva Ariestin</v>
          </cell>
          <cell r="O307" t="str">
            <v>Dusun Kepel, RT.001/RW.012, Kel. Lojejer, Kec. Wuluhan</v>
          </cell>
          <cell r="P307" t="str">
            <v>Jember</v>
          </cell>
          <cell r="Q307" t="str">
            <v>Dusun Kepel, RT.001/RW.012, Kel. Lojejer, Kec. Wuluhan</v>
          </cell>
          <cell r="R307" t="str">
            <v>Jember</v>
          </cell>
          <cell r="S307" t="str">
            <v>L Kota2</v>
          </cell>
          <cell r="T307" t="str">
            <v>Wira</v>
          </cell>
          <cell r="U307">
            <v>0</v>
          </cell>
        </row>
        <row r="308">
          <cell r="E308" t="str">
            <v>B25010224</v>
          </cell>
          <cell r="F308"/>
          <cell r="G308">
            <v>50000000</v>
          </cell>
          <cell r="H308" t="str">
            <v>Zakia</v>
          </cell>
          <cell r="I308" t="str">
            <v>Tiya</v>
          </cell>
          <cell r="J308" t="str">
            <v>New 26/05/20</v>
          </cell>
          <cell r="K308" t="str">
            <v>KU, Tunai</v>
          </cell>
          <cell r="L308" t="str">
            <v>ALMU02</v>
          </cell>
          <cell r="M308" t="str">
            <v>Al Mubarok/Lutfi</v>
          </cell>
          <cell r="N308" t="str">
            <v>AL Mubarok, CV</v>
          </cell>
          <cell r="O308" t="str">
            <v>Dsn. Bendolowo RT.002/RW.004, Tawangrejo, Wonodadi</v>
          </cell>
          <cell r="P308" t="str">
            <v>Blitar</v>
          </cell>
          <cell r="Q308" t="str">
            <v>Dusun Bendolowo, RT.002/RW.004, Kel. Tawangrejo, Kec. Wonodadi</v>
          </cell>
          <cell r="R308" t="str">
            <v>Blitar</v>
          </cell>
          <cell r="S308" t="str">
            <v>D Barat1</v>
          </cell>
          <cell r="T308" t="str">
            <v>Tomi</v>
          </cell>
          <cell r="U308">
            <v>60</v>
          </cell>
        </row>
        <row r="309">
          <cell r="E309" t="str">
            <v>B25011551</v>
          </cell>
          <cell r="F309"/>
          <cell r="G309">
            <v>50000000</v>
          </cell>
          <cell r="H309" t="str">
            <v>Zakia</v>
          </cell>
          <cell r="I309" t="str">
            <v>Tiya</v>
          </cell>
          <cell r="J309" t="str">
            <v>New 26/05/20</v>
          </cell>
          <cell r="K309" t="str">
            <v>KU, Tunai</v>
          </cell>
          <cell r="L309" t="str">
            <v>ALMU02</v>
          </cell>
          <cell r="M309" t="str">
            <v>Al Mubarok/Lutfi</v>
          </cell>
          <cell r="N309" t="str">
            <v>AL Mubarok, CV</v>
          </cell>
          <cell r="O309" t="str">
            <v>Dsn. Bendolowo RT.002/RW.004, Tawangrejo, Wonodadi</v>
          </cell>
          <cell r="P309" t="str">
            <v>Blitar</v>
          </cell>
          <cell r="Q309" t="str">
            <v>Dusun Bendolowo, RT.002/RW.004, Kel. Tawangrejo, Kec. Wonodadi</v>
          </cell>
          <cell r="R309" t="str">
            <v>Blitar</v>
          </cell>
          <cell r="S309" t="str">
            <v>D Barat1</v>
          </cell>
          <cell r="T309" t="str">
            <v>Tomi</v>
          </cell>
          <cell r="U309">
            <v>30</v>
          </cell>
        </row>
        <row r="310">
          <cell r="E310" t="str">
            <v>D25013786</v>
          </cell>
          <cell r="F310"/>
          <cell r="G310">
            <v>50000000</v>
          </cell>
          <cell r="H310" t="str">
            <v>Zakia</v>
          </cell>
          <cell r="I310" t="str">
            <v>Tiya</v>
          </cell>
          <cell r="J310" t="str">
            <v>New 26/05/20</v>
          </cell>
          <cell r="K310" t="str">
            <v>KU, Tunai</v>
          </cell>
          <cell r="L310" t="str">
            <v>ALMU02</v>
          </cell>
          <cell r="M310" t="str">
            <v>Al Mubarok/Lutfi</v>
          </cell>
          <cell r="N310" t="str">
            <v>AL Mubarok, CV</v>
          </cell>
          <cell r="O310" t="str">
            <v>Dsn. Bendolowo RT.002/RW.004, Tawangrejo, Wonodadi</v>
          </cell>
          <cell r="P310" t="str">
            <v>Blitar</v>
          </cell>
          <cell r="Q310" t="str">
            <v>Dusun Bendolowo, RT.002/RW.004, Kel. Tawangrejo, Kec. Wonodadi</v>
          </cell>
          <cell r="R310" t="str">
            <v>Blitar</v>
          </cell>
          <cell r="S310" t="str">
            <v>D Barat1</v>
          </cell>
          <cell r="T310" t="str">
            <v>Tomi</v>
          </cell>
          <cell r="U310">
            <v>30</v>
          </cell>
        </row>
        <row r="311">
          <cell r="E311" t="str">
            <v>B25011694</v>
          </cell>
          <cell r="F311"/>
          <cell r="G311">
            <v>50000000</v>
          </cell>
          <cell r="H311" t="str">
            <v>Zakia</v>
          </cell>
          <cell r="I311" t="str">
            <v>Tiya</v>
          </cell>
          <cell r="J311" t="str">
            <v>New 26/05/20</v>
          </cell>
          <cell r="K311" t="str">
            <v>KU, Tunai</v>
          </cell>
          <cell r="L311" t="str">
            <v>ALMU02</v>
          </cell>
          <cell r="M311" t="str">
            <v>Al Mubarok/Lutfi</v>
          </cell>
          <cell r="N311" t="str">
            <v>AL Mubarok, CV</v>
          </cell>
          <cell r="O311" t="str">
            <v>Dsn. Bendolowo RT.002/RW.004, Tawangrejo, Wonodadi</v>
          </cell>
          <cell r="P311" t="str">
            <v>Blitar</v>
          </cell>
          <cell r="Q311" t="str">
            <v>Dusun Bendolowo, RT.002/RW.004, Kel. Tawangrejo, Kec. Wonodadi</v>
          </cell>
          <cell r="R311" t="str">
            <v>Blitar</v>
          </cell>
          <cell r="S311" t="str">
            <v>D Barat1</v>
          </cell>
          <cell r="T311" t="str">
            <v>Tomi</v>
          </cell>
          <cell r="U311">
            <v>30</v>
          </cell>
        </row>
        <row r="312">
          <cell r="E312" t="str">
            <v>B25012673</v>
          </cell>
          <cell r="F312"/>
          <cell r="G312">
            <v>50000000</v>
          </cell>
          <cell r="H312" t="str">
            <v>Zakia</v>
          </cell>
          <cell r="I312" t="str">
            <v>Tiya</v>
          </cell>
          <cell r="J312" t="str">
            <v>New 26/05/20</v>
          </cell>
          <cell r="K312" t="str">
            <v>KU, Tunai</v>
          </cell>
          <cell r="L312" t="str">
            <v>ALMU02</v>
          </cell>
          <cell r="M312" t="str">
            <v>Al Mubarok/Lutfi</v>
          </cell>
          <cell r="N312" t="str">
            <v>AL Mubarok, CV</v>
          </cell>
          <cell r="O312" t="str">
            <v>Dsn. Bendolowo RT.002/RW.004, Tawangrejo, Wonodadi</v>
          </cell>
          <cell r="P312" t="str">
            <v>Blitar</v>
          </cell>
          <cell r="Q312" t="str">
            <v>Dusun Bendolowo, RT.002/RW.004, Kel. Tawangrejo, Kec. Wonodadi</v>
          </cell>
          <cell r="R312" t="str">
            <v>Blitar</v>
          </cell>
          <cell r="S312" t="str">
            <v>D Barat1</v>
          </cell>
          <cell r="T312" t="str">
            <v>Tomi</v>
          </cell>
          <cell r="U312">
            <v>30</v>
          </cell>
        </row>
        <row r="313">
          <cell r="E313" t="str">
            <v>B25012674</v>
          </cell>
          <cell r="F313"/>
          <cell r="G313">
            <v>50000000</v>
          </cell>
          <cell r="H313" t="str">
            <v>Zakia</v>
          </cell>
          <cell r="I313" t="str">
            <v>Tiya</v>
          </cell>
          <cell r="J313" t="str">
            <v>New 26/05/20</v>
          </cell>
          <cell r="K313" t="str">
            <v>KU, Tunai</v>
          </cell>
          <cell r="L313" t="str">
            <v>ALMU02</v>
          </cell>
          <cell r="M313" t="str">
            <v>Al Mubarok/Lutfi</v>
          </cell>
          <cell r="N313" t="str">
            <v>AL Mubarok, CV</v>
          </cell>
          <cell r="O313" t="str">
            <v>Dsn. Bendolowo RT.002/RW.004, Tawangrejo, Wonodadi</v>
          </cell>
          <cell r="P313" t="str">
            <v>Blitar</v>
          </cell>
          <cell r="Q313" t="str">
            <v>Dusun Bendolowo, RT.002/RW.004, Kel. Tawangrejo, Kec. Wonodadi</v>
          </cell>
          <cell r="R313" t="str">
            <v>Blitar</v>
          </cell>
          <cell r="S313" t="str">
            <v>D Barat1</v>
          </cell>
          <cell r="T313" t="str">
            <v>Tomi</v>
          </cell>
          <cell r="U313">
            <v>30</v>
          </cell>
        </row>
        <row r="314">
          <cell r="E314" t="str">
            <v>D25016130</v>
          </cell>
          <cell r="F314"/>
          <cell r="G314">
            <v>50000000</v>
          </cell>
          <cell r="H314" t="str">
            <v>Zakia</v>
          </cell>
          <cell r="I314" t="str">
            <v>Tiya</v>
          </cell>
          <cell r="J314" t="str">
            <v>New 26/05/20</v>
          </cell>
          <cell r="K314" t="str">
            <v>KU, Tunai</v>
          </cell>
          <cell r="L314" t="str">
            <v>ALMU02</v>
          </cell>
          <cell r="M314" t="str">
            <v>Al Mubarok/Lutfi</v>
          </cell>
          <cell r="N314" t="str">
            <v>AL Mubarok, CV</v>
          </cell>
          <cell r="O314" t="str">
            <v>Dsn. Bendolowo RT.002/RW.004, Tawangrejo, Wonodadi</v>
          </cell>
          <cell r="P314" t="str">
            <v>Blitar</v>
          </cell>
          <cell r="Q314" t="str">
            <v>Dusun Bendolowo, RT.002/RW.004, Kel. Tawangrejo, Kec. Wonodadi</v>
          </cell>
          <cell r="R314" t="str">
            <v>Blitar</v>
          </cell>
          <cell r="S314" t="str">
            <v>D Barat1</v>
          </cell>
          <cell r="T314" t="str">
            <v>Tomi</v>
          </cell>
          <cell r="U314">
            <v>30</v>
          </cell>
        </row>
        <row r="315">
          <cell r="E315" t="str">
            <v>Z25002504</v>
          </cell>
          <cell r="F315"/>
          <cell r="G315">
            <v>50000000</v>
          </cell>
          <cell r="H315" t="str">
            <v>Yuyun</v>
          </cell>
          <cell r="I315" t="str">
            <v>Farida</v>
          </cell>
          <cell r="J315" t="str">
            <v>New 16/06/21</v>
          </cell>
          <cell r="K315" t="str">
            <v>KU</v>
          </cell>
          <cell r="L315" t="str">
            <v>ALAM12</v>
          </cell>
          <cell r="M315" t="str">
            <v>Alam Makmur, UD</v>
          </cell>
          <cell r="N315" t="str">
            <v>Yudha Dian Parwana</v>
          </cell>
          <cell r="O315" t="str">
            <v>Dusun Semboro Lor, RT.002/RW.032, Kel. Semboro</v>
          </cell>
          <cell r="P315" t="str">
            <v>Jember</v>
          </cell>
          <cell r="Q315" t="str">
            <v>JL. A. Yani RT.002/RW.003, Kel. Umbulsari, Kec. Umbulsari</v>
          </cell>
          <cell r="R315" t="str">
            <v>Jember</v>
          </cell>
          <cell r="S315" t="str">
            <v>L Kota3</v>
          </cell>
          <cell r="T315" t="str">
            <v>Efendi</v>
          </cell>
          <cell r="U315">
            <v>0</v>
          </cell>
        </row>
        <row r="316">
          <cell r="E316" t="str">
            <v>Z25002620</v>
          </cell>
          <cell r="F316"/>
          <cell r="G316">
            <v>50000000</v>
          </cell>
          <cell r="H316" t="str">
            <v>Yuyun</v>
          </cell>
          <cell r="I316" t="str">
            <v>Farida</v>
          </cell>
          <cell r="J316" t="str">
            <v>New 16/06/21</v>
          </cell>
          <cell r="K316" t="str">
            <v>KU</v>
          </cell>
          <cell r="L316" t="str">
            <v>ALAM12</v>
          </cell>
          <cell r="M316" t="str">
            <v>Alam Makmur, UD</v>
          </cell>
          <cell r="N316" t="str">
            <v>Yudha Dian Parwana</v>
          </cell>
          <cell r="O316" t="str">
            <v>Dusun Semboro Lor, RT.002/RW.032, Kel. Semboro</v>
          </cell>
          <cell r="P316" t="str">
            <v>Jember</v>
          </cell>
          <cell r="Q316" t="str">
            <v>JL. A. Yani RT.002/RW.003, Kel. Umbulsari, Kec. Umbulsari</v>
          </cell>
          <cell r="R316" t="str">
            <v>Jember</v>
          </cell>
          <cell r="S316" t="str">
            <v>L Kota3</v>
          </cell>
          <cell r="T316" t="str">
            <v>Efendi</v>
          </cell>
          <cell r="U316">
            <v>0</v>
          </cell>
        </row>
        <row r="317">
          <cell r="E317" t="str">
            <v>Z25002621</v>
          </cell>
          <cell r="F317"/>
          <cell r="G317">
            <v>50000000</v>
          </cell>
          <cell r="H317" t="str">
            <v>Yuyun</v>
          </cell>
          <cell r="I317" t="str">
            <v>Farida</v>
          </cell>
          <cell r="J317" t="str">
            <v>New 16/06/21</v>
          </cell>
          <cell r="K317" t="str">
            <v>KU</v>
          </cell>
          <cell r="L317" t="str">
            <v>ALAM12</v>
          </cell>
          <cell r="M317" t="str">
            <v>Alam Makmur, UD</v>
          </cell>
          <cell r="N317" t="str">
            <v>Yudha Dian Parwana</v>
          </cell>
          <cell r="O317" t="str">
            <v>Dusun Semboro Lor, RT.002/RW.032, Kel. Semboro</v>
          </cell>
          <cell r="P317" t="str">
            <v>Jember</v>
          </cell>
          <cell r="Q317" t="str">
            <v>JL. A. Yani RT.002/RW.003, Kel. Umbulsari, Kec. Umbulsari</v>
          </cell>
          <cell r="R317" t="str">
            <v>Jember</v>
          </cell>
          <cell r="S317" t="str">
            <v>L Kota3</v>
          </cell>
          <cell r="T317" t="str">
            <v>Efendi</v>
          </cell>
          <cell r="U317">
            <v>0</v>
          </cell>
        </row>
        <row r="318">
          <cell r="E318" t="str">
            <v>Z25002701</v>
          </cell>
          <cell r="F318"/>
          <cell r="G318">
            <v>50000000</v>
          </cell>
          <cell r="H318" t="str">
            <v>Yuyun</v>
          </cell>
          <cell r="I318" t="str">
            <v>Farida</v>
          </cell>
          <cell r="J318" t="str">
            <v>New 16/06/21</v>
          </cell>
          <cell r="K318" t="str">
            <v>KU</v>
          </cell>
          <cell r="L318" t="str">
            <v>ALAM12</v>
          </cell>
          <cell r="M318" t="str">
            <v>Alam Makmur, UD</v>
          </cell>
          <cell r="N318" t="str">
            <v>Yudha Dian Parwana</v>
          </cell>
          <cell r="O318" t="str">
            <v>Dusun Semboro Lor, RT.002/RW.032, Kel. Semboro</v>
          </cell>
          <cell r="P318" t="str">
            <v>Jember</v>
          </cell>
          <cell r="Q318" t="str">
            <v>JL. A. Yani RT.002/RW.003, Kel. Umbulsari, Kec. Umbulsari</v>
          </cell>
          <cell r="R318" t="str">
            <v>Jember</v>
          </cell>
          <cell r="S318" t="str">
            <v>L Kota3</v>
          </cell>
          <cell r="T318" t="str">
            <v>Efendi</v>
          </cell>
          <cell r="U318">
            <v>0</v>
          </cell>
        </row>
        <row r="319">
          <cell r="E319" t="str">
            <v>Z25002749</v>
          </cell>
          <cell r="F319"/>
          <cell r="G319">
            <v>50000000</v>
          </cell>
          <cell r="H319" t="str">
            <v>Yuyun</v>
          </cell>
          <cell r="I319" t="str">
            <v>Farida</v>
          </cell>
          <cell r="J319" t="str">
            <v>New 16/06/21</v>
          </cell>
          <cell r="K319" t="str">
            <v>KU</v>
          </cell>
          <cell r="L319" t="str">
            <v>ALAM12</v>
          </cell>
          <cell r="M319" t="str">
            <v>Alam Makmur, UD</v>
          </cell>
          <cell r="N319" t="str">
            <v>Yudha Dian Parwana</v>
          </cell>
          <cell r="O319" t="str">
            <v>Dusun Semboro Lor, RT.002/RW.032, Kel. Semboro</v>
          </cell>
          <cell r="P319" t="str">
            <v>Jember</v>
          </cell>
          <cell r="Q319" t="str">
            <v>JL. A. Yani RT.002/RW.003, Kel. Umbulsari, Kec. Umbulsari</v>
          </cell>
          <cell r="R319" t="str">
            <v>Jember</v>
          </cell>
          <cell r="S319" t="str">
            <v>L Kota3</v>
          </cell>
          <cell r="T319" t="str">
            <v>Efendi</v>
          </cell>
          <cell r="U319">
            <v>0</v>
          </cell>
        </row>
        <row r="320">
          <cell r="E320" t="str">
            <v>Z25002761</v>
          </cell>
          <cell r="F320"/>
          <cell r="G320">
            <v>50000000</v>
          </cell>
          <cell r="H320" t="str">
            <v>Yuyun</v>
          </cell>
          <cell r="I320" t="str">
            <v>Farida</v>
          </cell>
          <cell r="J320" t="str">
            <v>New 16/06/21</v>
          </cell>
          <cell r="K320" t="str">
            <v>KU</v>
          </cell>
          <cell r="L320" t="str">
            <v>ALAM12</v>
          </cell>
          <cell r="M320" t="str">
            <v>Alam Makmur, UD</v>
          </cell>
          <cell r="N320" t="str">
            <v>Yudha Dian Parwana</v>
          </cell>
          <cell r="O320" t="str">
            <v>Dusun Semboro Lor, RT.002/RW.032, Kel. Semboro</v>
          </cell>
          <cell r="P320" t="str">
            <v>Jember</v>
          </cell>
          <cell r="Q320" t="str">
            <v>JL. A. Yani RT.002/RW.003, Kel. Umbulsari, Kec. Umbulsari</v>
          </cell>
          <cell r="R320" t="str">
            <v>Jember</v>
          </cell>
          <cell r="S320" t="str">
            <v>L Kota3</v>
          </cell>
          <cell r="T320" t="str">
            <v>Efendi</v>
          </cell>
          <cell r="U320">
            <v>0</v>
          </cell>
        </row>
        <row r="321">
          <cell r="E321" t="str">
            <v>Z25002769</v>
          </cell>
          <cell r="F321"/>
          <cell r="G321">
            <v>50000000</v>
          </cell>
          <cell r="H321" t="str">
            <v>Yuyun</v>
          </cell>
          <cell r="I321" t="str">
            <v>Farida</v>
          </cell>
          <cell r="J321" t="str">
            <v>New 16/06/21</v>
          </cell>
          <cell r="K321" t="str">
            <v>KU</v>
          </cell>
          <cell r="L321" t="str">
            <v>ALAM12</v>
          </cell>
          <cell r="M321" t="str">
            <v>Alam Makmur, UD</v>
          </cell>
          <cell r="N321" t="str">
            <v>Yudha Dian Parwana</v>
          </cell>
          <cell r="O321" t="str">
            <v>Dusun Semboro Lor, RT.002/RW.032, Kel. Semboro</v>
          </cell>
          <cell r="P321" t="str">
            <v>Jember</v>
          </cell>
          <cell r="Q321" t="str">
            <v>JL. A. Yani RT.002/RW.003, Kel. Umbulsari, Kec. Umbulsari</v>
          </cell>
          <cell r="R321" t="str">
            <v>Jember</v>
          </cell>
          <cell r="S321" t="str">
            <v>L Kota3</v>
          </cell>
          <cell r="T321" t="str">
            <v>Efendi</v>
          </cell>
          <cell r="U321">
            <v>0</v>
          </cell>
        </row>
        <row r="322">
          <cell r="E322" t="str">
            <v>Z25002817</v>
          </cell>
          <cell r="F322"/>
          <cell r="G322">
            <v>50000000</v>
          </cell>
          <cell r="H322" t="str">
            <v>Yuyun</v>
          </cell>
          <cell r="I322" t="str">
            <v>Farida</v>
          </cell>
          <cell r="J322" t="str">
            <v>New 16/06/21</v>
          </cell>
          <cell r="K322" t="str">
            <v>KU</v>
          </cell>
          <cell r="L322" t="str">
            <v>ALAM12</v>
          </cell>
          <cell r="M322" t="str">
            <v>Alam Makmur, UD</v>
          </cell>
          <cell r="N322" t="str">
            <v>Yudha Dian Parwana</v>
          </cell>
          <cell r="O322" t="str">
            <v>Dusun Semboro Lor, RT.002/RW.032, Kel. Semboro</v>
          </cell>
          <cell r="P322" t="str">
            <v>Jember</v>
          </cell>
          <cell r="Q322" t="str">
            <v>JL. A. Yani RT.002/RW.003, Kel. Umbulsari, Kec. Umbulsari</v>
          </cell>
          <cell r="R322" t="str">
            <v>Jember</v>
          </cell>
          <cell r="S322" t="str">
            <v>L Kota3</v>
          </cell>
          <cell r="T322" t="str">
            <v>Efendi</v>
          </cell>
          <cell r="U322">
            <v>0</v>
          </cell>
        </row>
        <row r="323">
          <cell r="E323" t="str">
            <v>T25000256</v>
          </cell>
          <cell r="F323"/>
          <cell r="G323">
            <v>32000000000</v>
          </cell>
          <cell r="H323" t="str">
            <v>Reni</v>
          </cell>
          <cell r="I323" t="str">
            <v>Farida</v>
          </cell>
          <cell r="J323"/>
          <cell r="K323" t="str">
            <v>BG</v>
          </cell>
          <cell r="L323" t="str">
            <v>ALAM01</v>
          </cell>
          <cell r="M323" t="str">
            <v>Alam Tani</v>
          </cell>
          <cell r="N323" t="str">
            <v>Arista Semesta Alam, PT</v>
          </cell>
          <cell r="O323" t="str">
            <v>Taluk Karangjati</v>
          </cell>
          <cell r="P323" t="str">
            <v>Ngawi</v>
          </cell>
          <cell r="Q323" t="str">
            <v>Taluk Karangjati</v>
          </cell>
          <cell r="R323" t="str">
            <v>Ngawi</v>
          </cell>
          <cell r="S323" t="str">
            <v>D Barat1</v>
          </cell>
          <cell r="T323" t="str">
            <v>Dian</v>
          </cell>
          <cell r="U323">
            <v>256</v>
          </cell>
        </row>
        <row r="324">
          <cell r="E324" t="str">
            <v>D25008861</v>
          </cell>
          <cell r="F324"/>
          <cell r="G324">
            <v>32000000000</v>
          </cell>
          <cell r="H324" t="str">
            <v>Reni</v>
          </cell>
          <cell r="I324" t="str">
            <v>Farida</v>
          </cell>
          <cell r="J324"/>
          <cell r="K324" t="str">
            <v>BG</v>
          </cell>
          <cell r="L324" t="str">
            <v>ALAM01</v>
          </cell>
          <cell r="M324" t="str">
            <v>Alam Tani</v>
          </cell>
          <cell r="N324" t="str">
            <v>Arista Semesta Alam, PT</v>
          </cell>
          <cell r="O324" t="str">
            <v>Taluk Karangjati</v>
          </cell>
          <cell r="P324" t="str">
            <v>Ngawi</v>
          </cell>
          <cell r="Q324" t="str">
            <v>Taluk Karangjati</v>
          </cell>
          <cell r="R324" t="str">
            <v>Ngawi</v>
          </cell>
          <cell r="S324" t="str">
            <v>D Barat1</v>
          </cell>
          <cell r="T324" t="str">
            <v>Dian</v>
          </cell>
          <cell r="U324">
            <v>30</v>
          </cell>
        </row>
        <row r="325">
          <cell r="E325" t="str">
            <v>D25008862</v>
          </cell>
          <cell r="F325"/>
          <cell r="G325">
            <v>32000000000</v>
          </cell>
          <cell r="H325" t="str">
            <v>Reni</v>
          </cell>
          <cell r="I325" t="str">
            <v>Farida</v>
          </cell>
          <cell r="J325"/>
          <cell r="K325" t="str">
            <v>BG</v>
          </cell>
          <cell r="L325" t="str">
            <v>ALAM01</v>
          </cell>
          <cell r="M325" t="str">
            <v>Alam Tani</v>
          </cell>
          <cell r="N325" t="str">
            <v>Arista Semesta Alam, PT</v>
          </cell>
          <cell r="O325" t="str">
            <v>Taluk Karangjati</v>
          </cell>
          <cell r="P325" t="str">
            <v>Ngawi</v>
          </cell>
          <cell r="Q325" t="str">
            <v>Taluk Karangjati</v>
          </cell>
          <cell r="R325" t="str">
            <v>Ngawi</v>
          </cell>
          <cell r="S325" t="str">
            <v>D Barat1</v>
          </cell>
          <cell r="T325" t="str">
            <v>Dian</v>
          </cell>
          <cell r="U325">
            <v>30</v>
          </cell>
        </row>
        <row r="326">
          <cell r="E326" t="str">
            <v>D25008862</v>
          </cell>
          <cell r="F326"/>
          <cell r="G326">
            <v>32000000000</v>
          </cell>
          <cell r="H326" t="str">
            <v>Reni</v>
          </cell>
          <cell r="I326" t="str">
            <v>Farida</v>
          </cell>
          <cell r="J326"/>
          <cell r="K326" t="str">
            <v>BG</v>
          </cell>
          <cell r="L326" t="str">
            <v>ALAM01</v>
          </cell>
          <cell r="M326" t="str">
            <v>Alam Tani</v>
          </cell>
          <cell r="N326" t="str">
            <v>Arista Semesta Alam, PT</v>
          </cell>
          <cell r="O326" t="str">
            <v>Taluk Karangjati</v>
          </cell>
          <cell r="P326" t="str">
            <v>Ngawi</v>
          </cell>
          <cell r="Q326" t="str">
            <v>Taluk Karangjati</v>
          </cell>
          <cell r="R326" t="str">
            <v>Ngawi</v>
          </cell>
          <cell r="S326" t="str">
            <v>D Barat1</v>
          </cell>
          <cell r="T326" t="str">
            <v>Dian</v>
          </cell>
          <cell r="U326">
            <v>30</v>
          </cell>
        </row>
        <row r="327">
          <cell r="E327" t="str">
            <v>D25008862</v>
          </cell>
          <cell r="F327"/>
          <cell r="G327">
            <v>32000000000</v>
          </cell>
          <cell r="H327" t="str">
            <v>Reni</v>
          </cell>
          <cell r="I327" t="str">
            <v>Farida</v>
          </cell>
          <cell r="J327"/>
          <cell r="K327" t="str">
            <v>BG</v>
          </cell>
          <cell r="L327" t="str">
            <v>ALAM01</v>
          </cell>
          <cell r="M327" t="str">
            <v>Alam Tani</v>
          </cell>
          <cell r="N327" t="str">
            <v>Arista Semesta Alam, PT</v>
          </cell>
          <cell r="O327" t="str">
            <v>Taluk Karangjati</v>
          </cell>
          <cell r="P327" t="str">
            <v>Ngawi</v>
          </cell>
          <cell r="Q327" t="str">
            <v>Taluk Karangjati</v>
          </cell>
          <cell r="R327" t="str">
            <v>Ngawi</v>
          </cell>
          <cell r="S327" t="str">
            <v>D Barat1</v>
          </cell>
          <cell r="T327" t="str">
            <v>Dian</v>
          </cell>
          <cell r="U327">
            <v>30</v>
          </cell>
        </row>
        <row r="328">
          <cell r="E328" t="str">
            <v>D25008863</v>
          </cell>
          <cell r="F328"/>
          <cell r="G328">
            <v>32000000000</v>
          </cell>
          <cell r="H328" t="str">
            <v>Reni</v>
          </cell>
          <cell r="I328" t="str">
            <v>Farida</v>
          </cell>
          <cell r="J328"/>
          <cell r="K328" t="str">
            <v>BG</v>
          </cell>
          <cell r="L328" t="str">
            <v>ALAM01</v>
          </cell>
          <cell r="M328" t="str">
            <v>Alam Tani</v>
          </cell>
          <cell r="N328" t="str">
            <v>Arista Semesta Alam, PT</v>
          </cell>
          <cell r="O328" t="str">
            <v>Taluk Karangjati</v>
          </cell>
          <cell r="P328" t="str">
            <v>Ngawi</v>
          </cell>
          <cell r="Q328" t="str">
            <v>Taluk Karangjati</v>
          </cell>
          <cell r="R328" t="str">
            <v>Ngawi</v>
          </cell>
          <cell r="S328" t="str">
            <v>D Barat1</v>
          </cell>
          <cell r="T328" t="str">
            <v>Dian</v>
          </cell>
          <cell r="U328">
            <v>30</v>
          </cell>
        </row>
        <row r="329">
          <cell r="E329" t="str">
            <v>D25008925</v>
          </cell>
          <cell r="F329"/>
          <cell r="G329">
            <v>32000000000</v>
          </cell>
          <cell r="H329" t="str">
            <v>Reni</v>
          </cell>
          <cell r="I329" t="str">
            <v>Farida</v>
          </cell>
          <cell r="J329"/>
          <cell r="K329" t="str">
            <v>BG</v>
          </cell>
          <cell r="L329" t="str">
            <v>ALAM01</v>
          </cell>
          <cell r="M329" t="str">
            <v>Alam Tani</v>
          </cell>
          <cell r="N329" t="str">
            <v>Arista Semesta Alam, PT</v>
          </cell>
          <cell r="O329" t="str">
            <v>Taluk Karangjati</v>
          </cell>
          <cell r="P329" t="str">
            <v>Ngawi</v>
          </cell>
          <cell r="Q329" t="str">
            <v>Taluk Karangjati</v>
          </cell>
          <cell r="R329" t="str">
            <v>Ngawi</v>
          </cell>
          <cell r="S329" t="str">
            <v>D Barat1</v>
          </cell>
          <cell r="T329" t="str">
            <v>Dian</v>
          </cell>
          <cell r="U329">
            <v>30</v>
          </cell>
        </row>
        <row r="330">
          <cell r="E330" t="str">
            <v>D25008925</v>
          </cell>
          <cell r="F330"/>
          <cell r="G330">
            <v>32000000000</v>
          </cell>
          <cell r="H330" t="str">
            <v>Reni</v>
          </cell>
          <cell r="I330" t="str">
            <v>Farida</v>
          </cell>
          <cell r="J330"/>
          <cell r="K330" t="str">
            <v>BG</v>
          </cell>
          <cell r="L330" t="str">
            <v>ALAM01</v>
          </cell>
          <cell r="M330" t="str">
            <v>Alam Tani</v>
          </cell>
          <cell r="N330" t="str">
            <v>Arista Semesta Alam, PT</v>
          </cell>
          <cell r="O330" t="str">
            <v>Taluk Karangjati</v>
          </cell>
          <cell r="P330" t="str">
            <v>Ngawi</v>
          </cell>
          <cell r="Q330" t="str">
            <v>Taluk Karangjati</v>
          </cell>
          <cell r="R330" t="str">
            <v>Ngawi</v>
          </cell>
          <cell r="S330" t="str">
            <v>D Barat1</v>
          </cell>
          <cell r="T330" t="str">
            <v>Dian</v>
          </cell>
          <cell r="U330">
            <v>30</v>
          </cell>
        </row>
        <row r="331">
          <cell r="E331" t="str">
            <v>D25009129</v>
          </cell>
          <cell r="F331"/>
          <cell r="G331">
            <v>32000000000</v>
          </cell>
          <cell r="H331" t="str">
            <v>Reni</v>
          </cell>
          <cell r="I331" t="str">
            <v>Farida</v>
          </cell>
          <cell r="J331"/>
          <cell r="K331" t="str">
            <v>BG</v>
          </cell>
          <cell r="L331" t="str">
            <v>ALAM01</v>
          </cell>
          <cell r="M331" t="str">
            <v>Alam Tani</v>
          </cell>
          <cell r="N331" t="str">
            <v>Arista Semesta Alam, PT</v>
          </cell>
          <cell r="O331" t="str">
            <v>Taluk Karangjati</v>
          </cell>
          <cell r="P331" t="str">
            <v>Ngawi</v>
          </cell>
          <cell r="Q331" t="str">
            <v>Taluk Karangjati</v>
          </cell>
          <cell r="R331" t="str">
            <v>Ngawi</v>
          </cell>
          <cell r="S331" t="str">
            <v>D Barat1</v>
          </cell>
          <cell r="T331" t="str">
            <v>Dian</v>
          </cell>
          <cell r="U331">
            <v>30</v>
          </cell>
        </row>
        <row r="332">
          <cell r="E332" t="str">
            <v>D25009132</v>
          </cell>
          <cell r="F332"/>
          <cell r="G332">
            <v>32000000000</v>
          </cell>
          <cell r="H332" t="str">
            <v>Reni</v>
          </cell>
          <cell r="I332" t="str">
            <v>Farida</v>
          </cell>
          <cell r="J332"/>
          <cell r="K332" t="str">
            <v>BG</v>
          </cell>
          <cell r="L332" t="str">
            <v>ALAM01</v>
          </cell>
          <cell r="M332" t="str">
            <v>Alam Tani</v>
          </cell>
          <cell r="N332" t="str">
            <v>Arista Semesta Alam, PT</v>
          </cell>
          <cell r="O332" t="str">
            <v>Taluk Karangjati</v>
          </cell>
          <cell r="P332" t="str">
            <v>Ngawi</v>
          </cell>
          <cell r="Q332" t="str">
            <v>Taluk Karangjati</v>
          </cell>
          <cell r="R332" t="str">
            <v>Ngawi</v>
          </cell>
          <cell r="S332" t="str">
            <v>D Barat1</v>
          </cell>
          <cell r="T332" t="str">
            <v>Dian</v>
          </cell>
          <cell r="U332">
            <v>30</v>
          </cell>
        </row>
        <row r="333">
          <cell r="E333" t="str">
            <v>D25009133</v>
          </cell>
          <cell r="F333"/>
          <cell r="G333">
            <v>32000000000</v>
          </cell>
          <cell r="H333" t="str">
            <v>Reni</v>
          </cell>
          <cell r="I333" t="str">
            <v>Farida</v>
          </cell>
          <cell r="J333"/>
          <cell r="K333" t="str">
            <v>BG</v>
          </cell>
          <cell r="L333" t="str">
            <v>ALAM01</v>
          </cell>
          <cell r="M333" t="str">
            <v>Alam Tani</v>
          </cell>
          <cell r="N333" t="str">
            <v>Arista Semesta Alam, PT</v>
          </cell>
          <cell r="O333" t="str">
            <v>Taluk Karangjati</v>
          </cell>
          <cell r="P333" t="str">
            <v>Ngawi</v>
          </cell>
          <cell r="Q333" t="str">
            <v>Taluk Karangjati</v>
          </cell>
          <cell r="R333" t="str">
            <v>Ngawi</v>
          </cell>
          <cell r="S333" t="str">
            <v>D Barat1</v>
          </cell>
          <cell r="T333" t="str">
            <v>Dian</v>
          </cell>
          <cell r="U333">
            <v>30</v>
          </cell>
        </row>
        <row r="334">
          <cell r="E334" t="str">
            <v>D25009134</v>
          </cell>
          <cell r="F334"/>
          <cell r="G334">
            <v>32000000000</v>
          </cell>
          <cell r="H334" t="str">
            <v>Reni</v>
          </cell>
          <cell r="I334" t="str">
            <v>Farida</v>
          </cell>
          <cell r="J334"/>
          <cell r="K334" t="str">
            <v>BG</v>
          </cell>
          <cell r="L334" t="str">
            <v>ALAM01</v>
          </cell>
          <cell r="M334" t="str">
            <v>Alam Tani</v>
          </cell>
          <cell r="N334" t="str">
            <v>Arista Semesta Alam, PT</v>
          </cell>
          <cell r="O334" t="str">
            <v>Taluk Karangjati</v>
          </cell>
          <cell r="P334" t="str">
            <v>Ngawi</v>
          </cell>
          <cell r="Q334" t="str">
            <v>Taluk Karangjati</v>
          </cell>
          <cell r="R334" t="str">
            <v>Ngawi</v>
          </cell>
          <cell r="S334" t="str">
            <v>D Barat1</v>
          </cell>
          <cell r="T334" t="str">
            <v>Dian</v>
          </cell>
          <cell r="U334">
            <v>30</v>
          </cell>
        </row>
        <row r="335">
          <cell r="E335" t="str">
            <v>B25007566</v>
          </cell>
          <cell r="F335"/>
          <cell r="G335">
            <v>32000000000</v>
          </cell>
          <cell r="H335" t="str">
            <v>Reni</v>
          </cell>
          <cell r="I335" t="str">
            <v>Farida</v>
          </cell>
          <cell r="J335"/>
          <cell r="K335" t="str">
            <v>BG</v>
          </cell>
          <cell r="L335" t="str">
            <v>ALAM01</v>
          </cell>
          <cell r="M335" t="str">
            <v>Alam Tani</v>
          </cell>
          <cell r="N335" t="str">
            <v>Arista Semesta Alam, PT</v>
          </cell>
          <cell r="O335" t="str">
            <v>Taluk Karangjati</v>
          </cell>
          <cell r="P335" t="str">
            <v>Ngawi</v>
          </cell>
          <cell r="Q335" t="str">
            <v>Taluk Karangjati</v>
          </cell>
          <cell r="R335" t="str">
            <v>Ngawi</v>
          </cell>
          <cell r="S335" t="str">
            <v>D Barat1</v>
          </cell>
          <cell r="T335" t="str">
            <v>Dian</v>
          </cell>
          <cell r="U335">
            <v>30</v>
          </cell>
        </row>
        <row r="336">
          <cell r="E336" t="str">
            <v>B25007566</v>
          </cell>
          <cell r="F336"/>
          <cell r="G336">
            <v>32000000000</v>
          </cell>
          <cell r="H336" t="str">
            <v>Reni</v>
          </cell>
          <cell r="I336" t="str">
            <v>Farida</v>
          </cell>
          <cell r="J336"/>
          <cell r="K336" t="str">
            <v>BG</v>
          </cell>
          <cell r="L336" t="str">
            <v>ALAM01</v>
          </cell>
          <cell r="M336" t="str">
            <v>Alam Tani</v>
          </cell>
          <cell r="N336" t="str">
            <v>Arista Semesta Alam, PT</v>
          </cell>
          <cell r="O336" t="str">
            <v>Taluk Karangjati</v>
          </cell>
          <cell r="P336" t="str">
            <v>Ngawi</v>
          </cell>
          <cell r="Q336" t="str">
            <v>Taluk Karangjati</v>
          </cell>
          <cell r="R336" t="str">
            <v>Ngawi</v>
          </cell>
          <cell r="S336" t="str">
            <v>D Barat1</v>
          </cell>
          <cell r="T336" t="str">
            <v>Dian</v>
          </cell>
          <cell r="U336">
            <v>30</v>
          </cell>
        </row>
        <row r="337">
          <cell r="E337" t="str">
            <v>B25007566</v>
          </cell>
          <cell r="F337"/>
          <cell r="G337">
            <v>32000000000</v>
          </cell>
          <cell r="H337" t="str">
            <v>Reni</v>
          </cell>
          <cell r="I337" t="str">
            <v>Farida</v>
          </cell>
          <cell r="J337"/>
          <cell r="K337" t="str">
            <v>BG</v>
          </cell>
          <cell r="L337" t="str">
            <v>ALAM01</v>
          </cell>
          <cell r="M337" t="str">
            <v>Alam Tani</v>
          </cell>
          <cell r="N337" t="str">
            <v>Arista Semesta Alam, PT</v>
          </cell>
          <cell r="O337" t="str">
            <v>Taluk Karangjati</v>
          </cell>
          <cell r="P337" t="str">
            <v>Ngawi</v>
          </cell>
          <cell r="Q337" t="str">
            <v>Taluk Karangjati</v>
          </cell>
          <cell r="R337" t="str">
            <v>Ngawi</v>
          </cell>
          <cell r="S337" t="str">
            <v>D Barat1</v>
          </cell>
          <cell r="T337" t="str">
            <v>Dian</v>
          </cell>
          <cell r="U337">
            <v>30</v>
          </cell>
        </row>
        <row r="338">
          <cell r="E338" t="str">
            <v>B25007566</v>
          </cell>
          <cell r="F338"/>
          <cell r="G338">
            <v>32000000000</v>
          </cell>
          <cell r="H338" t="str">
            <v>Reni</v>
          </cell>
          <cell r="I338" t="str">
            <v>Farida</v>
          </cell>
          <cell r="J338"/>
          <cell r="K338" t="str">
            <v>BG</v>
          </cell>
          <cell r="L338" t="str">
            <v>ALAM01</v>
          </cell>
          <cell r="M338" t="str">
            <v>Alam Tani</v>
          </cell>
          <cell r="N338" t="str">
            <v>Arista Semesta Alam, PT</v>
          </cell>
          <cell r="O338" t="str">
            <v>Taluk Karangjati</v>
          </cell>
          <cell r="P338" t="str">
            <v>Ngawi</v>
          </cell>
          <cell r="Q338" t="str">
            <v>Taluk Karangjati</v>
          </cell>
          <cell r="R338" t="str">
            <v>Ngawi</v>
          </cell>
          <cell r="S338" t="str">
            <v>D Barat1</v>
          </cell>
          <cell r="T338" t="str">
            <v>Dian</v>
          </cell>
          <cell r="U338">
            <v>30</v>
          </cell>
        </row>
        <row r="339">
          <cell r="E339" t="str">
            <v>B25007567</v>
          </cell>
          <cell r="F339"/>
          <cell r="G339">
            <v>32000000000</v>
          </cell>
          <cell r="H339" t="str">
            <v>Reni</v>
          </cell>
          <cell r="I339" t="str">
            <v>Farida</v>
          </cell>
          <cell r="J339"/>
          <cell r="K339" t="str">
            <v>BG</v>
          </cell>
          <cell r="L339" t="str">
            <v>ALAM01</v>
          </cell>
          <cell r="M339" t="str">
            <v>Alam Tani</v>
          </cell>
          <cell r="N339" t="str">
            <v>Arista Semesta Alam, PT</v>
          </cell>
          <cell r="O339" t="str">
            <v>Taluk Karangjati</v>
          </cell>
          <cell r="P339" t="str">
            <v>Ngawi</v>
          </cell>
          <cell r="Q339" t="str">
            <v>Taluk Karangjati</v>
          </cell>
          <cell r="R339" t="str">
            <v>Ngawi</v>
          </cell>
          <cell r="S339" t="str">
            <v>D Barat1</v>
          </cell>
          <cell r="T339" t="str">
            <v>Dian</v>
          </cell>
          <cell r="U339">
            <v>30</v>
          </cell>
        </row>
        <row r="340">
          <cell r="E340" t="str">
            <v>D25009512</v>
          </cell>
          <cell r="F340"/>
          <cell r="G340">
            <v>32000000000</v>
          </cell>
          <cell r="H340" t="str">
            <v>Reni</v>
          </cell>
          <cell r="I340" t="str">
            <v>Farida</v>
          </cell>
          <cell r="J340"/>
          <cell r="K340" t="str">
            <v>BG</v>
          </cell>
          <cell r="L340" t="str">
            <v>ALAM01</v>
          </cell>
          <cell r="M340" t="str">
            <v>Alam Tani</v>
          </cell>
          <cell r="N340" t="str">
            <v>Arista Semesta Alam, PT</v>
          </cell>
          <cell r="O340" t="str">
            <v>Taluk Karangjati</v>
          </cell>
          <cell r="P340" t="str">
            <v>Ngawi</v>
          </cell>
          <cell r="Q340" t="str">
            <v>Taluk Karangjati</v>
          </cell>
          <cell r="R340" t="str">
            <v>Ngawi</v>
          </cell>
          <cell r="S340" t="str">
            <v>D Barat1</v>
          </cell>
          <cell r="T340" t="str">
            <v>Dian</v>
          </cell>
          <cell r="U340">
            <v>30</v>
          </cell>
        </row>
        <row r="341">
          <cell r="E341" t="str">
            <v>D25009512</v>
          </cell>
          <cell r="F341"/>
          <cell r="G341">
            <v>32000000000</v>
          </cell>
          <cell r="H341" t="str">
            <v>Reni</v>
          </cell>
          <cell r="I341" t="str">
            <v>Farida</v>
          </cell>
          <cell r="J341"/>
          <cell r="K341" t="str">
            <v>BG</v>
          </cell>
          <cell r="L341" t="str">
            <v>ALAM01</v>
          </cell>
          <cell r="M341" t="str">
            <v>Alam Tani</v>
          </cell>
          <cell r="N341" t="str">
            <v>Arista Semesta Alam, PT</v>
          </cell>
          <cell r="O341" t="str">
            <v>Taluk Karangjati</v>
          </cell>
          <cell r="P341" t="str">
            <v>Ngawi</v>
          </cell>
          <cell r="Q341" t="str">
            <v>Taluk Karangjati</v>
          </cell>
          <cell r="R341" t="str">
            <v>Ngawi</v>
          </cell>
          <cell r="S341" t="str">
            <v>D Barat1</v>
          </cell>
          <cell r="T341" t="str">
            <v>Dian</v>
          </cell>
          <cell r="U341">
            <v>30</v>
          </cell>
        </row>
        <row r="342">
          <cell r="E342" t="str">
            <v>D25009513</v>
          </cell>
          <cell r="F342"/>
          <cell r="G342">
            <v>32000000000</v>
          </cell>
          <cell r="H342" t="str">
            <v>Reni</v>
          </cell>
          <cell r="I342" t="str">
            <v>Farida</v>
          </cell>
          <cell r="J342"/>
          <cell r="K342" t="str">
            <v>BG</v>
          </cell>
          <cell r="L342" t="str">
            <v>ALAM01</v>
          </cell>
          <cell r="M342" t="str">
            <v>Alam Tani</v>
          </cell>
          <cell r="N342" t="str">
            <v>Arista Semesta Alam, PT</v>
          </cell>
          <cell r="O342" t="str">
            <v>Taluk Karangjati</v>
          </cell>
          <cell r="P342" t="str">
            <v>Ngawi</v>
          </cell>
          <cell r="Q342" t="str">
            <v>Taluk Karangjati</v>
          </cell>
          <cell r="R342" t="str">
            <v>Ngawi</v>
          </cell>
          <cell r="S342" t="str">
            <v>D Barat1</v>
          </cell>
          <cell r="T342" t="str">
            <v>Dian</v>
          </cell>
          <cell r="U342">
            <v>30</v>
          </cell>
        </row>
        <row r="343">
          <cell r="E343" t="str">
            <v>D25009513</v>
          </cell>
          <cell r="F343"/>
          <cell r="G343">
            <v>32000000000</v>
          </cell>
          <cell r="H343" t="str">
            <v>Reni</v>
          </cell>
          <cell r="I343" t="str">
            <v>Farida</v>
          </cell>
          <cell r="J343"/>
          <cell r="K343" t="str">
            <v>BG</v>
          </cell>
          <cell r="L343" t="str">
            <v>ALAM01</v>
          </cell>
          <cell r="M343" t="str">
            <v>Alam Tani</v>
          </cell>
          <cell r="N343" t="str">
            <v>Arista Semesta Alam, PT</v>
          </cell>
          <cell r="O343" t="str">
            <v>Taluk Karangjati</v>
          </cell>
          <cell r="P343" t="str">
            <v>Ngawi</v>
          </cell>
          <cell r="Q343" t="str">
            <v>Taluk Karangjati</v>
          </cell>
          <cell r="R343" t="str">
            <v>Ngawi</v>
          </cell>
          <cell r="S343" t="str">
            <v>D Barat1</v>
          </cell>
          <cell r="T343" t="str">
            <v>Dian</v>
          </cell>
          <cell r="U343">
            <v>30</v>
          </cell>
        </row>
        <row r="344">
          <cell r="E344" t="str">
            <v>B25007969</v>
          </cell>
          <cell r="F344"/>
          <cell r="G344">
            <v>32000000000</v>
          </cell>
          <cell r="H344" t="str">
            <v>Reni</v>
          </cell>
          <cell r="I344" t="str">
            <v>Farida</v>
          </cell>
          <cell r="J344"/>
          <cell r="K344" t="str">
            <v>BG</v>
          </cell>
          <cell r="L344" t="str">
            <v>ALAM01</v>
          </cell>
          <cell r="M344" t="str">
            <v>Alam Tani</v>
          </cell>
          <cell r="N344" t="str">
            <v>Arista Semesta Alam, PT</v>
          </cell>
          <cell r="O344" t="str">
            <v>Taluk Karangjati</v>
          </cell>
          <cell r="P344" t="str">
            <v>Ngawi</v>
          </cell>
          <cell r="Q344" t="str">
            <v>Taluk Karangjati</v>
          </cell>
          <cell r="R344" t="str">
            <v>Ngawi</v>
          </cell>
          <cell r="S344" t="str">
            <v>D Barat1</v>
          </cell>
          <cell r="T344" t="str">
            <v>Dian</v>
          </cell>
          <cell r="U344">
            <v>30</v>
          </cell>
        </row>
        <row r="345">
          <cell r="E345" t="str">
            <v>B25007970</v>
          </cell>
          <cell r="F345"/>
          <cell r="G345">
            <v>32000000000</v>
          </cell>
          <cell r="H345" t="str">
            <v>Reni</v>
          </cell>
          <cell r="I345" t="str">
            <v>Farida</v>
          </cell>
          <cell r="J345"/>
          <cell r="K345" t="str">
            <v>BG</v>
          </cell>
          <cell r="L345" t="str">
            <v>ALAM01</v>
          </cell>
          <cell r="M345" t="str">
            <v>Alam Tani</v>
          </cell>
          <cell r="N345" t="str">
            <v>Arista Semesta Alam, PT</v>
          </cell>
          <cell r="O345" t="str">
            <v>Taluk Karangjati</v>
          </cell>
          <cell r="P345" t="str">
            <v>Ngawi</v>
          </cell>
          <cell r="Q345" t="str">
            <v>Taluk Karangjati</v>
          </cell>
          <cell r="R345" t="str">
            <v>Ngawi</v>
          </cell>
          <cell r="S345" t="str">
            <v>D Barat1</v>
          </cell>
          <cell r="T345" t="str">
            <v>Dian</v>
          </cell>
          <cell r="U345">
            <v>30</v>
          </cell>
        </row>
        <row r="346">
          <cell r="E346" t="str">
            <v>B25007970</v>
          </cell>
          <cell r="F346"/>
          <cell r="G346">
            <v>32000000000</v>
          </cell>
          <cell r="H346" t="str">
            <v>Reni</v>
          </cell>
          <cell r="I346" t="str">
            <v>Farida</v>
          </cell>
          <cell r="J346"/>
          <cell r="K346" t="str">
            <v>BG</v>
          </cell>
          <cell r="L346" t="str">
            <v>ALAM01</v>
          </cell>
          <cell r="M346" t="str">
            <v>Alam Tani</v>
          </cell>
          <cell r="N346" t="str">
            <v>Arista Semesta Alam, PT</v>
          </cell>
          <cell r="O346" t="str">
            <v>Taluk Karangjati</v>
          </cell>
          <cell r="P346" t="str">
            <v>Ngawi</v>
          </cell>
          <cell r="Q346" t="str">
            <v>Taluk Karangjati</v>
          </cell>
          <cell r="R346" t="str">
            <v>Ngawi</v>
          </cell>
          <cell r="S346" t="str">
            <v>D Barat1</v>
          </cell>
          <cell r="T346" t="str">
            <v>Dian</v>
          </cell>
          <cell r="U346">
            <v>30</v>
          </cell>
        </row>
        <row r="347">
          <cell r="E347" t="str">
            <v>B25007970</v>
          </cell>
          <cell r="F347"/>
          <cell r="G347">
            <v>32000000000</v>
          </cell>
          <cell r="H347" t="str">
            <v>Reni</v>
          </cell>
          <cell r="I347" t="str">
            <v>Farida</v>
          </cell>
          <cell r="J347"/>
          <cell r="K347" t="str">
            <v>BG</v>
          </cell>
          <cell r="L347" t="str">
            <v>ALAM01</v>
          </cell>
          <cell r="M347" t="str">
            <v>Alam Tani</v>
          </cell>
          <cell r="N347" t="str">
            <v>Arista Semesta Alam, PT</v>
          </cell>
          <cell r="O347" t="str">
            <v>Taluk Karangjati</v>
          </cell>
          <cell r="P347" t="str">
            <v>Ngawi</v>
          </cell>
          <cell r="Q347" t="str">
            <v>Taluk Karangjati</v>
          </cell>
          <cell r="R347" t="str">
            <v>Ngawi</v>
          </cell>
          <cell r="S347" t="str">
            <v>D Barat1</v>
          </cell>
          <cell r="T347" t="str">
            <v>Dian</v>
          </cell>
          <cell r="U347">
            <v>30</v>
          </cell>
        </row>
        <row r="348">
          <cell r="E348" t="str">
            <v>D25009766</v>
          </cell>
          <cell r="F348"/>
          <cell r="G348">
            <v>32000000000</v>
          </cell>
          <cell r="H348" t="str">
            <v>Reni</v>
          </cell>
          <cell r="I348" t="str">
            <v>Farida</v>
          </cell>
          <cell r="J348"/>
          <cell r="K348" t="str">
            <v>BG</v>
          </cell>
          <cell r="L348" t="str">
            <v>ALAM01</v>
          </cell>
          <cell r="M348" t="str">
            <v>Alam Tani</v>
          </cell>
          <cell r="N348" t="str">
            <v>Arista Semesta Alam, PT</v>
          </cell>
          <cell r="O348" t="str">
            <v>Taluk Karangjati</v>
          </cell>
          <cell r="P348" t="str">
            <v>Ngawi</v>
          </cell>
          <cell r="Q348" t="str">
            <v>Taluk Karangjati</v>
          </cell>
          <cell r="R348" t="str">
            <v>Ngawi</v>
          </cell>
          <cell r="S348" t="str">
            <v>D Barat1</v>
          </cell>
          <cell r="T348" t="str">
            <v>Dian</v>
          </cell>
          <cell r="U348">
            <v>30</v>
          </cell>
        </row>
        <row r="349">
          <cell r="E349" t="str">
            <v>D25009766</v>
          </cell>
          <cell r="F349"/>
          <cell r="G349">
            <v>32000000000</v>
          </cell>
          <cell r="H349" t="str">
            <v>Reni</v>
          </cell>
          <cell r="I349" t="str">
            <v>Farida</v>
          </cell>
          <cell r="J349"/>
          <cell r="K349" t="str">
            <v>BG</v>
          </cell>
          <cell r="L349" t="str">
            <v>ALAM01</v>
          </cell>
          <cell r="M349" t="str">
            <v>Alam Tani</v>
          </cell>
          <cell r="N349" t="str">
            <v>Arista Semesta Alam, PT</v>
          </cell>
          <cell r="O349" t="str">
            <v>Taluk Karangjati</v>
          </cell>
          <cell r="P349" t="str">
            <v>Ngawi</v>
          </cell>
          <cell r="Q349" t="str">
            <v>Taluk Karangjati</v>
          </cell>
          <cell r="R349" t="str">
            <v>Ngawi</v>
          </cell>
          <cell r="S349" t="str">
            <v>D Barat1</v>
          </cell>
          <cell r="T349" t="str">
            <v>Dian</v>
          </cell>
          <cell r="U349">
            <v>30</v>
          </cell>
        </row>
        <row r="350">
          <cell r="E350" t="str">
            <v>D25009767</v>
          </cell>
          <cell r="F350"/>
          <cell r="G350">
            <v>32000000000</v>
          </cell>
          <cell r="H350" t="str">
            <v>Reni</v>
          </cell>
          <cell r="I350" t="str">
            <v>Farida</v>
          </cell>
          <cell r="J350"/>
          <cell r="K350" t="str">
            <v>BG</v>
          </cell>
          <cell r="L350" t="str">
            <v>ALAM01</v>
          </cell>
          <cell r="M350" t="str">
            <v>Alam Tani</v>
          </cell>
          <cell r="N350" t="str">
            <v>Arista Semesta Alam, PT</v>
          </cell>
          <cell r="O350" t="str">
            <v>Taluk Karangjati</v>
          </cell>
          <cell r="P350" t="str">
            <v>Ngawi</v>
          </cell>
          <cell r="Q350" t="str">
            <v>Taluk Karangjati</v>
          </cell>
          <cell r="R350" t="str">
            <v>Ngawi</v>
          </cell>
          <cell r="S350" t="str">
            <v>D Barat1</v>
          </cell>
          <cell r="T350" t="str">
            <v>Dian</v>
          </cell>
          <cell r="U350">
            <v>30</v>
          </cell>
        </row>
        <row r="351">
          <cell r="E351" t="str">
            <v>D25009767</v>
          </cell>
          <cell r="F351"/>
          <cell r="G351">
            <v>32000000000</v>
          </cell>
          <cell r="H351" t="str">
            <v>Reni</v>
          </cell>
          <cell r="I351" t="str">
            <v>Farida</v>
          </cell>
          <cell r="J351"/>
          <cell r="K351" t="str">
            <v>BG</v>
          </cell>
          <cell r="L351" t="str">
            <v>ALAM01</v>
          </cell>
          <cell r="M351" t="str">
            <v>Alam Tani</v>
          </cell>
          <cell r="N351" t="str">
            <v>Arista Semesta Alam, PT</v>
          </cell>
          <cell r="O351" t="str">
            <v>Taluk Karangjati</v>
          </cell>
          <cell r="P351" t="str">
            <v>Ngawi</v>
          </cell>
          <cell r="Q351" t="str">
            <v>Taluk Karangjati</v>
          </cell>
          <cell r="R351" t="str">
            <v>Ngawi</v>
          </cell>
          <cell r="S351" t="str">
            <v>D Barat1</v>
          </cell>
          <cell r="T351" t="str">
            <v>Dian</v>
          </cell>
          <cell r="U351">
            <v>30</v>
          </cell>
        </row>
        <row r="352">
          <cell r="E352" t="str">
            <v>D25009971</v>
          </cell>
          <cell r="F352"/>
          <cell r="G352">
            <v>32000000000</v>
          </cell>
          <cell r="H352" t="str">
            <v>Reni</v>
          </cell>
          <cell r="I352" t="str">
            <v>Farida</v>
          </cell>
          <cell r="J352"/>
          <cell r="K352" t="str">
            <v>BG</v>
          </cell>
          <cell r="L352" t="str">
            <v>ALAM01</v>
          </cell>
          <cell r="M352" t="str">
            <v>Alam Tani</v>
          </cell>
          <cell r="N352" t="str">
            <v>Arista Semesta Alam, PT</v>
          </cell>
          <cell r="O352" t="str">
            <v>Taluk Karangjati</v>
          </cell>
          <cell r="P352" t="str">
            <v>Ngawi</v>
          </cell>
          <cell r="Q352" t="str">
            <v>Taluk Karangjati</v>
          </cell>
          <cell r="R352" t="str">
            <v>Ngawi</v>
          </cell>
          <cell r="S352" t="str">
            <v>D Barat1</v>
          </cell>
          <cell r="T352" t="str">
            <v>Dian</v>
          </cell>
          <cell r="U352">
            <v>30</v>
          </cell>
        </row>
        <row r="353">
          <cell r="E353" t="str">
            <v>D25009972</v>
          </cell>
          <cell r="F353"/>
          <cell r="G353">
            <v>32000000000</v>
          </cell>
          <cell r="H353" t="str">
            <v>Reni</v>
          </cell>
          <cell r="I353" t="str">
            <v>Farida</v>
          </cell>
          <cell r="J353"/>
          <cell r="K353" t="str">
            <v>BG</v>
          </cell>
          <cell r="L353" t="str">
            <v>ALAM01</v>
          </cell>
          <cell r="M353" t="str">
            <v>Alam Tani</v>
          </cell>
          <cell r="N353" t="str">
            <v>Arista Semesta Alam, PT</v>
          </cell>
          <cell r="O353" t="str">
            <v>Taluk Karangjati</v>
          </cell>
          <cell r="P353" t="str">
            <v>Ngawi</v>
          </cell>
          <cell r="Q353" t="str">
            <v>Taluk Karangjati</v>
          </cell>
          <cell r="R353" t="str">
            <v>Ngawi</v>
          </cell>
          <cell r="S353" t="str">
            <v>D Barat1</v>
          </cell>
          <cell r="T353" t="str">
            <v>Dian</v>
          </cell>
          <cell r="U353">
            <v>30</v>
          </cell>
        </row>
        <row r="354">
          <cell r="E354" t="str">
            <v>D25009972</v>
          </cell>
          <cell r="F354"/>
          <cell r="G354">
            <v>32000000000</v>
          </cell>
          <cell r="H354" t="str">
            <v>Reni</v>
          </cell>
          <cell r="I354" t="str">
            <v>Farida</v>
          </cell>
          <cell r="J354"/>
          <cell r="K354" t="str">
            <v>BG</v>
          </cell>
          <cell r="L354" t="str">
            <v>ALAM01</v>
          </cell>
          <cell r="M354" t="str">
            <v>Alam Tani</v>
          </cell>
          <cell r="N354" t="str">
            <v>Arista Semesta Alam, PT</v>
          </cell>
          <cell r="O354" t="str">
            <v>Taluk Karangjati</v>
          </cell>
          <cell r="P354" t="str">
            <v>Ngawi</v>
          </cell>
          <cell r="Q354" t="str">
            <v>Taluk Karangjati</v>
          </cell>
          <cell r="R354" t="str">
            <v>Ngawi</v>
          </cell>
          <cell r="S354" t="str">
            <v>D Barat1</v>
          </cell>
          <cell r="T354" t="str">
            <v>Dian</v>
          </cell>
          <cell r="U354">
            <v>30</v>
          </cell>
        </row>
        <row r="355">
          <cell r="E355" t="str">
            <v>D25009973</v>
          </cell>
          <cell r="F355"/>
          <cell r="G355">
            <v>32000000000</v>
          </cell>
          <cell r="H355" t="str">
            <v>Reni</v>
          </cell>
          <cell r="I355" t="str">
            <v>Farida</v>
          </cell>
          <cell r="J355"/>
          <cell r="K355" t="str">
            <v>BG</v>
          </cell>
          <cell r="L355" t="str">
            <v>ALAM01</v>
          </cell>
          <cell r="M355" t="str">
            <v>Alam Tani</v>
          </cell>
          <cell r="N355" t="str">
            <v>Arista Semesta Alam, PT</v>
          </cell>
          <cell r="O355" t="str">
            <v>Taluk Karangjati</v>
          </cell>
          <cell r="P355" t="str">
            <v>Ngawi</v>
          </cell>
          <cell r="Q355" t="str">
            <v>Taluk Karangjati</v>
          </cell>
          <cell r="R355" t="str">
            <v>Ngawi</v>
          </cell>
          <cell r="S355" t="str">
            <v>D Barat1</v>
          </cell>
          <cell r="T355" t="str">
            <v>Dian</v>
          </cell>
          <cell r="U355">
            <v>30</v>
          </cell>
        </row>
        <row r="356">
          <cell r="E356" t="str">
            <v>B25008295</v>
          </cell>
          <cell r="F356"/>
          <cell r="G356">
            <v>32000000000</v>
          </cell>
          <cell r="H356" t="str">
            <v>Reni</v>
          </cell>
          <cell r="I356" t="str">
            <v>Farida</v>
          </cell>
          <cell r="J356"/>
          <cell r="K356" t="str">
            <v>BG</v>
          </cell>
          <cell r="L356" t="str">
            <v>ALAM01</v>
          </cell>
          <cell r="M356" t="str">
            <v>Alam Tani</v>
          </cell>
          <cell r="N356" t="str">
            <v>Arista Semesta Alam, PT</v>
          </cell>
          <cell r="O356" t="str">
            <v>Taluk Karangjati</v>
          </cell>
          <cell r="P356" t="str">
            <v>Ngawi</v>
          </cell>
          <cell r="Q356" t="str">
            <v>Taluk Karangjati</v>
          </cell>
          <cell r="R356" t="str">
            <v>Ngawi</v>
          </cell>
          <cell r="S356" t="str">
            <v>D Barat1</v>
          </cell>
          <cell r="T356" t="str">
            <v>Dian</v>
          </cell>
          <cell r="U356">
            <v>30</v>
          </cell>
        </row>
        <row r="357">
          <cell r="E357" t="str">
            <v>B25008295</v>
          </cell>
          <cell r="F357"/>
          <cell r="G357">
            <v>32000000000</v>
          </cell>
          <cell r="H357" t="str">
            <v>Reni</v>
          </cell>
          <cell r="I357" t="str">
            <v>Farida</v>
          </cell>
          <cell r="J357"/>
          <cell r="K357" t="str">
            <v>BG</v>
          </cell>
          <cell r="L357" t="str">
            <v>ALAM01</v>
          </cell>
          <cell r="M357" t="str">
            <v>Alam Tani</v>
          </cell>
          <cell r="N357" t="str">
            <v>Arista Semesta Alam, PT</v>
          </cell>
          <cell r="O357" t="str">
            <v>Taluk Karangjati</v>
          </cell>
          <cell r="P357" t="str">
            <v>Ngawi</v>
          </cell>
          <cell r="Q357" t="str">
            <v>Taluk Karangjati</v>
          </cell>
          <cell r="R357" t="str">
            <v>Ngawi</v>
          </cell>
          <cell r="S357" t="str">
            <v>D Barat1</v>
          </cell>
          <cell r="T357" t="str">
            <v>Dian</v>
          </cell>
          <cell r="U357">
            <v>30</v>
          </cell>
        </row>
        <row r="358">
          <cell r="E358" t="str">
            <v>B25008296</v>
          </cell>
          <cell r="F358"/>
          <cell r="G358">
            <v>32000000000</v>
          </cell>
          <cell r="H358" t="str">
            <v>Reni</v>
          </cell>
          <cell r="I358" t="str">
            <v>Farida</v>
          </cell>
          <cell r="J358"/>
          <cell r="K358" t="str">
            <v>BG</v>
          </cell>
          <cell r="L358" t="str">
            <v>ALAM01</v>
          </cell>
          <cell r="M358" t="str">
            <v>Alam Tani</v>
          </cell>
          <cell r="N358" t="str">
            <v>Arista Semesta Alam, PT</v>
          </cell>
          <cell r="O358" t="str">
            <v>Taluk Karangjati</v>
          </cell>
          <cell r="P358" t="str">
            <v>Ngawi</v>
          </cell>
          <cell r="Q358" t="str">
            <v>Taluk Karangjati</v>
          </cell>
          <cell r="R358" t="str">
            <v>Ngawi</v>
          </cell>
          <cell r="S358" t="str">
            <v>D Barat1</v>
          </cell>
          <cell r="T358" t="str">
            <v>Dian</v>
          </cell>
          <cell r="U358">
            <v>30</v>
          </cell>
        </row>
        <row r="359">
          <cell r="E359" t="str">
            <v>D25010133</v>
          </cell>
          <cell r="F359"/>
          <cell r="G359">
            <v>32000000000</v>
          </cell>
          <cell r="H359" t="str">
            <v>Reni</v>
          </cell>
          <cell r="I359" t="str">
            <v>Farida</v>
          </cell>
          <cell r="J359"/>
          <cell r="K359" t="str">
            <v>BG</v>
          </cell>
          <cell r="L359" t="str">
            <v>ALAM01</v>
          </cell>
          <cell r="M359" t="str">
            <v>Alam Tani</v>
          </cell>
          <cell r="N359" t="str">
            <v>Arista Semesta Alam, PT</v>
          </cell>
          <cell r="O359" t="str">
            <v>Taluk Karangjati</v>
          </cell>
          <cell r="P359" t="str">
            <v>Ngawi</v>
          </cell>
          <cell r="Q359" t="str">
            <v>Taluk Karangjati</v>
          </cell>
          <cell r="R359" t="str">
            <v>Ngawi</v>
          </cell>
          <cell r="S359" t="str">
            <v>D Barat1</v>
          </cell>
          <cell r="T359" t="str">
            <v>Dian</v>
          </cell>
          <cell r="U359">
            <v>30</v>
          </cell>
        </row>
        <row r="360">
          <cell r="E360" t="str">
            <v>D25010134</v>
          </cell>
          <cell r="F360"/>
          <cell r="G360">
            <v>32000000000</v>
          </cell>
          <cell r="H360" t="str">
            <v>Reni</v>
          </cell>
          <cell r="I360" t="str">
            <v>Farida</v>
          </cell>
          <cell r="J360"/>
          <cell r="K360" t="str">
            <v>BG</v>
          </cell>
          <cell r="L360" t="str">
            <v>ALAM01</v>
          </cell>
          <cell r="M360" t="str">
            <v>Alam Tani</v>
          </cell>
          <cell r="N360" t="str">
            <v>Arista Semesta Alam, PT</v>
          </cell>
          <cell r="O360" t="str">
            <v>Taluk Karangjati</v>
          </cell>
          <cell r="P360" t="str">
            <v>Ngawi</v>
          </cell>
          <cell r="Q360" t="str">
            <v>Taluk Karangjati</v>
          </cell>
          <cell r="R360" t="str">
            <v>Ngawi</v>
          </cell>
          <cell r="S360" t="str">
            <v>D Barat1</v>
          </cell>
          <cell r="T360" t="str">
            <v>Dian</v>
          </cell>
          <cell r="U360">
            <v>30</v>
          </cell>
        </row>
        <row r="361">
          <cell r="E361" t="str">
            <v>D25010156</v>
          </cell>
          <cell r="F361"/>
          <cell r="G361">
            <v>32000000000</v>
          </cell>
          <cell r="H361" t="str">
            <v>Reni</v>
          </cell>
          <cell r="I361" t="str">
            <v>Farida</v>
          </cell>
          <cell r="J361"/>
          <cell r="K361" t="str">
            <v>BG</v>
          </cell>
          <cell r="L361" t="str">
            <v>ALAM01</v>
          </cell>
          <cell r="M361" t="str">
            <v>Alam Tani</v>
          </cell>
          <cell r="N361" t="str">
            <v>Arista Semesta Alam, PT</v>
          </cell>
          <cell r="O361" t="str">
            <v>Taluk Karangjati</v>
          </cell>
          <cell r="P361" t="str">
            <v>Ngawi</v>
          </cell>
          <cell r="Q361" t="str">
            <v>Taluk Karangjati</v>
          </cell>
          <cell r="R361" t="str">
            <v>Ngawi</v>
          </cell>
          <cell r="S361" t="str">
            <v>D Barat1</v>
          </cell>
          <cell r="T361" t="str">
            <v>Dian</v>
          </cell>
          <cell r="U361">
            <v>30</v>
          </cell>
        </row>
        <row r="362">
          <cell r="E362" t="str">
            <v>B25008653</v>
          </cell>
          <cell r="F362"/>
          <cell r="G362">
            <v>32000000000</v>
          </cell>
          <cell r="H362" t="str">
            <v>Reni</v>
          </cell>
          <cell r="I362" t="str">
            <v>Farida</v>
          </cell>
          <cell r="J362"/>
          <cell r="K362" t="str">
            <v>BG</v>
          </cell>
          <cell r="L362" t="str">
            <v>ALAM01</v>
          </cell>
          <cell r="M362" t="str">
            <v>Alam Tani</v>
          </cell>
          <cell r="N362" t="str">
            <v>Arista Semesta Alam, PT</v>
          </cell>
          <cell r="O362" t="str">
            <v>Taluk Karangjati</v>
          </cell>
          <cell r="P362" t="str">
            <v>Ngawi</v>
          </cell>
          <cell r="Q362" t="str">
            <v>Taluk Karangjati</v>
          </cell>
          <cell r="R362" t="str">
            <v>Ngawi</v>
          </cell>
          <cell r="S362" t="str">
            <v>D Barat1</v>
          </cell>
          <cell r="T362" t="str">
            <v>Dian</v>
          </cell>
          <cell r="U362">
            <v>30</v>
          </cell>
        </row>
        <row r="363">
          <cell r="E363" t="str">
            <v>B25008654</v>
          </cell>
          <cell r="F363"/>
          <cell r="G363">
            <v>32000000000</v>
          </cell>
          <cell r="H363" t="str">
            <v>Reni</v>
          </cell>
          <cell r="I363" t="str">
            <v>Farida</v>
          </cell>
          <cell r="J363"/>
          <cell r="K363" t="str">
            <v>BG</v>
          </cell>
          <cell r="L363" t="str">
            <v>ALAM01</v>
          </cell>
          <cell r="M363" t="str">
            <v>Alam Tani</v>
          </cell>
          <cell r="N363" t="str">
            <v>Arista Semesta Alam, PT</v>
          </cell>
          <cell r="O363" t="str">
            <v>Taluk Karangjati</v>
          </cell>
          <cell r="P363" t="str">
            <v>Ngawi</v>
          </cell>
          <cell r="Q363" t="str">
            <v>Taluk Karangjati</v>
          </cell>
          <cell r="R363" t="str">
            <v>Ngawi</v>
          </cell>
          <cell r="S363" t="str">
            <v>D Barat1</v>
          </cell>
          <cell r="T363" t="str">
            <v>Dian</v>
          </cell>
          <cell r="U363">
            <v>30</v>
          </cell>
        </row>
        <row r="364">
          <cell r="E364" t="str">
            <v>B25008654</v>
          </cell>
          <cell r="F364"/>
          <cell r="G364">
            <v>32000000000</v>
          </cell>
          <cell r="H364" t="str">
            <v>Reni</v>
          </cell>
          <cell r="I364" t="str">
            <v>Farida</v>
          </cell>
          <cell r="J364"/>
          <cell r="K364" t="str">
            <v>BG</v>
          </cell>
          <cell r="L364" t="str">
            <v>ALAM01</v>
          </cell>
          <cell r="M364" t="str">
            <v>Alam Tani</v>
          </cell>
          <cell r="N364" t="str">
            <v>Arista Semesta Alam, PT</v>
          </cell>
          <cell r="O364" t="str">
            <v>Taluk Karangjati</v>
          </cell>
          <cell r="P364" t="str">
            <v>Ngawi</v>
          </cell>
          <cell r="Q364" t="str">
            <v>Taluk Karangjati</v>
          </cell>
          <cell r="R364" t="str">
            <v>Ngawi</v>
          </cell>
          <cell r="S364" t="str">
            <v>D Barat1</v>
          </cell>
          <cell r="T364" t="str">
            <v>Dian</v>
          </cell>
          <cell r="U364">
            <v>30</v>
          </cell>
        </row>
        <row r="365">
          <cell r="E365" t="str">
            <v>D25010547</v>
          </cell>
          <cell r="F365"/>
          <cell r="G365">
            <v>32000000000</v>
          </cell>
          <cell r="H365" t="str">
            <v>Reni</v>
          </cell>
          <cell r="I365" t="str">
            <v>Farida</v>
          </cell>
          <cell r="J365"/>
          <cell r="K365" t="str">
            <v>BG</v>
          </cell>
          <cell r="L365" t="str">
            <v>ALAM01</v>
          </cell>
          <cell r="M365" t="str">
            <v>Alam Tani</v>
          </cell>
          <cell r="N365" t="str">
            <v>Arista Semesta Alam, PT</v>
          </cell>
          <cell r="O365" t="str">
            <v>Taluk Karangjati</v>
          </cell>
          <cell r="P365" t="str">
            <v>Ngawi</v>
          </cell>
          <cell r="Q365" t="str">
            <v>Taluk Karangjati</v>
          </cell>
          <cell r="R365" t="str">
            <v>Ngawi</v>
          </cell>
          <cell r="S365" t="str">
            <v>D Barat1</v>
          </cell>
          <cell r="T365" t="str">
            <v>Dian</v>
          </cell>
          <cell r="U365">
            <v>30</v>
          </cell>
        </row>
        <row r="366">
          <cell r="E366" t="str">
            <v>B25008784</v>
          </cell>
          <cell r="F366"/>
          <cell r="G366">
            <v>32000000000</v>
          </cell>
          <cell r="H366" t="str">
            <v>Reni</v>
          </cell>
          <cell r="I366" t="str">
            <v>Farida</v>
          </cell>
          <cell r="J366"/>
          <cell r="K366" t="str">
            <v>BG</v>
          </cell>
          <cell r="L366" t="str">
            <v>ALAM01</v>
          </cell>
          <cell r="M366" t="str">
            <v>Alam Tani</v>
          </cell>
          <cell r="N366" t="str">
            <v>Arista Semesta Alam, PT</v>
          </cell>
          <cell r="O366" t="str">
            <v>Taluk Karangjati</v>
          </cell>
          <cell r="P366" t="str">
            <v>Ngawi</v>
          </cell>
          <cell r="Q366" t="str">
            <v>Taluk Karangjati</v>
          </cell>
          <cell r="R366" t="str">
            <v>Ngawi</v>
          </cell>
          <cell r="S366" t="str">
            <v>D Barat1</v>
          </cell>
          <cell r="T366" t="str">
            <v>Dian</v>
          </cell>
          <cell r="U366">
            <v>30</v>
          </cell>
        </row>
        <row r="367">
          <cell r="E367" t="str">
            <v>D25010700</v>
          </cell>
          <cell r="F367"/>
          <cell r="G367">
            <v>32000000000</v>
          </cell>
          <cell r="H367" t="str">
            <v>Reni</v>
          </cell>
          <cell r="I367" t="str">
            <v>Farida</v>
          </cell>
          <cell r="J367"/>
          <cell r="K367" t="str">
            <v>BG</v>
          </cell>
          <cell r="L367" t="str">
            <v>ALAM01</v>
          </cell>
          <cell r="M367" t="str">
            <v>Alam Tani</v>
          </cell>
          <cell r="N367" t="str">
            <v>Arista Semesta Alam, PT</v>
          </cell>
          <cell r="O367" t="str">
            <v>Taluk Karangjati</v>
          </cell>
          <cell r="P367" t="str">
            <v>Ngawi</v>
          </cell>
          <cell r="Q367" t="str">
            <v>Taluk Karangjati</v>
          </cell>
          <cell r="R367" t="str">
            <v>Ngawi</v>
          </cell>
          <cell r="S367" t="str">
            <v>D Barat1</v>
          </cell>
          <cell r="T367" t="str">
            <v>Dian</v>
          </cell>
          <cell r="U367">
            <v>30</v>
          </cell>
        </row>
        <row r="368">
          <cell r="E368" t="str">
            <v>D25010700</v>
          </cell>
          <cell r="F368"/>
          <cell r="G368">
            <v>32000000000</v>
          </cell>
          <cell r="H368" t="str">
            <v>Reni</v>
          </cell>
          <cell r="I368" t="str">
            <v>Farida</v>
          </cell>
          <cell r="J368"/>
          <cell r="K368" t="str">
            <v>BG</v>
          </cell>
          <cell r="L368" t="str">
            <v>ALAM01</v>
          </cell>
          <cell r="M368" t="str">
            <v>Alam Tani</v>
          </cell>
          <cell r="N368" t="str">
            <v>Arista Semesta Alam, PT</v>
          </cell>
          <cell r="O368" t="str">
            <v>Taluk Karangjati</v>
          </cell>
          <cell r="P368" t="str">
            <v>Ngawi</v>
          </cell>
          <cell r="Q368" t="str">
            <v>Taluk Karangjati</v>
          </cell>
          <cell r="R368" t="str">
            <v>Ngawi</v>
          </cell>
          <cell r="S368" t="str">
            <v>D Barat1</v>
          </cell>
          <cell r="T368" t="str">
            <v>Dian</v>
          </cell>
          <cell r="U368">
            <v>30</v>
          </cell>
        </row>
        <row r="369">
          <cell r="E369" t="str">
            <v>D25010700</v>
          </cell>
          <cell r="F369"/>
          <cell r="G369">
            <v>32000000000</v>
          </cell>
          <cell r="H369" t="str">
            <v>Reni</v>
          </cell>
          <cell r="I369" t="str">
            <v>Farida</v>
          </cell>
          <cell r="J369"/>
          <cell r="K369" t="str">
            <v>BG</v>
          </cell>
          <cell r="L369" t="str">
            <v>ALAM01</v>
          </cell>
          <cell r="M369" t="str">
            <v>Alam Tani</v>
          </cell>
          <cell r="N369" t="str">
            <v>Arista Semesta Alam, PT</v>
          </cell>
          <cell r="O369" t="str">
            <v>Taluk Karangjati</v>
          </cell>
          <cell r="P369" t="str">
            <v>Ngawi</v>
          </cell>
          <cell r="Q369" t="str">
            <v>Taluk Karangjati</v>
          </cell>
          <cell r="R369" t="str">
            <v>Ngawi</v>
          </cell>
          <cell r="S369" t="str">
            <v>D Barat1</v>
          </cell>
          <cell r="T369" t="str">
            <v>Dian</v>
          </cell>
          <cell r="U369">
            <v>30</v>
          </cell>
        </row>
        <row r="370">
          <cell r="E370" t="str">
            <v>D25011006</v>
          </cell>
          <cell r="F370"/>
          <cell r="G370">
            <v>32000000000</v>
          </cell>
          <cell r="H370" t="str">
            <v>Reni</v>
          </cell>
          <cell r="I370" t="str">
            <v>Farida</v>
          </cell>
          <cell r="J370"/>
          <cell r="K370" t="str">
            <v>BG</v>
          </cell>
          <cell r="L370" t="str">
            <v>ALAM01</v>
          </cell>
          <cell r="M370" t="str">
            <v>Alam Tani</v>
          </cell>
          <cell r="N370" t="str">
            <v>Arista Semesta Alam, PT</v>
          </cell>
          <cell r="O370" t="str">
            <v>Taluk Karangjati</v>
          </cell>
          <cell r="P370" t="str">
            <v>Ngawi</v>
          </cell>
          <cell r="Q370" t="str">
            <v>Taluk Karangjati</v>
          </cell>
          <cell r="R370" t="str">
            <v>Ngawi</v>
          </cell>
          <cell r="S370" t="str">
            <v>D Barat1</v>
          </cell>
          <cell r="T370" t="str">
            <v>Dian</v>
          </cell>
          <cell r="U370">
            <v>30</v>
          </cell>
        </row>
        <row r="371">
          <cell r="E371" t="str">
            <v>D25011006</v>
          </cell>
          <cell r="F371"/>
          <cell r="G371">
            <v>32000000000</v>
          </cell>
          <cell r="H371" t="str">
            <v>Reni</v>
          </cell>
          <cell r="I371" t="str">
            <v>Farida</v>
          </cell>
          <cell r="J371"/>
          <cell r="K371" t="str">
            <v>BG</v>
          </cell>
          <cell r="L371" t="str">
            <v>ALAM01</v>
          </cell>
          <cell r="M371" t="str">
            <v>Alam Tani</v>
          </cell>
          <cell r="N371" t="str">
            <v>Arista Semesta Alam, PT</v>
          </cell>
          <cell r="O371" t="str">
            <v>Taluk Karangjati</v>
          </cell>
          <cell r="P371" t="str">
            <v>Ngawi</v>
          </cell>
          <cell r="Q371" t="str">
            <v>Taluk Karangjati</v>
          </cell>
          <cell r="R371" t="str">
            <v>Ngawi</v>
          </cell>
          <cell r="S371" t="str">
            <v>D Barat1</v>
          </cell>
          <cell r="T371" t="str">
            <v>Dian</v>
          </cell>
          <cell r="U371">
            <v>30</v>
          </cell>
        </row>
        <row r="372">
          <cell r="E372" t="str">
            <v>D25011006</v>
          </cell>
          <cell r="F372"/>
          <cell r="G372">
            <v>32000000000</v>
          </cell>
          <cell r="H372" t="str">
            <v>Reni</v>
          </cell>
          <cell r="I372" t="str">
            <v>Farida</v>
          </cell>
          <cell r="J372"/>
          <cell r="K372" t="str">
            <v>BG</v>
          </cell>
          <cell r="L372" t="str">
            <v>ALAM01</v>
          </cell>
          <cell r="M372" t="str">
            <v>Alam Tani</v>
          </cell>
          <cell r="N372" t="str">
            <v>Arista Semesta Alam, PT</v>
          </cell>
          <cell r="O372" t="str">
            <v>Taluk Karangjati</v>
          </cell>
          <cell r="P372" t="str">
            <v>Ngawi</v>
          </cell>
          <cell r="Q372" t="str">
            <v>Taluk Karangjati</v>
          </cell>
          <cell r="R372" t="str">
            <v>Ngawi</v>
          </cell>
          <cell r="S372" t="str">
            <v>D Barat1</v>
          </cell>
          <cell r="T372" t="str">
            <v>Dian</v>
          </cell>
          <cell r="U372">
            <v>30</v>
          </cell>
        </row>
        <row r="373">
          <cell r="E373" t="str">
            <v>D25011006</v>
          </cell>
          <cell r="F373"/>
          <cell r="G373">
            <v>32000000000</v>
          </cell>
          <cell r="H373" t="str">
            <v>Reni</v>
          </cell>
          <cell r="I373" t="str">
            <v>Farida</v>
          </cell>
          <cell r="J373"/>
          <cell r="K373" t="str">
            <v>BG</v>
          </cell>
          <cell r="L373" t="str">
            <v>ALAM01</v>
          </cell>
          <cell r="M373" t="str">
            <v>Alam Tani</v>
          </cell>
          <cell r="N373" t="str">
            <v>Arista Semesta Alam, PT</v>
          </cell>
          <cell r="O373" t="str">
            <v>Taluk Karangjati</v>
          </cell>
          <cell r="P373" t="str">
            <v>Ngawi</v>
          </cell>
          <cell r="Q373" t="str">
            <v>Taluk Karangjati</v>
          </cell>
          <cell r="R373" t="str">
            <v>Ngawi</v>
          </cell>
          <cell r="S373" t="str">
            <v>D Barat1</v>
          </cell>
          <cell r="T373" t="str">
            <v>Dian</v>
          </cell>
          <cell r="U373">
            <v>30</v>
          </cell>
        </row>
        <row r="374">
          <cell r="E374" t="str">
            <v>D25011007</v>
          </cell>
          <cell r="F374"/>
          <cell r="G374">
            <v>32000000000</v>
          </cell>
          <cell r="H374" t="str">
            <v>Reni</v>
          </cell>
          <cell r="I374" t="str">
            <v>Farida</v>
          </cell>
          <cell r="J374"/>
          <cell r="K374" t="str">
            <v>BG</v>
          </cell>
          <cell r="L374" t="str">
            <v>ALAM01</v>
          </cell>
          <cell r="M374" t="str">
            <v>Alam Tani</v>
          </cell>
          <cell r="N374" t="str">
            <v>Arista Semesta Alam, PT</v>
          </cell>
          <cell r="O374" t="str">
            <v>Taluk Karangjati</v>
          </cell>
          <cell r="P374" t="str">
            <v>Ngawi</v>
          </cell>
          <cell r="Q374" t="str">
            <v>Taluk Karangjati</v>
          </cell>
          <cell r="R374" t="str">
            <v>Ngawi</v>
          </cell>
          <cell r="S374" t="str">
            <v>D Barat1</v>
          </cell>
          <cell r="T374" t="str">
            <v>Dian</v>
          </cell>
          <cell r="U374">
            <v>30</v>
          </cell>
        </row>
        <row r="375">
          <cell r="E375" t="str">
            <v>B25009336</v>
          </cell>
          <cell r="F375"/>
          <cell r="G375">
            <v>32000000000</v>
          </cell>
          <cell r="H375" t="str">
            <v>Reni</v>
          </cell>
          <cell r="I375" t="str">
            <v>Farida</v>
          </cell>
          <cell r="J375"/>
          <cell r="K375" t="str">
            <v>BG</v>
          </cell>
          <cell r="L375" t="str">
            <v>ALAM01</v>
          </cell>
          <cell r="M375" t="str">
            <v>Alam Tani</v>
          </cell>
          <cell r="N375" t="str">
            <v>Arista Semesta Alam, PT</v>
          </cell>
          <cell r="O375" t="str">
            <v>Taluk Karangjati</v>
          </cell>
          <cell r="P375" t="str">
            <v>Ngawi</v>
          </cell>
          <cell r="Q375" t="str">
            <v>Taluk Karangjati</v>
          </cell>
          <cell r="R375" t="str">
            <v>Ngawi</v>
          </cell>
          <cell r="S375" t="str">
            <v>D Barat1</v>
          </cell>
          <cell r="T375" t="str">
            <v>Dian</v>
          </cell>
          <cell r="U375">
            <v>30</v>
          </cell>
        </row>
        <row r="376">
          <cell r="E376" t="str">
            <v>D25011257</v>
          </cell>
          <cell r="F376"/>
          <cell r="G376">
            <v>32000000000</v>
          </cell>
          <cell r="H376" t="str">
            <v>Reni</v>
          </cell>
          <cell r="I376" t="str">
            <v>Farida</v>
          </cell>
          <cell r="J376"/>
          <cell r="K376" t="str">
            <v>BG</v>
          </cell>
          <cell r="L376" t="str">
            <v>ALAM01</v>
          </cell>
          <cell r="M376" t="str">
            <v>Alam Tani</v>
          </cell>
          <cell r="N376" t="str">
            <v>Arista Semesta Alam, PT</v>
          </cell>
          <cell r="O376" t="str">
            <v>Taluk Karangjati</v>
          </cell>
          <cell r="P376" t="str">
            <v>Ngawi</v>
          </cell>
          <cell r="Q376" t="str">
            <v>Taluk Karangjati</v>
          </cell>
          <cell r="R376" t="str">
            <v>Ngawi</v>
          </cell>
          <cell r="S376" t="str">
            <v>D Barat1</v>
          </cell>
          <cell r="T376" t="str">
            <v>Dian</v>
          </cell>
          <cell r="U376">
            <v>30</v>
          </cell>
        </row>
        <row r="377">
          <cell r="E377" t="str">
            <v>D25011257</v>
          </cell>
          <cell r="F377"/>
          <cell r="G377">
            <v>32000000000</v>
          </cell>
          <cell r="H377" t="str">
            <v>Reni</v>
          </cell>
          <cell r="I377" t="str">
            <v>Farida</v>
          </cell>
          <cell r="J377"/>
          <cell r="K377" t="str">
            <v>BG</v>
          </cell>
          <cell r="L377" t="str">
            <v>ALAM01</v>
          </cell>
          <cell r="M377" t="str">
            <v>Alam Tani</v>
          </cell>
          <cell r="N377" t="str">
            <v>Arista Semesta Alam, PT</v>
          </cell>
          <cell r="O377" t="str">
            <v>Taluk Karangjati</v>
          </cell>
          <cell r="P377" t="str">
            <v>Ngawi</v>
          </cell>
          <cell r="Q377" t="str">
            <v>Taluk Karangjati</v>
          </cell>
          <cell r="R377" t="str">
            <v>Ngawi</v>
          </cell>
          <cell r="S377" t="str">
            <v>D Barat1</v>
          </cell>
          <cell r="T377" t="str">
            <v>Dian</v>
          </cell>
          <cell r="U377">
            <v>30</v>
          </cell>
        </row>
        <row r="378">
          <cell r="E378" t="str">
            <v>D25011258</v>
          </cell>
          <cell r="F378"/>
          <cell r="G378">
            <v>32000000000</v>
          </cell>
          <cell r="H378" t="str">
            <v>Reni</v>
          </cell>
          <cell r="I378" t="str">
            <v>Farida</v>
          </cell>
          <cell r="J378"/>
          <cell r="K378" t="str">
            <v>BG</v>
          </cell>
          <cell r="L378" t="str">
            <v>ALAM01</v>
          </cell>
          <cell r="M378" t="str">
            <v>Alam Tani</v>
          </cell>
          <cell r="N378" t="str">
            <v>Arista Semesta Alam, PT</v>
          </cell>
          <cell r="O378" t="str">
            <v>Taluk Karangjati</v>
          </cell>
          <cell r="P378" t="str">
            <v>Ngawi</v>
          </cell>
          <cell r="Q378" t="str">
            <v>Taluk Karangjati</v>
          </cell>
          <cell r="R378" t="str">
            <v>Ngawi</v>
          </cell>
          <cell r="S378" t="str">
            <v>D Barat1</v>
          </cell>
          <cell r="T378" t="str">
            <v>Dian</v>
          </cell>
          <cell r="U378">
            <v>30</v>
          </cell>
        </row>
        <row r="379">
          <cell r="E379" t="str">
            <v>D25011345</v>
          </cell>
          <cell r="F379"/>
          <cell r="G379">
            <v>32000000000</v>
          </cell>
          <cell r="H379" t="str">
            <v>Reni</v>
          </cell>
          <cell r="I379" t="str">
            <v>Farida</v>
          </cell>
          <cell r="J379"/>
          <cell r="K379" t="str">
            <v>BG</v>
          </cell>
          <cell r="L379" t="str">
            <v>ALAM01</v>
          </cell>
          <cell r="M379" t="str">
            <v>Alam Tani</v>
          </cell>
          <cell r="N379" t="str">
            <v>Arista Semesta Alam, PT</v>
          </cell>
          <cell r="O379" t="str">
            <v>Taluk Karangjati</v>
          </cell>
          <cell r="P379" t="str">
            <v>Ngawi</v>
          </cell>
          <cell r="Q379" t="str">
            <v>Taluk Karangjati</v>
          </cell>
          <cell r="R379" t="str">
            <v>Ngawi</v>
          </cell>
          <cell r="S379" t="str">
            <v>D Barat1</v>
          </cell>
          <cell r="T379" t="str">
            <v>Dian</v>
          </cell>
          <cell r="U379">
            <v>30</v>
          </cell>
        </row>
        <row r="380">
          <cell r="E380" t="str">
            <v>D25011345</v>
          </cell>
          <cell r="F380"/>
          <cell r="G380">
            <v>32000000000</v>
          </cell>
          <cell r="H380" t="str">
            <v>Reni</v>
          </cell>
          <cell r="I380" t="str">
            <v>Farida</v>
          </cell>
          <cell r="J380"/>
          <cell r="K380" t="str">
            <v>BG</v>
          </cell>
          <cell r="L380" t="str">
            <v>ALAM01</v>
          </cell>
          <cell r="M380" t="str">
            <v>Alam Tani</v>
          </cell>
          <cell r="N380" t="str">
            <v>Arista Semesta Alam, PT</v>
          </cell>
          <cell r="O380" t="str">
            <v>Taluk Karangjati</v>
          </cell>
          <cell r="P380" t="str">
            <v>Ngawi</v>
          </cell>
          <cell r="Q380" t="str">
            <v>Taluk Karangjati</v>
          </cell>
          <cell r="R380" t="str">
            <v>Ngawi</v>
          </cell>
          <cell r="S380" t="str">
            <v>D Barat1</v>
          </cell>
          <cell r="T380" t="str">
            <v>Dian</v>
          </cell>
          <cell r="U380">
            <v>30</v>
          </cell>
        </row>
        <row r="381">
          <cell r="E381" t="str">
            <v>D25011345</v>
          </cell>
          <cell r="F381"/>
          <cell r="G381">
            <v>32000000000</v>
          </cell>
          <cell r="H381" t="str">
            <v>Reni</v>
          </cell>
          <cell r="I381" t="str">
            <v>Farida</v>
          </cell>
          <cell r="J381"/>
          <cell r="K381" t="str">
            <v>BG</v>
          </cell>
          <cell r="L381" t="str">
            <v>ALAM01</v>
          </cell>
          <cell r="M381" t="str">
            <v>Alam Tani</v>
          </cell>
          <cell r="N381" t="str">
            <v>Arista Semesta Alam, PT</v>
          </cell>
          <cell r="O381" t="str">
            <v>Taluk Karangjati</v>
          </cell>
          <cell r="P381" t="str">
            <v>Ngawi</v>
          </cell>
          <cell r="Q381" t="str">
            <v>Taluk Karangjati</v>
          </cell>
          <cell r="R381" t="str">
            <v>Ngawi</v>
          </cell>
          <cell r="S381" t="str">
            <v>D Barat1</v>
          </cell>
          <cell r="T381" t="str">
            <v>Dian</v>
          </cell>
          <cell r="U381">
            <v>30</v>
          </cell>
        </row>
        <row r="382">
          <cell r="E382" t="str">
            <v>D25011346</v>
          </cell>
          <cell r="F382"/>
          <cell r="G382">
            <v>32000000000</v>
          </cell>
          <cell r="H382" t="str">
            <v>Reni</v>
          </cell>
          <cell r="I382" t="str">
            <v>Farida</v>
          </cell>
          <cell r="J382"/>
          <cell r="K382" t="str">
            <v>BG</v>
          </cell>
          <cell r="L382" t="str">
            <v>ALAM01</v>
          </cell>
          <cell r="M382" t="str">
            <v>Alam Tani</v>
          </cell>
          <cell r="N382" t="str">
            <v>Arista Semesta Alam, PT</v>
          </cell>
          <cell r="O382" t="str">
            <v>Taluk Karangjati</v>
          </cell>
          <cell r="P382" t="str">
            <v>Ngawi</v>
          </cell>
          <cell r="Q382" t="str">
            <v>Taluk Karangjati</v>
          </cell>
          <cell r="R382" t="str">
            <v>Ngawi</v>
          </cell>
          <cell r="S382" t="str">
            <v>D Barat1</v>
          </cell>
          <cell r="T382" t="str">
            <v>Dian</v>
          </cell>
          <cell r="U382">
            <v>30</v>
          </cell>
        </row>
        <row r="383">
          <cell r="E383" t="str">
            <v>D25011346</v>
          </cell>
          <cell r="F383"/>
          <cell r="G383">
            <v>32000000000</v>
          </cell>
          <cell r="H383" t="str">
            <v>Reni</v>
          </cell>
          <cell r="I383" t="str">
            <v>Farida</v>
          </cell>
          <cell r="J383"/>
          <cell r="K383" t="str">
            <v>BG</v>
          </cell>
          <cell r="L383" t="str">
            <v>ALAM01</v>
          </cell>
          <cell r="M383" t="str">
            <v>Alam Tani</v>
          </cell>
          <cell r="N383" t="str">
            <v>Arista Semesta Alam, PT</v>
          </cell>
          <cell r="O383" t="str">
            <v>Taluk Karangjati</v>
          </cell>
          <cell r="P383" t="str">
            <v>Ngawi</v>
          </cell>
          <cell r="Q383" t="str">
            <v>Taluk Karangjati</v>
          </cell>
          <cell r="R383" t="str">
            <v>Ngawi</v>
          </cell>
          <cell r="S383" t="str">
            <v>D Barat1</v>
          </cell>
          <cell r="T383" t="str">
            <v>Dian</v>
          </cell>
          <cell r="U383">
            <v>30</v>
          </cell>
        </row>
        <row r="384">
          <cell r="E384" t="str">
            <v>D25011347</v>
          </cell>
          <cell r="F384"/>
          <cell r="G384">
            <v>32000000000</v>
          </cell>
          <cell r="H384" t="str">
            <v>Reni</v>
          </cell>
          <cell r="I384" t="str">
            <v>Farida</v>
          </cell>
          <cell r="J384"/>
          <cell r="K384" t="str">
            <v>BG</v>
          </cell>
          <cell r="L384" t="str">
            <v>ALAM01</v>
          </cell>
          <cell r="M384" t="str">
            <v>Alam Tani</v>
          </cell>
          <cell r="N384" t="str">
            <v>Arista Semesta Alam, PT</v>
          </cell>
          <cell r="O384" t="str">
            <v>Taluk Karangjati</v>
          </cell>
          <cell r="P384" t="str">
            <v>Ngawi</v>
          </cell>
          <cell r="Q384" t="str">
            <v>Taluk Karangjati</v>
          </cell>
          <cell r="R384" t="str">
            <v>Ngawi</v>
          </cell>
          <cell r="S384" t="str">
            <v>D Barat1</v>
          </cell>
          <cell r="T384" t="str">
            <v>Dian</v>
          </cell>
          <cell r="U384">
            <v>30</v>
          </cell>
        </row>
        <row r="385">
          <cell r="E385" t="str">
            <v>D25011477</v>
          </cell>
          <cell r="F385"/>
          <cell r="G385">
            <v>32000000000</v>
          </cell>
          <cell r="H385" t="str">
            <v>Reni</v>
          </cell>
          <cell r="I385" t="str">
            <v>Farida</v>
          </cell>
          <cell r="J385"/>
          <cell r="K385" t="str">
            <v>BG</v>
          </cell>
          <cell r="L385" t="str">
            <v>ALAM01</v>
          </cell>
          <cell r="M385" t="str">
            <v>Alam Tani</v>
          </cell>
          <cell r="N385" t="str">
            <v>Arista Semesta Alam, PT</v>
          </cell>
          <cell r="O385" t="str">
            <v>Taluk Karangjati</v>
          </cell>
          <cell r="P385" t="str">
            <v>Ngawi</v>
          </cell>
          <cell r="Q385" t="str">
            <v>Taluk Karangjati</v>
          </cell>
          <cell r="R385" t="str">
            <v>Ngawi</v>
          </cell>
          <cell r="S385" t="str">
            <v>D Barat1</v>
          </cell>
          <cell r="T385" t="str">
            <v>Dian</v>
          </cell>
          <cell r="U385">
            <v>30</v>
          </cell>
        </row>
        <row r="386">
          <cell r="E386" t="str">
            <v>D25011477</v>
          </cell>
          <cell r="F386"/>
          <cell r="G386">
            <v>32000000000</v>
          </cell>
          <cell r="H386" t="str">
            <v>Reni</v>
          </cell>
          <cell r="I386" t="str">
            <v>Farida</v>
          </cell>
          <cell r="J386"/>
          <cell r="K386" t="str">
            <v>BG</v>
          </cell>
          <cell r="L386" t="str">
            <v>ALAM01</v>
          </cell>
          <cell r="M386" t="str">
            <v>Alam Tani</v>
          </cell>
          <cell r="N386" t="str">
            <v>Arista Semesta Alam, PT</v>
          </cell>
          <cell r="O386" t="str">
            <v>Taluk Karangjati</v>
          </cell>
          <cell r="P386" t="str">
            <v>Ngawi</v>
          </cell>
          <cell r="Q386" t="str">
            <v>Taluk Karangjati</v>
          </cell>
          <cell r="R386" t="str">
            <v>Ngawi</v>
          </cell>
          <cell r="S386" t="str">
            <v>D Barat1</v>
          </cell>
          <cell r="T386" t="str">
            <v>Dian</v>
          </cell>
          <cell r="U386">
            <v>30</v>
          </cell>
        </row>
        <row r="387">
          <cell r="E387" t="str">
            <v>D25011477</v>
          </cell>
          <cell r="F387"/>
          <cell r="G387">
            <v>32000000000</v>
          </cell>
          <cell r="H387" t="str">
            <v>Reni</v>
          </cell>
          <cell r="I387" t="str">
            <v>Farida</v>
          </cell>
          <cell r="J387"/>
          <cell r="K387" t="str">
            <v>BG</v>
          </cell>
          <cell r="L387" t="str">
            <v>ALAM01</v>
          </cell>
          <cell r="M387" t="str">
            <v>Alam Tani</v>
          </cell>
          <cell r="N387" t="str">
            <v>Arista Semesta Alam, PT</v>
          </cell>
          <cell r="O387" t="str">
            <v>Taluk Karangjati</v>
          </cell>
          <cell r="P387" t="str">
            <v>Ngawi</v>
          </cell>
          <cell r="Q387" t="str">
            <v>Taluk Karangjati</v>
          </cell>
          <cell r="R387" t="str">
            <v>Ngawi</v>
          </cell>
          <cell r="S387" t="str">
            <v>D Barat1</v>
          </cell>
          <cell r="T387" t="str">
            <v>Dian</v>
          </cell>
          <cell r="U387">
            <v>30</v>
          </cell>
        </row>
        <row r="388">
          <cell r="E388" t="str">
            <v>D25011477</v>
          </cell>
          <cell r="F388"/>
          <cell r="G388">
            <v>32000000000</v>
          </cell>
          <cell r="H388" t="str">
            <v>Reni</v>
          </cell>
          <cell r="I388" t="str">
            <v>Farida</v>
          </cell>
          <cell r="J388"/>
          <cell r="K388" t="str">
            <v>BG</v>
          </cell>
          <cell r="L388" t="str">
            <v>ALAM01</v>
          </cell>
          <cell r="M388" t="str">
            <v>Alam Tani</v>
          </cell>
          <cell r="N388" t="str">
            <v>Arista Semesta Alam, PT</v>
          </cell>
          <cell r="O388" t="str">
            <v>Taluk Karangjati</v>
          </cell>
          <cell r="P388" t="str">
            <v>Ngawi</v>
          </cell>
          <cell r="Q388" t="str">
            <v>Taluk Karangjati</v>
          </cell>
          <cell r="R388" t="str">
            <v>Ngawi</v>
          </cell>
          <cell r="S388" t="str">
            <v>D Barat1</v>
          </cell>
          <cell r="T388" t="str">
            <v>Dian</v>
          </cell>
          <cell r="U388">
            <v>30</v>
          </cell>
        </row>
        <row r="389">
          <cell r="E389" t="str">
            <v>D25011477</v>
          </cell>
          <cell r="F389"/>
          <cell r="G389">
            <v>32000000000</v>
          </cell>
          <cell r="H389" t="str">
            <v>Reni</v>
          </cell>
          <cell r="I389" t="str">
            <v>Farida</v>
          </cell>
          <cell r="J389"/>
          <cell r="K389" t="str">
            <v>BG</v>
          </cell>
          <cell r="L389" t="str">
            <v>ALAM01</v>
          </cell>
          <cell r="M389" t="str">
            <v>Alam Tani</v>
          </cell>
          <cell r="N389" t="str">
            <v>Arista Semesta Alam, PT</v>
          </cell>
          <cell r="O389" t="str">
            <v>Taluk Karangjati</v>
          </cell>
          <cell r="P389" t="str">
            <v>Ngawi</v>
          </cell>
          <cell r="Q389" t="str">
            <v>Taluk Karangjati</v>
          </cell>
          <cell r="R389" t="str">
            <v>Ngawi</v>
          </cell>
          <cell r="S389" t="str">
            <v>D Barat1</v>
          </cell>
          <cell r="T389" t="str">
            <v>Dian</v>
          </cell>
          <cell r="U389">
            <v>30</v>
          </cell>
        </row>
        <row r="390">
          <cell r="E390" t="str">
            <v>D25011478</v>
          </cell>
          <cell r="F390"/>
          <cell r="G390">
            <v>32000000000</v>
          </cell>
          <cell r="H390" t="str">
            <v>Reni</v>
          </cell>
          <cell r="I390" t="str">
            <v>Farida</v>
          </cell>
          <cell r="J390"/>
          <cell r="K390" t="str">
            <v>BG</v>
          </cell>
          <cell r="L390" t="str">
            <v>ALAM01</v>
          </cell>
          <cell r="M390" t="str">
            <v>Alam Tani</v>
          </cell>
          <cell r="N390" t="str">
            <v>Arista Semesta Alam, PT</v>
          </cell>
          <cell r="O390" t="str">
            <v>Taluk Karangjati</v>
          </cell>
          <cell r="P390" t="str">
            <v>Ngawi</v>
          </cell>
          <cell r="Q390" t="str">
            <v>Taluk Karangjati</v>
          </cell>
          <cell r="R390" t="str">
            <v>Ngawi</v>
          </cell>
          <cell r="S390" t="str">
            <v>D Barat1</v>
          </cell>
          <cell r="T390" t="str">
            <v>Dian</v>
          </cell>
          <cell r="U390">
            <v>30</v>
          </cell>
        </row>
        <row r="391">
          <cell r="E391" t="str">
            <v>D25011810</v>
          </cell>
          <cell r="F391"/>
          <cell r="G391">
            <v>32000000000</v>
          </cell>
          <cell r="H391" t="str">
            <v>Reni</v>
          </cell>
          <cell r="I391" t="str">
            <v>Farida</v>
          </cell>
          <cell r="J391"/>
          <cell r="K391" t="str">
            <v>BG</v>
          </cell>
          <cell r="L391" t="str">
            <v>ALAM01</v>
          </cell>
          <cell r="M391" t="str">
            <v>Alam Tani</v>
          </cell>
          <cell r="N391" t="str">
            <v>Arista Semesta Alam, PT</v>
          </cell>
          <cell r="O391" t="str">
            <v>Taluk Karangjati</v>
          </cell>
          <cell r="P391" t="str">
            <v>Ngawi</v>
          </cell>
          <cell r="Q391" t="str">
            <v>Taluk Karangjati</v>
          </cell>
          <cell r="R391" t="str">
            <v>Ngawi</v>
          </cell>
          <cell r="S391" t="str">
            <v>D Barat1</v>
          </cell>
          <cell r="T391" t="str">
            <v>Dian</v>
          </cell>
          <cell r="U391">
            <v>30</v>
          </cell>
        </row>
        <row r="392">
          <cell r="E392" t="str">
            <v>D25011810</v>
          </cell>
          <cell r="F392"/>
          <cell r="G392">
            <v>32000000000</v>
          </cell>
          <cell r="H392" t="str">
            <v>Reni</v>
          </cell>
          <cell r="I392" t="str">
            <v>Farida</v>
          </cell>
          <cell r="J392"/>
          <cell r="K392" t="str">
            <v>BG</v>
          </cell>
          <cell r="L392" t="str">
            <v>ALAM01</v>
          </cell>
          <cell r="M392" t="str">
            <v>Alam Tani</v>
          </cell>
          <cell r="N392" t="str">
            <v>Arista Semesta Alam, PT</v>
          </cell>
          <cell r="O392" t="str">
            <v>Taluk Karangjati</v>
          </cell>
          <cell r="P392" t="str">
            <v>Ngawi</v>
          </cell>
          <cell r="Q392" t="str">
            <v>Taluk Karangjati</v>
          </cell>
          <cell r="R392" t="str">
            <v>Ngawi</v>
          </cell>
          <cell r="S392" t="str">
            <v>D Barat1</v>
          </cell>
          <cell r="T392" t="str">
            <v>Dian</v>
          </cell>
          <cell r="U392">
            <v>30</v>
          </cell>
        </row>
        <row r="393">
          <cell r="E393" t="str">
            <v>D25011810</v>
          </cell>
          <cell r="F393"/>
          <cell r="G393">
            <v>32000000000</v>
          </cell>
          <cell r="H393" t="str">
            <v>Reni</v>
          </cell>
          <cell r="I393" t="str">
            <v>Farida</v>
          </cell>
          <cell r="J393"/>
          <cell r="K393" t="str">
            <v>BG</v>
          </cell>
          <cell r="L393" t="str">
            <v>ALAM01</v>
          </cell>
          <cell r="M393" t="str">
            <v>Alam Tani</v>
          </cell>
          <cell r="N393" t="str">
            <v>Arista Semesta Alam, PT</v>
          </cell>
          <cell r="O393" t="str">
            <v>Taluk Karangjati</v>
          </cell>
          <cell r="P393" t="str">
            <v>Ngawi</v>
          </cell>
          <cell r="Q393" t="str">
            <v>Taluk Karangjati</v>
          </cell>
          <cell r="R393" t="str">
            <v>Ngawi</v>
          </cell>
          <cell r="S393" t="str">
            <v>D Barat1</v>
          </cell>
          <cell r="T393" t="str">
            <v>Dian</v>
          </cell>
          <cell r="U393">
            <v>30</v>
          </cell>
        </row>
        <row r="394">
          <cell r="E394" t="str">
            <v>D25011811</v>
          </cell>
          <cell r="F394"/>
          <cell r="G394">
            <v>32000000000</v>
          </cell>
          <cell r="H394" t="str">
            <v>Reni</v>
          </cell>
          <cell r="I394" t="str">
            <v>Farida</v>
          </cell>
          <cell r="J394"/>
          <cell r="K394" t="str">
            <v>BG</v>
          </cell>
          <cell r="L394" t="str">
            <v>ALAM01</v>
          </cell>
          <cell r="M394" t="str">
            <v>Alam Tani</v>
          </cell>
          <cell r="N394" t="str">
            <v>Arista Semesta Alam, PT</v>
          </cell>
          <cell r="O394" t="str">
            <v>Taluk Karangjati</v>
          </cell>
          <cell r="P394" t="str">
            <v>Ngawi</v>
          </cell>
          <cell r="Q394" t="str">
            <v>Taluk Karangjati</v>
          </cell>
          <cell r="R394" t="str">
            <v>Ngawi</v>
          </cell>
          <cell r="S394" t="str">
            <v>D Barat1</v>
          </cell>
          <cell r="T394" t="str">
            <v>Dian</v>
          </cell>
          <cell r="U394">
            <v>30</v>
          </cell>
        </row>
        <row r="395">
          <cell r="E395" t="str">
            <v>D25011813</v>
          </cell>
          <cell r="F395"/>
          <cell r="G395">
            <v>32000000000</v>
          </cell>
          <cell r="H395" t="str">
            <v>Reni</v>
          </cell>
          <cell r="I395" t="str">
            <v>Farida</v>
          </cell>
          <cell r="J395"/>
          <cell r="K395" t="str">
            <v>BG</v>
          </cell>
          <cell r="L395" t="str">
            <v>ALAM01</v>
          </cell>
          <cell r="M395" t="str">
            <v>Alam Tani</v>
          </cell>
          <cell r="N395" t="str">
            <v>Arista Semesta Alam, PT</v>
          </cell>
          <cell r="O395" t="str">
            <v>Taluk Karangjati</v>
          </cell>
          <cell r="P395" t="str">
            <v>Ngawi</v>
          </cell>
          <cell r="Q395" t="str">
            <v>Taluk Karangjati</v>
          </cell>
          <cell r="R395" t="str">
            <v>Ngawi</v>
          </cell>
          <cell r="S395" t="str">
            <v>D Barat1</v>
          </cell>
          <cell r="T395" t="str">
            <v>Dian</v>
          </cell>
          <cell r="U395">
            <v>30</v>
          </cell>
        </row>
        <row r="396">
          <cell r="E396" t="str">
            <v>D25012247</v>
          </cell>
          <cell r="F396"/>
          <cell r="G396">
            <v>32000000000</v>
          </cell>
          <cell r="H396" t="str">
            <v>Reni</v>
          </cell>
          <cell r="I396" t="str">
            <v>Farida</v>
          </cell>
          <cell r="J396"/>
          <cell r="K396" t="str">
            <v>BG</v>
          </cell>
          <cell r="L396" t="str">
            <v>ALAM01</v>
          </cell>
          <cell r="M396" t="str">
            <v>Alam Tani</v>
          </cell>
          <cell r="N396" t="str">
            <v>Arista Semesta Alam, PT</v>
          </cell>
          <cell r="O396" t="str">
            <v>Taluk Karangjati</v>
          </cell>
          <cell r="P396" t="str">
            <v>Ngawi</v>
          </cell>
          <cell r="Q396" t="str">
            <v>Taluk Karangjati</v>
          </cell>
          <cell r="R396" t="str">
            <v>Ngawi</v>
          </cell>
          <cell r="S396" t="str">
            <v>D Barat1</v>
          </cell>
          <cell r="T396" t="str">
            <v>Dian</v>
          </cell>
          <cell r="U396">
            <v>30</v>
          </cell>
        </row>
        <row r="397">
          <cell r="E397" t="str">
            <v>D25012247</v>
          </cell>
          <cell r="F397"/>
          <cell r="G397">
            <v>32000000000</v>
          </cell>
          <cell r="H397" t="str">
            <v>Reni</v>
          </cell>
          <cell r="I397" t="str">
            <v>Farida</v>
          </cell>
          <cell r="J397"/>
          <cell r="K397" t="str">
            <v>BG</v>
          </cell>
          <cell r="L397" t="str">
            <v>ALAM01</v>
          </cell>
          <cell r="M397" t="str">
            <v>Alam Tani</v>
          </cell>
          <cell r="N397" t="str">
            <v>Arista Semesta Alam, PT</v>
          </cell>
          <cell r="O397" t="str">
            <v>Taluk Karangjati</v>
          </cell>
          <cell r="P397" t="str">
            <v>Ngawi</v>
          </cell>
          <cell r="Q397" t="str">
            <v>Taluk Karangjati</v>
          </cell>
          <cell r="R397" t="str">
            <v>Ngawi</v>
          </cell>
          <cell r="S397" t="str">
            <v>D Barat1</v>
          </cell>
          <cell r="T397" t="str">
            <v>Dian</v>
          </cell>
          <cell r="U397">
            <v>30</v>
          </cell>
        </row>
        <row r="398">
          <cell r="E398" t="str">
            <v>D25012248</v>
          </cell>
          <cell r="F398"/>
          <cell r="G398">
            <v>32000000000</v>
          </cell>
          <cell r="H398" t="str">
            <v>Reni</v>
          </cell>
          <cell r="I398" t="str">
            <v>Farida</v>
          </cell>
          <cell r="J398"/>
          <cell r="K398" t="str">
            <v>BG</v>
          </cell>
          <cell r="L398" t="str">
            <v>ALAM01</v>
          </cell>
          <cell r="M398" t="str">
            <v>Alam Tani</v>
          </cell>
          <cell r="N398" t="str">
            <v>Arista Semesta Alam, PT</v>
          </cell>
          <cell r="O398" t="str">
            <v>Taluk Karangjati</v>
          </cell>
          <cell r="P398" t="str">
            <v>Ngawi</v>
          </cell>
          <cell r="Q398" t="str">
            <v>Taluk Karangjati</v>
          </cell>
          <cell r="R398" t="str">
            <v>Ngawi</v>
          </cell>
          <cell r="S398" t="str">
            <v>D Barat1</v>
          </cell>
          <cell r="T398" t="str">
            <v>Dian</v>
          </cell>
          <cell r="U398">
            <v>30</v>
          </cell>
        </row>
        <row r="399">
          <cell r="E399" t="str">
            <v>D25012249</v>
          </cell>
          <cell r="F399"/>
          <cell r="G399">
            <v>32000000000</v>
          </cell>
          <cell r="H399" t="str">
            <v>Reni</v>
          </cell>
          <cell r="I399" t="str">
            <v>Farida</v>
          </cell>
          <cell r="J399"/>
          <cell r="K399" t="str">
            <v>BG</v>
          </cell>
          <cell r="L399" t="str">
            <v>ALAM01</v>
          </cell>
          <cell r="M399" t="str">
            <v>Alam Tani</v>
          </cell>
          <cell r="N399" t="str">
            <v>Arista Semesta Alam, PT</v>
          </cell>
          <cell r="O399" t="str">
            <v>Taluk Karangjati</v>
          </cell>
          <cell r="P399" t="str">
            <v>Ngawi</v>
          </cell>
          <cell r="Q399" t="str">
            <v>Taluk Karangjati</v>
          </cell>
          <cell r="R399" t="str">
            <v>Ngawi</v>
          </cell>
          <cell r="S399" t="str">
            <v>D Barat1</v>
          </cell>
          <cell r="T399" t="str">
            <v>Dian</v>
          </cell>
          <cell r="U399">
            <v>30</v>
          </cell>
        </row>
        <row r="400">
          <cell r="E400" t="str">
            <v>D25012545</v>
          </cell>
          <cell r="F400"/>
          <cell r="G400">
            <v>32000000000</v>
          </cell>
          <cell r="H400" t="str">
            <v>Reni</v>
          </cell>
          <cell r="I400" t="str">
            <v>Farida</v>
          </cell>
          <cell r="J400"/>
          <cell r="K400" t="str">
            <v>BG</v>
          </cell>
          <cell r="L400" t="str">
            <v>ALAM01</v>
          </cell>
          <cell r="M400" t="str">
            <v>Alam Tani</v>
          </cell>
          <cell r="N400" t="str">
            <v>Arista Semesta Alam, PT</v>
          </cell>
          <cell r="O400" t="str">
            <v>Taluk Karangjati</v>
          </cell>
          <cell r="P400" t="str">
            <v>Ngawi</v>
          </cell>
          <cell r="Q400" t="str">
            <v>Taluk Karangjati</v>
          </cell>
          <cell r="R400" t="str">
            <v>Ngawi</v>
          </cell>
          <cell r="S400" t="str">
            <v>D Barat1</v>
          </cell>
          <cell r="T400" t="str">
            <v>Dian</v>
          </cell>
          <cell r="U400">
            <v>30</v>
          </cell>
        </row>
        <row r="401">
          <cell r="E401" t="str">
            <v>D25012545</v>
          </cell>
          <cell r="F401"/>
          <cell r="G401">
            <v>32000000000</v>
          </cell>
          <cell r="H401" t="str">
            <v>Reni</v>
          </cell>
          <cell r="I401" t="str">
            <v>Farida</v>
          </cell>
          <cell r="J401"/>
          <cell r="K401" t="str">
            <v>BG</v>
          </cell>
          <cell r="L401" t="str">
            <v>ALAM01</v>
          </cell>
          <cell r="M401" t="str">
            <v>Alam Tani</v>
          </cell>
          <cell r="N401" t="str">
            <v>Arista Semesta Alam, PT</v>
          </cell>
          <cell r="O401" t="str">
            <v>Taluk Karangjati</v>
          </cell>
          <cell r="P401" t="str">
            <v>Ngawi</v>
          </cell>
          <cell r="Q401" t="str">
            <v>Taluk Karangjati</v>
          </cell>
          <cell r="R401" t="str">
            <v>Ngawi</v>
          </cell>
          <cell r="S401" t="str">
            <v>D Barat1</v>
          </cell>
          <cell r="T401" t="str">
            <v>Dian</v>
          </cell>
          <cell r="U401">
            <v>30</v>
          </cell>
        </row>
        <row r="402">
          <cell r="E402" t="str">
            <v>D25012546</v>
          </cell>
          <cell r="F402"/>
          <cell r="G402">
            <v>32000000000</v>
          </cell>
          <cell r="H402" t="str">
            <v>Reni</v>
          </cell>
          <cell r="I402" t="str">
            <v>Farida</v>
          </cell>
          <cell r="J402"/>
          <cell r="K402" t="str">
            <v>BG</v>
          </cell>
          <cell r="L402" t="str">
            <v>ALAM01</v>
          </cell>
          <cell r="M402" t="str">
            <v>Alam Tani</v>
          </cell>
          <cell r="N402" t="str">
            <v>Arista Semesta Alam, PT</v>
          </cell>
          <cell r="O402" t="str">
            <v>Taluk Karangjati</v>
          </cell>
          <cell r="P402" t="str">
            <v>Ngawi</v>
          </cell>
          <cell r="Q402" t="str">
            <v>Taluk Karangjati</v>
          </cell>
          <cell r="R402" t="str">
            <v>Ngawi</v>
          </cell>
          <cell r="S402" t="str">
            <v>D Barat1</v>
          </cell>
          <cell r="T402" t="str">
            <v>Dian</v>
          </cell>
          <cell r="U402">
            <v>30</v>
          </cell>
        </row>
        <row r="403">
          <cell r="E403" t="str">
            <v>B25010732</v>
          </cell>
          <cell r="F403"/>
          <cell r="G403">
            <v>32000000000</v>
          </cell>
          <cell r="H403" t="str">
            <v>Reni</v>
          </cell>
          <cell r="I403" t="str">
            <v>Farida</v>
          </cell>
          <cell r="J403"/>
          <cell r="K403" t="str">
            <v>BG</v>
          </cell>
          <cell r="L403" t="str">
            <v>ALAM01</v>
          </cell>
          <cell r="M403" t="str">
            <v>Alam Tani</v>
          </cell>
          <cell r="N403" t="str">
            <v>Arista Semesta Alam, PT</v>
          </cell>
          <cell r="O403" t="str">
            <v>Taluk Karangjati</v>
          </cell>
          <cell r="P403" t="str">
            <v>Ngawi</v>
          </cell>
          <cell r="Q403" t="str">
            <v>Taluk Karangjati</v>
          </cell>
          <cell r="R403" t="str">
            <v>Ngawi</v>
          </cell>
          <cell r="S403" t="str">
            <v>D Barat1</v>
          </cell>
          <cell r="T403" t="str">
            <v>Dian</v>
          </cell>
          <cell r="U403">
            <v>30</v>
          </cell>
        </row>
        <row r="404">
          <cell r="E404" t="str">
            <v>B25010734</v>
          </cell>
          <cell r="F404"/>
          <cell r="G404">
            <v>32000000000</v>
          </cell>
          <cell r="H404" t="str">
            <v>Reni</v>
          </cell>
          <cell r="I404" t="str">
            <v>Farida</v>
          </cell>
          <cell r="J404"/>
          <cell r="K404" t="str">
            <v>BG</v>
          </cell>
          <cell r="L404" t="str">
            <v>ALAM01</v>
          </cell>
          <cell r="M404" t="str">
            <v>Alam Tani</v>
          </cell>
          <cell r="N404" t="str">
            <v>Arista Semesta Alam, PT</v>
          </cell>
          <cell r="O404" t="str">
            <v>Taluk Karangjati</v>
          </cell>
          <cell r="P404" t="str">
            <v>Ngawi</v>
          </cell>
          <cell r="Q404" t="str">
            <v>Taluk Karangjati</v>
          </cell>
          <cell r="R404" t="str">
            <v>Ngawi</v>
          </cell>
          <cell r="S404" t="str">
            <v>D Barat1</v>
          </cell>
          <cell r="T404" t="str">
            <v>Dian</v>
          </cell>
          <cell r="U404">
            <v>30</v>
          </cell>
        </row>
        <row r="405">
          <cell r="E405" t="str">
            <v>B25010734</v>
          </cell>
          <cell r="F405"/>
          <cell r="G405">
            <v>32000000000</v>
          </cell>
          <cell r="H405" t="str">
            <v>Reni</v>
          </cell>
          <cell r="I405" t="str">
            <v>Farida</v>
          </cell>
          <cell r="J405"/>
          <cell r="K405" t="str">
            <v>BG</v>
          </cell>
          <cell r="L405" t="str">
            <v>ALAM01</v>
          </cell>
          <cell r="M405" t="str">
            <v>Alam Tani</v>
          </cell>
          <cell r="N405" t="str">
            <v>Arista Semesta Alam, PT</v>
          </cell>
          <cell r="O405" t="str">
            <v>Taluk Karangjati</v>
          </cell>
          <cell r="P405" t="str">
            <v>Ngawi</v>
          </cell>
          <cell r="Q405" t="str">
            <v>Taluk Karangjati</v>
          </cell>
          <cell r="R405" t="str">
            <v>Ngawi</v>
          </cell>
          <cell r="S405" t="str">
            <v>D Barat1</v>
          </cell>
          <cell r="T405" t="str">
            <v>Dian</v>
          </cell>
          <cell r="U405">
            <v>30</v>
          </cell>
        </row>
        <row r="406">
          <cell r="E406" t="str">
            <v>B25010735</v>
          </cell>
          <cell r="F406"/>
          <cell r="G406">
            <v>32000000000</v>
          </cell>
          <cell r="H406" t="str">
            <v>Reni</v>
          </cell>
          <cell r="I406" t="str">
            <v>Farida</v>
          </cell>
          <cell r="J406"/>
          <cell r="K406" t="str">
            <v>BG</v>
          </cell>
          <cell r="L406" t="str">
            <v>ALAM01</v>
          </cell>
          <cell r="M406" t="str">
            <v>Alam Tani</v>
          </cell>
          <cell r="N406" t="str">
            <v>Arista Semesta Alam, PT</v>
          </cell>
          <cell r="O406" t="str">
            <v>Taluk Karangjati</v>
          </cell>
          <cell r="P406" t="str">
            <v>Ngawi</v>
          </cell>
          <cell r="Q406" t="str">
            <v>Taluk Karangjati</v>
          </cell>
          <cell r="R406" t="str">
            <v>Ngawi</v>
          </cell>
          <cell r="S406" t="str">
            <v>D Barat1</v>
          </cell>
          <cell r="T406" t="str">
            <v>Dian</v>
          </cell>
          <cell r="U406">
            <v>30</v>
          </cell>
        </row>
        <row r="407">
          <cell r="E407" t="str">
            <v>D25012801</v>
          </cell>
          <cell r="F407"/>
          <cell r="G407">
            <v>32000000000</v>
          </cell>
          <cell r="H407" t="str">
            <v>Reni</v>
          </cell>
          <cell r="I407" t="str">
            <v>Farida</v>
          </cell>
          <cell r="J407"/>
          <cell r="K407" t="str">
            <v>BG</v>
          </cell>
          <cell r="L407" t="str">
            <v>ALAM01</v>
          </cell>
          <cell r="M407" t="str">
            <v>Alam Tani</v>
          </cell>
          <cell r="N407" t="str">
            <v>Arista Semesta Alam, PT</v>
          </cell>
          <cell r="O407" t="str">
            <v>Taluk Karangjati</v>
          </cell>
          <cell r="P407" t="str">
            <v>Ngawi</v>
          </cell>
          <cell r="Q407" t="str">
            <v>Taluk Karangjati</v>
          </cell>
          <cell r="R407" t="str">
            <v>Ngawi</v>
          </cell>
          <cell r="S407" t="str">
            <v>D Barat1</v>
          </cell>
          <cell r="T407" t="str">
            <v>Dian</v>
          </cell>
          <cell r="U407">
            <v>30</v>
          </cell>
        </row>
        <row r="408">
          <cell r="E408" t="str">
            <v>D25012801</v>
          </cell>
          <cell r="F408"/>
          <cell r="G408">
            <v>32000000000</v>
          </cell>
          <cell r="H408" t="str">
            <v>Reni</v>
          </cell>
          <cell r="I408" t="str">
            <v>Farida</v>
          </cell>
          <cell r="J408"/>
          <cell r="K408" t="str">
            <v>BG</v>
          </cell>
          <cell r="L408" t="str">
            <v>ALAM01</v>
          </cell>
          <cell r="M408" t="str">
            <v>Alam Tani</v>
          </cell>
          <cell r="N408" t="str">
            <v>Arista Semesta Alam, PT</v>
          </cell>
          <cell r="O408" t="str">
            <v>Taluk Karangjati</v>
          </cell>
          <cell r="P408" t="str">
            <v>Ngawi</v>
          </cell>
          <cell r="Q408" t="str">
            <v>Taluk Karangjati</v>
          </cell>
          <cell r="R408" t="str">
            <v>Ngawi</v>
          </cell>
          <cell r="S408" t="str">
            <v>D Barat1</v>
          </cell>
          <cell r="T408" t="str">
            <v>Dian</v>
          </cell>
          <cell r="U408">
            <v>30</v>
          </cell>
        </row>
        <row r="409">
          <cell r="E409" t="str">
            <v>D25012821</v>
          </cell>
          <cell r="F409"/>
          <cell r="G409">
            <v>32000000000</v>
          </cell>
          <cell r="H409" t="str">
            <v>Reni</v>
          </cell>
          <cell r="I409" t="str">
            <v>Farida</v>
          </cell>
          <cell r="J409"/>
          <cell r="K409" t="str">
            <v>BG</v>
          </cell>
          <cell r="L409" t="str">
            <v>ALAM01</v>
          </cell>
          <cell r="M409" t="str">
            <v>Alam Tani</v>
          </cell>
          <cell r="N409" t="str">
            <v>Arista Semesta Alam, PT</v>
          </cell>
          <cell r="O409" t="str">
            <v>Taluk Karangjati</v>
          </cell>
          <cell r="P409" t="str">
            <v>Ngawi</v>
          </cell>
          <cell r="Q409" t="str">
            <v>Taluk Karangjati</v>
          </cell>
          <cell r="R409" t="str">
            <v>Ngawi</v>
          </cell>
          <cell r="S409" t="str">
            <v>D Barat1</v>
          </cell>
          <cell r="T409" t="str">
            <v>Dian</v>
          </cell>
          <cell r="U409">
            <v>30</v>
          </cell>
        </row>
        <row r="410">
          <cell r="E410" t="str">
            <v>D25013188</v>
          </cell>
          <cell r="F410"/>
          <cell r="G410">
            <v>32000000000</v>
          </cell>
          <cell r="H410" t="str">
            <v>Reni</v>
          </cell>
          <cell r="I410" t="str">
            <v>Farida</v>
          </cell>
          <cell r="J410"/>
          <cell r="K410" t="str">
            <v>BG</v>
          </cell>
          <cell r="L410" t="str">
            <v>ALAM01</v>
          </cell>
          <cell r="M410" t="str">
            <v>Alam Tani</v>
          </cell>
          <cell r="N410" t="str">
            <v>Arista Semesta Alam, PT</v>
          </cell>
          <cell r="O410" t="str">
            <v>Taluk Karangjati</v>
          </cell>
          <cell r="P410" t="str">
            <v>Ngawi</v>
          </cell>
          <cell r="Q410" t="str">
            <v>Taluk Karangjati</v>
          </cell>
          <cell r="R410" t="str">
            <v>Ngawi</v>
          </cell>
          <cell r="S410" t="str">
            <v>D Barat1</v>
          </cell>
          <cell r="T410" t="str">
            <v>Dian</v>
          </cell>
          <cell r="U410">
            <v>30</v>
          </cell>
        </row>
        <row r="411">
          <cell r="E411" t="str">
            <v>D25013189</v>
          </cell>
          <cell r="F411"/>
          <cell r="G411">
            <v>32000000000</v>
          </cell>
          <cell r="H411" t="str">
            <v>Reni</v>
          </cell>
          <cell r="I411" t="str">
            <v>Farida</v>
          </cell>
          <cell r="J411"/>
          <cell r="K411" t="str">
            <v>BG</v>
          </cell>
          <cell r="L411" t="str">
            <v>ALAM01</v>
          </cell>
          <cell r="M411" t="str">
            <v>Alam Tani</v>
          </cell>
          <cell r="N411" t="str">
            <v>Arista Semesta Alam, PT</v>
          </cell>
          <cell r="O411" t="str">
            <v>Taluk Karangjati</v>
          </cell>
          <cell r="P411" t="str">
            <v>Ngawi</v>
          </cell>
          <cell r="Q411" t="str">
            <v>Taluk Karangjati</v>
          </cell>
          <cell r="R411" t="str">
            <v>Ngawi</v>
          </cell>
          <cell r="S411" t="str">
            <v>D Barat1</v>
          </cell>
          <cell r="T411" t="str">
            <v>Dian</v>
          </cell>
          <cell r="U411">
            <v>30</v>
          </cell>
        </row>
        <row r="412">
          <cell r="E412" t="str">
            <v>B25011169</v>
          </cell>
          <cell r="F412"/>
          <cell r="G412">
            <v>32000000000</v>
          </cell>
          <cell r="H412" t="str">
            <v>Reni</v>
          </cell>
          <cell r="I412" t="str">
            <v>Farida</v>
          </cell>
          <cell r="J412"/>
          <cell r="K412" t="str">
            <v>BG</v>
          </cell>
          <cell r="L412" t="str">
            <v>ALAM01</v>
          </cell>
          <cell r="M412" t="str">
            <v>Alam Tani</v>
          </cell>
          <cell r="N412" t="str">
            <v>Arista Semesta Alam, PT</v>
          </cell>
          <cell r="O412" t="str">
            <v>Taluk Karangjati</v>
          </cell>
          <cell r="P412" t="str">
            <v>Ngawi</v>
          </cell>
          <cell r="Q412" t="str">
            <v>Taluk Karangjati</v>
          </cell>
          <cell r="R412" t="str">
            <v>Ngawi</v>
          </cell>
          <cell r="S412" t="str">
            <v>D Barat1</v>
          </cell>
          <cell r="T412" t="str">
            <v>Dian</v>
          </cell>
          <cell r="U412">
            <v>30</v>
          </cell>
        </row>
        <row r="413">
          <cell r="E413" t="str">
            <v>B25011169</v>
          </cell>
          <cell r="F413"/>
          <cell r="G413">
            <v>32000000000</v>
          </cell>
          <cell r="H413" t="str">
            <v>Reni</v>
          </cell>
          <cell r="I413" t="str">
            <v>Farida</v>
          </cell>
          <cell r="J413"/>
          <cell r="K413" t="str">
            <v>BG</v>
          </cell>
          <cell r="L413" t="str">
            <v>ALAM01</v>
          </cell>
          <cell r="M413" t="str">
            <v>Alam Tani</v>
          </cell>
          <cell r="N413" t="str">
            <v>Arista Semesta Alam, PT</v>
          </cell>
          <cell r="O413" t="str">
            <v>Taluk Karangjati</v>
          </cell>
          <cell r="P413" t="str">
            <v>Ngawi</v>
          </cell>
          <cell r="Q413" t="str">
            <v>Taluk Karangjati</v>
          </cell>
          <cell r="R413" t="str">
            <v>Ngawi</v>
          </cell>
          <cell r="S413" t="str">
            <v>D Barat1</v>
          </cell>
          <cell r="T413" t="str">
            <v>Dian</v>
          </cell>
          <cell r="U413">
            <v>30</v>
          </cell>
        </row>
        <row r="414">
          <cell r="E414" t="str">
            <v>D25013418</v>
          </cell>
          <cell r="F414"/>
          <cell r="G414">
            <v>32000000000</v>
          </cell>
          <cell r="H414" t="str">
            <v>Reni</v>
          </cell>
          <cell r="I414" t="str">
            <v>Farida</v>
          </cell>
          <cell r="J414"/>
          <cell r="K414" t="str">
            <v>BG</v>
          </cell>
          <cell r="L414" t="str">
            <v>ALAM01</v>
          </cell>
          <cell r="M414" t="str">
            <v>Alam Tani</v>
          </cell>
          <cell r="N414" t="str">
            <v>Arista Semesta Alam, PT</v>
          </cell>
          <cell r="O414" t="str">
            <v>Taluk Karangjati</v>
          </cell>
          <cell r="P414" t="str">
            <v>Ngawi</v>
          </cell>
          <cell r="Q414" t="str">
            <v>Taluk Karangjati</v>
          </cell>
          <cell r="R414" t="str">
            <v>Ngawi</v>
          </cell>
          <cell r="S414" t="str">
            <v>D Barat1</v>
          </cell>
          <cell r="T414" t="str">
            <v>Dian</v>
          </cell>
          <cell r="U414">
            <v>30</v>
          </cell>
        </row>
        <row r="415">
          <cell r="E415" t="str">
            <v>D25013418</v>
          </cell>
          <cell r="F415"/>
          <cell r="G415">
            <v>32000000000</v>
          </cell>
          <cell r="H415" t="str">
            <v>Reni</v>
          </cell>
          <cell r="I415" t="str">
            <v>Farida</v>
          </cell>
          <cell r="J415"/>
          <cell r="K415" t="str">
            <v>BG</v>
          </cell>
          <cell r="L415" t="str">
            <v>ALAM01</v>
          </cell>
          <cell r="M415" t="str">
            <v>Alam Tani</v>
          </cell>
          <cell r="N415" t="str">
            <v>Arista Semesta Alam, PT</v>
          </cell>
          <cell r="O415" t="str">
            <v>Taluk Karangjati</v>
          </cell>
          <cell r="P415" t="str">
            <v>Ngawi</v>
          </cell>
          <cell r="Q415" t="str">
            <v>Taluk Karangjati</v>
          </cell>
          <cell r="R415" t="str">
            <v>Ngawi</v>
          </cell>
          <cell r="S415" t="str">
            <v>D Barat1</v>
          </cell>
          <cell r="T415" t="str">
            <v>Dian</v>
          </cell>
          <cell r="U415">
            <v>30</v>
          </cell>
        </row>
        <row r="416">
          <cell r="E416" t="str">
            <v>D25013418</v>
          </cell>
          <cell r="F416"/>
          <cell r="G416">
            <v>32000000000</v>
          </cell>
          <cell r="H416" t="str">
            <v>Reni</v>
          </cell>
          <cell r="I416" t="str">
            <v>Farida</v>
          </cell>
          <cell r="J416"/>
          <cell r="K416" t="str">
            <v>BG</v>
          </cell>
          <cell r="L416" t="str">
            <v>ALAM01</v>
          </cell>
          <cell r="M416" t="str">
            <v>Alam Tani</v>
          </cell>
          <cell r="N416" t="str">
            <v>Arista Semesta Alam, PT</v>
          </cell>
          <cell r="O416" t="str">
            <v>Taluk Karangjati</v>
          </cell>
          <cell r="P416" t="str">
            <v>Ngawi</v>
          </cell>
          <cell r="Q416" t="str">
            <v>Taluk Karangjati</v>
          </cell>
          <cell r="R416" t="str">
            <v>Ngawi</v>
          </cell>
          <cell r="S416" t="str">
            <v>D Barat1</v>
          </cell>
          <cell r="T416" t="str">
            <v>Dian</v>
          </cell>
          <cell r="U416">
            <v>30</v>
          </cell>
        </row>
        <row r="417">
          <cell r="E417" t="str">
            <v>D25013419</v>
          </cell>
          <cell r="F417"/>
          <cell r="G417">
            <v>32000000000</v>
          </cell>
          <cell r="H417" t="str">
            <v>Reni</v>
          </cell>
          <cell r="I417" t="str">
            <v>Farida</v>
          </cell>
          <cell r="J417"/>
          <cell r="K417" t="str">
            <v>BG</v>
          </cell>
          <cell r="L417" t="str">
            <v>ALAM01</v>
          </cell>
          <cell r="M417" t="str">
            <v>Alam Tani</v>
          </cell>
          <cell r="N417" t="str">
            <v>Arista Semesta Alam, PT</v>
          </cell>
          <cell r="O417" t="str">
            <v>Taluk Karangjati</v>
          </cell>
          <cell r="P417" t="str">
            <v>Ngawi</v>
          </cell>
          <cell r="Q417" t="str">
            <v>Taluk Karangjati</v>
          </cell>
          <cell r="R417" t="str">
            <v>Ngawi</v>
          </cell>
          <cell r="S417" t="str">
            <v>D Barat1</v>
          </cell>
          <cell r="T417" t="str">
            <v>Dian</v>
          </cell>
          <cell r="U417">
            <v>30</v>
          </cell>
        </row>
        <row r="418">
          <cell r="E418" t="str">
            <v>D25013419</v>
          </cell>
          <cell r="F418"/>
          <cell r="G418">
            <v>32000000000</v>
          </cell>
          <cell r="H418" t="str">
            <v>Reni</v>
          </cell>
          <cell r="I418" t="str">
            <v>Farida</v>
          </cell>
          <cell r="J418"/>
          <cell r="K418" t="str">
            <v>BG</v>
          </cell>
          <cell r="L418" t="str">
            <v>ALAM01</v>
          </cell>
          <cell r="M418" t="str">
            <v>Alam Tani</v>
          </cell>
          <cell r="N418" t="str">
            <v>Arista Semesta Alam, PT</v>
          </cell>
          <cell r="O418" t="str">
            <v>Taluk Karangjati</v>
          </cell>
          <cell r="P418" t="str">
            <v>Ngawi</v>
          </cell>
          <cell r="Q418" t="str">
            <v>Taluk Karangjati</v>
          </cell>
          <cell r="R418" t="str">
            <v>Ngawi</v>
          </cell>
          <cell r="S418" t="str">
            <v>D Barat1</v>
          </cell>
          <cell r="T418" t="str">
            <v>Dian</v>
          </cell>
          <cell r="U418">
            <v>30</v>
          </cell>
        </row>
        <row r="419">
          <cell r="E419" t="str">
            <v>D25013420</v>
          </cell>
          <cell r="F419"/>
          <cell r="G419">
            <v>32000000000</v>
          </cell>
          <cell r="H419" t="str">
            <v>Reni</v>
          </cell>
          <cell r="I419" t="str">
            <v>Farida</v>
          </cell>
          <cell r="J419"/>
          <cell r="K419" t="str">
            <v>BG</v>
          </cell>
          <cell r="L419" t="str">
            <v>ALAM01</v>
          </cell>
          <cell r="M419" t="str">
            <v>Alam Tani</v>
          </cell>
          <cell r="N419" t="str">
            <v>Arista Semesta Alam, PT</v>
          </cell>
          <cell r="O419" t="str">
            <v>Taluk Karangjati</v>
          </cell>
          <cell r="P419" t="str">
            <v>Ngawi</v>
          </cell>
          <cell r="Q419" t="str">
            <v>Taluk Karangjati</v>
          </cell>
          <cell r="R419" t="str">
            <v>Ngawi</v>
          </cell>
          <cell r="S419" t="str">
            <v>D Barat1</v>
          </cell>
          <cell r="T419" t="str">
            <v>Dian</v>
          </cell>
          <cell r="U419">
            <v>30</v>
          </cell>
        </row>
        <row r="420">
          <cell r="E420" t="str">
            <v>D25013738</v>
          </cell>
          <cell r="F420"/>
          <cell r="G420">
            <v>32000000000</v>
          </cell>
          <cell r="H420" t="str">
            <v>Reni</v>
          </cell>
          <cell r="I420" t="str">
            <v>Farida</v>
          </cell>
          <cell r="J420"/>
          <cell r="K420" t="str">
            <v>BG</v>
          </cell>
          <cell r="L420" t="str">
            <v>ALAM01</v>
          </cell>
          <cell r="M420" t="str">
            <v>Alam Tani</v>
          </cell>
          <cell r="N420" t="str">
            <v>Arista Semesta Alam, PT</v>
          </cell>
          <cell r="O420" t="str">
            <v>Taluk Karangjati</v>
          </cell>
          <cell r="P420" t="str">
            <v>Ngawi</v>
          </cell>
          <cell r="Q420" t="str">
            <v>Taluk Karangjati</v>
          </cell>
          <cell r="R420" t="str">
            <v>Ngawi</v>
          </cell>
          <cell r="S420" t="str">
            <v>D Barat1</v>
          </cell>
          <cell r="T420" t="str">
            <v>Dian</v>
          </cell>
          <cell r="U420">
            <v>30</v>
          </cell>
        </row>
        <row r="421">
          <cell r="E421" t="str">
            <v>D25013738</v>
          </cell>
          <cell r="F421"/>
          <cell r="G421">
            <v>32000000000</v>
          </cell>
          <cell r="H421" t="str">
            <v>Reni</v>
          </cell>
          <cell r="I421" t="str">
            <v>Farida</v>
          </cell>
          <cell r="J421"/>
          <cell r="K421" t="str">
            <v>BG</v>
          </cell>
          <cell r="L421" t="str">
            <v>ALAM01</v>
          </cell>
          <cell r="M421" t="str">
            <v>Alam Tani</v>
          </cell>
          <cell r="N421" t="str">
            <v>Arista Semesta Alam, PT</v>
          </cell>
          <cell r="O421" t="str">
            <v>Taluk Karangjati</v>
          </cell>
          <cell r="P421" t="str">
            <v>Ngawi</v>
          </cell>
          <cell r="Q421" t="str">
            <v>Taluk Karangjati</v>
          </cell>
          <cell r="R421" t="str">
            <v>Ngawi</v>
          </cell>
          <cell r="S421" t="str">
            <v>D Barat1</v>
          </cell>
          <cell r="T421" t="str">
            <v>Dian</v>
          </cell>
          <cell r="U421">
            <v>30</v>
          </cell>
        </row>
        <row r="422">
          <cell r="E422" t="str">
            <v>D25013738</v>
          </cell>
          <cell r="F422"/>
          <cell r="G422">
            <v>32000000000</v>
          </cell>
          <cell r="H422" t="str">
            <v>Reni</v>
          </cell>
          <cell r="I422" t="str">
            <v>Farida</v>
          </cell>
          <cell r="J422"/>
          <cell r="K422" t="str">
            <v>BG</v>
          </cell>
          <cell r="L422" t="str">
            <v>ALAM01</v>
          </cell>
          <cell r="M422" t="str">
            <v>Alam Tani</v>
          </cell>
          <cell r="N422" t="str">
            <v>Arista Semesta Alam, PT</v>
          </cell>
          <cell r="O422" t="str">
            <v>Taluk Karangjati</v>
          </cell>
          <cell r="P422" t="str">
            <v>Ngawi</v>
          </cell>
          <cell r="Q422" t="str">
            <v>Taluk Karangjati</v>
          </cell>
          <cell r="R422" t="str">
            <v>Ngawi</v>
          </cell>
          <cell r="S422" t="str">
            <v>D Barat1</v>
          </cell>
          <cell r="T422" t="str">
            <v>Dian</v>
          </cell>
          <cell r="U422">
            <v>30</v>
          </cell>
        </row>
        <row r="423">
          <cell r="E423" t="str">
            <v>D25013739</v>
          </cell>
          <cell r="F423"/>
          <cell r="G423">
            <v>32000000000</v>
          </cell>
          <cell r="H423" t="str">
            <v>Reni</v>
          </cell>
          <cell r="I423" t="str">
            <v>Farida</v>
          </cell>
          <cell r="J423"/>
          <cell r="K423" t="str">
            <v>BG</v>
          </cell>
          <cell r="L423" t="str">
            <v>ALAM01</v>
          </cell>
          <cell r="M423" t="str">
            <v>Alam Tani</v>
          </cell>
          <cell r="N423" t="str">
            <v>Arista Semesta Alam, PT</v>
          </cell>
          <cell r="O423" t="str">
            <v>Taluk Karangjati</v>
          </cell>
          <cell r="P423" t="str">
            <v>Ngawi</v>
          </cell>
          <cell r="Q423" t="str">
            <v>Taluk Karangjati</v>
          </cell>
          <cell r="R423" t="str">
            <v>Ngawi</v>
          </cell>
          <cell r="S423" t="str">
            <v>D Barat1</v>
          </cell>
          <cell r="T423" t="str">
            <v>Dian</v>
          </cell>
          <cell r="U423">
            <v>30</v>
          </cell>
        </row>
        <row r="424">
          <cell r="E424" t="str">
            <v>D25013739</v>
          </cell>
          <cell r="F424"/>
          <cell r="G424">
            <v>32000000000</v>
          </cell>
          <cell r="H424" t="str">
            <v>Reni</v>
          </cell>
          <cell r="I424" t="str">
            <v>Farida</v>
          </cell>
          <cell r="J424"/>
          <cell r="K424" t="str">
            <v>BG</v>
          </cell>
          <cell r="L424" t="str">
            <v>ALAM01</v>
          </cell>
          <cell r="M424" t="str">
            <v>Alam Tani</v>
          </cell>
          <cell r="N424" t="str">
            <v>Arista Semesta Alam, PT</v>
          </cell>
          <cell r="O424" t="str">
            <v>Taluk Karangjati</v>
          </cell>
          <cell r="P424" t="str">
            <v>Ngawi</v>
          </cell>
          <cell r="Q424" t="str">
            <v>Taluk Karangjati</v>
          </cell>
          <cell r="R424" t="str">
            <v>Ngawi</v>
          </cell>
          <cell r="S424" t="str">
            <v>D Barat1</v>
          </cell>
          <cell r="T424" t="str">
            <v>Dian</v>
          </cell>
          <cell r="U424">
            <v>30</v>
          </cell>
        </row>
        <row r="425">
          <cell r="E425" t="str">
            <v>D25013910</v>
          </cell>
          <cell r="F425"/>
          <cell r="G425">
            <v>32000000000</v>
          </cell>
          <cell r="H425" t="str">
            <v>Reni</v>
          </cell>
          <cell r="I425" t="str">
            <v>Farida</v>
          </cell>
          <cell r="J425"/>
          <cell r="K425" t="str">
            <v>BG</v>
          </cell>
          <cell r="L425" t="str">
            <v>ALAM01</v>
          </cell>
          <cell r="M425" t="str">
            <v>Alam Tani</v>
          </cell>
          <cell r="N425" t="str">
            <v>Arista Semesta Alam, PT</v>
          </cell>
          <cell r="O425" t="str">
            <v>Taluk Karangjati</v>
          </cell>
          <cell r="P425" t="str">
            <v>Ngawi</v>
          </cell>
          <cell r="Q425" t="str">
            <v>Taluk Karangjati</v>
          </cell>
          <cell r="R425" t="str">
            <v>Ngawi</v>
          </cell>
          <cell r="S425" t="str">
            <v>D Barat1</v>
          </cell>
          <cell r="T425" t="str">
            <v>Dian</v>
          </cell>
          <cell r="U425">
            <v>30</v>
          </cell>
        </row>
        <row r="426">
          <cell r="E426" t="str">
            <v>D25013910</v>
          </cell>
          <cell r="F426"/>
          <cell r="G426">
            <v>32000000000</v>
          </cell>
          <cell r="H426" t="str">
            <v>Reni</v>
          </cell>
          <cell r="I426" t="str">
            <v>Farida</v>
          </cell>
          <cell r="J426"/>
          <cell r="K426" t="str">
            <v>BG</v>
          </cell>
          <cell r="L426" t="str">
            <v>ALAM01</v>
          </cell>
          <cell r="M426" t="str">
            <v>Alam Tani</v>
          </cell>
          <cell r="N426" t="str">
            <v>Arista Semesta Alam, PT</v>
          </cell>
          <cell r="O426" t="str">
            <v>Taluk Karangjati</v>
          </cell>
          <cell r="P426" t="str">
            <v>Ngawi</v>
          </cell>
          <cell r="Q426" t="str">
            <v>Taluk Karangjati</v>
          </cell>
          <cell r="R426" t="str">
            <v>Ngawi</v>
          </cell>
          <cell r="S426" t="str">
            <v>D Barat1</v>
          </cell>
          <cell r="T426" t="str">
            <v>Dian</v>
          </cell>
          <cell r="U426">
            <v>30</v>
          </cell>
        </row>
        <row r="427">
          <cell r="E427" t="str">
            <v>D25013910</v>
          </cell>
          <cell r="F427"/>
          <cell r="G427">
            <v>32000000000</v>
          </cell>
          <cell r="H427" t="str">
            <v>Reni</v>
          </cell>
          <cell r="I427" t="str">
            <v>Farida</v>
          </cell>
          <cell r="J427"/>
          <cell r="K427" t="str">
            <v>BG</v>
          </cell>
          <cell r="L427" t="str">
            <v>ALAM01</v>
          </cell>
          <cell r="M427" t="str">
            <v>Alam Tani</v>
          </cell>
          <cell r="N427" t="str">
            <v>Arista Semesta Alam, PT</v>
          </cell>
          <cell r="O427" t="str">
            <v>Taluk Karangjati</v>
          </cell>
          <cell r="P427" t="str">
            <v>Ngawi</v>
          </cell>
          <cell r="Q427" t="str">
            <v>Taluk Karangjati</v>
          </cell>
          <cell r="R427" t="str">
            <v>Ngawi</v>
          </cell>
          <cell r="S427" t="str">
            <v>D Barat1</v>
          </cell>
          <cell r="T427" t="str">
            <v>Dian</v>
          </cell>
          <cell r="U427">
            <v>30</v>
          </cell>
        </row>
        <row r="428">
          <cell r="E428" t="str">
            <v>D25013910</v>
          </cell>
          <cell r="F428"/>
          <cell r="G428">
            <v>32000000000</v>
          </cell>
          <cell r="H428" t="str">
            <v>Reni</v>
          </cell>
          <cell r="I428" t="str">
            <v>Farida</v>
          </cell>
          <cell r="J428"/>
          <cell r="K428" t="str">
            <v>BG</v>
          </cell>
          <cell r="L428" t="str">
            <v>ALAM01</v>
          </cell>
          <cell r="M428" t="str">
            <v>Alam Tani</v>
          </cell>
          <cell r="N428" t="str">
            <v>Arista Semesta Alam, PT</v>
          </cell>
          <cell r="O428" t="str">
            <v>Taluk Karangjati</v>
          </cell>
          <cell r="P428" t="str">
            <v>Ngawi</v>
          </cell>
          <cell r="Q428" t="str">
            <v>Taluk Karangjati</v>
          </cell>
          <cell r="R428" t="str">
            <v>Ngawi</v>
          </cell>
          <cell r="S428" t="str">
            <v>D Barat1</v>
          </cell>
          <cell r="T428" t="str">
            <v>Dian</v>
          </cell>
          <cell r="U428">
            <v>30</v>
          </cell>
        </row>
        <row r="429">
          <cell r="E429" t="str">
            <v>D25013910</v>
          </cell>
          <cell r="F429"/>
          <cell r="G429">
            <v>32000000000</v>
          </cell>
          <cell r="H429" t="str">
            <v>Reni</v>
          </cell>
          <cell r="I429" t="str">
            <v>Farida</v>
          </cell>
          <cell r="J429"/>
          <cell r="K429" t="str">
            <v>BG</v>
          </cell>
          <cell r="L429" t="str">
            <v>ALAM01</v>
          </cell>
          <cell r="M429" t="str">
            <v>Alam Tani</v>
          </cell>
          <cell r="N429" t="str">
            <v>Arista Semesta Alam, PT</v>
          </cell>
          <cell r="O429" t="str">
            <v>Taluk Karangjati</v>
          </cell>
          <cell r="P429" t="str">
            <v>Ngawi</v>
          </cell>
          <cell r="Q429" t="str">
            <v>Taluk Karangjati</v>
          </cell>
          <cell r="R429" t="str">
            <v>Ngawi</v>
          </cell>
          <cell r="S429" t="str">
            <v>D Barat1</v>
          </cell>
          <cell r="T429" t="str">
            <v>Dian</v>
          </cell>
          <cell r="U429">
            <v>30</v>
          </cell>
        </row>
        <row r="430">
          <cell r="E430" t="str">
            <v>D25013910</v>
          </cell>
          <cell r="F430"/>
          <cell r="G430">
            <v>32000000000</v>
          </cell>
          <cell r="H430" t="str">
            <v>Reni</v>
          </cell>
          <cell r="I430" t="str">
            <v>Farida</v>
          </cell>
          <cell r="J430"/>
          <cell r="K430" t="str">
            <v>BG</v>
          </cell>
          <cell r="L430" t="str">
            <v>ALAM01</v>
          </cell>
          <cell r="M430" t="str">
            <v>Alam Tani</v>
          </cell>
          <cell r="N430" t="str">
            <v>Arista Semesta Alam, PT</v>
          </cell>
          <cell r="O430" t="str">
            <v>Taluk Karangjati</v>
          </cell>
          <cell r="P430" t="str">
            <v>Ngawi</v>
          </cell>
          <cell r="Q430" t="str">
            <v>Taluk Karangjati</v>
          </cell>
          <cell r="R430" t="str">
            <v>Ngawi</v>
          </cell>
          <cell r="S430" t="str">
            <v>D Barat1</v>
          </cell>
          <cell r="T430" t="str">
            <v>Dian</v>
          </cell>
          <cell r="U430">
            <v>30</v>
          </cell>
        </row>
        <row r="431">
          <cell r="E431" t="str">
            <v>B25011866</v>
          </cell>
          <cell r="F431"/>
          <cell r="G431">
            <v>32000000000</v>
          </cell>
          <cell r="H431" t="str">
            <v>Reni</v>
          </cell>
          <cell r="I431" t="str">
            <v>Farida</v>
          </cell>
          <cell r="J431"/>
          <cell r="K431" t="str">
            <v>BG</v>
          </cell>
          <cell r="L431" t="str">
            <v>ALAM01</v>
          </cell>
          <cell r="M431" t="str">
            <v>Alam Tani</v>
          </cell>
          <cell r="N431" t="str">
            <v>Arista Semesta Alam, PT</v>
          </cell>
          <cell r="O431" t="str">
            <v>Taluk Karangjati</v>
          </cell>
          <cell r="P431" t="str">
            <v>Ngawi</v>
          </cell>
          <cell r="Q431" t="str">
            <v>Taluk Karangjati</v>
          </cell>
          <cell r="R431" t="str">
            <v>Ngawi</v>
          </cell>
          <cell r="S431" t="str">
            <v>D Barat1</v>
          </cell>
          <cell r="T431" t="str">
            <v>Dian</v>
          </cell>
          <cell r="U431">
            <v>30</v>
          </cell>
        </row>
        <row r="432">
          <cell r="E432" t="str">
            <v>B25011867</v>
          </cell>
          <cell r="F432"/>
          <cell r="G432">
            <v>32000000000</v>
          </cell>
          <cell r="H432" t="str">
            <v>Reni</v>
          </cell>
          <cell r="I432" t="str">
            <v>Farida</v>
          </cell>
          <cell r="J432"/>
          <cell r="K432" t="str">
            <v>BG</v>
          </cell>
          <cell r="L432" t="str">
            <v>ALAM01</v>
          </cell>
          <cell r="M432" t="str">
            <v>Alam Tani</v>
          </cell>
          <cell r="N432" t="str">
            <v>Arista Semesta Alam, PT</v>
          </cell>
          <cell r="O432" t="str">
            <v>Taluk Karangjati</v>
          </cell>
          <cell r="P432" t="str">
            <v>Ngawi</v>
          </cell>
          <cell r="Q432" t="str">
            <v>Taluk Karangjati</v>
          </cell>
          <cell r="R432" t="str">
            <v>Ngawi</v>
          </cell>
          <cell r="S432" t="str">
            <v>D Barat1</v>
          </cell>
          <cell r="T432" t="str">
            <v>Dian</v>
          </cell>
          <cell r="U432">
            <v>30</v>
          </cell>
        </row>
        <row r="433">
          <cell r="E433" t="str">
            <v>B25011867</v>
          </cell>
          <cell r="F433"/>
          <cell r="G433">
            <v>32000000000</v>
          </cell>
          <cell r="H433" t="str">
            <v>Reni</v>
          </cell>
          <cell r="I433" t="str">
            <v>Farida</v>
          </cell>
          <cell r="J433"/>
          <cell r="K433" t="str">
            <v>BG</v>
          </cell>
          <cell r="L433" t="str">
            <v>ALAM01</v>
          </cell>
          <cell r="M433" t="str">
            <v>Alam Tani</v>
          </cell>
          <cell r="N433" t="str">
            <v>Arista Semesta Alam, PT</v>
          </cell>
          <cell r="O433" t="str">
            <v>Taluk Karangjati</v>
          </cell>
          <cell r="P433" t="str">
            <v>Ngawi</v>
          </cell>
          <cell r="Q433" t="str">
            <v>Taluk Karangjati</v>
          </cell>
          <cell r="R433" t="str">
            <v>Ngawi</v>
          </cell>
          <cell r="S433" t="str">
            <v>D Barat1</v>
          </cell>
          <cell r="T433" t="str">
            <v>Dian</v>
          </cell>
          <cell r="U433">
            <v>30</v>
          </cell>
        </row>
        <row r="434">
          <cell r="E434" t="str">
            <v>B25011868</v>
          </cell>
          <cell r="F434"/>
          <cell r="G434">
            <v>32000000000</v>
          </cell>
          <cell r="H434" t="str">
            <v>Reni</v>
          </cell>
          <cell r="I434" t="str">
            <v>Farida</v>
          </cell>
          <cell r="J434"/>
          <cell r="K434" t="str">
            <v>BG</v>
          </cell>
          <cell r="L434" t="str">
            <v>ALAM01</v>
          </cell>
          <cell r="M434" t="str">
            <v>Alam Tani</v>
          </cell>
          <cell r="N434" t="str">
            <v>Arista Semesta Alam, PT</v>
          </cell>
          <cell r="O434" t="str">
            <v>Taluk Karangjati</v>
          </cell>
          <cell r="P434" t="str">
            <v>Ngawi</v>
          </cell>
          <cell r="Q434" t="str">
            <v>Taluk Karangjati</v>
          </cell>
          <cell r="R434" t="str">
            <v>Ngawi</v>
          </cell>
          <cell r="S434" t="str">
            <v>D Barat1</v>
          </cell>
          <cell r="T434" t="str">
            <v>Dian</v>
          </cell>
          <cell r="U434">
            <v>30</v>
          </cell>
        </row>
        <row r="435">
          <cell r="E435" t="str">
            <v>D25014118</v>
          </cell>
          <cell r="F435"/>
          <cell r="G435">
            <v>32000000000</v>
          </cell>
          <cell r="H435" t="str">
            <v>Reni</v>
          </cell>
          <cell r="I435" t="str">
            <v>Farida</v>
          </cell>
          <cell r="J435"/>
          <cell r="K435" t="str">
            <v>BG</v>
          </cell>
          <cell r="L435" t="str">
            <v>ALAM01</v>
          </cell>
          <cell r="M435" t="str">
            <v>Alam Tani</v>
          </cell>
          <cell r="N435" t="str">
            <v>Arista Semesta Alam, PT</v>
          </cell>
          <cell r="O435" t="str">
            <v>Taluk Karangjati</v>
          </cell>
          <cell r="P435" t="str">
            <v>Ngawi</v>
          </cell>
          <cell r="Q435" t="str">
            <v>Taluk Karangjati</v>
          </cell>
          <cell r="R435" t="str">
            <v>Ngawi</v>
          </cell>
          <cell r="S435" t="str">
            <v>D Barat1</v>
          </cell>
          <cell r="T435" t="str">
            <v>Dian</v>
          </cell>
          <cell r="U435">
            <v>30</v>
          </cell>
        </row>
        <row r="436">
          <cell r="E436" t="str">
            <v>D25014118</v>
          </cell>
          <cell r="F436"/>
          <cell r="G436">
            <v>32000000000</v>
          </cell>
          <cell r="H436" t="str">
            <v>Reni</v>
          </cell>
          <cell r="I436" t="str">
            <v>Farida</v>
          </cell>
          <cell r="J436"/>
          <cell r="K436" t="str">
            <v>BG</v>
          </cell>
          <cell r="L436" t="str">
            <v>ALAM01</v>
          </cell>
          <cell r="M436" t="str">
            <v>Alam Tani</v>
          </cell>
          <cell r="N436" t="str">
            <v>Arista Semesta Alam, PT</v>
          </cell>
          <cell r="O436" t="str">
            <v>Taluk Karangjati</v>
          </cell>
          <cell r="P436" t="str">
            <v>Ngawi</v>
          </cell>
          <cell r="Q436" t="str">
            <v>Taluk Karangjati</v>
          </cell>
          <cell r="R436" t="str">
            <v>Ngawi</v>
          </cell>
          <cell r="S436" t="str">
            <v>D Barat1</v>
          </cell>
          <cell r="T436" t="str">
            <v>Dian</v>
          </cell>
          <cell r="U436">
            <v>30</v>
          </cell>
        </row>
        <row r="437">
          <cell r="E437" t="str">
            <v>D25014118</v>
          </cell>
          <cell r="F437"/>
          <cell r="G437">
            <v>32000000000</v>
          </cell>
          <cell r="H437" t="str">
            <v>Reni</v>
          </cell>
          <cell r="I437" t="str">
            <v>Farida</v>
          </cell>
          <cell r="J437"/>
          <cell r="K437" t="str">
            <v>BG</v>
          </cell>
          <cell r="L437" t="str">
            <v>ALAM01</v>
          </cell>
          <cell r="M437" t="str">
            <v>Alam Tani</v>
          </cell>
          <cell r="N437" t="str">
            <v>Arista Semesta Alam, PT</v>
          </cell>
          <cell r="O437" t="str">
            <v>Taluk Karangjati</v>
          </cell>
          <cell r="P437" t="str">
            <v>Ngawi</v>
          </cell>
          <cell r="Q437" t="str">
            <v>Taluk Karangjati</v>
          </cell>
          <cell r="R437" t="str">
            <v>Ngawi</v>
          </cell>
          <cell r="S437" t="str">
            <v>D Barat1</v>
          </cell>
          <cell r="T437" t="str">
            <v>Dian</v>
          </cell>
          <cell r="U437">
            <v>30</v>
          </cell>
        </row>
        <row r="438">
          <cell r="E438" t="str">
            <v>D25014119</v>
          </cell>
          <cell r="F438"/>
          <cell r="G438">
            <v>32000000000</v>
          </cell>
          <cell r="H438" t="str">
            <v>Reni</v>
          </cell>
          <cell r="I438" t="str">
            <v>Farida</v>
          </cell>
          <cell r="J438"/>
          <cell r="K438" t="str">
            <v>BG</v>
          </cell>
          <cell r="L438" t="str">
            <v>ALAM01</v>
          </cell>
          <cell r="M438" t="str">
            <v>Alam Tani</v>
          </cell>
          <cell r="N438" t="str">
            <v>Arista Semesta Alam, PT</v>
          </cell>
          <cell r="O438" t="str">
            <v>Taluk Karangjati</v>
          </cell>
          <cell r="P438" t="str">
            <v>Ngawi</v>
          </cell>
          <cell r="Q438" t="str">
            <v>Taluk Karangjati</v>
          </cell>
          <cell r="R438" t="str">
            <v>Ngawi</v>
          </cell>
          <cell r="S438" t="str">
            <v>D Barat1</v>
          </cell>
          <cell r="T438" t="str">
            <v>Dian</v>
          </cell>
          <cell r="U438">
            <v>30</v>
          </cell>
        </row>
        <row r="439">
          <cell r="E439" t="str">
            <v>D25014119</v>
          </cell>
          <cell r="F439"/>
          <cell r="G439">
            <v>32000000000</v>
          </cell>
          <cell r="H439" t="str">
            <v>Reni</v>
          </cell>
          <cell r="I439" t="str">
            <v>Farida</v>
          </cell>
          <cell r="J439"/>
          <cell r="K439" t="str">
            <v>BG</v>
          </cell>
          <cell r="L439" t="str">
            <v>ALAM01</v>
          </cell>
          <cell r="M439" t="str">
            <v>Alam Tani</v>
          </cell>
          <cell r="N439" t="str">
            <v>Arista Semesta Alam, PT</v>
          </cell>
          <cell r="O439" t="str">
            <v>Taluk Karangjati</v>
          </cell>
          <cell r="P439" t="str">
            <v>Ngawi</v>
          </cell>
          <cell r="Q439" t="str">
            <v>Taluk Karangjati</v>
          </cell>
          <cell r="R439" t="str">
            <v>Ngawi</v>
          </cell>
          <cell r="S439" t="str">
            <v>D Barat1</v>
          </cell>
          <cell r="T439" t="str">
            <v>Dian</v>
          </cell>
          <cell r="U439">
            <v>30</v>
          </cell>
        </row>
        <row r="440">
          <cell r="E440" t="str">
            <v>D25014399</v>
          </cell>
          <cell r="F440"/>
          <cell r="G440">
            <v>32000000000</v>
          </cell>
          <cell r="H440" t="str">
            <v>Reni</v>
          </cell>
          <cell r="I440" t="str">
            <v>Farida</v>
          </cell>
          <cell r="J440"/>
          <cell r="K440" t="str">
            <v>BG</v>
          </cell>
          <cell r="L440" t="str">
            <v>ALAM01</v>
          </cell>
          <cell r="M440" t="str">
            <v>Alam Tani</v>
          </cell>
          <cell r="N440" t="str">
            <v>Arista Semesta Alam, PT</v>
          </cell>
          <cell r="O440" t="str">
            <v>Taluk Karangjati</v>
          </cell>
          <cell r="P440" t="str">
            <v>Ngawi</v>
          </cell>
          <cell r="Q440" t="str">
            <v>Taluk Karangjati</v>
          </cell>
          <cell r="R440" t="str">
            <v>Ngawi</v>
          </cell>
          <cell r="S440" t="str">
            <v>D Barat1</v>
          </cell>
          <cell r="T440" t="str">
            <v>Dian</v>
          </cell>
          <cell r="U440">
            <v>30</v>
          </cell>
        </row>
        <row r="441">
          <cell r="E441" t="str">
            <v>D25014400</v>
          </cell>
          <cell r="F441"/>
          <cell r="G441">
            <v>32000000000</v>
          </cell>
          <cell r="H441" t="str">
            <v>Reni</v>
          </cell>
          <cell r="I441" t="str">
            <v>Farida</v>
          </cell>
          <cell r="J441"/>
          <cell r="K441" t="str">
            <v>BG</v>
          </cell>
          <cell r="L441" t="str">
            <v>ALAM01</v>
          </cell>
          <cell r="M441" t="str">
            <v>Alam Tani</v>
          </cell>
          <cell r="N441" t="str">
            <v>Arista Semesta Alam, PT</v>
          </cell>
          <cell r="O441" t="str">
            <v>Taluk Karangjati</v>
          </cell>
          <cell r="P441" t="str">
            <v>Ngawi</v>
          </cell>
          <cell r="Q441" t="str">
            <v>Taluk Karangjati</v>
          </cell>
          <cell r="R441" t="str">
            <v>Ngawi</v>
          </cell>
          <cell r="S441" t="str">
            <v>D Barat1</v>
          </cell>
          <cell r="T441" t="str">
            <v>Dian</v>
          </cell>
          <cell r="U441">
            <v>30</v>
          </cell>
        </row>
        <row r="442">
          <cell r="E442" t="str">
            <v>D25014400</v>
          </cell>
          <cell r="F442"/>
          <cell r="G442">
            <v>32000000000</v>
          </cell>
          <cell r="H442" t="str">
            <v>Reni</v>
          </cell>
          <cell r="I442" t="str">
            <v>Farida</v>
          </cell>
          <cell r="J442"/>
          <cell r="K442" t="str">
            <v>BG</v>
          </cell>
          <cell r="L442" t="str">
            <v>ALAM01</v>
          </cell>
          <cell r="M442" t="str">
            <v>Alam Tani</v>
          </cell>
          <cell r="N442" t="str">
            <v>Arista Semesta Alam, PT</v>
          </cell>
          <cell r="O442" t="str">
            <v>Taluk Karangjati</v>
          </cell>
          <cell r="P442" t="str">
            <v>Ngawi</v>
          </cell>
          <cell r="Q442" t="str">
            <v>Taluk Karangjati</v>
          </cell>
          <cell r="R442" t="str">
            <v>Ngawi</v>
          </cell>
          <cell r="S442" t="str">
            <v>D Barat1</v>
          </cell>
          <cell r="T442" t="str">
            <v>Dian</v>
          </cell>
          <cell r="U442">
            <v>30</v>
          </cell>
        </row>
        <row r="443">
          <cell r="E443" t="str">
            <v>D25014400</v>
          </cell>
          <cell r="F443"/>
          <cell r="G443">
            <v>32000000000</v>
          </cell>
          <cell r="H443" t="str">
            <v>Reni</v>
          </cell>
          <cell r="I443" t="str">
            <v>Farida</v>
          </cell>
          <cell r="J443"/>
          <cell r="K443" t="str">
            <v>BG</v>
          </cell>
          <cell r="L443" t="str">
            <v>ALAM01</v>
          </cell>
          <cell r="M443" t="str">
            <v>Alam Tani</v>
          </cell>
          <cell r="N443" t="str">
            <v>Arista Semesta Alam, PT</v>
          </cell>
          <cell r="O443" t="str">
            <v>Taluk Karangjati</v>
          </cell>
          <cell r="P443" t="str">
            <v>Ngawi</v>
          </cell>
          <cell r="Q443" t="str">
            <v>Taluk Karangjati</v>
          </cell>
          <cell r="R443" t="str">
            <v>Ngawi</v>
          </cell>
          <cell r="S443" t="str">
            <v>D Barat1</v>
          </cell>
          <cell r="T443" t="str">
            <v>Dian</v>
          </cell>
          <cell r="U443">
            <v>30</v>
          </cell>
        </row>
        <row r="444">
          <cell r="E444" t="str">
            <v>D25014401</v>
          </cell>
          <cell r="F444"/>
          <cell r="G444">
            <v>32000000000</v>
          </cell>
          <cell r="H444" t="str">
            <v>Reni</v>
          </cell>
          <cell r="I444" t="str">
            <v>Farida</v>
          </cell>
          <cell r="J444"/>
          <cell r="K444" t="str">
            <v>BG</v>
          </cell>
          <cell r="L444" t="str">
            <v>ALAM01</v>
          </cell>
          <cell r="M444" t="str">
            <v>Alam Tani</v>
          </cell>
          <cell r="N444" t="str">
            <v>Arista Semesta Alam, PT</v>
          </cell>
          <cell r="O444" t="str">
            <v>Taluk Karangjati</v>
          </cell>
          <cell r="P444" t="str">
            <v>Ngawi</v>
          </cell>
          <cell r="Q444" t="str">
            <v>Taluk Karangjati</v>
          </cell>
          <cell r="R444" t="str">
            <v>Ngawi</v>
          </cell>
          <cell r="S444" t="str">
            <v>D Barat1</v>
          </cell>
          <cell r="T444" t="str">
            <v>Dian</v>
          </cell>
          <cell r="U444">
            <v>30</v>
          </cell>
        </row>
        <row r="445">
          <cell r="E445" t="str">
            <v>D25014402</v>
          </cell>
          <cell r="F445"/>
          <cell r="G445">
            <v>32000000000</v>
          </cell>
          <cell r="H445" t="str">
            <v>Reni</v>
          </cell>
          <cell r="I445" t="str">
            <v>Farida</v>
          </cell>
          <cell r="J445"/>
          <cell r="K445" t="str">
            <v>BG</v>
          </cell>
          <cell r="L445" t="str">
            <v>ALAM01</v>
          </cell>
          <cell r="M445" t="str">
            <v>Alam Tani</v>
          </cell>
          <cell r="N445" t="str">
            <v>Arista Semesta Alam, PT</v>
          </cell>
          <cell r="O445" t="str">
            <v>Taluk Karangjati</v>
          </cell>
          <cell r="P445" t="str">
            <v>Ngawi</v>
          </cell>
          <cell r="Q445" t="str">
            <v>Taluk Karangjati</v>
          </cell>
          <cell r="R445" t="str">
            <v>Ngawi</v>
          </cell>
          <cell r="S445" t="str">
            <v>D Barat1</v>
          </cell>
          <cell r="T445" t="str">
            <v>Dian</v>
          </cell>
          <cell r="U445">
            <v>30</v>
          </cell>
        </row>
        <row r="446">
          <cell r="E446" t="str">
            <v>D25014563</v>
          </cell>
          <cell r="F446"/>
          <cell r="G446">
            <v>32000000000</v>
          </cell>
          <cell r="H446" t="str">
            <v>Reni</v>
          </cell>
          <cell r="I446" t="str">
            <v>Farida</v>
          </cell>
          <cell r="J446"/>
          <cell r="K446" t="str">
            <v>BG</v>
          </cell>
          <cell r="L446" t="str">
            <v>ALAM01</v>
          </cell>
          <cell r="M446" t="str">
            <v>Alam Tani</v>
          </cell>
          <cell r="N446" t="str">
            <v>Arista Semesta Alam, PT</v>
          </cell>
          <cell r="O446" t="str">
            <v>Taluk Karangjati</v>
          </cell>
          <cell r="P446" t="str">
            <v>Ngawi</v>
          </cell>
          <cell r="Q446" t="str">
            <v>Taluk Karangjati</v>
          </cell>
          <cell r="R446" t="str">
            <v>Ngawi</v>
          </cell>
          <cell r="S446" t="str">
            <v>D Barat1</v>
          </cell>
          <cell r="T446" t="str">
            <v>Dian</v>
          </cell>
          <cell r="U446">
            <v>30</v>
          </cell>
        </row>
        <row r="447">
          <cell r="E447" t="str">
            <v>D25014563</v>
          </cell>
          <cell r="F447"/>
          <cell r="G447">
            <v>32000000000</v>
          </cell>
          <cell r="H447" t="str">
            <v>Reni</v>
          </cell>
          <cell r="I447" t="str">
            <v>Farida</v>
          </cell>
          <cell r="J447"/>
          <cell r="K447" t="str">
            <v>BG</v>
          </cell>
          <cell r="L447" t="str">
            <v>ALAM01</v>
          </cell>
          <cell r="M447" t="str">
            <v>Alam Tani</v>
          </cell>
          <cell r="N447" t="str">
            <v>Arista Semesta Alam, PT</v>
          </cell>
          <cell r="O447" t="str">
            <v>Taluk Karangjati</v>
          </cell>
          <cell r="P447" t="str">
            <v>Ngawi</v>
          </cell>
          <cell r="Q447" t="str">
            <v>Taluk Karangjati</v>
          </cell>
          <cell r="R447" t="str">
            <v>Ngawi</v>
          </cell>
          <cell r="S447" t="str">
            <v>D Barat1</v>
          </cell>
          <cell r="T447" t="str">
            <v>Dian</v>
          </cell>
          <cell r="U447">
            <v>30</v>
          </cell>
        </row>
        <row r="448">
          <cell r="E448" t="str">
            <v>D25014563</v>
          </cell>
          <cell r="F448"/>
          <cell r="G448">
            <v>32000000000</v>
          </cell>
          <cell r="H448" t="str">
            <v>Reni</v>
          </cell>
          <cell r="I448" t="str">
            <v>Farida</v>
          </cell>
          <cell r="J448"/>
          <cell r="K448" t="str">
            <v>BG</v>
          </cell>
          <cell r="L448" t="str">
            <v>ALAM01</v>
          </cell>
          <cell r="M448" t="str">
            <v>Alam Tani</v>
          </cell>
          <cell r="N448" t="str">
            <v>Arista Semesta Alam, PT</v>
          </cell>
          <cell r="O448" t="str">
            <v>Taluk Karangjati</v>
          </cell>
          <cell r="P448" t="str">
            <v>Ngawi</v>
          </cell>
          <cell r="Q448" t="str">
            <v>Taluk Karangjati</v>
          </cell>
          <cell r="R448" t="str">
            <v>Ngawi</v>
          </cell>
          <cell r="S448" t="str">
            <v>D Barat1</v>
          </cell>
          <cell r="T448" t="str">
            <v>Dian</v>
          </cell>
          <cell r="U448">
            <v>30</v>
          </cell>
        </row>
        <row r="449">
          <cell r="E449" t="str">
            <v>D25014563</v>
          </cell>
          <cell r="F449"/>
          <cell r="G449">
            <v>32000000000</v>
          </cell>
          <cell r="H449" t="str">
            <v>Reni</v>
          </cell>
          <cell r="I449" t="str">
            <v>Farida</v>
          </cell>
          <cell r="J449"/>
          <cell r="K449" t="str">
            <v>BG</v>
          </cell>
          <cell r="L449" t="str">
            <v>ALAM01</v>
          </cell>
          <cell r="M449" t="str">
            <v>Alam Tani</v>
          </cell>
          <cell r="N449" t="str">
            <v>Arista Semesta Alam, PT</v>
          </cell>
          <cell r="O449" t="str">
            <v>Taluk Karangjati</v>
          </cell>
          <cell r="P449" t="str">
            <v>Ngawi</v>
          </cell>
          <cell r="Q449" t="str">
            <v>Taluk Karangjati</v>
          </cell>
          <cell r="R449" t="str">
            <v>Ngawi</v>
          </cell>
          <cell r="S449" t="str">
            <v>D Barat1</v>
          </cell>
          <cell r="T449" t="str">
            <v>Dian</v>
          </cell>
          <cell r="U449">
            <v>30</v>
          </cell>
        </row>
        <row r="450">
          <cell r="E450" t="str">
            <v>D25014563</v>
          </cell>
          <cell r="F450"/>
          <cell r="G450">
            <v>32000000000</v>
          </cell>
          <cell r="H450" t="str">
            <v>Reni</v>
          </cell>
          <cell r="I450" t="str">
            <v>Farida</v>
          </cell>
          <cell r="J450"/>
          <cell r="K450" t="str">
            <v>BG</v>
          </cell>
          <cell r="L450" t="str">
            <v>ALAM01</v>
          </cell>
          <cell r="M450" t="str">
            <v>Alam Tani</v>
          </cell>
          <cell r="N450" t="str">
            <v>Arista Semesta Alam, PT</v>
          </cell>
          <cell r="O450" t="str">
            <v>Taluk Karangjati</v>
          </cell>
          <cell r="P450" t="str">
            <v>Ngawi</v>
          </cell>
          <cell r="Q450" t="str">
            <v>Taluk Karangjati</v>
          </cell>
          <cell r="R450" t="str">
            <v>Ngawi</v>
          </cell>
          <cell r="S450" t="str">
            <v>D Barat1</v>
          </cell>
          <cell r="T450" t="str">
            <v>Dian</v>
          </cell>
          <cell r="U450">
            <v>30</v>
          </cell>
        </row>
        <row r="451">
          <cell r="E451" t="str">
            <v>D25014564</v>
          </cell>
          <cell r="F451"/>
          <cell r="G451">
            <v>32000000000</v>
          </cell>
          <cell r="H451" t="str">
            <v>Reni</v>
          </cell>
          <cell r="I451" t="str">
            <v>Farida</v>
          </cell>
          <cell r="J451"/>
          <cell r="K451" t="str">
            <v>BG</v>
          </cell>
          <cell r="L451" t="str">
            <v>ALAM01</v>
          </cell>
          <cell r="M451" t="str">
            <v>Alam Tani</v>
          </cell>
          <cell r="N451" t="str">
            <v>Arista Semesta Alam, PT</v>
          </cell>
          <cell r="O451" t="str">
            <v>Taluk Karangjati</v>
          </cell>
          <cell r="P451" t="str">
            <v>Ngawi</v>
          </cell>
          <cell r="Q451" t="str">
            <v>Taluk Karangjati</v>
          </cell>
          <cell r="R451" t="str">
            <v>Ngawi</v>
          </cell>
          <cell r="S451" t="str">
            <v>D Barat1</v>
          </cell>
          <cell r="T451" t="str">
            <v>Dian</v>
          </cell>
          <cell r="U451">
            <v>30</v>
          </cell>
        </row>
        <row r="452">
          <cell r="E452" t="str">
            <v>D25014564</v>
          </cell>
          <cell r="F452"/>
          <cell r="G452">
            <v>32000000000</v>
          </cell>
          <cell r="H452" t="str">
            <v>Reni</v>
          </cell>
          <cell r="I452" t="str">
            <v>Farida</v>
          </cell>
          <cell r="J452"/>
          <cell r="K452" t="str">
            <v>BG</v>
          </cell>
          <cell r="L452" t="str">
            <v>ALAM01</v>
          </cell>
          <cell r="M452" t="str">
            <v>Alam Tani</v>
          </cell>
          <cell r="N452" t="str">
            <v>Arista Semesta Alam, PT</v>
          </cell>
          <cell r="O452" t="str">
            <v>Taluk Karangjati</v>
          </cell>
          <cell r="P452" t="str">
            <v>Ngawi</v>
          </cell>
          <cell r="Q452" t="str">
            <v>Taluk Karangjati</v>
          </cell>
          <cell r="R452" t="str">
            <v>Ngawi</v>
          </cell>
          <cell r="S452" t="str">
            <v>D Barat1</v>
          </cell>
          <cell r="T452" t="str">
            <v>Dian</v>
          </cell>
          <cell r="U452">
            <v>30</v>
          </cell>
        </row>
        <row r="453">
          <cell r="E453" t="str">
            <v>D25014565</v>
          </cell>
          <cell r="F453"/>
          <cell r="G453">
            <v>32000000000</v>
          </cell>
          <cell r="H453" t="str">
            <v>Reni</v>
          </cell>
          <cell r="I453" t="str">
            <v>Farida</v>
          </cell>
          <cell r="J453"/>
          <cell r="K453" t="str">
            <v>BG</v>
          </cell>
          <cell r="L453" t="str">
            <v>ALAM01</v>
          </cell>
          <cell r="M453" t="str">
            <v>Alam Tani</v>
          </cell>
          <cell r="N453" t="str">
            <v>Arista Semesta Alam, PT</v>
          </cell>
          <cell r="O453" t="str">
            <v>Taluk Karangjati</v>
          </cell>
          <cell r="P453" t="str">
            <v>Ngawi</v>
          </cell>
          <cell r="Q453" t="str">
            <v>Taluk Karangjati</v>
          </cell>
          <cell r="R453" t="str">
            <v>Ngawi</v>
          </cell>
          <cell r="S453" t="str">
            <v>D Barat1</v>
          </cell>
          <cell r="T453" t="str">
            <v>Dian</v>
          </cell>
          <cell r="U453">
            <v>30</v>
          </cell>
        </row>
        <row r="454">
          <cell r="E454" t="str">
            <v>D25014565</v>
          </cell>
          <cell r="F454"/>
          <cell r="G454">
            <v>32000000000</v>
          </cell>
          <cell r="H454" t="str">
            <v>Reni</v>
          </cell>
          <cell r="I454" t="str">
            <v>Farida</v>
          </cell>
          <cell r="J454"/>
          <cell r="K454" t="str">
            <v>BG</v>
          </cell>
          <cell r="L454" t="str">
            <v>ALAM01</v>
          </cell>
          <cell r="M454" t="str">
            <v>Alam Tani</v>
          </cell>
          <cell r="N454" t="str">
            <v>Arista Semesta Alam, PT</v>
          </cell>
          <cell r="O454" t="str">
            <v>Taluk Karangjati</v>
          </cell>
          <cell r="P454" t="str">
            <v>Ngawi</v>
          </cell>
          <cell r="Q454" t="str">
            <v>Taluk Karangjati</v>
          </cell>
          <cell r="R454" t="str">
            <v>Ngawi</v>
          </cell>
          <cell r="S454" t="str">
            <v>D Barat1</v>
          </cell>
          <cell r="T454" t="str">
            <v>Dian</v>
          </cell>
          <cell r="U454">
            <v>30</v>
          </cell>
        </row>
        <row r="455">
          <cell r="E455" t="str">
            <v>D25014787</v>
          </cell>
          <cell r="F455"/>
          <cell r="G455">
            <v>32000000000</v>
          </cell>
          <cell r="H455" t="str">
            <v>Reni</v>
          </cell>
          <cell r="I455" t="str">
            <v>Farida</v>
          </cell>
          <cell r="J455"/>
          <cell r="K455" t="str">
            <v>BG</v>
          </cell>
          <cell r="L455" t="str">
            <v>ALAM01</v>
          </cell>
          <cell r="M455" t="str">
            <v>Alam Tani</v>
          </cell>
          <cell r="N455" t="str">
            <v>Arista Semesta Alam, PT</v>
          </cell>
          <cell r="O455" t="str">
            <v>Taluk Karangjati</v>
          </cell>
          <cell r="P455" t="str">
            <v>Ngawi</v>
          </cell>
          <cell r="Q455" t="str">
            <v>Taluk Karangjati</v>
          </cell>
          <cell r="R455" t="str">
            <v>Ngawi</v>
          </cell>
          <cell r="S455" t="str">
            <v>D Barat1</v>
          </cell>
          <cell r="T455" t="str">
            <v>Dian</v>
          </cell>
          <cell r="U455">
            <v>30</v>
          </cell>
        </row>
        <row r="456">
          <cell r="E456" t="str">
            <v>D25014787</v>
          </cell>
          <cell r="F456"/>
          <cell r="G456">
            <v>32000000000</v>
          </cell>
          <cell r="H456" t="str">
            <v>Reni</v>
          </cell>
          <cell r="I456" t="str">
            <v>Farida</v>
          </cell>
          <cell r="J456"/>
          <cell r="K456" t="str">
            <v>BG</v>
          </cell>
          <cell r="L456" t="str">
            <v>ALAM01</v>
          </cell>
          <cell r="M456" t="str">
            <v>Alam Tani</v>
          </cell>
          <cell r="N456" t="str">
            <v>Arista Semesta Alam, PT</v>
          </cell>
          <cell r="O456" t="str">
            <v>Taluk Karangjati</v>
          </cell>
          <cell r="P456" t="str">
            <v>Ngawi</v>
          </cell>
          <cell r="Q456" t="str">
            <v>Taluk Karangjati</v>
          </cell>
          <cell r="R456" t="str">
            <v>Ngawi</v>
          </cell>
          <cell r="S456" t="str">
            <v>D Barat1</v>
          </cell>
          <cell r="T456" t="str">
            <v>Dian</v>
          </cell>
          <cell r="U456">
            <v>30</v>
          </cell>
        </row>
        <row r="457">
          <cell r="E457" t="str">
            <v>D25014787</v>
          </cell>
          <cell r="F457"/>
          <cell r="G457">
            <v>32000000000</v>
          </cell>
          <cell r="H457" t="str">
            <v>Reni</v>
          </cell>
          <cell r="I457" t="str">
            <v>Farida</v>
          </cell>
          <cell r="J457"/>
          <cell r="K457" t="str">
            <v>BG</v>
          </cell>
          <cell r="L457" t="str">
            <v>ALAM01</v>
          </cell>
          <cell r="M457" t="str">
            <v>Alam Tani</v>
          </cell>
          <cell r="N457" t="str">
            <v>Arista Semesta Alam, PT</v>
          </cell>
          <cell r="O457" t="str">
            <v>Taluk Karangjati</v>
          </cell>
          <cell r="P457" t="str">
            <v>Ngawi</v>
          </cell>
          <cell r="Q457" t="str">
            <v>Taluk Karangjati</v>
          </cell>
          <cell r="R457" t="str">
            <v>Ngawi</v>
          </cell>
          <cell r="S457" t="str">
            <v>D Barat1</v>
          </cell>
          <cell r="T457" t="str">
            <v>Dian</v>
          </cell>
          <cell r="U457">
            <v>30</v>
          </cell>
        </row>
        <row r="458">
          <cell r="E458" t="str">
            <v>D25014787</v>
          </cell>
          <cell r="F458"/>
          <cell r="G458">
            <v>32000000000</v>
          </cell>
          <cell r="H458" t="str">
            <v>Reni</v>
          </cell>
          <cell r="I458" t="str">
            <v>Farida</v>
          </cell>
          <cell r="J458"/>
          <cell r="K458" t="str">
            <v>BG</v>
          </cell>
          <cell r="L458" t="str">
            <v>ALAM01</v>
          </cell>
          <cell r="M458" t="str">
            <v>Alam Tani</v>
          </cell>
          <cell r="N458" t="str">
            <v>Arista Semesta Alam, PT</v>
          </cell>
          <cell r="O458" t="str">
            <v>Taluk Karangjati</v>
          </cell>
          <cell r="P458" t="str">
            <v>Ngawi</v>
          </cell>
          <cell r="Q458" t="str">
            <v>Taluk Karangjati</v>
          </cell>
          <cell r="R458" t="str">
            <v>Ngawi</v>
          </cell>
          <cell r="S458" t="str">
            <v>D Barat1</v>
          </cell>
          <cell r="T458" t="str">
            <v>Dian</v>
          </cell>
          <cell r="U458">
            <v>30</v>
          </cell>
        </row>
        <row r="459">
          <cell r="E459" t="str">
            <v>D25014788</v>
          </cell>
          <cell r="F459"/>
          <cell r="G459">
            <v>32000000000</v>
          </cell>
          <cell r="H459" t="str">
            <v>Reni</v>
          </cell>
          <cell r="I459" t="str">
            <v>Farida</v>
          </cell>
          <cell r="J459"/>
          <cell r="K459" t="str">
            <v>BG</v>
          </cell>
          <cell r="L459" t="str">
            <v>ALAM01</v>
          </cell>
          <cell r="M459" t="str">
            <v>Alam Tani</v>
          </cell>
          <cell r="N459" t="str">
            <v>Arista Semesta Alam, PT</v>
          </cell>
          <cell r="O459" t="str">
            <v>Taluk Karangjati</v>
          </cell>
          <cell r="P459" t="str">
            <v>Ngawi</v>
          </cell>
          <cell r="Q459" t="str">
            <v>Taluk Karangjati</v>
          </cell>
          <cell r="R459" t="str">
            <v>Ngawi</v>
          </cell>
          <cell r="S459" t="str">
            <v>D Barat1</v>
          </cell>
          <cell r="T459" t="str">
            <v>Dian</v>
          </cell>
          <cell r="U459">
            <v>30</v>
          </cell>
        </row>
        <row r="460">
          <cell r="E460" t="str">
            <v>D25014975</v>
          </cell>
          <cell r="F460"/>
          <cell r="G460">
            <v>32000000000</v>
          </cell>
          <cell r="H460" t="str">
            <v>Reni</v>
          </cell>
          <cell r="I460" t="str">
            <v>Farida</v>
          </cell>
          <cell r="J460"/>
          <cell r="K460" t="str">
            <v>BG</v>
          </cell>
          <cell r="L460" t="str">
            <v>ALAM01</v>
          </cell>
          <cell r="M460" t="str">
            <v>Alam Tani</v>
          </cell>
          <cell r="N460" t="str">
            <v>Arista Semesta Alam, PT</v>
          </cell>
          <cell r="O460" t="str">
            <v>Taluk Karangjati</v>
          </cell>
          <cell r="P460" t="str">
            <v>Ngawi</v>
          </cell>
          <cell r="Q460" t="str">
            <v>Taluk Karangjati</v>
          </cell>
          <cell r="R460" t="str">
            <v>Ngawi</v>
          </cell>
          <cell r="S460" t="str">
            <v>D Barat1</v>
          </cell>
          <cell r="T460" t="str">
            <v>Dian</v>
          </cell>
          <cell r="U460">
            <v>30</v>
          </cell>
        </row>
        <row r="461">
          <cell r="E461" t="str">
            <v>D25014975</v>
          </cell>
          <cell r="F461"/>
          <cell r="G461">
            <v>32000000000</v>
          </cell>
          <cell r="H461" t="str">
            <v>Reni</v>
          </cell>
          <cell r="I461" t="str">
            <v>Farida</v>
          </cell>
          <cell r="J461"/>
          <cell r="K461" t="str">
            <v>BG</v>
          </cell>
          <cell r="L461" t="str">
            <v>ALAM01</v>
          </cell>
          <cell r="M461" t="str">
            <v>Alam Tani</v>
          </cell>
          <cell r="N461" t="str">
            <v>Arista Semesta Alam, PT</v>
          </cell>
          <cell r="O461" t="str">
            <v>Taluk Karangjati</v>
          </cell>
          <cell r="P461" t="str">
            <v>Ngawi</v>
          </cell>
          <cell r="Q461" t="str">
            <v>Taluk Karangjati</v>
          </cell>
          <cell r="R461" t="str">
            <v>Ngawi</v>
          </cell>
          <cell r="S461" t="str">
            <v>D Barat1</v>
          </cell>
          <cell r="T461" t="str">
            <v>Dian</v>
          </cell>
          <cell r="U461">
            <v>30</v>
          </cell>
        </row>
        <row r="462">
          <cell r="E462" t="str">
            <v>D25014976</v>
          </cell>
          <cell r="F462"/>
          <cell r="G462">
            <v>32000000000</v>
          </cell>
          <cell r="H462" t="str">
            <v>Reni</v>
          </cell>
          <cell r="I462" t="str">
            <v>Farida</v>
          </cell>
          <cell r="J462"/>
          <cell r="K462" t="str">
            <v>BG</v>
          </cell>
          <cell r="L462" t="str">
            <v>ALAM01</v>
          </cell>
          <cell r="M462" t="str">
            <v>Alam Tani</v>
          </cell>
          <cell r="N462" t="str">
            <v>Arista Semesta Alam, PT</v>
          </cell>
          <cell r="O462" t="str">
            <v>Taluk Karangjati</v>
          </cell>
          <cell r="P462" t="str">
            <v>Ngawi</v>
          </cell>
          <cell r="Q462" t="str">
            <v>Taluk Karangjati</v>
          </cell>
          <cell r="R462" t="str">
            <v>Ngawi</v>
          </cell>
          <cell r="S462" t="str">
            <v>D Barat1</v>
          </cell>
          <cell r="T462" t="str">
            <v>Dian</v>
          </cell>
          <cell r="U462">
            <v>30</v>
          </cell>
        </row>
        <row r="463">
          <cell r="E463" t="str">
            <v>D25014976</v>
          </cell>
          <cell r="F463"/>
          <cell r="G463">
            <v>32000000000</v>
          </cell>
          <cell r="H463" t="str">
            <v>Reni</v>
          </cell>
          <cell r="I463" t="str">
            <v>Farida</v>
          </cell>
          <cell r="J463"/>
          <cell r="K463" t="str">
            <v>BG</v>
          </cell>
          <cell r="L463" t="str">
            <v>ALAM01</v>
          </cell>
          <cell r="M463" t="str">
            <v>Alam Tani</v>
          </cell>
          <cell r="N463" t="str">
            <v>Arista Semesta Alam, PT</v>
          </cell>
          <cell r="O463" t="str">
            <v>Taluk Karangjati</v>
          </cell>
          <cell r="P463" t="str">
            <v>Ngawi</v>
          </cell>
          <cell r="Q463" t="str">
            <v>Taluk Karangjati</v>
          </cell>
          <cell r="R463" t="str">
            <v>Ngawi</v>
          </cell>
          <cell r="S463" t="str">
            <v>D Barat1</v>
          </cell>
          <cell r="T463" t="str">
            <v>Dian</v>
          </cell>
          <cell r="U463">
            <v>30</v>
          </cell>
        </row>
        <row r="464">
          <cell r="E464" t="str">
            <v>D25015128</v>
          </cell>
          <cell r="F464"/>
          <cell r="G464">
            <v>32000000000</v>
          </cell>
          <cell r="H464" t="str">
            <v>Reni</v>
          </cell>
          <cell r="I464" t="str">
            <v>Farida</v>
          </cell>
          <cell r="J464"/>
          <cell r="K464" t="str">
            <v>BG</v>
          </cell>
          <cell r="L464" t="str">
            <v>ALAM01</v>
          </cell>
          <cell r="M464" t="str">
            <v>Alam Tani</v>
          </cell>
          <cell r="N464" t="str">
            <v>Arista Semesta Alam, PT</v>
          </cell>
          <cell r="O464" t="str">
            <v>Taluk Karangjati</v>
          </cell>
          <cell r="P464" t="str">
            <v>Ngawi</v>
          </cell>
          <cell r="Q464" t="str">
            <v>Taluk Karangjati</v>
          </cell>
          <cell r="R464" t="str">
            <v>Ngawi</v>
          </cell>
          <cell r="S464" t="str">
            <v>D Barat1</v>
          </cell>
          <cell r="T464" t="str">
            <v>Dian</v>
          </cell>
          <cell r="U464">
            <v>30</v>
          </cell>
        </row>
        <row r="465">
          <cell r="E465" t="str">
            <v>D25015128</v>
          </cell>
          <cell r="F465"/>
          <cell r="G465">
            <v>32000000000</v>
          </cell>
          <cell r="H465" t="str">
            <v>Reni</v>
          </cell>
          <cell r="I465" t="str">
            <v>Farida</v>
          </cell>
          <cell r="J465"/>
          <cell r="K465" t="str">
            <v>BG</v>
          </cell>
          <cell r="L465" t="str">
            <v>ALAM01</v>
          </cell>
          <cell r="M465" t="str">
            <v>Alam Tani</v>
          </cell>
          <cell r="N465" t="str">
            <v>Arista Semesta Alam, PT</v>
          </cell>
          <cell r="O465" t="str">
            <v>Taluk Karangjati</v>
          </cell>
          <cell r="P465" t="str">
            <v>Ngawi</v>
          </cell>
          <cell r="Q465" t="str">
            <v>Taluk Karangjati</v>
          </cell>
          <cell r="R465" t="str">
            <v>Ngawi</v>
          </cell>
          <cell r="S465" t="str">
            <v>D Barat1</v>
          </cell>
          <cell r="T465" t="str">
            <v>Dian</v>
          </cell>
          <cell r="U465">
            <v>30</v>
          </cell>
        </row>
        <row r="466">
          <cell r="E466" t="str">
            <v>D25015391</v>
          </cell>
          <cell r="F466"/>
          <cell r="G466">
            <v>32000000000</v>
          </cell>
          <cell r="H466" t="str">
            <v>Reni</v>
          </cell>
          <cell r="I466" t="str">
            <v>Farida</v>
          </cell>
          <cell r="J466"/>
          <cell r="K466" t="str">
            <v>BG</v>
          </cell>
          <cell r="L466" t="str">
            <v>ALAM01</v>
          </cell>
          <cell r="M466" t="str">
            <v>Alam Tani</v>
          </cell>
          <cell r="N466" t="str">
            <v>Arista Semesta Alam, PT</v>
          </cell>
          <cell r="O466" t="str">
            <v>Taluk Karangjati</v>
          </cell>
          <cell r="P466" t="str">
            <v>Ngawi</v>
          </cell>
          <cell r="Q466" t="str">
            <v>Taluk Karangjati</v>
          </cell>
          <cell r="R466" t="str">
            <v>Ngawi</v>
          </cell>
          <cell r="S466" t="str">
            <v>D Barat1</v>
          </cell>
          <cell r="T466" t="str">
            <v>Dian</v>
          </cell>
          <cell r="U466">
            <v>30</v>
          </cell>
        </row>
        <row r="467">
          <cell r="E467" t="str">
            <v>D25015391</v>
          </cell>
          <cell r="F467"/>
          <cell r="G467">
            <v>32000000000</v>
          </cell>
          <cell r="H467" t="str">
            <v>Reni</v>
          </cell>
          <cell r="I467" t="str">
            <v>Farida</v>
          </cell>
          <cell r="J467"/>
          <cell r="K467" t="str">
            <v>BG</v>
          </cell>
          <cell r="L467" t="str">
            <v>ALAM01</v>
          </cell>
          <cell r="M467" t="str">
            <v>Alam Tani</v>
          </cell>
          <cell r="N467" t="str">
            <v>Arista Semesta Alam, PT</v>
          </cell>
          <cell r="O467" t="str">
            <v>Taluk Karangjati</v>
          </cell>
          <cell r="P467" t="str">
            <v>Ngawi</v>
          </cell>
          <cell r="Q467" t="str">
            <v>Taluk Karangjati</v>
          </cell>
          <cell r="R467" t="str">
            <v>Ngawi</v>
          </cell>
          <cell r="S467" t="str">
            <v>D Barat1</v>
          </cell>
          <cell r="T467" t="str">
            <v>Dian</v>
          </cell>
          <cell r="U467">
            <v>30</v>
          </cell>
        </row>
        <row r="468">
          <cell r="E468" t="str">
            <v>D25015391</v>
          </cell>
          <cell r="F468"/>
          <cell r="G468">
            <v>32000000000</v>
          </cell>
          <cell r="H468" t="str">
            <v>Reni</v>
          </cell>
          <cell r="I468" t="str">
            <v>Farida</v>
          </cell>
          <cell r="J468"/>
          <cell r="K468" t="str">
            <v>BG</v>
          </cell>
          <cell r="L468" t="str">
            <v>ALAM01</v>
          </cell>
          <cell r="M468" t="str">
            <v>Alam Tani</v>
          </cell>
          <cell r="N468" t="str">
            <v>Arista Semesta Alam, PT</v>
          </cell>
          <cell r="O468" t="str">
            <v>Taluk Karangjati</v>
          </cell>
          <cell r="P468" t="str">
            <v>Ngawi</v>
          </cell>
          <cell r="Q468" t="str">
            <v>Taluk Karangjati</v>
          </cell>
          <cell r="R468" t="str">
            <v>Ngawi</v>
          </cell>
          <cell r="S468" t="str">
            <v>D Barat1</v>
          </cell>
          <cell r="T468" t="str">
            <v>Dian</v>
          </cell>
          <cell r="U468">
            <v>30</v>
          </cell>
        </row>
        <row r="469">
          <cell r="E469" t="str">
            <v>D25015392</v>
          </cell>
          <cell r="F469"/>
          <cell r="G469">
            <v>32000000000</v>
          </cell>
          <cell r="H469" t="str">
            <v>Reni</v>
          </cell>
          <cell r="I469" t="str">
            <v>Farida</v>
          </cell>
          <cell r="J469"/>
          <cell r="K469" t="str">
            <v>BG</v>
          </cell>
          <cell r="L469" t="str">
            <v>ALAM01</v>
          </cell>
          <cell r="M469" t="str">
            <v>Alam Tani</v>
          </cell>
          <cell r="N469" t="str">
            <v>Arista Semesta Alam, PT</v>
          </cell>
          <cell r="O469" t="str">
            <v>Taluk Karangjati</v>
          </cell>
          <cell r="P469" t="str">
            <v>Ngawi</v>
          </cell>
          <cell r="Q469" t="str">
            <v>Taluk Karangjati</v>
          </cell>
          <cell r="R469" t="str">
            <v>Ngawi</v>
          </cell>
          <cell r="S469" t="str">
            <v>D Barat1</v>
          </cell>
          <cell r="T469" t="str">
            <v>Dian</v>
          </cell>
          <cell r="U469">
            <v>30</v>
          </cell>
        </row>
        <row r="470">
          <cell r="E470" t="str">
            <v>B25013376</v>
          </cell>
          <cell r="F470"/>
          <cell r="G470">
            <v>32000000000</v>
          </cell>
          <cell r="H470" t="str">
            <v>Reni</v>
          </cell>
          <cell r="I470" t="str">
            <v>Farida</v>
          </cell>
          <cell r="J470"/>
          <cell r="K470" t="str">
            <v>BG</v>
          </cell>
          <cell r="L470" t="str">
            <v>ALAM01</v>
          </cell>
          <cell r="M470" t="str">
            <v>Alam Tani</v>
          </cell>
          <cell r="N470" t="str">
            <v>Arista Semesta Alam, PT</v>
          </cell>
          <cell r="O470" t="str">
            <v>Taluk Karangjati</v>
          </cell>
          <cell r="P470" t="str">
            <v>Ngawi</v>
          </cell>
          <cell r="Q470" t="str">
            <v>Taluk Karangjati</v>
          </cell>
          <cell r="R470" t="str">
            <v>Ngawi</v>
          </cell>
          <cell r="S470" t="str">
            <v>D Barat1</v>
          </cell>
          <cell r="T470" t="str">
            <v>Dian</v>
          </cell>
          <cell r="U470">
            <v>30</v>
          </cell>
        </row>
        <row r="471">
          <cell r="E471" t="str">
            <v>B25013376</v>
          </cell>
          <cell r="F471"/>
          <cell r="G471">
            <v>32000000000</v>
          </cell>
          <cell r="H471" t="str">
            <v>Reni</v>
          </cell>
          <cell r="I471" t="str">
            <v>Farida</v>
          </cell>
          <cell r="J471"/>
          <cell r="K471" t="str">
            <v>BG</v>
          </cell>
          <cell r="L471" t="str">
            <v>ALAM01</v>
          </cell>
          <cell r="M471" t="str">
            <v>Alam Tani</v>
          </cell>
          <cell r="N471" t="str">
            <v>Arista Semesta Alam, PT</v>
          </cell>
          <cell r="O471" t="str">
            <v>Taluk Karangjati</v>
          </cell>
          <cell r="P471" t="str">
            <v>Ngawi</v>
          </cell>
          <cell r="Q471" t="str">
            <v>Taluk Karangjati</v>
          </cell>
          <cell r="R471" t="str">
            <v>Ngawi</v>
          </cell>
          <cell r="S471" t="str">
            <v>D Barat1</v>
          </cell>
          <cell r="T471" t="str">
            <v>Dian</v>
          </cell>
          <cell r="U471">
            <v>30</v>
          </cell>
        </row>
        <row r="472">
          <cell r="E472" t="str">
            <v>B25013376</v>
          </cell>
          <cell r="F472"/>
          <cell r="G472">
            <v>32000000000</v>
          </cell>
          <cell r="H472" t="str">
            <v>Reni</v>
          </cell>
          <cell r="I472" t="str">
            <v>Farida</v>
          </cell>
          <cell r="J472"/>
          <cell r="K472" t="str">
            <v>BG</v>
          </cell>
          <cell r="L472" t="str">
            <v>ALAM01</v>
          </cell>
          <cell r="M472" t="str">
            <v>Alam Tani</v>
          </cell>
          <cell r="N472" t="str">
            <v>Arista Semesta Alam, PT</v>
          </cell>
          <cell r="O472" t="str">
            <v>Taluk Karangjati</v>
          </cell>
          <cell r="P472" t="str">
            <v>Ngawi</v>
          </cell>
          <cell r="Q472" t="str">
            <v>Taluk Karangjati</v>
          </cell>
          <cell r="R472" t="str">
            <v>Ngawi</v>
          </cell>
          <cell r="S472" t="str">
            <v>D Barat1</v>
          </cell>
          <cell r="T472" t="str">
            <v>Dian</v>
          </cell>
          <cell r="U472">
            <v>30</v>
          </cell>
        </row>
        <row r="473">
          <cell r="E473" t="str">
            <v>B25013377</v>
          </cell>
          <cell r="F473"/>
          <cell r="G473">
            <v>32000000000</v>
          </cell>
          <cell r="H473" t="str">
            <v>Reni</v>
          </cell>
          <cell r="I473" t="str">
            <v>Farida</v>
          </cell>
          <cell r="J473"/>
          <cell r="K473" t="str">
            <v>BG</v>
          </cell>
          <cell r="L473" t="str">
            <v>ALAM01</v>
          </cell>
          <cell r="M473" t="str">
            <v>Alam Tani</v>
          </cell>
          <cell r="N473" t="str">
            <v>Arista Semesta Alam, PT</v>
          </cell>
          <cell r="O473" t="str">
            <v>Taluk Karangjati</v>
          </cell>
          <cell r="P473" t="str">
            <v>Ngawi</v>
          </cell>
          <cell r="Q473" t="str">
            <v>Taluk Karangjati</v>
          </cell>
          <cell r="R473" t="str">
            <v>Ngawi</v>
          </cell>
          <cell r="S473" t="str">
            <v>D Barat1</v>
          </cell>
          <cell r="T473" t="str">
            <v>Dian</v>
          </cell>
          <cell r="U473">
            <v>30</v>
          </cell>
        </row>
        <row r="474">
          <cell r="E474" t="str">
            <v>B25013377</v>
          </cell>
          <cell r="F474"/>
          <cell r="G474">
            <v>32000000000</v>
          </cell>
          <cell r="H474" t="str">
            <v>Reni</v>
          </cell>
          <cell r="I474" t="str">
            <v>Farida</v>
          </cell>
          <cell r="J474"/>
          <cell r="K474" t="str">
            <v>BG</v>
          </cell>
          <cell r="L474" t="str">
            <v>ALAM01</v>
          </cell>
          <cell r="M474" t="str">
            <v>Alam Tani</v>
          </cell>
          <cell r="N474" t="str">
            <v>Arista Semesta Alam, PT</v>
          </cell>
          <cell r="O474" t="str">
            <v>Taluk Karangjati</v>
          </cell>
          <cell r="P474" t="str">
            <v>Ngawi</v>
          </cell>
          <cell r="Q474" t="str">
            <v>Taluk Karangjati</v>
          </cell>
          <cell r="R474" t="str">
            <v>Ngawi</v>
          </cell>
          <cell r="S474" t="str">
            <v>D Barat1</v>
          </cell>
          <cell r="T474" t="str">
            <v>Dian</v>
          </cell>
          <cell r="U474">
            <v>30</v>
          </cell>
        </row>
        <row r="475">
          <cell r="E475" t="str">
            <v>D25015771</v>
          </cell>
          <cell r="F475"/>
          <cell r="G475">
            <v>32000000000</v>
          </cell>
          <cell r="H475" t="str">
            <v>Reni</v>
          </cell>
          <cell r="I475" t="str">
            <v>Farida</v>
          </cell>
          <cell r="J475"/>
          <cell r="K475" t="str">
            <v>BG</v>
          </cell>
          <cell r="L475" t="str">
            <v>ALAM01</v>
          </cell>
          <cell r="M475" t="str">
            <v>Alam Tani</v>
          </cell>
          <cell r="N475" t="str">
            <v>Arista Semesta Alam, PT</v>
          </cell>
          <cell r="O475" t="str">
            <v>Taluk Karangjati</v>
          </cell>
          <cell r="P475" t="str">
            <v>Ngawi</v>
          </cell>
          <cell r="Q475" t="str">
            <v>Taluk Karangjati</v>
          </cell>
          <cell r="R475" t="str">
            <v>Ngawi</v>
          </cell>
          <cell r="S475" t="str">
            <v>D Barat1</v>
          </cell>
          <cell r="T475" t="str">
            <v>Dian</v>
          </cell>
          <cell r="U475">
            <v>30</v>
          </cell>
        </row>
        <row r="476">
          <cell r="E476" t="str">
            <v>D25015771</v>
          </cell>
          <cell r="F476"/>
          <cell r="G476">
            <v>32000000000</v>
          </cell>
          <cell r="H476" t="str">
            <v>Reni</v>
          </cell>
          <cell r="I476" t="str">
            <v>Farida</v>
          </cell>
          <cell r="J476"/>
          <cell r="K476" t="str">
            <v>BG</v>
          </cell>
          <cell r="L476" t="str">
            <v>ALAM01</v>
          </cell>
          <cell r="M476" t="str">
            <v>Alam Tani</v>
          </cell>
          <cell r="N476" t="str">
            <v>Arista Semesta Alam, PT</v>
          </cell>
          <cell r="O476" t="str">
            <v>Taluk Karangjati</v>
          </cell>
          <cell r="P476" t="str">
            <v>Ngawi</v>
          </cell>
          <cell r="Q476" t="str">
            <v>Taluk Karangjati</v>
          </cell>
          <cell r="R476" t="str">
            <v>Ngawi</v>
          </cell>
          <cell r="S476" t="str">
            <v>D Barat1</v>
          </cell>
          <cell r="T476" t="str">
            <v>Dian</v>
          </cell>
          <cell r="U476">
            <v>30</v>
          </cell>
        </row>
        <row r="477">
          <cell r="E477" t="str">
            <v>D25015771</v>
          </cell>
          <cell r="F477"/>
          <cell r="G477">
            <v>32000000000</v>
          </cell>
          <cell r="H477" t="str">
            <v>Reni</v>
          </cell>
          <cell r="I477" t="str">
            <v>Farida</v>
          </cell>
          <cell r="J477"/>
          <cell r="K477" t="str">
            <v>BG</v>
          </cell>
          <cell r="L477" t="str">
            <v>ALAM01</v>
          </cell>
          <cell r="M477" t="str">
            <v>Alam Tani</v>
          </cell>
          <cell r="N477" t="str">
            <v>Arista Semesta Alam, PT</v>
          </cell>
          <cell r="O477" t="str">
            <v>Taluk Karangjati</v>
          </cell>
          <cell r="P477" t="str">
            <v>Ngawi</v>
          </cell>
          <cell r="Q477" t="str">
            <v>Taluk Karangjati</v>
          </cell>
          <cell r="R477" t="str">
            <v>Ngawi</v>
          </cell>
          <cell r="S477" t="str">
            <v>D Barat1</v>
          </cell>
          <cell r="T477" t="str">
            <v>Dian</v>
          </cell>
          <cell r="U477">
            <v>30</v>
          </cell>
        </row>
        <row r="478">
          <cell r="E478" t="str">
            <v>D25015841</v>
          </cell>
          <cell r="F478"/>
          <cell r="G478">
            <v>32000000000</v>
          </cell>
          <cell r="H478" t="str">
            <v>Reni</v>
          </cell>
          <cell r="I478" t="str">
            <v>Farida</v>
          </cell>
          <cell r="J478"/>
          <cell r="K478" t="str">
            <v>BG</v>
          </cell>
          <cell r="L478" t="str">
            <v>ALAM01</v>
          </cell>
          <cell r="M478" t="str">
            <v>Alam Tani</v>
          </cell>
          <cell r="N478" t="str">
            <v>Arista Semesta Alam, PT</v>
          </cell>
          <cell r="O478" t="str">
            <v>Taluk Karangjati</v>
          </cell>
          <cell r="P478" t="str">
            <v>Ngawi</v>
          </cell>
          <cell r="Q478" t="str">
            <v>Taluk Karangjati</v>
          </cell>
          <cell r="R478" t="str">
            <v>Ngawi</v>
          </cell>
          <cell r="S478" t="str">
            <v>D Barat1</v>
          </cell>
          <cell r="T478" t="str">
            <v>Dian</v>
          </cell>
          <cell r="U478">
            <v>30</v>
          </cell>
        </row>
        <row r="479">
          <cell r="E479" t="str">
            <v>D25015841</v>
          </cell>
          <cell r="F479"/>
          <cell r="G479">
            <v>32000000000</v>
          </cell>
          <cell r="H479" t="str">
            <v>Reni</v>
          </cell>
          <cell r="I479" t="str">
            <v>Farida</v>
          </cell>
          <cell r="J479"/>
          <cell r="K479" t="str">
            <v>BG</v>
          </cell>
          <cell r="L479" t="str">
            <v>ALAM01</v>
          </cell>
          <cell r="M479" t="str">
            <v>Alam Tani</v>
          </cell>
          <cell r="N479" t="str">
            <v>Arista Semesta Alam, PT</v>
          </cell>
          <cell r="O479" t="str">
            <v>Taluk Karangjati</v>
          </cell>
          <cell r="P479" t="str">
            <v>Ngawi</v>
          </cell>
          <cell r="Q479" t="str">
            <v>Taluk Karangjati</v>
          </cell>
          <cell r="R479" t="str">
            <v>Ngawi</v>
          </cell>
          <cell r="S479" t="str">
            <v>D Barat1</v>
          </cell>
          <cell r="T479" t="str">
            <v>Dian</v>
          </cell>
          <cell r="U479">
            <v>30</v>
          </cell>
        </row>
        <row r="480">
          <cell r="E480" t="str">
            <v>D25015855</v>
          </cell>
          <cell r="F480"/>
          <cell r="G480">
            <v>32000000000</v>
          </cell>
          <cell r="H480" t="str">
            <v>Reni</v>
          </cell>
          <cell r="I480" t="str">
            <v>Farida</v>
          </cell>
          <cell r="J480"/>
          <cell r="K480" t="str">
            <v>BG</v>
          </cell>
          <cell r="L480" t="str">
            <v>ALAM01</v>
          </cell>
          <cell r="M480" t="str">
            <v>Alam Tani</v>
          </cell>
          <cell r="N480" t="str">
            <v>Arista Semesta Alam, PT</v>
          </cell>
          <cell r="O480" t="str">
            <v>Taluk Karangjati</v>
          </cell>
          <cell r="P480" t="str">
            <v>Ngawi</v>
          </cell>
          <cell r="Q480" t="str">
            <v>Taluk Karangjati</v>
          </cell>
          <cell r="R480" t="str">
            <v>Ngawi</v>
          </cell>
          <cell r="S480" t="str">
            <v>D Barat1</v>
          </cell>
          <cell r="T480" t="str">
            <v>Dian</v>
          </cell>
          <cell r="U480">
            <v>30</v>
          </cell>
        </row>
        <row r="481">
          <cell r="E481" t="str">
            <v>D25016189</v>
          </cell>
          <cell r="F481"/>
          <cell r="G481">
            <v>32000000000</v>
          </cell>
          <cell r="H481" t="str">
            <v>Reni</v>
          </cell>
          <cell r="I481" t="str">
            <v>Farida</v>
          </cell>
          <cell r="J481"/>
          <cell r="K481" t="str">
            <v>BG</v>
          </cell>
          <cell r="L481" t="str">
            <v>ALAM01</v>
          </cell>
          <cell r="M481" t="str">
            <v>Alam Tani</v>
          </cell>
          <cell r="N481" t="str">
            <v>Arista Semesta Alam, PT</v>
          </cell>
          <cell r="O481" t="str">
            <v>Taluk Karangjati</v>
          </cell>
          <cell r="P481" t="str">
            <v>Ngawi</v>
          </cell>
          <cell r="Q481" t="str">
            <v>Taluk Karangjati</v>
          </cell>
          <cell r="R481" t="str">
            <v>Ngawi</v>
          </cell>
          <cell r="S481" t="str">
            <v>D Barat1</v>
          </cell>
          <cell r="T481" t="str">
            <v>Dian</v>
          </cell>
          <cell r="U481">
            <v>30</v>
          </cell>
        </row>
        <row r="482">
          <cell r="E482" t="str">
            <v>D25016189</v>
          </cell>
          <cell r="F482"/>
          <cell r="G482">
            <v>32000000000</v>
          </cell>
          <cell r="H482" t="str">
            <v>Reni</v>
          </cell>
          <cell r="I482" t="str">
            <v>Farida</v>
          </cell>
          <cell r="J482"/>
          <cell r="K482" t="str">
            <v>BG</v>
          </cell>
          <cell r="L482" t="str">
            <v>ALAM01</v>
          </cell>
          <cell r="M482" t="str">
            <v>Alam Tani</v>
          </cell>
          <cell r="N482" t="str">
            <v>Arista Semesta Alam, PT</v>
          </cell>
          <cell r="O482" t="str">
            <v>Taluk Karangjati</v>
          </cell>
          <cell r="P482" t="str">
            <v>Ngawi</v>
          </cell>
          <cell r="Q482" t="str">
            <v>Taluk Karangjati</v>
          </cell>
          <cell r="R482" t="str">
            <v>Ngawi</v>
          </cell>
          <cell r="S482" t="str">
            <v>D Barat1</v>
          </cell>
          <cell r="T482" t="str">
            <v>Dian</v>
          </cell>
          <cell r="U482">
            <v>30</v>
          </cell>
        </row>
        <row r="483">
          <cell r="E483" t="str">
            <v>D25016190</v>
          </cell>
          <cell r="F483"/>
          <cell r="G483">
            <v>32000000000</v>
          </cell>
          <cell r="H483" t="str">
            <v>Reni</v>
          </cell>
          <cell r="I483" t="str">
            <v>Farida</v>
          </cell>
          <cell r="J483"/>
          <cell r="K483" t="str">
            <v>BG</v>
          </cell>
          <cell r="L483" t="str">
            <v>ALAM01</v>
          </cell>
          <cell r="M483" t="str">
            <v>Alam Tani</v>
          </cell>
          <cell r="N483" t="str">
            <v>Arista Semesta Alam, PT</v>
          </cell>
          <cell r="O483" t="str">
            <v>Taluk Karangjati</v>
          </cell>
          <cell r="P483" t="str">
            <v>Ngawi</v>
          </cell>
          <cell r="Q483" t="str">
            <v>Taluk Karangjati</v>
          </cell>
          <cell r="R483" t="str">
            <v>Ngawi</v>
          </cell>
          <cell r="S483" t="str">
            <v>D Barat1</v>
          </cell>
          <cell r="T483" t="str">
            <v>Dian</v>
          </cell>
          <cell r="U483">
            <v>30</v>
          </cell>
        </row>
        <row r="484">
          <cell r="E484" t="str">
            <v>D25016190</v>
          </cell>
          <cell r="F484"/>
          <cell r="G484">
            <v>32000000000</v>
          </cell>
          <cell r="H484" t="str">
            <v>Reni</v>
          </cell>
          <cell r="I484" t="str">
            <v>Farida</v>
          </cell>
          <cell r="J484"/>
          <cell r="K484" t="str">
            <v>BG</v>
          </cell>
          <cell r="L484" t="str">
            <v>ALAM01</v>
          </cell>
          <cell r="M484" t="str">
            <v>Alam Tani</v>
          </cell>
          <cell r="N484" t="str">
            <v>Arista Semesta Alam, PT</v>
          </cell>
          <cell r="O484" t="str">
            <v>Taluk Karangjati</v>
          </cell>
          <cell r="P484" t="str">
            <v>Ngawi</v>
          </cell>
          <cell r="Q484" t="str">
            <v>Taluk Karangjati</v>
          </cell>
          <cell r="R484" t="str">
            <v>Ngawi</v>
          </cell>
          <cell r="S484" t="str">
            <v>D Barat1</v>
          </cell>
          <cell r="T484" t="str">
            <v>Dian</v>
          </cell>
          <cell r="U484">
            <v>30</v>
          </cell>
        </row>
        <row r="485">
          <cell r="E485" t="str">
            <v>D25016190</v>
          </cell>
          <cell r="F485"/>
          <cell r="G485">
            <v>32000000000</v>
          </cell>
          <cell r="H485" t="str">
            <v>Reni</v>
          </cell>
          <cell r="I485" t="str">
            <v>Farida</v>
          </cell>
          <cell r="J485"/>
          <cell r="K485" t="str">
            <v>BG</v>
          </cell>
          <cell r="L485" t="str">
            <v>ALAM01</v>
          </cell>
          <cell r="M485" t="str">
            <v>Alam Tani</v>
          </cell>
          <cell r="N485" t="str">
            <v>Arista Semesta Alam, PT</v>
          </cell>
          <cell r="O485" t="str">
            <v>Taluk Karangjati</v>
          </cell>
          <cell r="P485" t="str">
            <v>Ngawi</v>
          </cell>
          <cell r="Q485" t="str">
            <v>Taluk Karangjati</v>
          </cell>
          <cell r="R485" t="str">
            <v>Ngawi</v>
          </cell>
          <cell r="S485" t="str">
            <v>D Barat1</v>
          </cell>
          <cell r="T485" t="str">
            <v>Dian</v>
          </cell>
          <cell r="U485">
            <v>30</v>
          </cell>
        </row>
        <row r="486">
          <cell r="E486" t="str">
            <v>D25016191</v>
          </cell>
          <cell r="F486"/>
          <cell r="G486">
            <v>32000000000</v>
          </cell>
          <cell r="H486" t="str">
            <v>Reni</v>
          </cell>
          <cell r="I486" t="str">
            <v>Farida</v>
          </cell>
          <cell r="J486"/>
          <cell r="K486" t="str">
            <v>BG</v>
          </cell>
          <cell r="L486" t="str">
            <v>ALAM01</v>
          </cell>
          <cell r="M486" t="str">
            <v>Alam Tani</v>
          </cell>
          <cell r="N486" t="str">
            <v>Arista Semesta Alam, PT</v>
          </cell>
          <cell r="O486" t="str">
            <v>Taluk Karangjati</v>
          </cell>
          <cell r="P486" t="str">
            <v>Ngawi</v>
          </cell>
          <cell r="Q486" t="str">
            <v>Taluk Karangjati</v>
          </cell>
          <cell r="R486" t="str">
            <v>Ngawi</v>
          </cell>
          <cell r="S486" t="str">
            <v>D Barat1</v>
          </cell>
          <cell r="T486" t="str">
            <v>Dian</v>
          </cell>
          <cell r="U486">
            <v>30</v>
          </cell>
        </row>
        <row r="487">
          <cell r="E487" t="str">
            <v>D25016191</v>
          </cell>
          <cell r="F487"/>
          <cell r="G487">
            <v>32000000000</v>
          </cell>
          <cell r="H487" t="str">
            <v>Reni</v>
          </cell>
          <cell r="I487" t="str">
            <v>Farida</v>
          </cell>
          <cell r="J487"/>
          <cell r="K487" t="str">
            <v>BG</v>
          </cell>
          <cell r="L487" t="str">
            <v>ALAM01</v>
          </cell>
          <cell r="M487" t="str">
            <v>Alam Tani</v>
          </cell>
          <cell r="N487" t="str">
            <v>Arista Semesta Alam, PT</v>
          </cell>
          <cell r="O487" t="str">
            <v>Taluk Karangjati</v>
          </cell>
          <cell r="P487" t="str">
            <v>Ngawi</v>
          </cell>
          <cell r="Q487" t="str">
            <v>Taluk Karangjati</v>
          </cell>
          <cell r="R487" t="str">
            <v>Ngawi</v>
          </cell>
          <cell r="S487" t="str">
            <v>D Barat1</v>
          </cell>
          <cell r="T487" t="str">
            <v>Dian</v>
          </cell>
          <cell r="U487">
            <v>30</v>
          </cell>
        </row>
        <row r="488">
          <cell r="E488" t="str">
            <v>D25016191</v>
          </cell>
          <cell r="F488"/>
          <cell r="G488">
            <v>32000000000</v>
          </cell>
          <cell r="H488" t="str">
            <v>Reni</v>
          </cell>
          <cell r="I488" t="str">
            <v>Farida</v>
          </cell>
          <cell r="J488"/>
          <cell r="K488" t="str">
            <v>BG</v>
          </cell>
          <cell r="L488" t="str">
            <v>ALAM01</v>
          </cell>
          <cell r="M488" t="str">
            <v>Alam Tani</v>
          </cell>
          <cell r="N488" t="str">
            <v>Arista Semesta Alam, PT</v>
          </cell>
          <cell r="O488" t="str">
            <v>Taluk Karangjati</v>
          </cell>
          <cell r="P488" t="str">
            <v>Ngawi</v>
          </cell>
          <cell r="Q488" t="str">
            <v>Taluk Karangjati</v>
          </cell>
          <cell r="R488" t="str">
            <v>Ngawi</v>
          </cell>
          <cell r="S488" t="str">
            <v>D Barat1</v>
          </cell>
          <cell r="T488" t="str">
            <v>Dian</v>
          </cell>
          <cell r="U488">
            <v>30</v>
          </cell>
        </row>
        <row r="489">
          <cell r="E489" t="str">
            <v>D25016191</v>
          </cell>
          <cell r="F489"/>
          <cell r="G489">
            <v>32000000000</v>
          </cell>
          <cell r="H489" t="str">
            <v>Reni</v>
          </cell>
          <cell r="I489" t="str">
            <v>Farida</v>
          </cell>
          <cell r="J489"/>
          <cell r="K489" t="str">
            <v>BG</v>
          </cell>
          <cell r="L489" t="str">
            <v>ALAM01</v>
          </cell>
          <cell r="M489" t="str">
            <v>Alam Tani</v>
          </cell>
          <cell r="N489" t="str">
            <v>Arista Semesta Alam, PT</v>
          </cell>
          <cell r="O489" t="str">
            <v>Taluk Karangjati</v>
          </cell>
          <cell r="P489" t="str">
            <v>Ngawi</v>
          </cell>
          <cell r="Q489" t="str">
            <v>Taluk Karangjati</v>
          </cell>
          <cell r="R489" t="str">
            <v>Ngawi</v>
          </cell>
          <cell r="S489" t="str">
            <v>D Barat1</v>
          </cell>
          <cell r="T489" t="str">
            <v>Dian</v>
          </cell>
          <cell r="U489">
            <v>30</v>
          </cell>
        </row>
        <row r="490">
          <cell r="E490" t="str">
            <v>D25016191</v>
          </cell>
          <cell r="F490"/>
          <cell r="G490">
            <v>32000000000</v>
          </cell>
          <cell r="H490" t="str">
            <v>Reni</v>
          </cell>
          <cell r="I490" t="str">
            <v>Farida</v>
          </cell>
          <cell r="J490"/>
          <cell r="K490" t="str">
            <v>BG</v>
          </cell>
          <cell r="L490" t="str">
            <v>ALAM01</v>
          </cell>
          <cell r="M490" t="str">
            <v>Alam Tani</v>
          </cell>
          <cell r="N490" t="str">
            <v>Arista Semesta Alam, PT</v>
          </cell>
          <cell r="O490" t="str">
            <v>Taluk Karangjati</v>
          </cell>
          <cell r="P490" t="str">
            <v>Ngawi</v>
          </cell>
          <cell r="Q490" t="str">
            <v>Taluk Karangjati</v>
          </cell>
          <cell r="R490" t="str">
            <v>Ngawi</v>
          </cell>
          <cell r="S490" t="str">
            <v>D Barat1</v>
          </cell>
          <cell r="T490" t="str">
            <v>Dian</v>
          </cell>
          <cell r="U490">
            <v>30</v>
          </cell>
        </row>
        <row r="491">
          <cell r="E491" t="str">
            <v>D25016198</v>
          </cell>
          <cell r="F491"/>
          <cell r="G491">
            <v>32000000000</v>
          </cell>
          <cell r="H491" t="str">
            <v>Reni</v>
          </cell>
          <cell r="I491" t="str">
            <v>Farida</v>
          </cell>
          <cell r="J491"/>
          <cell r="K491" t="str">
            <v>BG</v>
          </cell>
          <cell r="L491" t="str">
            <v>ALAM01</v>
          </cell>
          <cell r="M491" t="str">
            <v>Alam Tani</v>
          </cell>
          <cell r="N491" t="str">
            <v>Arista Semesta Alam, PT</v>
          </cell>
          <cell r="O491" t="str">
            <v>Taluk Karangjati</v>
          </cell>
          <cell r="P491" t="str">
            <v>Ngawi</v>
          </cell>
          <cell r="Q491" t="str">
            <v>Taluk Karangjati</v>
          </cell>
          <cell r="R491" t="str">
            <v>Ngawi</v>
          </cell>
          <cell r="S491" t="str">
            <v>D Barat1</v>
          </cell>
          <cell r="T491" t="str">
            <v>Dian</v>
          </cell>
          <cell r="U491">
            <v>30</v>
          </cell>
        </row>
        <row r="492">
          <cell r="E492" t="str">
            <v>D25012941</v>
          </cell>
          <cell r="F492"/>
          <cell r="G492">
            <v>10000000</v>
          </cell>
          <cell r="H492" t="str">
            <v>Zakia</v>
          </cell>
          <cell r="I492" t="str">
            <v>Tiya</v>
          </cell>
          <cell r="J492" t="str">
            <v>New 12/08/20</v>
          </cell>
          <cell r="K492" t="str">
            <v>KU</v>
          </cell>
          <cell r="L492" t="str">
            <v>ALAM11</v>
          </cell>
          <cell r="M492" t="str">
            <v>Alam Tani/Manik</v>
          </cell>
          <cell r="N492" t="str">
            <v>I GST.PT.Manik</v>
          </cell>
          <cell r="O492" t="str">
            <v>BR. Samu RT.000/RW.000, Kel. Mekar Bhuana Kec. Abiansemal, Badung</v>
          </cell>
          <cell r="P492" t="str">
            <v>Bali</v>
          </cell>
          <cell r="Q492" t="str">
            <v>BR. Samu RT.000/RW.000, Kel. Mekar Bhuana Kec. Abiansemal, Badung</v>
          </cell>
          <cell r="R492" t="str">
            <v>Bali</v>
          </cell>
          <cell r="S492" t="str">
            <v>S Bali3</v>
          </cell>
          <cell r="T492" t="str">
            <v>Wira</v>
          </cell>
          <cell r="U492">
            <v>30</v>
          </cell>
        </row>
        <row r="493">
          <cell r="E493" t="str">
            <v>B25012614</v>
          </cell>
          <cell r="F493"/>
          <cell r="G493">
            <v>10000000</v>
          </cell>
          <cell r="H493" t="str">
            <v>Zakia</v>
          </cell>
          <cell r="I493" t="str">
            <v>Tiya</v>
          </cell>
          <cell r="J493" t="str">
            <v>New 12/08/20</v>
          </cell>
          <cell r="K493" t="str">
            <v>KU</v>
          </cell>
          <cell r="L493" t="str">
            <v>ALAM11</v>
          </cell>
          <cell r="M493" t="str">
            <v>Alam Tani/Manik</v>
          </cell>
          <cell r="N493" t="str">
            <v>I GST.PT.Manik</v>
          </cell>
          <cell r="O493" t="str">
            <v>BR. Samu RT.000/RW.000, Kel. Mekar Bhuana Kec. Abiansemal, Badung</v>
          </cell>
          <cell r="P493" t="str">
            <v>Bali</v>
          </cell>
          <cell r="Q493" t="str">
            <v>BR. Samu RT.000/RW.000, Kel. Mekar Bhuana Kec. Abiansemal, Badung</v>
          </cell>
          <cell r="R493" t="str">
            <v>Bali</v>
          </cell>
          <cell r="S493" t="str">
            <v>S Bali3</v>
          </cell>
          <cell r="T493" t="str">
            <v>Wira</v>
          </cell>
          <cell r="U493">
            <v>30</v>
          </cell>
        </row>
        <row r="494">
          <cell r="E494" t="str">
            <v>B25008379</v>
          </cell>
          <cell r="F494"/>
          <cell r="G494">
            <v>470000000</v>
          </cell>
          <cell r="H494" t="str">
            <v>Hendra</v>
          </cell>
          <cell r="I494" t="str">
            <v>Tiya</v>
          </cell>
          <cell r="J494" t="str">
            <v>New 23/09/24</v>
          </cell>
          <cell r="K494" t="str">
            <v>KU</v>
          </cell>
          <cell r="L494" t="str">
            <v>ALAS01</v>
          </cell>
          <cell r="M494" t="str">
            <v>Alaska Prima Perkasa, CV</v>
          </cell>
          <cell r="N494" t="str">
            <v>Alaska Prima Perkasa, CV</v>
          </cell>
          <cell r="O494" t="str">
            <v>Jalan Taman Kenten Komplek Duta Taman Kenten, Duku, Ilir Timur Tiga</v>
          </cell>
          <cell r="P494" t="str">
            <v>Palembang-Sumsel</v>
          </cell>
          <cell r="Q494" t="str">
            <v>Jalan Taman Kenten Komplek Duta Taman Kenten, Duku, Ilir Timur Tiga</v>
          </cell>
          <cell r="R494" t="str">
            <v>Palembang-Sumsel</v>
          </cell>
          <cell r="S494" t="str">
            <v>E Luar Pulau1</v>
          </cell>
          <cell r="T494" t="str">
            <v>Non SE &amp; JSE</v>
          </cell>
          <cell r="U494">
            <v>60</v>
          </cell>
        </row>
        <row r="495">
          <cell r="E495" t="str">
            <v>B25008381</v>
          </cell>
          <cell r="F495"/>
          <cell r="G495">
            <v>470000000</v>
          </cell>
          <cell r="H495" t="str">
            <v>Hendra</v>
          </cell>
          <cell r="I495" t="str">
            <v>Tiya</v>
          </cell>
          <cell r="J495" t="str">
            <v>New 23/09/24</v>
          </cell>
          <cell r="K495" t="str">
            <v>KU</v>
          </cell>
          <cell r="L495" t="str">
            <v>ALAS01</v>
          </cell>
          <cell r="M495" t="str">
            <v>Alaska Prima Perkasa, CV</v>
          </cell>
          <cell r="N495" t="str">
            <v>Alaska Prima Perkasa, CV</v>
          </cell>
          <cell r="O495" t="str">
            <v>Jalan Taman Kenten Komplek Duta Taman Kenten, Duku, Ilir Timur Tiga</v>
          </cell>
          <cell r="P495" t="str">
            <v>Palembang-Sumsel</v>
          </cell>
          <cell r="Q495" t="str">
            <v>Jalan Taman Kenten Komplek Duta Taman Kenten, Duku, Ilir Timur Tiga</v>
          </cell>
          <cell r="R495" t="str">
            <v>Palembang-Sumsel</v>
          </cell>
          <cell r="S495" t="str">
            <v>E Luar Pulau1</v>
          </cell>
          <cell r="T495" t="str">
            <v>Non SE &amp; JSE</v>
          </cell>
          <cell r="U495">
            <v>60</v>
          </cell>
        </row>
        <row r="496">
          <cell r="E496" t="str">
            <v>D25014854</v>
          </cell>
          <cell r="F496"/>
          <cell r="G496">
            <v>470000000</v>
          </cell>
          <cell r="H496" t="str">
            <v>Hendra</v>
          </cell>
          <cell r="I496" t="str">
            <v>Tiya</v>
          </cell>
          <cell r="J496" t="str">
            <v>New 23/09/24</v>
          </cell>
          <cell r="K496" t="str">
            <v>KU</v>
          </cell>
          <cell r="L496" t="str">
            <v>ALAS01</v>
          </cell>
          <cell r="M496" t="str">
            <v>Alaska Prima Perkasa, CV</v>
          </cell>
          <cell r="N496" t="str">
            <v>Alaska Prima Perkasa, CV</v>
          </cell>
          <cell r="O496" t="str">
            <v>Jalan Taman Kenten Komplek Duta Taman Kenten, Duku, Ilir Timur Tiga</v>
          </cell>
          <cell r="P496" t="str">
            <v>Palembang-Sumsel</v>
          </cell>
          <cell r="Q496" t="str">
            <v>Jalan Taman Kenten Komplek Duta Taman Kenten, Duku, Ilir Timur Tiga</v>
          </cell>
          <cell r="R496" t="str">
            <v>Palembang-Sumsel</v>
          </cell>
          <cell r="S496" t="str">
            <v>E Luar Pulau1</v>
          </cell>
          <cell r="T496" t="str">
            <v>Non SE &amp; JSE</v>
          </cell>
          <cell r="U496">
            <v>60</v>
          </cell>
        </row>
        <row r="497">
          <cell r="E497">
            <v>250126</v>
          </cell>
          <cell r="F497"/>
          <cell r="G497">
            <v>470000000</v>
          </cell>
          <cell r="H497" t="str">
            <v>Hendra</v>
          </cell>
          <cell r="I497" t="str">
            <v>Tiya</v>
          </cell>
          <cell r="J497" t="str">
            <v>New 23/09/24</v>
          </cell>
          <cell r="K497" t="str">
            <v>KU</v>
          </cell>
          <cell r="L497" t="str">
            <v>ALAS01</v>
          </cell>
          <cell r="M497" t="str">
            <v>Alaska Prima Perkasa, CV</v>
          </cell>
          <cell r="N497" t="str">
            <v>Alaska Prima Perkasa, CV</v>
          </cell>
          <cell r="O497" t="str">
            <v>Jalan Taman Kenten Komplek Duta Taman Kenten, Duku, Ilir Timur Tiga</v>
          </cell>
          <cell r="P497" t="str">
            <v>Palembang-Sumsel</v>
          </cell>
          <cell r="Q497" t="str">
            <v>Jalan Taman Kenten Komplek Duta Taman Kenten, Duku, Ilir Timur Tiga</v>
          </cell>
          <cell r="R497" t="str">
            <v>Palembang-Sumsel</v>
          </cell>
          <cell r="S497" t="str">
            <v>E Luar Pulau1</v>
          </cell>
          <cell r="T497" t="str">
            <v>Non SE &amp; JSE</v>
          </cell>
          <cell r="U497">
            <v>60</v>
          </cell>
        </row>
        <row r="498">
          <cell r="E498" t="str">
            <v>B25012604</v>
          </cell>
          <cell r="F498"/>
          <cell r="G498">
            <v>470000000</v>
          </cell>
          <cell r="H498" t="str">
            <v>Hendra</v>
          </cell>
          <cell r="I498" t="str">
            <v>Tiya</v>
          </cell>
          <cell r="J498" t="str">
            <v>New 23/09/24</v>
          </cell>
          <cell r="K498" t="str">
            <v>KU</v>
          </cell>
          <cell r="L498" t="str">
            <v>ALAS01</v>
          </cell>
          <cell r="M498" t="str">
            <v>Alaska Prima Perkasa, CV</v>
          </cell>
          <cell r="N498" t="str">
            <v>Alaska Prima Perkasa, CV</v>
          </cell>
          <cell r="O498" t="str">
            <v>Jalan Taman Kenten Komplek Duta Taman Kenten, Duku, Ilir Timur Tiga</v>
          </cell>
          <cell r="P498" t="str">
            <v>Palembang-Sumsel</v>
          </cell>
          <cell r="Q498" t="str">
            <v>Jalan Taman Kenten Komplek Duta Taman Kenten, Duku, Ilir Timur Tiga</v>
          </cell>
          <cell r="R498" t="str">
            <v>Palembang-Sumsel</v>
          </cell>
          <cell r="S498" t="str">
            <v>E Luar Pulau1</v>
          </cell>
          <cell r="T498" t="str">
            <v>Non SE &amp; JSE</v>
          </cell>
          <cell r="U498">
            <v>60</v>
          </cell>
        </row>
        <row r="499">
          <cell r="E499" t="str">
            <v>B25013137</v>
          </cell>
          <cell r="F499"/>
          <cell r="G499">
            <v>470000000</v>
          </cell>
          <cell r="H499" t="str">
            <v>Hendra</v>
          </cell>
          <cell r="I499" t="str">
            <v>Tiya</v>
          </cell>
          <cell r="J499" t="str">
            <v>New 23/09/24</v>
          </cell>
          <cell r="K499" t="str">
            <v>KU</v>
          </cell>
          <cell r="L499" t="str">
            <v>ALAS01</v>
          </cell>
          <cell r="M499" t="str">
            <v>Alaska Prima Perkasa, CV</v>
          </cell>
          <cell r="N499" t="str">
            <v>Alaska Prima Perkasa, CV</v>
          </cell>
          <cell r="O499" t="str">
            <v>Jalan Taman Kenten Komplek Duta Taman Kenten, Duku, Ilir Timur Tiga</v>
          </cell>
          <cell r="P499" t="str">
            <v>Palembang-Sumsel</v>
          </cell>
          <cell r="Q499" t="str">
            <v>Jalan Taman Kenten Komplek Duta Taman Kenten, Duku, Ilir Timur Tiga</v>
          </cell>
          <cell r="R499" t="str">
            <v>Palembang-Sumsel</v>
          </cell>
          <cell r="S499" t="str">
            <v>E Luar Pulau1</v>
          </cell>
          <cell r="T499" t="str">
            <v>Non SE &amp; JSE</v>
          </cell>
          <cell r="U499">
            <v>60</v>
          </cell>
        </row>
        <row r="500">
          <cell r="E500" t="str">
            <v>B25013155</v>
          </cell>
          <cell r="F500"/>
          <cell r="G500">
            <v>470000000</v>
          </cell>
          <cell r="H500" t="str">
            <v>Hendra</v>
          </cell>
          <cell r="I500" t="str">
            <v>Tiya</v>
          </cell>
          <cell r="J500" t="str">
            <v>New 23/09/24</v>
          </cell>
          <cell r="K500" t="str">
            <v>KU</v>
          </cell>
          <cell r="L500" t="str">
            <v>ALAS01</v>
          </cell>
          <cell r="M500" t="str">
            <v>Alaska Prima Perkasa, CV</v>
          </cell>
          <cell r="N500" t="str">
            <v>Alaska Prima Perkasa, CV</v>
          </cell>
          <cell r="O500" t="str">
            <v>Jalan Taman Kenten Komplek Duta Taman Kenten, Duku, Ilir Timur Tiga</v>
          </cell>
          <cell r="P500" t="str">
            <v>Palembang-Sumsel</v>
          </cell>
          <cell r="Q500" t="str">
            <v>Jalan Taman Kenten Komplek Duta Taman Kenten, Duku, Ilir Timur Tiga</v>
          </cell>
          <cell r="R500" t="str">
            <v>Palembang-Sumsel</v>
          </cell>
          <cell r="S500" t="str">
            <v>E Luar Pulau1</v>
          </cell>
          <cell r="T500" t="str">
            <v>Non SE &amp; JSE</v>
          </cell>
          <cell r="U500">
            <v>60</v>
          </cell>
        </row>
        <row r="501">
          <cell r="E501" t="str">
            <v>D25016267</v>
          </cell>
          <cell r="F501"/>
          <cell r="G501">
            <v>470000000</v>
          </cell>
          <cell r="H501" t="str">
            <v>Hendra</v>
          </cell>
          <cell r="I501" t="str">
            <v>Tiya</v>
          </cell>
          <cell r="J501" t="str">
            <v>New 23/09/24</v>
          </cell>
          <cell r="K501" t="str">
            <v>KU</v>
          </cell>
          <cell r="L501" t="str">
            <v>ALAS01</v>
          </cell>
          <cell r="M501" t="str">
            <v>Alaska Prima Perkasa, CV</v>
          </cell>
          <cell r="N501" t="str">
            <v>Alaska Prima Perkasa, CV</v>
          </cell>
          <cell r="O501" t="str">
            <v>Jalan Taman Kenten Komplek Duta Taman Kenten, Duku, Ilir Timur Tiga</v>
          </cell>
          <cell r="P501" t="str">
            <v>Palembang-Sumsel</v>
          </cell>
          <cell r="Q501" t="str">
            <v>Jalan Taman Kenten Komplek Duta Taman Kenten, Duku, Ilir Timur Tiga</v>
          </cell>
          <cell r="R501" t="str">
            <v>Palembang-Sumsel</v>
          </cell>
          <cell r="S501" t="str">
            <v>E Luar Pulau1</v>
          </cell>
          <cell r="T501" t="str">
            <v>Non SE &amp; JSE</v>
          </cell>
          <cell r="U501">
            <v>60</v>
          </cell>
        </row>
        <row r="502">
          <cell r="E502" t="str">
            <v>B25013969</v>
          </cell>
          <cell r="F502"/>
          <cell r="G502">
            <v>470000000</v>
          </cell>
          <cell r="H502" t="str">
            <v>Hendra</v>
          </cell>
          <cell r="I502" t="str">
            <v>Tiya</v>
          </cell>
          <cell r="J502" t="str">
            <v>New 23/09/24</v>
          </cell>
          <cell r="K502" t="str">
            <v>KU</v>
          </cell>
          <cell r="L502" t="str">
            <v>ALAS01</v>
          </cell>
          <cell r="M502" t="str">
            <v>Alaska Prima Perkasa, CV</v>
          </cell>
          <cell r="N502" t="str">
            <v>Alaska Prima Perkasa, CV</v>
          </cell>
          <cell r="O502" t="str">
            <v>Jalan Taman Kenten Komplek Duta Taman Kenten, Duku, Ilir Timur Tiga</v>
          </cell>
          <cell r="P502" t="str">
            <v>Palembang-Sumsel</v>
          </cell>
          <cell r="Q502" t="str">
            <v>Jalan Taman Kenten Komplek Duta Taman Kenten, Duku, Ilir Timur Tiga</v>
          </cell>
          <cell r="R502" t="str">
            <v>Palembang-Sumsel</v>
          </cell>
          <cell r="S502" t="str">
            <v>E Luar Pulau1</v>
          </cell>
          <cell r="T502" t="str">
            <v>Non SE &amp; JSE</v>
          </cell>
          <cell r="U502">
            <v>60</v>
          </cell>
        </row>
        <row r="503">
          <cell r="E503" t="str">
            <v>B25012161</v>
          </cell>
          <cell r="F503"/>
          <cell r="G503">
            <v>20000000</v>
          </cell>
          <cell r="H503" t="str">
            <v>Yuyun</v>
          </cell>
          <cell r="I503" t="str">
            <v>Farida</v>
          </cell>
          <cell r="J503" t="str">
            <v>New 22/10/20</v>
          </cell>
          <cell r="K503" t="str">
            <v>KU</v>
          </cell>
          <cell r="L503" t="str">
            <v>ALBA03</v>
          </cell>
          <cell r="M503" t="str">
            <v>Albab Tani/Erwin</v>
          </cell>
          <cell r="N503" t="str">
            <v>Erwin Lufianto</v>
          </cell>
          <cell r="O503" t="str">
            <v>Dusun Sepuran RT.002/RW.018, Kel. Sumberjati, Kec. Silo</v>
          </cell>
          <cell r="P503" t="str">
            <v>Jember</v>
          </cell>
          <cell r="Q503" t="str">
            <v>Dusun Sepuran RT.002/RW.018, Kel. Sumberjati, Kec. Silo</v>
          </cell>
          <cell r="R503" t="str">
            <v>Jember</v>
          </cell>
          <cell r="S503" t="str">
            <v>L Kota1</v>
          </cell>
          <cell r="T503" t="str">
            <v>Wira</v>
          </cell>
          <cell r="U503">
            <v>30</v>
          </cell>
        </row>
        <row r="504">
          <cell r="E504" t="str">
            <v>T25001469</v>
          </cell>
          <cell r="F504"/>
          <cell r="G504">
            <v>20000000</v>
          </cell>
          <cell r="H504" t="str">
            <v>Yuyun</v>
          </cell>
          <cell r="I504" t="str">
            <v>Farida</v>
          </cell>
          <cell r="J504" t="str">
            <v>New 22/10/20</v>
          </cell>
          <cell r="K504" t="str">
            <v>KU</v>
          </cell>
          <cell r="L504" t="str">
            <v>ALBA03</v>
          </cell>
          <cell r="M504" t="str">
            <v>Albab Tani/Erwin</v>
          </cell>
          <cell r="N504" t="str">
            <v>Erwin Lufianto</v>
          </cell>
          <cell r="O504" t="str">
            <v>Dusun Sepuran RT.002/RW.018, Kel. Sumberjati, Kec. Silo</v>
          </cell>
          <cell r="P504" t="str">
            <v>Jember</v>
          </cell>
          <cell r="Q504" t="str">
            <v>Dusun Sepuran RT.002/RW.018, Kel. Sumberjati, Kec. Silo</v>
          </cell>
          <cell r="R504" t="str">
            <v>Jember</v>
          </cell>
          <cell r="S504" t="str">
            <v>L Kota1</v>
          </cell>
          <cell r="T504" t="str">
            <v>Wira</v>
          </cell>
          <cell r="U504">
            <v>60</v>
          </cell>
        </row>
        <row r="505">
          <cell r="E505" t="str">
            <v>B25013648</v>
          </cell>
          <cell r="F505"/>
          <cell r="G505">
            <v>20000000</v>
          </cell>
          <cell r="H505" t="str">
            <v>Yuyun</v>
          </cell>
          <cell r="I505" t="str">
            <v>Farida</v>
          </cell>
          <cell r="J505" t="str">
            <v>New 22/10/20</v>
          </cell>
          <cell r="K505" t="str">
            <v>KU</v>
          </cell>
          <cell r="L505" t="str">
            <v>ALBA03</v>
          </cell>
          <cell r="M505" t="str">
            <v>Albab Tani/Erwin</v>
          </cell>
          <cell r="N505" t="str">
            <v>Erwin Lufianto</v>
          </cell>
          <cell r="O505" t="str">
            <v>Dusun Sepuran RT.002/RW.018, Kel. Sumberjati, Kec. Silo</v>
          </cell>
          <cell r="P505" t="str">
            <v>Jember</v>
          </cell>
          <cell r="Q505" t="str">
            <v>Dusun Sepuran RT.002/RW.018, Kel. Sumberjati, Kec. Silo</v>
          </cell>
          <cell r="R505" t="str">
            <v>Jember</v>
          </cell>
          <cell r="S505" t="str">
            <v>L Kota1</v>
          </cell>
          <cell r="T505" t="str">
            <v>Wira</v>
          </cell>
          <cell r="U505">
            <v>30</v>
          </cell>
        </row>
        <row r="506">
          <cell r="E506" t="str">
            <v>B25013682</v>
          </cell>
          <cell r="F506"/>
          <cell r="G506">
            <v>20000000</v>
          </cell>
          <cell r="H506" t="str">
            <v>Yuyun</v>
          </cell>
          <cell r="I506" t="str">
            <v>Farida</v>
          </cell>
          <cell r="J506" t="str">
            <v>New 22/10/20</v>
          </cell>
          <cell r="K506" t="str">
            <v>KU</v>
          </cell>
          <cell r="L506" t="str">
            <v>ALBA03</v>
          </cell>
          <cell r="M506" t="str">
            <v>Albab Tani/Erwin</v>
          </cell>
          <cell r="N506" t="str">
            <v>Erwin Lufianto</v>
          </cell>
          <cell r="O506" t="str">
            <v>Dusun Sepuran RT.002/RW.018, Kel. Sumberjati, Kec. Silo</v>
          </cell>
          <cell r="P506" t="str">
            <v>Jember</v>
          </cell>
          <cell r="Q506" t="str">
            <v>Dusun Sepuran RT.002/RW.018, Kel. Sumberjati, Kec. Silo</v>
          </cell>
          <cell r="R506" t="str">
            <v>Jember</v>
          </cell>
          <cell r="S506" t="str">
            <v>L Kota1</v>
          </cell>
          <cell r="T506" t="str">
            <v>Wira</v>
          </cell>
          <cell r="U506">
            <v>30</v>
          </cell>
        </row>
        <row r="507">
          <cell r="E507" t="str">
            <v>T25001591</v>
          </cell>
          <cell r="F507"/>
          <cell r="G507">
            <v>20000000</v>
          </cell>
          <cell r="H507" t="str">
            <v>Yuyun</v>
          </cell>
          <cell r="I507" t="str">
            <v>Farida</v>
          </cell>
          <cell r="J507" t="str">
            <v>New 22/10/20</v>
          </cell>
          <cell r="K507" t="str">
            <v>KU</v>
          </cell>
          <cell r="L507" t="str">
            <v>ALBA03</v>
          </cell>
          <cell r="M507" t="str">
            <v>Albab Tani/Erwin</v>
          </cell>
          <cell r="N507" t="str">
            <v>Erwin Lufianto</v>
          </cell>
          <cell r="O507" t="str">
            <v>Dusun Sepuran RT.002/RW.018, Kel. Sumberjati, Kec. Silo</v>
          </cell>
          <cell r="P507" t="str">
            <v>Jember</v>
          </cell>
          <cell r="Q507" t="str">
            <v>Dusun Sepuran RT.002/RW.018, Kel. Sumberjati, Kec. Silo</v>
          </cell>
          <cell r="R507" t="str">
            <v>Jember</v>
          </cell>
          <cell r="S507" t="str">
            <v>L Kota1</v>
          </cell>
          <cell r="T507" t="str">
            <v>Wira</v>
          </cell>
          <cell r="U507">
            <v>60</v>
          </cell>
        </row>
        <row r="508">
          <cell r="E508" t="str">
            <v>R25000052</v>
          </cell>
          <cell r="F508"/>
          <cell r="G508">
            <v>1000</v>
          </cell>
          <cell r="H508" t="str">
            <v>Others</v>
          </cell>
          <cell r="I508" t="str">
            <v>Exclusive</v>
          </cell>
          <cell r="J508" t="str">
            <v>New 05/06/25</v>
          </cell>
          <cell r="K508" t="str">
            <v>KU</v>
          </cell>
          <cell r="L508" t="str">
            <v>ALFA07</v>
          </cell>
          <cell r="M508" t="str">
            <v>Alfa Beta Agrochemical, PT</v>
          </cell>
          <cell r="N508" t="str">
            <v>Alfa Beta Agrochemical, PT</v>
          </cell>
          <cell r="O508" t="str">
            <v xml:space="preserve">Jalan Jendral Sudirman No. 28 RT.014/RW.000 , Bendungan Hilir, Tanah Abang </v>
          </cell>
          <cell r="P508" t="str">
            <v>Jakarta</v>
          </cell>
          <cell r="Q508" t="str">
            <v xml:space="preserve">Jalan Jendral Sudirman No. 28 RT.014/RW.000 , Bendungan Hilir, Tanah Abang </v>
          </cell>
          <cell r="R508" t="str">
            <v>Jakarta</v>
          </cell>
          <cell r="S508" t="str">
            <v>I Jabar Jateng</v>
          </cell>
          <cell r="T508" t="str">
            <v>Non SE &amp; JSE</v>
          </cell>
          <cell r="U508">
            <v>0</v>
          </cell>
        </row>
        <row r="509">
          <cell r="E509" t="str">
            <v>R25000063</v>
          </cell>
          <cell r="F509"/>
          <cell r="G509">
            <v>1000</v>
          </cell>
          <cell r="H509" t="str">
            <v>Others</v>
          </cell>
          <cell r="I509" t="str">
            <v>Exclusive</v>
          </cell>
          <cell r="J509" t="str">
            <v>New 05/06/25</v>
          </cell>
          <cell r="K509" t="str">
            <v>KU</v>
          </cell>
          <cell r="L509" t="str">
            <v>ALFA07</v>
          </cell>
          <cell r="M509" t="str">
            <v>Alfa Beta Agrochemical, PT</v>
          </cell>
          <cell r="N509" t="str">
            <v>Alfa Beta Agrochemical, PT</v>
          </cell>
          <cell r="O509" t="str">
            <v xml:space="preserve">Jalan Jendral Sudirman No. 28 RT.014/RW.000 , Bendungan Hilir, Tanah Abang </v>
          </cell>
          <cell r="P509" t="str">
            <v>Jakarta</v>
          </cell>
          <cell r="Q509" t="str">
            <v xml:space="preserve">Jalan Jendral Sudirman No. 28 RT.014/RW.000 , Bendungan Hilir, Tanah Abang </v>
          </cell>
          <cell r="R509" t="str">
            <v>Jakarta</v>
          </cell>
          <cell r="S509" t="str">
            <v>I Jabar Jateng</v>
          </cell>
          <cell r="T509" t="str">
            <v>Non SE &amp; JSE</v>
          </cell>
          <cell r="U509">
            <v>0</v>
          </cell>
        </row>
        <row r="510">
          <cell r="E510" t="str">
            <v>R25000083</v>
          </cell>
          <cell r="F510"/>
          <cell r="G510">
            <v>1000</v>
          </cell>
          <cell r="H510" t="str">
            <v>Others</v>
          </cell>
          <cell r="I510" t="str">
            <v>Exclusive</v>
          </cell>
          <cell r="J510" t="str">
            <v>New 05/06/25</v>
          </cell>
          <cell r="K510" t="str">
            <v>KU</v>
          </cell>
          <cell r="L510" t="str">
            <v>ALFA07</v>
          </cell>
          <cell r="M510" t="str">
            <v>Alfa Beta Agrochemical, PT</v>
          </cell>
          <cell r="N510" t="str">
            <v>Alfa Beta Agrochemical, PT</v>
          </cell>
          <cell r="O510" t="str">
            <v xml:space="preserve">Jalan Jendral Sudirman No. 28 RT.014/RW.000 , Bendungan Hilir, Tanah Abang </v>
          </cell>
          <cell r="P510" t="str">
            <v>Jakarta</v>
          </cell>
          <cell r="Q510" t="str">
            <v xml:space="preserve">Jalan Jendral Sudirman No. 28 RT.014/RW.000 , Bendungan Hilir, Tanah Abang </v>
          </cell>
          <cell r="R510" t="str">
            <v>Jakarta</v>
          </cell>
          <cell r="S510" t="str">
            <v>I Jabar Jateng</v>
          </cell>
          <cell r="T510" t="str">
            <v>Non SE &amp; JSE</v>
          </cell>
          <cell r="U510">
            <v>15</v>
          </cell>
        </row>
        <row r="511">
          <cell r="E511" t="str">
            <v>R25000084</v>
          </cell>
          <cell r="F511"/>
          <cell r="G511">
            <v>1000</v>
          </cell>
          <cell r="H511" t="str">
            <v>Others</v>
          </cell>
          <cell r="I511" t="str">
            <v>Exclusive</v>
          </cell>
          <cell r="J511" t="str">
            <v>New 05/06/25</v>
          </cell>
          <cell r="K511" t="str">
            <v>KU</v>
          </cell>
          <cell r="L511" t="str">
            <v>ALFA07</v>
          </cell>
          <cell r="M511" t="str">
            <v>Alfa Beta Agrochemical, PT</v>
          </cell>
          <cell r="N511" t="str">
            <v>Alfa Beta Agrochemical, PT</v>
          </cell>
          <cell r="O511" t="str">
            <v xml:space="preserve">Jalan Jendral Sudirman No. 28 RT.014/RW.000 , Bendungan Hilir, Tanah Abang </v>
          </cell>
          <cell r="P511" t="str">
            <v>Jakarta</v>
          </cell>
          <cell r="Q511" t="str">
            <v xml:space="preserve">Jalan Jendral Sudirman No. 28 RT.014/RW.000 , Bendungan Hilir, Tanah Abang </v>
          </cell>
          <cell r="R511" t="str">
            <v>Jakarta</v>
          </cell>
          <cell r="S511" t="str">
            <v>I Jabar Jateng</v>
          </cell>
          <cell r="T511" t="str">
            <v>Non SE &amp; JSE</v>
          </cell>
          <cell r="U511">
            <v>15</v>
          </cell>
        </row>
        <row r="512">
          <cell r="E512" t="str">
            <v>T25001216</v>
          </cell>
          <cell r="F512"/>
          <cell r="G512">
            <v>150000000</v>
          </cell>
          <cell r="H512" t="str">
            <v>Zakia</v>
          </cell>
          <cell r="I512" t="str">
            <v>Tiya</v>
          </cell>
          <cell r="J512" t="str">
            <v>New 11/10/21</v>
          </cell>
          <cell r="K512" t="str">
            <v>KU, Tunai</v>
          </cell>
          <cell r="L512" t="str">
            <v>ALFA04</v>
          </cell>
          <cell r="M512" t="str">
            <v>Alfa Tani/Khabib</v>
          </cell>
          <cell r="N512" t="str">
            <v>Khabib Mustofa</v>
          </cell>
          <cell r="O512" t="str">
            <v>Glatik Klampisan RT.001/RW.002 Kel. Kandangan Kec. Kandangan</v>
          </cell>
          <cell r="P512" t="str">
            <v>Kediri</v>
          </cell>
          <cell r="Q512" t="str">
            <v>Jl Dsn Canggu RT.01/RW.05, Sidodadi, Canggu Kec Badas</v>
          </cell>
          <cell r="R512" t="str">
            <v>Kediri</v>
          </cell>
          <cell r="S512" t="str">
            <v>D Barat1</v>
          </cell>
          <cell r="T512" t="str">
            <v>Tomi</v>
          </cell>
          <cell r="U512">
            <v>60</v>
          </cell>
        </row>
        <row r="513">
          <cell r="E513" t="str">
            <v>B25012513</v>
          </cell>
          <cell r="F513"/>
          <cell r="G513">
            <v>150000000</v>
          </cell>
          <cell r="H513" t="str">
            <v>Zakia</v>
          </cell>
          <cell r="I513" t="str">
            <v>Tiya</v>
          </cell>
          <cell r="J513" t="str">
            <v>New 11/10/21</v>
          </cell>
          <cell r="K513" t="str">
            <v>KU, Tunai</v>
          </cell>
          <cell r="L513" t="str">
            <v>ALFA04</v>
          </cell>
          <cell r="M513" t="str">
            <v>Alfa Tani/Khabib</v>
          </cell>
          <cell r="N513" t="str">
            <v>Khabib Mustofa</v>
          </cell>
          <cell r="O513" t="str">
            <v>Glatik Klampisan RT.001/RW.002 Kel. Kandangan Kec. Kandangan</v>
          </cell>
          <cell r="P513" t="str">
            <v>Kediri</v>
          </cell>
          <cell r="Q513" t="str">
            <v>Jl Dsn Canggu RT.01/RW.05, Sidodadi, Canggu Kec Badas</v>
          </cell>
          <cell r="R513" t="str">
            <v>Kediri</v>
          </cell>
          <cell r="S513" t="str">
            <v>D Barat1</v>
          </cell>
          <cell r="T513" t="str">
            <v>Tomi</v>
          </cell>
          <cell r="U513">
            <v>0</v>
          </cell>
        </row>
        <row r="514">
          <cell r="E514" t="str">
            <v>B25012839</v>
          </cell>
          <cell r="F514"/>
          <cell r="G514">
            <v>150000000</v>
          </cell>
          <cell r="H514" t="str">
            <v>Zakia</v>
          </cell>
          <cell r="I514" t="str">
            <v>Tiya</v>
          </cell>
          <cell r="J514" t="str">
            <v>New 11/10/21</v>
          </cell>
          <cell r="K514" t="str">
            <v>KU, Tunai</v>
          </cell>
          <cell r="L514" t="str">
            <v>ALFA04</v>
          </cell>
          <cell r="M514" t="str">
            <v>Alfa Tani/Khabib</v>
          </cell>
          <cell r="N514" t="str">
            <v>Khabib Mustofa</v>
          </cell>
          <cell r="O514" t="str">
            <v>Glatik Klampisan RT.001/RW.002 Kel. Kandangan Kec. Kandangan</v>
          </cell>
          <cell r="P514" t="str">
            <v>Kediri</v>
          </cell>
          <cell r="Q514" t="str">
            <v>Jl Dsn Canggu RT.01/RW.05, Sidodadi, Canggu Kec Badas</v>
          </cell>
          <cell r="R514" t="str">
            <v>Kediri</v>
          </cell>
          <cell r="S514" t="str">
            <v>D Barat1</v>
          </cell>
          <cell r="T514" t="str">
            <v>Tomi</v>
          </cell>
          <cell r="U514">
            <v>0</v>
          </cell>
        </row>
        <row r="515">
          <cell r="E515" t="str">
            <v>D25015192</v>
          </cell>
          <cell r="F515"/>
          <cell r="G515">
            <v>150000000</v>
          </cell>
          <cell r="H515" t="str">
            <v>Zakia</v>
          </cell>
          <cell r="I515" t="str">
            <v>Tiya</v>
          </cell>
          <cell r="J515" t="str">
            <v>New 11/10/21</v>
          </cell>
          <cell r="K515" t="str">
            <v>KU, Tunai</v>
          </cell>
          <cell r="L515" t="str">
            <v>ALFA04</v>
          </cell>
          <cell r="M515" t="str">
            <v>Alfa Tani/Khabib</v>
          </cell>
          <cell r="N515" t="str">
            <v>Khabib Mustofa</v>
          </cell>
          <cell r="O515" t="str">
            <v>Glatik Klampisan RT.001/RW.002 Kel. Kandangan Kec. Kandangan</v>
          </cell>
          <cell r="P515" t="str">
            <v>Kediri</v>
          </cell>
          <cell r="Q515" t="str">
            <v>Jl Dsn Canggu RT.01/RW.05, Sidodadi, Canggu Kec Badas</v>
          </cell>
          <cell r="R515" t="str">
            <v>Kediri</v>
          </cell>
          <cell r="S515" t="str">
            <v>D Barat1</v>
          </cell>
          <cell r="T515" t="str">
            <v>Tomi</v>
          </cell>
          <cell r="U515">
            <v>14</v>
          </cell>
        </row>
        <row r="516">
          <cell r="E516" t="str">
            <v>D25015192</v>
          </cell>
          <cell r="F516"/>
          <cell r="G516">
            <v>150000000</v>
          </cell>
          <cell r="H516" t="str">
            <v>Zakia</v>
          </cell>
          <cell r="I516" t="str">
            <v>Tiya</v>
          </cell>
          <cell r="J516" t="str">
            <v>New 11/10/21</v>
          </cell>
          <cell r="K516" t="str">
            <v>KU, Tunai</v>
          </cell>
          <cell r="L516" t="str">
            <v>ALFA04</v>
          </cell>
          <cell r="M516" t="str">
            <v>Alfa Tani/Khabib</v>
          </cell>
          <cell r="N516" t="str">
            <v>Khabib Mustofa</v>
          </cell>
          <cell r="O516" t="str">
            <v>Glatik Klampisan RT.001/RW.002 Kel. Kandangan Kec. Kandangan</v>
          </cell>
          <cell r="P516" t="str">
            <v>Kediri</v>
          </cell>
          <cell r="Q516" t="str">
            <v>Jl Dsn Canggu RT.01/RW.05, Sidodadi, Canggu Kec Badas</v>
          </cell>
          <cell r="R516" t="str">
            <v>Kediri</v>
          </cell>
          <cell r="S516" t="str">
            <v>D Barat1</v>
          </cell>
          <cell r="T516" t="str">
            <v>Tomi</v>
          </cell>
          <cell r="U516">
            <v>14</v>
          </cell>
        </row>
        <row r="517">
          <cell r="E517" t="str">
            <v>B25013186</v>
          </cell>
          <cell r="F517"/>
          <cell r="G517">
            <v>150000000</v>
          </cell>
          <cell r="H517" t="str">
            <v>Zakia</v>
          </cell>
          <cell r="I517" t="str">
            <v>Tiya</v>
          </cell>
          <cell r="J517" t="str">
            <v>New 11/10/21</v>
          </cell>
          <cell r="K517" t="str">
            <v>KU, Tunai</v>
          </cell>
          <cell r="L517" t="str">
            <v>ALFA04</v>
          </cell>
          <cell r="M517" t="str">
            <v>Alfa Tani/Khabib</v>
          </cell>
          <cell r="N517" t="str">
            <v>Khabib Mustofa</v>
          </cell>
          <cell r="O517" t="str">
            <v>Glatik Klampisan RT.001/RW.002 Kel. Kandangan Kec. Kandangan</v>
          </cell>
          <cell r="P517" t="str">
            <v>Kediri</v>
          </cell>
          <cell r="Q517" t="str">
            <v>Jl Dsn Canggu RT.01/RW.05, Sidodadi, Canggu Kec Badas</v>
          </cell>
          <cell r="R517" t="str">
            <v>Kediri</v>
          </cell>
          <cell r="S517" t="str">
            <v>D Barat1</v>
          </cell>
          <cell r="T517" t="str">
            <v>Tomi</v>
          </cell>
          <cell r="U517">
            <v>0</v>
          </cell>
        </row>
        <row r="518">
          <cell r="E518" t="str">
            <v>B25013187</v>
          </cell>
          <cell r="F518"/>
          <cell r="G518">
            <v>150000000</v>
          </cell>
          <cell r="H518" t="str">
            <v>Zakia</v>
          </cell>
          <cell r="I518" t="str">
            <v>Tiya</v>
          </cell>
          <cell r="J518" t="str">
            <v>New 11/10/21</v>
          </cell>
          <cell r="K518" t="str">
            <v>KU, Tunai</v>
          </cell>
          <cell r="L518" t="str">
            <v>ALFA04</v>
          </cell>
          <cell r="M518" t="str">
            <v>Alfa Tani/Khabib</v>
          </cell>
          <cell r="N518" t="str">
            <v>Khabib Mustofa</v>
          </cell>
          <cell r="O518" t="str">
            <v>Glatik Klampisan RT.001/RW.002 Kel. Kandangan Kec. Kandangan</v>
          </cell>
          <cell r="P518" t="str">
            <v>Kediri</v>
          </cell>
          <cell r="Q518" t="str">
            <v>Jl Dsn Canggu RT.01/RW.05, Sidodadi, Canggu Kec Badas</v>
          </cell>
          <cell r="R518" t="str">
            <v>Kediri</v>
          </cell>
          <cell r="S518" t="str">
            <v>D Barat1</v>
          </cell>
          <cell r="T518" t="str">
            <v>Tomi</v>
          </cell>
          <cell r="U518">
            <v>0</v>
          </cell>
        </row>
        <row r="519">
          <cell r="E519" t="str">
            <v>D25016045</v>
          </cell>
          <cell r="F519"/>
          <cell r="G519">
            <v>150000000</v>
          </cell>
          <cell r="H519" t="str">
            <v>Zakia</v>
          </cell>
          <cell r="I519" t="str">
            <v>Tiya</v>
          </cell>
          <cell r="J519" t="str">
            <v>New 11/10/21</v>
          </cell>
          <cell r="K519" t="str">
            <v>KU, Tunai</v>
          </cell>
          <cell r="L519" t="str">
            <v>ALFA04</v>
          </cell>
          <cell r="M519" t="str">
            <v>Alfa Tani/Khabib</v>
          </cell>
          <cell r="N519" t="str">
            <v>Khabib Mustofa</v>
          </cell>
          <cell r="O519" t="str">
            <v>Glatik Klampisan RT.001/RW.002 Kel. Kandangan Kec. Kandangan</v>
          </cell>
          <cell r="P519" t="str">
            <v>Kediri</v>
          </cell>
          <cell r="Q519" t="str">
            <v>Jl Dsn Canggu RT.01/RW.05, Sidodadi, Canggu Kec Badas</v>
          </cell>
          <cell r="R519" t="str">
            <v>Kediri</v>
          </cell>
          <cell r="S519" t="str">
            <v>D Barat1</v>
          </cell>
          <cell r="T519" t="str">
            <v>Tomi</v>
          </cell>
          <cell r="U519">
            <v>0</v>
          </cell>
        </row>
        <row r="520">
          <cell r="E520" t="str">
            <v>D25016155</v>
          </cell>
          <cell r="F520"/>
          <cell r="G520">
            <v>150000000</v>
          </cell>
          <cell r="H520" t="str">
            <v>Zakia</v>
          </cell>
          <cell r="I520" t="str">
            <v>Tiya</v>
          </cell>
          <cell r="J520" t="str">
            <v>New 11/10/21</v>
          </cell>
          <cell r="K520" t="str">
            <v>KU, Tunai</v>
          </cell>
          <cell r="L520" t="str">
            <v>ALFA04</v>
          </cell>
          <cell r="M520" t="str">
            <v>Alfa Tani/Khabib</v>
          </cell>
          <cell r="N520" t="str">
            <v>Khabib Mustofa</v>
          </cell>
          <cell r="O520" t="str">
            <v>Glatik Klampisan RT.001/RW.002 Kel. Kandangan Kec. Kandangan</v>
          </cell>
          <cell r="P520" t="str">
            <v>Kediri</v>
          </cell>
          <cell r="Q520" t="str">
            <v>Jl Dsn Canggu RT.01/RW.05, Sidodadi, Canggu Kec Badas</v>
          </cell>
          <cell r="R520" t="str">
            <v>Kediri</v>
          </cell>
          <cell r="S520" t="str">
            <v>D Barat1</v>
          </cell>
          <cell r="T520" t="str">
            <v>Tomi</v>
          </cell>
          <cell r="U520">
            <v>14</v>
          </cell>
        </row>
        <row r="521">
          <cell r="E521" t="str">
            <v>D25016167</v>
          </cell>
          <cell r="F521"/>
          <cell r="G521">
            <v>150000000</v>
          </cell>
          <cell r="H521" t="str">
            <v>Zakia</v>
          </cell>
          <cell r="I521" t="str">
            <v>Tiya</v>
          </cell>
          <cell r="J521" t="str">
            <v>New 11/10/21</v>
          </cell>
          <cell r="K521" t="str">
            <v>KU, Tunai</v>
          </cell>
          <cell r="L521" t="str">
            <v>ALFA04</v>
          </cell>
          <cell r="M521" t="str">
            <v>Alfa Tani/Khabib</v>
          </cell>
          <cell r="N521" t="str">
            <v>Khabib Mustofa</v>
          </cell>
          <cell r="O521" t="str">
            <v>Glatik Klampisan RT.001/RW.002 Kel. Kandangan Kec. Kandangan</v>
          </cell>
          <cell r="P521" t="str">
            <v>Kediri</v>
          </cell>
          <cell r="Q521" t="str">
            <v>Jl Dsn Canggu RT.01/RW.05, Sidodadi, Canggu Kec Badas</v>
          </cell>
          <cell r="R521" t="str">
            <v>Kediri</v>
          </cell>
          <cell r="S521" t="str">
            <v>D Barat1</v>
          </cell>
          <cell r="T521" t="str">
            <v>Tomi</v>
          </cell>
          <cell r="U521">
            <v>0</v>
          </cell>
        </row>
        <row r="522">
          <cell r="E522" t="str">
            <v>D25016211</v>
          </cell>
          <cell r="F522"/>
          <cell r="G522">
            <v>150000000</v>
          </cell>
          <cell r="H522" t="str">
            <v>Zakia</v>
          </cell>
          <cell r="I522" t="str">
            <v>Tiya</v>
          </cell>
          <cell r="J522" t="str">
            <v>New 11/10/21</v>
          </cell>
          <cell r="K522" t="str">
            <v>KU, Tunai</v>
          </cell>
          <cell r="L522" t="str">
            <v>ALFA04</v>
          </cell>
          <cell r="M522" t="str">
            <v>Alfa Tani/Khabib</v>
          </cell>
          <cell r="N522" t="str">
            <v>Khabib Mustofa</v>
          </cell>
          <cell r="O522" t="str">
            <v>Glatik Klampisan RT.001/RW.002 Kel. Kandangan Kec. Kandangan</v>
          </cell>
          <cell r="P522" t="str">
            <v>Kediri</v>
          </cell>
          <cell r="Q522" t="str">
            <v>Jl Dsn Canggu RT.01/RW.05, Sidodadi, Canggu Kec Badas</v>
          </cell>
          <cell r="R522" t="str">
            <v>Kediri</v>
          </cell>
          <cell r="S522" t="str">
            <v>D Barat1</v>
          </cell>
          <cell r="T522" t="str">
            <v>Tomi</v>
          </cell>
          <cell r="U522">
            <v>0</v>
          </cell>
        </row>
        <row r="523">
          <cell r="E523" t="str">
            <v>D25016215</v>
          </cell>
          <cell r="F523"/>
          <cell r="G523">
            <v>150000000</v>
          </cell>
          <cell r="H523" t="str">
            <v>Zakia</v>
          </cell>
          <cell r="I523" t="str">
            <v>Tiya</v>
          </cell>
          <cell r="J523" t="str">
            <v>New 11/10/21</v>
          </cell>
          <cell r="K523" t="str">
            <v>KU, Tunai</v>
          </cell>
          <cell r="L523" t="str">
            <v>ALFA04</v>
          </cell>
          <cell r="M523" t="str">
            <v>Alfa Tani/Khabib</v>
          </cell>
          <cell r="N523" t="str">
            <v>Khabib Mustofa</v>
          </cell>
          <cell r="O523" t="str">
            <v>Glatik Klampisan RT.001/RW.002 Kel. Kandangan Kec. Kandangan</v>
          </cell>
          <cell r="P523" t="str">
            <v>Kediri</v>
          </cell>
          <cell r="Q523" t="str">
            <v>Jl Dsn Canggu RT.01/RW.05, Sidodadi, Canggu Kec Badas</v>
          </cell>
          <cell r="R523" t="str">
            <v>Kediri</v>
          </cell>
          <cell r="S523" t="str">
            <v>D Barat1</v>
          </cell>
          <cell r="T523" t="str">
            <v>Tomi</v>
          </cell>
          <cell r="U523">
            <v>0</v>
          </cell>
        </row>
        <row r="524">
          <cell r="E524" t="str">
            <v>B25001009</v>
          </cell>
          <cell r="F524"/>
          <cell r="G524">
            <v>1000</v>
          </cell>
          <cell r="H524" t="str">
            <v>Others</v>
          </cell>
          <cell r="I524" t="str">
            <v>Exclusive</v>
          </cell>
          <cell r="J524" t="str">
            <v>New 21/01/25</v>
          </cell>
          <cell r="K524" t="str">
            <v>KU</v>
          </cell>
          <cell r="L524" t="str">
            <v>ALIF03</v>
          </cell>
          <cell r="M524" t="str">
            <v>Alif/KIU</v>
          </cell>
          <cell r="N524" t="str">
            <v>Allif Fatun Nasu Allifin</v>
          </cell>
          <cell r="O524" t="str">
            <v>Jember</v>
          </cell>
          <cell r="P524" t="str">
            <v>Jember</v>
          </cell>
          <cell r="Q524" t="str">
            <v>Jember</v>
          </cell>
          <cell r="R524" t="str">
            <v>Jember</v>
          </cell>
          <cell r="S524" t="str">
            <v>B Agronomis</v>
          </cell>
          <cell r="T524" t="str">
            <v>Hafid</v>
          </cell>
          <cell r="U524">
            <v>0</v>
          </cell>
        </row>
        <row r="525">
          <cell r="E525" t="str">
            <v>B25001010</v>
          </cell>
          <cell r="F525"/>
          <cell r="G525">
            <v>1000</v>
          </cell>
          <cell r="H525" t="str">
            <v>Others</v>
          </cell>
          <cell r="I525" t="str">
            <v>Exclusive</v>
          </cell>
          <cell r="J525" t="str">
            <v>New 21/01/25</v>
          </cell>
          <cell r="K525" t="str">
            <v>KU</v>
          </cell>
          <cell r="L525" t="str">
            <v>ALIF03</v>
          </cell>
          <cell r="M525" t="str">
            <v>Alif/KIU</v>
          </cell>
          <cell r="N525" t="str">
            <v>Allif Fatun Nasu Allifin</v>
          </cell>
          <cell r="O525" t="str">
            <v>Jember</v>
          </cell>
          <cell r="P525" t="str">
            <v>Jember</v>
          </cell>
          <cell r="Q525" t="str">
            <v>Jember</v>
          </cell>
          <cell r="R525" t="str">
            <v>Jember</v>
          </cell>
          <cell r="S525" t="str">
            <v>B Agronomis</v>
          </cell>
          <cell r="T525" t="str">
            <v>Hafid</v>
          </cell>
          <cell r="U525">
            <v>0</v>
          </cell>
        </row>
        <row r="526">
          <cell r="E526" t="str">
            <v>B25001010</v>
          </cell>
          <cell r="F526"/>
          <cell r="G526">
            <v>1000</v>
          </cell>
          <cell r="H526" t="str">
            <v>Others</v>
          </cell>
          <cell r="I526" t="str">
            <v>Exclusive</v>
          </cell>
          <cell r="J526" t="str">
            <v>New 21/01/25</v>
          </cell>
          <cell r="K526" t="str">
            <v>KU</v>
          </cell>
          <cell r="L526" t="str">
            <v>ALIF03</v>
          </cell>
          <cell r="M526" t="str">
            <v>Alif/KIU</v>
          </cell>
          <cell r="N526" t="str">
            <v>Allif Fatun Nasu Allifin</v>
          </cell>
          <cell r="O526" t="str">
            <v>Jember</v>
          </cell>
          <cell r="P526" t="str">
            <v>Jember</v>
          </cell>
          <cell r="Q526" t="str">
            <v>Jember</v>
          </cell>
          <cell r="R526" t="str">
            <v>Jember</v>
          </cell>
          <cell r="S526" t="str">
            <v>B Agronomis</v>
          </cell>
          <cell r="T526" t="str">
            <v>Hafid</v>
          </cell>
          <cell r="U526">
            <v>0</v>
          </cell>
        </row>
        <row r="527">
          <cell r="E527" t="str">
            <v>B25001010</v>
          </cell>
          <cell r="F527"/>
          <cell r="G527">
            <v>1000</v>
          </cell>
          <cell r="H527" t="str">
            <v>Others</v>
          </cell>
          <cell r="I527" t="str">
            <v>Exclusive</v>
          </cell>
          <cell r="J527" t="str">
            <v>New 21/01/25</v>
          </cell>
          <cell r="K527" t="str">
            <v>KU</v>
          </cell>
          <cell r="L527" t="str">
            <v>ALIF03</v>
          </cell>
          <cell r="M527" t="str">
            <v>Alif/KIU</v>
          </cell>
          <cell r="N527" t="str">
            <v>Allif Fatun Nasu Allifin</v>
          </cell>
          <cell r="O527" t="str">
            <v>Jember</v>
          </cell>
          <cell r="P527" t="str">
            <v>Jember</v>
          </cell>
          <cell r="Q527" t="str">
            <v>Jember</v>
          </cell>
          <cell r="R527" t="str">
            <v>Jember</v>
          </cell>
          <cell r="S527" t="str">
            <v>B Agronomis</v>
          </cell>
          <cell r="T527" t="str">
            <v>Hafid</v>
          </cell>
          <cell r="U527">
            <v>0</v>
          </cell>
        </row>
        <row r="528">
          <cell r="E528" t="str">
            <v>Z25002564</v>
          </cell>
          <cell r="F528"/>
          <cell r="G528">
            <v>100000000</v>
          </cell>
          <cell r="H528" t="str">
            <v>Reni</v>
          </cell>
          <cell r="I528" t="str">
            <v>Farida</v>
          </cell>
          <cell r="J528" t="str">
            <v>New 30/11/20</v>
          </cell>
          <cell r="K528" t="str">
            <v>KU</v>
          </cell>
          <cell r="L528" t="str">
            <v>ALIM01</v>
          </cell>
          <cell r="M528" t="str">
            <v>Alimubro</v>
          </cell>
          <cell r="N528" t="str">
            <v>Alimubro</v>
          </cell>
          <cell r="O528" t="str">
            <v>Dusun Brumbung RT.005/RW.006,Kel. Gunungsari, Kec. Bumiaji</v>
          </cell>
          <cell r="P528" t="str">
            <v>Batu</v>
          </cell>
          <cell r="Q528" t="str">
            <v>Dusun Brumbung RT.005/RW.006,Kel. Gunungsari, Kec. Bumiaji</v>
          </cell>
          <cell r="R528" t="str">
            <v>Batu</v>
          </cell>
          <cell r="S528" t="str">
            <v>F Utara1</v>
          </cell>
          <cell r="T528" t="str">
            <v>Tomi</v>
          </cell>
          <cell r="U528">
            <v>0</v>
          </cell>
        </row>
        <row r="529">
          <cell r="E529" t="str">
            <v>Z25002577</v>
          </cell>
          <cell r="F529"/>
          <cell r="G529">
            <v>100000000</v>
          </cell>
          <cell r="H529" t="str">
            <v>Reni</v>
          </cell>
          <cell r="I529" t="str">
            <v>Farida</v>
          </cell>
          <cell r="J529" t="str">
            <v>New 30/11/20</v>
          </cell>
          <cell r="K529" t="str">
            <v>KU</v>
          </cell>
          <cell r="L529" t="str">
            <v>ALIM01</v>
          </cell>
          <cell r="M529" t="str">
            <v>Alimubro</v>
          </cell>
          <cell r="N529" t="str">
            <v>Alimubro</v>
          </cell>
          <cell r="O529" t="str">
            <v>Dusun Brumbung RT.005/RW.006,Kel. Gunungsari, Kec. Bumiaji</v>
          </cell>
          <cell r="P529" t="str">
            <v>Batu</v>
          </cell>
          <cell r="Q529" t="str">
            <v>Dusun Brumbung RT.005/RW.006,Kel. Gunungsari, Kec. Bumiaji</v>
          </cell>
          <cell r="R529" t="str">
            <v>Batu</v>
          </cell>
          <cell r="S529" t="str">
            <v>F Utara1</v>
          </cell>
          <cell r="T529" t="str">
            <v>Tomi</v>
          </cell>
          <cell r="U529">
            <v>0</v>
          </cell>
        </row>
        <row r="530">
          <cell r="E530" t="str">
            <v>Z25002812</v>
          </cell>
          <cell r="F530"/>
          <cell r="G530">
            <v>100000000</v>
          </cell>
          <cell r="H530" t="str">
            <v>Reni</v>
          </cell>
          <cell r="I530" t="str">
            <v>Farida</v>
          </cell>
          <cell r="J530" t="str">
            <v>New 30/11/20</v>
          </cell>
          <cell r="K530" t="str">
            <v>KU</v>
          </cell>
          <cell r="L530" t="str">
            <v>ALIM01</v>
          </cell>
          <cell r="M530" t="str">
            <v>Alimubro</v>
          </cell>
          <cell r="N530" t="str">
            <v>Alimubro</v>
          </cell>
          <cell r="O530" t="str">
            <v>Dusun Brumbung RT.005/RW.006,Kel. Gunungsari, Kec. Bumiaji</v>
          </cell>
          <cell r="P530" t="str">
            <v>Batu</v>
          </cell>
          <cell r="Q530" t="str">
            <v>Dusun Brumbung RT.005/RW.006,Kel. Gunungsari, Kec. Bumiaji</v>
          </cell>
          <cell r="R530" t="str">
            <v>Batu</v>
          </cell>
          <cell r="S530" t="str">
            <v>F Utara1</v>
          </cell>
          <cell r="T530" t="str">
            <v>Tomi</v>
          </cell>
          <cell r="U530">
            <v>0</v>
          </cell>
        </row>
        <row r="531">
          <cell r="E531" t="str">
            <v>B25010925</v>
          </cell>
          <cell r="F531"/>
          <cell r="G531">
            <v>15000000</v>
          </cell>
          <cell r="H531" t="str">
            <v>Zakia</v>
          </cell>
          <cell r="I531" t="str">
            <v>Tiya</v>
          </cell>
          <cell r="J531" t="str">
            <v>New 13/05/20</v>
          </cell>
          <cell r="K531" t="str">
            <v>KU</v>
          </cell>
          <cell r="L531" t="str">
            <v>ALIS01</v>
          </cell>
          <cell r="M531" t="str">
            <v>Alisa, UD</v>
          </cell>
          <cell r="N531" t="str">
            <v>Ana Lisnawati</v>
          </cell>
          <cell r="O531" t="str">
            <v>Dsn. Sagi, RT.002/RW.007 Jarak, Plosok Laten, Kab. Kediri</v>
          </cell>
          <cell r="P531" t="str">
            <v>Kediri</v>
          </cell>
          <cell r="Q531" t="str">
            <v>Dsn. Sagi, RT.002/RW.007 Jarak, Plosok Laten, Kab. Kediri</v>
          </cell>
          <cell r="R531" t="str">
            <v>Kediri</v>
          </cell>
          <cell r="S531" t="str">
            <v>D Barat1</v>
          </cell>
          <cell r="T531" t="str">
            <v>Tomi</v>
          </cell>
          <cell r="U531">
            <v>30</v>
          </cell>
        </row>
        <row r="532">
          <cell r="E532" t="str">
            <v>Z25001929</v>
          </cell>
          <cell r="F532"/>
          <cell r="G532">
            <v>250000000</v>
          </cell>
          <cell r="H532" t="str">
            <v>Yuyun</v>
          </cell>
          <cell r="I532" t="str">
            <v>Farida</v>
          </cell>
          <cell r="J532" t="str">
            <v>New 19/07/24</v>
          </cell>
          <cell r="K532" t="str">
            <v>KU</v>
          </cell>
          <cell r="L532" t="str">
            <v>ALME01</v>
          </cell>
          <cell r="M532" t="str">
            <v>Almeera Tani/Alif</v>
          </cell>
          <cell r="N532" t="str">
            <v>Alif Mualifah</v>
          </cell>
          <cell r="O532" t="str">
            <v>Jl. Budi Utomo RT.003/RW.003, Kel. Ronowijayan, Kec. Siman</v>
          </cell>
          <cell r="P532" t="str">
            <v>Ponorogo</v>
          </cell>
          <cell r="Q532" t="str">
            <v>Kranjingan, Sumbersari</v>
          </cell>
          <cell r="R532" t="str">
            <v>Jember</v>
          </cell>
          <cell r="S532" t="str">
            <v>L Kota1</v>
          </cell>
          <cell r="T532" t="str">
            <v>Wira</v>
          </cell>
          <cell r="U532">
            <v>30</v>
          </cell>
        </row>
        <row r="533">
          <cell r="E533" t="str">
            <v>Z25002296</v>
          </cell>
          <cell r="F533"/>
          <cell r="G533">
            <v>250000000</v>
          </cell>
          <cell r="H533" t="str">
            <v>Yuyun</v>
          </cell>
          <cell r="I533" t="str">
            <v>Farida</v>
          </cell>
          <cell r="J533" t="str">
            <v>New 19/07/24</v>
          </cell>
          <cell r="K533" t="str">
            <v>KU</v>
          </cell>
          <cell r="L533" t="str">
            <v>ALME01</v>
          </cell>
          <cell r="M533" t="str">
            <v>Almeera Tani/Alif</v>
          </cell>
          <cell r="N533" t="str">
            <v>Alif Mualifah</v>
          </cell>
          <cell r="O533" t="str">
            <v>Jl. Budi Utomo RT.003/RW.003, Kel. Ronowijayan, Kec. Siman</v>
          </cell>
          <cell r="P533" t="str">
            <v>Ponorogo</v>
          </cell>
          <cell r="Q533" t="str">
            <v>Kranjingan, Sumbersari</v>
          </cell>
          <cell r="R533" t="str">
            <v>Jember</v>
          </cell>
          <cell r="S533" t="str">
            <v>L Kota1</v>
          </cell>
          <cell r="T533" t="str">
            <v>Wira</v>
          </cell>
          <cell r="U533">
            <v>30</v>
          </cell>
        </row>
        <row r="534">
          <cell r="E534" t="str">
            <v>Z25002497</v>
          </cell>
          <cell r="F534"/>
          <cell r="G534">
            <v>250000000</v>
          </cell>
          <cell r="H534" t="str">
            <v>Yuyun</v>
          </cell>
          <cell r="I534" t="str">
            <v>Farida</v>
          </cell>
          <cell r="J534" t="str">
            <v>New 19/07/24</v>
          </cell>
          <cell r="K534" t="str">
            <v>KU</v>
          </cell>
          <cell r="L534" t="str">
            <v>ALME01</v>
          </cell>
          <cell r="M534" t="str">
            <v>Almeera Tani/Alif</v>
          </cell>
          <cell r="N534" t="str">
            <v>Alif Mualifah</v>
          </cell>
          <cell r="O534" t="str">
            <v>Jl. Budi Utomo RT.003/RW.003, Kel. Ronowijayan, Kec. Siman</v>
          </cell>
          <cell r="P534" t="str">
            <v>Ponorogo</v>
          </cell>
          <cell r="Q534" t="str">
            <v>Kranjingan, Sumbersari</v>
          </cell>
          <cell r="R534" t="str">
            <v>Jember</v>
          </cell>
          <cell r="S534" t="str">
            <v>L Kota1</v>
          </cell>
          <cell r="T534" t="str">
            <v>Wira</v>
          </cell>
          <cell r="U534">
            <v>30</v>
          </cell>
        </row>
        <row r="535">
          <cell r="E535" t="str">
            <v>Z25002739</v>
          </cell>
          <cell r="F535"/>
          <cell r="G535">
            <v>250000000</v>
          </cell>
          <cell r="H535" t="str">
            <v>Yuyun</v>
          </cell>
          <cell r="I535" t="str">
            <v>Farida</v>
          </cell>
          <cell r="J535" t="str">
            <v>New 19/07/24</v>
          </cell>
          <cell r="K535" t="str">
            <v>KU</v>
          </cell>
          <cell r="L535" t="str">
            <v>ALME01</v>
          </cell>
          <cell r="M535" t="str">
            <v>Almeera Tani/Alif</v>
          </cell>
          <cell r="N535" t="str">
            <v>Alif Mualifah</v>
          </cell>
          <cell r="O535" t="str">
            <v>Jl. Budi Utomo RT.003/RW.003, Kel. Ronowijayan, Kec. Siman</v>
          </cell>
          <cell r="P535" t="str">
            <v>Ponorogo</v>
          </cell>
          <cell r="Q535" t="str">
            <v>Kranjingan, Sumbersari</v>
          </cell>
          <cell r="R535" t="str">
            <v>Jember</v>
          </cell>
          <cell r="S535" t="str">
            <v>L Kota1</v>
          </cell>
          <cell r="T535" t="str">
            <v>Wira</v>
          </cell>
          <cell r="U535">
            <v>30</v>
          </cell>
        </row>
        <row r="536">
          <cell r="E536" t="str">
            <v>D25012114</v>
          </cell>
          <cell r="F536"/>
          <cell r="G536">
            <v>150000000</v>
          </cell>
          <cell r="H536" t="str">
            <v>Reni</v>
          </cell>
          <cell r="I536" t="str">
            <v>Fira</v>
          </cell>
          <cell r="J536" t="str">
            <v>New 28/11/19</v>
          </cell>
          <cell r="K536" t="str">
            <v>KU, Tunai</v>
          </cell>
          <cell r="L536" t="str">
            <v>ALVA01</v>
          </cell>
          <cell r="M536" t="str">
            <v>Alvan Tani</v>
          </cell>
          <cell r="N536" t="str">
            <v>Karyono</v>
          </cell>
          <cell r="O536" t="str">
            <v>Dsn. Banguran, RT.006/RW.002 Kel. Sembungrejo, Kec. Plumpang</v>
          </cell>
          <cell r="P536" t="str">
            <v>Tuban</v>
          </cell>
          <cell r="Q536" t="str">
            <v>Dsn. Banguran, RT.006/RW.002 Kel. Sembungrejo, Kec. Plumpang</v>
          </cell>
          <cell r="R536" t="str">
            <v>Tuban</v>
          </cell>
          <cell r="S536" t="str">
            <v>F Utara1</v>
          </cell>
          <cell r="T536" t="str">
            <v>Dian</v>
          </cell>
          <cell r="U536">
            <v>60</v>
          </cell>
        </row>
        <row r="537">
          <cell r="E537" t="str">
            <v>B25010941</v>
          </cell>
          <cell r="F537"/>
          <cell r="G537">
            <v>150000000</v>
          </cell>
          <cell r="H537" t="str">
            <v>Reni</v>
          </cell>
          <cell r="I537" t="str">
            <v>Fira</v>
          </cell>
          <cell r="J537" t="str">
            <v>New 28/11/19</v>
          </cell>
          <cell r="K537" t="str">
            <v>KU, Tunai</v>
          </cell>
          <cell r="L537" t="str">
            <v>ALVA01</v>
          </cell>
          <cell r="M537" t="str">
            <v>Alvan Tani</v>
          </cell>
          <cell r="N537" t="str">
            <v>Karyono</v>
          </cell>
          <cell r="O537" t="str">
            <v>Dsn. Banguran, RT.006/RW.002 Kel. Sembungrejo, Kec. Plumpang</v>
          </cell>
          <cell r="P537" t="str">
            <v>Tuban</v>
          </cell>
          <cell r="Q537" t="str">
            <v>Dsn. Banguran, RT.006/RW.002 Kel. Sembungrejo, Kec. Plumpang</v>
          </cell>
          <cell r="R537" t="str">
            <v>Tuban</v>
          </cell>
          <cell r="S537" t="str">
            <v>F Utara1</v>
          </cell>
          <cell r="T537" t="str">
            <v>Dian</v>
          </cell>
          <cell r="U537">
            <v>60</v>
          </cell>
        </row>
        <row r="538">
          <cell r="E538" t="str">
            <v>T25001319</v>
          </cell>
          <cell r="F538"/>
          <cell r="G538">
            <v>150000000</v>
          </cell>
          <cell r="H538" t="str">
            <v>Reni</v>
          </cell>
          <cell r="I538" t="str">
            <v>Fira</v>
          </cell>
          <cell r="J538" t="str">
            <v>New 28/11/19</v>
          </cell>
          <cell r="K538" t="str">
            <v>KU, Tunai</v>
          </cell>
          <cell r="L538" t="str">
            <v>ALVA01</v>
          </cell>
          <cell r="M538" t="str">
            <v>Alvan Tani</v>
          </cell>
          <cell r="N538" t="str">
            <v>Karyono</v>
          </cell>
          <cell r="O538" t="str">
            <v>Dsn. Banguran, RT.006/RW.002 Kel. Sembungrejo, Kec. Plumpang</v>
          </cell>
          <cell r="P538" t="str">
            <v>Tuban</v>
          </cell>
          <cell r="Q538" t="str">
            <v>Dsn. Banguran, RT.006/RW.002 Kel. Sembungrejo, Kec. Plumpang</v>
          </cell>
          <cell r="R538" t="str">
            <v>Tuban</v>
          </cell>
          <cell r="S538" t="str">
            <v>F Utara1</v>
          </cell>
          <cell r="T538" t="str">
            <v>Dian</v>
          </cell>
          <cell r="U538">
            <v>60</v>
          </cell>
        </row>
        <row r="539">
          <cell r="E539" t="str">
            <v>D25013511</v>
          </cell>
          <cell r="F539"/>
          <cell r="G539">
            <v>150000000</v>
          </cell>
          <cell r="H539" t="str">
            <v>Reni</v>
          </cell>
          <cell r="I539" t="str">
            <v>Fira</v>
          </cell>
          <cell r="J539" t="str">
            <v>New 28/11/19</v>
          </cell>
          <cell r="K539" t="str">
            <v>KU, Tunai</v>
          </cell>
          <cell r="L539" t="str">
            <v>ALVA01</v>
          </cell>
          <cell r="M539" t="str">
            <v>Alvan Tani</v>
          </cell>
          <cell r="N539" t="str">
            <v>Karyono</v>
          </cell>
          <cell r="O539" t="str">
            <v>Dsn. Banguran, RT.006/RW.002 Kel. Sembungrejo, Kec. Plumpang</v>
          </cell>
          <cell r="P539" t="str">
            <v>Tuban</v>
          </cell>
          <cell r="Q539" t="str">
            <v>Dsn. Banguran, RT.006/RW.002 Kel. Sembungrejo, Kec. Plumpang</v>
          </cell>
          <cell r="R539" t="str">
            <v>Tuban</v>
          </cell>
          <cell r="S539" t="str">
            <v>F Utara1</v>
          </cell>
          <cell r="T539" t="str">
            <v>Dian</v>
          </cell>
          <cell r="U539">
            <v>60</v>
          </cell>
        </row>
        <row r="540">
          <cell r="E540" t="str">
            <v>T25001358</v>
          </cell>
          <cell r="F540"/>
          <cell r="G540">
            <v>150000000</v>
          </cell>
          <cell r="H540" t="str">
            <v>Reni</v>
          </cell>
          <cell r="I540" t="str">
            <v>Fira</v>
          </cell>
          <cell r="J540" t="str">
            <v>New 28/11/19</v>
          </cell>
          <cell r="K540" t="str">
            <v>KU, Tunai</v>
          </cell>
          <cell r="L540" t="str">
            <v>ALVA01</v>
          </cell>
          <cell r="M540" t="str">
            <v>Alvan Tani</v>
          </cell>
          <cell r="N540" t="str">
            <v>Karyono</v>
          </cell>
          <cell r="O540" t="str">
            <v>Dsn. Banguran, RT.006/RW.002 Kel. Sembungrejo, Kec. Plumpang</v>
          </cell>
          <cell r="P540" t="str">
            <v>Tuban</v>
          </cell>
          <cell r="Q540" t="str">
            <v>Dsn. Banguran, RT.006/RW.002 Kel. Sembungrejo, Kec. Plumpang</v>
          </cell>
          <cell r="R540" t="str">
            <v>Tuban</v>
          </cell>
          <cell r="S540" t="str">
            <v>F Utara1</v>
          </cell>
          <cell r="T540" t="str">
            <v>Dian</v>
          </cell>
          <cell r="U540">
            <v>60</v>
          </cell>
        </row>
        <row r="541">
          <cell r="E541" t="str">
            <v>D25015632</v>
          </cell>
          <cell r="F541"/>
          <cell r="G541">
            <v>150000000</v>
          </cell>
          <cell r="H541" t="str">
            <v>Reni</v>
          </cell>
          <cell r="I541" t="str">
            <v>Fira</v>
          </cell>
          <cell r="J541" t="str">
            <v>New 28/11/19</v>
          </cell>
          <cell r="K541" t="str">
            <v>KU, Tunai</v>
          </cell>
          <cell r="L541" t="str">
            <v>ALVA01</v>
          </cell>
          <cell r="M541" t="str">
            <v>Alvan Tani</v>
          </cell>
          <cell r="N541" t="str">
            <v>Karyono</v>
          </cell>
          <cell r="O541" t="str">
            <v>Dsn. Banguran, RT.006/RW.002 Kel. Sembungrejo, Kec. Plumpang</v>
          </cell>
          <cell r="P541" t="str">
            <v>Tuban</v>
          </cell>
          <cell r="Q541" t="str">
            <v>Dsn. Banguran, RT.006/RW.002 Kel. Sembungrejo, Kec. Plumpang</v>
          </cell>
          <cell r="R541" t="str">
            <v>Tuban</v>
          </cell>
          <cell r="S541" t="str">
            <v>F Utara1</v>
          </cell>
          <cell r="T541" t="str">
            <v>Dian</v>
          </cell>
          <cell r="U541">
            <v>60</v>
          </cell>
        </row>
        <row r="542">
          <cell r="E542" t="str">
            <v>B25006386</v>
          </cell>
          <cell r="F542"/>
          <cell r="G542">
            <v>200000000</v>
          </cell>
          <cell r="H542" t="str">
            <v>Faris</v>
          </cell>
          <cell r="I542" t="str">
            <v>Syahra</v>
          </cell>
          <cell r="J542"/>
          <cell r="K542" t="str">
            <v>Tunai</v>
          </cell>
          <cell r="L542" t="str">
            <v>ALFI02</v>
          </cell>
          <cell r="M542" t="str">
            <v>Alvin Tani/Toha</v>
          </cell>
          <cell r="N542" t="str">
            <v>Taha</v>
          </cell>
          <cell r="O542" t="str">
            <v>Tamanan Sumber Anyar</v>
          </cell>
          <cell r="P542" t="str">
            <v>Bondowoso</v>
          </cell>
          <cell r="Q542" t="str">
            <v>Suger, Maesan</v>
          </cell>
          <cell r="R542" t="str">
            <v>Bondowoso</v>
          </cell>
          <cell r="S542" t="str">
            <v>N Bdw Stb</v>
          </cell>
          <cell r="T542" t="str">
            <v>Wira</v>
          </cell>
          <cell r="U542">
            <v>60</v>
          </cell>
        </row>
        <row r="543">
          <cell r="E543" t="str">
            <v>T25000865</v>
          </cell>
          <cell r="F543"/>
          <cell r="G543">
            <v>200000000</v>
          </cell>
          <cell r="H543" t="str">
            <v>Faris</v>
          </cell>
          <cell r="I543" t="str">
            <v>Syahra</v>
          </cell>
          <cell r="J543"/>
          <cell r="K543" t="str">
            <v>Tunai</v>
          </cell>
          <cell r="L543" t="str">
            <v>ALFI02</v>
          </cell>
          <cell r="M543" t="str">
            <v>Alvin Tani/Toha</v>
          </cell>
          <cell r="N543" t="str">
            <v>Taha</v>
          </cell>
          <cell r="O543" t="str">
            <v>Tamanan Sumber Anyar</v>
          </cell>
          <cell r="P543" t="str">
            <v>Bondowoso</v>
          </cell>
          <cell r="Q543" t="str">
            <v>Suger, Maesan</v>
          </cell>
          <cell r="R543" t="str">
            <v>Bondowoso</v>
          </cell>
          <cell r="S543" t="str">
            <v>N Bdw Stb</v>
          </cell>
          <cell r="T543" t="str">
            <v>Wira</v>
          </cell>
          <cell r="U543">
            <v>60</v>
          </cell>
        </row>
        <row r="544">
          <cell r="E544" t="str">
            <v>D25009586</v>
          </cell>
          <cell r="F544"/>
          <cell r="G544">
            <v>200000000</v>
          </cell>
          <cell r="H544" t="str">
            <v>Faris</v>
          </cell>
          <cell r="I544" t="str">
            <v>Syahra</v>
          </cell>
          <cell r="J544"/>
          <cell r="K544" t="str">
            <v>Tunai</v>
          </cell>
          <cell r="L544" t="str">
            <v>ALFI02</v>
          </cell>
          <cell r="M544" t="str">
            <v>Alvin Tani/Toha</v>
          </cell>
          <cell r="N544" t="str">
            <v>Taha</v>
          </cell>
          <cell r="O544" t="str">
            <v>Tamanan Sumber Anyar</v>
          </cell>
          <cell r="P544" t="str">
            <v>Bondowoso</v>
          </cell>
          <cell r="Q544" t="str">
            <v>Suger, Maesan</v>
          </cell>
          <cell r="R544" t="str">
            <v>Bondowoso</v>
          </cell>
          <cell r="S544" t="str">
            <v>N Bdw Stb</v>
          </cell>
          <cell r="T544" t="str">
            <v>Wira</v>
          </cell>
          <cell r="U544">
            <v>60</v>
          </cell>
        </row>
        <row r="545">
          <cell r="E545" t="str">
            <v>T25001011</v>
          </cell>
          <cell r="F545"/>
          <cell r="G545">
            <v>200000000</v>
          </cell>
          <cell r="H545" t="str">
            <v>Faris</v>
          </cell>
          <cell r="I545" t="str">
            <v>Syahra</v>
          </cell>
          <cell r="J545"/>
          <cell r="K545" t="str">
            <v>Tunai</v>
          </cell>
          <cell r="L545" t="str">
            <v>ALFI02</v>
          </cell>
          <cell r="M545" t="str">
            <v>Alvin Tani/Toha</v>
          </cell>
          <cell r="N545" t="str">
            <v>Taha</v>
          </cell>
          <cell r="O545" t="str">
            <v>Tamanan Sumber Anyar</v>
          </cell>
          <cell r="P545" t="str">
            <v>Bondowoso</v>
          </cell>
          <cell r="Q545" t="str">
            <v>Suger, Maesan</v>
          </cell>
          <cell r="R545" t="str">
            <v>Bondowoso</v>
          </cell>
          <cell r="S545" t="str">
            <v>N Bdw Stb</v>
          </cell>
          <cell r="T545" t="str">
            <v>Wira</v>
          </cell>
          <cell r="U545">
            <v>60</v>
          </cell>
        </row>
        <row r="546">
          <cell r="E546" t="str">
            <v>D25009764</v>
          </cell>
          <cell r="F546"/>
          <cell r="G546">
            <v>200000000</v>
          </cell>
          <cell r="H546" t="str">
            <v>Faris</v>
          </cell>
          <cell r="I546" t="str">
            <v>Syahra</v>
          </cell>
          <cell r="J546"/>
          <cell r="K546" t="str">
            <v>Tunai</v>
          </cell>
          <cell r="L546" t="str">
            <v>ALFI02</v>
          </cell>
          <cell r="M546" t="str">
            <v>Alvin Tani/Toha</v>
          </cell>
          <cell r="N546" t="str">
            <v>Taha</v>
          </cell>
          <cell r="O546" t="str">
            <v>Tamanan Sumber Anyar</v>
          </cell>
          <cell r="P546" t="str">
            <v>Bondowoso</v>
          </cell>
          <cell r="Q546" t="str">
            <v>Suger, Maesan</v>
          </cell>
          <cell r="R546" t="str">
            <v>Bondowoso</v>
          </cell>
          <cell r="S546" t="str">
            <v>N Bdw Stb</v>
          </cell>
          <cell r="T546" t="str">
            <v>Wira</v>
          </cell>
          <cell r="U546">
            <v>60</v>
          </cell>
        </row>
        <row r="547">
          <cell r="E547" t="str">
            <v>D25010264</v>
          </cell>
          <cell r="F547"/>
          <cell r="G547">
            <v>200000000</v>
          </cell>
          <cell r="H547" t="str">
            <v>Faris</v>
          </cell>
          <cell r="I547" t="str">
            <v>Syahra</v>
          </cell>
          <cell r="J547"/>
          <cell r="K547" t="str">
            <v>Tunai</v>
          </cell>
          <cell r="L547" t="str">
            <v>ALFI02</v>
          </cell>
          <cell r="M547" t="str">
            <v>Alvin Tani/Toha</v>
          </cell>
          <cell r="N547" t="str">
            <v>Taha</v>
          </cell>
          <cell r="O547" t="str">
            <v>Tamanan Sumber Anyar</v>
          </cell>
          <cell r="P547" t="str">
            <v>Bondowoso</v>
          </cell>
          <cell r="Q547" t="str">
            <v>Suger, Maesan</v>
          </cell>
          <cell r="R547" t="str">
            <v>Bondowoso</v>
          </cell>
          <cell r="S547" t="str">
            <v>N Bdw Stb</v>
          </cell>
          <cell r="T547" t="str">
            <v>Wira</v>
          </cell>
          <cell r="U547">
            <v>60</v>
          </cell>
        </row>
        <row r="548">
          <cell r="E548" t="str">
            <v>T25001146</v>
          </cell>
          <cell r="F548"/>
          <cell r="G548">
            <v>200000000</v>
          </cell>
          <cell r="H548" t="str">
            <v>Faris</v>
          </cell>
          <cell r="I548" t="str">
            <v>Syahra</v>
          </cell>
          <cell r="J548"/>
          <cell r="K548" t="str">
            <v>Tunai</v>
          </cell>
          <cell r="L548" t="str">
            <v>ALFI02</v>
          </cell>
          <cell r="M548" t="str">
            <v>Alvin Tani/Toha</v>
          </cell>
          <cell r="N548" t="str">
            <v>Taha</v>
          </cell>
          <cell r="O548" t="str">
            <v>Tamanan Sumber Anyar</v>
          </cell>
          <cell r="P548" t="str">
            <v>Bondowoso</v>
          </cell>
          <cell r="Q548" t="str">
            <v>Suger, Maesan</v>
          </cell>
          <cell r="R548" t="str">
            <v>Bondowoso</v>
          </cell>
          <cell r="S548" t="str">
            <v>N Bdw Stb</v>
          </cell>
          <cell r="T548" t="str">
            <v>Wira</v>
          </cell>
          <cell r="U548">
            <v>60</v>
          </cell>
        </row>
        <row r="549">
          <cell r="E549" t="str">
            <v>B25009089</v>
          </cell>
          <cell r="F549"/>
          <cell r="G549">
            <v>200000000</v>
          </cell>
          <cell r="H549" t="str">
            <v>Faris</v>
          </cell>
          <cell r="I549" t="str">
            <v>Syahra</v>
          </cell>
          <cell r="J549"/>
          <cell r="K549" t="str">
            <v>Tunai</v>
          </cell>
          <cell r="L549" t="str">
            <v>ALFI02</v>
          </cell>
          <cell r="M549" t="str">
            <v>Alvin Tani/Toha</v>
          </cell>
          <cell r="N549" t="str">
            <v>Taha</v>
          </cell>
          <cell r="O549" t="str">
            <v>Tamanan Sumber Anyar</v>
          </cell>
          <cell r="P549" t="str">
            <v>Bondowoso</v>
          </cell>
          <cell r="Q549" t="str">
            <v>Suger, Maesan</v>
          </cell>
          <cell r="R549" t="str">
            <v>Bondowoso</v>
          </cell>
          <cell r="S549" t="str">
            <v>N Bdw Stb</v>
          </cell>
          <cell r="T549" t="str">
            <v>Wira</v>
          </cell>
          <cell r="U549">
            <v>30</v>
          </cell>
        </row>
        <row r="550">
          <cell r="E550" t="str">
            <v>T25001187</v>
          </cell>
          <cell r="F550"/>
          <cell r="G550">
            <v>200000000</v>
          </cell>
          <cell r="H550" t="str">
            <v>Faris</v>
          </cell>
          <cell r="I550" t="str">
            <v>Syahra</v>
          </cell>
          <cell r="J550"/>
          <cell r="K550" t="str">
            <v>Tunai</v>
          </cell>
          <cell r="L550" t="str">
            <v>ALFI02</v>
          </cell>
          <cell r="M550" t="str">
            <v>Alvin Tani/Toha</v>
          </cell>
          <cell r="N550" t="str">
            <v>Taha</v>
          </cell>
          <cell r="O550" t="str">
            <v>Tamanan Sumber Anyar</v>
          </cell>
          <cell r="P550" t="str">
            <v>Bondowoso</v>
          </cell>
          <cell r="Q550" t="str">
            <v>Suger, Maesan</v>
          </cell>
          <cell r="R550" t="str">
            <v>Bondowoso</v>
          </cell>
          <cell r="S550" t="str">
            <v>N Bdw Stb</v>
          </cell>
          <cell r="T550" t="str">
            <v>Wira</v>
          </cell>
          <cell r="U550">
            <v>60</v>
          </cell>
        </row>
        <row r="551">
          <cell r="E551" t="str">
            <v>B25009764</v>
          </cell>
          <cell r="F551"/>
          <cell r="G551">
            <v>200000000</v>
          </cell>
          <cell r="H551" t="str">
            <v>Faris</v>
          </cell>
          <cell r="I551" t="str">
            <v>Syahra</v>
          </cell>
          <cell r="J551"/>
          <cell r="K551" t="str">
            <v>Tunai</v>
          </cell>
          <cell r="L551" t="str">
            <v>ALFI02</v>
          </cell>
          <cell r="M551" t="str">
            <v>Alvin Tani/Toha</v>
          </cell>
          <cell r="N551" t="str">
            <v>Taha</v>
          </cell>
          <cell r="O551" t="str">
            <v>Tamanan Sumber Anyar</v>
          </cell>
          <cell r="P551" t="str">
            <v>Bondowoso</v>
          </cell>
          <cell r="Q551" t="str">
            <v>Suger, Maesan</v>
          </cell>
          <cell r="R551" t="str">
            <v>Bondowoso</v>
          </cell>
          <cell r="S551" t="str">
            <v>N Bdw Stb</v>
          </cell>
          <cell r="T551" t="str">
            <v>Wira</v>
          </cell>
          <cell r="U551">
            <v>30</v>
          </cell>
        </row>
        <row r="552">
          <cell r="E552" t="str">
            <v>D25011742</v>
          </cell>
          <cell r="F552"/>
          <cell r="G552">
            <v>200000000</v>
          </cell>
          <cell r="H552" t="str">
            <v>Faris</v>
          </cell>
          <cell r="I552" t="str">
            <v>Syahra</v>
          </cell>
          <cell r="J552"/>
          <cell r="K552" t="str">
            <v>Tunai</v>
          </cell>
          <cell r="L552" t="str">
            <v>ALFI02</v>
          </cell>
          <cell r="M552" t="str">
            <v>Alvin Tani/Toha</v>
          </cell>
          <cell r="N552" t="str">
            <v>Taha</v>
          </cell>
          <cell r="O552" t="str">
            <v>Tamanan Sumber Anyar</v>
          </cell>
          <cell r="P552" t="str">
            <v>Bondowoso</v>
          </cell>
          <cell r="Q552" t="str">
            <v>Suger, Maesan</v>
          </cell>
          <cell r="R552" t="str">
            <v>Bondowoso</v>
          </cell>
          <cell r="S552" t="str">
            <v>N Bdw Stb</v>
          </cell>
          <cell r="T552" t="str">
            <v>Wira</v>
          </cell>
          <cell r="U552">
            <v>60</v>
          </cell>
        </row>
        <row r="553">
          <cell r="E553" t="str">
            <v>B25012068</v>
          </cell>
          <cell r="F553"/>
          <cell r="G553">
            <v>5000000</v>
          </cell>
          <cell r="H553" t="str">
            <v>Hendra</v>
          </cell>
          <cell r="I553" t="str">
            <v>Tiya</v>
          </cell>
          <cell r="J553" t="str">
            <v>New 31/01/22</v>
          </cell>
          <cell r="K553" t="str">
            <v>KU</v>
          </cell>
          <cell r="L553" t="str">
            <v>ALYA01</v>
          </cell>
          <cell r="M553" t="str">
            <v>Alya Tani/Jony</v>
          </cell>
          <cell r="N553" t="str">
            <v>Jony Al Nafian Syah, SP</v>
          </cell>
          <cell r="O553" t="str">
            <v>Gubuk Motong RT.003/RW.001, Kel. Masbagik Selatan, Kec. Masbagik</v>
          </cell>
          <cell r="P553" t="str">
            <v>Lombok Timur</v>
          </cell>
          <cell r="Q553" t="str">
            <v>Gubuk Motong RT.003/RW.001, Kel. Masbagik Selatan, Kec. Masbagik</v>
          </cell>
          <cell r="R553" t="str">
            <v>Lombok Timur</v>
          </cell>
          <cell r="S553" t="str">
            <v>E Luar Pulau1</v>
          </cell>
          <cell r="T553" t="str">
            <v>Muhlisin</v>
          </cell>
          <cell r="U553">
            <v>45</v>
          </cell>
        </row>
        <row r="554">
          <cell r="E554" t="str">
            <v>B25012069</v>
          </cell>
          <cell r="F554"/>
          <cell r="G554">
            <v>5000000</v>
          </cell>
          <cell r="H554" t="str">
            <v>Hendra</v>
          </cell>
          <cell r="I554" t="str">
            <v>Tiya</v>
          </cell>
          <cell r="J554" t="str">
            <v>New 31/01/22</v>
          </cell>
          <cell r="K554" t="str">
            <v>KU</v>
          </cell>
          <cell r="L554" t="str">
            <v>ALYA01</v>
          </cell>
          <cell r="M554" t="str">
            <v>Alya Tani/Jony</v>
          </cell>
          <cell r="N554" t="str">
            <v>Jony Al Nafian Syah, SP</v>
          </cell>
          <cell r="O554" t="str">
            <v>Gubuk Motong RT.003/RW.001, Kel. Masbagik Selatan, Kec. Masbagik</v>
          </cell>
          <cell r="P554" t="str">
            <v>Lombok Timur</v>
          </cell>
          <cell r="Q554" t="str">
            <v>Gubuk Motong RT.003/RW.001, Kel. Masbagik Selatan, Kec. Masbagik</v>
          </cell>
          <cell r="R554" t="str">
            <v>Lombok Timur</v>
          </cell>
          <cell r="S554" t="str">
            <v>E Luar Pulau1</v>
          </cell>
          <cell r="T554" t="str">
            <v>Muhlisin</v>
          </cell>
          <cell r="U554">
            <v>45</v>
          </cell>
        </row>
        <row r="555">
          <cell r="E555" t="str">
            <v>B25012070</v>
          </cell>
          <cell r="F555"/>
          <cell r="G555">
            <v>5000000</v>
          </cell>
          <cell r="H555" t="str">
            <v>Hendra</v>
          </cell>
          <cell r="I555" t="str">
            <v>Tiya</v>
          </cell>
          <cell r="J555" t="str">
            <v>New 31/01/22</v>
          </cell>
          <cell r="K555" t="str">
            <v>KU</v>
          </cell>
          <cell r="L555" t="str">
            <v>ALYA01</v>
          </cell>
          <cell r="M555" t="str">
            <v>Alya Tani/Jony</v>
          </cell>
          <cell r="N555" t="str">
            <v>Jony Al Nafian Syah, SP</v>
          </cell>
          <cell r="O555" t="str">
            <v>Gubuk Motong RT.003/RW.001, Kel. Masbagik Selatan, Kec. Masbagik</v>
          </cell>
          <cell r="P555" t="str">
            <v>Lombok Timur</v>
          </cell>
          <cell r="Q555" t="str">
            <v>Gubuk Motong RT.003/RW.001, Kel. Masbagik Selatan, Kec. Masbagik</v>
          </cell>
          <cell r="R555" t="str">
            <v>Lombok Timur</v>
          </cell>
          <cell r="S555" t="str">
            <v>E Luar Pulau1</v>
          </cell>
          <cell r="T555" t="str">
            <v>Muhlisin</v>
          </cell>
          <cell r="U555">
            <v>45</v>
          </cell>
        </row>
        <row r="556">
          <cell r="E556" t="str">
            <v>B25012083</v>
          </cell>
          <cell r="F556"/>
          <cell r="G556">
            <v>5000000</v>
          </cell>
          <cell r="H556" t="str">
            <v>Hendra</v>
          </cell>
          <cell r="I556" t="str">
            <v>Tiya</v>
          </cell>
          <cell r="J556" t="str">
            <v>New 31/01/22</v>
          </cell>
          <cell r="K556" t="str">
            <v>KU</v>
          </cell>
          <cell r="L556" t="str">
            <v>ALYA01</v>
          </cell>
          <cell r="M556" t="str">
            <v>Alya Tani/Jony</v>
          </cell>
          <cell r="N556" t="str">
            <v>Jony Al Nafian Syah, SP</v>
          </cell>
          <cell r="O556" t="str">
            <v>Gubuk Motong RT.003/RW.001, Kel. Masbagik Selatan, Kec. Masbagik</v>
          </cell>
          <cell r="P556" t="str">
            <v>Lombok Timur</v>
          </cell>
          <cell r="Q556" t="str">
            <v>Gubuk Motong RT.003/RW.001, Kel. Masbagik Selatan, Kec. Masbagik</v>
          </cell>
          <cell r="R556" t="str">
            <v>Lombok Timur</v>
          </cell>
          <cell r="S556" t="str">
            <v>E Luar Pulau1</v>
          </cell>
          <cell r="T556" t="str">
            <v>Muhlisin</v>
          </cell>
          <cell r="U556">
            <v>45</v>
          </cell>
        </row>
        <row r="557">
          <cell r="E557" t="str">
            <v>C25000704</v>
          </cell>
          <cell r="F557"/>
          <cell r="G557">
            <v>15000000</v>
          </cell>
          <cell r="H557" t="str">
            <v>Yuyun</v>
          </cell>
          <cell r="I557" t="str">
            <v>Farida</v>
          </cell>
          <cell r="J557" t="str">
            <v>New 20/08/22</v>
          </cell>
          <cell r="K557" t="str">
            <v>Tunai</v>
          </cell>
          <cell r="L557" t="str">
            <v>AMIN01</v>
          </cell>
          <cell r="M557" t="str">
            <v>Aminah Jaya Tani/Slamet</v>
          </cell>
          <cell r="N557" t="str">
            <v>Slamet Santoso</v>
          </cell>
          <cell r="O557" t="str">
            <v>Perum. Pondok Gede EG-16 Lingk. Tumpeng sari RT.006/RW.003, Kel. Tegal Besar, Kec. Kaliwates</v>
          </cell>
          <cell r="P557" t="str">
            <v>Jember</v>
          </cell>
          <cell r="Q557" t="str">
            <v>Perum. Pondok Gede EG-16 Lingk. Tumpeng sari RT.006/RW.003, Kel. Tegal Besar, Kec. Kaliwates</v>
          </cell>
          <cell r="R557" t="str">
            <v>Jember</v>
          </cell>
          <cell r="S557" t="str">
            <v>L Kota1</v>
          </cell>
          <cell r="T557" t="str">
            <v>Wira</v>
          </cell>
          <cell r="U557">
            <v>30</v>
          </cell>
        </row>
        <row r="558">
          <cell r="E558" t="str">
            <v>C25000737</v>
          </cell>
          <cell r="F558"/>
          <cell r="G558">
            <v>15000000</v>
          </cell>
          <cell r="H558" t="str">
            <v>Yuyun</v>
          </cell>
          <cell r="I558" t="str">
            <v>Farida</v>
          </cell>
          <cell r="J558" t="str">
            <v>New 20/08/22</v>
          </cell>
          <cell r="K558" t="str">
            <v>Tunai</v>
          </cell>
          <cell r="L558" t="str">
            <v>AMIN01</v>
          </cell>
          <cell r="M558" t="str">
            <v>Aminah Jaya Tani/Slamet</v>
          </cell>
          <cell r="N558" t="str">
            <v>Slamet Santoso</v>
          </cell>
          <cell r="O558" t="str">
            <v>Perum. Pondok Gede EG-16 Lingk. Tumpeng sari RT.006/RW.003, Kel. Tegal Besar, Kec. Kaliwates</v>
          </cell>
          <cell r="P558" t="str">
            <v>Jember</v>
          </cell>
          <cell r="Q558" t="str">
            <v>Perum. Pondok Gede EG-16 Lingk. Tumpeng sari RT.006/RW.003, Kel. Tegal Besar, Kec. Kaliwates</v>
          </cell>
          <cell r="R558" t="str">
            <v>Jember</v>
          </cell>
          <cell r="S558" t="str">
            <v>L Kota1</v>
          </cell>
          <cell r="T558" t="str">
            <v>Wira</v>
          </cell>
          <cell r="U558">
            <v>30</v>
          </cell>
        </row>
        <row r="559">
          <cell r="E559" t="str">
            <v>C25000779</v>
          </cell>
          <cell r="F559"/>
          <cell r="G559">
            <v>15000000</v>
          </cell>
          <cell r="H559" t="str">
            <v>Yuyun</v>
          </cell>
          <cell r="I559" t="str">
            <v>Farida</v>
          </cell>
          <cell r="J559" t="str">
            <v>New 20/08/22</v>
          </cell>
          <cell r="K559" t="str">
            <v>Tunai</v>
          </cell>
          <cell r="L559" t="str">
            <v>AMIN01</v>
          </cell>
          <cell r="M559" t="str">
            <v>Aminah Jaya Tani/Slamet</v>
          </cell>
          <cell r="N559" t="str">
            <v>Slamet Santoso</v>
          </cell>
          <cell r="O559" t="str">
            <v>Perum. Pondok Gede EG-16 Lingk. Tumpeng sari RT.006/RW.003, Kel. Tegal Besar, Kec. Kaliwates</v>
          </cell>
          <cell r="P559" t="str">
            <v>Jember</v>
          </cell>
          <cell r="Q559" t="str">
            <v>Perum. Pondok Gede EG-16 Lingk. Tumpeng sari RT.006/RW.003, Kel. Tegal Besar, Kec. Kaliwates</v>
          </cell>
          <cell r="R559" t="str">
            <v>Jember</v>
          </cell>
          <cell r="S559" t="str">
            <v>L Kota1</v>
          </cell>
          <cell r="T559" t="str">
            <v>Wira</v>
          </cell>
          <cell r="U559">
            <v>30</v>
          </cell>
        </row>
        <row r="560">
          <cell r="E560" t="str">
            <v>C25000836</v>
          </cell>
          <cell r="F560"/>
          <cell r="G560">
            <v>50000000</v>
          </cell>
          <cell r="H560" t="str">
            <v>Yuyun</v>
          </cell>
          <cell r="I560" t="str">
            <v>Farida</v>
          </cell>
          <cell r="J560"/>
          <cell r="K560" t="str">
            <v>KU, Tunai</v>
          </cell>
          <cell r="L560" t="str">
            <v>AMOE01</v>
          </cell>
          <cell r="M560" t="str">
            <v>Amoer Permatasari, UD</v>
          </cell>
          <cell r="N560" t="str">
            <v>Sri Wahyu Harnanik</v>
          </cell>
          <cell r="O560" t="str">
            <v>Jl. Dr. Soebandi Dusun Karang Sirih, RT.001/RW.002, Kel. Suco, Kec. Mumbulsari</v>
          </cell>
          <cell r="P560" t="str">
            <v>Jember</v>
          </cell>
          <cell r="Q560" t="str">
            <v>Dr. Soebandi Ds. Suco Mumbulsari</v>
          </cell>
          <cell r="R560" t="str">
            <v>Jember</v>
          </cell>
          <cell r="S560" t="str">
            <v>L Kota1</v>
          </cell>
          <cell r="T560" t="str">
            <v>Wira</v>
          </cell>
          <cell r="U560">
            <v>0</v>
          </cell>
        </row>
        <row r="561">
          <cell r="E561" t="str">
            <v>B25013954</v>
          </cell>
          <cell r="F561"/>
          <cell r="G561">
            <v>50000000</v>
          </cell>
          <cell r="H561" t="str">
            <v>Yuyun</v>
          </cell>
          <cell r="I561" t="str">
            <v>Farida</v>
          </cell>
          <cell r="J561"/>
          <cell r="K561" t="str">
            <v>KU, Tunai</v>
          </cell>
          <cell r="L561" t="str">
            <v>AMOE01</v>
          </cell>
          <cell r="M561" t="str">
            <v>Amoer Permatasari, UD</v>
          </cell>
          <cell r="N561" t="str">
            <v>Sri Wahyu Harnanik</v>
          </cell>
          <cell r="O561" t="str">
            <v>Jl. Dr. Soebandi Dusun Karang Sirih, RT.001/RW.002, Kel. Suco, Kec. Mumbulsari</v>
          </cell>
          <cell r="P561" t="str">
            <v>Jember</v>
          </cell>
          <cell r="Q561" t="str">
            <v>Dr. Soebandi Ds. Suco Mumbulsari</v>
          </cell>
          <cell r="R561" t="str">
            <v>Jember</v>
          </cell>
          <cell r="S561" t="str">
            <v>L Kota1</v>
          </cell>
          <cell r="T561" t="str">
            <v>Wira</v>
          </cell>
          <cell r="U561">
            <v>0</v>
          </cell>
        </row>
        <row r="562">
          <cell r="E562" t="str">
            <v>D25013287</v>
          </cell>
          <cell r="F562"/>
          <cell r="G562">
            <v>1000000000</v>
          </cell>
          <cell r="H562" t="str">
            <v>Hendra</v>
          </cell>
          <cell r="I562" t="str">
            <v>Tiya</v>
          </cell>
          <cell r="J562"/>
          <cell r="K562" t="str">
            <v>KU</v>
          </cell>
          <cell r="L562" t="str">
            <v>ANDA01</v>
          </cell>
          <cell r="M562" t="str">
            <v>Anda/Darwin</v>
          </cell>
          <cell r="N562" t="str">
            <v>Tani Anda Mandiri, CV</v>
          </cell>
          <cell r="O562" t="str">
            <v>JL. Yos Sudarso No.017, RT.013, Lingkas Ujung, Tarakan Timur</v>
          </cell>
          <cell r="P562" t="str">
            <v>Tarakan Tengah</v>
          </cell>
          <cell r="Q562" t="str">
            <v>JL. Yos Sudarso No.6, RT.02, Sebengkok</v>
          </cell>
          <cell r="R562" t="str">
            <v>Tarakan Tengah</v>
          </cell>
          <cell r="S562" t="str">
            <v>E Luar Pulau1</v>
          </cell>
          <cell r="T562" t="str">
            <v>Non SE &amp; JSE</v>
          </cell>
          <cell r="U562">
            <v>45</v>
          </cell>
        </row>
        <row r="563">
          <cell r="E563" t="str">
            <v>D25013473</v>
          </cell>
          <cell r="F563"/>
          <cell r="G563">
            <v>1000000000</v>
          </cell>
          <cell r="H563" t="str">
            <v>Hendra</v>
          </cell>
          <cell r="I563" t="str">
            <v>Tiya</v>
          </cell>
          <cell r="J563"/>
          <cell r="K563" t="str">
            <v>KU</v>
          </cell>
          <cell r="L563" t="str">
            <v>ANDA01</v>
          </cell>
          <cell r="M563" t="str">
            <v>Anda/Darwin</v>
          </cell>
          <cell r="N563" t="str">
            <v>Tani Anda Mandiri, CV</v>
          </cell>
          <cell r="O563" t="str">
            <v>JL. Yos Sudarso No.017, RT.013, Lingkas Ujung, Tarakan Timur</v>
          </cell>
          <cell r="P563" t="str">
            <v>Tarakan Tengah</v>
          </cell>
          <cell r="Q563" t="str">
            <v>JL. Yos Sudarso No.6, RT.02, Sebengkok</v>
          </cell>
          <cell r="R563" t="str">
            <v>Tarakan Tengah</v>
          </cell>
          <cell r="S563" t="str">
            <v>E Luar Pulau1</v>
          </cell>
          <cell r="T563" t="str">
            <v>Non SE &amp; JSE</v>
          </cell>
          <cell r="U563">
            <v>45</v>
          </cell>
        </row>
        <row r="564">
          <cell r="E564" t="str">
            <v>B25011565</v>
          </cell>
          <cell r="F564"/>
          <cell r="G564">
            <v>1000000000</v>
          </cell>
          <cell r="H564" t="str">
            <v>Hendra</v>
          </cell>
          <cell r="I564" t="str">
            <v>Tiya</v>
          </cell>
          <cell r="J564"/>
          <cell r="K564" t="str">
            <v>KU</v>
          </cell>
          <cell r="L564" t="str">
            <v>ANDA01</v>
          </cell>
          <cell r="M564" t="str">
            <v>Anda/Darwin</v>
          </cell>
          <cell r="N564" t="str">
            <v>Tani Anda Mandiri, CV</v>
          </cell>
          <cell r="O564" t="str">
            <v>JL. Yos Sudarso No.017, RT.013, Lingkas Ujung, Tarakan Timur</v>
          </cell>
          <cell r="P564" t="str">
            <v>Tarakan Tengah</v>
          </cell>
          <cell r="Q564" t="str">
            <v>JL. Yos Sudarso No.6, RT.02, Sebengkok</v>
          </cell>
          <cell r="R564" t="str">
            <v>Tarakan Tengah</v>
          </cell>
          <cell r="S564" t="str">
            <v>E Luar Pulau1</v>
          </cell>
          <cell r="T564" t="str">
            <v>Non SE &amp; JSE</v>
          </cell>
          <cell r="U564">
            <v>45</v>
          </cell>
        </row>
        <row r="565">
          <cell r="E565" t="str">
            <v>B25011684</v>
          </cell>
          <cell r="F565"/>
          <cell r="G565">
            <v>1000000000</v>
          </cell>
          <cell r="H565" t="str">
            <v>Hendra</v>
          </cell>
          <cell r="I565" t="str">
            <v>Tiya</v>
          </cell>
          <cell r="J565"/>
          <cell r="K565" t="str">
            <v>KU</v>
          </cell>
          <cell r="L565" t="str">
            <v>ANDA01</v>
          </cell>
          <cell r="M565" t="str">
            <v>Anda/Darwin</v>
          </cell>
          <cell r="N565" t="str">
            <v>Tani Anda Mandiri, CV</v>
          </cell>
          <cell r="O565" t="str">
            <v>JL. Yos Sudarso No.017, RT.013, Lingkas Ujung, Tarakan Timur</v>
          </cell>
          <cell r="P565" t="str">
            <v>Tarakan Tengah</v>
          </cell>
          <cell r="Q565" t="str">
            <v>JL. Yos Sudarso No.6, RT.02, Sebengkok</v>
          </cell>
          <cell r="R565" t="str">
            <v>Tarakan Tengah</v>
          </cell>
          <cell r="S565" t="str">
            <v>E Luar Pulau1</v>
          </cell>
          <cell r="T565" t="str">
            <v>Non SE &amp; JSE</v>
          </cell>
          <cell r="U565">
            <v>45</v>
          </cell>
        </row>
        <row r="566">
          <cell r="E566" t="str">
            <v>B25012943</v>
          </cell>
          <cell r="F566"/>
          <cell r="G566">
            <v>1000000000</v>
          </cell>
          <cell r="H566" t="str">
            <v>Hendra</v>
          </cell>
          <cell r="I566" t="str">
            <v>Tiya</v>
          </cell>
          <cell r="J566"/>
          <cell r="K566" t="str">
            <v>KU</v>
          </cell>
          <cell r="L566" t="str">
            <v>ANDA01</v>
          </cell>
          <cell r="M566" t="str">
            <v>Anda/Darwin</v>
          </cell>
          <cell r="N566" t="str">
            <v>Tani Anda Mandiri, CV</v>
          </cell>
          <cell r="O566" t="str">
            <v>JL. Yos Sudarso No.017, RT.013, Lingkas Ujung, Tarakan Timur</v>
          </cell>
          <cell r="P566" t="str">
            <v>Tarakan Tengah</v>
          </cell>
          <cell r="Q566" t="str">
            <v>JL. Yos Sudarso No.6, RT.02, Sebengkok</v>
          </cell>
          <cell r="R566" t="str">
            <v>Tarakan Tengah</v>
          </cell>
          <cell r="S566" t="str">
            <v>E Luar Pulau1</v>
          </cell>
          <cell r="T566" t="str">
            <v>Non SE &amp; JSE</v>
          </cell>
          <cell r="U566">
            <v>45</v>
          </cell>
        </row>
        <row r="567">
          <cell r="E567" t="str">
            <v>B25013895</v>
          </cell>
          <cell r="F567"/>
          <cell r="G567">
            <v>1000000000</v>
          </cell>
          <cell r="H567" t="str">
            <v>Hendra</v>
          </cell>
          <cell r="I567" t="str">
            <v>Tiya</v>
          </cell>
          <cell r="J567"/>
          <cell r="K567" t="str">
            <v>KU</v>
          </cell>
          <cell r="L567" t="str">
            <v>ANDA01</v>
          </cell>
          <cell r="M567" t="str">
            <v>Anda/Darwin</v>
          </cell>
          <cell r="N567" t="str">
            <v>Tani Anda Mandiri, CV</v>
          </cell>
          <cell r="O567" t="str">
            <v>JL. Yos Sudarso No.017, RT.013, Lingkas Ujung, Tarakan Timur</v>
          </cell>
          <cell r="P567" t="str">
            <v>Tarakan Tengah</v>
          </cell>
          <cell r="Q567" t="str">
            <v>JL. Yos Sudarso No.6, RT.02, Sebengkok</v>
          </cell>
          <cell r="R567" t="str">
            <v>Tarakan Tengah</v>
          </cell>
          <cell r="S567" t="str">
            <v>E Luar Pulau1</v>
          </cell>
          <cell r="T567" t="str">
            <v>Non SE &amp; JSE</v>
          </cell>
          <cell r="U567">
            <v>45</v>
          </cell>
        </row>
        <row r="568">
          <cell r="E568" t="str">
            <v>D25016242</v>
          </cell>
          <cell r="F568"/>
          <cell r="G568">
            <v>1000000000</v>
          </cell>
          <cell r="H568" t="str">
            <v>Hendra</v>
          </cell>
          <cell r="I568" t="str">
            <v>Tiya</v>
          </cell>
          <cell r="J568"/>
          <cell r="K568" t="str">
            <v>KU</v>
          </cell>
          <cell r="L568" t="str">
            <v>ANDA01</v>
          </cell>
          <cell r="M568" t="str">
            <v>Anda/Darwin</v>
          </cell>
          <cell r="N568" t="str">
            <v>Tani Anda Mandiri, CV</v>
          </cell>
          <cell r="O568" t="str">
            <v>JL. Yos Sudarso No.017, RT.013, Lingkas Ujung, Tarakan Timur</v>
          </cell>
          <cell r="P568" t="str">
            <v>Tarakan Tengah</v>
          </cell>
          <cell r="Q568" t="str">
            <v>JL. Yos Sudarso No.6, RT.02, Sebengkok</v>
          </cell>
          <cell r="R568" t="str">
            <v>Tarakan Tengah</v>
          </cell>
          <cell r="S568" t="str">
            <v>E Luar Pulau1</v>
          </cell>
          <cell r="T568" t="str">
            <v>Non SE &amp; JSE</v>
          </cell>
          <cell r="U568">
            <v>45</v>
          </cell>
        </row>
        <row r="569">
          <cell r="E569" t="str">
            <v>D25010762</v>
          </cell>
          <cell r="F569"/>
          <cell r="G569">
            <v>20000000</v>
          </cell>
          <cell r="H569" t="str">
            <v>Reni</v>
          </cell>
          <cell r="I569" t="str">
            <v>Farida</v>
          </cell>
          <cell r="J569" t="str">
            <v>New 28/06/24</v>
          </cell>
          <cell r="K569" t="str">
            <v>CBD</v>
          </cell>
          <cell r="L569" t="str">
            <v>ANDA06</v>
          </cell>
          <cell r="M569" t="str">
            <v>Andalan Tani/Indah</v>
          </cell>
          <cell r="N569" t="str">
            <v>Slamet Efendi</v>
          </cell>
          <cell r="O569" t="str">
            <v>Dsn Balonggebang RT.009/RW.004, Kel. Balonggebang, Kec. Gondang</v>
          </cell>
          <cell r="P569" t="str">
            <v>Nganjuk</v>
          </cell>
          <cell r="Q569" t="str">
            <v>Kedung Celeng, Kel. Ketawang, Kec. Gondang</v>
          </cell>
          <cell r="R569" t="str">
            <v>Nganjuk</v>
          </cell>
          <cell r="S569" t="str">
            <v>D Barat1</v>
          </cell>
          <cell r="T569" t="str">
            <v>Dian</v>
          </cell>
          <cell r="U569">
            <v>60</v>
          </cell>
        </row>
        <row r="570">
          <cell r="E570" t="str">
            <v>D25012136</v>
          </cell>
          <cell r="F570"/>
          <cell r="G570">
            <v>20000000</v>
          </cell>
          <cell r="H570" t="str">
            <v>Reni</v>
          </cell>
          <cell r="I570" t="str">
            <v>Farida</v>
          </cell>
          <cell r="J570" t="str">
            <v>New 28/06/24</v>
          </cell>
          <cell r="K570" t="str">
            <v>CBD</v>
          </cell>
          <cell r="L570" t="str">
            <v>ANDA06</v>
          </cell>
          <cell r="M570" t="str">
            <v>Andalan Tani/Indah</v>
          </cell>
          <cell r="N570" t="str">
            <v>Slamet Efendi</v>
          </cell>
          <cell r="O570" t="str">
            <v>Dsn Balonggebang RT.009/RW.004, Kel. Balonggebang, Kec. Gondang</v>
          </cell>
          <cell r="P570" t="str">
            <v>Nganjuk</v>
          </cell>
          <cell r="Q570" t="str">
            <v>Kedung Celeng, Kel. Ketawang, Kec. Gondang</v>
          </cell>
          <cell r="R570" t="str">
            <v>Nganjuk</v>
          </cell>
          <cell r="S570" t="str">
            <v>D Barat1</v>
          </cell>
          <cell r="T570" t="str">
            <v>Dian</v>
          </cell>
          <cell r="U570">
            <v>60</v>
          </cell>
        </row>
        <row r="571">
          <cell r="E571" t="str">
            <v>B25012631</v>
          </cell>
          <cell r="F571"/>
          <cell r="G571">
            <v>20000000</v>
          </cell>
          <cell r="H571" t="str">
            <v>Reni</v>
          </cell>
          <cell r="I571" t="str">
            <v>Farida</v>
          </cell>
          <cell r="J571" t="str">
            <v>New 28/06/24</v>
          </cell>
          <cell r="K571" t="str">
            <v>CBD</v>
          </cell>
          <cell r="L571" t="str">
            <v>ANDA06</v>
          </cell>
          <cell r="M571" t="str">
            <v>Andalan Tani/Indah</v>
          </cell>
          <cell r="N571" t="str">
            <v>Slamet Efendi</v>
          </cell>
          <cell r="O571" t="str">
            <v>Dsn Balonggebang RT.009/RW.004, Kel. Balonggebang, Kec. Gondang</v>
          </cell>
          <cell r="P571" t="str">
            <v>Nganjuk</v>
          </cell>
          <cell r="Q571" t="str">
            <v>Kedung Celeng, Kel. Ketawang, Kec. Gondang</v>
          </cell>
          <cell r="R571" t="str">
            <v>Nganjuk</v>
          </cell>
          <cell r="S571" t="str">
            <v>D Barat1</v>
          </cell>
          <cell r="T571" t="str">
            <v>Dian</v>
          </cell>
          <cell r="U571">
            <v>60</v>
          </cell>
        </row>
        <row r="572">
          <cell r="E572" t="str">
            <v>T25001613</v>
          </cell>
          <cell r="F572"/>
          <cell r="G572">
            <v>20000000</v>
          </cell>
          <cell r="H572" t="str">
            <v>Reni</v>
          </cell>
          <cell r="I572" t="str">
            <v>Farida</v>
          </cell>
          <cell r="J572" t="str">
            <v>New 28/06/24</v>
          </cell>
          <cell r="K572" t="str">
            <v>CBD</v>
          </cell>
          <cell r="L572" t="str">
            <v>ANDA06</v>
          </cell>
          <cell r="M572" t="str">
            <v>Andalan Tani/Indah</v>
          </cell>
          <cell r="N572" t="str">
            <v>Slamet Efendi</v>
          </cell>
          <cell r="O572" t="str">
            <v>Dsn Balonggebang RT.009/RW.004, Kel. Balonggebang, Kec. Gondang</v>
          </cell>
          <cell r="P572" t="str">
            <v>Nganjuk</v>
          </cell>
          <cell r="Q572" t="str">
            <v>Kedung Celeng, Kel. Ketawang, Kec. Gondang</v>
          </cell>
          <cell r="R572" t="str">
            <v>Nganjuk</v>
          </cell>
          <cell r="S572" t="str">
            <v>D Barat1</v>
          </cell>
          <cell r="T572" t="str">
            <v>Dian</v>
          </cell>
          <cell r="U572">
            <v>60</v>
          </cell>
        </row>
        <row r="573">
          <cell r="E573" t="str">
            <v>T25001614</v>
          </cell>
          <cell r="F573"/>
          <cell r="G573">
            <v>20000000</v>
          </cell>
          <cell r="H573" t="str">
            <v>Reni</v>
          </cell>
          <cell r="I573" t="str">
            <v>Farida</v>
          </cell>
          <cell r="J573" t="str">
            <v>New 28/06/24</v>
          </cell>
          <cell r="K573" t="str">
            <v>CBD</v>
          </cell>
          <cell r="L573" t="str">
            <v>ANDA06</v>
          </cell>
          <cell r="M573" t="str">
            <v>Andalan Tani/Indah</v>
          </cell>
          <cell r="N573" t="str">
            <v>Slamet Efendi</v>
          </cell>
          <cell r="O573" t="str">
            <v>Dsn Balonggebang RT.009/RW.004, Kel. Balonggebang, Kec. Gondang</v>
          </cell>
          <cell r="P573" t="str">
            <v>Nganjuk</v>
          </cell>
          <cell r="Q573" t="str">
            <v>Kedung Celeng, Kel. Ketawang, Kec. Gondang</v>
          </cell>
          <cell r="R573" t="str">
            <v>Nganjuk</v>
          </cell>
          <cell r="S573" t="str">
            <v>D Barat1</v>
          </cell>
          <cell r="T573" t="str">
            <v>Dian</v>
          </cell>
          <cell r="U573">
            <v>60</v>
          </cell>
        </row>
        <row r="574">
          <cell r="E574" t="str">
            <v>D25012045</v>
          </cell>
          <cell r="F574"/>
          <cell r="G574">
            <v>50000000</v>
          </cell>
          <cell r="H574" t="str">
            <v>Reni</v>
          </cell>
          <cell r="I574" t="str">
            <v>Farida</v>
          </cell>
          <cell r="J574" t="str">
            <v>New 13/07/20</v>
          </cell>
          <cell r="K574" t="str">
            <v>KU</v>
          </cell>
          <cell r="L574" t="str">
            <v>ANDA02</v>
          </cell>
          <cell r="M574" t="str">
            <v>Andalas Farm, UD</v>
          </cell>
          <cell r="N574" t="str">
            <v>Agung Gunawan</v>
          </cell>
          <cell r="O574" t="str">
            <v>Keras Kulon RT.002/RW.001, Kel. Keras Kulon, Kec. Gerih</v>
          </cell>
          <cell r="P574" t="str">
            <v>Ngawi</v>
          </cell>
          <cell r="Q574" t="str">
            <v>Keras Kulon RT.002/RW.001, Kel. Keras Kulon, Kec. Gerih</v>
          </cell>
          <cell r="R574" t="str">
            <v>Ngawi</v>
          </cell>
          <cell r="S574" t="str">
            <v>D Barat1</v>
          </cell>
          <cell r="T574" t="str">
            <v>Dian</v>
          </cell>
          <cell r="U574">
            <v>60</v>
          </cell>
        </row>
        <row r="575">
          <cell r="E575" t="str">
            <v>D25012045</v>
          </cell>
          <cell r="F575"/>
          <cell r="G575">
            <v>50000000</v>
          </cell>
          <cell r="H575" t="str">
            <v>Reni</v>
          </cell>
          <cell r="I575" t="str">
            <v>Farida</v>
          </cell>
          <cell r="J575" t="str">
            <v>New 13/07/20</v>
          </cell>
          <cell r="K575" t="str">
            <v>KU</v>
          </cell>
          <cell r="L575" t="str">
            <v>ANDA02</v>
          </cell>
          <cell r="M575" t="str">
            <v>Andalas Farm, UD</v>
          </cell>
          <cell r="N575" t="str">
            <v>Agung Gunawan</v>
          </cell>
          <cell r="O575" t="str">
            <v>Keras Kulon RT.002/RW.001, Kel. Keras Kulon, Kec. Gerih</v>
          </cell>
          <cell r="P575" t="str">
            <v>Ngawi</v>
          </cell>
          <cell r="Q575" t="str">
            <v>Keras Kulon RT.002/RW.001, Kel. Keras Kulon, Kec. Gerih</v>
          </cell>
          <cell r="R575" t="str">
            <v>Ngawi</v>
          </cell>
          <cell r="S575" t="str">
            <v>D Barat1</v>
          </cell>
          <cell r="T575" t="str">
            <v>Dian</v>
          </cell>
          <cell r="U575">
            <v>60</v>
          </cell>
        </row>
        <row r="576">
          <cell r="E576" t="str">
            <v>B25010195</v>
          </cell>
          <cell r="F576"/>
          <cell r="G576">
            <v>50000000</v>
          </cell>
          <cell r="H576" t="str">
            <v>Reni</v>
          </cell>
          <cell r="I576" t="str">
            <v>Farida</v>
          </cell>
          <cell r="J576" t="str">
            <v>New 13/07/20</v>
          </cell>
          <cell r="K576" t="str">
            <v>KU</v>
          </cell>
          <cell r="L576" t="str">
            <v>ANDA02</v>
          </cell>
          <cell r="M576" t="str">
            <v>Andalas Farm, UD</v>
          </cell>
          <cell r="N576" t="str">
            <v>Agung Gunawan</v>
          </cell>
          <cell r="O576" t="str">
            <v>Keras Kulon RT.002/RW.001, Kel. Keras Kulon, Kec. Gerih</v>
          </cell>
          <cell r="P576" t="str">
            <v>Ngawi</v>
          </cell>
          <cell r="Q576" t="str">
            <v>Keras Kulon RT.002/RW.001, Kel. Keras Kulon, Kec. Gerih</v>
          </cell>
          <cell r="R576" t="str">
            <v>Ngawi</v>
          </cell>
          <cell r="S576" t="str">
            <v>D Barat1</v>
          </cell>
          <cell r="T576" t="str">
            <v>Dian</v>
          </cell>
          <cell r="U576">
            <v>60</v>
          </cell>
        </row>
        <row r="577">
          <cell r="E577" t="str">
            <v>B25010195</v>
          </cell>
          <cell r="F577"/>
          <cell r="G577">
            <v>50000000</v>
          </cell>
          <cell r="H577" t="str">
            <v>Reni</v>
          </cell>
          <cell r="I577" t="str">
            <v>Farida</v>
          </cell>
          <cell r="J577" t="str">
            <v>New 13/07/20</v>
          </cell>
          <cell r="K577" t="str">
            <v>KU</v>
          </cell>
          <cell r="L577" t="str">
            <v>ANDA02</v>
          </cell>
          <cell r="M577" t="str">
            <v>Andalas Farm, UD</v>
          </cell>
          <cell r="N577" t="str">
            <v>Agung Gunawan</v>
          </cell>
          <cell r="O577" t="str">
            <v>Keras Kulon RT.002/RW.001, Kel. Keras Kulon, Kec. Gerih</v>
          </cell>
          <cell r="P577" t="str">
            <v>Ngawi</v>
          </cell>
          <cell r="Q577" t="str">
            <v>Keras Kulon RT.002/RW.001, Kel. Keras Kulon, Kec. Gerih</v>
          </cell>
          <cell r="R577" t="str">
            <v>Ngawi</v>
          </cell>
          <cell r="S577" t="str">
            <v>D Barat1</v>
          </cell>
          <cell r="T577" t="str">
            <v>Dian</v>
          </cell>
          <cell r="U577">
            <v>60</v>
          </cell>
        </row>
        <row r="578">
          <cell r="E578" t="str">
            <v>B25010872</v>
          </cell>
          <cell r="F578"/>
          <cell r="G578">
            <v>50000000</v>
          </cell>
          <cell r="H578" t="str">
            <v>Reni</v>
          </cell>
          <cell r="I578" t="str">
            <v>Farida</v>
          </cell>
          <cell r="J578" t="str">
            <v>New 13/07/20</v>
          </cell>
          <cell r="K578" t="str">
            <v>KU</v>
          </cell>
          <cell r="L578" t="str">
            <v>ANDA02</v>
          </cell>
          <cell r="M578" t="str">
            <v>Andalas Farm, UD</v>
          </cell>
          <cell r="N578" t="str">
            <v>Agung Gunawan</v>
          </cell>
          <cell r="O578" t="str">
            <v>Keras Kulon RT.002/RW.001, Kel. Keras Kulon, Kec. Gerih</v>
          </cell>
          <cell r="P578" t="str">
            <v>Ngawi</v>
          </cell>
          <cell r="Q578" t="str">
            <v>Keras Kulon RT.002/RW.001, Kel. Keras Kulon, Kec. Gerih</v>
          </cell>
          <cell r="R578" t="str">
            <v>Ngawi</v>
          </cell>
          <cell r="S578" t="str">
            <v>D Barat1</v>
          </cell>
          <cell r="T578" t="str">
            <v>Dian</v>
          </cell>
          <cell r="U578">
            <v>60</v>
          </cell>
        </row>
        <row r="579">
          <cell r="E579" t="str">
            <v>B25010872</v>
          </cell>
          <cell r="F579"/>
          <cell r="G579">
            <v>50000000</v>
          </cell>
          <cell r="H579" t="str">
            <v>Reni</v>
          </cell>
          <cell r="I579" t="str">
            <v>Farida</v>
          </cell>
          <cell r="J579" t="str">
            <v>New 13/07/20</v>
          </cell>
          <cell r="K579" t="str">
            <v>KU</v>
          </cell>
          <cell r="L579" t="str">
            <v>ANDA02</v>
          </cell>
          <cell r="M579" t="str">
            <v>Andalas Farm, UD</v>
          </cell>
          <cell r="N579" t="str">
            <v>Agung Gunawan</v>
          </cell>
          <cell r="O579" t="str">
            <v>Keras Kulon RT.002/RW.001, Kel. Keras Kulon, Kec. Gerih</v>
          </cell>
          <cell r="P579" t="str">
            <v>Ngawi</v>
          </cell>
          <cell r="Q579" t="str">
            <v>Keras Kulon RT.002/RW.001, Kel. Keras Kulon, Kec. Gerih</v>
          </cell>
          <cell r="R579" t="str">
            <v>Ngawi</v>
          </cell>
          <cell r="S579" t="str">
            <v>D Barat1</v>
          </cell>
          <cell r="T579" t="str">
            <v>Dian</v>
          </cell>
          <cell r="U579">
            <v>60</v>
          </cell>
        </row>
        <row r="580">
          <cell r="E580" t="str">
            <v>B25011750</v>
          </cell>
          <cell r="F580"/>
          <cell r="G580">
            <v>50000000</v>
          </cell>
          <cell r="H580" t="str">
            <v>Reni</v>
          </cell>
          <cell r="I580" t="str">
            <v>Farida</v>
          </cell>
          <cell r="J580" t="str">
            <v>New 13/07/20</v>
          </cell>
          <cell r="K580" t="str">
            <v>KU</v>
          </cell>
          <cell r="L580" t="str">
            <v>ANDA02</v>
          </cell>
          <cell r="M580" t="str">
            <v>Andalas Farm, UD</v>
          </cell>
          <cell r="N580" t="str">
            <v>Agung Gunawan</v>
          </cell>
          <cell r="O580" t="str">
            <v>Keras Kulon RT.002/RW.001, Kel. Keras Kulon, Kec. Gerih</v>
          </cell>
          <cell r="P580" t="str">
            <v>Ngawi</v>
          </cell>
          <cell r="Q580" t="str">
            <v>Keras Kulon RT.002/RW.001, Kel. Keras Kulon, Kec. Gerih</v>
          </cell>
          <cell r="R580" t="str">
            <v>Ngawi</v>
          </cell>
          <cell r="S580" t="str">
            <v>D Barat1</v>
          </cell>
          <cell r="T580" t="str">
            <v>Dian</v>
          </cell>
          <cell r="U580">
            <v>60</v>
          </cell>
        </row>
        <row r="581">
          <cell r="E581" t="str">
            <v>B25012764</v>
          </cell>
          <cell r="F581"/>
          <cell r="G581">
            <v>50000000</v>
          </cell>
          <cell r="H581" t="str">
            <v>Reni</v>
          </cell>
          <cell r="I581" t="str">
            <v>Farida</v>
          </cell>
          <cell r="J581" t="str">
            <v>New 13/07/20</v>
          </cell>
          <cell r="K581" t="str">
            <v>KU</v>
          </cell>
          <cell r="L581" t="str">
            <v>ANDA02</v>
          </cell>
          <cell r="M581" t="str">
            <v>Andalas Farm, UD</v>
          </cell>
          <cell r="N581" t="str">
            <v>Agung Gunawan</v>
          </cell>
          <cell r="O581" t="str">
            <v>Keras Kulon RT.002/RW.001, Kel. Keras Kulon, Kec. Gerih</v>
          </cell>
          <cell r="P581" t="str">
            <v>Ngawi</v>
          </cell>
          <cell r="Q581" t="str">
            <v>Keras Kulon RT.002/RW.001, Kel. Keras Kulon, Kec. Gerih</v>
          </cell>
          <cell r="R581" t="str">
            <v>Ngawi</v>
          </cell>
          <cell r="S581" t="str">
            <v>D Barat1</v>
          </cell>
          <cell r="T581" t="str">
            <v>Dian</v>
          </cell>
          <cell r="U581">
            <v>60</v>
          </cell>
        </row>
        <row r="582">
          <cell r="E582" t="str">
            <v>B25013133</v>
          </cell>
          <cell r="F582"/>
          <cell r="G582">
            <v>50000000</v>
          </cell>
          <cell r="H582" t="str">
            <v>Reni</v>
          </cell>
          <cell r="I582" t="str">
            <v>Farida</v>
          </cell>
          <cell r="J582" t="str">
            <v>New 13/07/20</v>
          </cell>
          <cell r="K582" t="str">
            <v>KU</v>
          </cell>
          <cell r="L582" t="str">
            <v>ANDA02</v>
          </cell>
          <cell r="M582" t="str">
            <v>Andalas Farm, UD</v>
          </cell>
          <cell r="N582" t="str">
            <v>Agung Gunawan</v>
          </cell>
          <cell r="O582" t="str">
            <v>Keras Kulon RT.002/RW.001, Kel. Keras Kulon, Kec. Gerih</v>
          </cell>
          <cell r="P582" t="str">
            <v>Ngawi</v>
          </cell>
          <cell r="Q582" t="str">
            <v>Keras Kulon RT.002/RW.001, Kel. Keras Kulon, Kec. Gerih</v>
          </cell>
          <cell r="R582" t="str">
            <v>Ngawi</v>
          </cell>
          <cell r="S582" t="str">
            <v>D Barat1</v>
          </cell>
          <cell r="T582" t="str">
            <v>Dian</v>
          </cell>
          <cell r="U582">
            <v>60</v>
          </cell>
        </row>
        <row r="583">
          <cell r="E583" t="str">
            <v>D25013973</v>
          </cell>
          <cell r="F583"/>
          <cell r="G583">
            <v>30000000</v>
          </cell>
          <cell r="H583" t="str">
            <v>Yuyun</v>
          </cell>
          <cell r="I583" t="str">
            <v>Farida</v>
          </cell>
          <cell r="J583"/>
          <cell r="K583" t="str">
            <v>KU</v>
          </cell>
          <cell r="L583" t="str">
            <v>RIYA02</v>
          </cell>
          <cell r="M583" t="str">
            <v>Andika Makmur</v>
          </cell>
          <cell r="N583" t="str">
            <v>Riyadi</v>
          </cell>
          <cell r="O583" t="str">
            <v>Dsn. Bregoh, RT.002/RW.029 Sumberrejo, Ambulu, Kab. Jember</v>
          </cell>
          <cell r="P583" t="str">
            <v>Jember</v>
          </cell>
          <cell r="Q583" t="str">
            <v>Dsn. Bregoh, RT.002/RW.029 Sumberrejo, Ambulu, Kab. Jember</v>
          </cell>
          <cell r="R583" t="str">
            <v>Jember</v>
          </cell>
          <cell r="S583" t="str">
            <v>L Kota2</v>
          </cell>
          <cell r="T583" t="str">
            <v>Efendi</v>
          </cell>
          <cell r="U583">
            <v>30</v>
          </cell>
        </row>
        <row r="584">
          <cell r="E584" t="str">
            <v>D25015909</v>
          </cell>
          <cell r="F584"/>
          <cell r="G584">
            <v>30000000</v>
          </cell>
          <cell r="H584" t="str">
            <v>Yuyun</v>
          </cell>
          <cell r="I584" t="str">
            <v>Farida</v>
          </cell>
          <cell r="J584"/>
          <cell r="K584" t="str">
            <v>KU</v>
          </cell>
          <cell r="L584" t="str">
            <v>RIYA02</v>
          </cell>
          <cell r="M584" t="str">
            <v>Andika Makmur</v>
          </cell>
          <cell r="N584" t="str">
            <v>Riyadi</v>
          </cell>
          <cell r="O584" t="str">
            <v>Dsn. Bregoh, RT.002/RW.029 Sumberrejo, Ambulu, Kab. Jember</v>
          </cell>
          <cell r="P584" t="str">
            <v>Jember</v>
          </cell>
          <cell r="Q584" t="str">
            <v>Dsn. Bregoh, RT.002/RW.029 Sumberrejo, Ambulu, Kab. Jember</v>
          </cell>
          <cell r="R584" t="str">
            <v>Jember</v>
          </cell>
          <cell r="S584" t="str">
            <v>L Kota2</v>
          </cell>
          <cell r="T584" t="str">
            <v>Efendi</v>
          </cell>
          <cell r="U584">
            <v>30</v>
          </cell>
        </row>
        <row r="585">
          <cell r="E585" t="str">
            <v>D25006386</v>
          </cell>
          <cell r="F585"/>
          <cell r="G585">
            <v>1000</v>
          </cell>
          <cell r="H585" t="str">
            <v>Yuyun</v>
          </cell>
          <cell r="I585" t="str">
            <v>Farida</v>
          </cell>
          <cell r="J585" t="str">
            <v>New 05/05/24</v>
          </cell>
          <cell r="K585" t="str">
            <v>CBD</v>
          </cell>
          <cell r="L585" t="str">
            <v>ANDR21</v>
          </cell>
          <cell r="M585" t="str">
            <v>Andri Pristianto</v>
          </cell>
          <cell r="N585" t="str">
            <v>Andri Pristianto</v>
          </cell>
          <cell r="O585" t="str">
            <v>Perum Pondok Gede Permai EA-12 RT.005/RW.033 , Kel. Tegal Besar Kec. Kaliwates</v>
          </cell>
          <cell r="P585" t="str">
            <v>Jember</v>
          </cell>
          <cell r="Q585" t="str">
            <v>Perum Pondok Gede Permai EA-12 RT.005/RW.033 , Kel. Tegal Besar Kec. Kaliwates</v>
          </cell>
          <cell r="R585" t="str">
            <v>Jember</v>
          </cell>
          <cell r="S585" t="str">
            <v>L Kota1</v>
          </cell>
          <cell r="T585" t="str">
            <v>Wira</v>
          </cell>
          <cell r="U585">
            <v>0</v>
          </cell>
        </row>
        <row r="586">
          <cell r="E586" t="str">
            <v>B25009086</v>
          </cell>
          <cell r="F586"/>
          <cell r="G586">
            <v>1000000000</v>
          </cell>
          <cell r="H586" t="str">
            <v>Hendra</v>
          </cell>
          <cell r="I586" t="str">
            <v>Tiya</v>
          </cell>
          <cell r="J586"/>
          <cell r="K586" t="str">
            <v>KU</v>
          </cell>
          <cell r="L586" t="str">
            <v>ANEK03</v>
          </cell>
          <cell r="M586" t="str">
            <v>Aneka Tani/Efendi</v>
          </cell>
          <cell r="N586" t="str">
            <v>Aneka Tani Abadi, CV</v>
          </cell>
          <cell r="O586" t="str">
            <v>Inowa No.130, Kel. Puunaha, Kec. Unaaha Kab. Konawe</v>
          </cell>
          <cell r="P586" t="str">
            <v>Sulawesi Tenggara</v>
          </cell>
          <cell r="Q586" t="str">
            <v>Inowa No.130, Kel. Puunaha, Kec. Unaaha Kab. Konawe</v>
          </cell>
          <cell r="R586" t="str">
            <v>Sulawesi Tenggara</v>
          </cell>
          <cell r="S586" t="str">
            <v>E Luar Pulau1</v>
          </cell>
          <cell r="T586" t="str">
            <v>Non SE &amp; JSE</v>
          </cell>
          <cell r="U586">
            <v>60</v>
          </cell>
        </row>
        <row r="587">
          <cell r="E587" t="str">
            <v>B25009734</v>
          </cell>
          <cell r="F587"/>
          <cell r="G587">
            <v>1000000000</v>
          </cell>
          <cell r="H587" t="str">
            <v>Hendra</v>
          </cell>
          <cell r="I587" t="str">
            <v>Tiya</v>
          </cell>
          <cell r="J587"/>
          <cell r="K587" t="str">
            <v>KU</v>
          </cell>
          <cell r="L587" t="str">
            <v>ANEK03</v>
          </cell>
          <cell r="M587" t="str">
            <v>Aneka Tani/Efendi</v>
          </cell>
          <cell r="N587" t="str">
            <v>Aneka Tani Abadi, CV</v>
          </cell>
          <cell r="O587" t="str">
            <v>Inowa No.130, Kel. Puunaha, Kec. Unaaha Kab. Konawe</v>
          </cell>
          <cell r="P587" t="str">
            <v>Sulawesi Tenggara</v>
          </cell>
          <cell r="Q587" t="str">
            <v>Inowa No.130, Kel. Puunaha, Kec. Unaaha Kab. Konawe</v>
          </cell>
          <cell r="R587" t="str">
            <v>Sulawesi Tenggara</v>
          </cell>
          <cell r="S587" t="str">
            <v>E Luar Pulau1</v>
          </cell>
          <cell r="T587" t="str">
            <v>Non SE &amp; JSE</v>
          </cell>
          <cell r="U587">
            <v>60</v>
          </cell>
        </row>
        <row r="588">
          <cell r="E588" t="str">
            <v>D25015241</v>
          </cell>
          <cell r="F588"/>
          <cell r="G588">
            <v>1000000000</v>
          </cell>
          <cell r="H588" t="str">
            <v>Hendra</v>
          </cell>
          <cell r="I588" t="str">
            <v>Tiya</v>
          </cell>
          <cell r="J588"/>
          <cell r="K588" t="str">
            <v>KU</v>
          </cell>
          <cell r="L588" t="str">
            <v>ANEK03</v>
          </cell>
          <cell r="M588" t="str">
            <v>Aneka Tani/Efendi</v>
          </cell>
          <cell r="N588" t="str">
            <v>Aneka Tani Abadi, CV</v>
          </cell>
          <cell r="O588" t="str">
            <v>Inowa No.130, Kel. Puunaha, Kec. Unaaha Kab. Konawe</v>
          </cell>
          <cell r="P588" t="str">
            <v>Sulawesi Tenggara</v>
          </cell>
          <cell r="Q588" t="str">
            <v>Inowa No.130, Kel. Puunaha, Kec. Unaaha Kab. Konawe</v>
          </cell>
          <cell r="R588" t="str">
            <v>Sulawesi Tenggara</v>
          </cell>
          <cell r="S588" t="str">
            <v>E Luar Pulau1</v>
          </cell>
          <cell r="T588" t="str">
            <v>Non SE &amp; JSE</v>
          </cell>
          <cell r="U588">
            <v>60</v>
          </cell>
        </row>
        <row r="589">
          <cell r="E589" t="str">
            <v>N25000060</v>
          </cell>
          <cell r="F589"/>
          <cell r="G589">
            <v>1000</v>
          </cell>
          <cell r="H589" t="str">
            <v>Yuyun</v>
          </cell>
          <cell r="I589" t="str">
            <v>Syahra</v>
          </cell>
          <cell r="J589" t="str">
            <v>New 01/04/20</v>
          </cell>
          <cell r="K589" t="str">
            <v>KU</v>
          </cell>
          <cell r="L589" t="str">
            <v>ANGG06</v>
          </cell>
          <cell r="M589" t="str">
            <v>Angga Dedi/SGI</v>
          </cell>
          <cell r="N589" t="str">
            <v>Angga Dedi Susanto</v>
          </cell>
          <cell r="O589" t="str">
            <v>Dsn. Krajan, RT.002/RW.009 Kel. Sabrang, Kec. Ambulu</v>
          </cell>
          <cell r="P589" t="str">
            <v>Jember</v>
          </cell>
          <cell r="Q589" t="str">
            <v>Genteng (081 216698 581)</v>
          </cell>
          <cell r="R589" t="str">
            <v>Banyuwangi</v>
          </cell>
          <cell r="S589" t="str">
            <v>B Agronomis</v>
          </cell>
          <cell r="T589" t="str">
            <v>Hafid</v>
          </cell>
          <cell r="U589">
            <v>0</v>
          </cell>
        </row>
        <row r="590">
          <cell r="E590" t="str">
            <v>D25011786</v>
          </cell>
          <cell r="F590"/>
          <cell r="G590">
            <v>50000000</v>
          </cell>
          <cell r="H590" t="str">
            <v>Yuyun</v>
          </cell>
          <cell r="I590" t="str">
            <v>Farida</v>
          </cell>
          <cell r="J590"/>
          <cell r="K590" t="str">
            <v>KU, Tunai</v>
          </cell>
          <cell r="L590" t="str">
            <v>ANGG01</v>
          </cell>
          <cell r="M590" t="str">
            <v>Anggoro Makmur/Yayuk</v>
          </cell>
          <cell r="N590" t="str">
            <v>Siti Rahayu</v>
          </cell>
          <cell r="O590" t="str">
            <v>Dsn. Gambirono, RT.003/RW.004 Kel. Gambirono, Kec. Bangsalsari</v>
          </cell>
          <cell r="P590" t="str">
            <v>Jember</v>
          </cell>
          <cell r="Q590" t="str">
            <v>Gambirono No. 17 Tanggul</v>
          </cell>
          <cell r="R590" t="str">
            <v>Jember</v>
          </cell>
          <cell r="S590" t="str">
            <v>L Kota3</v>
          </cell>
          <cell r="T590" t="str">
            <v>Wira</v>
          </cell>
          <cell r="U590">
            <v>30</v>
          </cell>
        </row>
        <row r="591">
          <cell r="E591" t="str">
            <v>D25011786</v>
          </cell>
          <cell r="F591"/>
          <cell r="G591">
            <v>50000000</v>
          </cell>
          <cell r="H591" t="str">
            <v>Yuyun</v>
          </cell>
          <cell r="I591" t="str">
            <v>Farida</v>
          </cell>
          <cell r="J591"/>
          <cell r="K591" t="str">
            <v>KU, Tunai</v>
          </cell>
          <cell r="L591" t="str">
            <v>ANGG01</v>
          </cell>
          <cell r="M591" t="str">
            <v>Anggoro Makmur/Yayuk</v>
          </cell>
          <cell r="N591" t="str">
            <v>Siti Rahayu</v>
          </cell>
          <cell r="O591" t="str">
            <v>Dsn. Gambirono, RT.003/RW.004 Kel. Gambirono, Kec. Bangsalsari</v>
          </cell>
          <cell r="P591" t="str">
            <v>Jember</v>
          </cell>
          <cell r="Q591" t="str">
            <v>Gambirono No. 17 Tanggul</v>
          </cell>
          <cell r="R591" t="str">
            <v>Jember</v>
          </cell>
          <cell r="S591" t="str">
            <v>L Kota3</v>
          </cell>
          <cell r="T591" t="str">
            <v>Wira</v>
          </cell>
          <cell r="U591">
            <v>30</v>
          </cell>
        </row>
        <row r="592">
          <cell r="E592" t="str">
            <v>B25011544</v>
          </cell>
          <cell r="F592"/>
          <cell r="G592">
            <v>50000000</v>
          </cell>
          <cell r="H592" t="str">
            <v>Yuyun</v>
          </cell>
          <cell r="I592" t="str">
            <v>Farida</v>
          </cell>
          <cell r="J592"/>
          <cell r="K592" t="str">
            <v>KU, Tunai</v>
          </cell>
          <cell r="L592" t="str">
            <v>ANGG01</v>
          </cell>
          <cell r="M592" t="str">
            <v>Anggoro Makmur/Yayuk</v>
          </cell>
          <cell r="N592" t="str">
            <v>Siti Rahayu</v>
          </cell>
          <cell r="O592" t="str">
            <v>Dsn. Gambirono, RT.003/RW.004 Kel. Gambirono, Kec. Bangsalsari</v>
          </cell>
          <cell r="P592" t="str">
            <v>Jember</v>
          </cell>
          <cell r="Q592" t="str">
            <v>Gambirono No. 17 Tanggul</v>
          </cell>
          <cell r="R592" t="str">
            <v>Jember</v>
          </cell>
          <cell r="S592" t="str">
            <v>L Kota3</v>
          </cell>
          <cell r="T592" t="str">
            <v>Wira</v>
          </cell>
          <cell r="U592">
            <v>30</v>
          </cell>
        </row>
        <row r="593">
          <cell r="E593" t="str">
            <v>B25011545</v>
          </cell>
          <cell r="F593"/>
          <cell r="G593">
            <v>50000000</v>
          </cell>
          <cell r="H593" t="str">
            <v>Yuyun</v>
          </cell>
          <cell r="I593" t="str">
            <v>Farida</v>
          </cell>
          <cell r="J593"/>
          <cell r="K593" t="str">
            <v>KU, Tunai</v>
          </cell>
          <cell r="L593" t="str">
            <v>ANGG01</v>
          </cell>
          <cell r="M593" t="str">
            <v>Anggoro Makmur/Yayuk</v>
          </cell>
          <cell r="N593" t="str">
            <v>Siti Rahayu</v>
          </cell>
          <cell r="O593" t="str">
            <v>Dsn. Gambirono, RT.003/RW.004 Kel. Gambirono, Kec. Bangsalsari</v>
          </cell>
          <cell r="P593" t="str">
            <v>Jember</v>
          </cell>
          <cell r="Q593" t="str">
            <v>Gambirono No. 17 Tanggul</v>
          </cell>
          <cell r="R593" t="str">
            <v>Jember</v>
          </cell>
          <cell r="S593" t="str">
            <v>L Kota3</v>
          </cell>
          <cell r="T593" t="str">
            <v>Wira</v>
          </cell>
          <cell r="U593">
            <v>30</v>
          </cell>
        </row>
        <row r="594">
          <cell r="E594" t="str">
            <v>D25010886</v>
          </cell>
          <cell r="F594"/>
          <cell r="G594">
            <v>10000000000</v>
          </cell>
          <cell r="H594" t="str">
            <v>Faris</v>
          </cell>
          <cell r="I594" t="str">
            <v>Syahra</v>
          </cell>
          <cell r="J594"/>
          <cell r="K594" t="str">
            <v>KU</v>
          </cell>
          <cell r="L594" t="str">
            <v>ANGK01</v>
          </cell>
          <cell r="M594" t="str">
            <v>Angka Jaya</v>
          </cell>
          <cell r="N594" t="str">
            <v>Anugerah Agro Mandiri, PT</v>
          </cell>
          <cell r="O594" t="str">
            <v>Jl. Muncar No. 228, Dsn. Krajan RT.003/RW.001, Kebaman, Srono</v>
          </cell>
          <cell r="P594" t="str">
            <v>Banyuwangi</v>
          </cell>
          <cell r="Q594" t="str">
            <v>Jl. Muncar No. 228, Dsn. Krajan RT.003/RW.001, Kebaman, Srono</v>
          </cell>
          <cell r="R594" t="str">
            <v>Banyuwangi</v>
          </cell>
          <cell r="S594" t="str">
            <v>H Bwi2</v>
          </cell>
          <cell r="T594" t="str">
            <v>Hafid</v>
          </cell>
          <cell r="U594">
            <v>60</v>
          </cell>
        </row>
        <row r="595">
          <cell r="E595" t="str">
            <v>D25014458</v>
          </cell>
          <cell r="F595"/>
          <cell r="G595">
            <v>10000000000</v>
          </cell>
          <cell r="H595" t="str">
            <v>Faris</v>
          </cell>
          <cell r="I595" t="str">
            <v>Syahra</v>
          </cell>
          <cell r="J595"/>
          <cell r="K595" t="str">
            <v>KU</v>
          </cell>
          <cell r="L595" t="str">
            <v>ANGK01</v>
          </cell>
          <cell r="M595" t="str">
            <v>Angka Jaya</v>
          </cell>
          <cell r="N595" t="str">
            <v>Anugerah Agro Mandiri, PT</v>
          </cell>
          <cell r="O595" t="str">
            <v>Jl. Muncar No. 228, Dsn. Krajan RT.003/RW.001, Kebaman, Srono</v>
          </cell>
          <cell r="P595" t="str">
            <v>Banyuwangi</v>
          </cell>
          <cell r="Q595" t="str">
            <v>Jl. Muncar No. 228, Dsn. Krajan RT.003/RW.001, Kebaman, Srono</v>
          </cell>
          <cell r="R595" t="str">
            <v>Banyuwangi</v>
          </cell>
          <cell r="S595" t="str">
            <v>H Bwi2</v>
          </cell>
          <cell r="T595" t="str">
            <v>Hafid</v>
          </cell>
          <cell r="U595">
            <v>60</v>
          </cell>
        </row>
        <row r="596">
          <cell r="E596" t="str">
            <v>B25012692</v>
          </cell>
          <cell r="F596"/>
          <cell r="G596">
            <v>10000000000</v>
          </cell>
          <cell r="H596" t="str">
            <v>Faris</v>
          </cell>
          <cell r="I596" t="str">
            <v>Syahra</v>
          </cell>
          <cell r="J596"/>
          <cell r="K596" t="str">
            <v>KU</v>
          </cell>
          <cell r="L596" t="str">
            <v>ANGK01</v>
          </cell>
          <cell r="M596" t="str">
            <v>Angka Jaya</v>
          </cell>
          <cell r="N596" t="str">
            <v>Anugerah Agro Mandiri, PT</v>
          </cell>
          <cell r="O596" t="str">
            <v>Jl. Muncar No. 228, Dsn. Krajan RT.003/RW.001, Kebaman, Srono</v>
          </cell>
          <cell r="P596" t="str">
            <v>Banyuwangi</v>
          </cell>
          <cell r="Q596" t="str">
            <v>Jl. Muncar No. 228, Dsn. Krajan RT.003/RW.001, Kebaman, Srono</v>
          </cell>
          <cell r="R596" t="str">
            <v>Banyuwangi</v>
          </cell>
          <cell r="S596" t="str">
            <v>H Bwi2</v>
          </cell>
          <cell r="T596" t="str">
            <v>Hafid</v>
          </cell>
          <cell r="U596">
            <v>60</v>
          </cell>
        </row>
        <row r="597">
          <cell r="E597" t="str">
            <v>B25014054</v>
          </cell>
          <cell r="F597"/>
          <cell r="G597">
            <v>10000000000</v>
          </cell>
          <cell r="H597" t="str">
            <v>Faris</v>
          </cell>
          <cell r="I597" t="str">
            <v>Syahra</v>
          </cell>
          <cell r="J597"/>
          <cell r="K597" t="str">
            <v>KU</v>
          </cell>
          <cell r="L597" t="str">
            <v>ANGK01</v>
          </cell>
          <cell r="M597" t="str">
            <v>Angka Jaya</v>
          </cell>
          <cell r="N597" t="str">
            <v>Anugerah Agro Mandiri, PT</v>
          </cell>
          <cell r="O597" t="str">
            <v>Jl. Muncar No. 228, Dsn. Krajan RT.003/RW.001, Kebaman, Srono</v>
          </cell>
          <cell r="P597" t="str">
            <v>Banyuwangi</v>
          </cell>
          <cell r="Q597" t="str">
            <v>Jl. Muncar No. 228, Dsn. Krajan RT.003/RW.001, Kebaman, Srono</v>
          </cell>
          <cell r="R597" t="str">
            <v>Banyuwangi</v>
          </cell>
          <cell r="S597" t="str">
            <v>H Bwi2</v>
          </cell>
          <cell r="T597" t="str">
            <v>Hafid</v>
          </cell>
          <cell r="U597">
            <v>60</v>
          </cell>
        </row>
        <row r="598">
          <cell r="E598" t="str">
            <v>D25010941</v>
          </cell>
          <cell r="F598"/>
          <cell r="G598">
            <v>30000000</v>
          </cell>
          <cell r="H598" t="str">
            <v>Reni</v>
          </cell>
          <cell r="I598" t="str">
            <v>Farida</v>
          </cell>
          <cell r="J598" t="str">
            <v>New 28/01/21</v>
          </cell>
          <cell r="K598" t="str">
            <v>KU</v>
          </cell>
          <cell r="L598" t="str">
            <v>ANOM01</v>
          </cell>
          <cell r="M598" t="str">
            <v>Anom Tani/ Thanthawy</v>
          </cell>
          <cell r="N598" t="str">
            <v>Thanthawy Jauhari</v>
          </cell>
          <cell r="O598" t="str">
            <v>RT.020/RW.002, Kel. Pucanganom, Kec. Kebonsari</v>
          </cell>
          <cell r="P598" t="str">
            <v>Madiun</v>
          </cell>
          <cell r="Q598" t="str">
            <v>RT.020/RW.002, Kel. Pucanganom, Kec. Kebonsari</v>
          </cell>
          <cell r="R598" t="str">
            <v>Madiun</v>
          </cell>
          <cell r="S598" t="str">
            <v>D Barat1</v>
          </cell>
          <cell r="T598" t="str">
            <v>Dian</v>
          </cell>
          <cell r="U598">
            <v>60</v>
          </cell>
        </row>
        <row r="599">
          <cell r="E599" t="str">
            <v>T25001383</v>
          </cell>
          <cell r="F599"/>
          <cell r="G599">
            <v>40000000</v>
          </cell>
          <cell r="H599" t="str">
            <v>Reni</v>
          </cell>
          <cell r="I599" t="str">
            <v>Farida</v>
          </cell>
          <cell r="J599"/>
          <cell r="K599" t="str">
            <v>COD</v>
          </cell>
          <cell r="L599" t="str">
            <v>ANUG14</v>
          </cell>
          <cell r="M599" t="str">
            <v>Anugrah Tani Sejahtera/Siswoyo Adi P</v>
          </cell>
          <cell r="N599" t="str">
            <v>Siswoyo Adi Prasetyo</v>
          </cell>
          <cell r="O599" t="str">
            <v>Jl. Ahmad Yani No. 25, Kepanjenlor Kepanjen Kidul</v>
          </cell>
          <cell r="P599" t="str">
            <v>Blitar</v>
          </cell>
          <cell r="Q599" t="str">
            <v>Jalan Raya Kediri RT.007/RW.003 , Ngudikan, Kec. Wilangan</v>
          </cell>
          <cell r="R599" t="str">
            <v>Nganjuk</v>
          </cell>
          <cell r="S599" t="str">
            <v>D Barat1</v>
          </cell>
          <cell r="T599" t="str">
            <v>Dian</v>
          </cell>
          <cell r="U599">
            <v>60</v>
          </cell>
        </row>
        <row r="600">
          <cell r="E600" t="str">
            <v>Z25002311</v>
          </cell>
          <cell r="F600"/>
          <cell r="G600">
            <v>40000000</v>
          </cell>
          <cell r="H600" t="str">
            <v>Reni</v>
          </cell>
          <cell r="I600" t="str">
            <v>Farida</v>
          </cell>
          <cell r="J600"/>
          <cell r="K600" t="str">
            <v>COD</v>
          </cell>
          <cell r="L600" t="str">
            <v>ANUG14</v>
          </cell>
          <cell r="M600" t="str">
            <v>Anugrah Tani Sejahtera/Siswoyo Adi P</v>
          </cell>
          <cell r="N600" t="str">
            <v>Siswoyo Adi Prasetyo</v>
          </cell>
          <cell r="O600" t="str">
            <v>Jl. Ahmad Yani No. 25, Kepanjenlor Kepanjen Kidul</v>
          </cell>
          <cell r="P600" t="str">
            <v>Blitar</v>
          </cell>
          <cell r="Q600" t="str">
            <v>Jalan Raya Kediri RT.007/RW.003 , Ngudikan, Kec. Wilangan</v>
          </cell>
          <cell r="R600" t="str">
            <v>Nganjuk</v>
          </cell>
          <cell r="S600" t="str">
            <v>D Barat1</v>
          </cell>
          <cell r="T600" t="str">
            <v>Dian</v>
          </cell>
          <cell r="U600">
            <v>60</v>
          </cell>
        </row>
        <row r="601">
          <cell r="E601" t="str">
            <v>Z25002487</v>
          </cell>
          <cell r="F601"/>
          <cell r="G601">
            <v>40000000</v>
          </cell>
          <cell r="H601" t="str">
            <v>Reni</v>
          </cell>
          <cell r="I601" t="str">
            <v>Farida</v>
          </cell>
          <cell r="J601"/>
          <cell r="K601" t="str">
            <v>COD</v>
          </cell>
          <cell r="L601" t="str">
            <v>ANUG14</v>
          </cell>
          <cell r="M601" t="str">
            <v>Anugrah Tani Sejahtera/Siswoyo Adi P</v>
          </cell>
          <cell r="N601" t="str">
            <v>Siswoyo Adi Prasetyo</v>
          </cell>
          <cell r="O601" t="str">
            <v>Jl. Ahmad Yani No. 25, Kepanjenlor Kepanjen Kidul</v>
          </cell>
          <cell r="P601" t="str">
            <v>Blitar</v>
          </cell>
          <cell r="Q601" t="str">
            <v>Jalan Raya Kediri RT.007/RW.003 , Ngudikan, Kec. Wilangan</v>
          </cell>
          <cell r="R601" t="str">
            <v>Nganjuk</v>
          </cell>
          <cell r="S601" t="str">
            <v>D Barat1</v>
          </cell>
          <cell r="T601" t="str">
            <v>Dian</v>
          </cell>
          <cell r="U601">
            <v>0</v>
          </cell>
        </row>
        <row r="602">
          <cell r="E602" t="str">
            <v>Z25002579</v>
          </cell>
          <cell r="F602"/>
          <cell r="G602">
            <v>40000000</v>
          </cell>
          <cell r="H602" t="str">
            <v>Reni</v>
          </cell>
          <cell r="I602" t="str">
            <v>Farida</v>
          </cell>
          <cell r="J602"/>
          <cell r="K602" t="str">
            <v>COD</v>
          </cell>
          <cell r="L602" t="str">
            <v>ANUG14</v>
          </cell>
          <cell r="M602" t="str">
            <v>Anugrah Tani Sejahtera/Siswoyo Adi P</v>
          </cell>
          <cell r="N602" t="str">
            <v>Siswoyo Adi Prasetyo</v>
          </cell>
          <cell r="O602" t="str">
            <v>Jl. Ahmad Yani No. 25, Kepanjenlor Kepanjen Kidul</v>
          </cell>
          <cell r="P602" t="str">
            <v>Blitar</v>
          </cell>
          <cell r="Q602" t="str">
            <v>Jalan Raya Kediri RT.007/RW.003 , Ngudikan, Kec. Wilangan</v>
          </cell>
          <cell r="R602" t="str">
            <v>Nganjuk</v>
          </cell>
          <cell r="S602" t="str">
            <v>D Barat1</v>
          </cell>
          <cell r="T602" t="str">
            <v>Dian</v>
          </cell>
          <cell r="U602">
            <v>60</v>
          </cell>
        </row>
        <row r="603">
          <cell r="E603" t="str">
            <v>Z25002647</v>
          </cell>
          <cell r="F603"/>
          <cell r="G603">
            <v>40000000</v>
          </cell>
          <cell r="H603" t="str">
            <v>Reni</v>
          </cell>
          <cell r="I603" t="str">
            <v>Farida</v>
          </cell>
          <cell r="J603"/>
          <cell r="K603" t="str">
            <v>COD</v>
          </cell>
          <cell r="L603" t="str">
            <v>ANUG14</v>
          </cell>
          <cell r="M603" t="str">
            <v>Anugrah Tani Sejahtera/Siswoyo Adi P</v>
          </cell>
          <cell r="N603" t="str">
            <v>Siswoyo Adi Prasetyo</v>
          </cell>
          <cell r="O603" t="str">
            <v>Jl. Ahmad Yani No. 25, Kepanjenlor Kepanjen Kidul</v>
          </cell>
          <cell r="P603" t="str">
            <v>Blitar</v>
          </cell>
          <cell r="Q603" t="str">
            <v>Jalan Raya Kediri RT.007/RW.003 , Ngudikan, Kec. Wilangan</v>
          </cell>
          <cell r="R603" t="str">
            <v>Nganjuk</v>
          </cell>
          <cell r="S603" t="str">
            <v>D Barat1</v>
          </cell>
          <cell r="T603" t="str">
            <v>Dian</v>
          </cell>
          <cell r="U603">
            <v>0</v>
          </cell>
        </row>
        <row r="604">
          <cell r="E604" t="str">
            <v>D25014607</v>
          </cell>
          <cell r="F604"/>
          <cell r="G604">
            <v>1000</v>
          </cell>
          <cell r="H604" t="str">
            <v>Zakia</v>
          </cell>
          <cell r="I604" t="str">
            <v>Tiya</v>
          </cell>
          <cell r="J604"/>
          <cell r="K604" t="str">
            <v>KU</v>
          </cell>
          <cell r="L604" t="str">
            <v>ANUG04</v>
          </cell>
          <cell r="M604" t="str">
            <v>Anugrah Tani, UD/Sulistiawan</v>
          </cell>
          <cell r="N604" t="str">
            <v>Sulistiawan Susanto</v>
          </cell>
          <cell r="O604" t="str">
            <v>Perum Puri Permata No. 1 - 51 Kel. Sembung, Kec. Tulungagung</v>
          </cell>
          <cell r="P604" t="str">
            <v>Tulungagung</v>
          </cell>
          <cell r="Q604" t="str">
            <v>Perum Puri Permata No. 1 - 51 Kel. Sembung, Kec. Tulungagung</v>
          </cell>
          <cell r="R604" t="str">
            <v>Tulungagung</v>
          </cell>
          <cell r="S604" t="str">
            <v>D Barat1</v>
          </cell>
          <cell r="T604" t="str">
            <v>Tomi</v>
          </cell>
          <cell r="U604">
            <v>0</v>
          </cell>
        </row>
        <row r="605">
          <cell r="E605" t="str">
            <v>D25014607</v>
          </cell>
          <cell r="F605"/>
          <cell r="G605">
            <v>1000</v>
          </cell>
          <cell r="H605" t="str">
            <v>Zakia</v>
          </cell>
          <cell r="I605" t="str">
            <v>Tiya</v>
          </cell>
          <cell r="J605"/>
          <cell r="K605" t="str">
            <v>KU</v>
          </cell>
          <cell r="L605" t="str">
            <v>ANUG04</v>
          </cell>
          <cell r="M605" t="str">
            <v>Anugrah Tani, UD/Sulistiawan</v>
          </cell>
          <cell r="N605" t="str">
            <v>Sulistiawan Susanto</v>
          </cell>
          <cell r="O605" t="str">
            <v>Perum Puri Permata No. 1 - 51 Kel. Sembung, Kec. Tulungagung</v>
          </cell>
          <cell r="P605" t="str">
            <v>Tulungagung</v>
          </cell>
          <cell r="Q605" t="str">
            <v>Perum Puri Permata No. 1 - 51 Kel. Sembung, Kec. Tulungagung</v>
          </cell>
          <cell r="R605" t="str">
            <v>Tulungagung</v>
          </cell>
          <cell r="S605" t="str">
            <v>D Barat1</v>
          </cell>
          <cell r="T605" t="str">
            <v>Tomi</v>
          </cell>
          <cell r="U605">
            <v>0</v>
          </cell>
        </row>
        <row r="606">
          <cell r="E606" t="str">
            <v>D25015402</v>
          </cell>
          <cell r="F606"/>
          <cell r="G606">
            <v>1000</v>
          </cell>
          <cell r="H606" t="str">
            <v>Zakia</v>
          </cell>
          <cell r="I606" t="str">
            <v>Tiya</v>
          </cell>
          <cell r="J606"/>
          <cell r="K606" t="str">
            <v>KU</v>
          </cell>
          <cell r="L606" t="str">
            <v>ANUG04</v>
          </cell>
          <cell r="M606" t="str">
            <v>Anugrah Tani, UD/Sulistiawan</v>
          </cell>
          <cell r="N606" t="str">
            <v>Sulistiawan Susanto</v>
          </cell>
          <cell r="O606" t="str">
            <v>Perum Puri Permata No. 1 - 51 Kel. Sembung, Kec. Tulungagung</v>
          </cell>
          <cell r="P606" t="str">
            <v>Tulungagung</v>
          </cell>
          <cell r="Q606" t="str">
            <v>Perum Puri Permata No. 1 - 51 Kel. Sembung, Kec. Tulungagung</v>
          </cell>
          <cell r="R606" t="str">
            <v>Tulungagung</v>
          </cell>
          <cell r="S606" t="str">
            <v>D Barat1</v>
          </cell>
          <cell r="T606" t="str">
            <v>Tomi</v>
          </cell>
          <cell r="U606">
            <v>0</v>
          </cell>
        </row>
        <row r="607">
          <cell r="E607" t="str">
            <v>D25015880</v>
          </cell>
          <cell r="F607"/>
          <cell r="G607">
            <v>1000</v>
          </cell>
          <cell r="H607" t="str">
            <v>Zakia</v>
          </cell>
          <cell r="I607" t="str">
            <v>Tiya</v>
          </cell>
          <cell r="J607"/>
          <cell r="K607" t="str">
            <v>KU</v>
          </cell>
          <cell r="L607" t="str">
            <v>ANUG04</v>
          </cell>
          <cell r="M607" t="str">
            <v>Anugrah Tani, UD/Sulistiawan</v>
          </cell>
          <cell r="N607" t="str">
            <v>Sulistiawan Susanto</v>
          </cell>
          <cell r="O607" t="str">
            <v>Perum Puri Permata No. 1 - 51 Kel. Sembung, Kec. Tulungagung</v>
          </cell>
          <cell r="P607" t="str">
            <v>Tulungagung</v>
          </cell>
          <cell r="Q607" t="str">
            <v>Perum Puri Permata No. 1 - 51 Kel. Sembung, Kec. Tulungagung</v>
          </cell>
          <cell r="R607" t="str">
            <v>Tulungagung</v>
          </cell>
          <cell r="S607" t="str">
            <v>D Barat1</v>
          </cell>
          <cell r="T607" t="str">
            <v>Tomi</v>
          </cell>
          <cell r="U607">
            <v>0</v>
          </cell>
        </row>
        <row r="608">
          <cell r="E608" t="str">
            <v>D25004154</v>
          </cell>
          <cell r="F608"/>
          <cell r="G608">
            <v>1800000000</v>
          </cell>
          <cell r="H608" t="str">
            <v>Zakia</v>
          </cell>
          <cell r="I608" t="str">
            <v>Tiya</v>
          </cell>
          <cell r="J608"/>
          <cell r="K608" t="str">
            <v>KU</v>
          </cell>
          <cell r="L608" t="str">
            <v>ANUG01</v>
          </cell>
          <cell r="M608" t="str">
            <v>Anugrah Tani/Agung</v>
          </cell>
          <cell r="N608" t="str">
            <v>Anugerah Tani Agro, CV</v>
          </cell>
          <cell r="O608" t="str">
            <v>Jl. Mas No. 30, RT.001/RW.005, Kel. Pelem, Kec. Pare Kab. Kediri</v>
          </cell>
          <cell r="P608" t="str">
            <v>Kediri</v>
          </cell>
          <cell r="Q608" t="str">
            <v>Jl. Mas No. 30, RT.001/RW.005, Kel. Pelem, Kec. Pare Kab. Kediri</v>
          </cell>
          <cell r="R608" t="str">
            <v>Kediri</v>
          </cell>
          <cell r="S608" t="str">
            <v>D Barat1</v>
          </cell>
          <cell r="T608" t="str">
            <v>Tomi</v>
          </cell>
          <cell r="U608">
            <v>261</v>
          </cell>
        </row>
        <row r="609">
          <cell r="E609" t="str">
            <v>D25010147</v>
          </cell>
          <cell r="F609"/>
          <cell r="G609">
            <v>1800000000</v>
          </cell>
          <cell r="H609" t="str">
            <v>Zakia</v>
          </cell>
          <cell r="I609" t="str">
            <v>Tiya</v>
          </cell>
          <cell r="J609"/>
          <cell r="K609" t="str">
            <v>KU</v>
          </cell>
          <cell r="L609" t="str">
            <v>ANUG01</v>
          </cell>
          <cell r="M609" t="str">
            <v>Anugrah Tani/Agung</v>
          </cell>
          <cell r="N609" t="str">
            <v>Anugerah Tani Agro, CV</v>
          </cell>
          <cell r="O609" t="str">
            <v>Jl. Mas No. 30, RT.001/RW.005, Kel. Pelem, Kec. Pare Kab. Kediri</v>
          </cell>
          <cell r="P609" t="str">
            <v>Kediri</v>
          </cell>
          <cell r="Q609" t="str">
            <v>Jl. Mas No. 30, RT.001/RW.005, Kel. Pelem, Kec. Pare Kab. Kediri</v>
          </cell>
          <cell r="R609" t="str">
            <v>Kediri</v>
          </cell>
          <cell r="S609" t="str">
            <v>D Barat1</v>
          </cell>
          <cell r="T609" t="str">
            <v>Tomi</v>
          </cell>
          <cell r="U609">
            <v>60</v>
          </cell>
        </row>
        <row r="610">
          <cell r="E610" t="str">
            <v>B25008622</v>
          </cell>
          <cell r="F610"/>
          <cell r="G610">
            <v>1800000000</v>
          </cell>
          <cell r="H610" t="str">
            <v>Zakia</v>
          </cell>
          <cell r="I610" t="str">
            <v>Tiya</v>
          </cell>
          <cell r="J610"/>
          <cell r="K610" t="str">
            <v>KU</v>
          </cell>
          <cell r="L610" t="str">
            <v>ANUG01</v>
          </cell>
          <cell r="M610" t="str">
            <v>Anugrah Tani/Agung</v>
          </cell>
          <cell r="N610" t="str">
            <v>Anugerah Tani Agro, CV</v>
          </cell>
          <cell r="O610" t="str">
            <v>Jl. Mas No. 30, RT.001/RW.005, Kel. Pelem, Kec. Pare Kab. Kediri</v>
          </cell>
          <cell r="P610" t="str">
            <v>Kediri</v>
          </cell>
          <cell r="Q610" t="str">
            <v>Jl. Mas No. 30, RT.001/RW.005, Kel. Pelem, Kec. Pare Kab. Kediri</v>
          </cell>
          <cell r="R610" t="str">
            <v>Kediri</v>
          </cell>
          <cell r="S610" t="str">
            <v>D Barat1</v>
          </cell>
          <cell r="T610" t="str">
            <v>Tomi</v>
          </cell>
          <cell r="U610">
            <v>30</v>
          </cell>
        </row>
        <row r="611">
          <cell r="E611" t="str">
            <v>D25010607</v>
          </cell>
          <cell r="F611"/>
          <cell r="G611">
            <v>1800000000</v>
          </cell>
          <cell r="H611" t="str">
            <v>Zakia</v>
          </cell>
          <cell r="I611" t="str">
            <v>Tiya</v>
          </cell>
          <cell r="J611"/>
          <cell r="K611" t="str">
            <v>KU</v>
          </cell>
          <cell r="L611" t="str">
            <v>ANUG01</v>
          </cell>
          <cell r="M611" t="str">
            <v>Anugrah Tani/Agung</v>
          </cell>
          <cell r="N611" t="str">
            <v>Anugerah Tani Agro, CV</v>
          </cell>
          <cell r="O611" t="str">
            <v>Jl. Mas No. 30, RT.001/RW.005, Kel. Pelem, Kec. Pare Kab. Kediri</v>
          </cell>
          <cell r="P611" t="str">
            <v>Kediri</v>
          </cell>
          <cell r="Q611" t="str">
            <v>Jl. Mas No. 30, RT.001/RW.005, Kel. Pelem, Kec. Pare Kab. Kediri</v>
          </cell>
          <cell r="R611" t="str">
            <v>Kediri</v>
          </cell>
          <cell r="S611" t="str">
            <v>D Barat1</v>
          </cell>
          <cell r="T611" t="str">
            <v>Tomi</v>
          </cell>
          <cell r="U611">
            <v>30</v>
          </cell>
        </row>
        <row r="612">
          <cell r="E612" t="str">
            <v>D25010607</v>
          </cell>
          <cell r="F612"/>
          <cell r="G612">
            <v>1800000000</v>
          </cell>
          <cell r="H612" t="str">
            <v>Zakia</v>
          </cell>
          <cell r="I612" t="str">
            <v>Tiya</v>
          </cell>
          <cell r="J612"/>
          <cell r="K612" t="str">
            <v>KU</v>
          </cell>
          <cell r="L612" t="str">
            <v>ANUG01</v>
          </cell>
          <cell r="M612" t="str">
            <v>Anugrah Tani/Agung</v>
          </cell>
          <cell r="N612" t="str">
            <v>Anugerah Tani Agro, CV</v>
          </cell>
          <cell r="O612" t="str">
            <v>Jl. Mas No. 30, RT.001/RW.005, Kel. Pelem, Kec. Pare Kab. Kediri</v>
          </cell>
          <cell r="P612" t="str">
            <v>Kediri</v>
          </cell>
          <cell r="Q612" t="str">
            <v>Jl. Mas No. 30, RT.001/RW.005, Kel. Pelem, Kec. Pare Kab. Kediri</v>
          </cell>
          <cell r="R612" t="str">
            <v>Kediri</v>
          </cell>
          <cell r="S612" t="str">
            <v>D Barat1</v>
          </cell>
          <cell r="T612" t="str">
            <v>Tomi</v>
          </cell>
          <cell r="U612">
            <v>30</v>
          </cell>
        </row>
        <row r="613">
          <cell r="E613" t="str">
            <v>D25010707</v>
          </cell>
          <cell r="F613"/>
          <cell r="G613">
            <v>1800000000</v>
          </cell>
          <cell r="H613" t="str">
            <v>Zakia</v>
          </cell>
          <cell r="I613" t="str">
            <v>Tiya</v>
          </cell>
          <cell r="J613"/>
          <cell r="K613" t="str">
            <v>KU</v>
          </cell>
          <cell r="L613" t="str">
            <v>ANUG01</v>
          </cell>
          <cell r="M613" t="str">
            <v>Anugrah Tani/Agung</v>
          </cell>
          <cell r="N613" t="str">
            <v>Anugerah Tani Agro, CV</v>
          </cell>
          <cell r="O613" t="str">
            <v>Jl. Mas No. 30, RT.001/RW.005, Kel. Pelem, Kec. Pare Kab. Kediri</v>
          </cell>
          <cell r="P613" t="str">
            <v>Kediri</v>
          </cell>
          <cell r="Q613" t="str">
            <v>Jl. Mas No. 30, RT.001/RW.005, Kel. Pelem, Kec. Pare Kab. Kediri</v>
          </cell>
          <cell r="R613" t="str">
            <v>Kediri</v>
          </cell>
          <cell r="S613" t="str">
            <v>D Barat1</v>
          </cell>
          <cell r="T613" t="str">
            <v>Tomi</v>
          </cell>
          <cell r="U613">
            <v>30</v>
          </cell>
        </row>
        <row r="614">
          <cell r="E614" t="str">
            <v>D25010746</v>
          </cell>
          <cell r="F614"/>
          <cell r="G614">
            <v>1800000000</v>
          </cell>
          <cell r="H614" t="str">
            <v>Zakia</v>
          </cell>
          <cell r="I614" t="str">
            <v>Tiya</v>
          </cell>
          <cell r="J614"/>
          <cell r="K614" t="str">
            <v>KU</v>
          </cell>
          <cell r="L614" t="str">
            <v>ANUG01</v>
          </cell>
          <cell r="M614" t="str">
            <v>Anugrah Tani/Agung</v>
          </cell>
          <cell r="N614" t="str">
            <v>Anugerah Tani Agro, CV</v>
          </cell>
          <cell r="O614" t="str">
            <v>Jl. Mas No. 30, RT.001/RW.005, Kel. Pelem, Kec. Pare Kab. Kediri</v>
          </cell>
          <cell r="P614" t="str">
            <v>Kediri</v>
          </cell>
          <cell r="Q614" t="str">
            <v>Jl. Mas No. 30, RT.001/RW.005, Kel. Pelem, Kec. Pare Kab. Kediri</v>
          </cell>
          <cell r="R614" t="str">
            <v>Kediri</v>
          </cell>
          <cell r="S614" t="str">
            <v>D Barat1</v>
          </cell>
          <cell r="T614" t="str">
            <v>Tomi</v>
          </cell>
          <cell r="U614">
            <v>30</v>
          </cell>
        </row>
        <row r="615">
          <cell r="E615" t="str">
            <v>D25010747</v>
          </cell>
          <cell r="F615"/>
          <cell r="G615">
            <v>1800000000</v>
          </cell>
          <cell r="H615" t="str">
            <v>Zakia</v>
          </cell>
          <cell r="I615" t="str">
            <v>Tiya</v>
          </cell>
          <cell r="J615"/>
          <cell r="K615" t="str">
            <v>KU</v>
          </cell>
          <cell r="L615" t="str">
            <v>ANUG01</v>
          </cell>
          <cell r="M615" t="str">
            <v>Anugrah Tani/Agung</v>
          </cell>
          <cell r="N615" t="str">
            <v>Anugerah Tani Agro, CV</v>
          </cell>
          <cell r="O615" t="str">
            <v>Jl. Mas No. 30, RT.001/RW.005, Kel. Pelem, Kec. Pare Kab. Kediri</v>
          </cell>
          <cell r="P615" t="str">
            <v>Kediri</v>
          </cell>
          <cell r="Q615" t="str">
            <v>Jl. Mas No. 30, RT.001/RW.005, Kel. Pelem, Kec. Pare Kab. Kediri</v>
          </cell>
          <cell r="R615" t="str">
            <v>Kediri</v>
          </cell>
          <cell r="S615" t="str">
            <v>D Barat1</v>
          </cell>
          <cell r="T615" t="str">
            <v>Tomi</v>
          </cell>
          <cell r="U615">
            <v>30</v>
          </cell>
        </row>
        <row r="616">
          <cell r="E616" t="str">
            <v>D25011135</v>
          </cell>
          <cell r="F616"/>
          <cell r="G616">
            <v>1800000000</v>
          </cell>
          <cell r="H616" t="str">
            <v>Zakia</v>
          </cell>
          <cell r="I616" t="str">
            <v>Tiya</v>
          </cell>
          <cell r="J616"/>
          <cell r="K616" t="str">
            <v>KU</v>
          </cell>
          <cell r="L616" t="str">
            <v>ANUG01</v>
          </cell>
          <cell r="M616" t="str">
            <v>Anugrah Tani/Agung</v>
          </cell>
          <cell r="N616" t="str">
            <v>Anugerah Tani Agro, CV</v>
          </cell>
          <cell r="O616" t="str">
            <v>Jl. Mas No. 30, RT.001/RW.005, Kel. Pelem, Kec. Pare Kab. Kediri</v>
          </cell>
          <cell r="P616" t="str">
            <v>Kediri</v>
          </cell>
          <cell r="Q616" t="str">
            <v>Jl. Mas No. 30, RT.001/RW.005, Kel. Pelem, Kec. Pare Kab. Kediri</v>
          </cell>
          <cell r="R616" t="str">
            <v>Kediri</v>
          </cell>
          <cell r="S616" t="str">
            <v>D Barat1</v>
          </cell>
          <cell r="T616" t="str">
            <v>Tomi</v>
          </cell>
          <cell r="U616">
            <v>30</v>
          </cell>
        </row>
        <row r="617">
          <cell r="E617" t="str">
            <v>D25011137</v>
          </cell>
          <cell r="F617"/>
          <cell r="G617">
            <v>1800000000</v>
          </cell>
          <cell r="H617" t="str">
            <v>Zakia</v>
          </cell>
          <cell r="I617" t="str">
            <v>Tiya</v>
          </cell>
          <cell r="J617"/>
          <cell r="K617" t="str">
            <v>KU</v>
          </cell>
          <cell r="L617" t="str">
            <v>ANUG01</v>
          </cell>
          <cell r="M617" t="str">
            <v>Anugrah Tani/Agung</v>
          </cell>
          <cell r="N617" t="str">
            <v>Anugerah Tani Agro, CV</v>
          </cell>
          <cell r="O617" t="str">
            <v>Jl. Mas No. 30, RT.001/RW.005, Kel. Pelem, Kec. Pare Kab. Kediri</v>
          </cell>
          <cell r="P617" t="str">
            <v>Kediri</v>
          </cell>
          <cell r="Q617" t="str">
            <v>Jl. Mas No. 30, RT.001/RW.005, Kel. Pelem, Kec. Pare Kab. Kediri</v>
          </cell>
          <cell r="R617" t="str">
            <v>Kediri</v>
          </cell>
          <cell r="S617" t="str">
            <v>D Barat1</v>
          </cell>
          <cell r="T617" t="str">
            <v>Tomi</v>
          </cell>
          <cell r="U617">
            <v>30</v>
          </cell>
        </row>
        <row r="618">
          <cell r="E618" t="str">
            <v>D25011251</v>
          </cell>
          <cell r="F618"/>
          <cell r="G618">
            <v>1800000000</v>
          </cell>
          <cell r="H618" t="str">
            <v>Zakia</v>
          </cell>
          <cell r="I618" t="str">
            <v>Tiya</v>
          </cell>
          <cell r="J618"/>
          <cell r="K618" t="str">
            <v>KU</v>
          </cell>
          <cell r="L618" t="str">
            <v>ANUG01</v>
          </cell>
          <cell r="M618" t="str">
            <v>Anugrah Tani/Agung</v>
          </cell>
          <cell r="N618" t="str">
            <v>Anugerah Tani Agro, CV</v>
          </cell>
          <cell r="O618" t="str">
            <v>Jl. Mas No. 30, RT.001/RW.005, Kel. Pelem, Kec. Pare Kab. Kediri</v>
          </cell>
          <cell r="P618" t="str">
            <v>Kediri</v>
          </cell>
          <cell r="Q618" t="str">
            <v>Jl. Mas No. 30, RT.001/RW.005, Kel. Pelem, Kec. Pare Kab. Kediri</v>
          </cell>
          <cell r="R618" t="str">
            <v>Kediri</v>
          </cell>
          <cell r="S618" t="str">
            <v>D Barat1</v>
          </cell>
          <cell r="T618" t="str">
            <v>Tomi</v>
          </cell>
          <cell r="U618">
            <v>60</v>
          </cell>
        </row>
        <row r="619">
          <cell r="E619" t="str">
            <v>D25011252</v>
          </cell>
          <cell r="F619"/>
          <cell r="G619">
            <v>1800000000</v>
          </cell>
          <cell r="H619" t="str">
            <v>Zakia</v>
          </cell>
          <cell r="I619" t="str">
            <v>Tiya</v>
          </cell>
          <cell r="J619"/>
          <cell r="K619" t="str">
            <v>KU</v>
          </cell>
          <cell r="L619" t="str">
            <v>ANUG01</v>
          </cell>
          <cell r="M619" t="str">
            <v>Anugrah Tani/Agung</v>
          </cell>
          <cell r="N619" t="str">
            <v>Anugerah Tani Agro, CV</v>
          </cell>
          <cell r="O619" t="str">
            <v>Jl. Mas No. 30, RT.001/RW.005, Kel. Pelem, Kec. Pare Kab. Kediri</v>
          </cell>
          <cell r="P619" t="str">
            <v>Kediri</v>
          </cell>
          <cell r="Q619" t="str">
            <v>Jl. Mas No. 30, RT.001/RW.005, Kel. Pelem, Kec. Pare Kab. Kediri</v>
          </cell>
          <cell r="R619" t="str">
            <v>Kediri</v>
          </cell>
          <cell r="S619" t="str">
            <v>D Barat1</v>
          </cell>
          <cell r="T619" t="str">
            <v>Tomi</v>
          </cell>
          <cell r="U619">
            <v>60</v>
          </cell>
        </row>
        <row r="620">
          <cell r="E620" t="str">
            <v>B25009338</v>
          </cell>
          <cell r="F620"/>
          <cell r="G620">
            <v>1800000000</v>
          </cell>
          <cell r="H620" t="str">
            <v>Zakia</v>
          </cell>
          <cell r="I620" t="str">
            <v>Tiya</v>
          </cell>
          <cell r="J620"/>
          <cell r="K620" t="str">
            <v>KU</v>
          </cell>
          <cell r="L620" t="str">
            <v>ANUG01</v>
          </cell>
          <cell r="M620" t="str">
            <v>Anugrah Tani/Agung</v>
          </cell>
          <cell r="N620" t="str">
            <v>Anugerah Tani Agro, CV</v>
          </cell>
          <cell r="O620" t="str">
            <v>Jl. Mas No. 30, RT.001/RW.005, Kel. Pelem, Kec. Pare Kab. Kediri</v>
          </cell>
          <cell r="P620" t="str">
            <v>Kediri</v>
          </cell>
          <cell r="Q620" t="str">
            <v>Jl. Mas No. 30, RT.001/RW.005, Kel. Pelem, Kec. Pare Kab. Kediri</v>
          </cell>
          <cell r="R620" t="str">
            <v>Kediri</v>
          </cell>
          <cell r="S620" t="str">
            <v>D Barat1</v>
          </cell>
          <cell r="T620" t="str">
            <v>Tomi</v>
          </cell>
          <cell r="U620">
            <v>30</v>
          </cell>
        </row>
        <row r="621">
          <cell r="E621" t="str">
            <v>B25009407</v>
          </cell>
          <cell r="F621"/>
          <cell r="G621">
            <v>1800000000</v>
          </cell>
          <cell r="H621" t="str">
            <v>Zakia</v>
          </cell>
          <cell r="I621" t="str">
            <v>Tiya</v>
          </cell>
          <cell r="J621"/>
          <cell r="K621" t="str">
            <v>KU</v>
          </cell>
          <cell r="L621" t="str">
            <v>ANUG01</v>
          </cell>
          <cell r="M621" t="str">
            <v>Anugrah Tani/Agung</v>
          </cell>
          <cell r="N621" t="str">
            <v>Anugerah Tani Agro, CV</v>
          </cell>
          <cell r="O621" t="str">
            <v>Jl. Mas No. 30, RT.001/RW.005, Kel. Pelem, Kec. Pare Kab. Kediri</v>
          </cell>
          <cell r="P621" t="str">
            <v>Kediri</v>
          </cell>
          <cell r="Q621" t="str">
            <v>Jl. Mas No. 30, RT.001/RW.005, Kel. Pelem, Kec. Pare Kab. Kediri</v>
          </cell>
          <cell r="R621" t="str">
            <v>Kediri</v>
          </cell>
          <cell r="S621" t="str">
            <v>D Barat1</v>
          </cell>
          <cell r="T621" t="str">
            <v>Tomi</v>
          </cell>
          <cell r="U621">
            <v>30</v>
          </cell>
        </row>
        <row r="622">
          <cell r="E622" t="str">
            <v>B25009466</v>
          </cell>
          <cell r="F622"/>
          <cell r="G622">
            <v>1800000000</v>
          </cell>
          <cell r="H622" t="str">
            <v>Zakia</v>
          </cell>
          <cell r="I622" t="str">
            <v>Tiya</v>
          </cell>
          <cell r="J622"/>
          <cell r="K622" t="str">
            <v>KU</v>
          </cell>
          <cell r="L622" t="str">
            <v>ANUG01</v>
          </cell>
          <cell r="M622" t="str">
            <v>Anugrah Tani/Agung</v>
          </cell>
          <cell r="N622" t="str">
            <v>Anugerah Tani Agro, CV</v>
          </cell>
          <cell r="O622" t="str">
            <v>Jl. Mas No. 30, RT.001/RW.005, Kel. Pelem, Kec. Pare Kab. Kediri</v>
          </cell>
          <cell r="P622" t="str">
            <v>Kediri</v>
          </cell>
          <cell r="Q622" t="str">
            <v>Jl. Mas No. 30, RT.001/RW.005, Kel. Pelem, Kec. Pare Kab. Kediri</v>
          </cell>
          <cell r="R622" t="str">
            <v>Kediri</v>
          </cell>
          <cell r="S622" t="str">
            <v>D Barat1</v>
          </cell>
          <cell r="T622" t="str">
            <v>Tomi</v>
          </cell>
          <cell r="U622">
            <v>30</v>
          </cell>
        </row>
        <row r="623">
          <cell r="E623" t="str">
            <v>B25009467</v>
          </cell>
          <cell r="F623"/>
          <cell r="G623">
            <v>1800000000</v>
          </cell>
          <cell r="H623" t="str">
            <v>Zakia</v>
          </cell>
          <cell r="I623" t="str">
            <v>Tiya</v>
          </cell>
          <cell r="J623"/>
          <cell r="K623" t="str">
            <v>KU</v>
          </cell>
          <cell r="L623" t="str">
            <v>ANUG01</v>
          </cell>
          <cell r="M623" t="str">
            <v>Anugrah Tani/Agung</v>
          </cell>
          <cell r="N623" t="str">
            <v>Anugerah Tani Agro, CV</v>
          </cell>
          <cell r="O623" t="str">
            <v>Jl. Mas No. 30, RT.001/RW.005, Kel. Pelem, Kec. Pare Kab. Kediri</v>
          </cell>
          <cell r="P623" t="str">
            <v>Kediri</v>
          </cell>
          <cell r="Q623" t="str">
            <v>Jl. Mas No. 30, RT.001/RW.005, Kel. Pelem, Kec. Pare Kab. Kediri</v>
          </cell>
          <cell r="R623" t="str">
            <v>Kediri</v>
          </cell>
          <cell r="S623" t="str">
            <v>D Barat1</v>
          </cell>
          <cell r="T623" t="str">
            <v>Tomi</v>
          </cell>
          <cell r="U623">
            <v>30</v>
          </cell>
        </row>
        <row r="624">
          <cell r="E624" t="str">
            <v>B25009467</v>
          </cell>
          <cell r="F624"/>
          <cell r="G624">
            <v>1800000000</v>
          </cell>
          <cell r="H624" t="str">
            <v>Zakia</v>
          </cell>
          <cell r="I624" t="str">
            <v>Tiya</v>
          </cell>
          <cell r="J624"/>
          <cell r="K624" t="str">
            <v>KU</v>
          </cell>
          <cell r="L624" t="str">
            <v>ANUG01</v>
          </cell>
          <cell r="M624" t="str">
            <v>Anugrah Tani/Agung</v>
          </cell>
          <cell r="N624" t="str">
            <v>Anugerah Tani Agro, CV</v>
          </cell>
          <cell r="O624" t="str">
            <v>Jl. Mas No. 30, RT.001/RW.005, Kel. Pelem, Kec. Pare Kab. Kediri</v>
          </cell>
          <cell r="P624" t="str">
            <v>Kediri</v>
          </cell>
          <cell r="Q624" t="str">
            <v>Jl. Mas No. 30, RT.001/RW.005, Kel. Pelem, Kec. Pare Kab. Kediri</v>
          </cell>
          <cell r="R624" t="str">
            <v>Kediri</v>
          </cell>
          <cell r="S624" t="str">
            <v>D Barat1</v>
          </cell>
          <cell r="T624" t="str">
            <v>Tomi</v>
          </cell>
          <cell r="U624">
            <v>30</v>
          </cell>
        </row>
        <row r="625">
          <cell r="E625" t="str">
            <v>B25009598</v>
          </cell>
          <cell r="F625"/>
          <cell r="G625">
            <v>1800000000</v>
          </cell>
          <cell r="H625" t="str">
            <v>Zakia</v>
          </cell>
          <cell r="I625" t="str">
            <v>Tiya</v>
          </cell>
          <cell r="J625"/>
          <cell r="K625" t="str">
            <v>KU</v>
          </cell>
          <cell r="L625" t="str">
            <v>ANUG01</v>
          </cell>
          <cell r="M625" t="str">
            <v>Anugrah Tani/Agung</v>
          </cell>
          <cell r="N625" t="str">
            <v>Anugerah Tani Agro, CV</v>
          </cell>
          <cell r="O625" t="str">
            <v>Jl. Mas No. 30, RT.001/RW.005, Kel. Pelem, Kec. Pare Kab. Kediri</v>
          </cell>
          <cell r="P625" t="str">
            <v>Kediri</v>
          </cell>
          <cell r="Q625" t="str">
            <v>Jl. Mas No. 30, RT.001/RW.005, Kel. Pelem, Kec. Pare Kab. Kediri</v>
          </cell>
          <cell r="R625" t="str">
            <v>Kediri</v>
          </cell>
          <cell r="S625" t="str">
            <v>D Barat1</v>
          </cell>
          <cell r="T625" t="str">
            <v>Tomi</v>
          </cell>
          <cell r="U625">
            <v>30</v>
          </cell>
        </row>
        <row r="626">
          <cell r="E626" t="str">
            <v>B25009605</v>
          </cell>
          <cell r="F626"/>
          <cell r="G626">
            <v>1800000000</v>
          </cell>
          <cell r="H626" t="str">
            <v>Zakia</v>
          </cell>
          <cell r="I626" t="str">
            <v>Tiya</v>
          </cell>
          <cell r="J626"/>
          <cell r="K626" t="str">
            <v>KU</v>
          </cell>
          <cell r="L626" t="str">
            <v>ANUG01</v>
          </cell>
          <cell r="M626" t="str">
            <v>Anugrah Tani/Agung</v>
          </cell>
          <cell r="N626" t="str">
            <v>Anugerah Tani Agro, CV</v>
          </cell>
          <cell r="O626" t="str">
            <v>Jl. Mas No. 30, RT.001/RW.005, Kel. Pelem, Kec. Pare Kab. Kediri</v>
          </cell>
          <cell r="P626" t="str">
            <v>Kediri</v>
          </cell>
          <cell r="Q626" t="str">
            <v>Jl. Mas No. 30, RT.001/RW.005, Kel. Pelem, Kec. Pare Kab. Kediri</v>
          </cell>
          <cell r="R626" t="str">
            <v>Kediri</v>
          </cell>
          <cell r="S626" t="str">
            <v>D Barat1</v>
          </cell>
          <cell r="T626" t="str">
            <v>Tomi</v>
          </cell>
          <cell r="U626">
            <v>30</v>
          </cell>
        </row>
        <row r="627">
          <cell r="E627" t="str">
            <v>D25011597</v>
          </cell>
          <cell r="F627"/>
          <cell r="G627">
            <v>1800000000</v>
          </cell>
          <cell r="H627" t="str">
            <v>Zakia</v>
          </cell>
          <cell r="I627" t="str">
            <v>Tiya</v>
          </cell>
          <cell r="J627"/>
          <cell r="K627" t="str">
            <v>KU</v>
          </cell>
          <cell r="L627" t="str">
            <v>ANUG01</v>
          </cell>
          <cell r="M627" t="str">
            <v>Anugrah Tani/Agung</v>
          </cell>
          <cell r="N627" t="str">
            <v>Anugerah Tani Agro, CV</v>
          </cell>
          <cell r="O627" t="str">
            <v>Jl. Mas No. 30, RT.001/RW.005, Kel. Pelem, Kec. Pare Kab. Kediri</v>
          </cell>
          <cell r="P627" t="str">
            <v>Kediri</v>
          </cell>
          <cell r="Q627" t="str">
            <v>Jl. Mas No. 30, RT.001/RW.005, Kel. Pelem, Kec. Pare Kab. Kediri</v>
          </cell>
          <cell r="R627" t="str">
            <v>Kediri</v>
          </cell>
          <cell r="S627" t="str">
            <v>D Barat1</v>
          </cell>
          <cell r="T627" t="str">
            <v>Tomi</v>
          </cell>
          <cell r="U627">
            <v>30</v>
          </cell>
        </row>
        <row r="628">
          <cell r="E628" t="str">
            <v>D25011731</v>
          </cell>
          <cell r="F628"/>
          <cell r="G628">
            <v>1800000000</v>
          </cell>
          <cell r="H628" t="str">
            <v>Zakia</v>
          </cell>
          <cell r="I628" t="str">
            <v>Tiya</v>
          </cell>
          <cell r="J628"/>
          <cell r="K628" t="str">
            <v>KU</v>
          </cell>
          <cell r="L628" t="str">
            <v>ANUG01</v>
          </cell>
          <cell r="M628" t="str">
            <v>Anugrah Tani/Agung</v>
          </cell>
          <cell r="N628" t="str">
            <v>Anugerah Tani Agro, CV</v>
          </cell>
          <cell r="O628" t="str">
            <v>Jl. Mas No. 30, RT.001/RW.005, Kel. Pelem, Kec. Pare Kab. Kediri</v>
          </cell>
          <cell r="P628" t="str">
            <v>Kediri</v>
          </cell>
          <cell r="Q628" t="str">
            <v>Jl. Mas No. 30, RT.001/RW.005, Kel. Pelem, Kec. Pare Kab. Kediri</v>
          </cell>
          <cell r="R628" t="str">
            <v>Kediri</v>
          </cell>
          <cell r="S628" t="str">
            <v>D Barat1</v>
          </cell>
          <cell r="T628" t="str">
            <v>Tomi</v>
          </cell>
          <cell r="U628">
            <v>30</v>
          </cell>
        </row>
        <row r="629">
          <cell r="E629" t="str">
            <v>D25011763</v>
          </cell>
          <cell r="F629"/>
          <cell r="G629">
            <v>1800000000</v>
          </cell>
          <cell r="H629" t="str">
            <v>Zakia</v>
          </cell>
          <cell r="I629" t="str">
            <v>Tiya</v>
          </cell>
          <cell r="J629"/>
          <cell r="K629" t="str">
            <v>KU</v>
          </cell>
          <cell r="L629" t="str">
            <v>ANUG01</v>
          </cell>
          <cell r="M629" t="str">
            <v>Anugrah Tani/Agung</v>
          </cell>
          <cell r="N629" t="str">
            <v>Anugerah Tani Agro, CV</v>
          </cell>
          <cell r="O629" t="str">
            <v>Jl. Mas No. 30, RT.001/RW.005, Kel. Pelem, Kec. Pare Kab. Kediri</v>
          </cell>
          <cell r="P629" t="str">
            <v>Kediri</v>
          </cell>
          <cell r="Q629" t="str">
            <v>Jl. Mas No. 30, RT.001/RW.005, Kel. Pelem, Kec. Pare Kab. Kediri</v>
          </cell>
          <cell r="R629" t="str">
            <v>Kediri</v>
          </cell>
          <cell r="S629" t="str">
            <v>D Barat1</v>
          </cell>
          <cell r="T629" t="str">
            <v>Tomi</v>
          </cell>
          <cell r="U629">
            <v>30</v>
          </cell>
        </row>
        <row r="630">
          <cell r="E630" t="str">
            <v>D25011776</v>
          </cell>
          <cell r="F630"/>
          <cell r="G630">
            <v>1800000000</v>
          </cell>
          <cell r="H630" t="str">
            <v>Zakia</v>
          </cell>
          <cell r="I630" t="str">
            <v>Tiya</v>
          </cell>
          <cell r="J630"/>
          <cell r="K630" t="str">
            <v>KU</v>
          </cell>
          <cell r="L630" t="str">
            <v>ANUG01</v>
          </cell>
          <cell r="M630" t="str">
            <v>Anugrah Tani/Agung</v>
          </cell>
          <cell r="N630" t="str">
            <v>Anugerah Tani Agro, CV</v>
          </cell>
          <cell r="O630" t="str">
            <v>Jl. Mas No. 30, RT.001/RW.005, Kel. Pelem, Kec. Pare Kab. Kediri</v>
          </cell>
          <cell r="P630" t="str">
            <v>Kediri</v>
          </cell>
          <cell r="Q630" t="str">
            <v>Jl. Mas No. 30, RT.001/RW.005, Kel. Pelem, Kec. Pare Kab. Kediri</v>
          </cell>
          <cell r="R630" t="str">
            <v>Kediri</v>
          </cell>
          <cell r="S630" t="str">
            <v>D Barat1</v>
          </cell>
          <cell r="T630" t="str">
            <v>Tomi</v>
          </cell>
          <cell r="U630">
            <v>30</v>
          </cell>
        </row>
        <row r="631">
          <cell r="E631" t="str">
            <v>B25009990</v>
          </cell>
          <cell r="F631"/>
          <cell r="G631">
            <v>1800000000</v>
          </cell>
          <cell r="H631" t="str">
            <v>Zakia</v>
          </cell>
          <cell r="I631" t="str">
            <v>Tiya</v>
          </cell>
          <cell r="J631"/>
          <cell r="K631" t="str">
            <v>KU</v>
          </cell>
          <cell r="L631" t="str">
            <v>ANUG01</v>
          </cell>
          <cell r="M631" t="str">
            <v>Anugrah Tani/Agung</v>
          </cell>
          <cell r="N631" t="str">
            <v>Anugerah Tani Agro, CV</v>
          </cell>
          <cell r="O631" t="str">
            <v>Jl. Mas No. 30, RT.001/RW.005, Kel. Pelem, Kec. Pare Kab. Kediri</v>
          </cell>
          <cell r="P631" t="str">
            <v>Kediri</v>
          </cell>
          <cell r="Q631" t="str">
            <v>Jl. Mas No. 30, RT.001/RW.005, Kel. Pelem, Kec. Pare Kab. Kediri</v>
          </cell>
          <cell r="R631" t="str">
            <v>Kediri</v>
          </cell>
          <cell r="S631" t="str">
            <v>D Barat1</v>
          </cell>
          <cell r="T631" t="str">
            <v>Tomi</v>
          </cell>
          <cell r="U631">
            <v>30</v>
          </cell>
        </row>
        <row r="632">
          <cell r="E632" t="str">
            <v>B25009991</v>
          </cell>
          <cell r="F632"/>
          <cell r="G632">
            <v>1800000000</v>
          </cell>
          <cell r="H632" t="str">
            <v>Zakia</v>
          </cell>
          <cell r="I632" t="str">
            <v>Tiya</v>
          </cell>
          <cell r="J632"/>
          <cell r="K632" t="str">
            <v>KU</v>
          </cell>
          <cell r="L632" t="str">
            <v>ANUG01</v>
          </cell>
          <cell r="M632" t="str">
            <v>Anugrah Tani/Agung</v>
          </cell>
          <cell r="N632" t="str">
            <v>Anugerah Tani Agro, CV</v>
          </cell>
          <cell r="O632" t="str">
            <v>Jl. Mas No. 30, RT.001/RW.005, Kel. Pelem, Kec. Pare Kab. Kediri</v>
          </cell>
          <cell r="P632" t="str">
            <v>Kediri</v>
          </cell>
          <cell r="Q632" t="str">
            <v>Jl. Mas No. 30, RT.001/RW.005, Kel. Pelem, Kec. Pare Kab. Kediri</v>
          </cell>
          <cell r="R632" t="str">
            <v>Kediri</v>
          </cell>
          <cell r="S632" t="str">
            <v>D Barat1</v>
          </cell>
          <cell r="T632" t="str">
            <v>Tomi</v>
          </cell>
          <cell r="U632">
            <v>30</v>
          </cell>
        </row>
        <row r="633">
          <cell r="E633" t="str">
            <v>B25010012</v>
          </cell>
          <cell r="F633"/>
          <cell r="G633">
            <v>1800000000</v>
          </cell>
          <cell r="H633" t="str">
            <v>Zakia</v>
          </cell>
          <cell r="I633" t="str">
            <v>Tiya</v>
          </cell>
          <cell r="J633"/>
          <cell r="K633" t="str">
            <v>KU</v>
          </cell>
          <cell r="L633" t="str">
            <v>ANUG01</v>
          </cell>
          <cell r="M633" t="str">
            <v>Anugrah Tani/Agung</v>
          </cell>
          <cell r="N633" t="str">
            <v>Anugerah Tani Agro, CV</v>
          </cell>
          <cell r="O633" t="str">
            <v>Jl. Mas No. 30, RT.001/RW.005, Kel. Pelem, Kec. Pare Kab. Kediri</v>
          </cell>
          <cell r="P633" t="str">
            <v>Kediri</v>
          </cell>
          <cell r="Q633" t="str">
            <v>Jl. Mas No. 30, RT.001/RW.005, Kel. Pelem, Kec. Pare Kab. Kediri</v>
          </cell>
          <cell r="R633" t="str">
            <v>Kediri</v>
          </cell>
          <cell r="S633" t="str">
            <v>D Barat1</v>
          </cell>
          <cell r="T633" t="str">
            <v>Tomi</v>
          </cell>
          <cell r="U633">
            <v>30</v>
          </cell>
        </row>
        <row r="634">
          <cell r="E634" t="str">
            <v>B25010013</v>
          </cell>
          <cell r="F634"/>
          <cell r="G634">
            <v>1800000000</v>
          </cell>
          <cell r="H634" t="str">
            <v>Zakia</v>
          </cell>
          <cell r="I634" t="str">
            <v>Tiya</v>
          </cell>
          <cell r="J634"/>
          <cell r="K634" t="str">
            <v>KU</v>
          </cell>
          <cell r="L634" t="str">
            <v>ANUG01</v>
          </cell>
          <cell r="M634" t="str">
            <v>Anugrah Tani/Agung</v>
          </cell>
          <cell r="N634" t="str">
            <v>Anugerah Tani Agro, CV</v>
          </cell>
          <cell r="O634" t="str">
            <v>Jl. Mas No. 30, RT.001/RW.005, Kel. Pelem, Kec. Pare Kab. Kediri</v>
          </cell>
          <cell r="P634" t="str">
            <v>Kediri</v>
          </cell>
          <cell r="Q634" t="str">
            <v>Jl. Mas No. 30, RT.001/RW.005, Kel. Pelem, Kec. Pare Kab. Kediri</v>
          </cell>
          <cell r="R634" t="str">
            <v>Kediri</v>
          </cell>
          <cell r="S634" t="str">
            <v>D Barat1</v>
          </cell>
          <cell r="T634" t="str">
            <v>Tomi</v>
          </cell>
          <cell r="U634">
            <v>30</v>
          </cell>
        </row>
        <row r="635">
          <cell r="E635" t="str">
            <v>B25010331</v>
          </cell>
          <cell r="F635"/>
          <cell r="G635">
            <v>1800000000</v>
          </cell>
          <cell r="H635" t="str">
            <v>Zakia</v>
          </cell>
          <cell r="I635" t="str">
            <v>Tiya</v>
          </cell>
          <cell r="J635"/>
          <cell r="K635" t="str">
            <v>KU</v>
          </cell>
          <cell r="L635" t="str">
            <v>ANUG01</v>
          </cell>
          <cell r="M635" t="str">
            <v>Anugrah Tani/Agung</v>
          </cell>
          <cell r="N635" t="str">
            <v>Anugerah Tani Agro, CV</v>
          </cell>
          <cell r="O635" t="str">
            <v>Jl. Mas No. 30, RT.001/RW.005, Kel. Pelem, Kec. Pare Kab. Kediri</v>
          </cell>
          <cell r="P635" t="str">
            <v>Kediri</v>
          </cell>
          <cell r="Q635" t="str">
            <v>Jl. Mas No. 30, RT.001/RW.005, Kel. Pelem, Kec. Pare Kab. Kediri</v>
          </cell>
          <cell r="R635" t="str">
            <v>Kediri</v>
          </cell>
          <cell r="S635" t="str">
            <v>D Barat1</v>
          </cell>
          <cell r="T635" t="str">
            <v>Tomi</v>
          </cell>
          <cell r="U635">
            <v>30</v>
          </cell>
        </row>
        <row r="636">
          <cell r="E636" t="str">
            <v>B25010574</v>
          </cell>
          <cell r="F636"/>
          <cell r="G636">
            <v>1800000000</v>
          </cell>
          <cell r="H636" t="str">
            <v>Zakia</v>
          </cell>
          <cell r="I636" t="str">
            <v>Tiya</v>
          </cell>
          <cell r="J636"/>
          <cell r="K636" t="str">
            <v>KU</v>
          </cell>
          <cell r="L636" t="str">
            <v>ANUG01</v>
          </cell>
          <cell r="M636" t="str">
            <v>Anugrah Tani/Agung</v>
          </cell>
          <cell r="N636" t="str">
            <v>Anugerah Tani Agro, CV</v>
          </cell>
          <cell r="O636" t="str">
            <v>Jl. Mas No. 30, RT.001/RW.005, Kel. Pelem, Kec. Pare Kab. Kediri</v>
          </cell>
          <cell r="P636" t="str">
            <v>Kediri</v>
          </cell>
          <cell r="Q636" t="str">
            <v>Jl. Mas No. 30, RT.001/RW.005, Kel. Pelem, Kec. Pare Kab. Kediri</v>
          </cell>
          <cell r="R636" t="str">
            <v>Kediri</v>
          </cell>
          <cell r="S636" t="str">
            <v>D Barat1</v>
          </cell>
          <cell r="T636" t="str">
            <v>Tomi</v>
          </cell>
          <cell r="U636">
            <v>30</v>
          </cell>
        </row>
        <row r="637">
          <cell r="E637" t="str">
            <v>B25010600</v>
          </cell>
          <cell r="F637"/>
          <cell r="G637">
            <v>1800000000</v>
          </cell>
          <cell r="H637" t="str">
            <v>Zakia</v>
          </cell>
          <cell r="I637" t="str">
            <v>Tiya</v>
          </cell>
          <cell r="J637"/>
          <cell r="K637" t="str">
            <v>KU</v>
          </cell>
          <cell r="L637" t="str">
            <v>ANUG01</v>
          </cell>
          <cell r="M637" t="str">
            <v>Anugrah Tani/Agung</v>
          </cell>
          <cell r="N637" t="str">
            <v>Anugerah Tani Agro, CV</v>
          </cell>
          <cell r="O637" t="str">
            <v>Jl. Mas No. 30, RT.001/RW.005, Kel. Pelem, Kec. Pare Kab. Kediri</v>
          </cell>
          <cell r="P637" t="str">
            <v>Kediri</v>
          </cell>
          <cell r="Q637" t="str">
            <v>Jl. Mas No. 30, RT.001/RW.005, Kel. Pelem, Kec. Pare Kab. Kediri</v>
          </cell>
          <cell r="R637" t="str">
            <v>Kediri</v>
          </cell>
          <cell r="S637" t="str">
            <v>D Barat1</v>
          </cell>
          <cell r="T637" t="str">
            <v>Tomi</v>
          </cell>
          <cell r="U637">
            <v>30</v>
          </cell>
        </row>
        <row r="638">
          <cell r="E638" t="str">
            <v>D25012877</v>
          </cell>
          <cell r="F638"/>
          <cell r="G638">
            <v>1800000000</v>
          </cell>
          <cell r="H638" t="str">
            <v>Zakia</v>
          </cell>
          <cell r="I638" t="str">
            <v>Tiya</v>
          </cell>
          <cell r="J638"/>
          <cell r="K638" t="str">
            <v>KU</v>
          </cell>
          <cell r="L638" t="str">
            <v>ANUG01</v>
          </cell>
          <cell r="M638" t="str">
            <v>Anugrah Tani/Agung</v>
          </cell>
          <cell r="N638" t="str">
            <v>Anugerah Tani Agro, CV</v>
          </cell>
          <cell r="O638" t="str">
            <v>Jl. Mas No. 30, RT.001/RW.005, Kel. Pelem, Kec. Pare Kab. Kediri</v>
          </cell>
          <cell r="P638" t="str">
            <v>Kediri</v>
          </cell>
          <cell r="Q638" t="str">
            <v>Jl. Mas No. 30, RT.001/RW.005, Kel. Pelem, Kec. Pare Kab. Kediri</v>
          </cell>
          <cell r="R638" t="str">
            <v>Kediri</v>
          </cell>
          <cell r="S638" t="str">
            <v>D Barat1</v>
          </cell>
          <cell r="T638" t="str">
            <v>Tomi</v>
          </cell>
          <cell r="U638">
            <v>60</v>
          </cell>
        </row>
        <row r="639">
          <cell r="E639" t="str">
            <v>D25013619</v>
          </cell>
          <cell r="F639"/>
          <cell r="G639">
            <v>1800000000</v>
          </cell>
          <cell r="H639" t="str">
            <v>Zakia</v>
          </cell>
          <cell r="I639" t="str">
            <v>Tiya</v>
          </cell>
          <cell r="J639"/>
          <cell r="K639" t="str">
            <v>KU</v>
          </cell>
          <cell r="L639" t="str">
            <v>ANUG01</v>
          </cell>
          <cell r="M639" t="str">
            <v>Anugrah Tani/Agung</v>
          </cell>
          <cell r="N639" t="str">
            <v>Anugerah Tani Agro, CV</v>
          </cell>
          <cell r="O639" t="str">
            <v>Jl. Mas No. 30, RT.001/RW.005, Kel. Pelem, Kec. Pare Kab. Kediri</v>
          </cell>
          <cell r="P639" t="str">
            <v>Kediri</v>
          </cell>
          <cell r="Q639" t="str">
            <v>Jl. Mas No. 30, RT.001/RW.005, Kel. Pelem, Kec. Pare Kab. Kediri</v>
          </cell>
          <cell r="R639" t="str">
            <v>Kediri</v>
          </cell>
          <cell r="S639" t="str">
            <v>D Barat1</v>
          </cell>
          <cell r="T639" t="str">
            <v>Tomi</v>
          </cell>
          <cell r="U639">
            <v>30</v>
          </cell>
        </row>
        <row r="640">
          <cell r="E640" t="str">
            <v>D25013620</v>
          </cell>
          <cell r="F640"/>
          <cell r="G640">
            <v>1800000000</v>
          </cell>
          <cell r="H640" t="str">
            <v>Zakia</v>
          </cell>
          <cell r="I640" t="str">
            <v>Tiya</v>
          </cell>
          <cell r="J640"/>
          <cell r="K640" t="str">
            <v>KU</v>
          </cell>
          <cell r="L640" t="str">
            <v>ANUG01</v>
          </cell>
          <cell r="M640" t="str">
            <v>Anugrah Tani/Agung</v>
          </cell>
          <cell r="N640" t="str">
            <v>Anugerah Tani Agro, CV</v>
          </cell>
          <cell r="O640" t="str">
            <v>Jl. Mas No. 30, RT.001/RW.005, Kel. Pelem, Kec. Pare Kab. Kediri</v>
          </cell>
          <cell r="P640" t="str">
            <v>Kediri</v>
          </cell>
          <cell r="Q640" t="str">
            <v>Jl. Mas No. 30, RT.001/RW.005, Kel. Pelem, Kec. Pare Kab. Kediri</v>
          </cell>
          <cell r="R640" t="str">
            <v>Kediri</v>
          </cell>
          <cell r="S640" t="str">
            <v>D Barat1</v>
          </cell>
          <cell r="T640" t="str">
            <v>Tomi</v>
          </cell>
          <cell r="U640">
            <v>30</v>
          </cell>
        </row>
        <row r="641">
          <cell r="E641" t="str">
            <v>T25001366</v>
          </cell>
          <cell r="F641"/>
          <cell r="G641">
            <v>1800000000</v>
          </cell>
          <cell r="H641" t="str">
            <v>Zakia</v>
          </cell>
          <cell r="I641" t="str">
            <v>Tiya</v>
          </cell>
          <cell r="J641"/>
          <cell r="K641" t="str">
            <v>KU</v>
          </cell>
          <cell r="L641" t="str">
            <v>ANUG01</v>
          </cell>
          <cell r="M641" t="str">
            <v>Anugrah Tani/Agung</v>
          </cell>
          <cell r="N641" t="str">
            <v>Anugerah Tani Agro, CV</v>
          </cell>
          <cell r="O641" t="str">
            <v>Jl. Mas No. 30, RT.001/RW.005, Kel. Pelem, Kec. Pare Kab. Kediri</v>
          </cell>
          <cell r="P641" t="str">
            <v>Kediri</v>
          </cell>
          <cell r="Q641" t="str">
            <v>Jl. Mas No. 30, RT.001/RW.005, Kel. Pelem, Kec. Pare Kab. Kediri</v>
          </cell>
          <cell r="R641" t="str">
            <v>Kediri</v>
          </cell>
          <cell r="S641" t="str">
            <v>D Barat1</v>
          </cell>
          <cell r="T641" t="str">
            <v>Tomi</v>
          </cell>
          <cell r="U641">
            <v>60</v>
          </cell>
        </row>
        <row r="642">
          <cell r="E642" t="str">
            <v>D25013776</v>
          </cell>
          <cell r="F642"/>
          <cell r="G642">
            <v>1800000000</v>
          </cell>
          <cell r="H642" t="str">
            <v>Zakia</v>
          </cell>
          <cell r="I642" t="str">
            <v>Tiya</v>
          </cell>
          <cell r="J642"/>
          <cell r="K642" t="str">
            <v>KU</v>
          </cell>
          <cell r="L642" t="str">
            <v>ANUG01</v>
          </cell>
          <cell r="M642" t="str">
            <v>Anugrah Tani/Agung</v>
          </cell>
          <cell r="N642" t="str">
            <v>Anugerah Tani Agro, CV</v>
          </cell>
          <cell r="O642" t="str">
            <v>Jl. Mas No. 30, RT.001/RW.005, Kel. Pelem, Kec. Pare Kab. Kediri</v>
          </cell>
          <cell r="P642" t="str">
            <v>Kediri</v>
          </cell>
          <cell r="Q642" t="str">
            <v>Jl. Mas No. 30, RT.001/RW.005, Kel. Pelem, Kec. Pare Kab. Kediri</v>
          </cell>
          <cell r="R642" t="str">
            <v>Kediri</v>
          </cell>
          <cell r="S642" t="str">
            <v>D Barat1</v>
          </cell>
          <cell r="T642" t="str">
            <v>Tomi</v>
          </cell>
          <cell r="U642">
            <v>30</v>
          </cell>
        </row>
        <row r="643">
          <cell r="E643" t="str">
            <v>D25013802</v>
          </cell>
          <cell r="F643"/>
          <cell r="G643">
            <v>1800000000</v>
          </cell>
          <cell r="H643" t="str">
            <v>Zakia</v>
          </cell>
          <cell r="I643" t="str">
            <v>Tiya</v>
          </cell>
          <cell r="J643"/>
          <cell r="K643" t="str">
            <v>KU</v>
          </cell>
          <cell r="L643" t="str">
            <v>ANUG01</v>
          </cell>
          <cell r="M643" t="str">
            <v>Anugrah Tani/Agung</v>
          </cell>
          <cell r="N643" t="str">
            <v>Anugerah Tani Agro, CV</v>
          </cell>
          <cell r="O643" t="str">
            <v>Jl. Mas No. 30, RT.001/RW.005, Kel. Pelem, Kec. Pare Kab. Kediri</v>
          </cell>
          <cell r="P643" t="str">
            <v>Kediri</v>
          </cell>
          <cell r="Q643" t="str">
            <v>Jl. Mas No. 30, RT.001/RW.005, Kel. Pelem, Kec. Pare Kab. Kediri</v>
          </cell>
          <cell r="R643" t="str">
            <v>Kediri</v>
          </cell>
          <cell r="S643" t="str">
            <v>D Barat1</v>
          </cell>
          <cell r="T643" t="str">
            <v>Tomi</v>
          </cell>
          <cell r="U643">
            <v>30</v>
          </cell>
        </row>
        <row r="644">
          <cell r="E644" t="str">
            <v>D25013878</v>
          </cell>
          <cell r="F644"/>
          <cell r="G644">
            <v>1800000000</v>
          </cell>
          <cell r="H644" t="str">
            <v>Zakia</v>
          </cell>
          <cell r="I644" t="str">
            <v>Tiya</v>
          </cell>
          <cell r="J644"/>
          <cell r="K644" t="str">
            <v>KU</v>
          </cell>
          <cell r="L644" t="str">
            <v>ANUG01</v>
          </cell>
          <cell r="M644" t="str">
            <v>Anugrah Tani/Agung</v>
          </cell>
          <cell r="N644" t="str">
            <v>Anugerah Tani Agro, CV</v>
          </cell>
          <cell r="O644" t="str">
            <v>Jl. Mas No. 30, RT.001/RW.005, Kel. Pelem, Kec. Pare Kab. Kediri</v>
          </cell>
          <cell r="P644" t="str">
            <v>Kediri</v>
          </cell>
          <cell r="Q644" t="str">
            <v>Jl. Mas No. 30, RT.001/RW.005, Kel. Pelem, Kec. Pare Kab. Kediri</v>
          </cell>
          <cell r="R644" t="str">
            <v>Kediri</v>
          </cell>
          <cell r="S644" t="str">
            <v>D Barat1</v>
          </cell>
          <cell r="T644" t="str">
            <v>Tomi</v>
          </cell>
          <cell r="U644">
            <v>30</v>
          </cell>
        </row>
        <row r="645">
          <cell r="E645" t="str">
            <v>D25013879</v>
          </cell>
          <cell r="F645"/>
          <cell r="G645">
            <v>1800000000</v>
          </cell>
          <cell r="H645" t="str">
            <v>Zakia</v>
          </cell>
          <cell r="I645" t="str">
            <v>Tiya</v>
          </cell>
          <cell r="J645"/>
          <cell r="K645" t="str">
            <v>KU</v>
          </cell>
          <cell r="L645" t="str">
            <v>ANUG01</v>
          </cell>
          <cell r="M645" t="str">
            <v>Anugrah Tani/Agung</v>
          </cell>
          <cell r="N645" t="str">
            <v>Anugerah Tani Agro, CV</v>
          </cell>
          <cell r="O645" t="str">
            <v>Jl. Mas No. 30, RT.001/RW.005, Kel. Pelem, Kec. Pare Kab. Kediri</v>
          </cell>
          <cell r="P645" t="str">
            <v>Kediri</v>
          </cell>
          <cell r="Q645" t="str">
            <v>Jl. Mas No. 30, RT.001/RW.005, Kel. Pelem, Kec. Pare Kab. Kediri</v>
          </cell>
          <cell r="R645" t="str">
            <v>Kediri</v>
          </cell>
          <cell r="S645" t="str">
            <v>D Barat1</v>
          </cell>
          <cell r="T645" t="str">
            <v>Tomi</v>
          </cell>
          <cell r="U645">
            <v>30</v>
          </cell>
        </row>
        <row r="646">
          <cell r="E646" t="str">
            <v>D25013982</v>
          </cell>
          <cell r="F646"/>
          <cell r="G646">
            <v>1800000000</v>
          </cell>
          <cell r="H646" t="str">
            <v>Zakia</v>
          </cell>
          <cell r="I646" t="str">
            <v>Tiya</v>
          </cell>
          <cell r="J646"/>
          <cell r="K646" t="str">
            <v>KU</v>
          </cell>
          <cell r="L646" t="str">
            <v>ANUG01</v>
          </cell>
          <cell r="M646" t="str">
            <v>Anugrah Tani/Agung</v>
          </cell>
          <cell r="N646" t="str">
            <v>Anugerah Tani Agro, CV</v>
          </cell>
          <cell r="O646" t="str">
            <v>Jl. Mas No. 30, RT.001/RW.005, Kel. Pelem, Kec. Pare Kab. Kediri</v>
          </cell>
          <cell r="P646" t="str">
            <v>Kediri</v>
          </cell>
          <cell r="Q646" t="str">
            <v>Jl. Mas No. 30, RT.001/RW.005, Kel. Pelem, Kec. Pare Kab. Kediri</v>
          </cell>
          <cell r="R646" t="str">
            <v>Kediri</v>
          </cell>
          <cell r="S646" t="str">
            <v>D Barat1</v>
          </cell>
          <cell r="T646" t="str">
            <v>Tomi</v>
          </cell>
          <cell r="U646">
            <v>30</v>
          </cell>
        </row>
        <row r="647">
          <cell r="E647" t="str">
            <v>B25011942</v>
          </cell>
          <cell r="F647"/>
          <cell r="G647">
            <v>1800000000</v>
          </cell>
          <cell r="H647" t="str">
            <v>Zakia</v>
          </cell>
          <cell r="I647" t="str">
            <v>Tiya</v>
          </cell>
          <cell r="J647"/>
          <cell r="K647" t="str">
            <v>KU</v>
          </cell>
          <cell r="L647" t="str">
            <v>ANUG01</v>
          </cell>
          <cell r="M647" t="str">
            <v>Anugrah Tani/Agung</v>
          </cell>
          <cell r="N647" t="str">
            <v>Anugerah Tani Agro, CV</v>
          </cell>
          <cell r="O647" t="str">
            <v>Jl. Mas No. 30, RT.001/RW.005, Kel. Pelem, Kec. Pare Kab. Kediri</v>
          </cell>
          <cell r="P647" t="str">
            <v>Kediri</v>
          </cell>
          <cell r="Q647" t="str">
            <v>Jl. Mas No. 30, RT.001/RW.005, Kel. Pelem, Kec. Pare Kab. Kediri</v>
          </cell>
          <cell r="R647" t="str">
            <v>Kediri</v>
          </cell>
          <cell r="S647" t="str">
            <v>D Barat1</v>
          </cell>
          <cell r="T647" t="str">
            <v>Tomi</v>
          </cell>
          <cell r="U647">
            <v>30</v>
          </cell>
        </row>
        <row r="648">
          <cell r="E648" t="str">
            <v>B25012005</v>
          </cell>
          <cell r="F648"/>
          <cell r="G648">
            <v>1800000000</v>
          </cell>
          <cell r="H648" t="str">
            <v>Zakia</v>
          </cell>
          <cell r="I648" t="str">
            <v>Tiya</v>
          </cell>
          <cell r="J648"/>
          <cell r="K648" t="str">
            <v>KU</v>
          </cell>
          <cell r="L648" t="str">
            <v>ANUG01</v>
          </cell>
          <cell r="M648" t="str">
            <v>Anugrah Tani/Agung</v>
          </cell>
          <cell r="N648" t="str">
            <v>Anugerah Tani Agro, CV</v>
          </cell>
          <cell r="O648" t="str">
            <v>Jl. Mas No. 30, RT.001/RW.005, Kel. Pelem, Kec. Pare Kab. Kediri</v>
          </cell>
          <cell r="P648" t="str">
            <v>Kediri</v>
          </cell>
          <cell r="Q648" t="str">
            <v>Jl. Mas No. 30, RT.001/RW.005, Kel. Pelem, Kec. Pare Kab. Kediri</v>
          </cell>
          <cell r="R648" t="str">
            <v>Kediri</v>
          </cell>
          <cell r="S648" t="str">
            <v>D Barat1</v>
          </cell>
          <cell r="T648" t="str">
            <v>Tomi</v>
          </cell>
          <cell r="U648">
            <v>30</v>
          </cell>
        </row>
        <row r="649">
          <cell r="E649" t="str">
            <v>B25012180</v>
          </cell>
          <cell r="F649"/>
          <cell r="G649">
            <v>1800000000</v>
          </cell>
          <cell r="H649" t="str">
            <v>Zakia</v>
          </cell>
          <cell r="I649" t="str">
            <v>Tiya</v>
          </cell>
          <cell r="J649"/>
          <cell r="K649" t="str">
            <v>KU</v>
          </cell>
          <cell r="L649" t="str">
            <v>ANUG01</v>
          </cell>
          <cell r="M649" t="str">
            <v>Anugrah Tani/Agung</v>
          </cell>
          <cell r="N649" t="str">
            <v>Anugerah Tani Agro, CV</v>
          </cell>
          <cell r="O649" t="str">
            <v>Jl. Mas No. 30, RT.001/RW.005, Kel. Pelem, Kec. Pare Kab. Kediri</v>
          </cell>
          <cell r="P649" t="str">
            <v>Kediri</v>
          </cell>
          <cell r="Q649" t="str">
            <v>Jl. Mas No. 30, RT.001/RW.005, Kel. Pelem, Kec. Pare Kab. Kediri</v>
          </cell>
          <cell r="R649" t="str">
            <v>Kediri</v>
          </cell>
          <cell r="S649" t="str">
            <v>D Barat1</v>
          </cell>
          <cell r="T649" t="str">
            <v>Tomi</v>
          </cell>
          <cell r="U649">
            <v>30</v>
          </cell>
        </row>
        <row r="650">
          <cell r="E650">
            <v>250116</v>
          </cell>
          <cell r="F650"/>
          <cell r="G650">
            <v>1800000000</v>
          </cell>
          <cell r="H650" t="str">
            <v>Zakia</v>
          </cell>
          <cell r="I650" t="str">
            <v>Tiya</v>
          </cell>
          <cell r="J650"/>
          <cell r="K650" t="str">
            <v>KU</v>
          </cell>
          <cell r="L650" t="str">
            <v>ANUG01</v>
          </cell>
          <cell r="M650" t="str">
            <v>Anugrah Tani/Agung</v>
          </cell>
          <cell r="N650" t="str">
            <v>Anugerah Tani Agro, CV</v>
          </cell>
          <cell r="O650" t="str">
            <v>Jl. Mas No. 30, RT.001/RW.005, Kel. Pelem, Kec. Pare Kab. Kediri</v>
          </cell>
          <cell r="P650" t="str">
            <v>Kediri</v>
          </cell>
          <cell r="Q650" t="str">
            <v>Jl. Mas No. 30, RT.001/RW.005, Kel. Pelem, Kec. Pare Kab. Kediri</v>
          </cell>
          <cell r="R650" t="str">
            <v>Kediri</v>
          </cell>
          <cell r="S650" t="str">
            <v>D Barat1</v>
          </cell>
          <cell r="T650" t="str">
            <v>Tomi</v>
          </cell>
          <cell r="U650">
            <v>30</v>
          </cell>
        </row>
        <row r="651">
          <cell r="E651" t="str">
            <v>B25012277</v>
          </cell>
          <cell r="F651"/>
          <cell r="G651">
            <v>1800000000</v>
          </cell>
          <cell r="H651" t="str">
            <v>Zakia</v>
          </cell>
          <cell r="I651" t="str">
            <v>Tiya</v>
          </cell>
          <cell r="J651"/>
          <cell r="K651" t="str">
            <v>KU</v>
          </cell>
          <cell r="L651" t="str">
            <v>ANUG01</v>
          </cell>
          <cell r="M651" t="str">
            <v>Anugrah Tani/Agung</v>
          </cell>
          <cell r="N651" t="str">
            <v>Anugerah Tani Agro, CV</v>
          </cell>
          <cell r="O651" t="str">
            <v>Jl. Mas No. 30, RT.001/RW.005, Kel. Pelem, Kec. Pare Kab. Kediri</v>
          </cell>
          <cell r="P651" t="str">
            <v>Kediri</v>
          </cell>
          <cell r="Q651" t="str">
            <v>Jl. Mas No. 30, RT.001/RW.005, Kel. Pelem, Kec. Pare Kab. Kediri</v>
          </cell>
          <cell r="R651" t="str">
            <v>Kediri</v>
          </cell>
          <cell r="S651" t="str">
            <v>D Barat1</v>
          </cell>
          <cell r="T651" t="str">
            <v>Tomi</v>
          </cell>
          <cell r="U651">
            <v>30</v>
          </cell>
        </row>
        <row r="652">
          <cell r="E652" t="str">
            <v>B25012278</v>
          </cell>
          <cell r="F652"/>
          <cell r="G652">
            <v>1800000000</v>
          </cell>
          <cell r="H652" t="str">
            <v>Zakia</v>
          </cell>
          <cell r="I652" t="str">
            <v>Tiya</v>
          </cell>
          <cell r="J652"/>
          <cell r="K652" t="str">
            <v>KU</v>
          </cell>
          <cell r="L652" t="str">
            <v>ANUG01</v>
          </cell>
          <cell r="M652" t="str">
            <v>Anugrah Tani/Agung</v>
          </cell>
          <cell r="N652" t="str">
            <v>Anugerah Tani Agro, CV</v>
          </cell>
          <cell r="O652" t="str">
            <v>Jl. Mas No. 30, RT.001/RW.005, Kel. Pelem, Kec. Pare Kab. Kediri</v>
          </cell>
          <cell r="P652" t="str">
            <v>Kediri</v>
          </cell>
          <cell r="Q652" t="str">
            <v>Jl. Mas No. 30, RT.001/RW.005, Kel. Pelem, Kec. Pare Kab. Kediri</v>
          </cell>
          <cell r="R652" t="str">
            <v>Kediri</v>
          </cell>
          <cell r="S652" t="str">
            <v>D Barat1</v>
          </cell>
          <cell r="T652" t="str">
            <v>Tomi</v>
          </cell>
          <cell r="U652">
            <v>30</v>
          </cell>
        </row>
        <row r="653">
          <cell r="E653" t="str">
            <v>B25012279</v>
          </cell>
          <cell r="F653"/>
          <cell r="G653">
            <v>1800000000</v>
          </cell>
          <cell r="H653" t="str">
            <v>Zakia</v>
          </cell>
          <cell r="I653" t="str">
            <v>Tiya</v>
          </cell>
          <cell r="J653"/>
          <cell r="K653" t="str">
            <v>KU</v>
          </cell>
          <cell r="L653" t="str">
            <v>ANUG01</v>
          </cell>
          <cell r="M653" t="str">
            <v>Anugrah Tani/Agung</v>
          </cell>
          <cell r="N653" t="str">
            <v>Anugerah Tani Agro, CV</v>
          </cell>
          <cell r="O653" t="str">
            <v>Jl. Mas No. 30, RT.001/RW.005, Kel. Pelem, Kec. Pare Kab. Kediri</v>
          </cell>
          <cell r="P653" t="str">
            <v>Kediri</v>
          </cell>
          <cell r="Q653" t="str">
            <v>Jl. Mas No. 30, RT.001/RW.005, Kel. Pelem, Kec. Pare Kab. Kediri</v>
          </cell>
          <cell r="R653" t="str">
            <v>Kediri</v>
          </cell>
          <cell r="S653" t="str">
            <v>D Barat1</v>
          </cell>
          <cell r="T653" t="str">
            <v>Tomi</v>
          </cell>
          <cell r="U653">
            <v>30</v>
          </cell>
        </row>
        <row r="654">
          <cell r="E654" t="str">
            <v>B25012288</v>
          </cell>
          <cell r="F654"/>
          <cell r="G654">
            <v>1800000000</v>
          </cell>
          <cell r="H654" t="str">
            <v>Zakia</v>
          </cell>
          <cell r="I654" t="str">
            <v>Tiya</v>
          </cell>
          <cell r="J654"/>
          <cell r="K654" t="str">
            <v>KU</v>
          </cell>
          <cell r="L654" t="str">
            <v>ANUG01</v>
          </cell>
          <cell r="M654" t="str">
            <v>Anugrah Tani/Agung</v>
          </cell>
          <cell r="N654" t="str">
            <v>Anugerah Tani Agro, CV</v>
          </cell>
          <cell r="O654" t="str">
            <v>Jl. Mas No. 30, RT.001/RW.005, Kel. Pelem, Kec. Pare Kab. Kediri</v>
          </cell>
          <cell r="P654" t="str">
            <v>Kediri</v>
          </cell>
          <cell r="Q654" t="str">
            <v>Jl. Mas No. 30, RT.001/RW.005, Kel. Pelem, Kec. Pare Kab. Kediri</v>
          </cell>
          <cell r="R654" t="str">
            <v>Kediri</v>
          </cell>
          <cell r="S654" t="str">
            <v>D Barat1</v>
          </cell>
          <cell r="T654" t="str">
            <v>Tomi</v>
          </cell>
          <cell r="U654">
            <v>30</v>
          </cell>
        </row>
        <row r="655">
          <cell r="E655" t="str">
            <v>T25001443</v>
          </cell>
          <cell r="F655"/>
          <cell r="G655">
            <v>1800000000</v>
          </cell>
          <cell r="H655" t="str">
            <v>Zakia</v>
          </cell>
          <cell r="I655" t="str">
            <v>Tiya</v>
          </cell>
          <cell r="J655"/>
          <cell r="K655" t="str">
            <v>KU</v>
          </cell>
          <cell r="L655" t="str">
            <v>ANUG01</v>
          </cell>
          <cell r="M655" t="str">
            <v>Anugrah Tani/Agung</v>
          </cell>
          <cell r="N655" t="str">
            <v>Anugerah Tani Agro, CV</v>
          </cell>
          <cell r="O655" t="str">
            <v>Jl. Mas No. 30, RT.001/RW.005, Kel. Pelem, Kec. Pare Kab. Kediri</v>
          </cell>
          <cell r="P655" t="str">
            <v>Kediri</v>
          </cell>
          <cell r="Q655" t="str">
            <v>Jl. Mas No. 30, RT.001/RW.005, Kel. Pelem, Kec. Pare Kab. Kediri</v>
          </cell>
          <cell r="R655" t="str">
            <v>Kediri</v>
          </cell>
          <cell r="S655" t="str">
            <v>D Barat1</v>
          </cell>
          <cell r="T655" t="str">
            <v>Tomi</v>
          </cell>
          <cell r="U655">
            <v>60</v>
          </cell>
        </row>
        <row r="656">
          <cell r="E656" t="str">
            <v>B25012375</v>
          </cell>
          <cell r="F656"/>
          <cell r="G656">
            <v>1800000000</v>
          </cell>
          <cell r="H656" t="str">
            <v>Zakia</v>
          </cell>
          <cell r="I656" t="str">
            <v>Tiya</v>
          </cell>
          <cell r="J656"/>
          <cell r="K656" t="str">
            <v>KU</v>
          </cell>
          <cell r="L656" t="str">
            <v>ANUG01</v>
          </cell>
          <cell r="M656" t="str">
            <v>Anugrah Tani/Agung</v>
          </cell>
          <cell r="N656" t="str">
            <v>Anugerah Tani Agro, CV</v>
          </cell>
          <cell r="O656" t="str">
            <v>Jl. Mas No. 30, RT.001/RW.005, Kel. Pelem, Kec. Pare Kab. Kediri</v>
          </cell>
          <cell r="P656" t="str">
            <v>Kediri</v>
          </cell>
          <cell r="Q656" t="str">
            <v>Jl. Mas No. 30, RT.001/RW.005, Kel. Pelem, Kec. Pare Kab. Kediri</v>
          </cell>
          <cell r="R656" t="str">
            <v>Kediri</v>
          </cell>
          <cell r="S656" t="str">
            <v>D Barat1</v>
          </cell>
          <cell r="T656" t="str">
            <v>Tomi</v>
          </cell>
          <cell r="U656">
            <v>0</v>
          </cell>
        </row>
        <row r="657">
          <cell r="E657" t="str">
            <v>B25012376</v>
          </cell>
          <cell r="F657"/>
          <cell r="G657">
            <v>1800000000</v>
          </cell>
          <cell r="H657" t="str">
            <v>Zakia</v>
          </cell>
          <cell r="I657" t="str">
            <v>Tiya</v>
          </cell>
          <cell r="J657"/>
          <cell r="K657" t="str">
            <v>KU</v>
          </cell>
          <cell r="L657" t="str">
            <v>ANUG01</v>
          </cell>
          <cell r="M657" t="str">
            <v>Anugrah Tani/Agung</v>
          </cell>
          <cell r="N657" t="str">
            <v>Anugerah Tani Agro, CV</v>
          </cell>
          <cell r="O657" t="str">
            <v>Jl. Mas No. 30, RT.001/RW.005, Kel. Pelem, Kec. Pare Kab. Kediri</v>
          </cell>
          <cell r="P657" t="str">
            <v>Kediri</v>
          </cell>
          <cell r="Q657" t="str">
            <v>Jl. Mas No. 30, RT.001/RW.005, Kel. Pelem, Kec. Pare Kab. Kediri</v>
          </cell>
          <cell r="R657" t="str">
            <v>Kediri</v>
          </cell>
          <cell r="S657" t="str">
            <v>D Barat1</v>
          </cell>
          <cell r="T657" t="str">
            <v>Tomi</v>
          </cell>
          <cell r="U657">
            <v>0</v>
          </cell>
        </row>
        <row r="658">
          <cell r="E658" t="str">
            <v>D25014694</v>
          </cell>
          <cell r="F658"/>
          <cell r="G658">
            <v>1800000000</v>
          </cell>
          <cell r="H658" t="str">
            <v>Zakia</v>
          </cell>
          <cell r="I658" t="str">
            <v>Tiya</v>
          </cell>
          <cell r="J658"/>
          <cell r="K658" t="str">
            <v>KU</v>
          </cell>
          <cell r="L658" t="str">
            <v>ANUG01</v>
          </cell>
          <cell r="M658" t="str">
            <v>Anugrah Tani/Agung</v>
          </cell>
          <cell r="N658" t="str">
            <v>Anugerah Tani Agro, CV</v>
          </cell>
          <cell r="O658" t="str">
            <v>Jl. Mas No. 30, RT.001/RW.005, Kel. Pelem, Kec. Pare Kab. Kediri</v>
          </cell>
          <cell r="P658" t="str">
            <v>Kediri</v>
          </cell>
          <cell r="Q658" t="str">
            <v>Jl. Mas No. 30, RT.001/RW.005, Kel. Pelem, Kec. Pare Kab. Kediri</v>
          </cell>
          <cell r="R658" t="str">
            <v>Kediri</v>
          </cell>
          <cell r="S658" t="str">
            <v>D Barat1</v>
          </cell>
          <cell r="T658" t="str">
            <v>Tomi</v>
          </cell>
          <cell r="U658">
            <v>0</v>
          </cell>
        </row>
        <row r="659">
          <cell r="E659" t="str">
            <v>B25012474</v>
          </cell>
          <cell r="F659"/>
          <cell r="G659">
            <v>1800000000</v>
          </cell>
          <cell r="H659" t="str">
            <v>Zakia</v>
          </cell>
          <cell r="I659" t="str">
            <v>Tiya</v>
          </cell>
          <cell r="J659"/>
          <cell r="K659" t="str">
            <v>KU</v>
          </cell>
          <cell r="L659" t="str">
            <v>ANUG01</v>
          </cell>
          <cell r="M659" t="str">
            <v>Anugrah Tani/Agung</v>
          </cell>
          <cell r="N659" t="str">
            <v>Anugerah Tani Agro, CV</v>
          </cell>
          <cell r="O659" t="str">
            <v>Jl. Mas No. 30, RT.001/RW.005, Kel. Pelem, Kec. Pare Kab. Kediri</v>
          </cell>
          <cell r="P659" t="str">
            <v>Kediri</v>
          </cell>
          <cell r="Q659" t="str">
            <v>Jl. Mas No. 30, RT.001/RW.005, Kel. Pelem, Kec. Pare Kab. Kediri</v>
          </cell>
          <cell r="R659" t="str">
            <v>Kediri</v>
          </cell>
          <cell r="S659" t="str">
            <v>D Barat1</v>
          </cell>
          <cell r="T659" t="str">
            <v>Tomi</v>
          </cell>
          <cell r="U659">
            <v>30</v>
          </cell>
        </row>
        <row r="660">
          <cell r="E660" t="str">
            <v>B25012481</v>
          </cell>
          <cell r="F660"/>
          <cell r="G660">
            <v>1800000000</v>
          </cell>
          <cell r="H660" t="str">
            <v>Zakia</v>
          </cell>
          <cell r="I660" t="str">
            <v>Tiya</v>
          </cell>
          <cell r="J660"/>
          <cell r="K660" t="str">
            <v>KU</v>
          </cell>
          <cell r="L660" t="str">
            <v>ANUG01</v>
          </cell>
          <cell r="M660" t="str">
            <v>Anugrah Tani/Agung</v>
          </cell>
          <cell r="N660" t="str">
            <v>Anugerah Tani Agro, CV</v>
          </cell>
          <cell r="O660" t="str">
            <v>Jl. Mas No. 30, RT.001/RW.005, Kel. Pelem, Kec. Pare Kab. Kediri</v>
          </cell>
          <cell r="P660" t="str">
            <v>Kediri</v>
          </cell>
          <cell r="Q660" t="str">
            <v>Jl. Mas No. 30, RT.001/RW.005, Kel. Pelem, Kec. Pare Kab. Kediri</v>
          </cell>
          <cell r="R660" t="str">
            <v>Kediri</v>
          </cell>
          <cell r="S660" t="str">
            <v>D Barat1</v>
          </cell>
          <cell r="T660" t="str">
            <v>Tomi</v>
          </cell>
          <cell r="U660">
            <v>30</v>
          </cell>
        </row>
        <row r="661">
          <cell r="E661" t="str">
            <v>D25014760</v>
          </cell>
          <cell r="F661"/>
          <cell r="G661">
            <v>1800000000</v>
          </cell>
          <cell r="H661" t="str">
            <v>Zakia</v>
          </cell>
          <cell r="I661" t="str">
            <v>Tiya</v>
          </cell>
          <cell r="J661"/>
          <cell r="K661" t="str">
            <v>KU</v>
          </cell>
          <cell r="L661" t="str">
            <v>ANUG01</v>
          </cell>
          <cell r="M661" t="str">
            <v>Anugrah Tani/Agung</v>
          </cell>
          <cell r="N661" t="str">
            <v>Anugerah Tani Agro, CV</v>
          </cell>
          <cell r="O661" t="str">
            <v>Jl. Mas No. 30, RT.001/RW.005, Kel. Pelem, Kec. Pare Kab. Kediri</v>
          </cell>
          <cell r="P661" t="str">
            <v>Kediri</v>
          </cell>
          <cell r="Q661" t="str">
            <v>Jl. Mas No. 30, RT.001/RW.005, Kel. Pelem, Kec. Pare Kab. Kediri</v>
          </cell>
          <cell r="R661" t="str">
            <v>Kediri</v>
          </cell>
          <cell r="S661" t="str">
            <v>D Barat1</v>
          </cell>
          <cell r="T661" t="str">
            <v>Tomi</v>
          </cell>
          <cell r="U661">
            <v>30</v>
          </cell>
        </row>
        <row r="662">
          <cell r="E662" t="str">
            <v>D25014856</v>
          </cell>
          <cell r="F662"/>
          <cell r="G662">
            <v>1800000000</v>
          </cell>
          <cell r="H662" t="str">
            <v>Zakia</v>
          </cell>
          <cell r="I662" t="str">
            <v>Tiya</v>
          </cell>
          <cell r="J662"/>
          <cell r="K662" t="str">
            <v>KU</v>
          </cell>
          <cell r="L662" t="str">
            <v>ANUG01</v>
          </cell>
          <cell r="M662" t="str">
            <v>Anugrah Tani/Agung</v>
          </cell>
          <cell r="N662" t="str">
            <v>Anugerah Tani Agro, CV</v>
          </cell>
          <cell r="O662" t="str">
            <v>Jl. Mas No. 30, RT.001/RW.005, Kel. Pelem, Kec. Pare Kab. Kediri</v>
          </cell>
          <cell r="P662" t="str">
            <v>Kediri</v>
          </cell>
          <cell r="Q662" t="str">
            <v>Jl. Mas No. 30, RT.001/RW.005, Kel. Pelem, Kec. Pare Kab. Kediri</v>
          </cell>
          <cell r="R662" t="str">
            <v>Kediri</v>
          </cell>
          <cell r="S662" t="str">
            <v>D Barat1</v>
          </cell>
          <cell r="T662" t="str">
            <v>Tomi</v>
          </cell>
          <cell r="U662">
            <v>30</v>
          </cell>
        </row>
        <row r="663">
          <cell r="E663" t="str">
            <v>B25012680</v>
          </cell>
          <cell r="F663"/>
          <cell r="G663">
            <v>1800000000</v>
          </cell>
          <cell r="H663" t="str">
            <v>Zakia</v>
          </cell>
          <cell r="I663" t="str">
            <v>Tiya</v>
          </cell>
          <cell r="J663"/>
          <cell r="K663" t="str">
            <v>KU</v>
          </cell>
          <cell r="L663" t="str">
            <v>ANUG01</v>
          </cell>
          <cell r="M663" t="str">
            <v>Anugrah Tani/Agung</v>
          </cell>
          <cell r="N663" t="str">
            <v>Anugerah Tani Agro, CV</v>
          </cell>
          <cell r="O663" t="str">
            <v>Jl. Mas No. 30, RT.001/RW.005, Kel. Pelem, Kec. Pare Kab. Kediri</v>
          </cell>
          <cell r="P663" t="str">
            <v>Kediri</v>
          </cell>
          <cell r="Q663" t="str">
            <v>Jl. Mas No. 30, RT.001/RW.005, Kel. Pelem, Kec. Pare Kab. Kediri</v>
          </cell>
          <cell r="R663" t="str">
            <v>Kediri</v>
          </cell>
          <cell r="S663" t="str">
            <v>D Barat1</v>
          </cell>
          <cell r="T663" t="str">
            <v>Tomi</v>
          </cell>
          <cell r="U663">
            <v>60</v>
          </cell>
        </row>
        <row r="664">
          <cell r="E664" t="str">
            <v>D25015085</v>
          </cell>
          <cell r="F664"/>
          <cell r="G664">
            <v>1800000000</v>
          </cell>
          <cell r="H664" t="str">
            <v>Zakia</v>
          </cell>
          <cell r="I664" t="str">
            <v>Tiya</v>
          </cell>
          <cell r="J664"/>
          <cell r="K664" t="str">
            <v>KU</v>
          </cell>
          <cell r="L664" t="str">
            <v>ANUG01</v>
          </cell>
          <cell r="M664" t="str">
            <v>Anugrah Tani/Agung</v>
          </cell>
          <cell r="N664" t="str">
            <v>Anugerah Tani Agro, CV</v>
          </cell>
          <cell r="O664" t="str">
            <v>Jl. Mas No. 30, RT.001/RW.005, Kel. Pelem, Kec. Pare Kab. Kediri</v>
          </cell>
          <cell r="P664" t="str">
            <v>Kediri</v>
          </cell>
          <cell r="Q664" t="str">
            <v>Jl. Mas No. 30, RT.001/RW.005, Kel. Pelem, Kec. Pare Kab. Kediri</v>
          </cell>
          <cell r="R664" t="str">
            <v>Kediri</v>
          </cell>
          <cell r="S664" t="str">
            <v>D Barat1</v>
          </cell>
          <cell r="T664" t="str">
            <v>Tomi</v>
          </cell>
          <cell r="U664">
            <v>30</v>
          </cell>
        </row>
        <row r="665">
          <cell r="E665">
            <v>250129</v>
          </cell>
          <cell r="F665"/>
          <cell r="G665">
            <v>1800000000</v>
          </cell>
          <cell r="H665" t="str">
            <v>Zakia</v>
          </cell>
          <cell r="I665" t="str">
            <v>Tiya</v>
          </cell>
          <cell r="J665"/>
          <cell r="K665" t="str">
            <v>KU</v>
          </cell>
          <cell r="L665" t="str">
            <v>ANUG01</v>
          </cell>
          <cell r="M665" t="str">
            <v>Anugrah Tani/Agung</v>
          </cell>
          <cell r="N665" t="str">
            <v>Anugerah Tani Agro, CV</v>
          </cell>
          <cell r="O665" t="str">
            <v>Jl. Mas No. 30, RT.001/RW.005, Kel. Pelem, Kec. Pare Kab. Kediri</v>
          </cell>
          <cell r="P665" t="str">
            <v>Kediri</v>
          </cell>
          <cell r="Q665" t="str">
            <v>Jl. Mas No. 30, RT.001/RW.005, Kel. Pelem, Kec. Pare Kab. Kediri</v>
          </cell>
          <cell r="R665" t="str">
            <v>Kediri</v>
          </cell>
          <cell r="S665" t="str">
            <v>D Barat1</v>
          </cell>
          <cell r="T665" t="str">
            <v>Tomi</v>
          </cell>
          <cell r="U665">
            <v>30</v>
          </cell>
        </row>
        <row r="666">
          <cell r="E666" t="str">
            <v>D25015125</v>
          </cell>
          <cell r="F666"/>
          <cell r="G666">
            <v>1800000000</v>
          </cell>
          <cell r="H666" t="str">
            <v>Zakia</v>
          </cell>
          <cell r="I666" t="str">
            <v>Tiya</v>
          </cell>
          <cell r="J666"/>
          <cell r="K666" t="str">
            <v>KU</v>
          </cell>
          <cell r="L666" t="str">
            <v>ANUG01</v>
          </cell>
          <cell r="M666" t="str">
            <v>Anugrah Tani/Agung</v>
          </cell>
          <cell r="N666" t="str">
            <v>Anugerah Tani Agro, CV</v>
          </cell>
          <cell r="O666" t="str">
            <v>Jl. Mas No. 30, RT.001/RW.005, Kel. Pelem, Kec. Pare Kab. Kediri</v>
          </cell>
          <cell r="P666" t="str">
            <v>Kediri</v>
          </cell>
          <cell r="Q666" t="str">
            <v>Jl. Mas No. 30, RT.001/RW.005, Kel. Pelem, Kec. Pare Kab. Kediri</v>
          </cell>
          <cell r="R666" t="str">
            <v>Kediri</v>
          </cell>
          <cell r="S666" t="str">
            <v>D Barat1</v>
          </cell>
          <cell r="T666" t="str">
            <v>Tomi</v>
          </cell>
          <cell r="U666">
            <v>30</v>
          </cell>
        </row>
        <row r="667">
          <cell r="E667" t="str">
            <v>D25015126</v>
          </cell>
          <cell r="F667"/>
          <cell r="G667">
            <v>1800000000</v>
          </cell>
          <cell r="H667" t="str">
            <v>Zakia</v>
          </cell>
          <cell r="I667" t="str">
            <v>Tiya</v>
          </cell>
          <cell r="J667"/>
          <cell r="K667" t="str">
            <v>KU</v>
          </cell>
          <cell r="L667" t="str">
            <v>ANUG01</v>
          </cell>
          <cell r="M667" t="str">
            <v>Anugrah Tani/Agung</v>
          </cell>
          <cell r="N667" t="str">
            <v>Anugerah Tani Agro, CV</v>
          </cell>
          <cell r="O667" t="str">
            <v>Jl. Mas No. 30, RT.001/RW.005, Kel. Pelem, Kec. Pare Kab. Kediri</v>
          </cell>
          <cell r="P667" t="str">
            <v>Kediri</v>
          </cell>
          <cell r="Q667" t="str">
            <v>Jl. Mas No. 30, RT.001/RW.005, Kel. Pelem, Kec. Pare Kab. Kediri</v>
          </cell>
          <cell r="R667" t="str">
            <v>Kediri</v>
          </cell>
          <cell r="S667" t="str">
            <v>D Barat1</v>
          </cell>
          <cell r="T667" t="str">
            <v>Tomi</v>
          </cell>
          <cell r="U667">
            <v>0</v>
          </cell>
        </row>
        <row r="668">
          <cell r="E668" t="str">
            <v>D25015151</v>
          </cell>
          <cell r="F668"/>
          <cell r="G668">
            <v>1800000000</v>
          </cell>
          <cell r="H668" t="str">
            <v>Zakia</v>
          </cell>
          <cell r="I668" t="str">
            <v>Tiya</v>
          </cell>
          <cell r="J668"/>
          <cell r="K668" t="str">
            <v>KU</v>
          </cell>
          <cell r="L668" t="str">
            <v>ANUG01</v>
          </cell>
          <cell r="M668" t="str">
            <v>Anugrah Tani/Agung</v>
          </cell>
          <cell r="N668" t="str">
            <v>Anugerah Tani Agro, CV</v>
          </cell>
          <cell r="O668" t="str">
            <v>Jl. Mas No. 30, RT.001/RW.005, Kel. Pelem, Kec. Pare Kab. Kediri</v>
          </cell>
          <cell r="P668" t="str">
            <v>Kediri</v>
          </cell>
          <cell r="Q668" t="str">
            <v>Jl. Mas No. 30, RT.001/RW.005, Kel. Pelem, Kec. Pare Kab. Kediri</v>
          </cell>
          <cell r="R668" t="str">
            <v>Kediri</v>
          </cell>
          <cell r="S668" t="str">
            <v>D Barat1</v>
          </cell>
          <cell r="T668" t="str">
            <v>Tomi</v>
          </cell>
          <cell r="U668">
            <v>60</v>
          </cell>
        </row>
        <row r="669">
          <cell r="E669" t="str">
            <v>D25015463</v>
          </cell>
          <cell r="F669"/>
          <cell r="G669">
            <v>1800000000</v>
          </cell>
          <cell r="H669" t="str">
            <v>Zakia</v>
          </cell>
          <cell r="I669" t="str">
            <v>Tiya</v>
          </cell>
          <cell r="J669"/>
          <cell r="K669" t="str">
            <v>KU</v>
          </cell>
          <cell r="L669" t="str">
            <v>ANUG01</v>
          </cell>
          <cell r="M669" t="str">
            <v>Anugrah Tani/Agung</v>
          </cell>
          <cell r="N669" t="str">
            <v>Anugerah Tani Agro, CV</v>
          </cell>
          <cell r="O669" t="str">
            <v>Jl. Mas No. 30, RT.001/RW.005, Kel. Pelem, Kec. Pare Kab. Kediri</v>
          </cell>
          <cell r="P669" t="str">
            <v>Kediri</v>
          </cell>
          <cell r="Q669" t="str">
            <v>Jl. Mas No. 30, RT.001/RW.005, Kel. Pelem, Kec. Pare Kab. Kediri</v>
          </cell>
          <cell r="R669" t="str">
            <v>Kediri</v>
          </cell>
          <cell r="S669" t="str">
            <v>D Barat1</v>
          </cell>
          <cell r="T669" t="str">
            <v>Tomi</v>
          </cell>
          <cell r="U669">
            <v>30</v>
          </cell>
        </row>
        <row r="670">
          <cell r="E670" t="str">
            <v>D25015817</v>
          </cell>
          <cell r="F670"/>
          <cell r="G670">
            <v>1800000000</v>
          </cell>
          <cell r="H670" t="str">
            <v>Zakia</v>
          </cell>
          <cell r="I670" t="str">
            <v>Tiya</v>
          </cell>
          <cell r="J670"/>
          <cell r="K670" t="str">
            <v>KU</v>
          </cell>
          <cell r="L670" t="str">
            <v>ANUG01</v>
          </cell>
          <cell r="M670" t="str">
            <v>Anugrah Tani/Agung</v>
          </cell>
          <cell r="N670" t="str">
            <v>Anugerah Tani Agro, CV</v>
          </cell>
          <cell r="O670" t="str">
            <v>Jl. Mas No. 30, RT.001/RW.005, Kel. Pelem, Kec. Pare Kab. Kediri</v>
          </cell>
          <cell r="P670" t="str">
            <v>Kediri</v>
          </cell>
          <cell r="Q670" t="str">
            <v>Jl. Mas No. 30, RT.001/RW.005, Kel. Pelem, Kec. Pare Kab. Kediri</v>
          </cell>
          <cell r="R670" t="str">
            <v>Kediri</v>
          </cell>
          <cell r="S670" t="str">
            <v>D Barat1</v>
          </cell>
          <cell r="T670" t="str">
            <v>Tomi</v>
          </cell>
          <cell r="U670">
            <v>30</v>
          </cell>
        </row>
        <row r="671">
          <cell r="E671" t="str">
            <v>D25015818</v>
          </cell>
          <cell r="F671"/>
          <cell r="G671">
            <v>1800000000</v>
          </cell>
          <cell r="H671" t="str">
            <v>Zakia</v>
          </cell>
          <cell r="I671" t="str">
            <v>Tiya</v>
          </cell>
          <cell r="J671"/>
          <cell r="K671" t="str">
            <v>KU</v>
          </cell>
          <cell r="L671" t="str">
            <v>ANUG01</v>
          </cell>
          <cell r="M671" t="str">
            <v>Anugrah Tani/Agung</v>
          </cell>
          <cell r="N671" t="str">
            <v>Anugerah Tani Agro, CV</v>
          </cell>
          <cell r="O671" t="str">
            <v>Jl. Mas No. 30, RT.001/RW.005, Kel. Pelem, Kec. Pare Kab. Kediri</v>
          </cell>
          <cell r="P671" t="str">
            <v>Kediri</v>
          </cell>
          <cell r="Q671" t="str">
            <v>Jl. Mas No. 30, RT.001/RW.005, Kel. Pelem, Kec. Pare Kab. Kediri</v>
          </cell>
          <cell r="R671" t="str">
            <v>Kediri</v>
          </cell>
          <cell r="S671" t="str">
            <v>D Barat1</v>
          </cell>
          <cell r="T671" t="str">
            <v>Tomi</v>
          </cell>
          <cell r="U671">
            <v>30</v>
          </cell>
        </row>
        <row r="672">
          <cell r="E672">
            <v>250142</v>
          </cell>
          <cell r="F672"/>
          <cell r="G672">
            <v>1800000000</v>
          </cell>
          <cell r="H672" t="str">
            <v>Zakia</v>
          </cell>
          <cell r="I672" t="str">
            <v>Tiya</v>
          </cell>
          <cell r="J672"/>
          <cell r="K672" t="str">
            <v>KU</v>
          </cell>
          <cell r="L672" t="str">
            <v>ANUG01</v>
          </cell>
          <cell r="M672" t="str">
            <v>Anugrah Tani/Agung</v>
          </cell>
          <cell r="N672" t="str">
            <v>Anugerah Tani Agro, CV</v>
          </cell>
          <cell r="O672" t="str">
            <v>Jl. Mas No. 30, RT.001/RW.005, Kel. Pelem, Kec. Pare Kab. Kediri</v>
          </cell>
          <cell r="P672" t="str">
            <v>Kediri</v>
          </cell>
          <cell r="Q672" t="str">
            <v>Jl. Mas No. 30, RT.001/RW.005, Kel. Pelem, Kec. Pare Kab. Kediri</v>
          </cell>
          <cell r="R672" t="str">
            <v>Kediri</v>
          </cell>
          <cell r="S672" t="str">
            <v>D Barat1</v>
          </cell>
          <cell r="T672" t="str">
            <v>Tomi</v>
          </cell>
          <cell r="U672">
            <v>30</v>
          </cell>
        </row>
        <row r="673">
          <cell r="E673" t="str">
            <v>D25016062</v>
          </cell>
          <cell r="F673"/>
          <cell r="G673">
            <v>1800000000</v>
          </cell>
          <cell r="H673" t="str">
            <v>Zakia</v>
          </cell>
          <cell r="I673" t="str">
            <v>Tiya</v>
          </cell>
          <cell r="J673"/>
          <cell r="K673" t="str">
            <v>KU</v>
          </cell>
          <cell r="L673" t="str">
            <v>ANUG01</v>
          </cell>
          <cell r="M673" t="str">
            <v>Anugrah Tani/Agung</v>
          </cell>
          <cell r="N673" t="str">
            <v>Anugerah Tani Agro, CV</v>
          </cell>
          <cell r="O673" t="str">
            <v>Jl. Mas No. 30, RT.001/RW.005, Kel. Pelem, Kec. Pare Kab. Kediri</v>
          </cell>
          <cell r="P673" t="str">
            <v>Kediri</v>
          </cell>
          <cell r="Q673" t="str">
            <v>Jl. Mas No. 30, RT.001/RW.005, Kel. Pelem, Kec. Pare Kab. Kediri</v>
          </cell>
          <cell r="R673" t="str">
            <v>Kediri</v>
          </cell>
          <cell r="S673" t="str">
            <v>D Barat1</v>
          </cell>
          <cell r="T673" t="str">
            <v>Tomi</v>
          </cell>
          <cell r="U673">
            <v>30</v>
          </cell>
        </row>
        <row r="674">
          <cell r="E674" t="str">
            <v>D25016063</v>
          </cell>
          <cell r="F674"/>
          <cell r="G674">
            <v>1800000000</v>
          </cell>
          <cell r="H674" t="str">
            <v>Zakia</v>
          </cell>
          <cell r="I674" t="str">
            <v>Tiya</v>
          </cell>
          <cell r="J674"/>
          <cell r="K674" t="str">
            <v>KU</v>
          </cell>
          <cell r="L674" t="str">
            <v>ANUG01</v>
          </cell>
          <cell r="M674" t="str">
            <v>Anugrah Tani/Agung</v>
          </cell>
          <cell r="N674" t="str">
            <v>Anugerah Tani Agro, CV</v>
          </cell>
          <cell r="O674" t="str">
            <v>Jl. Mas No. 30, RT.001/RW.005, Kel. Pelem, Kec. Pare Kab. Kediri</v>
          </cell>
          <cell r="P674" t="str">
            <v>Kediri</v>
          </cell>
          <cell r="Q674" t="str">
            <v>Jl. Mas No. 30, RT.001/RW.005, Kel. Pelem, Kec. Pare Kab. Kediri</v>
          </cell>
          <cell r="R674" t="str">
            <v>Kediri</v>
          </cell>
          <cell r="S674" t="str">
            <v>D Barat1</v>
          </cell>
          <cell r="T674" t="str">
            <v>Tomi</v>
          </cell>
          <cell r="U674">
            <v>30</v>
          </cell>
        </row>
        <row r="675">
          <cell r="E675" t="str">
            <v>D25016083</v>
          </cell>
          <cell r="F675"/>
          <cell r="G675">
            <v>1800000000</v>
          </cell>
          <cell r="H675" t="str">
            <v>Zakia</v>
          </cell>
          <cell r="I675" t="str">
            <v>Tiya</v>
          </cell>
          <cell r="J675"/>
          <cell r="K675" t="str">
            <v>KU</v>
          </cell>
          <cell r="L675" t="str">
            <v>ANUG01</v>
          </cell>
          <cell r="M675" t="str">
            <v>Anugrah Tani/Agung</v>
          </cell>
          <cell r="N675" t="str">
            <v>Anugerah Tani Agro, CV</v>
          </cell>
          <cell r="O675" t="str">
            <v>Jl. Mas No. 30, RT.001/RW.005, Kel. Pelem, Kec. Pare Kab. Kediri</v>
          </cell>
          <cell r="P675" t="str">
            <v>Kediri</v>
          </cell>
          <cell r="Q675" t="str">
            <v>Jl. Mas No. 30, RT.001/RW.005, Kel. Pelem, Kec. Pare Kab. Kediri</v>
          </cell>
          <cell r="R675" t="str">
            <v>Kediri</v>
          </cell>
          <cell r="S675" t="str">
            <v>D Barat1</v>
          </cell>
          <cell r="T675" t="str">
            <v>Tomi</v>
          </cell>
          <cell r="U675">
            <v>30</v>
          </cell>
        </row>
        <row r="676">
          <cell r="E676" t="str">
            <v>Z25001921</v>
          </cell>
          <cell r="F676"/>
          <cell r="G676">
            <v>30000000</v>
          </cell>
          <cell r="H676" t="str">
            <v>Zakia</v>
          </cell>
          <cell r="I676" t="str">
            <v>Tiya</v>
          </cell>
          <cell r="J676" t="str">
            <v>New 20/07/20</v>
          </cell>
          <cell r="K676" t="str">
            <v>KU</v>
          </cell>
          <cell r="L676" t="str">
            <v>ANUG25</v>
          </cell>
          <cell r="M676" t="str">
            <v>Anugrah Tani/Heru</v>
          </cell>
          <cell r="N676" t="str">
            <v>Heru Sakti</v>
          </cell>
          <cell r="O676" t="str">
            <v>Dusun Pojok, RT.003/RW.003, Kel. Pojok, Kec. Campur Darat</v>
          </cell>
          <cell r="P676" t="str">
            <v>Tulungagung</v>
          </cell>
          <cell r="Q676" t="str">
            <v>Dusun Pojok, RT.003/RW.003, Kel. Pojok, Kec. Campur Darat</v>
          </cell>
          <cell r="R676" t="str">
            <v>Tulungagung</v>
          </cell>
          <cell r="S676" t="str">
            <v>D Barat1</v>
          </cell>
          <cell r="T676" t="str">
            <v>Tomi</v>
          </cell>
          <cell r="U676">
            <v>30</v>
          </cell>
        </row>
        <row r="677">
          <cell r="E677" t="str">
            <v>Z25002053</v>
          </cell>
          <cell r="F677"/>
          <cell r="G677">
            <v>30000000</v>
          </cell>
          <cell r="H677" t="str">
            <v>Zakia</v>
          </cell>
          <cell r="I677" t="str">
            <v>Tiya</v>
          </cell>
          <cell r="J677" t="str">
            <v>New 20/07/20</v>
          </cell>
          <cell r="K677" t="str">
            <v>KU</v>
          </cell>
          <cell r="L677" t="str">
            <v>ANUG25</v>
          </cell>
          <cell r="M677" t="str">
            <v>Anugrah Tani/Heru</v>
          </cell>
          <cell r="N677" t="str">
            <v>Heru Sakti</v>
          </cell>
          <cell r="O677" t="str">
            <v>Dusun Pojok, RT.003/RW.003, Kel. Pojok, Kec. Campur Darat</v>
          </cell>
          <cell r="P677" t="str">
            <v>Tulungagung</v>
          </cell>
          <cell r="Q677" t="str">
            <v>Dusun Pojok, RT.003/RW.003, Kel. Pojok, Kec. Campur Darat</v>
          </cell>
          <cell r="R677" t="str">
            <v>Tulungagung</v>
          </cell>
          <cell r="S677" t="str">
            <v>D Barat1</v>
          </cell>
          <cell r="T677" t="str">
            <v>Tomi</v>
          </cell>
          <cell r="U677">
            <v>30</v>
          </cell>
        </row>
        <row r="678">
          <cell r="E678" t="str">
            <v>Z25002053</v>
          </cell>
          <cell r="F678"/>
          <cell r="G678">
            <v>30000000</v>
          </cell>
          <cell r="H678" t="str">
            <v>Zakia</v>
          </cell>
          <cell r="I678" t="str">
            <v>Tiya</v>
          </cell>
          <cell r="J678" t="str">
            <v>New 20/07/20</v>
          </cell>
          <cell r="K678" t="str">
            <v>KU</v>
          </cell>
          <cell r="L678" t="str">
            <v>ANUG25</v>
          </cell>
          <cell r="M678" t="str">
            <v>Anugrah Tani/Heru</v>
          </cell>
          <cell r="N678" t="str">
            <v>Heru Sakti</v>
          </cell>
          <cell r="O678" t="str">
            <v>Dusun Pojok, RT.003/RW.003, Kel. Pojok, Kec. Campur Darat</v>
          </cell>
          <cell r="P678" t="str">
            <v>Tulungagung</v>
          </cell>
          <cell r="Q678" t="str">
            <v>Dusun Pojok, RT.003/RW.003, Kel. Pojok, Kec. Campur Darat</v>
          </cell>
          <cell r="R678" t="str">
            <v>Tulungagung</v>
          </cell>
          <cell r="S678" t="str">
            <v>D Barat1</v>
          </cell>
          <cell r="T678" t="str">
            <v>Tomi</v>
          </cell>
          <cell r="U678">
            <v>30</v>
          </cell>
        </row>
        <row r="679">
          <cell r="E679" t="str">
            <v>Z25002555</v>
          </cell>
          <cell r="F679"/>
          <cell r="G679">
            <v>30000000</v>
          </cell>
          <cell r="H679" t="str">
            <v>Zakia</v>
          </cell>
          <cell r="I679" t="str">
            <v>Tiya</v>
          </cell>
          <cell r="J679" t="str">
            <v>New 20/07/20</v>
          </cell>
          <cell r="K679" t="str">
            <v>KU</v>
          </cell>
          <cell r="L679" t="str">
            <v>ANUG25</v>
          </cell>
          <cell r="M679" t="str">
            <v>Anugrah Tani/Heru</v>
          </cell>
          <cell r="N679" t="str">
            <v>Heru Sakti</v>
          </cell>
          <cell r="O679" t="str">
            <v>Dusun Pojok, RT.003/RW.003, Kel. Pojok, Kec. Campur Darat</v>
          </cell>
          <cell r="P679" t="str">
            <v>Tulungagung</v>
          </cell>
          <cell r="Q679" t="str">
            <v>Dusun Pojok, RT.003/RW.003, Kel. Pojok, Kec. Campur Darat</v>
          </cell>
          <cell r="R679" t="str">
            <v>Tulungagung</v>
          </cell>
          <cell r="S679" t="str">
            <v>D Barat1</v>
          </cell>
          <cell r="T679" t="str">
            <v>Tomi</v>
          </cell>
          <cell r="U679">
            <v>30</v>
          </cell>
        </row>
        <row r="680">
          <cell r="E680" t="str">
            <v>B25013796</v>
          </cell>
          <cell r="F680"/>
          <cell r="G680">
            <v>1000</v>
          </cell>
          <cell r="H680" t="str">
            <v>Hendra</v>
          </cell>
          <cell r="I680" t="str">
            <v>Tiya</v>
          </cell>
          <cell r="J680"/>
          <cell r="K680" t="str">
            <v>KU</v>
          </cell>
          <cell r="L680" t="str">
            <v>APOT01</v>
          </cell>
          <cell r="M680" t="str">
            <v>Apotik Tani/Eben</v>
          </cell>
          <cell r="N680" t="str">
            <v>Apotik Tani, CV</v>
          </cell>
          <cell r="O680" t="str">
            <v>Kompleks Pasar Atas No.92 Bada Dompu, Kab. Dompu NTB</v>
          </cell>
          <cell r="P680" t="str">
            <v>Dompu</v>
          </cell>
          <cell r="Q680" t="str">
            <v>Kompleks Pasar Atas No.92 Bada Dompu, Kab. Dompu NTB</v>
          </cell>
          <cell r="R680" t="str">
            <v>Dompu</v>
          </cell>
          <cell r="S680" t="str">
            <v>E Luar Pulau1</v>
          </cell>
          <cell r="T680" t="str">
            <v>Muhlisin</v>
          </cell>
          <cell r="U680">
            <v>15</v>
          </cell>
        </row>
        <row r="681">
          <cell r="E681" t="str">
            <v>B25010045</v>
          </cell>
          <cell r="F681"/>
          <cell r="G681">
            <v>200000000</v>
          </cell>
          <cell r="H681" t="str">
            <v>Hendra</v>
          </cell>
          <cell r="I681" t="str">
            <v>Tiya</v>
          </cell>
          <cell r="J681" t="str">
            <v>New 28/05/20</v>
          </cell>
          <cell r="K681" t="str">
            <v>KU</v>
          </cell>
          <cell r="L681" t="str">
            <v>AQIN01</v>
          </cell>
          <cell r="M681" t="str">
            <v>Aqin Tani, UD</v>
          </cell>
          <cell r="N681" t="str">
            <v>Moh. Masri Ardi</v>
          </cell>
          <cell r="O681" t="str">
            <v>Terutuk RT.000/RW.000 Kel. Wanasaba, Kec. Wanasaba</v>
          </cell>
          <cell r="P681" t="str">
            <v>Lombok Timur</v>
          </cell>
          <cell r="Q681" t="str">
            <v>Jl. Raya Labuan Lombok KM 59 Kel. Wanasaba, Kec. Wanasaba</v>
          </cell>
          <cell r="R681" t="str">
            <v>Lombok Timur</v>
          </cell>
          <cell r="S681" t="str">
            <v>E Luar Pulau1</v>
          </cell>
          <cell r="T681" t="str">
            <v>Muhlisin</v>
          </cell>
          <cell r="U681">
            <v>45</v>
          </cell>
        </row>
        <row r="682">
          <cell r="E682" t="str">
            <v>B25011039</v>
          </cell>
          <cell r="F682"/>
          <cell r="G682">
            <v>200000000</v>
          </cell>
          <cell r="H682" t="str">
            <v>Hendra</v>
          </cell>
          <cell r="I682" t="str">
            <v>Tiya</v>
          </cell>
          <cell r="J682" t="str">
            <v>New 28/05/20</v>
          </cell>
          <cell r="K682" t="str">
            <v>KU</v>
          </cell>
          <cell r="L682" t="str">
            <v>AQIN01</v>
          </cell>
          <cell r="M682" t="str">
            <v>Aqin Tani, UD</v>
          </cell>
          <cell r="N682" t="str">
            <v>Moh. Masri Ardi</v>
          </cell>
          <cell r="O682" t="str">
            <v>Terutuk RT.000/RW.000 Kel. Wanasaba, Kec. Wanasaba</v>
          </cell>
          <cell r="P682" t="str">
            <v>Lombok Timur</v>
          </cell>
          <cell r="Q682" t="str">
            <v>Jl. Raya Labuan Lombok KM 59 Kel. Wanasaba, Kec. Wanasaba</v>
          </cell>
          <cell r="R682" t="str">
            <v>Lombok Timur</v>
          </cell>
          <cell r="S682" t="str">
            <v>E Luar Pulau1</v>
          </cell>
          <cell r="T682" t="str">
            <v>Muhlisin</v>
          </cell>
          <cell r="U682">
            <v>45</v>
          </cell>
        </row>
        <row r="683">
          <cell r="E683" t="str">
            <v>B25011039</v>
          </cell>
          <cell r="F683"/>
          <cell r="G683">
            <v>200000000</v>
          </cell>
          <cell r="H683" t="str">
            <v>Hendra</v>
          </cell>
          <cell r="I683" t="str">
            <v>Tiya</v>
          </cell>
          <cell r="J683" t="str">
            <v>New 28/05/20</v>
          </cell>
          <cell r="K683" t="str">
            <v>KU</v>
          </cell>
          <cell r="L683" t="str">
            <v>AQIN01</v>
          </cell>
          <cell r="M683" t="str">
            <v>Aqin Tani, UD</v>
          </cell>
          <cell r="N683" t="str">
            <v>Moh. Masri Ardi</v>
          </cell>
          <cell r="O683" t="str">
            <v>Terutuk RT.000/RW.000 Kel. Wanasaba, Kec. Wanasaba</v>
          </cell>
          <cell r="P683" t="str">
            <v>Lombok Timur</v>
          </cell>
          <cell r="Q683" t="str">
            <v>Jl. Raya Labuan Lombok KM 59 Kel. Wanasaba, Kec. Wanasaba</v>
          </cell>
          <cell r="R683" t="str">
            <v>Lombok Timur</v>
          </cell>
          <cell r="S683" t="str">
            <v>E Luar Pulau1</v>
          </cell>
          <cell r="T683" t="str">
            <v>Muhlisin</v>
          </cell>
          <cell r="U683">
            <v>45</v>
          </cell>
        </row>
        <row r="684">
          <cell r="E684" t="str">
            <v>B25012386</v>
          </cell>
          <cell r="F684"/>
          <cell r="G684">
            <v>200000000</v>
          </cell>
          <cell r="H684" t="str">
            <v>Hendra</v>
          </cell>
          <cell r="I684" t="str">
            <v>Tiya</v>
          </cell>
          <cell r="J684" t="str">
            <v>New 28/05/20</v>
          </cell>
          <cell r="K684" t="str">
            <v>KU</v>
          </cell>
          <cell r="L684" t="str">
            <v>AQIN01</v>
          </cell>
          <cell r="M684" t="str">
            <v>Aqin Tani, UD</v>
          </cell>
          <cell r="N684" t="str">
            <v>Moh. Masri Ardi</v>
          </cell>
          <cell r="O684" t="str">
            <v>Terutuk RT.000/RW.000 Kel. Wanasaba, Kec. Wanasaba</v>
          </cell>
          <cell r="P684" t="str">
            <v>Lombok Timur</v>
          </cell>
          <cell r="Q684" t="str">
            <v>Jl. Raya Labuan Lombok KM 59 Kel. Wanasaba, Kec. Wanasaba</v>
          </cell>
          <cell r="R684" t="str">
            <v>Lombok Timur</v>
          </cell>
          <cell r="S684" t="str">
            <v>E Luar Pulau1</v>
          </cell>
          <cell r="T684" t="str">
            <v>Muhlisin</v>
          </cell>
          <cell r="U684">
            <v>45</v>
          </cell>
        </row>
        <row r="685">
          <cell r="E685" t="str">
            <v>D25014679</v>
          </cell>
          <cell r="F685"/>
          <cell r="G685">
            <v>200000000</v>
          </cell>
          <cell r="H685" t="str">
            <v>Hendra</v>
          </cell>
          <cell r="I685" t="str">
            <v>Tiya</v>
          </cell>
          <cell r="J685" t="str">
            <v>New 28/05/20</v>
          </cell>
          <cell r="K685" t="str">
            <v>KU</v>
          </cell>
          <cell r="L685" t="str">
            <v>AQIN01</v>
          </cell>
          <cell r="M685" t="str">
            <v>Aqin Tani, UD</v>
          </cell>
          <cell r="N685" t="str">
            <v>Moh. Masri Ardi</v>
          </cell>
          <cell r="O685" t="str">
            <v>Terutuk RT.000/RW.000 Kel. Wanasaba, Kec. Wanasaba</v>
          </cell>
          <cell r="P685" t="str">
            <v>Lombok Timur</v>
          </cell>
          <cell r="Q685" t="str">
            <v>Jl. Raya Labuan Lombok KM 59 Kel. Wanasaba, Kec. Wanasaba</v>
          </cell>
          <cell r="R685" t="str">
            <v>Lombok Timur</v>
          </cell>
          <cell r="S685" t="str">
            <v>E Luar Pulau1</v>
          </cell>
          <cell r="T685" t="str">
            <v>Muhlisin</v>
          </cell>
          <cell r="U685">
            <v>45</v>
          </cell>
        </row>
        <row r="686">
          <cell r="E686" t="str">
            <v>D25014679</v>
          </cell>
          <cell r="F686"/>
          <cell r="G686">
            <v>200000000</v>
          </cell>
          <cell r="H686" t="str">
            <v>Hendra</v>
          </cell>
          <cell r="I686" t="str">
            <v>Tiya</v>
          </cell>
          <cell r="J686" t="str">
            <v>New 28/05/20</v>
          </cell>
          <cell r="K686" t="str">
            <v>KU</v>
          </cell>
          <cell r="L686" t="str">
            <v>AQIN01</v>
          </cell>
          <cell r="M686" t="str">
            <v>Aqin Tani, UD</v>
          </cell>
          <cell r="N686" t="str">
            <v>Moh. Masri Ardi</v>
          </cell>
          <cell r="O686" t="str">
            <v>Terutuk RT.000/RW.000 Kel. Wanasaba, Kec. Wanasaba</v>
          </cell>
          <cell r="P686" t="str">
            <v>Lombok Timur</v>
          </cell>
          <cell r="Q686" t="str">
            <v>Jl. Raya Labuan Lombok KM 59 Kel. Wanasaba, Kec. Wanasaba</v>
          </cell>
          <cell r="R686" t="str">
            <v>Lombok Timur</v>
          </cell>
          <cell r="S686" t="str">
            <v>E Luar Pulau1</v>
          </cell>
          <cell r="T686" t="str">
            <v>Muhlisin</v>
          </cell>
          <cell r="U686">
            <v>45</v>
          </cell>
        </row>
        <row r="687">
          <cell r="E687" t="str">
            <v>D25015611</v>
          </cell>
          <cell r="F687"/>
          <cell r="G687">
            <v>200000000</v>
          </cell>
          <cell r="H687" t="str">
            <v>Hendra</v>
          </cell>
          <cell r="I687" t="str">
            <v>Tiya</v>
          </cell>
          <cell r="J687" t="str">
            <v>New 28/05/20</v>
          </cell>
          <cell r="K687" t="str">
            <v>KU</v>
          </cell>
          <cell r="L687" t="str">
            <v>AQIN01</v>
          </cell>
          <cell r="M687" t="str">
            <v>Aqin Tani, UD</v>
          </cell>
          <cell r="N687" t="str">
            <v>Moh. Masri Ardi</v>
          </cell>
          <cell r="O687" t="str">
            <v>Terutuk RT.000/RW.000 Kel. Wanasaba, Kec. Wanasaba</v>
          </cell>
          <cell r="P687" t="str">
            <v>Lombok Timur</v>
          </cell>
          <cell r="Q687" t="str">
            <v>Jl. Raya Labuan Lombok KM 59 Kel. Wanasaba, Kec. Wanasaba</v>
          </cell>
          <cell r="R687" t="str">
            <v>Lombok Timur</v>
          </cell>
          <cell r="S687" t="str">
            <v>E Luar Pulau1</v>
          </cell>
          <cell r="T687" t="str">
            <v>Muhlisin</v>
          </cell>
          <cell r="U687">
            <v>15</v>
          </cell>
        </row>
        <row r="688">
          <cell r="E688" t="str">
            <v>B25013429</v>
          </cell>
          <cell r="F688"/>
          <cell r="G688">
            <v>200000000</v>
          </cell>
          <cell r="H688" t="str">
            <v>Hendra</v>
          </cell>
          <cell r="I688" t="str">
            <v>Tiya</v>
          </cell>
          <cell r="J688" t="str">
            <v>New 28/05/20</v>
          </cell>
          <cell r="K688" t="str">
            <v>KU</v>
          </cell>
          <cell r="L688" t="str">
            <v>AQIN01</v>
          </cell>
          <cell r="M688" t="str">
            <v>Aqin Tani, UD</v>
          </cell>
          <cell r="N688" t="str">
            <v>Moh. Masri Ardi</v>
          </cell>
          <cell r="O688" t="str">
            <v>Terutuk RT.000/RW.000 Kel. Wanasaba, Kec. Wanasaba</v>
          </cell>
          <cell r="P688" t="str">
            <v>Lombok Timur</v>
          </cell>
          <cell r="Q688" t="str">
            <v>Jl. Raya Labuan Lombok KM 59 Kel. Wanasaba, Kec. Wanasaba</v>
          </cell>
          <cell r="R688" t="str">
            <v>Lombok Timur</v>
          </cell>
          <cell r="S688" t="str">
            <v>E Luar Pulau1</v>
          </cell>
          <cell r="T688" t="str">
            <v>Muhlisin</v>
          </cell>
          <cell r="U688">
            <v>45</v>
          </cell>
        </row>
        <row r="689">
          <cell r="E689" t="str">
            <v>D25015665</v>
          </cell>
          <cell r="F689"/>
          <cell r="G689">
            <v>200000000</v>
          </cell>
          <cell r="H689" t="str">
            <v>Hendra</v>
          </cell>
          <cell r="I689" t="str">
            <v>Tiya</v>
          </cell>
          <cell r="J689" t="str">
            <v>New 28/05/20</v>
          </cell>
          <cell r="K689" t="str">
            <v>KU</v>
          </cell>
          <cell r="L689" t="str">
            <v>AQIN01</v>
          </cell>
          <cell r="M689" t="str">
            <v>Aqin Tani, UD</v>
          </cell>
          <cell r="N689" t="str">
            <v>Moh. Masri Ardi</v>
          </cell>
          <cell r="O689" t="str">
            <v>Terutuk RT.000/RW.000 Kel. Wanasaba, Kec. Wanasaba</v>
          </cell>
          <cell r="P689" t="str">
            <v>Lombok Timur</v>
          </cell>
          <cell r="Q689" t="str">
            <v>Jl. Raya Labuan Lombok KM 59 Kel. Wanasaba, Kec. Wanasaba</v>
          </cell>
          <cell r="R689" t="str">
            <v>Lombok Timur</v>
          </cell>
          <cell r="S689" t="str">
            <v>E Luar Pulau1</v>
          </cell>
          <cell r="T689" t="str">
            <v>Muhlisin</v>
          </cell>
          <cell r="U689">
            <v>15</v>
          </cell>
        </row>
        <row r="690">
          <cell r="E690">
            <v>250139</v>
          </cell>
          <cell r="F690"/>
          <cell r="G690">
            <v>200000000</v>
          </cell>
          <cell r="H690" t="str">
            <v>Hendra</v>
          </cell>
          <cell r="I690" t="str">
            <v>Tiya</v>
          </cell>
          <cell r="J690" t="str">
            <v>New 28/05/20</v>
          </cell>
          <cell r="K690" t="str">
            <v>KU</v>
          </cell>
          <cell r="L690" t="str">
            <v>AQIN01</v>
          </cell>
          <cell r="M690" t="str">
            <v>Aqin Tani, UD</v>
          </cell>
          <cell r="N690" t="str">
            <v>Moh. Masri Ardi</v>
          </cell>
          <cell r="O690" t="str">
            <v>Terutuk RT.000/RW.000 Kel. Wanasaba, Kec. Wanasaba</v>
          </cell>
          <cell r="P690" t="str">
            <v>Lombok Timur</v>
          </cell>
          <cell r="Q690" t="str">
            <v>Jl. Raya Labuan Lombok KM 59 Kel. Wanasaba, Kec. Wanasaba</v>
          </cell>
          <cell r="R690" t="str">
            <v>Lombok Timur</v>
          </cell>
          <cell r="S690" t="str">
            <v>E Luar Pulau1</v>
          </cell>
          <cell r="T690" t="str">
            <v>Muhlisin</v>
          </cell>
          <cell r="U690">
            <v>45</v>
          </cell>
        </row>
        <row r="691">
          <cell r="E691" t="str">
            <v>B25010568</v>
          </cell>
          <cell r="F691"/>
          <cell r="G691">
            <v>60000000</v>
          </cell>
          <cell r="H691" t="str">
            <v>Faris</v>
          </cell>
          <cell r="I691" t="str">
            <v>Syahra</v>
          </cell>
          <cell r="J691"/>
          <cell r="K691" t="str">
            <v>Tunai</v>
          </cell>
          <cell r="L691" t="str">
            <v>ARRO01</v>
          </cell>
          <cell r="M691" t="str">
            <v>Ar Royan, UD</v>
          </cell>
          <cell r="N691" t="str">
            <v>Samsul Rifai</v>
          </cell>
          <cell r="O691" t="str">
            <v>Dsn. Purworejo, RT.004/RW.001 Tegaldlimo Tegal Dlimo</v>
          </cell>
          <cell r="P691" t="str">
            <v>Banyuwangi</v>
          </cell>
          <cell r="Q691" t="str">
            <v>Jl. Alas Purwo, Ds. Kalipait, Tegaldlimo</v>
          </cell>
          <cell r="R691" t="str">
            <v>Banyuwangi</v>
          </cell>
          <cell r="S691" t="str">
            <v>H Bwi3</v>
          </cell>
          <cell r="T691" t="str">
            <v>Hafid</v>
          </cell>
          <cell r="U691">
            <v>30</v>
          </cell>
        </row>
        <row r="692">
          <cell r="E692" t="str">
            <v>D25012742</v>
          </cell>
          <cell r="F692"/>
          <cell r="G692">
            <v>60000000</v>
          </cell>
          <cell r="H692" t="str">
            <v>Faris</v>
          </cell>
          <cell r="I692" t="str">
            <v>Syahra</v>
          </cell>
          <cell r="J692"/>
          <cell r="K692" t="str">
            <v>Tunai</v>
          </cell>
          <cell r="L692" t="str">
            <v>ARRO01</v>
          </cell>
          <cell r="M692" t="str">
            <v>Ar Royan, UD</v>
          </cell>
          <cell r="N692" t="str">
            <v>Samsul Rifai</v>
          </cell>
          <cell r="O692" t="str">
            <v>Dsn. Purworejo, RT.004/RW.001 Tegaldlimo Tegal Dlimo</v>
          </cell>
          <cell r="P692" t="str">
            <v>Banyuwangi</v>
          </cell>
          <cell r="Q692" t="str">
            <v>Jl. Alas Purwo, Ds. Kalipait, Tegaldlimo</v>
          </cell>
          <cell r="R692" t="str">
            <v>Banyuwangi</v>
          </cell>
          <cell r="S692" t="str">
            <v>H Bwi3</v>
          </cell>
          <cell r="T692" t="str">
            <v>Hafid</v>
          </cell>
          <cell r="U692">
            <v>30</v>
          </cell>
        </row>
        <row r="693">
          <cell r="E693" t="str">
            <v>T25001379</v>
          </cell>
          <cell r="F693"/>
          <cell r="G693">
            <v>60000000</v>
          </cell>
          <cell r="H693" t="str">
            <v>Faris</v>
          </cell>
          <cell r="I693" t="str">
            <v>Syahra</v>
          </cell>
          <cell r="J693"/>
          <cell r="K693" t="str">
            <v>Tunai</v>
          </cell>
          <cell r="L693" t="str">
            <v>ARRO01</v>
          </cell>
          <cell r="M693" t="str">
            <v>Ar Royan, UD</v>
          </cell>
          <cell r="N693" t="str">
            <v>Samsul Rifai</v>
          </cell>
          <cell r="O693" t="str">
            <v>Dsn. Purworejo, RT.004/RW.001 Tegaldlimo Tegal Dlimo</v>
          </cell>
          <cell r="P693" t="str">
            <v>Banyuwangi</v>
          </cell>
          <cell r="Q693" t="str">
            <v>Jl. Alas Purwo, Ds. Kalipait, Tegaldlimo</v>
          </cell>
          <cell r="R693" t="str">
            <v>Banyuwangi</v>
          </cell>
          <cell r="S693" t="str">
            <v>H Bwi3</v>
          </cell>
          <cell r="T693" t="str">
            <v>Hafid</v>
          </cell>
          <cell r="U693">
            <v>60</v>
          </cell>
        </row>
        <row r="694">
          <cell r="E694" t="str">
            <v>D25015116</v>
          </cell>
          <cell r="F694"/>
          <cell r="G694">
            <v>1000</v>
          </cell>
          <cell r="H694" t="str">
            <v>Zakia</v>
          </cell>
          <cell r="I694" t="str">
            <v>Tiya</v>
          </cell>
          <cell r="J694" t="str">
            <v>New 06/10/25</v>
          </cell>
          <cell r="K694" t="str">
            <v>COD</v>
          </cell>
          <cell r="L694" t="str">
            <v>ARAA01</v>
          </cell>
          <cell r="M694" t="str">
            <v>Ara Agri Jaya/Hasanatul</v>
          </cell>
          <cell r="N694" t="str">
            <v>Hasanatul Alfiyah</v>
          </cell>
          <cell r="O694" t="str">
            <v>Dsn Somber RT.000/RW.000, Kel. Batubintang, Kec. Batumarmar</v>
          </cell>
          <cell r="P694" t="str">
            <v>Pamekasan</v>
          </cell>
          <cell r="Q694" t="str">
            <v>Makkol, Batu Bintang, Kec. Batumarmar</v>
          </cell>
          <cell r="R694" t="str">
            <v>Pamekasan</v>
          </cell>
          <cell r="S694" t="str">
            <v>M Madura</v>
          </cell>
          <cell r="T694" t="str">
            <v>Tomi</v>
          </cell>
          <cell r="U694">
            <v>0</v>
          </cell>
        </row>
        <row r="695">
          <cell r="E695" t="str">
            <v>D25012030</v>
          </cell>
          <cell r="F695"/>
          <cell r="G695">
            <v>300000000</v>
          </cell>
          <cell r="H695" t="str">
            <v>Zakia</v>
          </cell>
          <cell r="I695" t="str">
            <v>Tiya</v>
          </cell>
          <cell r="J695"/>
          <cell r="K695" t="str">
            <v>KU</v>
          </cell>
          <cell r="L695" t="str">
            <v>ARDI01</v>
          </cell>
          <cell r="M695" t="str">
            <v>Ardila Tani, UD</v>
          </cell>
          <cell r="N695" t="str">
            <v>Adi Suyitno</v>
          </cell>
          <cell r="O695" t="str">
            <v>Dsn. Pereng Tale Parsangan, Kec. Sumenep Kab, Sumemep</v>
          </cell>
          <cell r="P695" t="str">
            <v>Sumenep</v>
          </cell>
          <cell r="Q695" t="str">
            <v>Dsn. Pereng Tale Parsangan, Kec. Sumenep Kab, Sumemep</v>
          </cell>
          <cell r="R695" t="str">
            <v>Sumenep</v>
          </cell>
          <cell r="S695" t="str">
            <v>M Madura</v>
          </cell>
          <cell r="T695" t="str">
            <v>Tomi</v>
          </cell>
          <cell r="U695">
            <v>60</v>
          </cell>
        </row>
        <row r="696">
          <cell r="E696" t="str">
            <v>B25010963</v>
          </cell>
          <cell r="F696"/>
          <cell r="G696">
            <v>300000000</v>
          </cell>
          <cell r="H696" t="str">
            <v>Zakia</v>
          </cell>
          <cell r="I696" t="str">
            <v>Tiya</v>
          </cell>
          <cell r="J696"/>
          <cell r="K696" t="str">
            <v>KU</v>
          </cell>
          <cell r="L696" t="str">
            <v>ARDI01</v>
          </cell>
          <cell r="M696" t="str">
            <v>Ardila Tani, UD</v>
          </cell>
          <cell r="N696" t="str">
            <v>Adi Suyitno</v>
          </cell>
          <cell r="O696" t="str">
            <v>Dsn. Pereng Tale Parsangan, Kec. Sumenep Kab, Sumemep</v>
          </cell>
          <cell r="P696" t="str">
            <v>Sumenep</v>
          </cell>
          <cell r="Q696" t="str">
            <v>Dsn. Pereng Tale Parsangan, Kec. Sumenep Kab, Sumemep</v>
          </cell>
          <cell r="R696" t="str">
            <v>Sumenep</v>
          </cell>
          <cell r="S696" t="str">
            <v>M Madura</v>
          </cell>
          <cell r="T696" t="str">
            <v>Tomi</v>
          </cell>
          <cell r="U696">
            <v>30</v>
          </cell>
        </row>
        <row r="697">
          <cell r="E697" t="str">
            <v>B25010964</v>
          </cell>
          <cell r="F697"/>
          <cell r="G697">
            <v>300000000</v>
          </cell>
          <cell r="H697" t="str">
            <v>Zakia</v>
          </cell>
          <cell r="I697" t="str">
            <v>Tiya</v>
          </cell>
          <cell r="J697"/>
          <cell r="K697" t="str">
            <v>KU</v>
          </cell>
          <cell r="L697" t="str">
            <v>ARDI01</v>
          </cell>
          <cell r="M697" t="str">
            <v>Ardila Tani, UD</v>
          </cell>
          <cell r="N697" t="str">
            <v>Adi Suyitno</v>
          </cell>
          <cell r="O697" t="str">
            <v>Dsn. Pereng Tale Parsangan, Kec. Sumenep Kab, Sumemep</v>
          </cell>
          <cell r="P697" t="str">
            <v>Sumenep</v>
          </cell>
          <cell r="Q697" t="str">
            <v>Dsn. Pereng Tale Parsangan, Kec. Sumenep Kab, Sumemep</v>
          </cell>
          <cell r="R697" t="str">
            <v>Sumenep</v>
          </cell>
          <cell r="S697" t="str">
            <v>M Madura</v>
          </cell>
          <cell r="T697" t="str">
            <v>Tomi</v>
          </cell>
          <cell r="U697">
            <v>30</v>
          </cell>
        </row>
        <row r="698">
          <cell r="E698" t="str">
            <v>B25010964</v>
          </cell>
          <cell r="F698"/>
          <cell r="G698">
            <v>300000000</v>
          </cell>
          <cell r="H698" t="str">
            <v>Zakia</v>
          </cell>
          <cell r="I698" t="str">
            <v>Tiya</v>
          </cell>
          <cell r="J698"/>
          <cell r="K698" t="str">
            <v>KU</v>
          </cell>
          <cell r="L698" t="str">
            <v>ARDI01</v>
          </cell>
          <cell r="M698" t="str">
            <v>Ardila Tani, UD</v>
          </cell>
          <cell r="N698" t="str">
            <v>Adi Suyitno</v>
          </cell>
          <cell r="O698" t="str">
            <v>Dsn. Pereng Tale Parsangan, Kec. Sumenep Kab, Sumemep</v>
          </cell>
          <cell r="P698" t="str">
            <v>Sumenep</v>
          </cell>
          <cell r="Q698" t="str">
            <v>Dsn. Pereng Tale Parsangan, Kec. Sumenep Kab, Sumemep</v>
          </cell>
          <cell r="R698" t="str">
            <v>Sumenep</v>
          </cell>
          <cell r="S698" t="str">
            <v>M Madura</v>
          </cell>
          <cell r="T698" t="str">
            <v>Tomi</v>
          </cell>
          <cell r="U698">
            <v>30</v>
          </cell>
        </row>
        <row r="699">
          <cell r="E699" t="str">
            <v>B25010964</v>
          </cell>
          <cell r="F699"/>
          <cell r="G699">
            <v>300000000</v>
          </cell>
          <cell r="H699" t="str">
            <v>Zakia</v>
          </cell>
          <cell r="I699" t="str">
            <v>Tiya</v>
          </cell>
          <cell r="J699"/>
          <cell r="K699" t="str">
            <v>KU</v>
          </cell>
          <cell r="L699" t="str">
            <v>ARDI01</v>
          </cell>
          <cell r="M699" t="str">
            <v>Ardila Tani, UD</v>
          </cell>
          <cell r="N699" t="str">
            <v>Adi Suyitno</v>
          </cell>
          <cell r="O699" t="str">
            <v>Dsn. Pereng Tale Parsangan, Kec. Sumenep Kab, Sumemep</v>
          </cell>
          <cell r="P699" t="str">
            <v>Sumenep</v>
          </cell>
          <cell r="Q699" t="str">
            <v>Dsn. Pereng Tale Parsangan, Kec. Sumenep Kab, Sumemep</v>
          </cell>
          <cell r="R699" t="str">
            <v>Sumenep</v>
          </cell>
          <cell r="S699" t="str">
            <v>M Madura</v>
          </cell>
          <cell r="T699" t="str">
            <v>Tomi</v>
          </cell>
          <cell r="U699">
            <v>30</v>
          </cell>
        </row>
        <row r="700">
          <cell r="E700" t="str">
            <v>B25010985</v>
          </cell>
          <cell r="F700"/>
          <cell r="G700">
            <v>300000000</v>
          </cell>
          <cell r="H700" t="str">
            <v>Zakia</v>
          </cell>
          <cell r="I700" t="str">
            <v>Tiya</v>
          </cell>
          <cell r="J700"/>
          <cell r="K700" t="str">
            <v>KU</v>
          </cell>
          <cell r="L700" t="str">
            <v>ARDI01</v>
          </cell>
          <cell r="M700" t="str">
            <v>Ardila Tani, UD</v>
          </cell>
          <cell r="N700" t="str">
            <v>Adi Suyitno</v>
          </cell>
          <cell r="O700" t="str">
            <v>Dsn. Pereng Tale Parsangan, Kec. Sumenep Kab, Sumemep</v>
          </cell>
          <cell r="P700" t="str">
            <v>Sumenep</v>
          </cell>
          <cell r="Q700" t="str">
            <v>Dsn. Pereng Tale Parsangan, Kec. Sumenep Kab, Sumemep</v>
          </cell>
          <cell r="R700" t="str">
            <v>Sumenep</v>
          </cell>
          <cell r="S700" t="str">
            <v>M Madura</v>
          </cell>
          <cell r="T700" t="str">
            <v>Tomi</v>
          </cell>
          <cell r="U700">
            <v>30</v>
          </cell>
        </row>
        <row r="701">
          <cell r="E701" t="str">
            <v>B25012194</v>
          </cell>
          <cell r="F701"/>
          <cell r="G701">
            <v>300000000</v>
          </cell>
          <cell r="H701" t="str">
            <v>Zakia</v>
          </cell>
          <cell r="I701" t="str">
            <v>Tiya</v>
          </cell>
          <cell r="J701"/>
          <cell r="K701" t="str">
            <v>KU</v>
          </cell>
          <cell r="L701" t="str">
            <v>ARDI01</v>
          </cell>
          <cell r="M701" t="str">
            <v>Ardila Tani, UD</v>
          </cell>
          <cell r="N701" t="str">
            <v>Adi Suyitno</v>
          </cell>
          <cell r="O701" t="str">
            <v>Dsn. Pereng Tale Parsangan, Kec. Sumenep Kab, Sumemep</v>
          </cell>
          <cell r="P701" t="str">
            <v>Sumenep</v>
          </cell>
          <cell r="Q701" t="str">
            <v>Dsn. Pereng Tale Parsangan, Kec. Sumenep Kab, Sumemep</v>
          </cell>
          <cell r="R701" t="str">
            <v>Sumenep</v>
          </cell>
          <cell r="S701" t="str">
            <v>M Madura</v>
          </cell>
          <cell r="T701" t="str">
            <v>Tomi</v>
          </cell>
          <cell r="U701">
            <v>60</v>
          </cell>
        </row>
        <row r="702">
          <cell r="E702" t="str">
            <v>B25013397</v>
          </cell>
          <cell r="F702"/>
          <cell r="G702">
            <v>300000000</v>
          </cell>
          <cell r="H702" t="str">
            <v>Zakia</v>
          </cell>
          <cell r="I702" t="str">
            <v>Tiya</v>
          </cell>
          <cell r="J702"/>
          <cell r="K702" t="str">
            <v>KU</v>
          </cell>
          <cell r="L702" t="str">
            <v>ARDI01</v>
          </cell>
          <cell r="M702" t="str">
            <v>Ardila Tani, UD</v>
          </cell>
          <cell r="N702" t="str">
            <v>Adi Suyitno</v>
          </cell>
          <cell r="O702" t="str">
            <v>Dsn. Pereng Tale Parsangan, Kec. Sumenep Kab, Sumemep</v>
          </cell>
          <cell r="P702" t="str">
            <v>Sumenep</v>
          </cell>
          <cell r="Q702" t="str">
            <v>Dsn. Pereng Tale Parsangan, Kec. Sumenep Kab, Sumemep</v>
          </cell>
          <cell r="R702" t="str">
            <v>Sumenep</v>
          </cell>
          <cell r="S702" t="str">
            <v>M Madura</v>
          </cell>
          <cell r="T702" t="str">
            <v>Tomi</v>
          </cell>
          <cell r="U702">
            <v>30</v>
          </cell>
        </row>
        <row r="703">
          <cell r="E703" t="str">
            <v>D25016099</v>
          </cell>
          <cell r="F703"/>
          <cell r="G703">
            <v>300000000</v>
          </cell>
          <cell r="H703" t="str">
            <v>Zakia</v>
          </cell>
          <cell r="I703" t="str">
            <v>Tiya</v>
          </cell>
          <cell r="J703"/>
          <cell r="K703" t="str">
            <v>KU</v>
          </cell>
          <cell r="L703" t="str">
            <v>ARDI01</v>
          </cell>
          <cell r="M703" t="str">
            <v>Ardila Tani, UD</v>
          </cell>
          <cell r="N703" t="str">
            <v>Adi Suyitno</v>
          </cell>
          <cell r="O703" t="str">
            <v>Dsn. Pereng Tale Parsangan, Kec. Sumenep Kab, Sumemep</v>
          </cell>
          <cell r="P703" t="str">
            <v>Sumenep</v>
          </cell>
          <cell r="Q703" t="str">
            <v>Dsn. Pereng Tale Parsangan, Kec. Sumenep Kab, Sumemep</v>
          </cell>
          <cell r="R703" t="str">
            <v>Sumenep</v>
          </cell>
          <cell r="S703" t="str">
            <v>M Madura</v>
          </cell>
          <cell r="T703" t="str">
            <v>Tomi</v>
          </cell>
          <cell r="U703">
            <v>30</v>
          </cell>
        </row>
        <row r="704">
          <cell r="E704" t="str">
            <v>D25016100</v>
          </cell>
          <cell r="F704"/>
          <cell r="G704">
            <v>300000000</v>
          </cell>
          <cell r="H704" t="str">
            <v>Zakia</v>
          </cell>
          <cell r="I704" t="str">
            <v>Tiya</v>
          </cell>
          <cell r="J704"/>
          <cell r="K704" t="str">
            <v>KU</v>
          </cell>
          <cell r="L704" t="str">
            <v>ARDI01</v>
          </cell>
          <cell r="M704" t="str">
            <v>Ardila Tani, UD</v>
          </cell>
          <cell r="N704" t="str">
            <v>Adi Suyitno</v>
          </cell>
          <cell r="O704" t="str">
            <v>Dsn. Pereng Tale Parsangan, Kec. Sumenep Kab, Sumemep</v>
          </cell>
          <cell r="P704" t="str">
            <v>Sumenep</v>
          </cell>
          <cell r="Q704" t="str">
            <v>Dsn. Pereng Tale Parsangan, Kec. Sumenep Kab, Sumemep</v>
          </cell>
          <cell r="R704" t="str">
            <v>Sumenep</v>
          </cell>
          <cell r="S704" t="str">
            <v>M Madura</v>
          </cell>
          <cell r="T704" t="str">
            <v>Tomi</v>
          </cell>
          <cell r="U704">
            <v>30</v>
          </cell>
        </row>
        <row r="705">
          <cell r="E705" t="str">
            <v>D25016101</v>
          </cell>
          <cell r="F705"/>
          <cell r="G705">
            <v>300000000</v>
          </cell>
          <cell r="H705" t="str">
            <v>Zakia</v>
          </cell>
          <cell r="I705" t="str">
            <v>Tiya</v>
          </cell>
          <cell r="J705"/>
          <cell r="K705" t="str">
            <v>KU</v>
          </cell>
          <cell r="L705" t="str">
            <v>ARDI01</v>
          </cell>
          <cell r="M705" t="str">
            <v>Ardila Tani, UD</v>
          </cell>
          <cell r="N705" t="str">
            <v>Adi Suyitno</v>
          </cell>
          <cell r="O705" t="str">
            <v>Dsn. Pereng Tale Parsangan, Kec. Sumenep Kab, Sumemep</v>
          </cell>
          <cell r="P705" t="str">
            <v>Sumenep</v>
          </cell>
          <cell r="Q705" t="str">
            <v>Dsn. Pereng Tale Parsangan, Kec. Sumenep Kab, Sumemep</v>
          </cell>
          <cell r="R705" t="str">
            <v>Sumenep</v>
          </cell>
          <cell r="S705" t="str">
            <v>M Madura</v>
          </cell>
          <cell r="T705" t="str">
            <v>Tomi</v>
          </cell>
          <cell r="U705">
            <v>30</v>
          </cell>
        </row>
        <row r="706">
          <cell r="E706" t="str">
            <v>B25012389</v>
          </cell>
          <cell r="F706"/>
          <cell r="G706">
            <v>40000000</v>
          </cell>
          <cell r="H706" t="str">
            <v>Zakia</v>
          </cell>
          <cell r="I706" t="str">
            <v>Tiya</v>
          </cell>
          <cell r="J706" t="str">
            <v>New 07/10/20</v>
          </cell>
          <cell r="K706" t="str">
            <v>KU, Tunai</v>
          </cell>
          <cell r="L706" t="str">
            <v>ARDY02</v>
          </cell>
          <cell r="M706" t="str">
            <v>Ardy Jaya/Moch. Sany</v>
          </cell>
          <cell r="N706" t="str">
            <v>Moh Sany</v>
          </cell>
          <cell r="O706" t="str">
            <v>Dsn. Lestari, RT.003/RW.001, Kel. Wonorejo, Kec. Puncu</v>
          </cell>
          <cell r="P706" t="str">
            <v>Kediri</v>
          </cell>
          <cell r="Q706" t="str">
            <v>Dsn. Lestari, RT.003/RW.001, Kel. Wonorejo, Kec. Puncu</v>
          </cell>
          <cell r="R706" t="str">
            <v>Kediri</v>
          </cell>
          <cell r="S706" t="str">
            <v>D Barat1</v>
          </cell>
          <cell r="T706" t="str">
            <v>Tomi</v>
          </cell>
          <cell r="U706">
            <v>30</v>
          </cell>
        </row>
        <row r="707">
          <cell r="E707" t="str">
            <v>B25012427</v>
          </cell>
          <cell r="F707"/>
          <cell r="G707">
            <v>40000000</v>
          </cell>
          <cell r="H707" t="str">
            <v>Zakia</v>
          </cell>
          <cell r="I707" t="str">
            <v>Tiya</v>
          </cell>
          <cell r="J707" t="str">
            <v>New 07/10/20</v>
          </cell>
          <cell r="K707" t="str">
            <v>KU, Tunai</v>
          </cell>
          <cell r="L707" t="str">
            <v>ARDY02</v>
          </cell>
          <cell r="M707" t="str">
            <v>Ardy Jaya/Moch. Sany</v>
          </cell>
          <cell r="N707" t="str">
            <v>Moh Sany</v>
          </cell>
          <cell r="O707" t="str">
            <v>Dsn. Lestari, RT.003/RW.001, Kel. Wonorejo, Kec. Puncu</v>
          </cell>
          <cell r="P707" t="str">
            <v>Kediri</v>
          </cell>
          <cell r="Q707" t="str">
            <v>Dsn. Lestari, RT.003/RW.001, Kel. Wonorejo, Kec. Puncu</v>
          </cell>
          <cell r="R707" t="str">
            <v>Kediri</v>
          </cell>
          <cell r="S707" t="str">
            <v>D Barat1</v>
          </cell>
          <cell r="T707" t="str">
            <v>Tomi</v>
          </cell>
          <cell r="U707">
            <v>30</v>
          </cell>
        </row>
        <row r="708">
          <cell r="E708" t="str">
            <v>B25011266</v>
          </cell>
          <cell r="F708"/>
          <cell r="G708">
            <v>10000000</v>
          </cell>
          <cell r="H708" t="str">
            <v>Yuyun</v>
          </cell>
          <cell r="I708" t="str">
            <v>Farida</v>
          </cell>
          <cell r="J708" t="str">
            <v>New 13/07/21</v>
          </cell>
          <cell r="K708" t="str">
            <v>KU</v>
          </cell>
          <cell r="L708" t="str">
            <v>ARFA01</v>
          </cell>
          <cell r="M708" t="str">
            <v>Arfa Tani/Saiful</v>
          </cell>
          <cell r="N708" t="str">
            <v>Saiful Rokhman</v>
          </cell>
          <cell r="O708" t="str">
            <v>Dusun Krajan RT.004/RW.007, Kel. Ampel, Kec. Wuluhan</v>
          </cell>
          <cell r="P708" t="str">
            <v>Jember</v>
          </cell>
          <cell r="Q708" t="str">
            <v>Dusun Krajan RT.004/RW.007, Kel. Ampel, Kec. Wuluhan</v>
          </cell>
          <cell r="R708" t="str">
            <v>Jember</v>
          </cell>
          <cell r="S708" t="str">
            <v>L Kota2</v>
          </cell>
          <cell r="T708" t="str">
            <v>Wira</v>
          </cell>
          <cell r="U708">
            <v>30</v>
          </cell>
        </row>
        <row r="709">
          <cell r="E709" t="str">
            <v>D25013366</v>
          </cell>
          <cell r="F709"/>
          <cell r="G709">
            <v>50000000</v>
          </cell>
          <cell r="H709" t="str">
            <v>Reni</v>
          </cell>
          <cell r="I709" t="str">
            <v>Farida</v>
          </cell>
          <cell r="J709"/>
          <cell r="K709" t="str">
            <v>KU</v>
          </cell>
          <cell r="L709" t="str">
            <v>ARIE01</v>
          </cell>
          <cell r="M709" t="str">
            <v>Arief Nurman Hidayat</v>
          </cell>
          <cell r="N709" t="str">
            <v>Santy Widayati</v>
          </cell>
          <cell r="O709" t="str">
            <v>Dn. Watukudi RT.001/RW.005, Ds. Jeruk Bandar</v>
          </cell>
          <cell r="P709" t="str">
            <v>Pacitan</v>
          </cell>
          <cell r="Q709" t="str">
            <v>Ponorogo</v>
          </cell>
          <cell r="R709" t="str">
            <v>Ponorogo</v>
          </cell>
          <cell r="S709" t="str">
            <v>D Barat1</v>
          </cell>
          <cell r="T709" t="str">
            <v>Dian</v>
          </cell>
          <cell r="U709">
            <v>60</v>
          </cell>
        </row>
        <row r="710">
          <cell r="E710" t="str">
            <v>D25015712</v>
          </cell>
          <cell r="F710"/>
          <cell r="G710">
            <v>1000</v>
          </cell>
          <cell r="H710" t="str">
            <v>Hendra</v>
          </cell>
          <cell r="I710" t="str">
            <v>Tiya</v>
          </cell>
          <cell r="J710" t="str">
            <v>New 16/04/25</v>
          </cell>
          <cell r="K710" t="str">
            <v>KU</v>
          </cell>
          <cell r="L710" t="str">
            <v>ARIF29</v>
          </cell>
          <cell r="M710" t="str">
            <v>Arif Prabowo</v>
          </cell>
          <cell r="N710" t="str">
            <v>Arif Prabowo</v>
          </cell>
          <cell r="O710" t="str">
            <v>Rejoinangun Kalongan RT.004/RW.028 , Kel. Maguwoharjo Kec. Depok</v>
          </cell>
          <cell r="P710" t="str">
            <v>Sleman</v>
          </cell>
          <cell r="Q710" t="str">
            <v>Rejoinangun Kalongan RT.004/RW.028 , Kel. Maguwoharjo Kec. Depok</v>
          </cell>
          <cell r="R710" t="str">
            <v>Sleman</v>
          </cell>
          <cell r="S710" t="str">
            <v>I Jabar Jateng</v>
          </cell>
          <cell r="T710" t="str">
            <v>Non SE &amp; JSE</v>
          </cell>
          <cell r="U710">
            <v>15</v>
          </cell>
        </row>
        <row r="711">
          <cell r="E711" t="str">
            <v>D25006719</v>
          </cell>
          <cell r="F711"/>
          <cell r="G711">
            <v>1000</v>
          </cell>
          <cell r="H711" t="str">
            <v>Yuyun</v>
          </cell>
          <cell r="I711" t="str">
            <v>Syahra</v>
          </cell>
          <cell r="J711" t="str">
            <v>New 08/05/25</v>
          </cell>
          <cell r="K711" t="str">
            <v>KU</v>
          </cell>
          <cell r="L711" t="str">
            <v>ARIF30</v>
          </cell>
          <cell r="M711" t="str">
            <v>Arif/Syngenta</v>
          </cell>
          <cell r="N711" t="str">
            <v>Muhammad Triana Arif C</v>
          </cell>
          <cell r="O711" t="str">
            <v>Krajan I RT.004/RW.002 , Kel. Temayang Kec. Temayang</v>
          </cell>
          <cell r="P711" t="str">
            <v>Bojonegoro</v>
          </cell>
          <cell r="Q711" t="str">
            <v>Krajan I RT.004/RW.002 , Kel. Temayang Kec. Temayang</v>
          </cell>
          <cell r="R711" t="str">
            <v>Bojonegoro</v>
          </cell>
          <cell r="S711" t="str">
            <v>B Agronomis</v>
          </cell>
          <cell r="T711" t="str">
            <v>Tomi</v>
          </cell>
          <cell r="U711">
            <v>60</v>
          </cell>
        </row>
        <row r="712">
          <cell r="E712" t="str">
            <v>D25012415</v>
          </cell>
          <cell r="F712"/>
          <cell r="G712">
            <v>10000000</v>
          </cell>
          <cell r="H712" t="str">
            <v>Reni</v>
          </cell>
          <cell r="I712" t="str">
            <v>Farida</v>
          </cell>
          <cell r="J712" t="str">
            <v>New 27/03/20</v>
          </cell>
          <cell r="K712" t="str">
            <v>Tunai</v>
          </cell>
          <cell r="L712" t="str">
            <v>ARIF10</v>
          </cell>
          <cell r="M712" t="str">
            <v>Arifs Tani</v>
          </cell>
          <cell r="N712" t="str">
            <v>Zainal Arifin</v>
          </cell>
          <cell r="O712" t="str">
            <v>Kedunglo, RT.006/RW.018 Kel. Cengkok, Kec. Ngronggot</v>
          </cell>
          <cell r="P712" t="str">
            <v>Nganjuk</v>
          </cell>
          <cell r="Q712" t="str">
            <v>Kedunglo, RT.006/RW.018 Kel. Cengkok, Kec. Ngronggot</v>
          </cell>
          <cell r="R712" t="str">
            <v>Nganjuk</v>
          </cell>
          <cell r="S712" t="str">
            <v>D Barat1</v>
          </cell>
          <cell r="T712" t="str">
            <v>Dian</v>
          </cell>
          <cell r="U712">
            <v>60</v>
          </cell>
        </row>
        <row r="713">
          <cell r="E713" t="str">
            <v>R25000117</v>
          </cell>
          <cell r="F713"/>
          <cell r="G713">
            <v>1000</v>
          </cell>
          <cell r="H713" t="str">
            <v>Others</v>
          </cell>
          <cell r="I713" t="str">
            <v>Exclusive</v>
          </cell>
          <cell r="J713" t="str">
            <v>New 21/01/25</v>
          </cell>
          <cell r="K713" t="str">
            <v>KU</v>
          </cell>
          <cell r="L713" t="str">
            <v>ARIN02</v>
          </cell>
          <cell r="M713" t="str">
            <v>Arinda/KIU</v>
          </cell>
          <cell r="N713" t="str">
            <v>Arinda/KIU</v>
          </cell>
          <cell r="O713" t="str">
            <v>Jember</v>
          </cell>
          <cell r="P713" t="str">
            <v>Jember</v>
          </cell>
          <cell r="Q713" t="str">
            <v>Jember</v>
          </cell>
          <cell r="R713" t="str">
            <v>Jember</v>
          </cell>
          <cell r="S713" t="str">
            <v>L Kota1</v>
          </cell>
          <cell r="T713" t="str">
            <v>Hafid</v>
          </cell>
          <cell r="U713">
            <v>0</v>
          </cell>
        </row>
        <row r="714">
          <cell r="E714" t="str">
            <v>R25000118</v>
          </cell>
          <cell r="F714"/>
          <cell r="G714">
            <v>1000</v>
          </cell>
          <cell r="H714" t="str">
            <v>Others</v>
          </cell>
          <cell r="I714" t="str">
            <v>Exclusive</v>
          </cell>
          <cell r="J714" t="str">
            <v>New 21/01/25</v>
          </cell>
          <cell r="K714" t="str">
            <v>KU</v>
          </cell>
          <cell r="L714" t="str">
            <v>ARIN02</v>
          </cell>
          <cell r="M714" t="str">
            <v>Arinda/KIU</v>
          </cell>
          <cell r="N714" t="str">
            <v>Arinda/KIU</v>
          </cell>
          <cell r="O714" t="str">
            <v>Jember</v>
          </cell>
          <cell r="P714" t="str">
            <v>Jember</v>
          </cell>
          <cell r="Q714" t="str">
            <v>Jember</v>
          </cell>
          <cell r="R714" t="str">
            <v>Jember</v>
          </cell>
          <cell r="S714" t="str">
            <v>L Kota1</v>
          </cell>
          <cell r="T714" t="str">
            <v>Hafid</v>
          </cell>
          <cell r="U714">
            <v>0</v>
          </cell>
        </row>
        <row r="715">
          <cell r="E715" t="str">
            <v>R25000119</v>
          </cell>
          <cell r="F715"/>
          <cell r="G715">
            <v>1000</v>
          </cell>
          <cell r="H715" t="str">
            <v>Others</v>
          </cell>
          <cell r="I715" t="str">
            <v>Exclusive</v>
          </cell>
          <cell r="J715" t="str">
            <v>New 21/01/25</v>
          </cell>
          <cell r="K715" t="str">
            <v>KU</v>
          </cell>
          <cell r="L715" t="str">
            <v>ARIN02</v>
          </cell>
          <cell r="M715" t="str">
            <v>Arinda/KIU</v>
          </cell>
          <cell r="N715" t="str">
            <v>Arinda/KIU</v>
          </cell>
          <cell r="O715" t="str">
            <v>Jember</v>
          </cell>
          <cell r="P715" t="str">
            <v>Jember</v>
          </cell>
          <cell r="Q715" t="str">
            <v>Jember</v>
          </cell>
          <cell r="R715" t="str">
            <v>Jember</v>
          </cell>
          <cell r="S715" t="str">
            <v>L Kota1</v>
          </cell>
          <cell r="T715" t="str">
            <v>Hafid</v>
          </cell>
          <cell r="U715">
            <v>0</v>
          </cell>
        </row>
        <row r="716">
          <cell r="E716" t="str">
            <v>R25000122</v>
          </cell>
          <cell r="F716"/>
          <cell r="G716">
            <v>1000</v>
          </cell>
          <cell r="H716" t="str">
            <v>Others</v>
          </cell>
          <cell r="I716" t="str">
            <v>Exclusive</v>
          </cell>
          <cell r="J716" t="str">
            <v>New 21/01/25</v>
          </cell>
          <cell r="K716" t="str">
            <v>KU</v>
          </cell>
          <cell r="L716" t="str">
            <v>ARIN02</v>
          </cell>
          <cell r="M716" t="str">
            <v>Arinda/KIU</v>
          </cell>
          <cell r="N716" t="str">
            <v>Arinda/KIU</v>
          </cell>
          <cell r="O716" t="str">
            <v>Jember</v>
          </cell>
          <cell r="P716" t="str">
            <v>Jember</v>
          </cell>
          <cell r="Q716" t="str">
            <v>Jember</v>
          </cell>
          <cell r="R716" t="str">
            <v>Jember</v>
          </cell>
          <cell r="S716" t="str">
            <v>L Kota1</v>
          </cell>
          <cell r="T716" t="str">
            <v>Hafid</v>
          </cell>
          <cell r="U716">
            <v>0</v>
          </cell>
        </row>
        <row r="717">
          <cell r="E717" t="str">
            <v>R25000123</v>
          </cell>
          <cell r="F717"/>
          <cell r="G717">
            <v>1000</v>
          </cell>
          <cell r="H717" t="str">
            <v>Others</v>
          </cell>
          <cell r="I717" t="str">
            <v>Exclusive</v>
          </cell>
          <cell r="J717" t="str">
            <v>New 21/01/25</v>
          </cell>
          <cell r="K717" t="str">
            <v>KU</v>
          </cell>
          <cell r="L717" t="str">
            <v>ARIN02</v>
          </cell>
          <cell r="M717" t="str">
            <v>Arinda/KIU</v>
          </cell>
          <cell r="N717" t="str">
            <v>Arinda/KIU</v>
          </cell>
          <cell r="O717" t="str">
            <v>Jember</v>
          </cell>
          <cell r="P717" t="str">
            <v>Jember</v>
          </cell>
          <cell r="Q717" t="str">
            <v>Jember</v>
          </cell>
          <cell r="R717" t="str">
            <v>Jember</v>
          </cell>
          <cell r="S717" t="str">
            <v>L Kota1</v>
          </cell>
          <cell r="T717" t="str">
            <v>Hafid</v>
          </cell>
          <cell r="U717">
            <v>0</v>
          </cell>
        </row>
        <row r="718">
          <cell r="E718" t="str">
            <v>R25000124</v>
          </cell>
          <cell r="F718"/>
          <cell r="G718">
            <v>1000</v>
          </cell>
          <cell r="H718" t="str">
            <v>Others</v>
          </cell>
          <cell r="I718" t="str">
            <v>Exclusive</v>
          </cell>
          <cell r="J718" t="str">
            <v>New 21/01/25</v>
          </cell>
          <cell r="K718" t="str">
            <v>KU</v>
          </cell>
          <cell r="L718" t="str">
            <v>ARIN02</v>
          </cell>
          <cell r="M718" t="str">
            <v>Arinda/KIU</v>
          </cell>
          <cell r="N718" t="str">
            <v>Arinda/KIU</v>
          </cell>
          <cell r="O718" t="str">
            <v>Jember</v>
          </cell>
          <cell r="P718" t="str">
            <v>Jember</v>
          </cell>
          <cell r="Q718" t="str">
            <v>Jember</v>
          </cell>
          <cell r="R718" t="str">
            <v>Jember</v>
          </cell>
          <cell r="S718" t="str">
            <v>L Kota1</v>
          </cell>
          <cell r="T718" t="str">
            <v>Hafid</v>
          </cell>
          <cell r="U718">
            <v>0</v>
          </cell>
        </row>
        <row r="719">
          <cell r="E719" t="str">
            <v>R25000128</v>
          </cell>
          <cell r="F719"/>
          <cell r="G719">
            <v>1000</v>
          </cell>
          <cell r="H719" t="str">
            <v>Others</v>
          </cell>
          <cell r="I719" t="str">
            <v>Exclusive</v>
          </cell>
          <cell r="J719" t="str">
            <v>New 21/01/25</v>
          </cell>
          <cell r="K719" t="str">
            <v>KU</v>
          </cell>
          <cell r="L719" t="str">
            <v>ARIN02</v>
          </cell>
          <cell r="M719" t="str">
            <v>Arinda/KIU</v>
          </cell>
          <cell r="N719" t="str">
            <v>Arinda/KIU</v>
          </cell>
          <cell r="O719" t="str">
            <v>Jember</v>
          </cell>
          <cell r="P719" t="str">
            <v>Jember</v>
          </cell>
          <cell r="Q719" t="str">
            <v>Jember</v>
          </cell>
          <cell r="R719" t="str">
            <v>Jember</v>
          </cell>
          <cell r="S719" t="str">
            <v>L Kota1</v>
          </cell>
          <cell r="T719" t="str">
            <v>Hafid</v>
          </cell>
          <cell r="U719">
            <v>0</v>
          </cell>
        </row>
        <row r="720">
          <cell r="E720" t="str">
            <v>L25000049</v>
          </cell>
          <cell r="F720"/>
          <cell r="G720">
            <v>1000</v>
          </cell>
          <cell r="H720" t="str">
            <v>Others</v>
          </cell>
          <cell r="I720" t="str">
            <v>Exclusive</v>
          </cell>
          <cell r="J720" t="str">
            <v>New 22/10/25</v>
          </cell>
          <cell r="K720" t="str">
            <v>KU</v>
          </cell>
          <cell r="L720" t="str">
            <v>ARIN03</v>
          </cell>
          <cell r="M720" t="str">
            <v>Arindra/Mitoku</v>
          </cell>
          <cell r="N720" t="str">
            <v>Arindra/Mitoku</v>
          </cell>
          <cell r="O720" t="str">
            <v>Jember</v>
          </cell>
          <cell r="P720" t="str">
            <v>Jember</v>
          </cell>
          <cell r="Q720" t="str">
            <v>Jember</v>
          </cell>
          <cell r="R720" t="str">
            <v>Jember</v>
          </cell>
          <cell r="S720" t="str">
            <v>B Agronomis</v>
          </cell>
          <cell r="T720" t="str">
            <v>OTHERS</v>
          </cell>
          <cell r="U720">
            <v>0</v>
          </cell>
        </row>
        <row r="721">
          <cell r="E721" t="str">
            <v>B25011353</v>
          </cell>
          <cell r="F721"/>
          <cell r="G721">
            <v>28460000</v>
          </cell>
          <cell r="H721" t="str">
            <v>Yuyun</v>
          </cell>
          <cell r="I721" t="str">
            <v>Syahra</v>
          </cell>
          <cell r="J721" t="str">
            <v>New 19/08/21</v>
          </cell>
          <cell r="K721" t="str">
            <v>KU</v>
          </cell>
          <cell r="L721" t="str">
            <v>ARIS06</v>
          </cell>
          <cell r="M721" t="str">
            <v>Aris/Tanindo</v>
          </cell>
          <cell r="N721" t="str">
            <v>Aris Satriyo Wibowo</v>
          </cell>
          <cell r="O721" t="str">
            <v>Dusun Krajan RT.003/RW.001, Kel. Mlilir, Kec. Berbek</v>
          </cell>
          <cell r="P721" t="str">
            <v>Nganjuk</v>
          </cell>
          <cell r="Q721" t="str">
            <v>Jember</v>
          </cell>
          <cell r="R721" t="str">
            <v>Jember</v>
          </cell>
          <cell r="S721" t="str">
            <v>B Agronomis</v>
          </cell>
          <cell r="T721" t="str">
            <v>Wira</v>
          </cell>
          <cell r="U721">
            <v>30</v>
          </cell>
        </row>
        <row r="722">
          <cell r="E722" t="str">
            <v>B25011593</v>
          </cell>
          <cell r="F722"/>
          <cell r="G722">
            <v>28460000</v>
          </cell>
          <cell r="H722" t="str">
            <v>Yuyun</v>
          </cell>
          <cell r="I722" t="str">
            <v>Syahra</v>
          </cell>
          <cell r="J722" t="str">
            <v>New 19/08/21</v>
          </cell>
          <cell r="K722" t="str">
            <v>KU</v>
          </cell>
          <cell r="L722" t="str">
            <v>ARIS06</v>
          </cell>
          <cell r="M722" t="str">
            <v>Aris/Tanindo</v>
          </cell>
          <cell r="N722" t="str">
            <v>Aris Satriyo Wibowo</v>
          </cell>
          <cell r="O722" t="str">
            <v>Dusun Krajan RT.003/RW.001, Kel. Mlilir, Kec. Berbek</v>
          </cell>
          <cell r="P722" t="str">
            <v>Nganjuk</v>
          </cell>
          <cell r="Q722" t="str">
            <v>Jember</v>
          </cell>
          <cell r="R722" t="str">
            <v>Jember</v>
          </cell>
          <cell r="S722" t="str">
            <v>B Agronomis</v>
          </cell>
          <cell r="T722" t="str">
            <v>Wira</v>
          </cell>
          <cell r="U722">
            <v>30</v>
          </cell>
        </row>
        <row r="723">
          <cell r="E723" t="str">
            <v>D25014807</v>
          </cell>
          <cell r="F723"/>
          <cell r="G723">
            <v>28460000</v>
          </cell>
          <cell r="H723" t="str">
            <v>Yuyun</v>
          </cell>
          <cell r="I723" t="str">
            <v>Syahra</v>
          </cell>
          <cell r="J723" t="str">
            <v>New 19/08/21</v>
          </cell>
          <cell r="K723" t="str">
            <v>KU</v>
          </cell>
          <cell r="L723" t="str">
            <v>ARIS06</v>
          </cell>
          <cell r="M723" t="str">
            <v>Aris/Tanindo</v>
          </cell>
          <cell r="N723" t="str">
            <v>Aris Satriyo Wibowo</v>
          </cell>
          <cell r="O723" t="str">
            <v>Dusun Krajan RT.003/RW.001, Kel. Mlilir, Kec. Berbek</v>
          </cell>
          <cell r="P723" t="str">
            <v>Nganjuk</v>
          </cell>
          <cell r="Q723" t="str">
            <v>Jember</v>
          </cell>
          <cell r="R723" t="str">
            <v>Jember</v>
          </cell>
          <cell r="S723" t="str">
            <v>B Agronomis</v>
          </cell>
          <cell r="T723" t="str">
            <v>Wira</v>
          </cell>
          <cell r="U723">
            <v>30</v>
          </cell>
        </row>
        <row r="724">
          <cell r="E724" t="str">
            <v>B25013460</v>
          </cell>
          <cell r="F724"/>
          <cell r="G724">
            <v>28460000</v>
          </cell>
          <cell r="H724" t="str">
            <v>Yuyun</v>
          </cell>
          <cell r="I724" t="str">
            <v>Syahra</v>
          </cell>
          <cell r="J724" t="str">
            <v>New 19/08/21</v>
          </cell>
          <cell r="K724" t="str">
            <v>KU</v>
          </cell>
          <cell r="L724" t="str">
            <v>ARIS06</v>
          </cell>
          <cell r="M724" t="str">
            <v>Aris/Tanindo</v>
          </cell>
          <cell r="N724" t="str">
            <v>Aris Satriyo Wibowo</v>
          </cell>
          <cell r="O724" t="str">
            <v>Dusun Krajan RT.003/RW.001, Kel. Mlilir, Kec. Berbek</v>
          </cell>
          <cell r="P724" t="str">
            <v>Nganjuk</v>
          </cell>
          <cell r="Q724" t="str">
            <v>Jember</v>
          </cell>
          <cell r="R724" t="str">
            <v>Jember</v>
          </cell>
          <cell r="S724" t="str">
            <v>B Agronomis</v>
          </cell>
          <cell r="T724" t="str">
            <v>Wira</v>
          </cell>
          <cell r="U724">
            <v>0</v>
          </cell>
        </row>
        <row r="725">
          <cell r="E725" t="str">
            <v>T25001094</v>
          </cell>
          <cell r="F725"/>
          <cell r="G725">
            <v>35000000</v>
          </cell>
          <cell r="H725" t="str">
            <v>Reni</v>
          </cell>
          <cell r="I725" t="str">
            <v>Fira</v>
          </cell>
          <cell r="J725"/>
          <cell r="K725" t="str">
            <v>COD</v>
          </cell>
          <cell r="L725" t="str">
            <v>ARKH01</v>
          </cell>
          <cell r="M725" t="str">
            <v>Arkha Jaya Makmur/Atma</v>
          </cell>
          <cell r="N725" t="str">
            <v>Atma Wiyata</v>
          </cell>
          <cell r="O725" t="str">
            <v>Kayu Lemah RT.009/RW.002, Kel. Kayu Lemah, Kec. Sumberrejo</v>
          </cell>
          <cell r="P725" t="str">
            <v>Bojonegoro</v>
          </cell>
          <cell r="Q725" t="str">
            <v>Jl. Raya Pacul, Sawah, Kel. Kayu Lemah, Kec. Sumberrejo</v>
          </cell>
          <cell r="R725" t="str">
            <v>Bojonegoro</v>
          </cell>
          <cell r="S725" t="str">
            <v>F Utara1</v>
          </cell>
          <cell r="T725" t="str">
            <v>Dian</v>
          </cell>
          <cell r="U725">
            <v>60</v>
          </cell>
        </row>
        <row r="726">
          <cell r="E726" t="str">
            <v>T25001094</v>
          </cell>
          <cell r="F726"/>
          <cell r="G726">
            <v>35000000</v>
          </cell>
          <cell r="H726" t="str">
            <v>Reni</v>
          </cell>
          <cell r="I726" t="str">
            <v>Fira</v>
          </cell>
          <cell r="J726"/>
          <cell r="K726" t="str">
            <v>COD</v>
          </cell>
          <cell r="L726" t="str">
            <v>ARKH01</v>
          </cell>
          <cell r="M726" t="str">
            <v>Arkha Jaya Makmur/Atma</v>
          </cell>
          <cell r="N726" t="str">
            <v>Atma Wiyata</v>
          </cell>
          <cell r="O726" t="str">
            <v>Kayu Lemah RT.009/RW.002, Kel. Kayu Lemah, Kec. Sumberrejo</v>
          </cell>
          <cell r="P726" t="str">
            <v>Bojonegoro</v>
          </cell>
          <cell r="Q726" t="str">
            <v>Jl. Raya Pacul, Sawah, Kel. Kayu Lemah, Kec. Sumberrejo</v>
          </cell>
          <cell r="R726" t="str">
            <v>Bojonegoro</v>
          </cell>
          <cell r="S726" t="str">
            <v>F Utara1</v>
          </cell>
          <cell r="T726" t="str">
            <v>Dian</v>
          </cell>
          <cell r="U726">
            <v>60</v>
          </cell>
        </row>
        <row r="727">
          <cell r="E727" t="str">
            <v>T25001266</v>
          </cell>
          <cell r="F727"/>
          <cell r="G727">
            <v>35000000</v>
          </cell>
          <cell r="H727" t="str">
            <v>Reni</v>
          </cell>
          <cell r="I727" t="str">
            <v>Fira</v>
          </cell>
          <cell r="J727"/>
          <cell r="K727" t="str">
            <v>COD</v>
          </cell>
          <cell r="L727" t="str">
            <v>ARKH01</v>
          </cell>
          <cell r="M727" t="str">
            <v>Arkha Jaya Makmur/Atma</v>
          </cell>
          <cell r="N727" t="str">
            <v>Atma Wiyata</v>
          </cell>
          <cell r="O727" t="str">
            <v>Kayu Lemah RT.009/RW.002, Kel. Kayu Lemah, Kec. Sumberrejo</v>
          </cell>
          <cell r="P727" t="str">
            <v>Bojonegoro</v>
          </cell>
          <cell r="Q727" t="str">
            <v>Jl. Raya Pacul, Sawah, Kel. Kayu Lemah, Kec. Sumberrejo</v>
          </cell>
          <cell r="R727" t="str">
            <v>Bojonegoro</v>
          </cell>
          <cell r="S727" t="str">
            <v>F Utara1</v>
          </cell>
          <cell r="T727" t="str">
            <v>Dian</v>
          </cell>
          <cell r="U727">
            <v>60</v>
          </cell>
        </row>
        <row r="728">
          <cell r="E728" t="str">
            <v>D25016220</v>
          </cell>
          <cell r="F728"/>
          <cell r="G728">
            <v>35000000</v>
          </cell>
          <cell r="H728" t="str">
            <v>Reni</v>
          </cell>
          <cell r="I728" t="str">
            <v>Fira</v>
          </cell>
          <cell r="J728"/>
          <cell r="K728" t="str">
            <v>COD</v>
          </cell>
          <cell r="L728" t="str">
            <v>ARKH01</v>
          </cell>
          <cell r="M728" t="str">
            <v>Arkha Jaya Makmur/Atma</v>
          </cell>
          <cell r="N728" t="str">
            <v>Atma Wiyata</v>
          </cell>
          <cell r="O728" t="str">
            <v>Kayu Lemah RT.009/RW.002, Kel. Kayu Lemah, Kec. Sumberrejo</v>
          </cell>
          <cell r="P728" t="str">
            <v>Bojonegoro</v>
          </cell>
          <cell r="Q728" t="str">
            <v>Jl. Raya Pacul, Sawah, Kel. Kayu Lemah, Kec. Sumberrejo</v>
          </cell>
          <cell r="R728" t="str">
            <v>Bojonegoro</v>
          </cell>
          <cell r="S728" t="str">
            <v>F Utara1</v>
          </cell>
          <cell r="T728" t="str">
            <v>Dian</v>
          </cell>
          <cell r="U728">
            <v>60</v>
          </cell>
        </row>
        <row r="729">
          <cell r="E729" t="str">
            <v>D25016221</v>
          </cell>
          <cell r="F729"/>
          <cell r="G729">
            <v>35000000</v>
          </cell>
          <cell r="H729" t="str">
            <v>Reni</v>
          </cell>
          <cell r="I729" t="str">
            <v>Fira</v>
          </cell>
          <cell r="J729"/>
          <cell r="K729" t="str">
            <v>COD</v>
          </cell>
          <cell r="L729" t="str">
            <v>ARKH01</v>
          </cell>
          <cell r="M729" t="str">
            <v>Arkha Jaya Makmur/Atma</v>
          </cell>
          <cell r="N729" t="str">
            <v>Atma Wiyata</v>
          </cell>
          <cell r="O729" t="str">
            <v>Kayu Lemah RT.009/RW.002, Kel. Kayu Lemah, Kec. Sumberrejo</v>
          </cell>
          <cell r="P729" t="str">
            <v>Bojonegoro</v>
          </cell>
          <cell r="Q729" t="str">
            <v>Jl. Raya Pacul, Sawah, Kel. Kayu Lemah, Kec. Sumberrejo</v>
          </cell>
          <cell r="R729" t="str">
            <v>Bojonegoro</v>
          </cell>
          <cell r="S729" t="str">
            <v>F Utara1</v>
          </cell>
          <cell r="T729" t="str">
            <v>Dian</v>
          </cell>
          <cell r="U729">
            <v>0</v>
          </cell>
        </row>
        <row r="730">
          <cell r="E730" t="str">
            <v>C25000851</v>
          </cell>
          <cell r="F730"/>
          <cell r="G730">
            <v>1000</v>
          </cell>
          <cell r="H730" t="str">
            <v>Customer Service</v>
          </cell>
          <cell r="I730" t="str">
            <v>Exclusive</v>
          </cell>
          <cell r="J730" t="str">
            <v>New 17/10/25</v>
          </cell>
          <cell r="K730" t="str">
            <v>Lobi</v>
          </cell>
          <cell r="L730" t="str">
            <v>AROF01</v>
          </cell>
          <cell r="M730" t="str">
            <v>Arofah Tani/Syamsul</v>
          </cell>
          <cell r="N730" t="str">
            <v>Syamsul Hadi</v>
          </cell>
          <cell r="O730" t="str">
            <v>Jl. Manyar Gg. Masjid Lingk. Krajan RT.003/RW.007, Kel. Slawu, Kec. Patrang</v>
          </cell>
          <cell r="P730" t="str">
            <v>Jember</v>
          </cell>
          <cell r="Q730" t="str">
            <v>Jl. Manyar Gg. Masjid Lingk. Krajan RT.003/RW.007, Kel. Slawu, Kec. Patrang</v>
          </cell>
          <cell r="R730" t="str">
            <v>Jember</v>
          </cell>
          <cell r="S730" t="str">
            <v>L Kota1</v>
          </cell>
          <cell r="T730" t="str">
            <v>Wira</v>
          </cell>
          <cell r="U730">
            <v>0</v>
          </cell>
        </row>
        <row r="731">
          <cell r="E731" t="str">
            <v>B25013349</v>
          </cell>
          <cell r="F731"/>
          <cell r="G731">
            <v>1000</v>
          </cell>
          <cell r="H731" t="str">
            <v>Faris</v>
          </cell>
          <cell r="I731" t="str">
            <v>Syahra</v>
          </cell>
          <cell r="J731" t="str">
            <v>New 14/08/23</v>
          </cell>
          <cell r="K731" t="str">
            <v>KU</v>
          </cell>
          <cell r="L731" t="str">
            <v>ARTA04</v>
          </cell>
          <cell r="M731" t="str">
            <v>Arta Jaya/Kristanto</v>
          </cell>
          <cell r="N731" t="str">
            <v>Kristanto Purwo Admojo</v>
          </cell>
          <cell r="O731" t="str">
            <v>Dusun Kemiri RT.001/RW.003,Kel. Kemiri, Kec. Singojuruh</v>
          </cell>
          <cell r="P731" t="str">
            <v>Banyuwangi</v>
          </cell>
          <cell r="Q731" t="str">
            <v>Kemiri, Kec. Singojuruh</v>
          </cell>
          <cell r="R731" t="str">
            <v>Banyuwangi</v>
          </cell>
          <cell r="S731" t="str">
            <v>H Bwi1</v>
          </cell>
          <cell r="T731" t="str">
            <v>Hafid</v>
          </cell>
          <cell r="U731">
            <v>0</v>
          </cell>
        </row>
        <row r="732">
          <cell r="E732" t="str">
            <v>T25001493</v>
          </cell>
          <cell r="F732"/>
          <cell r="G732">
            <v>1000</v>
          </cell>
          <cell r="H732" t="str">
            <v>Reni</v>
          </cell>
          <cell r="I732" t="str">
            <v>Farida</v>
          </cell>
          <cell r="J732" t="str">
            <v>New 03/10/25</v>
          </cell>
          <cell r="K732" t="str">
            <v>COD</v>
          </cell>
          <cell r="L732" t="str">
            <v>ARTA05</v>
          </cell>
          <cell r="M732" t="str">
            <v>Arta Prima Agro/Suharta</v>
          </cell>
          <cell r="N732" t="str">
            <v>Suharta Tazar</v>
          </cell>
          <cell r="O732" t="str">
            <v>Emerald Garden Blok D/9 Bintaro Jaya RT.001/RW.011, Kel. Parigi, Kec. Pondok Aren</v>
          </cell>
          <cell r="P732" t="str">
            <v>Tangerang Selatan</v>
          </cell>
          <cell r="Q732" t="str">
            <v>Kertobanyon, Kel. Kaibon, Kec, Geger</v>
          </cell>
          <cell r="R732" t="str">
            <v>Madiun</v>
          </cell>
          <cell r="S732" t="str">
            <v>D Barat1</v>
          </cell>
          <cell r="T732" t="str">
            <v>Dian</v>
          </cell>
          <cell r="U732">
            <v>0</v>
          </cell>
        </row>
        <row r="733">
          <cell r="E733" t="str">
            <v>B25012778</v>
          </cell>
          <cell r="F733"/>
          <cell r="G733">
            <v>200000000</v>
          </cell>
          <cell r="H733" t="str">
            <v>Zakia</v>
          </cell>
          <cell r="I733" t="str">
            <v>Tiya</v>
          </cell>
          <cell r="J733" t="str">
            <v>New 03/07/21</v>
          </cell>
          <cell r="K733" t="str">
            <v>KU, Tunai</v>
          </cell>
          <cell r="L733" t="str">
            <v>ARTH04</v>
          </cell>
          <cell r="M733" t="str">
            <v>Artha Mandiri</v>
          </cell>
          <cell r="N733" t="str">
            <v>Sang Kompiang Artha W</v>
          </cell>
          <cell r="O733" t="str">
            <v>BR. Belok- Belok RT.000/RW.000, Kel. Belok, Kec. Petang</v>
          </cell>
          <cell r="P733" t="str">
            <v>Badung- Bali</v>
          </cell>
          <cell r="Q733" t="str">
            <v>BR. Belok- Belok RT.000/RW.000, Kel. Belok, Kec. Petang</v>
          </cell>
          <cell r="R733" t="str">
            <v>Badung - Bali</v>
          </cell>
          <cell r="S733" t="str">
            <v>S Bali3</v>
          </cell>
          <cell r="T733" t="str">
            <v>Wira</v>
          </cell>
          <cell r="U733">
            <v>30</v>
          </cell>
        </row>
        <row r="734">
          <cell r="E734" t="str">
            <v>B25013710</v>
          </cell>
          <cell r="F734"/>
          <cell r="G734">
            <v>200000000</v>
          </cell>
          <cell r="H734" t="str">
            <v>Zakia</v>
          </cell>
          <cell r="I734" t="str">
            <v>Tiya</v>
          </cell>
          <cell r="J734" t="str">
            <v>New 03/07/21</v>
          </cell>
          <cell r="K734" t="str">
            <v>KU, Tunai</v>
          </cell>
          <cell r="L734" t="str">
            <v>ARTH04</v>
          </cell>
          <cell r="M734" t="str">
            <v>Artha Mandiri</v>
          </cell>
          <cell r="N734" t="str">
            <v>Sang Kompiang Artha W</v>
          </cell>
          <cell r="O734" t="str">
            <v>BR. Belok- Belok RT.000/RW.000, Kel. Belok, Kec. Petang</v>
          </cell>
          <cell r="P734" t="str">
            <v>Badung- Bali</v>
          </cell>
          <cell r="Q734" t="str">
            <v>BR. Belok- Belok RT.000/RW.000, Kel. Belok, Kec. Petang</v>
          </cell>
          <cell r="R734" t="str">
            <v>Badung - Bali</v>
          </cell>
          <cell r="S734" t="str">
            <v>S Bali3</v>
          </cell>
          <cell r="T734" t="str">
            <v>Wira</v>
          </cell>
          <cell r="U734">
            <v>30</v>
          </cell>
        </row>
        <row r="735">
          <cell r="E735" t="str">
            <v>B25012292</v>
          </cell>
          <cell r="F735"/>
          <cell r="G735">
            <v>300000000</v>
          </cell>
          <cell r="H735" t="str">
            <v>Reni</v>
          </cell>
          <cell r="I735" t="str">
            <v>Farida</v>
          </cell>
          <cell r="J735"/>
          <cell r="K735" t="str">
            <v>KU, Tunai</v>
          </cell>
          <cell r="L735" t="str">
            <v>ASIA01</v>
          </cell>
          <cell r="M735" t="str">
            <v>Asia Agro/Yudi</v>
          </cell>
          <cell r="N735" t="str">
            <v>Yudi (Asia)</v>
          </cell>
          <cell r="O735" t="str">
            <v>Ds. Balonggebang, RT.003/RW.001 Kel. Balonggebang, Kec. Gondang</v>
          </cell>
          <cell r="P735" t="str">
            <v>Nganjuk</v>
          </cell>
          <cell r="Q735" t="str">
            <v>Kec. Gondang Desa Balong Gebang</v>
          </cell>
          <cell r="R735" t="str">
            <v>Nganjuk</v>
          </cell>
          <cell r="S735" t="str">
            <v>D Barat1</v>
          </cell>
          <cell r="T735" t="str">
            <v>Dian</v>
          </cell>
          <cell r="U735">
            <v>60</v>
          </cell>
        </row>
        <row r="736">
          <cell r="E736" t="str">
            <v>T25001446</v>
          </cell>
          <cell r="F736"/>
          <cell r="G736">
            <v>300000000</v>
          </cell>
          <cell r="H736" t="str">
            <v>Reni</v>
          </cell>
          <cell r="I736" t="str">
            <v>Farida</v>
          </cell>
          <cell r="J736"/>
          <cell r="K736" t="str">
            <v>KU, Tunai</v>
          </cell>
          <cell r="L736" t="str">
            <v>ASIA01</v>
          </cell>
          <cell r="M736" t="str">
            <v>Asia Agro/Yudi</v>
          </cell>
          <cell r="N736" t="str">
            <v>Yudi (Asia)</v>
          </cell>
          <cell r="O736" t="str">
            <v>Ds. Balonggebang, RT.003/RW.001 Kel. Balonggebang, Kec. Gondang</v>
          </cell>
          <cell r="P736" t="str">
            <v>Nganjuk</v>
          </cell>
          <cell r="Q736" t="str">
            <v>Kec. Gondang Desa Balong Gebang</v>
          </cell>
          <cell r="R736" t="str">
            <v>Nganjuk</v>
          </cell>
          <cell r="S736" t="str">
            <v>D Barat1</v>
          </cell>
          <cell r="T736" t="str">
            <v>Dian</v>
          </cell>
          <cell r="U736">
            <v>60</v>
          </cell>
        </row>
        <row r="737">
          <cell r="E737" t="str">
            <v>T25001447</v>
          </cell>
          <cell r="F737"/>
          <cell r="G737">
            <v>300000000</v>
          </cell>
          <cell r="H737" t="str">
            <v>Reni</v>
          </cell>
          <cell r="I737" t="str">
            <v>Farida</v>
          </cell>
          <cell r="J737"/>
          <cell r="K737" t="str">
            <v>KU, Tunai</v>
          </cell>
          <cell r="L737" t="str">
            <v>ASIA01</v>
          </cell>
          <cell r="M737" t="str">
            <v>Asia Agro/Yudi</v>
          </cell>
          <cell r="N737" t="str">
            <v>Yudi (Asia)</v>
          </cell>
          <cell r="O737" t="str">
            <v>Ds. Balonggebang, RT.003/RW.001 Kel. Balonggebang, Kec. Gondang</v>
          </cell>
          <cell r="P737" t="str">
            <v>Nganjuk</v>
          </cell>
          <cell r="Q737" t="str">
            <v>Kec. Gondang Desa Balong Gebang</v>
          </cell>
          <cell r="R737" t="str">
            <v>Nganjuk</v>
          </cell>
          <cell r="S737" t="str">
            <v>D Barat1</v>
          </cell>
          <cell r="T737" t="str">
            <v>Dian</v>
          </cell>
          <cell r="U737">
            <v>60</v>
          </cell>
        </row>
        <row r="738">
          <cell r="E738" t="str">
            <v>D25015003</v>
          </cell>
          <cell r="F738"/>
          <cell r="G738">
            <v>300000000</v>
          </cell>
          <cell r="H738" t="str">
            <v>Reni</v>
          </cell>
          <cell r="I738" t="str">
            <v>Farida</v>
          </cell>
          <cell r="J738"/>
          <cell r="K738" t="str">
            <v>KU, Tunai</v>
          </cell>
          <cell r="L738" t="str">
            <v>ASIA01</v>
          </cell>
          <cell r="M738" t="str">
            <v>Asia Agro/Yudi</v>
          </cell>
          <cell r="N738" t="str">
            <v>Yudi (Asia)</v>
          </cell>
          <cell r="O738" t="str">
            <v>Ds. Balonggebang, RT.003/RW.001 Kel. Balonggebang, Kec. Gondang</v>
          </cell>
          <cell r="P738" t="str">
            <v>Nganjuk</v>
          </cell>
          <cell r="Q738" t="str">
            <v>Kec. Gondang Desa Balong Gebang</v>
          </cell>
          <cell r="R738" t="str">
            <v>Nganjuk</v>
          </cell>
          <cell r="S738" t="str">
            <v>D Barat1</v>
          </cell>
          <cell r="T738" t="str">
            <v>Dian</v>
          </cell>
          <cell r="U738">
            <v>60</v>
          </cell>
        </row>
        <row r="739">
          <cell r="E739" t="str">
            <v>D25015296</v>
          </cell>
          <cell r="F739"/>
          <cell r="G739">
            <v>300000000</v>
          </cell>
          <cell r="H739" t="str">
            <v>Reni</v>
          </cell>
          <cell r="I739" t="str">
            <v>Farida</v>
          </cell>
          <cell r="J739"/>
          <cell r="K739" t="str">
            <v>KU, Tunai</v>
          </cell>
          <cell r="L739" t="str">
            <v>ASIA01</v>
          </cell>
          <cell r="M739" t="str">
            <v>Asia Agro/Yudi</v>
          </cell>
          <cell r="N739" t="str">
            <v>Yudi (Asia)</v>
          </cell>
          <cell r="O739" t="str">
            <v>Ds. Balonggebang, RT.003/RW.001 Kel. Balonggebang, Kec. Gondang</v>
          </cell>
          <cell r="P739" t="str">
            <v>Nganjuk</v>
          </cell>
          <cell r="Q739" t="str">
            <v>Kec. Gondang Desa Balong Gebang</v>
          </cell>
          <cell r="R739" t="str">
            <v>Nganjuk</v>
          </cell>
          <cell r="S739" t="str">
            <v>D Barat1</v>
          </cell>
          <cell r="T739" t="str">
            <v>Dian</v>
          </cell>
          <cell r="U739">
            <v>0</v>
          </cell>
        </row>
        <row r="740">
          <cell r="E740" t="str">
            <v>B25013380</v>
          </cell>
          <cell r="F740"/>
          <cell r="G740">
            <v>300000000</v>
          </cell>
          <cell r="H740" t="str">
            <v>Reni</v>
          </cell>
          <cell r="I740" t="str">
            <v>Farida</v>
          </cell>
          <cell r="J740"/>
          <cell r="K740" t="str">
            <v>KU, Tunai</v>
          </cell>
          <cell r="L740" t="str">
            <v>ASIA01</v>
          </cell>
          <cell r="M740" t="str">
            <v>Asia Agro/Yudi</v>
          </cell>
          <cell r="N740" t="str">
            <v>Yudi (Asia)</v>
          </cell>
          <cell r="O740" t="str">
            <v>Ds. Balonggebang, RT.003/RW.001 Kel. Balonggebang, Kec. Gondang</v>
          </cell>
          <cell r="P740" t="str">
            <v>Nganjuk</v>
          </cell>
          <cell r="Q740" t="str">
            <v>Kec. Gondang Desa Balong Gebang</v>
          </cell>
          <cell r="R740" t="str">
            <v>Nganjuk</v>
          </cell>
          <cell r="S740" t="str">
            <v>D Barat1</v>
          </cell>
          <cell r="T740" t="str">
            <v>Dian</v>
          </cell>
          <cell r="U740">
            <v>60</v>
          </cell>
        </row>
        <row r="741">
          <cell r="E741" t="str">
            <v>R25000089</v>
          </cell>
          <cell r="F741"/>
          <cell r="G741">
            <v>1000</v>
          </cell>
          <cell r="H741" t="str">
            <v>Others</v>
          </cell>
          <cell r="I741" t="str">
            <v>Exclusive</v>
          </cell>
          <cell r="J741" t="str">
            <v>New 04/08/25</v>
          </cell>
          <cell r="K741" t="str">
            <v>KU</v>
          </cell>
          <cell r="L741" t="str">
            <v>ASIA03</v>
          </cell>
          <cell r="M741" t="str">
            <v>Asiana Chemicalindo Lestari, PT</v>
          </cell>
          <cell r="N741" t="str">
            <v>Asiana Chemicalindo L. PT</v>
          </cell>
          <cell r="O741" t="str">
            <v>Jl. Raya Kebayoran Lama No. 647 RT.009/010</v>
          </cell>
          <cell r="P741" t="str">
            <v>Jakarta Selatan</v>
          </cell>
          <cell r="Q741" t="str">
            <v>Jl. Raya Kebayoran Lama No. 647 RT.009/010</v>
          </cell>
          <cell r="R741" t="str">
            <v>Jakarta Selatan</v>
          </cell>
          <cell r="S741" t="str">
            <v>I Jabar Jateng</v>
          </cell>
          <cell r="T741" t="str">
            <v>Non SE &amp; JSE</v>
          </cell>
          <cell r="U741">
            <v>15</v>
          </cell>
        </row>
        <row r="742">
          <cell r="E742" t="str">
            <v>R25000095</v>
          </cell>
          <cell r="F742"/>
          <cell r="G742">
            <v>1000</v>
          </cell>
          <cell r="H742" t="str">
            <v>Others</v>
          </cell>
          <cell r="I742" t="str">
            <v>Exclusive</v>
          </cell>
          <cell r="J742" t="str">
            <v>New 04/08/25</v>
          </cell>
          <cell r="K742" t="str">
            <v>KU</v>
          </cell>
          <cell r="L742" t="str">
            <v>ASIA03</v>
          </cell>
          <cell r="M742" t="str">
            <v>Asiana Chemicalindo Lestari, PT</v>
          </cell>
          <cell r="N742" t="str">
            <v>Asiana Chemicalindo L. PT</v>
          </cell>
          <cell r="O742" t="str">
            <v>Jl. Raya Kebayoran Lama No. 647 RT.009/010</v>
          </cell>
          <cell r="P742" t="str">
            <v>Jakarta Selatan</v>
          </cell>
          <cell r="Q742" t="str">
            <v>Jl. Raya Kebayoran Lama No. 647 RT.009/010</v>
          </cell>
          <cell r="R742" t="str">
            <v>Jakarta Selatan</v>
          </cell>
          <cell r="S742" t="str">
            <v>I Jabar Jateng</v>
          </cell>
          <cell r="T742" t="str">
            <v>Non SE &amp; JSE</v>
          </cell>
          <cell r="U742">
            <v>15</v>
          </cell>
        </row>
        <row r="743">
          <cell r="E743" t="str">
            <v>R25000096</v>
          </cell>
          <cell r="F743"/>
          <cell r="G743">
            <v>1000</v>
          </cell>
          <cell r="H743" t="str">
            <v>Others</v>
          </cell>
          <cell r="I743" t="str">
            <v>Exclusive</v>
          </cell>
          <cell r="J743" t="str">
            <v>New 04/08/25</v>
          </cell>
          <cell r="K743" t="str">
            <v>KU</v>
          </cell>
          <cell r="L743" t="str">
            <v>ASIA03</v>
          </cell>
          <cell r="M743" t="str">
            <v>Asiana Chemicalindo Lestari, PT</v>
          </cell>
          <cell r="N743" t="str">
            <v>Asiana Chemicalindo L. PT</v>
          </cell>
          <cell r="O743" t="str">
            <v>Jl. Raya Kebayoran Lama No. 647 RT.009/010</v>
          </cell>
          <cell r="P743" t="str">
            <v>Jakarta Selatan</v>
          </cell>
          <cell r="Q743" t="str">
            <v>Jl. Raya Kebayoran Lama No. 647 RT.009/010</v>
          </cell>
          <cell r="R743" t="str">
            <v>Jakarta Selatan</v>
          </cell>
          <cell r="S743" t="str">
            <v>I Jabar Jateng</v>
          </cell>
          <cell r="T743" t="str">
            <v>Non SE &amp; JSE</v>
          </cell>
          <cell r="U743">
            <v>15</v>
          </cell>
        </row>
        <row r="744">
          <cell r="E744" t="str">
            <v>R25000097</v>
          </cell>
          <cell r="F744"/>
          <cell r="G744">
            <v>1000</v>
          </cell>
          <cell r="H744" t="str">
            <v>Others</v>
          </cell>
          <cell r="I744" t="str">
            <v>Exclusive</v>
          </cell>
          <cell r="J744" t="str">
            <v>New 04/08/25</v>
          </cell>
          <cell r="K744" t="str">
            <v>KU</v>
          </cell>
          <cell r="L744" t="str">
            <v>ASIA03</v>
          </cell>
          <cell r="M744" t="str">
            <v>Asiana Chemicalindo Lestari, PT</v>
          </cell>
          <cell r="N744" t="str">
            <v>Asiana Chemicalindo L. PT</v>
          </cell>
          <cell r="O744" t="str">
            <v>Jl. Raya Kebayoran Lama No. 647 RT.009/010</v>
          </cell>
          <cell r="P744" t="str">
            <v>Jakarta Selatan</v>
          </cell>
          <cell r="Q744" t="str">
            <v>Jl. Raya Kebayoran Lama No. 647 RT.009/010</v>
          </cell>
          <cell r="R744" t="str">
            <v>Jakarta Selatan</v>
          </cell>
          <cell r="S744" t="str">
            <v>I Jabar Jateng</v>
          </cell>
          <cell r="T744" t="str">
            <v>Non SE &amp; JSE</v>
          </cell>
          <cell r="U744">
            <v>15</v>
          </cell>
        </row>
        <row r="745">
          <cell r="E745" t="str">
            <v>B25013057</v>
          </cell>
          <cell r="F745"/>
          <cell r="G745">
            <v>1000</v>
          </cell>
          <cell r="H745" t="str">
            <v>Zakia</v>
          </cell>
          <cell r="I745" t="str">
            <v>Tiya</v>
          </cell>
          <cell r="J745" t="str">
            <v>New 28/07/22</v>
          </cell>
          <cell r="K745" t="str">
            <v>KU</v>
          </cell>
          <cell r="L745" t="str">
            <v>ASIF01</v>
          </cell>
          <cell r="M745" t="str">
            <v>Asifak, UD</v>
          </cell>
          <cell r="N745" t="str">
            <v>Muhdi</v>
          </cell>
          <cell r="O745" t="str">
            <v>Dusun Ombul, Kel. Badung Kec. Proppo</v>
          </cell>
          <cell r="P745" t="str">
            <v>Pamekasan</v>
          </cell>
          <cell r="Q745" t="str">
            <v>Dusun Ombul, Kel. Badung Kec. Proppo</v>
          </cell>
          <cell r="R745" t="str">
            <v>Pamekasan</v>
          </cell>
          <cell r="S745" t="str">
            <v>M Madura</v>
          </cell>
          <cell r="T745" t="str">
            <v>Tomi</v>
          </cell>
          <cell r="U745">
            <v>0</v>
          </cell>
        </row>
        <row r="746">
          <cell r="E746" t="str">
            <v>D25016277</v>
          </cell>
          <cell r="F746"/>
          <cell r="G746">
            <v>1000</v>
          </cell>
          <cell r="H746" t="str">
            <v>Zakia</v>
          </cell>
          <cell r="I746" t="str">
            <v>Tiya</v>
          </cell>
          <cell r="J746" t="str">
            <v>New 28/07/22</v>
          </cell>
          <cell r="K746" t="str">
            <v>KU</v>
          </cell>
          <cell r="L746" t="str">
            <v>ASIF01</v>
          </cell>
          <cell r="M746" t="str">
            <v>Asifak, UD</v>
          </cell>
          <cell r="N746" t="str">
            <v>Muhdi</v>
          </cell>
          <cell r="O746" t="str">
            <v>Dusun Ombul, Kel. Badung Kec. Proppo</v>
          </cell>
          <cell r="P746" t="str">
            <v>Pamekasan</v>
          </cell>
          <cell r="Q746" t="str">
            <v>Dusun Ombul, Kel. Badung Kec. Proppo</v>
          </cell>
          <cell r="R746" t="str">
            <v>Pamekasan</v>
          </cell>
          <cell r="S746" t="str">
            <v>M Madura</v>
          </cell>
          <cell r="T746" t="str">
            <v>Tomi</v>
          </cell>
          <cell r="U746">
            <v>0</v>
          </cell>
        </row>
        <row r="747">
          <cell r="E747" t="str">
            <v>D25016287</v>
          </cell>
          <cell r="F747"/>
          <cell r="G747">
            <v>1000</v>
          </cell>
          <cell r="H747" t="str">
            <v>Zakia</v>
          </cell>
          <cell r="I747" t="str">
            <v>Tiya</v>
          </cell>
          <cell r="J747" t="str">
            <v>New 28/07/22</v>
          </cell>
          <cell r="K747" t="str">
            <v>KU</v>
          </cell>
          <cell r="L747" t="str">
            <v>ASIF01</v>
          </cell>
          <cell r="M747" t="str">
            <v>Asifak, UD</v>
          </cell>
          <cell r="N747" t="str">
            <v>Muhdi</v>
          </cell>
          <cell r="O747" t="str">
            <v>Dusun Ombul, Kel. Badung Kec. Proppo</v>
          </cell>
          <cell r="P747" t="str">
            <v>Pamekasan</v>
          </cell>
          <cell r="Q747" t="str">
            <v>Dusun Ombul, Kel. Badung Kec. Proppo</v>
          </cell>
          <cell r="R747" t="str">
            <v>Pamekasan</v>
          </cell>
          <cell r="S747" t="str">
            <v>M Madura</v>
          </cell>
          <cell r="T747" t="str">
            <v>Tomi</v>
          </cell>
          <cell r="U747">
            <v>0</v>
          </cell>
        </row>
        <row r="748">
          <cell r="E748" t="str">
            <v>B25012016</v>
          </cell>
          <cell r="F748"/>
          <cell r="G748">
            <v>30000000</v>
          </cell>
          <cell r="H748" t="str">
            <v>Zakia</v>
          </cell>
          <cell r="I748" t="str">
            <v>Tiya</v>
          </cell>
          <cell r="J748"/>
          <cell r="K748" t="str">
            <v>KU</v>
          </cell>
          <cell r="L748" t="str">
            <v>ASIH01</v>
          </cell>
          <cell r="M748" t="str">
            <v>Asih Tani Makmur, UD</v>
          </cell>
          <cell r="N748" t="str">
            <v>Luh Sasih Aryawati</v>
          </cell>
          <cell r="O748" t="str">
            <v>Banjar Dinas Banyupoh, Kel. Banyupoh, Kec. Gerokgak</v>
          </cell>
          <cell r="P748" t="str">
            <v>Bali</v>
          </cell>
          <cell r="Q748" t="str">
            <v>Jl. Raya Seririt, Ds. Banyu Poh</v>
          </cell>
          <cell r="R748" t="str">
            <v>Bali</v>
          </cell>
          <cell r="S748" t="str">
            <v>S Bali1</v>
          </cell>
          <cell r="T748" t="str">
            <v>Wira</v>
          </cell>
          <cell r="U748">
            <v>30</v>
          </cell>
        </row>
        <row r="749">
          <cell r="E749" t="str">
            <v>D25015549</v>
          </cell>
          <cell r="F749"/>
          <cell r="G749">
            <v>30000000</v>
          </cell>
          <cell r="H749" t="str">
            <v>Zakia</v>
          </cell>
          <cell r="I749" t="str">
            <v>Tiya</v>
          </cell>
          <cell r="J749"/>
          <cell r="K749" t="str">
            <v>KU</v>
          </cell>
          <cell r="L749" t="str">
            <v>ASIH01</v>
          </cell>
          <cell r="M749" t="str">
            <v>Asih Tani Makmur, UD</v>
          </cell>
          <cell r="N749" t="str">
            <v>Luh Sasih Aryawati</v>
          </cell>
          <cell r="O749" t="str">
            <v>Banjar Dinas Banyupoh, Kel. Banyupoh, Kec. Gerokgak</v>
          </cell>
          <cell r="P749" t="str">
            <v>Bali</v>
          </cell>
          <cell r="Q749" t="str">
            <v>Jl. Raya Seririt, Ds. Banyu Poh</v>
          </cell>
          <cell r="R749" t="str">
            <v>Bali</v>
          </cell>
          <cell r="S749" t="str">
            <v>S Bali1</v>
          </cell>
          <cell r="T749" t="str">
            <v>Wira</v>
          </cell>
          <cell r="U749">
            <v>30</v>
          </cell>
        </row>
        <row r="750">
          <cell r="E750" t="str">
            <v>D25015550</v>
          </cell>
          <cell r="F750"/>
          <cell r="G750">
            <v>30000000</v>
          </cell>
          <cell r="H750" t="str">
            <v>Zakia</v>
          </cell>
          <cell r="I750" t="str">
            <v>Tiya</v>
          </cell>
          <cell r="J750"/>
          <cell r="K750" t="str">
            <v>KU</v>
          </cell>
          <cell r="L750" t="str">
            <v>ASIH01</v>
          </cell>
          <cell r="M750" t="str">
            <v>Asih Tani Makmur, UD</v>
          </cell>
          <cell r="N750" t="str">
            <v>Luh Sasih Aryawati</v>
          </cell>
          <cell r="O750" t="str">
            <v>Banjar Dinas Banyupoh, Kel. Banyupoh, Kec. Gerokgak</v>
          </cell>
          <cell r="P750" t="str">
            <v>Bali</v>
          </cell>
          <cell r="Q750" t="str">
            <v>Jl. Raya Seririt, Ds. Banyu Poh</v>
          </cell>
          <cell r="R750" t="str">
            <v>Bali</v>
          </cell>
          <cell r="S750" t="str">
            <v>S Bali1</v>
          </cell>
          <cell r="T750" t="str">
            <v>Wira</v>
          </cell>
          <cell r="U750">
            <v>30</v>
          </cell>
        </row>
        <row r="751">
          <cell r="E751" t="str">
            <v>D25015551</v>
          </cell>
          <cell r="F751"/>
          <cell r="G751">
            <v>30000000</v>
          </cell>
          <cell r="H751" t="str">
            <v>Zakia</v>
          </cell>
          <cell r="I751" t="str">
            <v>Tiya</v>
          </cell>
          <cell r="J751"/>
          <cell r="K751" t="str">
            <v>KU</v>
          </cell>
          <cell r="L751" t="str">
            <v>ASIH01</v>
          </cell>
          <cell r="M751" t="str">
            <v>Asih Tani Makmur, UD</v>
          </cell>
          <cell r="N751" t="str">
            <v>Luh Sasih Aryawati</v>
          </cell>
          <cell r="O751" t="str">
            <v>Banjar Dinas Banyupoh, Kel. Banyupoh, Kec. Gerokgak</v>
          </cell>
          <cell r="P751" t="str">
            <v>Bali</v>
          </cell>
          <cell r="Q751" t="str">
            <v>Jl. Raya Seririt, Ds. Banyu Poh</v>
          </cell>
          <cell r="R751" t="str">
            <v>Bali</v>
          </cell>
          <cell r="S751" t="str">
            <v>S Bali1</v>
          </cell>
          <cell r="T751" t="str">
            <v>Wira</v>
          </cell>
          <cell r="U751">
            <v>30</v>
          </cell>
        </row>
        <row r="752">
          <cell r="E752" t="str">
            <v>D25016239</v>
          </cell>
          <cell r="F752"/>
          <cell r="G752">
            <v>30000000</v>
          </cell>
          <cell r="H752" t="str">
            <v>Zakia</v>
          </cell>
          <cell r="I752" t="str">
            <v>Tiya</v>
          </cell>
          <cell r="J752"/>
          <cell r="K752" t="str">
            <v>KU</v>
          </cell>
          <cell r="L752" t="str">
            <v>ASIH01</v>
          </cell>
          <cell r="M752" t="str">
            <v>Asih Tani Makmur, UD</v>
          </cell>
          <cell r="N752" t="str">
            <v>Luh Sasih Aryawati</v>
          </cell>
          <cell r="O752" t="str">
            <v>Banjar Dinas Banyupoh, Kel. Banyupoh, Kec. Gerokgak</v>
          </cell>
          <cell r="P752" t="str">
            <v>Bali</v>
          </cell>
          <cell r="Q752" t="str">
            <v>Jl. Raya Seririt, Ds. Banyu Poh</v>
          </cell>
          <cell r="R752" t="str">
            <v>Bali</v>
          </cell>
          <cell r="S752" t="str">
            <v>S Bali1</v>
          </cell>
          <cell r="T752" t="str">
            <v>Wira</v>
          </cell>
          <cell r="U752">
            <v>30</v>
          </cell>
        </row>
        <row r="753">
          <cell r="E753" t="str">
            <v>B25012659</v>
          </cell>
          <cell r="F753"/>
          <cell r="G753">
            <v>300000000</v>
          </cell>
          <cell r="H753" t="str">
            <v>Zakia</v>
          </cell>
          <cell r="I753" t="str">
            <v>Tiya</v>
          </cell>
          <cell r="J753"/>
          <cell r="K753" t="str">
            <v>Tunai</v>
          </cell>
          <cell r="L753" t="str">
            <v>ASRI01</v>
          </cell>
          <cell r="M753" t="str">
            <v>Asri Jaya, UD</v>
          </cell>
          <cell r="N753" t="str">
            <v>I Ketut Sudana</v>
          </cell>
          <cell r="O753" t="str">
            <v>Banjar Pemuteran, Kel. Candikuning, Kel. Baturiti</v>
          </cell>
          <cell r="P753" t="str">
            <v>Bali</v>
          </cell>
          <cell r="Q753" t="str">
            <v>Bedugul</v>
          </cell>
          <cell r="R753" t="str">
            <v>Bali</v>
          </cell>
          <cell r="S753" t="str">
            <v>S Bali2</v>
          </cell>
          <cell r="T753" t="str">
            <v>Wira</v>
          </cell>
          <cell r="U753">
            <v>30</v>
          </cell>
        </row>
        <row r="754">
          <cell r="E754" t="str">
            <v>B25012659</v>
          </cell>
          <cell r="F754"/>
          <cell r="G754">
            <v>300000000</v>
          </cell>
          <cell r="H754" t="str">
            <v>Zakia</v>
          </cell>
          <cell r="I754" t="str">
            <v>Tiya</v>
          </cell>
          <cell r="J754"/>
          <cell r="K754" t="str">
            <v>Tunai</v>
          </cell>
          <cell r="L754" t="str">
            <v>ASRI01</v>
          </cell>
          <cell r="M754" t="str">
            <v>Asri Jaya, UD</v>
          </cell>
          <cell r="N754" t="str">
            <v>I Ketut Sudana</v>
          </cell>
          <cell r="O754" t="str">
            <v>Banjar Pemuteran, Kel. Candikuning, Kel. Baturiti</v>
          </cell>
          <cell r="P754" t="str">
            <v>Bali</v>
          </cell>
          <cell r="Q754" t="str">
            <v>Bedugul</v>
          </cell>
          <cell r="R754" t="str">
            <v>Bali</v>
          </cell>
          <cell r="S754" t="str">
            <v>S Bali2</v>
          </cell>
          <cell r="T754" t="str">
            <v>Wira</v>
          </cell>
          <cell r="U754">
            <v>30</v>
          </cell>
        </row>
        <row r="755">
          <cell r="E755" t="str">
            <v>B25013743</v>
          </cell>
          <cell r="F755"/>
          <cell r="G755">
            <v>300000000</v>
          </cell>
          <cell r="H755" t="str">
            <v>Zakia</v>
          </cell>
          <cell r="I755" t="str">
            <v>Tiya</v>
          </cell>
          <cell r="J755"/>
          <cell r="K755" t="str">
            <v>Tunai</v>
          </cell>
          <cell r="L755" t="str">
            <v>ASRI01</v>
          </cell>
          <cell r="M755" t="str">
            <v>Asri Jaya, UD</v>
          </cell>
          <cell r="N755" t="str">
            <v>I Ketut Sudana</v>
          </cell>
          <cell r="O755" t="str">
            <v>Banjar Pemuteran, Kel. Candikuning, Kel. Baturiti</v>
          </cell>
          <cell r="P755" t="str">
            <v>Bali</v>
          </cell>
          <cell r="Q755" t="str">
            <v>Bedugul</v>
          </cell>
          <cell r="R755" t="str">
            <v>Bali</v>
          </cell>
          <cell r="S755" t="str">
            <v>S Bali2</v>
          </cell>
          <cell r="T755" t="str">
            <v>Wira</v>
          </cell>
          <cell r="U755">
            <v>30</v>
          </cell>
        </row>
        <row r="756">
          <cell r="E756" t="str">
            <v>B25013802</v>
          </cell>
          <cell r="F756"/>
          <cell r="G756">
            <v>300000000</v>
          </cell>
          <cell r="H756" t="str">
            <v>Zakia</v>
          </cell>
          <cell r="I756" t="str">
            <v>Tiya</v>
          </cell>
          <cell r="J756"/>
          <cell r="K756" t="str">
            <v>Tunai</v>
          </cell>
          <cell r="L756" t="str">
            <v>ASRI01</v>
          </cell>
          <cell r="M756" t="str">
            <v>Asri Jaya, UD</v>
          </cell>
          <cell r="N756" t="str">
            <v>I Ketut Sudana</v>
          </cell>
          <cell r="O756" t="str">
            <v>Banjar Pemuteran, Kel. Candikuning, Kel. Baturiti</v>
          </cell>
          <cell r="P756" t="str">
            <v>Bali</v>
          </cell>
          <cell r="Q756" t="str">
            <v>Bedugul</v>
          </cell>
          <cell r="R756" t="str">
            <v>Bali</v>
          </cell>
          <cell r="S756" t="str">
            <v>S Bali2</v>
          </cell>
          <cell r="T756" t="str">
            <v>Wira</v>
          </cell>
          <cell r="U756">
            <v>30</v>
          </cell>
        </row>
        <row r="757">
          <cell r="E757" t="str">
            <v>B25014071</v>
          </cell>
          <cell r="F757"/>
          <cell r="G757">
            <v>20000000</v>
          </cell>
          <cell r="H757" t="str">
            <v>Zakia</v>
          </cell>
          <cell r="I757" t="str">
            <v>Tiya</v>
          </cell>
          <cell r="J757"/>
          <cell r="K757" t="str">
            <v>KU</v>
          </cell>
          <cell r="L757" t="str">
            <v>ASSA01</v>
          </cell>
          <cell r="M757" t="str">
            <v>Assalam Tani</v>
          </cell>
          <cell r="N757" t="str">
            <v>Susanto</v>
          </cell>
          <cell r="O757" t="str">
            <v>Dsn. Tegalrejo, RT.014/RW.003, Kebonrejo, Kepung Kab. Kediri</v>
          </cell>
          <cell r="P757" t="str">
            <v>Kediri</v>
          </cell>
          <cell r="Q757" t="str">
            <v>Dsn. Tegalrejo, RT.014/RW.003, Kebonrejo, Kepung Kab. Kediri</v>
          </cell>
          <cell r="R757" t="str">
            <v>Kediri</v>
          </cell>
          <cell r="S757" t="str">
            <v>D Barat1</v>
          </cell>
          <cell r="T757" t="str">
            <v>Tomi</v>
          </cell>
          <cell r="U757">
            <v>0</v>
          </cell>
        </row>
        <row r="758">
          <cell r="E758" t="str">
            <v>Z25002520</v>
          </cell>
          <cell r="F758"/>
          <cell r="G758">
            <v>10000000</v>
          </cell>
          <cell r="H758" t="str">
            <v>Ariyani</v>
          </cell>
          <cell r="I758" t="str">
            <v>Fira</v>
          </cell>
          <cell r="J758" t="str">
            <v>New 05/04/24</v>
          </cell>
          <cell r="K758" t="str">
            <v>CBD</v>
          </cell>
          <cell r="L758" t="str">
            <v>AURA04</v>
          </cell>
          <cell r="M758" t="str">
            <v>Aura Bumi/Agus</v>
          </cell>
          <cell r="N758" t="str">
            <v>Mohammad Agus Suhartono</v>
          </cell>
          <cell r="O758" t="str">
            <v>KH. Wahid Hasim Gg Gerilya RT.002/RW.001, Kanigaran, Kanigaran</v>
          </cell>
          <cell r="P758" t="str">
            <v>Probolinggo</v>
          </cell>
          <cell r="Q758" t="str">
            <v>Jl. Lumbang No. 160, Kel. Tongaswetan, Kec. Tongas</v>
          </cell>
          <cell r="R758" t="str">
            <v>Probolinggo</v>
          </cell>
          <cell r="S758" t="str">
            <v>G Prob1</v>
          </cell>
          <cell r="T758" t="str">
            <v>Wira</v>
          </cell>
          <cell r="U758">
            <v>30</v>
          </cell>
        </row>
        <row r="759">
          <cell r="E759" t="str">
            <v>B25014033</v>
          </cell>
          <cell r="F759"/>
          <cell r="G759">
            <v>10000000</v>
          </cell>
          <cell r="H759" t="str">
            <v>Ariyani</v>
          </cell>
          <cell r="I759" t="str">
            <v>Fira</v>
          </cell>
          <cell r="J759" t="str">
            <v>New 05/04/24</v>
          </cell>
          <cell r="K759" t="str">
            <v>CBD</v>
          </cell>
          <cell r="L759" t="str">
            <v>AURA04</v>
          </cell>
          <cell r="M759" t="str">
            <v>Aura Bumi/Agus</v>
          </cell>
          <cell r="N759" t="str">
            <v>Mohammad Agus Suhartono</v>
          </cell>
          <cell r="O759" t="str">
            <v>KH. Wahid Hasim Gg Gerilya RT.002/RW.001, Kanigaran, Kanigaran</v>
          </cell>
          <cell r="P759" t="str">
            <v>Probolinggo</v>
          </cell>
          <cell r="Q759" t="str">
            <v>Jl. Lumbang No. 160, Kel. Tongaswetan, Kec. Tongas</v>
          </cell>
          <cell r="R759" t="str">
            <v>Probolinggo</v>
          </cell>
          <cell r="S759" t="str">
            <v>G Prob1</v>
          </cell>
          <cell r="T759" t="str">
            <v>Wira</v>
          </cell>
          <cell r="U759">
            <v>30</v>
          </cell>
        </row>
        <row r="760">
          <cell r="E760" t="str">
            <v>B25014034</v>
          </cell>
          <cell r="F760"/>
          <cell r="G760">
            <v>10000000</v>
          </cell>
          <cell r="H760" t="str">
            <v>Ariyani</v>
          </cell>
          <cell r="I760" t="str">
            <v>Fira</v>
          </cell>
          <cell r="J760" t="str">
            <v>New 05/04/24</v>
          </cell>
          <cell r="K760" t="str">
            <v>CBD</v>
          </cell>
          <cell r="L760" t="str">
            <v>AURA04</v>
          </cell>
          <cell r="M760" t="str">
            <v>Aura Bumi/Agus</v>
          </cell>
          <cell r="N760" t="str">
            <v>Mohammad Agus Suhartono</v>
          </cell>
          <cell r="O760" t="str">
            <v>KH. Wahid Hasim Gg Gerilya RT.002/RW.001, Kanigaran, Kanigaran</v>
          </cell>
          <cell r="P760" t="str">
            <v>Probolinggo</v>
          </cell>
          <cell r="Q760" t="str">
            <v>Jl. Lumbang No. 160, Kel. Tongaswetan, Kec. Tongas</v>
          </cell>
          <cell r="R760" t="str">
            <v>Probolinggo</v>
          </cell>
          <cell r="S760" t="str">
            <v>G Prob1</v>
          </cell>
          <cell r="T760" t="str">
            <v>Wira</v>
          </cell>
          <cell r="U760">
            <v>30</v>
          </cell>
        </row>
        <row r="761">
          <cell r="E761" t="str">
            <v>B25012291</v>
          </cell>
          <cell r="F761"/>
          <cell r="G761">
            <v>40000000</v>
          </cell>
          <cell r="H761" t="str">
            <v>Ariyani</v>
          </cell>
          <cell r="I761" t="str">
            <v>Fira</v>
          </cell>
          <cell r="J761" t="str">
            <v>New 08/09/21</v>
          </cell>
          <cell r="K761" t="str">
            <v>Tunai</v>
          </cell>
          <cell r="L761" t="str">
            <v>AZRI02</v>
          </cell>
          <cell r="M761" t="str">
            <v>Azril Tani/Suher</v>
          </cell>
          <cell r="N761" t="str">
            <v>Suher Harianto</v>
          </cell>
          <cell r="O761" t="str">
            <v>Dusun Triwung, RT.004/RW.002Kel. Warujinggo, Kec. Leces</v>
          </cell>
          <cell r="P761" t="str">
            <v>Probolinggo</v>
          </cell>
          <cell r="Q761" t="str">
            <v>Dusun Triwung, RT.004/RW.002Kel. Warujinggo, Kec. Leces</v>
          </cell>
          <cell r="R761" t="str">
            <v>Probolinggo</v>
          </cell>
          <cell r="S761" t="str">
            <v>G Prob1</v>
          </cell>
          <cell r="T761" t="str">
            <v>Wira</v>
          </cell>
          <cell r="U761">
            <v>60</v>
          </cell>
        </row>
        <row r="762">
          <cell r="E762" t="str">
            <v>B25012298</v>
          </cell>
          <cell r="F762"/>
          <cell r="G762">
            <v>40000000</v>
          </cell>
          <cell r="H762" t="str">
            <v>Ariyani</v>
          </cell>
          <cell r="I762" t="str">
            <v>Fira</v>
          </cell>
          <cell r="J762" t="str">
            <v>New 08/09/21</v>
          </cell>
          <cell r="K762" t="str">
            <v>Tunai</v>
          </cell>
          <cell r="L762" t="str">
            <v>AZRI02</v>
          </cell>
          <cell r="M762" t="str">
            <v>Azril Tani/Suher</v>
          </cell>
          <cell r="N762" t="str">
            <v>Suher Harianto</v>
          </cell>
          <cell r="O762" t="str">
            <v>Dusun Triwung, RT.004/RW.002Kel. Warujinggo, Kec. Leces</v>
          </cell>
          <cell r="P762" t="str">
            <v>Probolinggo</v>
          </cell>
          <cell r="Q762" t="str">
            <v>Dusun Triwung, RT.004/RW.002Kel. Warujinggo, Kec. Leces</v>
          </cell>
          <cell r="R762" t="str">
            <v>Probolinggo</v>
          </cell>
          <cell r="S762" t="str">
            <v>G Prob1</v>
          </cell>
          <cell r="T762" t="str">
            <v>Wira</v>
          </cell>
          <cell r="U762">
            <v>60</v>
          </cell>
        </row>
        <row r="763">
          <cell r="E763" t="str">
            <v>B25012504</v>
          </cell>
          <cell r="F763"/>
          <cell r="G763">
            <v>40000000</v>
          </cell>
          <cell r="H763" t="str">
            <v>Ariyani</v>
          </cell>
          <cell r="I763" t="str">
            <v>Fira</v>
          </cell>
          <cell r="J763" t="str">
            <v>New 08/09/21</v>
          </cell>
          <cell r="K763" t="str">
            <v>Tunai</v>
          </cell>
          <cell r="L763" t="str">
            <v>AZRI02</v>
          </cell>
          <cell r="M763" t="str">
            <v>Azril Tani/Suher</v>
          </cell>
          <cell r="N763" t="str">
            <v>Suher Harianto</v>
          </cell>
          <cell r="O763" t="str">
            <v>Dusun Triwung, RT.004/RW.002Kel. Warujinggo, Kec. Leces</v>
          </cell>
          <cell r="P763" t="str">
            <v>Probolinggo</v>
          </cell>
          <cell r="Q763" t="str">
            <v>Dusun Triwung, RT.004/RW.002Kel. Warujinggo, Kec. Leces</v>
          </cell>
          <cell r="R763" t="str">
            <v>Probolinggo</v>
          </cell>
          <cell r="S763" t="str">
            <v>G Prob1</v>
          </cell>
          <cell r="T763" t="str">
            <v>Wira</v>
          </cell>
          <cell r="U763">
            <v>30</v>
          </cell>
        </row>
        <row r="764">
          <cell r="E764" t="str">
            <v>B25012682</v>
          </cell>
          <cell r="F764"/>
          <cell r="G764">
            <v>40000000</v>
          </cell>
          <cell r="H764" t="str">
            <v>Ariyani</v>
          </cell>
          <cell r="I764" t="str">
            <v>Fira</v>
          </cell>
          <cell r="J764" t="str">
            <v>New 08/09/21</v>
          </cell>
          <cell r="K764" t="str">
            <v>Tunai</v>
          </cell>
          <cell r="L764" t="str">
            <v>AZRI02</v>
          </cell>
          <cell r="M764" t="str">
            <v>Azril Tani/Suher</v>
          </cell>
          <cell r="N764" t="str">
            <v>Suher Harianto</v>
          </cell>
          <cell r="O764" t="str">
            <v>Dusun Triwung, RT.004/RW.002Kel. Warujinggo, Kec. Leces</v>
          </cell>
          <cell r="P764" t="str">
            <v>Probolinggo</v>
          </cell>
          <cell r="Q764" t="str">
            <v>Dusun Triwung, RT.004/RW.002Kel. Warujinggo, Kec. Leces</v>
          </cell>
          <cell r="R764" t="str">
            <v>Probolinggo</v>
          </cell>
          <cell r="S764" t="str">
            <v>G Prob1</v>
          </cell>
          <cell r="T764" t="str">
            <v>Wira</v>
          </cell>
          <cell r="U764">
            <v>30</v>
          </cell>
        </row>
        <row r="765">
          <cell r="E765" t="str">
            <v>B25010373</v>
          </cell>
          <cell r="F765"/>
          <cell r="G765">
            <v>50000000</v>
          </cell>
          <cell r="H765" t="str">
            <v>Hendra</v>
          </cell>
          <cell r="I765" t="str">
            <v>Tiya</v>
          </cell>
          <cell r="J765" t="str">
            <v>New 23/06/20</v>
          </cell>
          <cell r="K765" t="str">
            <v>KU</v>
          </cell>
          <cell r="L765" t="str">
            <v>BABA02</v>
          </cell>
          <cell r="M765" t="str">
            <v>Baba, UD/Suherman</v>
          </cell>
          <cell r="N765" t="str">
            <v>Suherman Maman</v>
          </cell>
          <cell r="O765" t="str">
            <v>Dusun Anggrek, RT.002/RW.001Kel. Tente, Kec. Woha</v>
          </cell>
          <cell r="P765" t="str">
            <v>Bima</v>
          </cell>
          <cell r="Q765" t="str">
            <v>Dusun Anggrek, RT.002/RW.001Kel. Tente, Kec. Woha</v>
          </cell>
          <cell r="R765" t="str">
            <v>Bima</v>
          </cell>
          <cell r="S765" t="str">
            <v>E Luar Pulau1</v>
          </cell>
          <cell r="T765" t="str">
            <v>Muhlisin</v>
          </cell>
          <cell r="U765">
            <v>45</v>
          </cell>
        </row>
        <row r="766">
          <cell r="E766" t="str">
            <v>D25012920</v>
          </cell>
          <cell r="F766"/>
          <cell r="G766">
            <v>50000000</v>
          </cell>
          <cell r="H766" t="str">
            <v>Hendra</v>
          </cell>
          <cell r="I766" t="str">
            <v>Tiya</v>
          </cell>
          <cell r="J766" t="str">
            <v>New 23/06/20</v>
          </cell>
          <cell r="K766" t="str">
            <v>KU</v>
          </cell>
          <cell r="L766" t="str">
            <v>BABA02</v>
          </cell>
          <cell r="M766" t="str">
            <v>Baba, UD/Suherman</v>
          </cell>
          <cell r="N766" t="str">
            <v>Suherman Maman</v>
          </cell>
          <cell r="O766" t="str">
            <v>Dusun Anggrek, RT.002/RW.001Kel. Tente, Kec. Woha</v>
          </cell>
          <cell r="P766" t="str">
            <v>Bima</v>
          </cell>
          <cell r="Q766" t="str">
            <v>Dusun Anggrek, RT.002/RW.001Kel. Tente, Kec. Woha</v>
          </cell>
          <cell r="R766" t="str">
            <v>Bima</v>
          </cell>
          <cell r="S766" t="str">
            <v>E Luar Pulau1</v>
          </cell>
          <cell r="T766" t="str">
            <v>Muhlisin</v>
          </cell>
          <cell r="U766">
            <v>45</v>
          </cell>
        </row>
        <row r="767">
          <cell r="E767" t="str">
            <v>B25010986</v>
          </cell>
          <cell r="F767"/>
          <cell r="G767">
            <v>50000000</v>
          </cell>
          <cell r="H767" t="str">
            <v>Hendra</v>
          </cell>
          <cell r="I767" t="str">
            <v>Tiya</v>
          </cell>
          <cell r="J767" t="str">
            <v>New 23/06/20</v>
          </cell>
          <cell r="K767" t="str">
            <v>KU</v>
          </cell>
          <cell r="L767" t="str">
            <v>BABA02</v>
          </cell>
          <cell r="M767" t="str">
            <v>Baba, UD/Suherman</v>
          </cell>
          <cell r="N767" t="str">
            <v>Suherman Maman</v>
          </cell>
          <cell r="O767" t="str">
            <v>Dusun Anggrek, RT.002/RW.001Kel. Tente, Kec. Woha</v>
          </cell>
          <cell r="P767" t="str">
            <v>Bima</v>
          </cell>
          <cell r="Q767" t="str">
            <v>Dusun Anggrek, RT.002/RW.001Kel. Tente, Kec. Woha</v>
          </cell>
          <cell r="R767" t="str">
            <v>Bima</v>
          </cell>
          <cell r="S767" t="str">
            <v>E Luar Pulau1</v>
          </cell>
          <cell r="T767" t="str">
            <v>Muhlisin</v>
          </cell>
          <cell r="U767">
            <v>45</v>
          </cell>
        </row>
        <row r="768">
          <cell r="E768" t="str">
            <v>D25013554</v>
          </cell>
          <cell r="F768"/>
          <cell r="G768">
            <v>50000000</v>
          </cell>
          <cell r="H768" t="str">
            <v>Hendra</v>
          </cell>
          <cell r="I768" t="str">
            <v>Tiya</v>
          </cell>
          <cell r="J768" t="str">
            <v>New 23/06/20</v>
          </cell>
          <cell r="K768" t="str">
            <v>KU</v>
          </cell>
          <cell r="L768" t="str">
            <v>BABA02</v>
          </cell>
          <cell r="M768" t="str">
            <v>Baba, UD/Suherman</v>
          </cell>
          <cell r="N768" t="str">
            <v>Suherman Maman</v>
          </cell>
          <cell r="O768" t="str">
            <v>Dusun Anggrek, RT.002/RW.001Kel. Tente, Kec. Woha</v>
          </cell>
          <cell r="P768" t="str">
            <v>Bima</v>
          </cell>
          <cell r="Q768" t="str">
            <v>Dusun Anggrek, RT.002/RW.001Kel. Tente, Kec. Woha</v>
          </cell>
          <cell r="R768" t="str">
            <v>Bima</v>
          </cell>
          <cell r="S768" t="str">
            <v>E Luar Pulau1</v>
          </cell>
          <cell r="T768" t="str">
            <v>Muhlisin</v>
          </cell>
          <cell r="U768">
            <v>45</v>
          </cell>
        </row>
        <row r="769">
          <cell r="E769" t="str">
            <v>D25013631</v>
          </cell>
          <cell r="F769"/>
          <cell r="G769">
            <v>50000000</v>
          </cell>
          <cell r="H769" t="str">
            <v>Hendra</v>
          </cell>
          <cell r="I769" t="str">
            <v>Tiya</v>
          </cell>
          <cell r="J769" t="str">
            <v>New 23/06/20</v>
          </cell>
          <cell r="K769" t="str">
            <v>KU</v>
          </cell>
          <cell r="L769" t="str">
            <v>BABA02</v>
          </cell>
          <cell r="M769" t="str">
            <v>Baba, UD/Suherman</v>
          </cell>
          <cell r="N769" t="str">
            <v>Suherman Maman</v>
          </cell>
          <cell r="O769" t="str">
            <v>Dusun Anggrek, RT.002/RW.001Kel. Tente, Kec. Woha</v>
          </cell>
          <cell r="P769" t="str">
            <v>Bima</v>
          </cell>
          <cell r="Q769" t="str">
            <v>Dusun Anggrek, RT.002/RW.001Kel. Tente, Kec. Woha</v>
          </cell>
          <cell r="R769" t="str">
            <v>Bima</v>
          </cell>
          <cell r="S769" t="str">
            <v>E Luar Pulau1</v>
          </cell>
          <cell r="T769" t="str">
            <v>Muhlisin</v>
          </cell>
          <cell r="U769">
            <v>45</v>
          </cell>
        </row>
        <row r="770">
          <cell r="E770" t="str">
            <v>B25012085</v>
          </cell>
          <cell r="F770"/>
          <cell r="G770">
            <v>50000000</v>
          </cell>
          <cell r="H770" t="str">
            <v>Hendra</v>
          </cell>
          <cell r="I770" t="str">
            <v>Tiya</v>
          </cell>
          <cell r="J770" t="str">
            <v>New 23/06/20</v>
          </cell>
          <cell r="K770" t="str">
            <v>KU</v>
          </cell>
          <cell r="L770" t="str">
            <v>BABA02</v>
          </cell>
          <cell r="M770" t="str">
            <v>Baba, UD/Suherman</v>
          </cell>
          <cell r="N770" t="str">
            <v>Suherman Maman</v>
          </cell>
          <cell r="O770" t="str">
            <v>Dusun Anggrek, RT.002/RW.001Kel. Tente, Kec. Woha</v>
          </cell>
          <cell r="P770" t="str">
            <v>Bima</v>
          </cell>
          <cell r="Q770" t="str">
            <v>Dusun Anggrek, RT.002/RW.001Kel. Tente, Kec. Woha</v>
          </cell>
          <cell r="R770" t="str">
            <v>Bima</v>
          </cell>
          <cell r="S770" t="str">
            <v>E Luar Pulau1</v>
          </cell>
          <cell r="T770" t="str">
            <v>Muhlisin</v>
          </cell>
          <cell r="U770">
            <v>45</v>
          </cell>
        </row>
        <row r="771">
          <cell r="E771" t="str">
            <v>B25012310</v>
          </cell>
          <cell r="F771"/>
          <cell r="G771">
            <v>50000000</v>
          </cell>
          <cell r="H771" t="str">
            <v>Hendra</v>
          </cell>
          <cell r="I771" t="str">
            <v>Tiya</v>
          </cell>
          <cell r="J771" t="str">
            <v>New 23/06/20</v>
          </cell>
          <cell r="K771" t="str">
            <v>KU</v>
          </cell>
          <cell r="L771" t="str">
            <v>BABA02</v>
          </cell>
          <cell r="M771" t="str">
            <v>Baba, UD/Suherman</v>
          </cell>
          <cell r="N771" t="str">
            <v>Suherman Maman</v>
          </cell>
          <cell r="O771" t="str">
            <v>Dusun Anggrek, RT.002/RW.001Kel. Tente, Kec. Woha</v>
          </cell>
          <cell r="P771" t="str">
            <v>Bima</v>
          </cell>
          <cell r="Q771" t="str">
            <v>Dusun Anggrek, RT.002/RW.001Kel. Tente, Kec. Woha</v>
          </cell>
          <cell r="R771" t="str">
            <v>Bima</v>
          </cell>
          <cell r="S771" t="str">
            <v>E Luar Pulau1</v>
          </cell>
          <cell r="T771" t="str">
            <v>Muhlisin</v>
          </cell>
          <cell r="U771">
            <v>45</v>
          </cell>
        </row>
        <row r="772">
          <cell r="E772" t="str">
            <v>B25012752</v>
          </cell>
          <cell r="F772"/>
          <cell r="G772">
            <v>50000000</v>
          </cell>
          <cell r="H772" t="str">
            <v>Hendra</v>
          </cell>
          <cell r="I772" t="str">
            <v>Tiya</v>
          </cell>
          <cell r="J772" t="str">
            <v>New 23/06/20</v>
          </cell>
          <cell r="K772" t="str">
            <v>KU</v>
          </cell>
          <cell r="L772" t="str">
            <v>BABA02</v>
          </cell>
          <cell r="M772" t="str">
            <v>Baba, UD/Suherman</v>
          </cell>
          <cell r="N772" t="str">
            <v>Suherman Maman</v>
          </cell>
          <cell r="O772" t="str">
            <v>Dusun Anggrek, RT.002/RW.001Kel. Tente, Kec. Woha</v>
          </cell>
          <cell r="P772" t="str">
            <v>Bima</v>
          </cell>
          <cell r="Q772" t="str">
            <v>Dusun Anggrek, RT.002/RW.001Kel. Tente, Kec. Woha</v>
          </cell>
          <cell r="R772" t="str">
            <v>Bima</v>
          </cell>
          <cell r="S772" t="str">
            <v>E Luar Pulau1</v>
          </cell>
          <cell r="T772" t="str">
            <v>Muhlisin</v>
          </cell>
          <cell r="U772">
            <v>45</v>
          </cell>
        </row>
        <row r="773">
          <cell r="E773" t="str">
            <v>D25015593</v>
          </cell>
          <cell r="F773"/>
          <cell r="G773">
            <v>50000000</v>
          </cell>
          <cell r="H773" t="str">
            <v>Hendra</v>
          </cell>
          <cell r="I773" t="str">
            <v>Tiya</v>
          </cell>
          <cell r="J773" t="str">
            <v>New 23/06/20</v>
          </cell>
          <cell r="K773" t="str">
            <v>KU</v>
          </cell>
          <cell r="L773" t="str">
            <v>BABA02</v>
          </cell>
          <cell r="M773" t="str">
            <v>Baba, UD/Suherman</v>
          </cell>
          <cell r="N773" t="str">
            <v>Suherman Maman</v>
          </cell>
          <cell r="O773" t="str">
            <v>Dusun Anggrek, RT.002/RW.001Kel. Tente, Kec. Woha</v>
          </cell>
          <cell r="P773" t="str">
            <v>Bima</v>
          </cell>
          <cell r="Q773" t="str">
            <v>Dusun Anggrek, RT.002/RW.001Kel. Tente, Kec. Woha</v>
          </cell>
          <cell r="R773" t="str">
            <v>Bima</v>
          </cell>
          <cell r="S773" t="str">
            <v>E Luar Pulau1</v>
          </cell>
          <cell r="T773" t="str">
            <v>Muhlisin</v>
          </cell>
          <cell r="U773">
            <v>45</v>
          </cell>
        </row>
        <row r="774">
          <cell r="E774" t="str">
            <v>B25011451</v>
          </cell>
          <cell r="F774"/>
          <cell r="G774">
            <v>1000</v>
          </cell>
          <cell r="H774" t="str">
            <v>Yuyun</v>
          </cell>
          <cell r="I774" t="str">
            <v>Syahra</v>
          </cell>
          <cell r="J774" t="str">
            <v>New 15/02/24</v>
          </cell>
          <cell r="K774" t="str">
            <v>KU</v>
          </cell>
          <cell r="L774" t="str">
            <v>BADR02</v>
          </cell>
          <cell r="M774" t="str">
            <v>Badri/BASF</v>
          </cell>
          <cell r="N774" t="str">
            <v>Muhammad Badry Wijaya</v>
          </cell>
          <cell r="O774" t="str">
            <v>Dusun Kemuning Lor RT.001/RW.004, Kel. Kemuning Sari Lor, Kec. Panti</v>
          </cell>
          <cell r="P774" t="str">
            <v>Jember</v>
          </cell>
          <cell r="Q774" t="str">
            <v>Dusun Kemuning Lor RT.001/RW.004, Kel. Kemuning Sari Lor, Kec. Panti</v>
          </cell>
          <cell r="R774" t="str">
            <v>Jember</v>
          </cell>
          <cell r="S774" t="str">
            <v>B Agronomis</v>
          </cell>
          <cell r="T774" t="str">
            <v>Wira</v>
          </cell>
          <cell r="U774">
            <v>30</v>
          </cell>
        </row>
        <row r="775">
          <cell r="E775" t="str">
            <v>B25010245</v>
          </cell>
          <cell r="F775"/>
          <cell r="G775">
            <v>30000000</v>
          </cell>
          <cell r="H775" t="str">
            <v>Hendra</v>
          </cell>
          <cell r="I775" t="str">
            <v>Tiya</v>
          </cell>
          <cell r="J775" t="str">
            <v>New 08/01/20</v>
          </cell>
          <cell r="K775" t="str">
            <v>KU</v>
          </cell>
          <cell r="L775" t="str">
            <v>BAGU03</v>
          </cell>
          <cell r="M775" t="str">
            <v>Bagus Rizki, UD</v>
          </cell>
          <cell r="N775" t="str">
            <v>R. Asep Han Han Gustian</v>
          </cell>
          <cell r="O775" t="str">
            <v>Mengar (20 Meter Depan SMA 1 Pujut) Sengkol, Pujut, Kab. Lobok - NTB</v>
          </cell>
          <cell r="P775" t="str">
            <v>Lombok</v>
          </cell>
          <cell r="Q775" t="str">
            <v>Mengar (20 Meter Depan SMA 1 Pujut) Sengkol, Pujut, Kab. Lobok - NTB</v>
          </cell>
          <cell r="R775" t="str">
            <v>Lombok</v>
          </cell>
          <cell r="S775" t="str">
            <v>E Luar Pulau1</v>
          </cell>
          <cell r="T775" t="str">
            <v>Muhlisin</v>
          </cell>
          <cell r="U775">
            <v>45</v>
          </cell>
        </row>
        <row r="776">
          <cell r="E776" t="str">
            <v>B25010246</v>
          </cell>
          <cell r="F776"/>
          <cell r="G776">
            <v>30000000</v>
          </cell>
          <cell r="H776" t="str">
            <v>Hendra</v>
          </cell>
          <cell r="I776" t="str">
            <v>Tiya</v>
          </cell>
          <cell r="J776" t="str">
            <v>New 08/01/20</v>
          </cell>
          <cell r="K776" t="str">
            <v>KU</v>
          </cell>
          <cell r="L776" t="str">
            <v>BAGU03</v>
          </cell>
          <cell r="M776" t="str">
            <v>Bagus Rizki, UD</v>
          </cell>
          <cell r="N776" t="str">
            <v>R. Asep Han Han Gustian</v>
          </cell>
          <cell r="O776" t="str">
            <v>Mengar (20 Meter Depan SMA 1 Pujut) Sengkol, Pujut, Kab. Lobok - NTB</v>
          </cell>
          <cell r="P776" t="str">
            <v>Lombok</v>
          </cell>
          <cell r="Q776" t="str">
            <v>Mengar (20 Meter Depan SMA 1 Pujut) Sengkol, Pujut, Kab. Lobok - NTB</v>
          </cell>
          <cell r="R776" t="str">
            <v>Lombok</v>
          </cell>
          <cell r="S776" t="str">
            <v>E Luar Pulau1</v>
          </cell>
          <cell r="T776" t="str">
            <v>Muhlisin</v>
          </cell>
          <cell r="U776">
            <v>45</v>
          </cell>
        </row>
        <row r="777">
          <cell r="E777" t="str">
            <v>D25014987</v>
          </cell>
          <cell r="F777"/>
          <cell r="G777">
            <v>1000</v>
          </cell>
          <cell r="H777" t="str">
            <v>Zakia</v>
          </cell>
          <cell r="I777" t="str">
            <v>Tiya</v>
          </cell>
          <cell r="J777" t="str">
            <v>New 29/05/23</v>
          </cell>
          <cell r="K777" t="str">
            <v>KU</v>
          </cell>
          <cell r="L777" t="str">
            <v>BAGU07</v>
          </cell>
          <cell r="M777" t="str">
            <v>Bagus Tani/I Putu Juniarsa</v>
          </cell>
          <cell r="N777" t="str">
            <v>I Putu Juniarsa</v>
          </cell>
          <cell r="O777" t="str">
            <v>Banjar Dinas Sari, Kel. Bungkulan, Kec. Sawan</v>
          </cell>
          <cell r="P777" t="str">
            <v>Buleleng - Bali</v>
          </cell>
          <cell r="Q777" t="str">
            <v>Jl. Raya Bungkulan, Kec. Sawan</v>
          </cell>
          <cell r="R777" t="str">
            <v>Buleleng - Bali</v>
          </cell>
          <cell r="S777" t="str">
            <v>S Bali1</v>
          </cell>
          <cell r="T777" t="str">
            <v>Wira</v>
          </cell>
          <cell r="U777">
            <v>0</v>
          </cell>
        </row>
        <row r="778">
          <cell r="E778" t="str">
            <v>D25014987</v>
          </cell>
          <cell r="F778"/>
          <cell r="G778">
            <v>1000</v>
          </cell>
          <cell r="H778" t="str">
            <v>Zakia</v>
          </cell>
          <cell r="I778" t="str">
            <v>Tiya</v>
          </cell>
          <cell r="J778" t="str">
            <v>New 29/05/23</v>
          </cell>
          <cell r="K778" t="str">
            <v>KU</v>
          </cell>
          <cell r="L778" t="str">
            <v>BAGU07</v>
          </cell>
          <cell r="M778" t="str">
            <v>Bagus Tani/I Putu Juniarsa</v>
          </cell>
          <cell r="N778" t="str">
            <v>I Putu Juniarsa</v>
          </cell>
          <cell r="O778" t="str">
            <v>Banjar Dinas Sari, Kel. Bungkulan, Kec. Sawan</v>
          </cell>
          <cell r="P778" t="str">
            <v>Buleleng - Bali</v>
          </cell>
          <cell r="Q778" t="str">
            <v>Jl. Raya Bungkulan, Kec. Sawan</v>
          </cell>
          <cell r="R778" t="str">
            <v>Buleleng - Bali</v>
          </cell>
          <cell r="S778" t="str">
            <v>S Bali1</v>
          </cell>
          <cell r="T778" t="str">
            <v>Wira</v>
          </cell>
          <cell r="U778">
            <v>0</v>
          </cell>
        </row>
        <row r="779">
          <cell r="E779" t="str">
            <v>D25015055</v>
          </cell>
          <cell r="F779"/>
          <cell r="G779">
            <v>1000</v>
          </cell>
          <cell r="H779" t="str">
            <v>Zakia</v>
          </cell>
          <cell r="I779" t="str">
            <v>Tiya</v>
          </cell>
          <cell r="J779" t="str">
            <v>New 29/05/23</v>
          </cell>
          <cell r="K779" t="str">
            <v>KU</v>
          </cell>
          <cell r="L779" t="str">
            <v>BAGU07</v>
          </cell>
          <cell r="M779" t="str">
            <v>Bagus Tani/I Putu Juniarsa</v>
          </cell>
          <cell r="N779" t="str">
            <v>I Putu Juniarsa</v>
          </cell>
          <cell r="O779" t="str">
            <v>Banjar Dinas Sari, Kel. Bungkulan, Kec. Sawan</v>
          </cell>
          <cell r="P779" t="str">
            <v>Buleleng - Bali</v>
          </cell>
          <cell r="Q779" t="str">
            <v>Jl. Raya Bungkulan, Kec. Sawan</v>
          </cell>
          <cell r="R779" t="str">
            <v>Buleleng - Bali</v>
          </cell>
          <cell r="S779" t="str">
            <v>S Bali1</v>
          </cell>
          <cell r="T779" t="str">
            <v>Wira</v>
          </cell>
          <cell r="U779">
            <v>0</v>
          </cell>
        </row>
        <row r="780">
          <cell r="E780" t="str">
            <v>D25015055</v>
          </cell>
          <cell r="F780"/>
          <cell r="G780">
            <v>1000</v>
          </cell>
          <cell r="H780" t="str">
            <v>Zakia</v>
          </cell>
          <cell r="I780" t="str">
            <v>Tiya</v>
          </cell>
          <cell r="J780" t="str">
            <v>New 29/05/23</v>
          </cell>
          <cell r="K780" t="str">
            <v>KU</v>
          </cell>
          <cell r="L780" t="str">
            <v>BAGU07</v>
          </cell>
          <cell r="M780" t="str">
            <v>Bagus Tani/I Putu Juniarsa</v>
          </cell>
          <cell r="N780" t="str">
            <v>I Putu Juniarsa</v>
          </cell>
          <cell r="O780" t="str">
            <v>Banjar Dinas Sari, Kel. Bungkulan, Kec. Sawan</v>
          </cell>
          <cell r="P780" t="str">
            <v>Buleleng - Bali</v>
          </cell>
          <cell r="Q780" t="str">
            <v>Jl. Raya Bungkulan, Kec. Sawan</v>
          </cell>
          <cell r="R780" t="str">
            <v>Buleleng - Bali</v>
          </cell>
          <cell r="S780" t="str">
            <v>S Bali1</v>
          </cell>
          <cell r="T780" t="str">
            <v>Wira</v>
          </cell>
          <cell r="U780">
            <v>0</v>
          </cell>
        </row>
        <row r="781">
          <cell r="E781" t="str">
            <v>D25015495</v>
          </cell>
          <cell r="F781"/>
          <cell r="G781">
            <v>1000</v>
          </cell>
          <cell r="H781" t="str">
            <v>Zakia</v>
          </cell>
          <cell r="I781" t="str">
            <v>Tiya</v>
          </cell>
          <cell r="J781" t="str">
            <v>New 29/05/23</v>
          </cell>
          <cell r="K781" t="str">
            <v>KU</v>
          </cell>
          <cell r="L781" t="str">
            <v>BAGU07</v>
          </cell>
          <cell r="M781" t="str">
            <v>Bagus Tani/I Putu Juniarsa</v>
          </cell>
          <cell r="N781" t="str">
            <v>I Putu Juniarsa</v>
          </cell>
          <cell r="O781" t="str">
            <v>Banjar Dinas Sari, Kel. Bungkulan, Kec. Sawan</v>
          </cell>
          <cell r="P781" t="str">
            <v>Buleleng - Bali</v>
          </cell>
          <cell r="Q781" t="str">
            <v>Jl. Raya Bungkulan, Kec. Sawan</v>
          </cell>
          <cell r="R781" t="str">
            <v>Buleleng - Bali</v>
          </cell>
          <cell r="S781" t="str">
            <v>S Bali1</v>
          </cell>
          <cell r="T781" t="str">
            <v>Wira</v>
          </cell>
          <cell r="U781">
            <v>0</v>
          </cell>
        </row>
        <row r="782">
          <cell r="E782" t="str">
            <v>D25015496</v>
          </cell>
          <cell r="F782"/>
          <cell r="G782">
            <v>1000</v>
          </cell>
          <cell r="H782" t="str">
            <v>Zakia</v>
          </cell>
          <cell r="I782" t="str">
            <v>Tiya</v>
          </cell>
          <cell r="J782" t="str">
            <v>New 29/05/23</v>
          </cell>
          <cell r="K782" t="str">
            <v>KU</v>
          </cell>
          <cell r="L782" t="str">
            <v>BAGU07</v>
          </cell>
          <cell r="M782" t="str">
            <v>Bagus Tani/I Putu Juniarsa</v>
          </cell>
          <cell r="N782" t="str">
            <v>I Putu Juniarsa</v>
          </cell>
          <cell r="O782" t="str">
            <v>Banjar Dinas Sari, Kel. Bungkulan, Kec. Sawan</v>
          </cell>
          <cell r="P782" t="str">
            <v>Buleleng - Bali</v>
          </cell>
          <cell r="Q782" t="str">
            <v>Jl. Raya Bungkulan, Kec. Sawan</v>
          </cell>
          <cell r="R782" t="str">
            <v>Buleleng - Bali</v>
          </cell>
          <cell r="S782" t="str">
            <v>S Bali1</v>
          </cell>
          <cell r="T782" t="str">
            <v>Wira</v>
          </cell>
          <cell r="U782">
            <v>0</v>
          </cell>
        </row>
        <row r="783">
          <cell r="E783" t="str">
            <v>D25016234</v>
          </cell>
          <cell r="F783"/>
          <cell r="G783">
            <v>1000</v>
          </cell>
          <cell r="H783" t="str">
            <v>Hendra</v>
          </cell>
          <cell r="I783" t="str">
            <v>Tiya</v>
          </cell>
          <cell r="J783" t="str">
            <v>New 29/10/25</v>
          </cell>
          <cell r="K783" t="str">
            <v>KU</v>
          </cell>
          <cell r="L783" t="str">
            <v>BAHT03</v>
          </cell>
          <cell r="M783" t="str">
            <v>Bahtera Boniaga Lestari</v>
          </cell>
          <cell r="N783" t="str">
            <v>Bahtera Boniaga Lestari</v>
          </cell>
          <cell r="O783" t="str">
            <v>Jl Helvetia Raya no. 38 RT.000/RW.000, Helvetia Tengah, Medan Helvetia</v>
          </cell>
          <cell r="P783" t="str">
            <v>Medan</v>
          </cell>
          <cell r="Q783" t="str">
            <v>Jl Helvetia Raya no. 38 RT.000/RW.000, Helvetia Tengah, Medan Helvetia</v>
          </cell>
          <cell r="R783" t="str">
            <v>Medan</v>
          </cell>
          <cell r="S783" t="str">
            <v>E Luar Pulau1</v>
          </cell>
          <cell r="T783" t="str">
            <v>Non SE &amp; JSE</v>
          </cell>
          <cell r="U783">
            <v>15</v>
          </cell>
        </row>
        <row r="784">
          <cell r="E784" t="str">
            <v>D25012210</v>
          </cell>
          <cell r="F784"/>
          <cell r="G784">
            <v>15000000</v>
          </cell>
          <cell r="H784" t="str">
            <v>Reni</v>
          </cell>
          <cell r="I784" t="str">
            <v>Fira</v>
          </cell>
          <cell r="J784"/>
          <cell r="K784" t="str">
            <v>KU, Tunai</v>
          </cell>
          <cell r="L784" t="str">
            <v>BAKO01</v>
          </cell>
          <cell r="M784" t="str">
            <v>Bakoel Tani/Dayen</v>
          </cell>
          <cell r="N784" t="str">
            <v>Adriana Handyani Teks. S. PSI</v>
          </cell>
          <cell r="O784" t="str">
            <v>Manukan Rejo VIII Blok.4-i/7, RT.006/RW.006 Kel. Manukan Kulon, Kec. Tandes</v>
          </cell>
          <cell r="P784" t="str">
            <v>Surabaya</v>
          </cell>
          <cell r="Q784" t="str">
            <v>Ds. Mloko Sarirejo Sebelah Barat Polsek Sarirejo</v>
          </cell>
          <cell r="R784" t="str">
            <v>Lamongan</v>
          </cell>
          <cell r="S784" t="str">
            <v>F Utara1</v>
          </cell>
          <cell r="T784" t="str">
            <v>Dian</v>
          </cell>
          <cell r="U784">
            <v>60</v>
          </cell>
        </row>
        <row r="785">
          <cell r="E785" t="str">
            <v>B25011957</v>
          </cell>
          <cell r="F785"/>
          <cell r="G785">
            <v>500000000</v>
          </cell>
          <cell r="H785" t="str">
            <v>Ariyani</v>
          </cell>
          <cell r="I785" t="str">
            <v>Fira</v>
          </cell>
          <cell r="J785"/>
          <cell r="K785" t="str">
            <v>KU, Tunai</v>
          </cell>
          <cell r="L785" t="str">
            <v>BAKT03</v>
          </cell>
          <cell r="M785" t="str">
            <v>Bakti/Soekamto</v>
          </cell>
          <cell r="N785" t="str">
            <v>Soekamto</v>
          </cell>
          <cell r="O785" t="str">
            <v>Raya PB. Sudirman No. 357</v>
          </cell>
          <cell r="P785" t="str">
            <v>Probolinggo</v>
          </cell>
          <cell r="Q785" t="str">
            <v>Raya PB. Sudirman No. 357</v>
          </cell>
          <cell r="R785" t="str">
            <v>Probolinggo</v>
          </cell>
          <cell r="S785" t="str">
            <v>G Prob1</v>
          </cell>
          <cell r="T785" t="str">
            <v>Wira</v>
          </cell>
          <cell r="U785">
            <v>0</v>
          </cell>
        </row>
        <row r="786">
          <cell r="E786">
            <v>250111</v>
          </cell>
          <cell r="F786"/>
          <cell r="G786">
            <v>500000000</v>
          </cell>
          <cell r="H786" t="str">
            <v>Ariyani</v>
          </cell>
          <cell r="I786" t="str">
            <v>Fira</v>
          </cell>
          <cell r="J786"/>
          <cell r="K786" t="str">
            <v>KU, Tunai</v>
          </cell>
          <cell r="L786" t="str">
            <v>BAKT03</v>
          </cell>
          <cell r="M786" t="str">
            <v>Bakti/Soekamto</v>
          </cell>
          <cell r="N786" t="str">
            <v>Soekamto</v>
          </cell>
          <cell r="O786" t="str">
            <v>Raya PB. Sudirman No. 357</v>
          </cell>
          <cell r="P786" t="str">
            <v>Probolinggo</v>
          </cell>
          <cell r="Q786" t="str">
            <v>Raya PB. Sudirman No. 357</v>
          </cell>
          <cell r="R786" t="str">
            <v>Probolinggo</v>
          </cell>
          <cell r="S786" t="str">
            <v>G Prob1</v>
          </cell>
          <cell r="T786" t="str">
            <v>Wira</v>
          </cell>
          <cell r="U786">
            <v>0</v>
          </cell>
        </row>
        <row r="787">
          <cell r="E787" t="str">
            <v>Z25002519</v>
          </cell>
          <cell r="F787"/>
          <cell r="G787">
            <v>500000000</v>
          </cell>
          <cell r="H787" t="str">
            <v>Ariyani</v>
          </cell>
          <cell r="I787" t="str">
            <v>Fira</v>
          </cell>
          <cell r="J787"/>
          <cell r="K787" t="str">
            <v>KU, Tunai</v>
          </cell>
          <cell r="L787" t="str">
            <v>BAKT03</v>
          </cell>
          <cell r="M787" t="str">
            <v>Bakti/Soekamto</v>
          </cell>
          <cell r="N787" t="str">
            <v>Soekamto</v>
          </cell>
          <cell r="O787" t="str">
            <v>Raya PB. Sudirman No. 357</v>
          </cell>
          <cell r="P787" t="str">
            <v>Probolinggo</v>
          </cell>
          <cell r="Q787" t="str">
            <v>Raya PB. Sudirman No. 357</v>
          </cell>
          <cell r="R787" t="str">
            <v>Probolinggo</v>
          </cell>
          <cell r="S787" t="str">
            <v>G Prob1</v>
          </cell>
          <cell r="T787" t="str">
            <v>Wira</v>
          </cell>
          <cell r="U787">
            <v>30</v>
          </cell>
        </row>
        <row r="788">
          <cell r="E788" t="str">
            <v>B25012757</v>
          </cell>
          <cell r="F788"/>
          <cell r="G788">
            <v>500000000</v>
          </cell>
          <cell r="H788" t="str">
            <v>Ariyani</v>
          </cell>
          <cell r="I788" t="str">
            <v>Fira</v>
          </cell>
          <cell r="J788"/>
          <cell r="K788" t="str">
            <v>KU, Tunai</v>
          </cell>
          <cell r="L788" t="str">
            <v>BAKT03</v>
          </cell>
          <cell r="M788" t="str">
            <v>Bakti/Soekamto</v>
          </cell>
          <cell r="N788" t="str">
            <v>Soekamto</v>
          </cell>
          <cell r="O788" t="str">
            <v>Raya PB. Sudirman No. 357</v>
          </cell>
          <cell r="P788" t="str">
            <v>Probolinggo</v>
          </cell>
          <cell r="Q788" t="str">
            <v>Raya PB. Sudirman No. 357</v>
          </cell>
          <cell r="R788" t="str">
            <v>Probolinggo</v>
          </cell>
          <cell r="S788" t="str">
            <v>G Prob1</v>
          </cell>
          <cell r="T788" t="str">
            <v>Wira</v>
          </cell>
          <cell r="U788">
            <v>0</v>
          </cell>
        </row>
        <row r="789">
          <cell r="E789" t="str">
            <v>D25009464</v>
          </cell>
          <cell r="F789"/>
          <cell r="G789">
            <v>250000000</v>
          </cell>
          <cell r="H789" t="str">
            <v>Reni</v>
          </cell>
          <cell r="I789" t="str">
            <v>Fira</v>
          </cell>
          <cell r="J789"/>
          <cell r="K789" t="str">
            <v>KU</v>
          </cell>
          <cell r="L789" t="str">
            <v>BALE01</v>
          </cell>
          <cell r="M789" t="str">
            <v>Balen Rejo</v>
          </cell>
          <cell r="N789" t="str">
            <v>Mashuda</v>
          </cell>
          <cell r="O789" t="str">
            <v>Ds. Kemamang, Kec. Balen</v>
          </cell>
          <cell r="P789" t="str">
            <v>Bojonegoro</v>
          </cell>
          <cell r="Q789" t="str">
            <v>Ds. Kemamang, Kec. Balen</v>
          </cell>
          <cell r="R789" t="str">
            <v>Bojonegoro</v>
          </cell>
          <cell r="S789" t="str">
            <v>F Utara1</v>
          </cell>
          <cell r="T789" t="str">
            <v>Dian</v>
          </cell>
          <cell r="U789">
            <v>60</v>
          </cell>
        </row>
        <row r="790">
          <cell r="E790" t="str">
            <v>B25008954</v>
          </cell>
          <cell r="F790"/>
          <cell r="G790">
            <v>250000000</v>
          </cell>
          <cell r="H790" t="str">
            <v>Reni</v>
          </cell>
          <cell r="I790" t="str">
            <v>Fira</v>
          </cell>
          <cell r="J790"/>
          <cell r="K790" t="str">
            <v>KU</v>
          </cell>
          <cell r="L790" t="str">
            <v>BALE01</v>
          </cell>
          <cell r="M790" t="str">
            <v>Balen Rejo</v>
          </cell>
          <cell r="N790" t="str">
            <v>Mashuda</v>
          </cell>
          <cell r="O790" t="str">
            <v>Ds. Kemamang, Kec. Balen</v>
          </cell>
          <cell r="P790" t="str">
            <v>Bojonegoro</v>
          </cell>
          <cell r="Q790" t="str">
            <v>Ds. Kemamang, Kec. Balen</v>
          </cell>
          <cell r="R790" t="str">
            <v>Bojonegoro</v>
          </cell>
          <cell r="S790" t="str">
            <v>F Utara1</v>
          </cell>
          <cell r="T790" t="str">
            <v>Dian</v>
          </cell>
          <cell r="U790">
            <v>60</v>
          </cell>
        </row>
        <row r="791">
          <cell r="E791" t="str">
            <v>D25011111</v>
          </cell>
          <cell r="F791"/>
          <cell r="G791">
            <v>250000000</v>
          </cell>
          <cell r="H791" t="str">
            <v>Reni</v>
          </cell>
          <cell r="I791" t="str">
            <v>Fira</v>
          </cell>
          <cell r="J791"/>
          <cell r="K791" t="str">
            <v>KU</v>
          </cell>
          <cell r="L791" t="str">
            <v>BALE01</v>
          </cell>
          <cell r="M791" t="str">
            <v>Balen Rejo</v>
          </cell>
          <cell r="N791" t="str">
            <v>Mashuda</v>
          </cell>
          <cell r="O791" t="str">
            <v>Ds. Kemamang, Kec. Balen</v>
          </cell>
          <cell r="P791" t="str">
            <v>Bojonegoro</v>
          </cell>
          <cell r="Q791" t="str">
            <v>Ds. Kemamang, Kec. Balen</v>
          </cell>
          <cell r="R791" t="str">
            <v>Bojonegoro</v>
          </cell>
          <cell r="S791" t="str">
            <v>F Utara1</v>
          </cell>
          <cell r="T791" t="str">
            <v>Dian</v>
          </cell>
          <cell r="U791">
            <v>30</v>
          </cell>
        </row>
        <row r="792">
          <cell r="E792" t="str">
            <v>D25011131</v>
          </cell>
          <cell r="F792"/>
          <cell r="G792">
            <v>250000000</v>
          </cell>
          <cell r="H792" t="str">
            <v>Reni</v>
          </cell>
          <cell r="I792" t="str">
            <v>Fira</v>
          </cell>
          <cell r="J792"/>
          <cell r="K792" t="str">
            <v>KU</v>
          </cell>
          <cell r="L792" t="str">
            <v>BALE01</v>
          </cell>
          <cell r="M792" t="str">
            <v>Balen Rejo</v>
          </cell>
          <cell r="N792" t="str">
            <v>Mashuda</v>
          </cell>
          <cell r="O792" t="str">
            <v>Ds. Kemamang, Kec. Balen</v>
          </cell>
          <cell r="P792" t="str">
            <v>Bojonegoro</v>
          </cell>
          <cell r="Q792" t="str">
            <v>Ds. Kemamang, Kec. Balen</v>
          </cell>
          <cell r="R792" t="str">
            <v>Bojonegoro</v>
          </cell>
          <cell r="S792" t="str">
            <v>F Utara1</v>
          </cell>
          <cell r="T792" t="str">
            <v>Dian</v>
          </cell>
          <cell r="U792">
            <v>30</v>
          </cell>
        </row>
        <row r="793">
          <cell r="E793" t="str">
            <v>D25011131</v>
          </cell>
          <cell r="F793"/>
          <cell r="G793">
            <v>250000000</v>
          </cell>
          <cell r="H793" t="str">
            <v>Reni</v>
          </cell>
          <cell r="I793" t="str">
            <v>Fira</v>
          </cell>
          <cell r="J793"/>
          <cell r="K793" t="str">
            <v>KU</v>
          </cell>
          <cell r="L793" t="str">
            <v>BALE01</v>
          </cell>
          <cell r="M793" t="str">
            <v>Balen Rejo</v>
          </cell>
          <cell r="N793" t="str">
            <v>Mashuda</v>
          </cell>
          <cell r="O793" t="str">
            <v>Ds. Kemamang, Kec. Balen</v>
          </cell>
          <cell r="P793" t="str">
            <v>Bojonegoro</v>
          </cell>
          <cell r="Q793" t="str">
            <v>Ds. Kemamang, Kec. Balen</v>
          </cell>
          <cell r="R793" t="str">
            <v>Bojonegoro</v>
          </cell>
          <cell r="S793" t="str">
            <v>F Utara1</v>
          </cell>
          <cell r="T793" t="str">
            <v>Dian</v>
          </cell>
          <cell r="U793">
            <v>30</v>
          </cell>
        </row>
        <row r="794">
          <cell r="E794" t="str">
            <v>D25011131</v>
          </cell>
          <cell r="F794"/>
          <cell r="G794">
            <v>250000000</v>
          </cell>
          <cell r="H794" t="str">
            <v>Reni</v>
          </cell>
          <cell r="I794" t="str">
            <v>Fira</v>
          </cell>
          <cell r="J794"/>
          <cell r="K794" t="str">
            <v>KU</v>
          </cell>
          <cell r="L794" t="str">
            <v>BALE01</v>
          </cell>
          <cell r="M794" t="str">
            <v>Balen Rejo</v>
          </cell>
          <cell r="N794" t="str">
            <v>Mashuda</v>
          </cell>
          <cell r="O794" t="str">
            <v>Ds. Kemamang, Kec. Balen</v>
          </cell>
          <cell r="P794" t="str">
            <v>Bojonegoro</v>
          </cell>
          <cell r="Q794" t="str">
            <v>Ds. Kemamang, Kec. Balen</v>
          </cell>
          <cell r="R794" t="str">
            <v>Bojonegoro</v>
          </cell>
          <cell r="S794" t="str">
            <v>F Utara1</v>
          </cell>
          <cell r="T794" t="str">
            <v>Dian</v>
          </cell>
          <cell r="U794">
            <v>30</v>
          </cell>
        </row>
        <row r="795">
          <cell r="E795" t="str">
            <v>B25009943</v>
          </cell>
          <cell r="F795"/>
          <cell r="G795">
            <v>250000000</v>
          </cell>
          <cell r="H795" t="str">
            <v>Reni</v>
          </cell>
          <cell r="I795" t="str">
            <v>Fira</v>
          </cell>
          <cell r="J795"/>
          <cell r="K795" t="str">
            <v>KU</v>
          </cell>
          <cell r="L795" t="str">
            <v>BALE01</v>
          </cell>
          <cell r="M795" t="str">
            <v>Balen Rejo</v>
          </cell>
          <cell r="N795" t="str">
            <v>Mashuda</v>
          </cell>
          <cell r="O795" t="str">
            <v>Ds. Kemamang, Kec. Balen</v>
          </cell>
          <cell r="P795" t="str">
            <v>Bojonegoro</v>
          </cell>
          <cell r="Q795" t="str">
            <v>Ds. Kemamang, Kec. Balen</v>
          </cell>
          <cell r="R795" t="str">
            <v>Bojonegoro</v>
          </cell>
          <cell r="S795" t="str">
            <v>F Utara1</v>
          </cell>
          <cell r="T795" t="str">
            <v>Dian</v>
          </cell>
          <cell r="U795">
            <v>60</v>
          </cell>
        </row>
        <row r="796">
          <cell r="E796" t="str">
            <v>B25009947</v>
          </cell>
          <cell r="F796"/>
          <cell r="G796">
            <v>250000000</v>
          </cell>
          <cell r="H796" t="str">
            <v>Reni</v>
          </cell>
          <cell r="I796" t="str">
            <v>Fira</v>
          </cell>
          <cell r="J796"/>
          <cell r="K796" t="str">
            <v>KU</v>
          </cell>
          <cell r="L796" t="str">
            <v>BALE01</v>
          </cell>
          <cell r="M796" t="str">
            <v>Balen Rejo</v>
          </cell>
          <cell r="N796" t="str">
            <v>Mashuda</v>
          </cell>
          <cell r="O796" t="str">
            <v>Ds. Kemamang, Kec. Balen</v>
          </cell>
          <cell r="P796" t="str">
            <v>Bojonegoro</v>
          </cell>
          <cell r="Q796" t="str">
            <v>Ds. Kemamang, Kec. Balen</v>
          </cell>
          <cell r="R796" t="str">
            <v>Bojonegoro</v>
          </cell>
          <cell r="S796" t="str">
            <v>F Utara1</v>
          </cell>
          <cell r="T796" t="str">
            <v>Dian</v>
          </cell>
          <cell r="U796">
            <v>60</v>
          </cell>
        </row>
        <row r="797">
          <cell r="E797" t="str">
            <v>D25013149</v>
          </cell>
          <cell r="F797"/>
          <cell r="G797">
            <v>250000000</v>
          </cell>
          <cell r="H797" t="str">
            <v>Reni</v>
          </cell>
          <cell r="I797" t="str">
            <v>Fira</v>
          </cell>
          <cell r="J797"/>
          <cell r="K797" t="str">
            <v>KU</v>
          </cell>
          <cell r="L797" t="str">
            <v>BALE01</v>
          </cell>
          <cell r="M797" t="str">
            <v>Balen Rejo</v>
          </cell>
          <cell r="N797" t="str">
            <v>Mashuda</v>
          </cell>
          <cell r="O797" t="str">
            <v>Ds. Kemamang, Kec. Balen</v>
          </cell>
          <cell r="P797" t="str">
            <v>Bojonegoro</v>
          </cell>
          <cell r="Q797" t="str">
            <v>Ds. Kemamang, Kec. Balen</v>
          </cell>
          <cell r="R797" t="str">
            <v>Bojonegoro</v>
          </cell>
          <cell r="S797" t="str">
            <v>F Utara1</v>
          </cell>
          <cell r="T797" t="str">
            <v>Dian</v>
          </cell>
          <cell r="U797">
            <v>60</v>
          </cell>
        </row>
        <row r="798">
          <cell r="E798" t="str">
            <v>D25014208</v>
          </cell>
          <cell r="F798"/>
          <cell r="G798">
            <v>250000000</v>
          </cell>
          <cell r="H798" t="str">
            <v>Reni</v>
          </cell>
          <cell r="I798" t="str">
            <v>Fira</v>
          </cell>
          <cell r="J798"/>
          <cell r="K798" t="str">
            <v>KU</v>
          </cell>
          <cell r="L798" t="str">
            <v>BALE01</v>
          </cell>
          <cell r="M798" t="str">
            <v>Balen Rejo</v>
          </cell>
          <cell r="N798" t="str">
            <v>Mashuda</v>
          </cell>
          <cell r="O798" t="str">
            <v>Ds. Kemamang, Kec. Balen</v>
          </cell>
          <cell r="P798" t="str">
            <v>Bojonegoro</v>
          </cell>
          <cell r="Q798" t="str">
            <v>Ds. Kemamang, Kec. Balen</v>
          </cell>
          <cell r="R798" t="str">
            <v>Bojonegoro</v>
          </cell>
          <cell r="S798" t="str">
            <v>F Utara1</v>
          </cell>
          <cell r="T798" t="str">
            <v>Dian</v>
          </cell>
          <cell r="U798">
            <v>60</v>
          </cell>
        </row>
        <row r="799">
          <cell r="E799" t="str">
            <v>B25012137</v>
          </cell>
          <cell r="F799"/>
          <cell r="G799">
            <v>250000000</v>
          </cell>
          <cell r="H799" t="str">
            <v>Reni</v>
          </cell>
          <cell r="I799" t="str">
            <v>Fira</v>
          </cell>
          <cell r="J799"/>
          <cell r="K799" t="str">
            <v>KU</v>
          </cell>
          <cell r="L799" t="str">
            <v>BALE01</v>
          </cell>
          <cell r="M799" t="str">
            <v>Balen Rejo</v>
          </cell>
          <cell r="N799" t="str">
            <v>Mashuda</v>
          </cell>
          <cell r="O799" t="str">
            <v>Ds. Kemamang, Kec. Balen</v>
          </cell>
          <cell r="P799" t="str">
            <v>Bojonegoro</v>
          </cell>
          <cell r="Q799" t="str">
            <v>Ds. Kemamang, Kec. Balen</v>
          </cell>
          <cell r="R799" t="str">
            <v>Bojonegoro</v>
          </cell>
          <cell r="S799" t="str">
            <v>F Utara1</v>
          </cell>
          <cell r="T799" t="str">
            <v>Dian</v>
          </cell>
          <cell r="U799">
            <v>60</v>
          </cell>
        </row>
        <row r="800">
          <cell r="E800" t="str">
            <v>B25012209</v>
          </cell>
          <cell r="F800"/>
          <cell r="G800">
            <v>250000000</v>
          </cell>
          <cell r="H800" t="str">
            <v>Reni</v>
          </cell>
          <cell r="I800" t="str">
            <v>Fira</v>
          </cell>
          <cell r="J800"/>
          <cell r="K800" t="str">
            <v>KU</v>
          </cell>
          <cell r="L800" t="str">
            <v>BALE01</v>
          </cell>
          <cell r="M800" t="str">
            <v>Balen Rejo</v>
          </cell>
          <cell r="N800" t="str">
            <v>Mashuda</v>
          </cell>
          <cell r="O800" t="str">
            <v>Ds. Kemamang, Kec. Balen</v>
          </cell>
          <cell r="P800" t="str">
            <v>Bojonegoro</v>
          </cell>
          <cell r="Q800" t="str">
            <v>Ds. Kemamang, Kec. Balen</v>
          </cell>
          <cell r="R800" t="str">
            <v>Bojonegoro</v>
          </cell>
          <cell r="S800" t="str">
            <v>F Utara1</v>
          </cell>
          <cell r="T800" t="str">
            <v>Dian</v>
          </cell>
          <cell r="U800">
            <v>60</v>
          </cell>
        </row>
        <row r="801">
          <cell r="E801" t="str">
            <v>D25015620</v>
          </cell>
          <cell r="F801"/>
          <cell r="G801">
            <v>250000000</v>
          </cell>
          <cell r="H801" t="str">
            <v>Reni</v>
          </cell>
          <cell r="I801" t="str">
            <v>Fira</v>
          </cell>
          <cell r="J801"/>
          <cell r="K801" t="str">
            <v>KU</v>
          </cell>
          <cell r="L801" t="str">
            <v>BALE01</v>
          </cell>
          <cell r="M801" t="str">
            <v>Balen Rejo</v>
          </cell>
          <cell r="N801" t="str">
            <v>Mashuda</v>
          </cell>
          <cell r="O801" t="str">
            <v>Ds. Kemamang, Kec. Balen</v>
          </cell>
          <cell r="P801" t="str">
            <v>Bojonegoro</v>
          </cell>
          <cell r="Q801" t="str">
            <v>Ds. Kemamang, Kec. Balen</v>
          </cell>
          <cell r="R801" t="str">
            <v>Bojonegoro</v>
          </cell>
          <cell r="S801" t="str">
            <v>F Utara1</v>
          </cell>
          <cell r="T801" t="str">
            <v>Dian</v>
          </cell>
          <cell r="U801">
            <v>30</v>
          </cell>
        </row>
        <row r="802">
          <cell r="E802" t="str">
            <v>B25014059</v>
          </cell>
          <cell r="F802"/>
          <cell r="G802">
            <v>250000000</v>
          </cell>
          <cell r="H802" t="str">
            <v>Reni</v>
          </cell>
          <cell r="I802" t="str">
            <v>Fira</v>
          </cell>
          <cell r="J802"/>
          <cell r="K802" t="str">
            <v>KU</v>
          </cell>
          <cell r="L802" t="str">
            <v>BALE01</v>
          </cell>
          <cell r="M802" t="str">
            <v>Balen Rejo</v>
          </cell>
          <cell r="N802" t="str">
            <v>Mashuda</v>
          </cell>
          <cell r="O802" t="str">
            <v>Ds. Kemamang, Kec. Balen</v>
          </cell>
          <cell r="P802" t="str">
            <v>Bojonegoro</v>
          </cell>
          <cell r="Q802" t="str">
            <v>Ds. Kemamang, Kec. Balen</v>
          </cell>
          <cell r="R802" t="str">
            <v>Bojonegoro</v>
          </cell>
          <cell r="S802" t="str">
            <v>F Utara1</v>
          </cell>
          <cell r="T802" t="str">
            <v>Dian</v>
          </cell>
          <cell r="U802">
            <v>60</v>
          </cell>
        </row>
        <row r="803">
          <cell r="E803" t="str">
            <v>B25014060</v>
          </cell>
          <cell r="F803"/>
          <cell r="G803">
            <v>250000000</v>
          </cell>
          <cell r="H803" t="str">
            <v>Reni</v>
          </cell>
          <cell r="I803" t="str">
            <v>Fira</v>
          </cell>
          <cell r="J803"/>
          <cell r="K803" t="str">
            <v>KU</v>
          </cell>
          <cell r="L803" t="str">
            <v>BALE01</v>
          </cell>
          <cell r="M803" t="str">
            <v>Balen Rejo</v>
          </cell>
          <cell r="N803" t="str">
            <v>Mashuda</v>
          </cell>
          <cell r="O803" t="str">
            <v>Ds. Kemamang, Kec. Balen</v>
          </cell>
          <cell r="P803" t="str">
            <v>Bojonegoro</v>
          </cell>
          <cell r="Q803" t="str">
            <v>Ds. Kemamang, Kec. Balen</v>
          </cell>
          <cell r="R803" t="str">
            <v>Bojonegoro</v>
          </cell>
          <cell r="S803" t="str">
            <v>F Utara1</v>
          </cell>
          <cell r="T803" t="str">
            <v>Dian</v>
          </cell>
          <cell r="U803">
            <v>60</v>
          </cell>
        </row>
        <row r="804">
          <cell r="E804" t="str">
            <v>B25014065</v>
          </cell>
          <cell r="F804"/>
          <cell r="G804">
            <v>250000000</v>
          </cell>
          <cell r="H804" t="str">
            <v>Reni</v>
          </cell>
          <cell r="I804" t="str">
            <v>Fira</v>
          </cell>
          <cell r="J804"/>
          <cell r="K804" t="str">
            <v>KU</v>
          </cell>
          <cell r="L804" t="str">
            <v>BALE01</v>
          </cell>
          <cell r="M804" t="str">
            <v>Balen Rejo</v>
          </cell>
          <cell r="N804" t="str">
            <v>Mashuda</v>
          </cell>
          <cell r="O804" t="str">
            <v>Ds. Kemamang, Kec. Balen</v>
          </cell>
          <cell r="P804" t="str">
            <v>Bojonegoro</v>
          </cell>
          <cell r="Q804" t="str">
            <v>Ds. Kemamang, Kec. Balen</v>
          </cell>
          <cell r="R804" t="str">
            <v>Bojonegoro</v>
          </cell>
          <cell r="S804" t="str">
            <v>F Utara1</v>
          </cell>
          <cell r="T804" t="str">
            <v>Dian</v>
          </cell>
          <cell r="U804">
            <v>60</v>
          </cell>
        </row>
        <row r="805">
          <cell r="E805" t="str">
            <v>B25013299</v>
          </cell>
          <cell r="F805"/>
          <cell r="G805">
            <v>10000000</v>
          </cell>
          <cell r="H805" t="str">
            <v>Zakia</v>
          </cell>
          <cell r="I805" t="str">
            <v>Tiya</v>
          </cell>
          <cell r="J805" t="str">
            <v>New 10/08/19</v>
          </cell>
          <cell r="K805" t="str">
            <v>KU</v>
          </cell>
          <cell r="L805" t="str">
            <v>BALI02</v>
          </cell>
          <cell r="M805" t="str">
            <v>Bali Tani, Toko/Nyoman</v>
          </cell>
          <cell r="N805" t="str">
            <v>I Nyoman Wirata</v>
          </cell>
          <cell r="O805" t="str">
            <v>Jl. Kunyit Tawah Sari No.1 Br. Kwanji RT.000/RW.000, Kel. Dalung, Kec. Kuta Utara</v>
          </cell>
          <cell r="P805" t="str">
            <v>Badung</v>
          </cell>
          <cell r="Q805" t="str">
            <v>Jl. Raya Celagi, Banjar Celagi, Ds, Denbantas, Tabanan</v>
          </cell>
          <cell r="R805" t="str">
            <v>Bali</v>
          </cell>
          <cell r="S805" t="str">
            <v>S Bali3</v>
          </cell>
          <cell r="T805" t="str">
            <v>Wira</v>
          </cell>
          <cell r="U805">
            <v>0</v>
          </cell>
        </row>
        <row r="806">
          <cell r="E806" t="str">
            <v>B25010744</v>
          </cell>
          <cell r="F806"/>
          <cell r="G806">
            <v>70000000</v>
          </cell>
          <cell r="H806" t="str">
            <v>Yuyun</v>
          </cell>
          <cell r="I806" t="str">
            <v>Farida</v>
          </cell>
          <cell r="J806"/>
          <cell r="K806" t="str">
            <v>KU</v>
          </cell>
          <cell r="L806" t="str">
            <v>ACHM02</v>
          </cell>
          <cell r="M806" t="str">
            <v>Bang Jali/Achmad Gozali</v>
          </cell>
          <cell r="N806" t="str">
            <v>Achmad Gozali</v>
          </cell>
          <cell r="O806" t="str">
            <v>Dsn. Gumuksari, RT.004/RW.001 Kel. Nogosari, Kec. Rambipuji</v>
          </cell>
          <cell r="P806" t="str">
            <v>Jember</v>
          </cell>
          <cell r="Q806" t="str">
            <v>Dsn. Gumuksari, RT.004/RW.001 Kel. Nogosari, Kec. Rambipuji</v>
          </cell>
          <cell r="R806" t="str">
            <v>Jember</v>
          </cell>
          <cell r="S806" t="str">
            <v>L Kota3</v>
          </cell>
          <cell r="T806" t="str">
            <v>Wira</v>
          </cell>
          <cell r="U806">
            <v>30</v>
          </cell>
        </row>
        <row r="807">
          <cell r="E807" t="str">
            <v>B25010788</v>
          </cell>
          <cell r="F807"/>
          <cell r="G807">
            <v>70000000</v>
          </cell>
          <cell r="H807" t="str">
            <v>Yuyun</v>
          </cell>
          <cell r="I807" t="str">
            <v>Farida</v>
          </cell>
          <cell r="J807"/>
          <cell r="K807" t="str">
            <v>KU</v>
          </cell>
          <cell r="L807" t="str">
            <v>ACHM02</v>
          </cell>
          <cell r="M807" t="str">
            <v>Bang Jali/Achmad Gozali</v>
          </cell>
          <cell r="N807" t="str">
            <v>Achmad Gozali</v>
          </cell>
          <cell r="O807" t="str">
            <v>Dsn. Gumuksari, RT.004/RW.001 Kel. Nogosari, Kec. Rambipuji</v>
          </cell>
          <cell r="P807" t="str">
            <v>Jember</v>
          </cell>
          <cell r="Q807" t="str">
            <v>Dsn. Gumuksari, RT.004/RW.001 Kel. Nogosari, Kec. Rambipuji</v>
          </cell>
          <cell r="R807" t="str">
            <v>Jember</v>
          </cell>
          <cell r="S807" t="str">
            <v>L Kota3</v>
          </cell>
          <cell r="T807" t="str">
            <v>Wira</v>
          </cell>
          <cell r="U807">
            <v>30</v>
          </cell>
        </row>
        <row r="808">
          <cell r="E808" t="str">
            <v>B25010788</v>
          </cell>
          <cell r="F808"/>
          <cell r="G808">
            <v>70000000</v>
          </cell>
          <cell r="H808" t="str">
            <v>Yuyun</v>
          </cell>
          <cell r="I808" t="str">
            <v>Farida</v>
          </cell>
          <cell r="J808"/>
          <cell r="K808" t="str">
            <v>KU</v>
          </cell>
          <cell r="L808" t="str">
            <v>ACHM02</v>
          </cell>
          <cell r="M808" t="str">
            <v>Bang Jali/Achmad Gozali</v>
          </cell>
          <cell r="N808" t="str">
            <v>Achmad Gozali</v>
          </cell>
          <cell r="O808" t="str">
            <v>Dsn. Gumuksari, RT.004/RW.001 Kel. Nogosari, Kec. Rambipuji</v>
          </cell>
          <cell r="P808" t="str">
            <v>Jember</v>
          </cell>
          <cell r="Q808" t="str">
            <v>Dsn. Gumuksari, RT.004/RW.001 Kel. Nogosari, Kec. Rambipuji</v>
          </cell>
          <cell r="R808" t="str">
            <v>Jember</v>
          </cell>
          <cell r="S808" t="str">
            <v>L Kota3</v>
          </cell>
          <cell r="T808" t="str">
            <v>Wira</v>
          </cell>
          <cell r="U808">
            <v>30</v>
          </cell>
        </row>
        <row r="809">
          <cell r="E809" t="str">
            <v>B25010788</v>
          </cell>
          <cell r="F809"/>
          <cell r="G809">
            <v>70000000</v>
          </cell>
          <cell r="H809" t="str">
            <v>Yuyun</v>
          </cell>
          <cell r="I809" t="str">
            <v>Farida</v>
          </cell>
          <cell r="J809"/>
          <cell r="K809" t="str">
            <v>KU</v>
          </cell>
          <cell r="L809" t="str">
            <v>ACHM02</v>
          </cell>
          <cell r="M809" t="str">
            <v>Bang Jali/Achmad Gozali</v>
          </cell>
          <cell r="N809" t="str">
            <v>Achmad Gozali</v>
          </cell>
          <cell r="O809" t="str">
            <v>Dsn. Gumuksari, RT.004/RW.001 Kel. Nogosari, Kec. Rambipuji</v>
          </cell>
          <cell r="P809" t="str">
            <v>Jember</v>
          </cell>
          <cell r="Q809" t="str">
            <v>Dsn. Gumuksari, RT.004/RW.001 Kel. Nogosari, Kec. Rambipuji</v>
          </cell>
          <cell r="R809" t="str">
            <v>Jember</v>
          </cell>
          <cell r="S809" t="str">
            <v>L Kota3</v>
          </cell>
          <cell r="T809" t="str">
            <v>Wira</v>
          </cell>
          <cell r="U809">
            <v>30</v>
          </cell>
        </row>
        <row r="810">
          <cell r="E810" t="str">
            <v>D25013046</v>
          </cell>
          <cell r="F810"/>
          <cell r="G810">
            <v>70000000</v>
          </cell>
          <cell r="H810" t="str">
            <v>Yuyun</v>
          </cell>
          <cell r="I810" t="str">
            <v>Farida</v>
          </cell>
          <cell r="J810"/>
          <cell r="K810" t="str">
            <v>KU</v>
          </cell>
          <cell r="L810" t="str">
            <v>ACHM02</v>
          </cell>
          <cell r="M810" t="str">
            <v>Bang Jali/Achmad Gozali</v>
          </cell>
          <cell r="N810" t="str">
            <v>Achmad Gozali</v>
          </cell>
          <cell r="O810" t="str">
            <v>Dsn. Gumuksari, RT.004/RW.001 Kel. Nogosari, Kec. Rambipuji</v>
          </cell>
          <cell r="P810" t="str">
            <v>Jember</v>
          </cell>
          <cell r="Q810" t="str">
            <v>Dsn. Gumuksari, RT.004/RW.001 Kel. Nogosari, Kec. Rambipuji</v>
          </cell>
          <cell r="R810" t="str">
            <v>Jember</v>
          </cell>
          <cell r="S810" t="str">
            <v>L Kota3</v>
          </cell>
          <cell r="T810" t="str">
            <v>Wira</v>
          </cell>
          <cell r="U810">
            <v>30</v>
          </cell>
        </row>
        <row r="811">
          <cell r="E811" t="str">
            <v>D25013046</v>
          </cell>
          <cell r="F811"/>
          <cell r="G811">
            <v>70000000</v>
          </cell>
          <cell r="H811" t="str">
            <v>Yuyun</v>
          </cell>
          <cell r="I811" t="str">
            <v>Farida</v>
          </cell>
          <cell r="J811"/>
          <cell r="K811" t="str">
            <v>KU</v>
          </cell>
          <cell r="L811" t="str">
            <v>ACHM02</v>
          </cell>
          <cell r="M811" t="str">
            <v>Bang Jali/Achmad Gozali</v>
          </cell>
          <cell r="N811" t="str">
            <v>Achmad Gozali</v>
          </cell>
          <cell r="O811" t="str">
            <v>Dsn. Gumuksari, RT.004/RW.001 Kel. Nogosari, Kec. Rambipuji</v>
          </cell>
          <cell r="P811" t="str">
            <v>Jember</v>
          </cell>
          <cell r="Q811" t="str">
            <v>Dsn. Gumuksari, RT.004/RW.001 Kel. Nogosari, Kec. Rambipuji</v>
          </cell>
          <cell r="R811" t="str">
            <v>Jember</v>
          </cell>
          <cell r="S811" t="str">
            <v>L Kota3</v>
          </cell>
          <cell r="T811" t="str">
            <v>Wira</v>
          </cell>
          <cell r="U811">
            <v>30</v>
          </cell>
        </row>
        <row r="812">
          <cell r="E812" t="str">
            <v>D25013047</v>
          </cell>
          <cell r="F812"/>
          <cell r="G812">
            <v>70000000</v>
          </cell>
          <cell r="H812" t="str">
            <v>Yuyun</v>
          </cell>
          <cell r="I812" t="str">
            <v>Farida</v>
          </cell>
          <cell r="J812"/>
          <cell r="K812" t="str">
            <v>KU</v>
          </cell>
          <cell r="L812" t="str">
            <v>ACHM02</v>
          </cell>
          <cell r="M812" t="str">
            <v>Bang Jali/Achmad Gozali</v>
          </cell>
          <cell r="N812" t="str">
            <v>Achmad Gozali</v>
          </cell>
          <cell r="O812" t="str">
            <v>Dsn. Gumuksari, RT.004/RW.001 Kel. Nogosari, Kec. Rambipuji</v>
          </cell>
          <cell r="P812" t="str">
            <v>Jember</v>
          </cell>
          <cell r="Q812" t="str">
            <v>Dsn. Gumuksari, RT.004/RW.001 Kel. Nogosari, Kec. Rambipuji</v>
          </cell>
          <cell r="R812" t="str">
            <v>Jember</v>
          </cell>
          <cell r="S812" t="str">
            <v>L Kota3</v>
          </cell>
          <cell r="T812" t="str">
            <v>Wira</v>
          </cell>
          <cell r="U812">
            <v>30</v>
          </cell>
        </row>
        <row r="813">
          <cell r="E813" t="str">
            <v>D25013221</v>
          </cell>
          <cell r="F813"/>
          <cell r="G813">
            <v>70000000</v>
          </cell>
          <cell r="H813" t="str">
            <v>Yuyun</v>
          </cell>
          <cell r="I813" t="str">
            <v>Farida</v>
          </cell>
          <cell r="J813"/>
          <cell r="K813" t="str">
            <v>KU</v>
          </cell>
          <cell r="L813" t="str">
            <v>ACHM02</v>
          </cell>
          <cell r="M813" t="str">
            <v>Bang Jali/Achmad Gozali</v>
          </cell>
          <cell r="N813" t="str">
            <v>Achmad Gozali</v>
          </cell>
          <cell r="O813" t="str">
            <v>Dsn. Gumuksari, RT.004/RW.001 Kel. Nogosari, Kec. Rambipuji</v>
          </cell>
          <cell r="P813" t="str">
            <v>Jember</v>
          </cell>
          <cell r="Q813" t="str">
            <v>Dsn. Gumuksari, RT.004/RW.001 Kel. Nogosari, Kec. Rambipuji</v>
          </cell>
          <cell r="R813" t="str">
            <v>Jember</v>
          </cell>
          <cell r="S813" t="str">
            <v>L Kota3</v>
          </cell>
          <cell r="T813" t="str">
            <v>Wira</v>
          </cell>
          <cell r="U813">
            <v>30</v>
          </cell>
        </row>
        <row r="814">
          <cell r="E814" t="str">
            <v>D25014101</v>
          </cell>
          <cell r="F814"/>
          <cell r="G814">
            <v>70000000</v>
          </cell>
          <cell r="H814" t="str">
            <v>Yuyun</v>
          </cell>
          <cell r="I814" t="str">
            <v>Farida</v>
          </cell>
          <cell r="J814"/>
          <cell r="K814" t="str">
            <v>KU</v>
          </cell>
          <cell r="L814" t="str">
            <v>ACHM02</v>
          </cell>
          <cell r="M814" t="str">
            <v>Bang Jali/Achmad Gozali</v>
          </cell>
          <cell r="N814" t="str">
            <v>Achmad Gozali</v>
          </cell>
          <cell r="O814" t="str">
            <v>Dsn. Gumuksari, RT.004/RW.001 Kel. Nogosari, Kec. Rambipuji</v>
          </cell>
          <cell r="P814" t="str">
            <v>Jember</v>
          </cell>
          <cell r="Q814" t="str">
            <v>Dsn. Gumuksari, RT.004/RW.001 Kel. Nogosari, Kec. Rambipuji</v>
          </cell>
          <cell r="R814" t="str">
            <v>Jember</v>
          </cell>
          <cell r="S814" t="str">
            <v>L Kota3</v>
          </cell>
          <cell r="T814" t="str">
            <v>Wira</v>
          </cell>
          <cell r="U814">
            <v>30</v>
          </cell>
        </row>
        <row r="815">
          <cell r="E815" t="str">
            <v>C25000857</v>
          </cell>
          <cell r="F815"/>
          <cell r="G815">
            <v>1000</v>
          </cell>
          <cell r="H815" t="str">
            <v>Ariyani</v>
          </cell>
          <cell r="I815" t="str">
            <v>Fira</v>
          </cell>
          <cell r="J815" t="str">
            <v>New 18/10/25</v>
          </cell>
          <cell r="K815" t="str">
            <v>KU</v>
          </cell>
          <cell r="L815" t="str">
            <v>BARO82</v>
          </cell>
          <cell r="M815" t="str">
            <v>Barokah Jaya/Sunjoto</v>
          </cell>
          <cell r="N815" t="str">
            <v>Sunjoto, S.Pd.I</v>
          </cell>
          <cell r="O815" t="str">
            <v>Dusun Bara'leke RT.004/RW.001, Kel. Errabu, Kec. Bluto</v>
          </cell>
          <cell r="P815" t="str">
            <v>Sumenep</v>
          </cell>
          <cell r="Q815" t="str">
            <v>Sidoarjo</v>
          </cell>
          <cell r="R815" t="str">
            <v>Sidoarjo</v>
          </cell>
          <cell r="S815" t="str">
            <v>F Utara1</v>
          </cell>
          <cell r="T815" t="str">
            <v>Tomi</v>
          </cell>
          <cell r="U815">
            <v>0</v>
          </cell>
        </row>
        <row r="816">
          <cell r="E816" t="str">
            <v>B25013667</v>
          </cell>
          <cell r="F816"/>
          <cell r="G816">
            <v>1000</v>
          </cell>
          <cell r="H816" t="str">
            <v>Ariyani</v>
          </cell>
          <cell r="I816" t="str">
            <v>Fira</v>
          </cell>
          <cell r="J816" t="str">
            <v>New 18/10/25</v>
          </cell>
          <cell r="K816" t="str">
            <v>KU</v>
          </cell>
          <cell r="L816" t="str">
            <v>BARO82</v>
          </cell>
          <cell r="M816" t="str">
            <v>Barokah Jaya/Sunjoto</v>
          </cell>
          <cell r="N816" t="str">
            <v>Sunjoto, S.Pd.I</v>
          </cell>
          <cell r="O816" t="str">
            <v>Dusun Bara'leke RT.004/RW.001, Kel. Errabu, Kec. Bluto</v>
          </cell>
          <cell r="P816" t="str">
            <v>Sumenep</v>
          </cell>
          <cell r="Q816" t="str">
            <v>Sidoarjo</v>
          </cell>
          <cell r="R816" t="str">
            <v>Sidoarjo</v>
          </cell>
          <cell r="S816" t="str">
            <v>F Utara1</v>
          </cell>
          <cell r="T816" t="str">
            <v>Tomi</v>
          </cell>
          <cell r="U816">
            <v>0</v>
          </cell>
        </row>
        <row r="817">
          <cell r="E817" t="str">
            <v>D25016094</v>
          </cell>
          <cell r="F817"/>
          <cell r="G817">
            <v>1000</v>
          </cell>
          <cell r="H817" t="str">
            <v>Ariyani</v>
          </cell>
          <cell r="I817" t="str">
            <v>Fira</v>
          </cell>
          <cell r="J817" t="str">
            <v>New 18/10/25</v>
          </cell>
          <cell r="K817" t="str">
            <v>KU</v>
          </cell>
          <cell r="L817" t="str">
            <v>BARO82</v>
          </cell>
          <cell r="M817" t="str">
            <v>Barokah Jaya/Sunjoto</v>
          </cell>
          <cell r="N817" t="str">
            <v>Sunjoto, S.Pd.I</v>
          </cell>
          <cell r="O817" t="str">
            <v>Dusun Bara'leke RT.004/RW.001, Kel. Errabu, Kec. Bluto</v>
          </cell>
          <cell r="P817" t="str">
            <v>Sumenep</v>
          </cell>
          <cell r="Q817" t="str">
            <v>Sidoarjo</v>
          </cell>
          <cell r="R817" t="str">
            <v>Sidoarjo</v>
          </cell>
          <cell r="S817" t="str">
            <v>F Utara1</v>
          </cell>
          <cell r="T817" t="str">
            <v>Tomi</v>
          </cell>
          <cell r="U817">
            <v>0</v>
          </cell>
        </row>
        <row r="818">
          <cell r="E818" t="str">
            <v>D25011750</v>
          </cell>
          <cell r="F818"/>
          <cell r="G818">
            <v>200000000</v>
          </cell>
          <cell r="H818" t="str">
            <v>Faris</v>
          </cell>
          <cell r="I818" t="str">
            <v>Syahra</v>
          </cell>
          <cell r="J818"/>
          <cell r="K818" t="str">
            <v>Tunai</v>
          </cell>
          <cell r="L818" t="str">
            <v>BARO03</v>
          </cell>
          <cell r="M818" t="str">
            <v>Barokah Jaya/Yusniar</v>
          </cell>
          <cell r="N818" t="str">
            <v>M. Yusniar Lutfi</v>
          </cell>
          <cell r="O818" t="str">
            <v>Dusun Labansukadi RT.003/RW.006, Kel. Labanasem, Kec. Kabat</v>
          </cell>
          <cell r="P818" t="str">
            <v>Banyuwangi</v>
          </cell>
          <cell r="Q818" t="str">
            <v>Kabat</v>
          </cell>
          <cell r="R818" t="str">
            <v>Banyuwangi</v>
          </cell>
          <cell r="S818" t="str">
            <v>H Bwi1</v>
          </cell>
          <cell r="T818" t="str">
            <v>Hafid</v>
          </cell>
          <cell r="U818">
            <v>60</v>
          </cell>
        </row>
        <row r="819">
          <cell r="E819" t="str">
            <v>D25013663</v>
          </cell>
          <cell r="F819"/>
          <cell r="G819">
            <v>200000000</v>
          </cell>
          <cell r="H819" t="str">
            <v>Faris</v>
          </cell>
          <cell r="I819" t="str">
            <v>Syahra</v>
          </cell>
          <cell r="J819"/>
          <cell r="K819" t="str">
            <v>Tunai</v>
          </cell>
          <cell r="L819" t="str">
            <v>BARO03</v>
          </cell>
          <cell r="M819" t="str">
            <v>Barokah Jaya/Yusniar</v>
          </cell>
          <cell r="N819" t="str">
            <v>M. Yusniar Lutfi</v>
          </cell>
          <cell r="O819" t="str">
            <v>Dusun Labansukadi RT.003/RW.006, Kel. Labanasem, Kec. Kabat</v>
          </cell>
          <cell r="P819" t="str">
            <v>Banyuwangi</v>
          </cell>
          <cell r="Q819" t="str">
            <v>Kabat</v>
          </cell>
          <cell r="R819" t="str">
            <v>Banyuwangi</v>
          </cell>
          <cell r="S819" t="str">
            <v>H Bwi1</v>
          </cell>
          <cell r="T819" t="str">
            <v>Hafid</v>
          </cell>
          <cell r="U819">
            <v>30</v>
          </cell>
        </row>
        <row r="820">
          <cell r="E820" t="str">
            <v>B25011639</v>
          </cell>
          <cell r="F820"/>
          <cell r="G820">
            <v>200000000</v>
          </cell>
          <cell r="H820" t="str">
            <v>Faris</v>
          </cell>
          <cell r="I820" t="str">
            <v>Syahra</v>
          </cell>
          <cell r="J820"/>
          <cell r="K820" t="str">
            <v>Tunai</v>
          </cell>
          <cell r="L820" t="str">
            <v>BARO03</v>
          </cell>
          <cell r="M820" t="str">
            <v>Barokah Jaya/Yusniar</v>
          </cell>
          <cell r="N820" t="str">
            <v>M. Yusniar Lutfi</v>
          </cell>
          <cell r="O820" t="str">
            <v>Dusun Labansukadi RT.003/RW.006, Kel. Labanasem, Kec. Kabat</v>
          </cell>
          <cell r="P820" t="str">
            <v>Banyuwangi</v>
          </cell>
          <cell r="Q820" t="str">
            <v>Kabat</v>
          </cell>
          <cell r="R820" t="str">
            <v>Banyuwangi</v>
          </cell>
          <cell r="S820" t="str">
            <v>H Bwi1</v>
          </cell>
          <cell r="T820" t="str">
            <v>Hafid</v>
          </cell>
          <cell r="U820">
            <v>30</v>
          </cell>
        </row>
        <row r="821">
          <cell r="E821" t="str">
            <v>B25011770</v>
          </cell>
          <cell r="F821"/>
          <cell r="G821">
            <v>200000000</v>
          </cell>
          <cell r="H821" t="str">
            <v>Faris</v>
          </cell>
          <cell r="I821" t="str">
            <v>Syahra</v>
          </cell>
          <cell r="J821"/>
          <cell r="K821" t="str">
            <v>Tunai</v>
          </cell>
          <cell r="L821" t="str">
            <v>BARO03</v>
          </cell>
          <cell r="M821" t="str">
            <v>Barokah Jaya/Yusniar</v>
          </cell>
          <cell r="N821" t="str">
            <v>M. Yusniar Lutfi</v>
          </cell>
          <cell r="O821" t="str">
            <v>Dusun Labansukadi RT.003/RW.006, Kel. Labanasem, Kec. Kabat</v>
          </cell>
          <cell r="P821" t="str">
            <v>Banyuwangi</v>
          </cell>
          <cell r="Q821" t="str">
            <v>Kabat</v>
          </cell>
          <cell r="R821" t="str">
            <v>Banyuwangi</v>
          </cell>
          <cell r="S821" t="str">
            <v>H Bwi1</v>
          </cell>
          <cell r="T821" t="str">
            <v>Hafid</v>
          </cell>
          <cell r="U821">
            <v>30</v>
          </cell>
        </row>
        <row r="822">
          <cell r="E822" t="str">
            <v>D25014249</v>
          </cell>
          <cell r="F822"/>
          <cell r="G822">
            <v>200000000</v>
          </cell>
          <cell r="H822" t="str">
            <v>Faris</v>
          </cell>
          <cell r="I822" t="str">
            <v>Syahra</v>
          </cell>
          <cell r="J822"/>
          <cell r="K822" t="str">
            <v>Tunai</v>
          </cell>
          <cell r="L822" t="str">
            <v>BARO03</v>
          </cell>
          <cell r="M822" t="str">
            <v>Barokah Jaya/Yusniar</v>
          </cell>
          <cell r="N822" t="str">
            <v>M. Yusniar Lutfi</v>
          </cell>
          <cell r="O822" t="str">
            <v>Dusun Labansukadi RT.003/RW.006, Kel. Labanasem, Kec. Kabat</v>
          </cell>
          <cell r="P822" t="str">
            <v>Banyuwangi</v>
          </cell>
          <cell r="Q822" t="str">
            <v>Kabat</v>
          </cell>
          <cell r="R822" t="str">
            <v>Banyuwangi</v>
          </cell>
          <cell r="S822" t="str">
            <v>H Bwi1</v>
          </cell>
          <cell r="T822" t="str">
            <v>Hafid</v>
          </cell>
          <cell r="U822">
            <v>30</v>
          </cell>
        </row>
        <row r="823">
          <cell r="E823" t="str">
            <v>D25014260</v>
          </cell>
          <cell r="F823"/>
          <cell r="G823">
            <v>200000000</v>
          </cell>
          <cell r="H823" t="str">
            <v>Faris</v>
          </cell>
          <cell r="I823" t="str">
            <v>Syahra</v>
          </cell>
          <cell r="J823"/>
          <cell r="K823" t="str">
            <v>Tunai</v>
          </cell>
          <cell r="L823" t="str">
            <v>BARO03</v>
          </cell>
          <cell r="M823" t="str">
            <v>Barokah Jaya/Yusniar</v>
          </cell>
          <cell r="N823" t="str">
            <v>M. Yusniar Lutfi</v>
          </cell>
          <cell r="O823" t="str">
            <v>Dusun Labansukadi RT.003/RW.006, Kel. Labanasem, Kec. Kabat</v>
          </cell>
          <cell r="P823" t="str">
            <v>Banyuwangi</v>
          </cell>
          <cell r="Q823" t="str">
            <v>Kabat</v>
          </cell>
          <cell r="R823" t="str">
            <v>Banyuwangi</v>
          </cell>
          <cell r="S823" t="str">
            <v>H Bwi1</v>
          </cell>
          <cell r="T823" t="str">
            <v>Hafid</v>
          </cell>
          <cell r="U823">
            <v>30</v>
          </cell>
        </row>
        <row r="824">
          <cell r="E824" t="str">
            <v>B25012171</v>
          </cell>
          <cell r="F824"/>
          <cell r="G824">
            <v>200000000</v>
          </cell>
          <cell r="H824" t="str">
            <v>Faris</v>
          </cell>
          <cell r="I824" t="str">
            <v>Syahra</v>
          </cell>
          <cell r="J824"/>
          <cell r="K824" t="str">
            <v>Tunai</v>
          </cell>
          <cell r="L824" t="str">
            <v>BARO03</v>
          </cell>
          <cell r="M824" t="str">
            <v>Barokah Jaya/Yusniar</v>
          </cell>
          <cell r="N824" t="str">
            <v>M. Yusniar Lutfi</v>
          </cell>
          <cell r="O824" t="str">
            <v>Dusun Labansukadi RT.003/RW.006, Kel. Labanasem, Kec. Kabat</v>
          </cell>
          <cell r="P824" t="str">
            <v>Banyuwangi</v>
          </cell>
          <cell r="Q824" t="str">
            <v>Kabat</v>
          </cell>
          <cell r="R824" t="str">
            <v>Banyuwangi</v>
          </cell>
          <cell r="S824" t="str">
            <v>H Bwi1</v>
          </cell>
          <cell r="T824" t="str">
            <v>Hafid</v>
          </cell>
          <cell r="U824">
            <v>30</v>
          </cell>
        </row>
        <row r="825">
          <cell r="E825" t="str">
            <v>B25012191</v>
          </cell>
          <cell r="F825"/>
          <cell r="G825">
            <v>200000000</v>
          </cell>
          <cell r="H825" t="str">
            <v>Faris</v>
          </cell>
          <cell r="I825" t="str">
            <v>Syahra</v>
          </cell>
          <cell r="J825"/>
          <cell r="K825" t="str">
            <v>Tunai</v>
          </cell>
          <cell r="L825" t="str">
            <v>BARO03</v>
          </cell>
          <cell r="M825" t="str">
            <v>Barokah Jaya/Yusniar</v>
          </cell>
          <cell r="N825" t="str">
            <v>M. Yusniar Lutfi</v>
          </cell>
          <cell r="O825" t="str">
            <v>Dusun Labansukadi RT.003/RW.006, Kel. Labanasem, Kec. Kabat</v>
          </cell>
          <cell r="P825" t="str">
            <v>Banyuwangi</v>
          </cell>
          <cell r="Q825" t="str">
            <v>Kabat</v>
          </cell>
          <cell r="R825" t="str">
            <v>Banyuwangi</v>
          </cell>
          <cell r="S825" t="str">
            <v>H Bwi1</v>
          </cell>
          <cell r="T825" t="str">
            <v>Hafid</v>
          </cell>
          <cell r="U825">
            <v>30</v>
          </cell>
        </row>
        <row r="826">
          <cell r="E826" t="str">
            <v>B25012890</v>
          </cell>
          <cell r="F826"/>
          <cell r="G826">
            <v>200000000</v>
          </cell>
          <cell r="H826" t="str">
            <v>Faris</v>
          </cell>
          <cell r="I826" t="str">
            <v>Syahra</v>
          </cell>
          <cell r="J826"/>
          <cell r="K826" t="str">
            <v>Tunai</v>
          </cell>
          <cell r="L826" t="str">
            <v>BARO03</v>
          </cell>
          <cell r="M826" t="str">
            <v>Barokah Jaya/Yusniar</v>
          </cell>
          <cell r="N826" t="str">
            <v>M. Yusniar Lutfi</v>
          </cell>
          <cell r="O826" t="str">
            <v>Dusun Labansukadi RT.003/RW.006, Kel. Labanasem, Kec. Kabat</v>
          </cell>
          <cell r="P826" t="str">
            <v>Banyuwangi</v>
          </cell>
          <cell r="Q826" t="str">
            <v>Kabat</v>
          </cell>
          <cell r="R826" t="str">
            <v>Banyuwangi</v>
          </cell>
          <cell r="S826" t="str">
            <v>H Bwi1</v>
          </cell>
          <cell r="T826" t="str">
            <v>Hafid</v>
          </cell>
          <cell r="U826">
            <v>30</v>
          </cell>
        </row>
        <row r="827">
          <cell r="E827" t="str">
            <v>D25015173</v>
          </cell>
          <cell r="F827"/>
          <cell r="G827">
            <v>200000000</v>
          </cell>
          <cell r="H827" t="str">
            <v>Faris</v>
          </cell>
          <cell r="I827" t="str">
            <v>Syahra</v>
          </cell>
          <cell r="J827"/>
          <cell r="K827" t="str">
            <v>Tunai</v>
          </cell>
          <cell r="L827" t="str">
            <v>BARO03</v>
          </cell>
          <cell r="M827" t="str">
            <v>Barokah Jaya/Yusniar</v>
          </cell>
          <cell r="N827" t="str">
            <v>M. Yusniar Lutfi</v>
          </cell>
          <cell r="O827" t="str">
            <v>Dusun Labansukadi RT.003/RW.006, Kel. Labanasem, Kec. Kabat</v>
          </cell>
          <cell r="P827" t="str">
            <v>Banyuwangi</v>
          </cell>
          <cell r="Q827" t="str">
            <v>Kabat</v>
          </cell>
          <cell r="R827" t="str">
            <v>Banyuwangi</v>
          </cell>
          <cell r="S827" t="str">
            <v>H Bwi1</v>
          </cell>
          <cell r="T827" t="str">
            <v>Hafid</v>
          </cell>
          <cell r="U827">
            <v>30</v>
          </cell>
        </row>
        <row r="828">
          <cell r="E828" t="str">
            <v>D25015355</v>
          </cell>
          <cell r="F828"/>
          <cell r="G828">
            <v>200000000</v>
          </cell>
          <cell r="H828" t="str">
            <v>Faris</v>
          </cell>
          <cell r="I828" t="str">
            <v>Syahra</v>
          </cell>
          <cell r="J828"/>
          <cell r="K828" t="str">
            <v>Tunai</v>
          </cell>
          <cell r="L828" t="str">
            <v>BARO03</v>
          </cell>
          <cell r="M828" t="str">
            <v>Barokah Jaya/Yusniar</v>
          </cell>
          <cell r="N828" t="str">
            <v>M. Yusniar Lutfi</v>
          </cell>
          <cell r="O828" t="str">
            <v>Dusun Labansukadi RT.003/RW.006, Kel. Labanasem, Kec. Kabat</v>
          </cell>
          <cell r="P828" t="str">
            <v>Banyuwangi</v>
          </cell>
          <cell r="Q828" t="str">
            <v>Kabat</v>
          </cell>
          <cell r="R828" t="str">
            <v>Banyuwangi</v>
          </cell>
          <cell r="S828" t="str">
            <v>H Bwi1</v>
          </cell>
          <cell r="T828" t="str">
            <v>Hafid</v>
          </cell>
          <cell r="U828">
            <v>30</v>
          </cell>
        </row>
        <row r="829">
          <cell r="E829" t="str">
            <v>D25015828</v>
          </cell>
          <cell r="F829"/>
          <cell r="G829">
            <v>200000000</v>
          </cell>
          <cell r="H829" t="str">
            <v>Faris</v>
          </cell>
          <cell r="I829" t="str">
            <v>Syahra</v>
          </cell>
          <cell r="J829"/>
          <cell r="K829" t="str">
            <v>Tunai</v>
          </cell>
          <cell r="L829" t="str">
            <v>BARO03</v>
          </cell>
          <cell r="M829" t="str">
            <v>Barokah Jaya/Yusniar</v>
          </cell>
          <cell r="N829" t="str">
            <v>M. Yusniar Lutfi</v>
          </cell>
          <cell r="O829" t="str">
            <v>Dusun Labansukadi RT.003/RW.006, Kel. Labanasem, Kec. Kabat</v>
          </cell>
          <cell r="P829" t="str">
            <v>Banyuwangi</v>
          </cell>
          <cell r="Q829" t="str">
            <v>Kabat</v>
          </cell>
          <cell r="R829" t="str">
            <v>Banyuwangi</v>
          </cell>
          <cell r="S829" t="str">
            <v>H Bwi1</v>
          </cell>
          <cell r="T829" t="str">
            <v>Hafid</v>
          </cell>
          <cell r="U829">
            <v>30</v>
          </cell>
        </row>
        <row r="830">
          <cell r="E830" t="str">
            <v>B25013640</v>
          </cell>
          <cell r="F830"/>
          <cell r="G830">
            <v>25000000</v>
          </cell>
          <cell r="H830" t="str">
            <v>Ariyani</v>
          </cell>
          <cell r="I830" t="str">
            <v>Fira</v>
          </cell>
          <cell r="J830" t="str">
            <v>New 14/04/20</v>
          </cell>
          <cell r="K830" t="str">
            <v>KU</v>
          </cell>
          <cell r="L830" t="str">
            <v>BARO49</v>
          </cell>
          <cell r="M830" t="str">
            <v>Barokah Tani, UD/Sri</v>
          </cell>
          <cell r="N830" t="str">
            <v>Sri Wahyuningsih</v>
          </cell>
          <cell r="O830" t="str">
            <v>Dsn Kembang RT.002/RW.001 Kel. Seboroh Kec. Krejengan (Depan Kantor Desa Seboroh)</v>
          </cell>
          <cell r="P830" t="str">
            <v>Probolinggo</v>
          </cell>
          <cell r="Q830" t="str">
            <v>Dsn Kembang RT.002/RW.001 Kel. Seboroh Kec. Krejengan (Depan Kantor Desa Seboroh)</v>
          </cell>
          <cell r="R830" t="str">
            <v>Probolinggo</v>
          </cell>
          <cell r="S830" t="str">
            <v>G Prob2</v>
          </cell>
          <cell r="T830" t="str">
            <v>Wira</v>
          </cell>
          <cell r="U830">
            <v>30</v>
          </cell>
        </row>
        <row r="831">
          <cell r="E831" t="str">
            <v>B25009187</v>
          </cell>
          <cell r="F831"/>
          <cell r="G831">
            <v>2500000000</v>
          </cell>
          <cell r="H831" t="str">
            <v>Ariyani</v>
          </cell>
          <cell r="I831" t="str">
            <v>Fira</v>
          </cell>
          <cell r="J831"/>
          <cell r="K831" t="str">
            <v>BG, KU</v>
          </cell>
          <cell r="L831" t="str">
            <v>BARO09</v>
          </cell>
          <cell r="M831" t="str">
            <v>Barokah Tani, UD/Sutrisno</v>
          </cell>
          <cell r="N831" t="str">
            <v>Berkah Indo Tani, PT</v>
          </cell>
          <cell r="O831" t="str">
            <v>Ds. Tanjung, RT.004/RW.003 Tanjung, Kadamean, Kab. Gresik</v>
          </cell>
          <cell r="P831" t="str">
            <v>Gresik</v>
          </cell>
          <cell r="Q831" t="str">
            <v>Ds. Tanjung, RT.004/RW.003 Tanjung, Kadamean, Kab. Gresik</v>
          </cell>
          <cell r="R831" t="str">
            <v>Gresik</v>
          </cell>
          <cell r="S831" t="str">
            <v>F Utara1</v>
          </cell>
          <cell r="T831" t="str">
            <v>Tomi</v>
          </cell>
          <cell r="U831">
            <v>60</v>
          </cell>
        </row>
        <row r="832">
          <cell r="E832" t="str">
            <v>B25009277</v>
          </cell>
          <cell r="F832"/>
          <cell r="G832">
            <v>2500000000</v>
          </cell>
          <cell r="H832" t="str">
            <v>Ariyani</v>
          </cell>
          <cell r="I832" t="str">
            <v>Fira</v>
          </cell>
          <cell r="J832"/>
          <cell r="K832" t="str">
            <v>BG, KU</v>
          </cell>
          <cell r="L832" t="str">
            <v>BARO09</v>
          </cell>
          <cell r="M832" t="str">
            <v>Barokah Tani, UD/Sutrisno</v>
          </cell>
          <cell r="N832" t="str">
            <v>Berkah Indo Tani, PT</v>
          </cell>
          <cell r="O832" t="str">
            <v>Ds. Tanjung, RT.004/RW.003 Tanjung, Kadamean, Kab. Gresik</v>
          </cell>
          <cell r="P832" t="str">
            <v>Gresik</v>
          </cell>
          <cell r="Q832" t="str">
            <v>Ds. Tanjung, RT.004/RW.003 Tanjung, Kadamean, Kab. Gresik</v>
          </cell>
          <cell r="R832" t="str">
            <v>Gresik</v>
          </cell>
          <cell r="S832" t="str">
            <v>F Utara1</v>
          </cell>
          <cell r="T832" t="str">
            <v>Tomi</v>
          </cell>
          <cell r="U832">
            <v>60</v>
          </cell>
        </row>
        <row r="833">
          <cell r="E833" t="str">
            <v>D25011166</v>
          </cell>
          <cell r="F833"/>
          <cell r="G833">
            <v>2500000000</v>
          </cell>
          <cell r="H833" t="str">
            <v>Ariyani</v>
          </cell>
          <cell r="I833" t="str">
            <v>Fira</v>
          </cell>
          <cell r="J833"/>
          <cell r="K833" t="str">
            <v>BG, KU</v>
          </cell>
          <cell r="L833" t="str">
            <v>BARO09</v>
          </cell>
          <cell r="M833" t="str">
            <v>Barokah Tani, UD/Sutrisno</v>
          </cell>
          <cell r="N833" t="str">
            <v>Berkah Indo Tani, PT</v>
          </cell>
          <cell r="O833" t="str">
            <v>Ds. Tanjung, RT.004/RW.003 Tanjung, Kadamean, Kab. Gresik</v>
          </cell>
          <cell r="P833" t="str">
            <v>Gresik</v>
          </cell>
          <cell r="Q833" t="str">
            <v>Ds. Tanjung, RT.004/RW.003 Tanjung, Kadamean, Kab. Gresik</v>
          </cell>
          <cell r="R833" t="str">
            <v>Gresik</v>
          </cell>
          <cell r="S833" t="str">
            <v>F Utara1</v>
          </cell>
          <cell r="T833" t="str">
            <v>Tomi</v>
          </cell>
          <cell r="U833">
            <v>60</v>
          </cell>
        </row>
        <row r="834">
          <cell r="E834" t="str">
            <v>B25009383</v>
          </cell>
          <cell r="F834"/>
          <cell r="G834">
            <v>2500000000</v>
          </cell>
          <cell r="H834" t="str">
            <v>Ariyani</v>
          </cell>
          <cell r="I834" t="str">
            <v>Fira</v>
          </cell>
          <cell r="J834"/>
          <cell r="K834" t="str">
            <v>BG, KU</v>
          </cell>
          <cell r="L834" t="str">
            <v>BARO09</v>
          </cell>
          <cell r="M834" t="str">
            <v>Barokah Tani, UD/Sutrisno</v>
          </cell>
          <cell r="N834" t="str">
            <v>Berkah Indo Tani, PT</v>
          </cell>
          <cell r="O834" t="str">
            <v>Ds. Tanjung, RT.004/RW.003 Tanjung, Kadamean, Kab. Gresik</v>
          </cell>
          <cell r="P834" t="str">
            <v>Gresik</v>
          </cell>
          <cell r="Q834" t="str">
            <v>Ds. Tanjung, RT.004/RW.003 Tanjung, Kadamean, Kab. Gresik</v>
          </cell>
          <cell r="R834" t="str">
            <v>Gresik</v>
          </cell>
          <cell r="S834" t="str">
            <v>F Utara1</v>
          </cell>
          <cell r="T834" t="str">
            <v>Tomi</v>
          </cell>
          <cell r="U834">
            <v>60</v>
          </cell>
        </row>
        <row r="835">
          <cell r="E835" t="str">
            <v>B25009625</v>
          </cell>
          <cell r="F835"/>
          <cell r="G835">
            <v>2500000000</v>
          </cell>
          <cell r="H835" t="str">
            <v>Ariyani</v>
          </cell>
          <cell r="I835" t="str">
            <v>Fira</v>
          </cell>
          <cell r="J835"/>
          <cell r="K835" t="str">
            <v>BG, KU</v>
          </cell>
          <cell r="L835" t="str">
            <v>BARO09</v>
          </cell>
          <cell r="M835" t="str">
            <v>Barokah Tani, UD/Sutrisno</v>
          </cell>
          <cell r="N835" t="str">
            <v>Berkah Indo Tani, PT</v>
          </cell>
          <cell r="O835" t="str">
            <v>Ds. Tanjung, RT.004/RW.003 Tanjung, Kadamean, Kab. Gresik</v>
          </cell>
          <cell r="P835" t="str">
            <v>Gresik</v>
          </cell>
          <cell r="Q835" t="str">
            <v>Ds. Tanjung, RT.004/RW.003 Tanjung, Kadamean, Kab. Gresik</v>
          </cell>
          <cell r="R835" t="str">
            <v>Gresik</v>
          </cell>
          <cell r="S835" t="str">
            <v>F Utara1</v>
          </cell>
          <cell r="T835" t="str">
            <v>Tomi</v>
          </cell>
          <cell r="U835">
            <v>60</v>
          </cell>
        </row>
        <row r="836">
          <cell r="E836" t="str">
            <v>D25011510</v>
          </cell>
          <cell r="F836"/>
          <cell r="G836">
            <v>2500000000</v>
          </cell>
          <cell r="H836" t="str">
            <v>Ariyani</v>
          </cell>
          <cell r="I836" t="str">
            <v>Fira</v>
          </cell>
          <cell r="J836"/>
          <cell r="K836" t="str">
            <v>BG, KU</v>
          </cell>
          <cell r="L836" t="str">
            <v>BARO09</v>
          </cell>
          <cell r="M836" t="str">
            <v>Barokah Tani, UD/Sutrisno</v>
          </cell>
          <cell r="N836" t="str">
            <v>Berkah Indo Tani, PT</v>
          </cell>
          <cell r="O836" t="str">
            <v>Ds. Tanjung, RT.004/RW.003 Tanjung, Kadamean, Kab. Gresik</v>
          </cell>
          <cell r="P836" t="str">
            <v>Gresik</v>
          </cell>
          <cell r="Q836" t="str">
            <v>Ds. Tanjung, RT.004/RW.003 Tanjung, Kadamean, Kab. Gresik</v>
          </cell>
          <cell r="R836" t="str">
            <v>Gresik</v>
          </cell>
          <cell r="S836" t="str">
            <v>F Utara1</v>
          </cell>
          <cell r="T836" t="str">
            <v>Tomi</v>
          </cell>
          <cell r="U836">
            <v>60</v>
          </cell>
        </row>
        <row r="837">
          <cell r="E837" t="str">
            <v>D25011550</v>
          </cell>
          <cell r="F837"/>
          <cell r="G837">
            <v>2500000000</v>
          </cell>
          <cell r="H837" t="str">
            <v>Ariyani</v>
          </cell>
          <cell r="I837" t="str">
            <v>Fira</v>
          </cell>
          <cell r="J837"/>
          <cell r="K837" t="str">
            <v>BG, KU</v>
          </cell>
          <cell r="L837" t="str">
            <v>BARO09</v>
          </cell>
          <cell r="M837" t="str">
            <v>Barokah Tani, UD/Sutrisno</v>
          </cell>
          <cell r="N837" t="str">
            <v>Berkah Indo Tani, PT</v>
          </cell>
          <cell r="O837" t="str">
            <v>Ds. Tanjung, RT.004/RW.003 Tanjung, Kadamean, Kab. Gresik</v>
          </cell>
          <cell r="P837" t="str">
            <v>Gresik</v>
          </cell>
          <cell r="Q837" t="str">
            <v>Ds. Tanjung, RT.004/RW.003 Tanjung, Kadamean, Kab. Gresik</v>
          </cell>
          <cell r="R837" t="str">
            <v>Gresik</v>
          </cell>
          <cell r="S837" t="str">
            <v>F Utara1</v>
          </cell>
          <cell r="T837" t="str">
            <v>Tomi</v>
          </cell>
          <cell r="U837">
            <v>60</v>
          </cell>
        </row>
        <row r="838">
          <cell r="E838" t="str">
            <v>B25009729</v>
          </cell>
          <cell r="F838"/>
          <cell r="G838">
            <v>2500000000</v>
          </cell>
          <cell r="H838" t="str">
            <v>Ariyani</v>
          </cell>
          <cell r="I838" t="str">
            <v>Fira</v>
          </cell>
          <cell r="J838"/>
          <cell r="K838" t="str">
            <v>BG, KU</v>
          </cell>
          <cell r="L838" t="str">
            <v>BARO09</v>
          </cell>
          <cell r="M838" t="str">
            <v>Barokah Tani, UD/Sutrisno</v>
          </cell>
          <cell r="N838" t="str">
            <v>Berkah Indo Tani, PT</v>
          </cell>
          <cell r="O838" t="str">
            <v>Ds. Tanjung, RT.004/RW.003 Tanjung, Kadamean, Kab. Gresik</v>
          </cell>
          <cell r="P838" t="str">
            <v>Gresik</v>
          </cell>
          <cell r="Q838" t="str">
            <v>Ds. Tanjung, RT.004/RW.003 Tanjung, Kadamean, Kab. Gresik</v>
          </cell>
          <cell r="R838" t="str">
            <v>Gresik</v>
          </cell>
          <cell r="S838" t="str">
            <v>F Utara1</v>
          </cell>
          <cell r="T838" t="str">
            <v>Tomi</v>
          </cell>
          <cell r="U838">
            <v>60</v>
          </cell>
        </row>
        <row r="839">
          <cell r="E839" t="str">
            <v>D25011781</v>
          </cell>
          <cell r="F839"/>
          <cell r="G839">
            <v>2500000000</v>
          </cell>
          <cell r="H839" t="str">
            <v>Ariyani</v>
          </cell>
          <cell r="I839" t="str">
            <v>Fira</v>
          </cell>
          <cell r="J839"/>
          <cell r="K839" t="str">
            <v>BG, KU</v>
          </cell>
          <cell r="L839" t="str">
            <v>BARO09</v>
          </cell>
          <cell r="M839" t="str">
            <v>Barokah Tani, UD/Sutrisno</v>
          </cell>
          <cell r="N839" t="str">
            <v>Berkah Indo Tani, PT</v>
          </cell>
          <cell r="O839" t="str">
            <v>Ds. Tanjung, RT.004/RW.003 Tanjung, Kadamean, Kab. Gresik</v>
          </cell>
          <cell r="P839" t="str">
            <v>Gresik</v>
          </cell>
          <cell r="Q839" t="str">
            <v>Ds. Tanjung, RT.004/RW.003 Tanjung, Kadamean, Kab. Gresik</v>
          </cell>
          <cell r="R839" t="str">
            <v>Gresik</v>
          </cell>
          <cell r="S839" t="str">
            <v>F Utara1</v>
          </cell>
          <cell r="T839" t="str">
            <v>Tomi</v>
          </cell>
          <cell r="U839">
            <v>60</v>
          </cell>
        </row>
        <row r="840">
          <cell r="E840" t="str">
            <v>D25011828</v>
          </cell>
          <cell r="F840"/>
          <cell r="G840">
            <v>2500000000</v>
          </cell>
          <cell r="H840" t="str">
            <v>Ariyani</v>
          </cell>
          <cell r="I840" t="str">
            <v>Fira</v>
          </cell>
          <cell r="J840"/>
          <cell r="K840" t="str">
            <v>BG, KU</v>
          </cell>
          <cell r="L840" t="str">
            <v>BARO09</v>
          </cell>
          <cell r="M840" t="str">
            <v>Barokah Tani, UD/Sutrisno</v>
          </cell>
          <cell r="N840" t="str">
            <v>Berkah Indo Tani, PT</v>
          </cell>
          <cell r="O840" t="str">
            <v>Ds. Tanjung, RT.004/RW.003 Tanjung, Kadamean, Kab. Gresik</v>
          </cell>
          <cell r="P840" t="str">
            <v>Gresik</v>
          </cell>
          <cell r="Q840" t="str">
            <v>Ds. Tanjung, RT.004/RW.003 Tanjung, Kadamean, Kab. Gresik</v>
          </cell>
          <cell r="R840" t="str">
            <v>Gresik</v>
          </cell>
          <cell r="S840" t="str">
            <v>F Utara1</v>
          </cell>
          <cell r="T840" t="str">
            <v>Tomi</v>
          </cell>
          <cell r="U840">
            <v>60</v>
          </cell>
        </row>
        <row r="841">
          <cell r="E841" t="str">
            <v>B25009968</v>
          </cell>
          <cell r="F841"/>
          <cell r="G841">
            <v>2500000000</v>
          </cell>
          <cell r="H841" t="str">
            <v>Ariyani</v>
          </cell>
          <cell r="I841" t="str">
            <v>Fira</v>
          </cell>
          <cell r="J841"/>
          <cell r="K841" t="str">
            <v>BG, KU</v>
          </cell>
          <cell r="L841" t="str">
            <v>BARO09</v>
          </cell>
          <cell r="M841" t="str">
            <v>Barokah Tani, UD/Sutrisno</v>
          </cell>
          <cell r="N841" t="str">
            <v>Berkah Indo Tani, PT</v>
          </cell>
          <cell r="O841" t="str">
            <v>Ds. Tanjung, RT.004/RW.003 Tanjung, Kadamean, Kab. Gresik</v>
          </cell>
          <cell r="P841" t="str">
            <v>Gresik</v>
          </cell>
          <cell r="Q841" t="str">
            <v>Ds. Tanjung, RT.004/RW.003 Tanjung, Kadamean, Kab. Gresik</v>
          </cell>
          <cell r="R841" t="str">
            <v>Gresik</v>
          </cell>
          <cell r="S841" t="str">
            <v>F Utara1</v>
          </cell>
          <cell r="T841" t="str">
            <v>Tomi</v>
          </cell>
          <cell r="U841">
            <v>60</v>
          </cell>
        </row>
        <row r="842">
          <cell r="E842" t="str">
            <v>D25012298</v>
          </cell>
          <cell r="F842"/>
          <cell r="G842">
            <v>2500000000</v>
          </cell>
          <cell r="H842" t="str">
            <v>Ariyani</v>
          </cell>
          <cell r="I842" t="str">
            <v>Fira</v>
          </cell>
          <cell r="J842"/>
          <cell r="K842" t="str">
            <v>BG, KU</v>
          </cell>
          <cell r="L842" t="str">
            <v>BARO09</v>
          </cell>
          <cell r="M842" t="str">
            <v>Barokah Tani, UD/Sutrisno</v>
          </cell>
          <cell r="N842" t="str">
            <v>Berkah Indo Tani, PT</v>
          </cell>
          <cell r="O842" t="str">
            <v>Ds. Tanjung, RT.004/RW.003 Tanjung, Kadamean, Kab. Gresik</v>
          </cell>
          <cell r="P842" t="str">
            <v>Gresik</v>
          </cell>
          <cell r="Q842" t="str">
            <v>Ds. Tanjung, RT.004/RW.003 Tanjung, Kadamean, Kab. Gresik</v>
          </cell>
          <cell r="R842" t="str">
            <v>Gresik</v>
          </cell>
          <cell r="S842" t="str">
            <v>F Utara1</v>
          </cell>
          <cell r="T842" t="str">
            <v>Tomi</v>
          </cell>
          <cell r="U842">
            <v>60</v>
          </cell>
        </row>
        <row r="843">
          <cell r="E843" t="str">
            <v>B25010646</v>
          </cell>
          <cell r="F843"/>
          <cell r="G843">
            <v>2500000000</v>
          </cell>
          <cell r="H843" t="str">
            <v>Ariyani</v>
          </cell>
          <cell r="I843" t="str">
            <v>Fira</v>
          </cell>
          <cell r="J843"/>
          <cell r="K843" t="str">
            <v>BG, KU</v>
          </cell>
          <cell r="L843" t="str">
            <v>BARO09</v>
          </cell>
          <cell r="M843" t="str">
            <v>Barokah Tani, UD/Sutrisno</v>
          </cell>
          <cell r="N843" t="str">
            <v>Berkah Indo Tani, PT</v>
          </cell>
          <cell r="O843" t="str">
            <v>Ds. Tanjung, RT.004/RW.003 Tanjung, Kadamean, Kab. Gresik</v>
          </cell>
          <cell r="P843" t="str">
            <v>Gresik</v>
          </cell>
          <cell r="Q843" t="str">
            <v>Ds. Tanjung, RT.004/RW.003 Tanjung, Kadamean, Kab. Gresik</v>
          </cell>
          <cell r="R843" t="str">
            <v>Gresik</v>
          </cell>
          <cell r="S843" t="str">
            <v>F Utara1</v>
          </cell>
          <cell r="T843" t="str">
            <v>Tomi</v>
          </cell>
          <cell r="U843">
            <v>60</v>
          </cell>
        </row>
        <row r="844">
          <cell r="E844" t="str">
            <v>B25010935</v>
          </cell>
          <cell r="F844"/>
          <cell r="G844">
            <v>2500000000</v>
          </cell>
          <cell r="H844" t="str">
            <v>Ariyani</v>
          </cell>
          <cell r="I844" t="str">
            <v>Fira</v>
          </cell>
          <cell r="J844"/>
          <cell r="K844" t="str">
            <v>BG, KU</v>
          </cell>
          <cell r="L844" t="str">
            <v>BARO09</v>
          </cell>
          <cell r="M844" t="str">
            <v>Barokah Tani, UD/Sutrisno</v>
          </cell>
          <cell r="N844" t="str">
            <v>Berkah Indo Tani, PT</v>
          </cell>
          <cell r="O844" t="str">
            <v>Ds. Tanjung, RT.004/RW.003 Tanjung, Kadamean, Kab. Gresik</v>
          </cell>
          <cell r="P844" t="str">
            <v>Gresik</v>
          </cell>
          <cell r="Q844" t="str">
            <v>Ds. Tanjung, RT.004/RW.003 Tanjung, Kadamean, Kab. Gresik</v>
          </cell>
          <cell r="R844" t="str">
            <v>Gresik</v>
          </cell>
          <cell r="S844" t="str">
            <v>F Utara1</v>
          </cell>
          <cell r="T844" t="str">
            <v>Tomi</v>
          </cell>
          <cell r="U844">
            <v>60</v>
          </cell>
        </row>
        <row r="845">
          <cell r="E845" t="str">
            <v>D25013641</v>
          </cell>
          <cell r="F845"/>
          <cell r="G845">
            <v>2500000000</v>
          </cell>
          <cell r="H845" t="str">
            <v>Ariyani</v>
          </cell>
          <cell r="I845" t="str">
            <v>Fira</v>
          </cell>
          <cell r="J845"/>
          <cell r="K845" t="str">
            <v>BG, KU</v>
          </cell>
          <cell r="L845" t="str">
            <v>BARO09</v>
          </cell>
          <cell r="M845" t="str">
            <v>Barokah Tani, UD/Sutrisno</v>
          </cell>
          <cell r="N845" t="str">
            <v>Berkah Indo Tani, PT</v>
          </cell>
          <cell r="O845" t="str">
            <v>Ds. Tanjung, RT.004/RW.003 Tanjung, Kadamean, Kab. Gresik</v>
          </cell>
          <cell r="P845" t="str">
            <v>Gresik</v>
          </cell>
          <cell r="Q845" t="str">
            <v>Ds. Tanjung, RT.004/RW.003 Tanjung, Kadamean, Kab. Gresik</v>
          </cell>
          <cell r="R845" t="str">
            <v>Gresik</v>
          </cell>
          <cell r="S845" t="str">
            <v>F Utara1</v>
          </cell>
          <cell r="T845" t="str">
            <v>Tomi</v>
          </cell>
          <cell r="U845">
            <v>60</v>
          </cell>
        </row>
        <row r="846">
          <cell r="E846" t="str">
            <v>B25011718</v>
          </cell>
          <cell r="F846"/>
          <cell r="G846">
            <v>2500000000</v>
          </cell>
          <cell r="H846" t="str">
            <v>Ariyani</v>
          </cell>
          <cell r="I846" t="str">
            <v>Fira</v>
          </cell>
          <cell r="J846"/>
          <cell r="K846" t="str">
            <v>BG, KU</v>
          </cell>
          <cell r="L846" t="str">
            <v>BARO09</v>
          </cell>
          <cell r="M846" t="str">
            <v>Barokah Tani, UD/Sutrisno</v>
          </cell>
          <cell r="N846" t="str">
            <v>Berkah Indo Tani, PT</v>
          </cell>
          <cell r="O846" t="str">
            <v>Ds. Tanjung, RT.004/RW.003 Tanjung, Kadamean, Kab. Gresik</v>
          </cell>
          <cell r="P846" t="str">
            <v>Gresik</v>
          </cell>
          <cell r="Q846" t="str">
            <v>Ds. Tanjung, RT.004/RW.003 Tanjung, Kadamean, Kab. Gresik</v>
          </cell>
          <cell r="R846" t="str">
            <v>Gresik</v>
          </cell>
          <cell r="S846" t="str">
            <v>F Utara1</v>
          </cell>
          <cell r="T846" t="str">
            <v>Tomi</v>
          </cell>
          <cell r="U846">
            <v>60</v>
          </cell>
        </row>
        <row r="847">
          <cell r="E847" t="str">
            <v>B25011817</v>
          </cell>
          <cell r="F847"/>
          <cell r="G847">
            <v>2500000000</v>
          </cell>
          <cell r="H847" t="str">
            <v>Ariyani</v>
          </cell>
          <cell r="I847" t="str">
            <v>Fira</v>
          </cell>
          <cell r="J847"/>
          <cell r="K847" t="str">
            <v>BG, KU</v>
          </cell>
          <cell r="L847" t="str">
            <v>BARO09</v>
          </cell>
          <cell r="M847" t="str">
            <v>Barokah Tani, UD/Sutrisno</v>
          </cell>
          <cell r="N847" t="str">
            <v>Berkah Indo Tani, PT</v>
          </cell>
          <cell r="O847" t="str">
            <v>Ds. Tanjung, RT.004/RW.003 Tanjung, Kadamean, Kab. Gresik</v>
          </cell>
          <cell r="P847" t="str">
            <v>Gresik</v>
          </cell>
          <cell r="Q847" t="str">
            <v>Ds. Tanjung, RT.004/RW.003 Tanjung, Kadamean, Kab. Gresik</v>
          </cell>
          <cell r="R847" t="str">
            <v>Gresik</v>
          </cell>
          <cell r="S847" t="str">
            <v>F Utara1</v>
          </cell>
          <cell r="T847" t="str">
            <v>Tomi</v>
          </cell>
          <cell r="U847">
            <v>60</v>
          </cell>
        </row>
        <row r="848">
          <cell r="E848" t="str">
            <v>D25014316</v>
          </cell>
          <cell r="F848"/>
          <cell r="G848">
            <v>2500000000</v>
          </cell>
          <cell r="H848" t="str">
            <v>Ariyani</v>
          </cell>
          <cell r="I848" t="str">
            <v>Fira</v>
          </cell>
          <cell r="J848"/>
          <cell r="K848" t="str">
            <v>BG, KU</v>
          </cell>
          <cell r="L848" t="str">
            <v>BARO09</v>
          </cell>
          <cell r="M848" t="str">
            <v>Barokah Tani, UD/Sutrisno</v>
          </cell>
          <cell r="N848" t="str">
            <v>Berkah Indo Tani, PT</v>
          </cell>
          <cell r="O848" t="str">
            <v>Ds. Tanjung, RT.004/RW.003 Tanjung, Kadamean, Kab. Gresik</v>
          </cell>
          <cell r="P848" t="str">
            <v>Gresik</v>
          </cell>
          <cell r="Q848" t="str">
            <v>Ds. Tanjung, RT.004/RW.003 Tanjung, Kadamean, Kab. Gresik</v>
          </cell>
          <cell r="R848" t="str">
            <v>Gresik</v>
          </cell>
          <cell r="S848" t="str">
            <v>F Utara1</v>
          </cell>
          <cell r="T848" t="str">
            <v>Tomi</v>
          </cell>
          <cell r="U848">
            <v>0</v>
          </cell>
        </row>
        <row r="849">
          <cell r="E849" t="str">
            <v>B25013268</v>
          </cell>
          <cell r="F849"/>
          <cell r="G849">
            <v>2500000000</v>
          </cell>
          <cell r="H849" t="str">
            <v>Ariyani</v>
          </cell>
          <cell r="I849" t="str">
            <v>Fira</v>
          </cell>
          <cell r="J849"/>
          <cell r="K849" t="str">
            <v>BG, KU</v>
          </cell>
          <cell r="L849" t="str">
            <v>BARO09</v>
          </cell>
          <cell r="M849" t="str">
            <v>Barokah Tani, UD/Sutrisno</v>
          </cell>
          <cell r="N849" t="str">
            <v>Berkah Indo Tani, PT</v>
          </cell>
          <cell r="O849" t="str">
            <v>Ds. Tanjung, RT.004/RW.003 Tanjung, Kadamean, Kab. Gresik</v>
          </cell>
          <cell r="P849" t="str">
            <v>Gresik</v>
          </cell>
          <cell r="Q849" t="str">
            <v>Ds. Tanjung, RT.004/RW.003 Tanjung, Kadamean, Kab. Gresik</v>
          </cell>
          <cell r="R849" t="str">
            <v>Gresik</v>
          </cell>
          <cell r="S849" t="str">
            <v>F Utara1</v>
          </cell>
          <cell r="T849" t="str">
            <v>Tomi</v>
          </cell>
          <cell r="U849">
            <v>60</v>
          </cell>
        </row>
        <row r="850">
          <cell r="E850" t="str">
            <v>B25013369</v>
          </cell>
          <cell r="F850"/>
          <cell r="G850">
            <v>2500000000</v>
          </cell>
          <cell r="H850" t="str">
            <v>Ariyani</v>
          </cell>
          <cell r="I850" t="str">
            <v>Fira</v>
          </cell>
          <cell r="J850"/>
          <cell r="K850" t="str">
            <v>BG, KU</v>
          </cell>
          <cell r="L850" t="str">
            <v>BARO09</v>
          </cell>
          <cell r="M850" t="str">
            <v>Barokah Tani, UD/Sutrisno</v>
          </cell>
          <cell r="N850" t="str">
            <v>Berkah Indo Tani, PT</v>
          </cell>
          <cell r="O850" t="str">
            <v>Ds. Tanjung, RT.004/RW.003 Tanjung, Kadamean, Kab. Gresik</v>
          </cell>
          <cell r="P850" t="str">
            <v>Gresik</v>
          </cell>
          <cell r="Q850" t="str">
            <v>Ds. Tanjung, RT.004/RW.003 Tanjung, Kadamean, Kab. Gresik</v>
          </cell>
          <cell r="R850" t="str">
            <v>Gresik</v>
          </cell>
          <cell r="S850" t="str">
            <v>F Utara1</v>
          </cell>
          <cell r="T850" t="str">
            <v>Tomi</v>
          </cell>
          <cell r="U850">
            <v>60</v>
          </cell>
        </row>
        <row r="851">
          <cell r="E851" t="str">
            <v>B25013554</v>
          </cell>
          <cell r="F851"/>
          <cell r="G851">
            <v>2500000000</v>
          </cell>
          <cell r="H851" t="str">
            <v>Ariyani</v>
          </cell>
          <cell r="I851" t="str">
            <v>Fira</v>
          </cell>
          <cell r="J851"/>
          <cell r="K851" t="str">
            <v>BG, KU</v>
          </cell>
          <cell r="L851" t="str">
            <v>BARO09</v>
          </cell>
          <cell r="M851" t="str">
            <v>Barokah Tani, UD/Sutrisno</v>
          </cell>
          <cell r="N851" t="str">
            <v>Berkah Indo Tani, PT</v>
          </cell>
          <cell r="O851" t="str">
            <v>Ds. Tanjung, RT.004/RW.003 Tanjung, Kadamean, Kab. Gresik</v>
          </cell>
          <cell r="P851" t="str">
            <v>Gresik</v>
          </cell>
          <cell r="Q851" t="str">
            <v>Ds. Tanjung, RT.004/RW.003 Tanjung, Kadamean, Kab. Gresik</v>
          </cell>
          <cell r="R851" t="str">
            <v>Gresik</v>
          </cell>
          <cell r="S851" t="str">
            <v>F Utara1</v>
          </cell>
          <cell r="T851" t="str">
            <v>Tomi</v>
          </cell>
          <cell r="U851">
            <v>0</v>
          </cell>
        </row>
        <row r="852">
          <cell r="E852" t="str">
            <v>D25015810</v>
          </cell>
          <cell r="F852"/>
          <cell r="G852">
            <v>2500000000</v>
          </cell>
          <cell r="H852" t="str">
            <v>Ariyani</v>
          </cell>
          <cell r="I852" t="str">
            <v>Fira</v>
          </cell>
          <cell r="J852"/>
          <cell r="K852" t="str">
            <v>BG, KU</v>
          </cell>
          <cell r="L852" t="str">
            <v>BARO09</v>
          </cell>
          <cell r="M852" t="str">
            <v>Barokah Tani, UD/Sutrisno</v>
          </cell>
          <cell r="N852" t="str">
            <v>Berkah Indo Tani, PT</v>
          </cell>
          <cell r="O852" t="str">
            <v>Ds. Tanjung, RT.004/RW.003 Tanjung, Kadamean, Kab. Gresik</v>
          </cell>
          <cell r="P852" t="str">
            <v>Gresik</v>
          </cell>
          <cell r="Q852" t="str">
            <v>Ds. Tanjung, RT.004/RW.003 Tanjung, Kadamean, Kab. Gresik</v>
          </cell>
          <cell r="R852" t="str">
            <v>Gresik</v>
          </cell>
          <cell r="S852" t="str">
            <v>F Utara1</v>
          </cell>
          <cell r="T852" t="str">
            <v>Tomi</v>
          </cell>
          <cell r="U852">
            <v>0</v>
          </cell>
        </row>
        <row r="853">
          <cell r="E853">
            <v>250143</v>
          </cell>
          <cell r="F853"/>
          <cell r="G853">
            <v>2500000000</v>
          </cell>
          <cell r="H853" t="str">
            <v>Ariyani</v>
          </cell>
          <cell r="I853" t="str">
            <v>Fira</v>
          </cell>
          <cell r="J853"/>
          <cell r="K853" t="str">
            <v>BG, KU</v>
          </cell>
          <cell r="L853" t="str">
            <v>BARO09</v>
          </cell>
          <cell r="M853" t="str">
            <v>Barokah Tani, UD/Sutrisno</v>
          </cell>
          <cell r="N853" t="str">
            <v>Berkah Indo Tani, PT</v>
          </cell>
          <cell r="O853" t="str">
            <v>Ds. Tanjung, RT.004/RW.003 Tanjung, Kadamean, Kab. Gresik</v>
          </cell>
          <cell r="P853" t="str">
            <v>Gresik</v>
          </cell>
          <cell r="Q853" t="str">
            <v>Ds. Tanjung, RT.004/RW.003 Tanjung, Kadamean, Kab. Gresik</v>
          </cell>
          <cell r="R853" t="str">
            <v>Gresik</v>
          </cell>
          <cell r="S853" t="str">
            <v>F Utara1</v>
          </cell>
          <cell r="T853" t="str">
            <v>Tomi</v>
          </cell>
          <cell r="U853">
            <v>0</v>
          </cell>
        </row>
        <row r="854">
          <cell r="E854">
            <v>250143</v>
          </cell>
          <cell r="F854"/>
          <cell r="G854">
            <v>2500000000</v>
          </cell>
          <cell r="H854" t="str">
            <v>Ariyani</v>
          </cell>
          <cell r="I854" t="str">
            <v>Fira</v>
          </cell>
          <cell r="J854"/>
          <cell r="K854" t="str">
            <v>BG, KU</v>
          </cell>
          <cell r="L854" t="str">
            <v>BARO09</v>
          </cell>
          <cell r="M854" t="str">
            <v>Barokah Tani, UD/Sutrisno</v>
          </cell>
          <cell r="N854" t="str">
            <v>Berkah Indo Tani, PT</v>
          </cell>
          <cell r="O854" t="str">
            <v>Ds. Tanjung, RT.004/RW.003 Tanjung, Kadamean, Kab. Gresik</v>
          </cell>
          <cell r="P854" t="str">
            <v>Gresik</v>
          </cell>
          <cell r="Q854" t="str">
            <v>Ds. Tanjung, RT.004/RW.003 Tanjung, Kadamean, Kab. Gresik</v>
          </cell>
          <cell r="R854" t="str">
            <v>Gresik</v>
          </cell>
          <cell r="S854" t="str">
            <v>F Utara1</v>
          </cell>
          <cell r="T854" t="str">
            <v>Tomi</v>
          </cell>
          <cell r="U854">
            <v>0</v>
          </cell>
        </row>
        <row r="855">
          <cell r="E855" t="str">
            <v>B25013782</v>
          </cell>
          <cell r="F855"/>
          <cell r="G855">
            <v>2500000000</v>
          </cell>
          <cell r="H855" t="str">
            <v>Ariyani</v>
          </cell>
          <cell r="I855" t="str">
            <v>Fira</v>
          </cell>
          <cell r="J855"/>
          <cell r="K855" t="str">
            <v>BG, KU</v>
          </cell>
          <cell r="L855" t="str">
            <v>BARO09</v>
          </cell>
          <cell r="M855" t="str">
            <v>Barokah Tani, UD/Sutrisno</v>
          </cell>
          <cell r="N855" t="str">
            <v>Berkah Indo Tani, PT</v>
          </cell>
          <cell r="O855" t="str">
            <v>Ds. Tanjung, RT.004/RW.003 Tanjung, Kadamean, Kab. Gresik</v>
          </cell>
          <cell r="P855" t="str">
            <v>Gresik</v>
          </cell>
          <cell r="Q855" t="str">
            <v>Ds. Tanjung, RT.004/RW.003 Tanjung, Kadamean, Kab. Gresik</v>
          </cell>
          <cell r="R855" t="str">
            <v>Gresik</v>
          </cell>
          <cell r="S855" t="str">
            <v>F Utara1</v>
          </cell>
          <cell r="T855" t="str">
            <v>Tomi</v>
          </cell>
          <cell r="U855">
            <v>0</v>
          </cell>
        </row>
        <row r="856">
          <cell r="E856">
            <v>250152</v>
          </cell>
          <cell r="F856"/>
          <cell r="G856">
            <v>2500000000</v>
          </cell>
          <cell r="H856" t="str">
            <v>Ariyani</v>
          </cell>
          <cell r="I856" t="str">
            <v>Fira</v>
          </cell>
          <cell r="J856"/>
          <cell r="K856" t="str">
            <v>BG, KU</v>
          </cell>
          <cell r="L856" t="str">
            <v>BARO09</v>
          </cell>
          <cell r="M856" t="str">
            <v>Barokah Tani, UD/Sutrisno</v>
          </cell>
          <cell r="N856" t="str">
            <v>Berkah Indo Tani, PT</v>
          </cell>
          <cell r="O856" t="str">
            <v>Ds. Tanjung, RT.004/RW.003 Tanjung, Kadamean, Kab. Gresik</v>
          </cell>
          <cell r="P856" t="str">
            <v>Gresik</v>
          </cell>
          <cell r="Q856" t="str">
            <v>Ds. Tanjung, RT.004/RW.003 Tanjung, Kadamean, Kab. Gresik</v>
          </cell>
          <cell r="R856" t="str">
            <v>Gresik</v>
          </cell>
          <cell r="S856" t="str">
            <v>F Utara1</v>
          </cell>
          <cell r="T856" t="str">
            <v>Tomi</v>
          </cell>
          <cell r="U856">
            <v>0</v>
          </cell>
        </row>
        <row r="857">
          <cell r="E857" t="str">
            <v>T25001067</v>
          </cell>
          <cell r="F857"/>
          <cell r="G857">
            <v>20000000</v>
          </cell>
          <cell r="H857" t="str">
            <v>Zakia</v>
          </cell>
          <cell r="I857" t="str">
            <v>Tiya</v>
          </cell>
          <cell r="J857"/>
          <cell r="K857" t="str">
            <v>KU</v>
          </cell>
          <cell r="L857" t="str">
            <v>BARO65</v>
          </cell>
          <cell r="M857" t="str">
            <v>Barokah Tani/Bachrul</v>
          </cell>
          <cell r="N857" t="str">
            <v>Bachrul Hidayat</v>
          </cell>
          <cell r="O857" t="str">
            <v>Dsn. Semanding RT.001/RW.001, Kel. Semanding, Kec. Pagu</v>
          </cell>
          <cell r="P857" t="str">
            <v>Kediri</v>
          </cell>
          <cell r="Q857" t="str">
            <v>Wonorejo, Kel. Semanding, Kec. Pagu</v>
          </cell>
          <cell r="R857" t="str">
            <v>Kediri</v>
          </cell>
          <cell r="S857" t="str">
            <v>D Barat1</v>
          </cell>
          <cell r="T857" t="str">
            <v>Tomi</v>
          </cell>
          <cell r="U857">
            <v>60</v>
          </cell>
        </row>
        <row r="858">
          <cell r="E858" t="str">
            <v>D25012571</v>
          </cell>
          <cell r="F858"/>
          <cell r="G858">
            <v>20000000</v>
          </cell>
          <cell r="H858" t="str">
            <v>Zakia</v>
          </cell>
          <cell r="I858" t="str">
            <v>Tiya</v>
          </cell>
          <cell r="J858"/>
          <cell r="K858" t="str">
            <v>KU</v>
          </cell>
          <cell r="L858" t="str">
            <v>BARO65</v>
          </cell>
          <cell r="M858" t="str">
            <v>Barokah Tani/Bachrul</v>
          </cell>
          <cell r="N858" t="str">
            <v>Bachrul Hidayat</v>
          </cell>
          <cell r="O858" t="str">
            <v>Dsn. Semanding RT.001/RW.001, Kel. Semanding, Kec. Pagu</v>
          </cell>
          <cell r="P858" t="str">
            <v>Kediri</v>
          </cell>
          <cell r="Q858" t="str">
            <v>Wonorejo, Kel. Semanding, Kec. Pagu</v>
          </cell>
          <cell r="R858" t="str">
            <v>Kediri</v>
          </cell>
          <cell r="S858" t="str">
            <v>D Barat1</v>
          </cell>
          <cell r="T858" t="str">
            <v>Tomi</v>
          </cell>
          <cell r="U858">
            <v>30</v>
          </cell>
        </row>
        <row r="859">
          <cell r="E859" t="str">
            <v>T25001283</v>
          </cell>
          <cell r="F859"/>
          <cell r="G859">
            <v>20000000</v>
          </cell>
          <cell r="H859" t="str">
            <v>Zakia</v>
          </cell>
          <cell r="I859" t="str">
            <v>Tiya</v>
          </cell>
          <cell r="J859"/>
          <cell r="K859" t="str">
            <v>KU</v>
          </cell>
          <cell r="L859" t="str">
            <v>BARO65</v>
          </cell>
          <cell r="M859" t="str">
            <v>Barokah Tani/Bachrul</v>
          </cell>
          <cell r="N859" t="str">
            <v>Bachrul Hidayat</v>
          </cell>
          <cell r="O859" t="str">
            <v>Dsn. Semanding RT.001/RW.001, Kel. Semanding, Kec. Pagu</v>
          </cell>
          <cell r="P859" t="str">
            <v>Kediri</v>
          </cell>
          <cell r="Q859" t="str">
            <v>Wonorejo, Kel. Semanding, Kec. Pagu</v>
          </cell>
          <cell r="R859" t="str">
            <v>Kediri</v>
          </cell>
          <cell r="S859" t="str">
            <v>D Barat1</v>
          </cell>
          <cell r="T859" t="str">
            <v>Tomi</v>
          </cell>
          <cell r="U859">
            <v>60</v>
          </cell>
        </row>
        <row r="860">
          <cell r="E860" t="str">
            <v>T25001318</v>
          </cell>
          <cell r="F860"/>
          <cell r="G860">
            <v>20000000</v>
          </cell>
          <cell r="H860" t="str">
            <v>Zakia</v>
          </cell>
          <cell r="I860" t="str">
            <v>Tiya</v>
          </cell>
          <cell r="J860"/>
          <cell r="K860" t="str">
            <v>KU</v>
          </cell>
          <cell r="L860" t="str">
            <v>BARO65</v>
          </cell>
          <cell r="M860" t="str">
            <v>Barokah Tani/Bachrul</v>
          </cell>
          <cell r="N860" t="str">
            <v>Bachrul Hidayat</v>
          </cell>
          <cell r="O860" t="str">
            <v>Dsn. Semanding RT.001/RW.001, Kel. Semanding, Kec. Pagu</v>
          </cell>
          <cell r="P860" t="str">
            <v>Kediri</v>
          </cell>
          <cell r="Q860" t="str">
            <v>Wonorejo, Kel. Semanding, Kec. Pagu</v>
          </cell>
          <cell r="R860" t="str">
            <v>Kediri</v>
          </cell>
          <cell r="S860" t="str">
            <v>D Barat1</v>
          </cell>
          <cell r="T860" t="str">
            <v>Tomi</v>
          </cell>
          <cell r="U860">
            <v>60</v>
          </cell>
        </row>
        <row r="861">
          <cell r="E861" t="str">
            <v>D25012820</v>
          </cell>
          <cell r="F861"/>
          <cell r="G861">
            <v>25000000</v>
          </cell>
          <cell r="H861" t="str">
            <v>Yuyun</v>
          </cell>
          <cell r="I861" t="str">
            <v>Farida</v>
          </cell>
          <cell r="J861"/>
          <cell r="K861" t="str">
            <v>KU</v>
          </cell>
          <cell r="L861" t="str">
            <v>BARO43</v>
          </cell>
          <cell r="M861" t="str">
            <v>Barokah Tani/Dahlan</v>
          </cell>
          <cell r="N861" t="str">
            <v>Moch. Dahlan</v>
          </cell>
          <cell r="O861" t="str">
            <v>Wonokerto, RT.002/RW.007 Kel. Kaliboto Kidul, Kec. Jatiroto</v>
          </cell>
          <cell r="P861" t="str">
            <v>Lumajang</v>
          </cell>
          <cell r="Q861" t="str">
            <v>Ds. Gumukmas, Mayangan, Gumukmas RT.002/RW.013</v>
          </cell>
          <cell r="R861" t="str">
            <v>Jember</v>
          </cell>
          <cell r="S861" t="str">
            <v>L Kota3</v>
          </cell>
          <cell r="T861" t="str">
            <v>Efendi</v>
          </cell>
          <cell r="U861">
            <v>30</v>
          </cell>
        </row>
        <row r="862">
          <cell r="E862" t="str">
            <v>B25012168</v>
          </cell>
          <cell r="F862"/>
          <cell r="G862">
            <v>25000000</v>
          </cell>
          <cell r="H862" t="str">
            <v>Yuyun</v>
          </cell>
          <cell r="I862" t="str">
            <v>Farida</v>
          </cell>
          <cell r="J862"/>
          <cell r="K862" t="str">
            <v>KU</v>
          </cell>
          <cell r="L862" t="str">
            <v>BARO43</v>
          </cell>
          <cell r="M862" t="str">
            <v>Barokah Tani/Dahlan</v>
          </cell>
          <cell r="N862" t="str">
            <v>Moch. Dahlan</v>
          </cell>
          <cell r="O862" t="str">
            <v>Wonokerto, RT.002/RW.007 Kel. Kaliboto Kidul, Kec. Jatiroto</v>
          </cell>
          <cell r="P862" t="str">
            <v>Lumajang</v>
          </cell>
          <cell r="Q862" t="str">
            <v>Ds. Gumukmas, Mayangan, Gumukmas RT.002/RW.013</v>
          </cell>
          <cell r="R862" t="str">
            <v>Jember</v>
          </cell>
          <cell r="S862" t="str">
            <v>L Kota3</v>
          </cell>
          <cell r="T862" t="str">
            <v>Efendi</v>
          </cell>
          <cell r="U862">
            <v>30</v>
          </cell>
        </row>
        <row r="863">
          <cell r="E863" t="str">
            <v>D25014737</v>
          </cell>
          <cell r="F863"/>
          <cell r="G863">
            <v>1000</v>
          </cell>
          <cell r="H863" t="str">
            <v>Ariyani</v>
          </cell>
          <cell r="I863" t="str">
            <v>Fira</v>
          </cell>
          <cell r="J863"/>
          <cell r="K863" t="str">
            <v>COD</v>
          </cell>
          <cell r="L863" t="str">
            <v>BARO07</v>
          </cell>
          <cell r="M863" t="str">
            <v>Barokah Tani/Hariono</v>
          </cell>
          <cell r="N863" t="str">
            <v>Slamet Hariono</v>
          </cell>
          <cell r="O863" t="str">
            <v>Krajan Barat, RT.001/RW.001 Kel. Rowokangkung, Kec. Rowokangkung</v>
          </cell>
          <cell r="P863" t="str">
            <v>Lumajang</v>
          </cell>
          <cell r="Q863" t="str">
            <v>Timur Lapangan Rowokangkung</v>
          </cell>
          <cell r="R863" t="str">
            <v>Lumajang</v>
          </cell>
          <cell r="S863" t="str">
            <v>C Lumajang</v>
          </cell>
          <cell r="T863" t="str">
            <v>Wira</v>
          </cell>
          <cell r="U863">
            <v>0</v>
          </cell>
        </row>
        <row r="864">
          <cell r="E864" t="str">
            <v>D25015972</v>
          </cell>
          <cell r="F864"/>
          <cell r="G864">
            <v>1000</v>
          </cell>
          <cell r="H864" t="str">
            <v>Ariyani</v>
          </cell>
          <cell r="I864" t="str">
            <v>Fira</v>
          </cell>
          <cell r="J864"/>
          <cell r="K864" t="str">
            <v>COD</v>
          </cell>
          <cell r="L864" t="str">
            <v>BARO07</v>
          </cell>
          <cell r="M864" t="str">
            <v>Barokah Tani/Hariono</v>
          </cell>
          <cell r="N864" t="str">
            <v>Slamet Hariono</v>
          </cell>
          <cell r="O864" t="str">
            <v>Krajan Barat, RT.001/RW.001 Kel. Rowokangkung, Kec. Rowokangkung</v>
          </cell>
          <cell r="P864" t="str">
            <v>Lumajang</v>
          </cell>
          <cell r="Q864" t="str">
            <v>Timur Lapangan Rowokangkung</v>
          </cell>
          <cell r="R864" t="str">
            <v>Lumajang</v>
          </cell>
          <cell r="S864" t="str">
            <v>C Lumajang</v>
          </cell>
          <cell r="T864" t="str">
            <v>Wira</v>
          </cell>
          <cell r="U864">
            <v>0</v>
          </cell>
        </row>
        <row r="865">
          <cell r="E865" t="str">
            <v>C25000875</v>
          </cell>
          <cell r="F865"/>
          <cell r="G865">
            <v>1000</v>
          </cell>
          <cell r="H865" t="str">
            <v>Yuyun</v>
          </cell>
          <cell r="I865" t="str">
            <v>Farida</v>
          </cell>
          <cell r="J865" t="str">
            <v>New 20/01/25</v>
          </cell>
          <cell r="K865" t="str">
            <v>KU</v>
          </cell>
          <cell r="L865" t="str">
            <v>BARO78</v>
          </cell>
          <cell r="M865" t="str">
            <v>Barokah Tani/Muhyidin</v>
          </cell>
          <cell r="N865" t="str">
            <v>Mohamad Muhyidin</v>
          </cell>
          <cell r="O865" t="str">
            <v>Jalan Tawang Mangu RT.001/RW.003 , Kel. Tegal Gede, Kec. Sumbersari</v>
          </cell>
          <cell r="P865" t="str">
            <v>Jember</v>
          </cell>
          <cell r="Q865" t="str">
            <v>Jalan Tawang Mangu RT.001/RW.003 , Kel. Tegal Gede, Kec. Sumbersari</v>
          </cell>
          <cell r="R865" t="str">
            <v xml:space="preserve">Jember </v>
          </cell>
          <cell r="S865" t="str">
            <v>L Kota1</v>
          </cell>
          <cell r="T865" t="str">
            <v>Wira</v>
          </cell>
          <cell r="U865">
            <v>0</v>
          </cell>
        </row>
        <row r="866">
          <cell r="E866" t="str">
            <v>D25012282</v>
          </cell>
          <cell r="F866"/>
          <cell r="G866">
            <v>20000000</v>
          </cell>
          <cell r="H866" t="str">
            <v>Zakia</v>
          </cell>
          <cell r="I866" t="str">
            <v>Tiya</v>
          </cell>
          <cell r="J866" t="str">
            <v>New 02/10/19</v>
          </cell>
          <cell r="K866" t="str">
            <v>KU</v>
          </cell>
          <cell r="L866" t="str">
            <v>BARO45</v>
          </cell>
          <cell r="M866" t="str">
            <v>Barokah Tani/Muslimin</v>
          </cell>
          <cell r="N866" t="str">
            <v>Muslimin</v>
          </cell>
          <cell r="O866" t="str">
            <v>Dsn. Wadang, RT.001/RW.006 Kel. Gandekan, Kec. Wonodadi</v>
          </cell>
          <cell r="P866" t="str">
            <v>Blitar</v>
          </cell>
          <cell r="Q866" t="str">
            <v>Dsn. Wadang, RT.001/RW.006 Kel. Gandekan, Kec. Wonodadi</v>
          </cell>
          <cell r="R866" t="str">
            <v>Blitar</v>
          </cell>
          <cell r="S866" t="str">
            <v>D Barat1</v>
          </cell>
          <cell r="T866" t="str">
            <v>Tomi</v>
          </cell>
          <cell r="U866">
            <v>60</v>
          </cell>
        </row>
        <row r="867">
          <cell r="E867" t="str">
            <v>B25012183</v>
          </cell>
          <cell r="F867"/>
          <cell r="G867">
            <v>20000000</v>
          </cell>
          <cell r="H867" t="str">
            <v>Zakia</v>
          </cell>
          <cell r="I867" t="str">
            <v>Tiya</v>
          </cell>
          <cell r="J867" t="str">
            <v>New 02/10/19</v>
          </cell>
          <cell r="K867" t="str">
            <v>KU</v>
          </cell>
          <cell r="L867" t="str">
            <v>BARO45</v>
          </cell>
          <cell r="M867" t="str">
            <v>Barokah Tani/Muslimin</v>
          </cell>
          <cell r="N867" t="str">
            <v>Muslimin</v>
          </cell>
          <cell r="O867" t="str">
            <v>Dsn. Wadang, RT.001/RW.006 Kel. Gandekan, Kec. Wonodadi</v>
          </cell>
          <cell r="P867" t="str">
            <v>Blitar</v>
          </cell>
          <cell r="Q867" t="str">
            <v>Dsn. Wadang, RT.001/RW.006 Kel. Gandekan, Kec. Wonodadi</v>
          </cell>
          <cell r="R867" t="str">
            <v>Blitar</v>
          </cell>
          <cell r="S867" t="str">
            <v>D Barat1</v>
          </cell>
          <cell r="T867" t="str">
            <v>Tomi</v>
          </cell>
          <cell r="U867">
            <v>30</v>
          </cell>
        </row>
        <row r="868">
          <cell r="E868" t="str">
            <v>D25008866</v>
          </cell>
          <cell r="F868"/>
          <cell r="G868">
            <v>2500000000</v>
          </cell>
          <cell r="H868" t="str">
            <v>Reni</v>
          </cell>
          <cell r="I868" t="str">
            <v>Fira</v>
          </cell>
          <cell r="J868" t="str">
            <v>New 01/11/19</v>
          </cell>
          <cell r="K868" t="str">
            <v>KU, Tunai</v>
          </cell>
          <cell r="L868" t="str">
            <v>BARO46</v>
          </cell>
          <cell r="M868" t="str">
            <v>Barokah Tani/Nur Hisan</v>
          </cell>
          <cell r="N868" t="str">
            <v>Barokah Tani Indonesia, CV</v>
          </cell>
          <cell r="O868" t="str">
            <v>Poros Desa RT.001/RW.002, Tlogowaru, Kec. Merakurak</v>
          </cell>
          <cell r="P868" t="str">
            <v>Tuban</v>
          </cell>
          <cell r="Q868" t="str">
            <v>Dsn. Mbagur, RT.01/RW.02, Ds. Tlogowaru, Kec, Merak Urak (Jl. Raya Sumur 2 dari Arah Timur Ke Barat, GG. Rumah 1 Ke Utara)</v>
          </cell>
          <cell r="R868" t="str">
            <v>Tuban</v>
          </cell>
          <cell r="S868" t="str">
            <v>F Utara1</v>
          </cell>
          <cell r="T868" t="str">
            <v>Dian</v>
          </cell>
          <cell r="U868">
            <v>60</v>
          </cell>
        </row>
        <row r="869">
          <cell r="E869" t="str">
            <v>D25012318</v>
          </cell>
          <cell r="F869"/>
          <cell r="G869">
            <v>2500000000</v>
          </cell>
          <cell r="H869" t="str">
            <v>Reni</v>
          </cell>
          <cell r="I869" t="str">
            <v>Fira</v>
          </cell>
          <cell r="J869" t="str">
            <v>New 01/11/19</v>
          </cell>
          <cell r="K869" t="str">
            <v>KU, Tunai</v>
          </cell>
          <cell r="L869" t="str">
            <v>BARO46</v>
          </cell>
          <cell r="M869" t="str">
            <v>Barokah Tani/Nur Hisan</v>
          </cell>
          <cell r="N869" t="str">
            <v>Barokah Tani Indonesia, CV</v>
          </cell>
          <cell r="O869" t="str">
            <v>Poros Desa RT.001/RW.002, Tlogowaru, Kec. Merakurak</v>
          </cell>
          <cell r="P869" t="str">
            <v>Tuban</v>
          </cell>
          <cell r="Q869" t="str">
            <v>Dsn. Mbagur, RT.01/RW.02, Ds. Tlogowaru, Kec, Merak Urak (Jl. Raya Sumur 2 dari Arah Timur Ke Barat, GG. Rumah 1 Ke Utara)</v>
          </cell>
          <cell r="R869" t="str">
            <v>Tuban</v>
          </cell>
          <cell r="S869" t="str">
            <v>F Utara1</v>
          </cell>
          <cell r="T869" t="str">
            <v>Dian</v>
          </cell>
          <cell r="U869">
            <v>30</v>
          </cell>
        </row>
        <row r="870">
          <cell r="E870" t="str">
            <v>D25012495</v>
          </cell>
          <cell r="F870"/>
          <cell r="G870">
            <v>2500000000</v>
          </cell>
          <cell r="H870" t="str">
            <v>Reni</v>
          </cell>
          <cell r="I870" t="str">
            <v>Fira</v>
          </cell>
          <cell r="J870" t="str">
            <v>New 01/11/19</v>
          </cell>
          <cell r="K870" t="str">
            <v>KU, Tunai</v>
          </cell>
          <cell r="L870" t="str">
            <v>BARO46</v>
          </cell>
          <cell r="M870" t="str">
            <v>Barokah Tani/Nur Hisan</v>
          </cell>
          <cell r="N870" t="str">
            <v>Barokah Tani Indonesia, CV</v>
          </cell>
          <cell r="O870" t="str">
            <v>Poros Desa RT.001/RW.002, Tlogowaru, Kec. Merakurak</v>
          </cell>
          <cell r="P870" t="str">
            <v>Tuban</v>
          </cell>
          <cell r="Q870" t="str">
            <v>Dsn. Mbagur, RT.01/RW.02, Ds. Tlogowaru, Kec, Merak Urak (Jl. Raya Sumur 2 dari Arah Timur Ke Barat, GG. Rumah 1 Ke Utara)</v>
          </cell>
          <cell r="R870" t="str">
            <v>Tuban</v>
          </cell>
          <cell r="S870" t="str">
            <v>F Utara1</v>
          </cell>
          <cell r="T870" t="str">
            <v>Dian</v>
          </cell>
          <cell r="U870">
            <v>60</v>
          </cell>
        </row>
        <row r="871">
          <cell r="E871" t="str">
            <v>B25010717</v>
          </cell>
          <cell r="F871"/>
          <cell r="G871">
            <v>2500000000</v>
          </cell>
          <cell r="H871" t="str">
            <v>Reni</v>
          </cell>
          <cell r="I871" t="str">
            <v>Fira</v>
          </cell>
          <cell r="J871" t="str">
            <v>New 01/11/19</v>
          </cell>
          <cell r="K871" t="str">
            <v>KU, Tunai</v>
          </cell>
          <cell r="L871" t="str">
            <v>BARO46</v>
          </cell>
          <cell r="M871" t="str">
            <v>Barokah Tani/Nur Hisan</v>
          </cell>
          <cell r="N871" t="str">
            <v>Barokah Tani Indonesia, CV</v>
          </cell>
          <cell r="O871" t="str">
            <v>Poros Desa RT.001/RW.002, Tlogowaru, Kec. Merakurak</v>
          </cell>
          <cell r="P871" t="str">
            <v>Tuban</v>
          </cell>
          <cell r="Q871" t="str">
            <v>Dsn. Mbagur, RT.01/RW.02, Ds. Tlogowaru, Kec, Merak Urak (Jl. Raya Sumur 2 dari Arah Timur Ke Barat, GG. Rumah 1 Ke Utara)</v>
          </cell>
          <cell r="R871" t="str">
            <v>Tuban</v>
          </cell>
          <cell r="S871" t="str">
            <v>F Utara1</v>
          </cell>
          <cell r="T871" t="str">
            <v>Dian</v>
          </cell>
          <cell r="U871">
            <v>60</v>
          </cell>
        </row>
        <row r="872">
          <cell r="E872" t="str">
            <v>B25011439</v>
          </cell>
          <cell r="F872"/>
          <cell r="G872">
            <v>2500000000</v>
          </cell>
          <cell r="H872" t="str">
            <v>Reni</v>
          </cell>
          <cell r="I872" t="str">
            <v>Fira</v>
          </cell>
          <cell r="J872" t="str">
            <v>New 01/11/19</v>
          </cell>
          <cell r="K872" t="str">
            <v>KU, Tunai</v>
          </cell>
          <cell r="L872" t="str">
            <v>BARO46</v>
          </cell>
          <cell r="M872" t="str">
            <v>Barokah Tani/Nur Hisan</v>
          </cell>
          <cell r="N872" t="str">
            <v>Barokah Tani Indonesia, CV</v>
          </cell>
          <cell r="O872" t="str">
            <v>Poros Desa RT.001/RW.002, Tlogowaru, Kec. Merakurak</v>
          </cell>
          <cell r="P872" t="str">
            <v>Tuban</v>
          </cell>
          <cell r="Q872" t="str">
            <v>Dsn. Mbagur, RT.01/RW.02, Ds. Tlogowaru, Kec, Merak Urak (Jl. Raya Sumur 2 dari Arah Timur Ke Barat, GG. Rumah 1 Ke Utara)</v>
          </cell>
          <cell r="R872" t="str">
            <v>Tuban</v>
          </cell>
          <cell r="S872" t="str">
            <v>F Utara1</v>
          </cell>
          <cell r="T872" t="str">
            <v>Dian</v>
          </cell>
          <cell r="U872">
            <v>60</v>
          </cell>
        </row>
        <row r="873">
          <cell r="E873" t="str">
            <v>D25013661</v>
          </cell>
          <cell r="F873"/>
          <cell r="G873">
            <v>2500000000</v>
          </cell>
          <cell r="H873" t="str">
            <v>Reni</v>
          </cell>
          <cell r="I873" t="str">
            <v>Fira</v>
          </cell>
          <cell r="J873" t="str">
            <v>New 01/11/19</v>
          </cell>
          <cell r="K873" t="str">
            <v>KU, Tunai</v>
          </cell>
          <cell r="L873" t="str">
            <v>BARO46</v>
          </cell>
          <cell r="M873" t="str">
            <v>Barokah Tani/Nur Hisan</v>
          </cell>
          <cell r="N873" t="str">
            <v>Barokah Tani Indonesia, CV</v>
          </cell>
          <cell r="O873" t="str">
            <v>Poros Desa RT.001/RW.002, Tlogowaru, Kec. Merakurak</v>
          </cell>
          <cell r="P873" t="str">
            <v>Tuban</v>
          </cell>
          <cell r="Q873" t="str">
            <v>Dsn. Mbagur, RT.01/RW.02, Ds. Tlogowaru, Kec, Merak Urak (Jl. Raya Sumur 2 dari Arah Timur Ke Barat, GG. Rumah 1 Ke Utara)</v>
          </cell>
          <cell r="R873" t="str">
            <v>Tuban</v>
          </cell>
          <cell r="S873" t="str">
            <v>F Utara1</v>
          </cell>
          <cell r="T873" t="str">
            <v>Dian</v>
          </cell>
          <cell r="U873">
            <v>60</v>
          </cell>
        </row>
        <row r="874">
          <cell r="E874" t="str">
            <v>D25013700</v>
          </cell>
          <cell r="F874"/>
          <cell r="G874">
            <v>2500000000</v>
          </cell>
          <cell r="H874" t="str">
            <v>Reni</v>
          </cell>
          <cell r="I874" t="str">
            <v>Fira</v>
          </cell>
          <cell r="J874" t="str">
            <v>New 01/11/19</v>
          </cell>
          <cell r="K874" t="str">
            <v>KU, Tunai</v>
          </cell>
          <cell r="L874" t="str">
            <v>BARO46</v>
          </cell>
          <cell r="M874" t="str">
            <v>Barokah Tani/Nur Hisan</v>
          </cell>
          <cell r="N874" t="str">
            <v>Barokah Tani Indonesia, CV</v>
          </cell>
          <cell r="O874" t="str">
            <v>Poros Desa RT.001/RW.002, Tlogowaru, Kec. Merakurak</v>
          </cell>
          <cell r="P874" t="str">
            <v>Tuban</v>
          </cell>
          <cell r="Q874" t="str">
            <v>Dsn. Mbagur, RT.01/RW.02, Ds. Tlogowaru, Kec, Merak Urak (Jl. Raya Sumur 2 dari Arah Timur Ke Barat, GG. Rumah 1 Ke Utara)</v>
          </cell>
          <cell r="R874" t="str">
            <v>Tuban</v>
          </cell>
          <cell r="S874" t="str">
            <v>F Utara1</v>
          </cell>
          <cell r="T874" t="str">
            <v>Dian</v>
          </cell>
          <cell r="U874">
            <v>60</v>
          </cell>
        </row>
        <row r="875">
          <cell r="E875" t="str">
            <v>B25011969</v>
          </cell>
          <cell r="F875"/>
          <cell r="G875">
            <v>2500000000</v>
          </cell>
          <cell r="H875" t="str">
            <v>Reni</v>
          </cell>
          <cell r="I875" t="str">
            <v>Fira</v>
          </cell>
          <cell r="J875" t="str">
            <v>New 01/11/19</v>
          </cell>
          <cell r="K875" t="str">
            <v>KU, Tunai</v>
          </cell>
          <cell r="L875" t="str">
            <v>BARO46</v>
          </cell>
          <cell r="M875" t="str">
            <v>Barokah Tani/Nur Hisan</v>
          </cell>
          <cell r="N875" t="str">
            <v>Barokah Tani Indonesia, CV</v>
          </cell>
          <cell r="O875" t="str">
            <v>Poros Desa RT.001/RW.002, Tlogowaru, Kec. Merakurak</v>
          </cell>
          <cell r="P875" t="str">
            <v>Tuban</v>
          </cell>
          <cell r="Q875" t="str">
            <v>Dsn. Mbagur, RT.01/RW.02, Ds. Tlogowaru, Kec, Merak Urak (Jl. Raya Sumur 2 dari Arah Timur Ke Barat, GG. Rumah 1 Ke Utara)</v>
          </cell>
          <cell r="R875" t="str">
            <v>Tuban</v>
          </cell>
          <cell r="S875" t="str">
            <v>F Utara1</v>
          </cell>
          <cell r="T875" t="str">
            <v>Dian</v>
          </cell>
          <cell r="U875">
            <v>60</v>
          </cell>
        </row>
        <row r="876">
          <cell r="E876" t="str">
            <v>B25011970</v>
          </cell>
          <cell r="F876"/>
          <cell r="G876">
            <v>2500000000</v>
          </cell>
          <cell r="H876" t="str">
            <v>Reni</v>
          </cell>
          <cell r="I876" t="str">
            <v>Fira</v>
          </cell>
          <cell r="J876" t="str">
            <v>New 01/11/19</v>
          </cell>
          <cell r="K876" t="str">
            <v>KU, Tunai</v>
          </cell>
          <cell r="L876" t="str">
            <v>BARO46</v>
          </cell>
          <cell r="M876" t="str">
            <v>Barokah Tani/Nur Hisan</v>
          </cell>
          <cell r="N876" t="str">
            <v>Barokah Tani Indonesia, CV</v>
          </cell>
          <cell r="O876" t="str">
            <v>Poros Desa RT.001/RW.002, Tlogowaru, Kec. Merakurak</v>
          </cell>
          <cell r="P876" t="str">
            <v>Tuban</v>
          </cell>
          <cell r="Q876" t="str">
            <v>Dsn. Mbagur, RT.01/RW.02, Ds. Tlogowaru, Kec, Merak Urak (Jl. Raya Sumur 2 dari Arah Timur Ke Barat, GG. Rumah 1 Ke Utara)</v>
          </cell>
          <cell r="R876" t="str">
            <v>Tuban</v>
          </cell>
          <cell r="S876" t="str">
            <v>F Utara1</v>
          </cell>
          <cell r="T876" t="str">
            <v>Dian</v>
          </cell>
          <cell r="U876">
            <v>60</v>
          </cell>
        </row>
        <row r="877">
          <cell r="E877" t="str">
            <v>D25014235</v>
          </cell>
          <cell r="F877"/>
          <cell r="G877">
            <v>2500000000</v>
          </cell>
          <cell r="H877" t="str">
            <v>Reni</v>
          </cell>
          <cell r="I877" t="str">
            <v>Fira</v>
          </cell>
          <cell r="J877" t="str">
            <v>New 01/11/19</v>
          </cell>
          <cell r="K877" t="str">
            <v>KU, Tunai</v>
          </cell>
          <cell r="L877" t="str">
            <v>BARO46</v>
          </cell>
          <cell r="M877" t="str">
            <v>Barokah Tani/Nur Hisan</v>
          </cell>
          <cell r="N877" t="str">
            <v>Barokah Tani Indonesia, CV</v>
          </cell>
          <cell r="O877" t="str">
            <v>Poros Desa RT.001/RW.002, Tlogowaru, Kec. Merakurak</v>
          </cell>
          <cell r="P877" t="str">
            <v>Tuban</v>
          </cell>
          <cell r="Q877" t="str">
            <v>Dsn. Mbagur, RT.01/RW.02, Ds. Tlogowaru, Kec, Merak Urak (Jl. Raya Sumur 2 dari Arah Timur Ke Barat, GG. Rumah 1 Ke Utara)</v>
          </cell>
          <cell r="R877" t="str">
            <v>Tuban</v>
          </cell>
          <cell r="S877" t="str">
            <v>F Utara1</v>
          </cell>
          <cell r="T877" t="str">
            <v>Dian</v>
          </cell>
          <cell r="U877">
            <v>60</v>
          </cell>
        </row>
        <row r="878">
          <cell r="E878" t="str">
            <v>D25014274</v>
          </cell>
          <cell r="F878"/>
          <cell r="G878">
            <v>2500000000</v>
          </cell>
          <cell r="H878" t="str">
            <v>Reni</v>
          </cell>
          <cell r="I878" t="str">
            <v>Fira</v>
          </cell>
          <cell r="J878" t="str">
            <v>New 01/11/19</v>
          </cell>
          <cell r="K878" t="str">
            <v>KU, Tunai</v>
          </cell>
          <cell r="L878" t="str">
            <v>BARO46</v>
          </cell>
          <cell r="M878" t="str">
            <v>Barokah Tani/Nur Hisan</v>
          </cell>
          <cell r="N878" t="str">
            <v>Barokah Tani Indonesia, CV</v>
          </cell>
          <cell r="O878" t="str">
            <v>Poros Desa RT.001/RW.002, Tlogowaru, Kec. Merakurak</v>
          </cell>
          <cell r="P878" t="str">
            <v>Tuban</v>
          </cell>
          <cell r="Q878" t="str">
            <v>Dsn. Mbagur, RT.01/RW.02, Ds. Tlogowaru, Kec, Merak Urak (Jl. Raya Sumur 2 dari Arah Timur Ke Barat, GG. Rumah 1 Ke Utara)</v>
          </cell>
          <cell r="R878" t="str">
            <v>Tuban</v>
          </cell>
          <cell r="S878" t="str">
            <v>F Utara1</v>
          </cell>
          <cell r="T878" t="str">
            <v>Dian</v>
          </cell>
          <cell r="U878">
            <v>60</v>
          </cell>
        </row>
        <row r="879">
          <cell r="E879" t="str">
            <v>D25014352</v>
          </cell>
          <cell r="F879"/>
          <cell r="G879">
            <v>2500000000</v>
          </cell>
          <cell r="H879" t="str">
            <v>Reni</v>
          </cell>
          <cell r="I879" t="str">
            <v>Fira</v>
          </cell>
          <cell r="J879" t="str">
            <v>New 01/11/19</v>
          </cell>
          <cell r="K879" t="str">
            <v>KU, Tunai</v>
          </cell>
          <cell r="L879" t="str">
            <v>BARO46</v>
          </cell>
          <cell r="M879" t="str">
            <v>Barokah Tani/Nur Hisan</v>
          </cell>
          <cell r="N879" t="str">
            <v>Barokah Tani Indonesia, CV</v>
          </cell>
          <cell r="O879" t="str">
            <v>Poros Desa RT.001/RW.002, Tlogowaru, Kec. Merakurak</v>
          </cell>
          <cell r="P879" t="str">
            <v>Tuban</v>
          </cell>
          <cell r="Q879" t="str">
            <v>Dsn. Mbagur, RT.01/RW.02, Ds. Tlogowaru, Kec, Merak Urak (Jl. Raya Sumur 2 dari Arah Timur Ke Barat, GG. Rumah 1 Ke Utara)</v>
          </cell>
          <cell r="R879" t="str">
            <v>Tuban</v>
          </cell>
          <cell r="S879" t="str">
            <v>F Utara1</v>
          </cell>
          <cell r="T879" t="str">
            <v>Dian</v>
          </cell>
          <cell r="U879">
            <v>60</v>
          </cell>
        </row>
        <row r="880">
          <cell r="E880" t="str">
            <v>B25012335</v>
          </cell>
          <cell r="F880"/>
          <cell r="G880">
            <v>2500000000</v>
          </cell>
          <cell r="H880" t="str">
            <v>Reni</v>
          </cell>
          <cell r="I880" t="str">
            <v>Fira</v>
          </cell>
          <cell r="J880" t="str">
            <v>New 01/11/19</v>
          </cell>
          <cell r="K880" t="str">
            <v>KU, Tunai</v>
          </cell>
          <cell r="L880" t="str">
            <v>BARO46</v>
          </cell>
          <cell r="M880" t="str">
            <v>Barokah Tani/Nur Hisan</v>
          </cell>
          <cell r="N880" t="str">
            <v>Barokah Tani Indonesia, CV</v>
          </cell>
          <cell r="O880" t="str">
            <v>Poros Desa RT.001/RW.002, Tlogowaru, Kec. Merakurak</v>
          </cell>
          <cell r="P880" t="str">
            <v>Tuban</v>
          </cell>
          <cell r="Q880" t="str">
            <v>Dsn. Mbagur, RT.01/RW.02, Ds. Tlogowaru, Kec, Merak Urak (Jl. Raya Sumur 2 dari Arah Timur Ke Barat, GG. Rumah 1 Ke Utara)</v>
          </cell>
          <cell r="R880" t="str">
            <v>Tuban</v>
          </cell>
          <cell r="S880" t="str">
            <v>F Utara1</v>
          </cell>
          <cell r="T880" t="str">
            <v>Dian</v>
          </cell>
          <cell r="U880">
            <v>60</v>
          </cell>
        </row>
        <row r="881">
          <cell r="E881" t="str">
            <v>D25014723</v>
          </cell>
          <cell r="F881"/>
          <cell r="G881">
            <v>2500000000</v>
          </cell>
          <cell r="H881" t="str">
            <v>Reni</v>
          </cell>
          <cell r="I881" t="str">
            <v>Fira</v>
          </cell>
          <cell r="J881" t="str">
            <v>New 01/11/19</v>
          </cell>
          <cell r="K881" t="str">
            <v>KU, Tunai</v>
          </cell>
          <cell r="L881" t="str">
            <v>BARO46</v>
          </cell>
          <cell r="M881" t="str">
            <v>Barokah Tani/Nur Hisan</v>
          </cell>
          <cell r="N881" t="str">
            <v>Barokah Tani Indonesia, CV</v>
          </cell>
          <cell r="O881" t="str">
            <v>Poros Desa RT.001/RW.002, Tlogowaru, Kec. Merakurak</v>
          </cell>
          <cell r="P881" t="str">
            <v>Tuban</v>
          </cell>
          <cell r="Q881" t="str">
            <v>Dsn. Mbagur, RT.01/RW.02, Ds. Tlogowaru, Kec, Merak Urak (Jl. Raya Sumur 2 dari Arah Timur Ke Barat, GG. Rumah 1 Ke Utara)</v>
          </cell>
          <cell r="R881" t="str">
            <v>Tuban</v>
          </cell>
          <cell r="S881" t="str">
            <v>F Utara1</v>
          </cell>
          <cell r="T881" t="str">
            <v>Dian</v>
          </cell>
          <cell r="U881">
            <v>60</v>
          </cell>
        </row>
        <row r="882">
          <cell r="E882" t="str">
            <v>D25014836</v>
          </cell>
          <cell r="F882"/>
          <cell r="G882">
            <v>2500000000</v>
          </cell>
          <cell r="H882" t="str">
            <v>Reni</v>
          </cell>
          <cell r="I882" t="str">
            <v>Fira</v>
          </cell>
          <cell r="J882" t="str">
            <v>New 01/11/19</v>
          </cell>
          <cell r="K882" t="str">
            <v>KU, Tunai</v>
          </cell>
          <cell r="L882" t="str">
            <v>BARO46</v>
          </cell>
          <cell r="M882" t="str">
            <v>Barokah Tani/Nur Hisan</v>
          </cell>
          <cell r="N882" t="str">
            <v>Barokah Tani Indonesia, CV</v>
          </cell>
          <cell r="O882" t="str">
            <v>Poros Desa RT.001/RW.002, Tlogowaru, Kec. Merakurak</v>
          </cell>
          <cell r="P882" t="str">
            <v>Tuban</v>
          </cell>
          <cell r="Q882" t="str">
            <v>Dsn. Mbagur, RT.01/RW.02, Ds. Tlogowaru, Kec, Merak Urak (Jl. Raya Sumur 2 dari Arah Timur Ke Barat, GG. Rumah 1 Ke Utara)</v>
          </cell>
          <cell r="R882" t="str">
            <v>Tuban</v>
          </cell>
          <cell r="S882" t="str">
            <v>F Utara1</v>
          </cell>
          <cell r="T882" t="str">
            <v>Dian</v>
          </cell>
          <cell r="U882">
            <v>60</v>
          </cell>
        </row>
        <row r="883">
          <cell r="E883" t="str">
            <v>B25012588</v>
          </cell>
          <cell r="F883"/>
          <cell r="G883">
            <v>2500000000</v>
          </cell>
          <cell r="H883" t="str">
            <v>Reni</v>
          </cell>
          <cell r="I883" t="str">
            <v>Fira</v>
          </cell>
          <cell r="J883" t="str">
            <v>New 01/11/19</v>
          </cell>
          <cell r="K883" t="str">
            <v>KU, Tunai</v>
          </cell>
          <cell r="L883" t="str">
            <v>BARO46</v>
          </cell>
          <cell r="M883" t="str">
            <v>Barokah Tani/Nur Hisan</v>
          </cell>
          <cell r="N883" t="str">
            <v>Barokah Tani Indonesia, CV</v>
          </cell>
          <cell r="O883" t="str">
            <v>Poros Desa RT.001/RW.002, Tlogowaru, Kec. Merakurak</v>
          </cell>
          <cell r="P883" t="str">
            <v>Tuban</v>
          </cell>
          <cell r="Q883" t="str">
            <v>Dsn. Mbagur, RT.01/RW.02, Ds. Tlogowaru, Kec, Merak Urak (Jl. Raya Sumur 2 dari Arah Timur Ke Barat, GG. Rumah 1 Ke Utara)</v>
          </cell>
          <cell r="R883" t="str">
            <v>Tuban</v>
          </cell>
          <cell r="S883" t="str">
            <v>F Utara1</v>
          </cell>
          <cell r="T883" t="str">
            <v>Dian</v>
          </cell>
          <cell r="U883">
            <v>0</v>
          </cell>
        </row>
        <row r="884">
          <cell r="E884" t="str">
            <v>B25012591</v>
          </cell>
          <cell r="F884"/>
          <cell r="G884">
            <v>2500000000</v>
          </cell>
          <cell r="H884" t="str">
            <v>Reni</v>
          </cell>
          <cell r="I884" t="str">
            <v>Fira</v>
          </cell>
          <cell r="J884" t="str">
            <v>New 01/11/19</v>
          </cell>
          <cell r="K884" t="str">
            <v>KU, Tunai</v>
          </cell>
          <cell r="L884" t="str">
            <v>BARO46</v>
          </cell>
          <cell r="M884" t="str">
            <v>Barokah Tani/Nur Hisan</v>
          </cell>
          <cell r="N884" t="str">
            <v>Barokah Tani Indonesia, CV</v>
          </cell>
          <cell r="O884" t="str">
            <v>Poros Desa RT.001/RW.002, Tlogowaru, Kec. Merakurak</v>
          </cell>
          <cell r="P884" t="str">
            <v>Tuban</v>
          </cell>
          <cell r="Q884" t="str">
            <v>Dsn. Mbagur, RT.01/RW.02, Ds. Tlogowaru, Kec, Merak Urak (Jl. Raya Sumur 2 dari Arah Timur Ke Barat, GG. Rumah 1 Ke Utara)</v>
          </cell>
          <cell r="R884" t="str">
            <v>Tuban</v>
          </cell>
          <cell r="S884" t="str">
            <v>F Utara1</v>
          </cell>
          <cell r="T884" t="str">
            <v>Dian</v>
          </cell>
          <cell r="U884">
            <v>60</v>
          </cell>
        </row>
        <row r="885">
          <cell r="E885" t="str">
            <v>B25012794</v>
          </cell>
          <cell r="F885"/>
          <cell r="G885">
            <v>2500000000</v>
          </cell>
          <cell r="H885" t="str">
            <v>Reni</v>
          </cell>
          <cell r="I885" t="str">
            <v>Fira</v>
          </cell>
          <cell r="J885" t="str">
            <v>New 01/11/19</v>
          </cell>
          <cell r="K885" t="str">
            <v>KU, Tunai</v>
          </cell>
          <cell r="L885" t="str">
            <v>BARO46</v>
          </cell>
          <cell r="M885" t="str">
            <v>Barokah Tani/Nur Hisan</v>
          </cell>
          <cell r="N885" t="str">
            <v>Barokah Tani Indonesia, CV</v>
          </cell>
          <cell r="O885" t="str">
            <v>Poros Desa RT.001/RW.002, Tlogowaru, Kec. Merakurak</v>
          </cell>
          <cell r="P885" t="str">
            <v>Tuban</v>
          </cell>
          <cell r="Q885" t="str">
            <v>Dsn. Mbagur, RT.01/RW.02, Ds. Tlogowaru, Kec, Merak Urak (Jl. Raya Sumur 2 dari Arah Timur Ke Barat, GG. Rumah 1 Ke Utara)</v>
          </cell>
          <cell r="R885" t="str">
            <v>Tuban</v>
          </cell>
          <cell r="S885" t="str">
            <v>F Utara1</v>
          </cell>
          <cell r="T885" t="str">
            <v>Dian</v>
          </cell>
          <cell r="U885">
            <v>60</v>
          </cell>
        </row>
        <row r="886">
          <cell r="E886" t="str">
            <v>B25012804</v>
          </cell>
          <cell r="F886"/>
          <cell r="G886">
            <v>2500000000</v>
          </cell>
          <cell r="H886" t="str">
            <v>Reni</v>
          </cell>
          <cell r="I886" t="str">
            <v>Fira</v>
          </cell>
          <cell r="J886" t="str">
            <v>New 01/11/19</v>
          </cell>
          <cell r="K886" t="str">
            <v>KU, Tunai</v>
          </cell>
          <cell r="L886" t="str">
            <v>BARO46</v>
          </cell>
          <cell r="M886" t="str">
            <v>Barokah Tani/Nur Hisan</v>
          </cell>
          <cell r="N886" t="str">
            <v>Barokah Tani Indonesia, CV</v>
          </cell>
          <cell r="O886" t="str">
            <v>Poros Desa RT.001/RW.002, Tlogowaru, Kec. Merakurak</v>
          </cell>
          <cell r="P886" t="str">
            <v>Tuban</v>
          </cell>
          <cell r="Q886" t="str">
            <v>Dsn. Mbagur, RT.01/RW.02, Ds. Tlogowaru, Kec, Merak Urak (Jl. Raya Sumur 2 dari Arah Timur Ke Barat, GG. Rumah 1 Ke Utara)</v>
          </cell>
          <cell r="R886" t="str">
            <v>Tuban</v>
          </cell>
          <cell r="S886" t="str">
            <v>F Utara1</v>
          </cell>
          <cell r="T886" t="str">
            <v>Dian</v>
          </cell>
          <cell r="U886">
            <v>60</v>
          </cell>
        </row>
        <row r="887">
          <cell r="E887" t="str">
            <v>D25015056</v>
          </cell>
          <cell r="F887"/>
          <cell r="G887">
            <v>2500000000</v>
          </cell>
          <cell r="H887" t="str">
            <v>Reni</v>
          </cell>
          <cell r="I887" t="str">
            <v>Fira</v>
          </cell>
          <cell r="J887" t="str">
            <v>New 01/11/19</v>
          </cell>
          <cell r="K887" t="str">
            <v>KU, Tunai</v>
          </cell>
          <cell r="L887" t="str">
            <v>BARO46</v>
          </cell>
          <cell r="M887" t="str">
            <v>Barokah Tani/Nur Hisan</v>
          </cell>
          <cell r="N887" t="str">
            <v>Barokah Tani Indonesia, CV</v>
          </cell>
          <cell r="O887" t="str">
            <v>Poros Desa RT.001/RW.002, Tlogowaru, Kec. Merakurak</v>
          </cell>
          <cell r="P887" t="str">
            <v>Tuban</v>
          </cell>
          <cell r="Q887" t="str">
            <v>Dsn. Mbagur, RT.01/RW.02, Ds. Tlogowaru, Kec, Merak Urak (Jl. Raya Sumur 2 dari Arah Timur Ke Barat, GG. Rumah 1 Ke Utara)</v>
          </cell>
          <cell r="R887" t="str">
            <v>Tuban</v>
          </cell>
          <cell r="S887" t="str">
            <v>F Utara1</v>
          </cell>
          <cell r="T887" t="str">
            <v>Dian</v>
          </cell>
          <cell r="U887">
            <v>60</v>
          </cell>
        </row>
        <row r="888">
          <cell r="E888" t="str">
            <v>D25015139</v>
          </cell>
          <cell r="F888"/>
          <cell r="G888">
            <v>2500000000</v>
          </cell>
          <cell r="H888" t="str">
            <v>Reni</v>
          </cell>
          <cell r="I888" t="str">
            <v>Fira</v>
          </cell>
          <cell r="J888" t="str">
            <v>New 01/11/19</v>
          </cell>
          <cell r="K888" t="str">
            <v>KU, Tunai</v>
          </cell>
          <cell r="L888" t="str">
            <v>BARO46</v>
          </cell>
          <cell r="M888" t="str">
            <v>Barokah Tani/Nur Hisan</v>
          </cell>
          <cell r="N888" t="str">
            <v>Barokah Tani Indonesia, CV</v>
          </cell>
          <cell r="O888" t="str">
            <v>Poros Desa RT.001/RW.002, Tlogowaru, Kec. Merakurak</v>
          </cell>
          <cell r="P888" t="str">
            <v>Tuban</v>
          </cell>
          <cell r="Q888" t="str">
            <v>Dsn. Mbagur, RT.01/RW.02, Ds. Tlogowaru, Kec, Merak Urak (Jl. Raya Sumur 2 dari Arah Timur Ke Barat, GG. Rumah 1 Ke Utara)</v>
          </cell>
          <cell r="R888" t="str">
            <v>Tuban</v>
          </cell>
          <cell r="S888" t="str">
            <v>F Utara1</v>
          </cell>
          <cell r="T888" t="str">
            <v>Dian</v>
          </cell>
          <cell r="U888">
            <v>60</v>
          </cell>
        </row>
        <row r="889">
          <cell r="E889" t="str">
            <v>D25015160</v>
          </cell>
          <cell r="F889"/>
          <cell r="G889">
            <v>2500000000</v>
          </cell>
          <cell r="H889" t="str">
            <v>Reni</v>
          </cell>
          <cell r="I889" t="str">
            <v>Fira</v>
          </cell>
          <cell r="J889" t="str">
            <v>New 01/11/19</v>
          </cell>
          <cell r="K889" t="str">
            <v>KU, Tunai</v>
          </cell>
          <cell r="L889" t="str">
            <v>BARO46</v>
          </cell>
          <cell r="M889" t="str">
            <v>Barokah Tani/Nur Hisan</v>
          </cell>
          <cell r="N889" t="str">
            <v>Barokah Tani Indonesia, CV</v>
          </cell>
          <cell r="O889" t="str">
            <v>Poros Desa RT.001/RW.002, Tlogowaru, Kec. Merakurak</v>
          </cell>
          <cell r="P889" t="str">
            <v>Tuban</v>
          </cell>
          <cell r="Q889" t="str">
            <v>Dsn. Mbagur, RT.01/RW.02, Ds. Tlogowaru, Kec, Merak Urak (Jl. Raya Sumur 2 dari Arah Timur Ke Barat, GG. Rumah 1 Ke Utara)</v>
          </cell>
          <cell r="R889" t="str">
            <v>Tuban</v>
          </cell>
          <cell r="S889" t="str">
            <v>F Utara1</v>
          </cell>
          <cell r="T889" t="str">
            <v>Dian</v>
          </cell>
          <cell r="U889">
            <v>60</v>
          </cell>
        </row>
        <row r="890">
          <cell r="E890" t="str">
            <v>B25013035</v>
          </cell>
          <cell r="F890"/>
          <cell r="G890">
            <v>2500000000</v>
          </cell>
          <cell r="H890" t="str">
            <v>Reni</v>
          </cell>
          <cell r="I890" t="str">
            <v>Fira</v>
          </cell>
          <cell r="J890" t="str">
            <v>New 01/11/19</v>
          </cell>
          <cell r="K890" t="str">
            <v>KU, Tunai</v>
          </cell>
          <cell r="L890" t="str">
            <v>BARO46</v>
          </cell>
          <cell r="M890" t="str">
            <v>Barokah Tani/Nur Hisan</v>
          </cell>
          <cell r="N890" t="str">
            <v>Barokah Tani Indonesia, CV</v>
          </cell>
          <cell r="O890" t="str">
            <v>Poros Desa RT.001/RW.002, Tlogowaru, Kec. Merakurak</v>
          </cell>
          <cell r="P890" t="str">
            <v>Tuban</v>
          </cell>
          <cell r="Q890" t="str">
            <v>Dsn. Mbagur, RT.01/RW.02, Ds. Tlogowaru, Kec, Merak Urak (Jl. Raya Sumur 2 dari Arah Timur Ke Barat, GG. Rumah 1 Ke Utara)</v>
          </cell>
          <cell r="R890" t="str">
            <v>Tuban</v>
          </cell>
          <cell r="S890" t="str">
            <v>F Utara1</v>
          </cell>
          <cell r="T890" t="str">
            <v>Dian</v>
          </cell>
          <cell r="U890">
            <v>60</v>
          </cell>
        </row>
        <row r="891">
          <cell r="E891" t="str">
            <v>D25015314</v>
          </cell>
          <cell r="F891"/>
          <cell r="G891">
            <v>2500000000</v>
          </cell>
          <cell r="H891" t="str">
            <v>Reni</v>
          </cell>
          <cell r="I891" t="str">
            <v>Fira</v>
          </cell>
          <cell r="J891" t="str">
            <v>New 01/11/19</v>
          </cell>
          <cell r="K891" t="str">
            <v>KU, Tunai</v>
          </cell>
          <cell r="L891" t="str">
            <v>BARO46</v>
          </cell>
          <cell r="M891" t="str">
            <v>Barokah Tani/Nur Hisan</v>
          </cell>
          <cell r="N891" t="str">
            <v>Barokah Tani Indonesia, CV</v>
          </cell>
          <cell r="O891" t="str">
            <v>Poros Desa RT.001/RW.002, Tlogowaru, Kec. Merakurak</v>
          </cell>
          <cell r="P891" t="str">
            <v>Tuban</v>
          </cell>
          <cell r="Q891" t="str">
            <v>Dsn. Mbagur, RT.01/RW.02, Ds. Tlogowaru, Kec, Merak Urak (Jl. Raya Sumur 2 dari Arah Timur Ke Barat, GG. Rumah 1 Ke Utara)</v>
          </cell>
          <cell r="R891" t="str">
            <v>Tuban</v>
          </cell>
          <cell r="S891" t="str">
            <v>F Utara1</v>
          </cell>
          <cell r="T891" t="str">
            <v>Dian</v>
          </cell>
          <cell r="U891">
            <v>60</v>
          </cell>
        </row>
        <row r="892">
          <cell r="E892" t="str">
            <v>D25015360</v>
          </cell>
          <cell r="F892"/>
          <cell r="G892">
            <v>2500000000</v>
          </cell>
          <cell r="H892" t="str">
            <v>Reni</v>
          </cell>
          <cell r="I892" t="str">
            <v>Fira</v>
          </cell>
          <cell r="J892" t="str">
            <v>New 01/11/19</v>
          </cell>
          <cell r="K892" t="str">
            <v>KU, Tunai</v>
          </cell>
          <cell r="L892" t="str">
            <v>BARO46</v>
          </cell>
          <cell r="M892" t="str">
            <v>Barokah Tani/Nur Hisan</v>
          </cell>
          <cell r="N892" t="str">
            <v>Barokah Tani Indonesia, CV</v>
          </cell>
          <cell r="O892" t="str">
            <v>Poros Desa RT.001/RW.002, Tlogowaru, Kec. Merakurak</v>
          </cell>
          <cell r="P892" t="str">
            <v>Tuban</v>
          </cell>
          <cell r="Q892" t="str">
            <v>Dsn. Mbagur, RT.01/RW.02, Ds. Tlogowaru, Kec, Merak Urak (Jl. Raya Sumur 2 dari Arah Timur Ke Barat, GG. Rumah 1 Ke Utara)</v>
          </cell>
          <cell r="R892" t="str">
            <v>Tuban</v>
          </cell>
          <cell r="S892" t="str">
            <v>F Utara1</v>
          </cell>
          <cell r="T892" t="str">
            <v>Dian</v>
          </cell>
          <cell r="U892">
            <v>60</v>
          </cell>
        </row>
        <row r="893">
          <cell r="E893" t="str">
            <v>B25013317</v>
          </cell>
          <cell r="F893"/>
          <cell r="G893">
            <v>2500000000</v>
          </cell>
          <cell r="H893" t="str">
            <v>Reni</v>
          </cell>
          <cell r="I893" t="str">
            <v>Fira</v>
          </cell>
          <cell r="J893" t="str">
            <v>New 01/11/19</v>
          </cell>
          <cell r="K893" t="str">
            <v>KU, Tunai</v>
          </cell>
          <cell r="L893" t="str">
            <v>BARO46</v>
          </cell>
          <cell r="M893" t="str">
            <v>Barokah Tani/Nur Hisan</v>
          </cell>
          <cell r="N893" t="str">
            <v>Barokah Tani Indonesia, CV</v>
          </cell>
          <cell r="O893" t="str">
            <v>Poros Desa RT.001/RW.002, Tlogowaru, Kec. Merakurak</v>
          </cell>
          <cell r="P893" t="str">
            <v>Tuban</v>
          </cell>
          <cell r="Q893" t="str">
            <v>Dsn. Mbagur, RT.01/RW.02, Ds. Tlogowaru, Kec, Merak Urak (Jl. Raya Sumur 2 dari Arah Timur Ke Barat, GG. Rumah 1 Ke Utara)</v>
          </cell>
          <cell r="R893" t="str">
            <v>Tuban</v>
          </cell>
          <cell r="S893" t="str">
            <v>F Utara1</v>
          </cell>
          <cell r="T893" t="str">
            <v>Dian</v>
          </cell>
          <cell r="U893">
            <v>60</v>
          </cell>
        </row>
        <row r="894">
          <cell r="E894" t="str">
            <v>D25015540</v>
          </cell>
          <cell r="F894"/>
          <cell r="G894">
            <v>2500000000</v>
          </cell>
          <cell r="H894" t="str">
            <v>Reni</v>
          </cell>
          <cell r="I894" t="str">
            <v>Fira</v>
          </cell>
          <cell r="J894" t="str">
            <v>New 01/11/19</v>
          </cell>
          <cell r="K894" t="str">
            <v>KU, Tunai</v>
          </cell>
          <cell r="L894" t="str">
            <v>BARO46</v>
          </cell>
          <cell r="M894" t="str">
            <v>Barokah Tani/Nur Hisan</v>
          </cell>
          <cell r="N894" t="str">
            <v>Barokah Tani Indonesia, CV</v>
          </cell>
          <cell r="O894" t="str">
            <v>Poros Desa RT.001/RW.002, Tlogowaru, Kec. Merakurak</v>
          </cell>
          <cell r="P894" t="str">
            <v>Tuban</v>
          </cell>
          <cell r="Q894" t="str">
            <v>Dsn. Mbagur, RT.01/RW.02, Ds. Tlogowaru, Kec, Merak Urak (Jl. Raya Sumur 2 dari Arah Timur Ke Barat, GG. Rumah 1 Ke Utara)</v>
          </cell>
          <cell r="R894" t="str">
            <v>Tuban</v>
          </cell>
          <cell r="S894" t="str">
            <v>F Utara1</v>
          </cell>
          <cell r="T894" t="str">
            <v>Dian</v>
          </cell>
          <cell r="U894">
            <v>60</v>
          </cell>
        </row>
        <row r="895">
          <cell r="E895" t="str">
            <v>T25001544</v>
          </cell>
          <cell r="F895"/>
          <cell r="G895">
            <v>2500000000</v>
          </cell>
          <cell r="H895" t="str">
            <v>Reni</v>
          </cell>
          <cell r="I895" t="str">
            <v>Fira</v>
          </cell>
          <cell r="J895" t="str">
            <v>New 01/11/19</v>
          </cell>
          <cell r="K895" t="str">
            <v>KU, Tunai</v>
          </cell>
          <cell r="L895" t="str">
            <v>BARO46</v>
          </cell>
          <cell r="M895" t="str">
            <v>Barokah Tani/Nur Hisan</v>
          </cell>
          <cell r="N895" t="str">
            <v>Barokah Tani Indonesia, CV</v>
          </cell>
          <cell r="O895" t="str">
            <v>Poros Desa RT.001/RW.002, Tlogowaru, Kec. Merakurak</v>
          </cell>
          <cell r="P895" t="str">
            <v>Tuban</v>
          </cell>
          <cell r="Q895" t="str">
            <v>Dsn. Mbagur, RT.01/RW.02, Ds. Tlogowaru, Kec, Merak Urak (Jl. Raya Sumur 2 dari Arah Timur Ke Barat, GG. Rumah 1 Ke Utara)</v>
          </cell>
          <cell r="R895" t="str">
            <v>Tuban</v>
          </cell>
          <cell r="S895" t="str">
            <v>F Utara1</v>
          </cell>
          <cell r="T895" t="str">
            <v>Dian</v>
          </cell>
          <cell r="U895">
            <v>60</v>
          </cell>
        </row>
        <row r="896">
          <cell r="E896" t="str">
            <v>D25015634</v>
          </cell>
          <cell r="F896"/>
          <cell r="G896">
            <v>2500000000</v>
          </cell>
          <cell r="H896" t="str">
            <v>Reni</v>
          </cell>
          <cell r="I896" t="str">
            <v>Fira</v>
          </cell>
          <cell r="J896" t="str">
            <v>New 01/11/19</v>
          </cell>
          <cell r="K896" t="str">
            <v>KU, Tunai</v>
          </cell>
          <cell r="L896" t="str">
            <v>BARO46</v>
          </cell>
          <cell r="M896" t="str">
            <v>Barokah Tani/Nur Hisan</v>
          </cell>
          <cell r="N896" t="str">
            <v>Barokah Tani Indonesia, CV</v>
          </cell>
          <cell r="O896" t="str">
            <v>Poros Desa RT.001/RW.002, Tlogowaru, Kec. Merakurak</v>
          </cell>
          <cell r="P896" t="str">
            <v>Tuban</v>
          </cell>
          <cell r="Q896" t="str">
            <v>Dsn. Mbagur, RT.01/RW.02, Ds. Tlogowaru, Kec, Merak Urak (Jl. Raya Sumur 2 dari Arah Timur Ke Barat, GG. Rumah 1 Ke Utara)</v>
          </cell>
          <cell r="R896" t="str">
            <v>Tuban</v>
          </cell>
          <cell r="S896" t="str">
            <v>F Utara1</v>
          </cell>
          <cell r="T896" t="str">
            <v>Dian</v>
          </cell>
          <cell r="U896">
            <v>60</v>
          </cell>
        </row>
        <row r="897">
          <cell r="E897" t="str">
            <v>B25013465</v>
          </cell>
          <cell r="F897"/>
          <cell r="G897">
            <v>2500000000</v>
          </cell>
          <cell r="H897" t="str">
            <v>Reni</v>
          </cell>
          <cell r="I897" t="str">
            <v>Fira</v>
          </cell>
          <cell r="J897" t="str">
            <v>New 01/11/19</v>
          </cell>
          <cell r="K897" t="str">
            <v>KU, Tunai</v>
          </cell>
          <cell r="L897" t="str">
            <v>BARO46</v>
          </cell>
          <cell r="M897" t="str">
            <v>Barokah Tani/Nur Hisan</v>
          </cell>
          <cell r="N897" t="str">
            <v>Barokah Tani Indonesia, CV</v>
          </cell>
          <cell r="O897" t="str">
            <v>Poros Desa RT.001/RW.002, Tlogowaru, Kec. Merakurak</v>
          </cell>
          <cell r="P897" t="str">
            <v>Tuban</v>
          </cell>
          <cell r="Q897" t="str">
            <v>Dsn. Mbagur, RT.01/RW.02, Ds. Tlogowaru, Kec, Merak Urak (Jl. Raya Sumur 2 dari Arah Timur Ke Barat, GG. Rumah 1 Ke Utara)</v>
          </cell>
          <cell r="R897" t="str">
            <v>Tuban</v>
          </cell>
          <cell r="S897" t="str">
            <v>F Utara1</v>
          </cell>
          <cell r="T897" t="str">
            <v>Dian</v>
          </cell>
          <cell r="U897">
            <v>60</v>
          </cell>
        </row>
        <row r="898">
          <cell r="E898" t="str">
            <v>D25015746</v>
          </cell>
          <cell r="F898"/>
          <cell r="G898">
            <v>2500000000</v>
          </cell>
          <cell r="H898" t="str">
            <v>Reni</v>
          </cell>
          <cell r="I898" t="str">
            <v>Fira</v>
          </cell>
          <cell r="J898" t="str">
            <v>New 01/11/19</v>
          </cell>
          <cell r="K898" t="str">
            <v>KU, Tunai</v>
          </cell>
          <cell r="L898" t="str">
            <v>BARO46</v>
          </cell>
          <cell r="M898" t="str">
            <v>Barokah Tani/Nur Hisan</v>
          </cell>
          <cell r="N898" t="str">
            <v>Barokah Tani Indonesia, CV</v>
          </cell>
          <cell r="O898" t="str">
            <v>Poros Desa RT.001/RW.002, Tlogowaru, Kec. Merakurak</v>
          </cell>
          <cell r="P898" t="str">
            <v>Tuban</v>
          </cell>
          <cell r="Q898" t="str">
            <v>Dsn. Mbagur, RT.01/RW.02, Ds. Tlogowaru, Kec, Merak Urak (Jl. Raya Sumur 2 dari Arah Timur Ke Barat, GG. Rumah 1 Ke Utara)</v>
          </cell>
          <cell r="R898" t="str">
            <v>Tuban</v>
          </cell>
          <cell r="S898" t="str">
            <v>F Utara1</v>
          </cell>
          <cell r="T898" t="str">
            <v>Dian</v>
          </cell>
          <cell r="U898">
            <v>0</v>
          </cell>
        </row>
        <row r="899">
          <cell r="E899" t="str">
            <v>B25013532</v>
          </cell>
          <cell r="F899"/>
          <cell r="G899">
            <v>2500000000</v>
          </cell>
          <cell r="H899" t="str">
            <v>Reni</v>
          </cell>
          <cell r="I899" t="str">
            <v>Fira</v>
          </cell>
          <cell r="J899" t="str">
            <v>New 01/11/19</v>
          </cell>
          <cell r="K899" t="str">
            <v>KU, Tunai</v>
          </cell>
          <cell r="L899" t="str">
            <v>BARO46</v>
          </cell>
          <cell r="M899" t="str">
            <v>Barokah Tani/Nur Hisan</v>
          </cell>
          <cell r="N899" t="str">
            <v>Barokah Tani Indonesia, CV</v>
          </cell>
          <cell r="O899" t="str">
            <v>Poros Desa RT.001/RW.002, Tlogowaru, Kec. Merakurak</v>
          </cell>
          <cell r="P899" t="str">
            <v>Tuban</v>
          </cell>
          <cell r="Q899" t="str">
            <v>Dsn. Mbagur, RT.01/RW.02, Ds. Tlogowaru, Kec, Merak Urak (Jl. Raya Sumur 2 dari Arah Timur Ke Barat, GG. Rumah 1 Ke Utara)</v>
          </cell>
          <cell r="R899" t="str">
            <v>Tuban</v>
          </cell>
          <cell r="S899" t="str">
            <v>F Utara1</v>
          </cell>
          <cell r="T899" t="str">
            <v>Dian</v>
          </cell>
          <cell r="U899">
            <v>60</v>
          </cell>
        </row>
        <row r="900">
          <cell r="E900" t="str">
            <v>B25013593</v>
          </cell>
          <cell r="F900"/>
          <cell r="G900">
            <v>2500000000</v>
          </cell>
          <cell r="H900" t="str">
            <v>Reni</v>
          </cell>
          <cell r="I900" t="str">
            <v>Fira</v>
          </cell>
          <cell r="J900" t="str">
            <v>New 01/11/19</v>
          </cell>
          <cell r="K900" t="str">
            <v>KU, Tunai</v>
          </cell>
          <cell r="L900" t="str">
            <v>BARO46</v>
          </cell>
          <cell r="M900" t="str">
            <v>Barokah Tani/Nur Hisan</v>
          </cell>
          <cell r="N900" t="str">
            <v>Barokah Tani Indonesia, CV</v>
          </cell>
          <cell r="O900" t="str">
            <v>Poros Desa RT.001/RW.002, Tlogowaru, Kec. Merakurak</v>
          </cell>
          <cell r="P900" t="str">
            <v>Tuban</v>
          </cell>
          <cell r="Q900" t="str">
            <v>Dsn. Mbagur, RT.01/RW.02, Ds. Tlogowaru, Kec, Merak Urak (Jl. Raya Sumur 2 dari Arah Timur Ke Barat, GG. Rumah 1 Ke Utara)</v>
          </cell>
          <cell r="R900" t="str">
            <v>Tuban</v>
          </cell>
          <cell r="S900" t="str">
            <v>F Utara1</v>
          </cell>
          <cell r="T900" t="str">
            <v>Dian</v>
          </cell>
          <cell r="U900">
            <v>60</v>
          </cell>
        </row>
        <row r="901">
          <cell r="E901" t="str">
            <v>B25013703</v>
          </cell>
          <cell r="F901"/>
          <cell r="G901">
            <v>2500000000</v>
          </cell>
          <cell r="H901" t="str">
            <v>Reni</v>
          </cell>
          <cell r="I901" t="str">
            <v>Fira</v>
          </cell>
          <cell r="J901" t="str">
            <v>New 01/11/19</v>
          </cell>
          <cell r="K901" t="str">
            <v>KU, Tunai</v>
          </cell>
          <cell r="L901" t="str">
            <v>BARO46</v>
          </cell>
          <cell r="M901" t="str">
            <v>Barokah Tani/Nur Hisan</v>
          </cell>
          <cell r="N901" t="str">
            <v>Barokah Tani Indonesia, CV</v>
          </cell>
          <cell r="O901" t="str">
            <v>Poros Desa RT.001/RW.002, Tlogowaru, Kec. Merakurak</v>
          </cell>
          <cell r="P901" t="str">
            <v>Tuban</v>
          </cell>
          <cell r="Q901" t="str">
            <v>Dsn. Mbagur, RT.01/RW.02, Ds. Tlogowaru, Kec, Merak Urak (Jl. Raya Sumur 2 dari Arah Timur Ke Barat, GG. Rumah 1 Ke Utara)</v>
          </cell>
          <cell r="R901" t="str">
            <v>Tuban</v>
          </cell>
          <cell r="S901" t="str">
            <v>F Utara1</v>
          </cell>
          <cell r="T901" t="str">
            <v>Dian</v>
          </cell>
          <cell r="U901">
            <v>60</v>
          </cell>
        </row>
        <row r="902">
          <cell r="E902" t="str">
            <v>B25013797</v>
          </cell>
          <cell r="F902"/>
          <cell r="G902">
            <v>2500000000</v>
          </cell>
          <cell r="H902" t="str">
            <v>Reni</v>
          </cell>
          <cell r="I902" t="str">
            <v>Fira</v>
          </cell>
          <cell r="J902" t="str">
            <v>New 01/11/19</v>
          </cell>
          <cell r="K902" t="str">
            <v>KU, Tunai</v>
          </cell>
          <cell r="L902" t="str">
            <v>BARO46</v>
          </cell>
          <cell r="M902" t="str">
            <v>Barokah Tani/Nur Hisan</v>
          </cell>
          <cell r="N902" t="str">
            <v>Barokah Tani Indonesia, CV</v>
          </cell>
          <cell r="O902" t="str">
            <v>Poros Desa RT.001/RW.002, Tlogowaru, Kec. Merakurak</v>
          </cell>
          <cell r="P902" t="str">
            <v>Tuban</v>
          </cell>
          <cell r="Q902" t="str">
            <v>Dsn. Mbagur, RT.01/RW.02, Ds. Tlogowaru, Kec, Merak Urak (Jl. Raya Sumur 2 dari Arah Timur Ke Barat, GG. Rumah 1 Ke Utara)</v>
          </cell>
          <cell r="R902" t="str">
            <v>Tuban</v>
          </cell>
          <cell r="S902" t="str">
            <v>F Utara1</v>
          </cell>
          <cell r="T902" t="str">
            <v>Dian</v>
          </cell>
          <cell r="U902">
            <v>60</v>
          </cell>
        </row>
        <row r="903">
          <cell r="E903" t="str">
            <v>D25016125</v>
          </cell>
          <cell r="F903"/>
          <cell r="G903">
            <v>2500000000</v>
          </cell>
          <cell r="H903" t="str">
            <v>Reni</v>
          </cell>
          <cell r="I903" t="str">
            <v>Fira</v>
          </cell>
          <cell r="J903" t="str">
            <v>New 01/11/19</v>
          </cell>
          <cell r="K903" t="str">
            <v>KU, Tunai</v>
          </cell>
          <cell r="L903" t="str">
            <v>BARO46</v>
          </cell>
          <cell r="M903" t="str">
            <v>Barokah Tani/Nur Hisan</v>
          </cell>
          <cell r="N903" t="str">
            <v>Barokah Tani Indonesia, CV</v>
          </cell>
          <cell r="O903" t="str">
            <v>Poros Desa RT.001/RW.002, Tlogowaru, Kec. Merakurak</v>
          </cell>
          <cell r="P903" t="str">
            <v>Tuban</v>
          </cell>
          <cell r="Q903" t="str">
            <v>Dsn. Mbagur, RT.01/RW.02, Ds. Tlogowaru, Kec, Merak Urak (Jl. Raya Sumur 2 dari Arah Timur Ke Barat, GG. Rumah 1 Ke Utara)</v>
          </cell>
          <cell r="R903" t="str">
            <v>Tuban</v>
          </cell>
          <cell r="S903" t="str">
            <v>F Utara1</v>
          </cell>
          <cell r="T903" t="str">
            <v>Dian</v>
          </cell>
          <cell r="U903">
            <v>60</v>
          </cell>
        </row>
        <row r="904">
          <cell r="E904" t="str">
            <v>B25013927</v>
          </cell>
          <cell r="F904"/>
          <cell r="G904">
            <v>2500000000</v>
          </cell>
          <cell r="H904" t="str">
            <v>Reni</v>
          </cell>
          <cell r="I904" t="str">
            <v>Fira</v>
          </cell>
          <cell r="J904" t="str">
            <v>New 01/11/19</v>
          </cell>
          <cell r="K904" t="str">
            <v>KU, Tunai</v>
          </cell>
          <cell r="L904" t="str">
            <v>BARO46</v>
          </cell>
          <cell r="M904" t="str">
            <v>Barokah Tani/Nur Hisan</v>
          </cell>
          <cell r="N904" t="str">
            <v>Barokah Tani Indonesia, CV</v>
          </cell>
          <cell r="O904" t="str">
            <v>Poros Desa RT.001/RW.002, Tlogowaru, Kec. Merakurak</v>
          </cell>
          <cell r="P904" t="str">
            <v>Tuban</v>
          </cell>
          <cell r="Q904" t="str">
            <v>Dsn. Mbagur, RT.01/RW.02, Ds. Tlogowaru, Kec, Merak Urak (Jl. Raya Sumur 2 dari Arah Timur Ke Barat, GG. Rumah 1 Ke Utara)</v>
          </cell>
          <cell r="R904" t="str">
            <v>Tuban</v>
          </cell>
          <cell r="S904" t="str">
            <v>F Utara1</v>
          </cell>
          <cell r="T904" t="str">
            <v>Dian</v>
          </cell>
          <cell r="U904">
            <v>60</v>
          </cell>
        </row>
        <row r="905">
          <cell r="E905" t="str">
            <v>B25014003</v>
          </cell>
          <cell r="F905"/>
          <cell r="G905">
            <v>2500000000</v>
          </cell>
          <cell r="H905" t="str">
            <v>Reni</v>
          </cell>
          <cell r="I905" t="str">
            <v>Fira</v>
          </cell>
          <cell r="J905" t="str">
            <v>New 01/11/19</v>
          </cell>
          <cell r="K905" t="str">
            <v>KU, Tunai</v>
          </cell>
          <cell r="L905" t="str">
            <v>BARO46</v>
          </cell>
          <cell r="M905" t="str">
            <v>Barokah Tani/Nur Hisan</v>
          </cell>
          <cell r="N905" t="str">
            <v>Barokah Tani Indonesia, CV</v>
          </cell>
          <cell r="O905" t="str">
            <v>Poros Desa RT.001/RW.002, Tlogowaru, Kec. Merakurak</v>
          </cell>
          <cell r="P905" t="str">
            <v>Tuban</v>
          </cell>
          <cell r="Q905" t="str">
            <v>Dsn. Mbagur, RT.01/RW.02, Ds. Tlogowaru, Kec, Merak Urak (Jl. Raya Sumur 2 dari Arah Timur Ke Barat, GG. Rumah 1 Ke Utara)</v>
          </cell>
          <cell r="R905" t="str">
            <v>Tuban</v>
          </cell>
          <cell r="S905" t="str">
            <v>F Utara1</v>
          </cell>
          <cell r="T905" t="str">
            <v>Dian</v>
          </cell>
          <cell r="U905">
            <v>60</v>
          </cell>
        </row>
        <row r="906">
          <cell r="E906" t="str">
            <v>B25013210</v>
          </cell>
          <cell r="F906"/>
          <cell r="G906">
            <v>50000000</v>
          </cell>
          <cell r="H906" t="str">
            <v>Faris</v>
          </cell>
          <cell r="I906" t="str">
            <v>Syahra</v>
          </cell>
          <cell r="J906" t="str">
            <v>New 19/05/23</v>
          </cell>
          <cell r="K906" t="str">
            <v>KU</v>
          </cell>
          <cell r="L906" t="str">
            <v>BARO67</v>
          </cell>
          <cell r="M906" t="str">
            <v>Barokah Tani/Riwa</v>
          </cell>
          <cell r="N906" t="str">
            <v>Riwa Idayatin</v>
          </cell>
          <cell r="O906" t="str">
            <v>Dusun Krajan RT.002/RW.012, Kel. Ketapang, Kec. Kalipuro</v>
          </cell>
          <cell r="P906" t="str">
            <v>Banyuwangi</v>
          </cell>
          <cell r="Q906" t="str">
            <v>Dusun Krajan RT.002/RW.012, Kel. Ketapang, Kec. Kalipuro</v>
          </cell>
          <cell r="R906" t="str">
            <v>Banyuwangi</v>
          </cell>
          <cell r="S906" t="str">
            <v>H Bwi1</v>
          </cell>
          <cell r="T906" t="str">
            <v>Hafid</v>
          </cell>
          <cell r="U906">
            <v>0</v>
          </cell>
        </row>
        <row r="907">
          <cell r="E907" t="str">
            <v>D25015801</v>
          </cell>
          <cell r="F907"/>
          <cell r="G907">
            <v>1000</v>
          </cell>
          <cell r="H907" t="str">
            <v>Zakia</v>
          </cell>
          <cell r="I907" t="str">
            <v>Tiya</v>
          </cell>
          <cell r="J907" t="str">
            <v>New 28/08/25</v>
          </cell>
          <cell r="K907" t="str">
            <v>CBD</v>
          </cell>
          <cell r="L907" t="str">
            <v>BARO81</v>
          </cell>
          <cell r="M907" t="str">
            <v>Barokah Tani/Saiful Bahri</v>
          </cell>
          <cell r="N907" t="str">
            <v>Saiful Bahri</v>
          </cell>
          <cell r="O907" t="str">
            <v>Dusun Kowel RT.001/RW.002, Kel. Payudan Nangger Kec. Guluk-Guluk</v>
          </cell>
          <cell r="P907" t="str">
            <v>Sumenep</v>
          </cell>
          <cell r="Q907" t="str">
            <v>Dusun Kowel RT.001/RW.002, Kel. Payudan Nangger Kec. Guluk-Guluk</v>
          </cell>
          <cell r="R907" t="str">
            <v>Sumenep</v>
          </cell>
          <cell r="S907" t="str">
            <v>M Madura</v>
          </cell>
          <cell r="T907" t="str">
            <v>Tomi</v>
          </cell>
          <cell r="U907">
            <v>0</v>
          </cell>
        </row>
        <row r="908">
          <cell r="E908" t="str">
            <v>D25015802</v>
          </cell>
          <cell r="F908"/>
          <cell r="G908">
            <v>1000</v>
          </cell>
          <cell r="H908" t="str">
            <v>Zakia</v>
          </cell>
          <cell r="I908" t="str">
            <v>Tiya</v>
          </cell>
          <cell r="J908" t="str">
            <v>New 28/08/25</v>
          </cell>
          <cell r="K908" t="str">
            <v>CBD</v>
          </cell>
          <cell r="L908" t="str">
            <v>BARO81</v>
          </cell>
          <cell r="M908" t="str">
            <v>Barokah Tani/Saiful Bahri</v>
          </cell>
          <cell r="N908" t="str">
            <v>Saiful Bahri</v>
          </cell>
          <cell r="O908" t="str">
            <v>Dusun Kowel RT.001/RW.002, Kel. Payudan Nangger Kec. Guluk-Guluk</v>
          </cell>
          <cell r="P908" t="str">
            <v>Sumenep</v>
          </cell>
          <cell r="Q908" t="str">
            <v>Dusun Kowel RT.001/RW.002, Kel. Payudan Nangger Kec. Guluk-Guluk</v>
          </cell>
          <cell r="R908" t="str">
            <v>Sumenep</v>
          </cell>
          <cell r="S908" t="str">
            <v>M Madura</v>
          </cell>
          <cell r="T908" t="str">
            <v>Tomi</v>
          </cell>
          <cell r="U908">
            <v>0</v>
          </cell>
        </row>
        <row r="909">
          <cell r="E909" t="str">
            <v>D25015819</v>
          </cell>
          <cell r="F909"/>
          <cell r="G909">
            <v>1000</v>
          </cell>
          <cell r="H909" t="str">
            <v>Zakia</v>
          </cell>
          <cell r="I909" t="str">
            <v>Tiya</v>
          </cell>
          <cell r="J909" t="str">
            <v>New 28/08/25</v>
          </cell>
          <cell r="K909" t="str">
            <v>CBD</v>
          </cell>
          <cell r="L909" t="str">
            <v>BARO81</v>
          </cell>
          <cell r="M909" t="str">
            <v>Barokah Tani/Saiful Bahri</v>
          </cell>
          <cell r="N909" t="str">
            <v>Saiful Bahri</v>
          </cell>
          <cell r="O909" t="str">
            <v>Dusun Kowel RT.001/RW.002, Kel. Payudan Nangger Kec. Guluk-Guluk</v>
          </cell>
          <cell r="P909" t="str">
            <v>Sumenep</v>
          </cell>
          <cell r="Q909" t="str">
            <v>Dusun Kowel RT.001/RW.002, Kel. Payudan Nangger Kec. Guluk-Guluk</v>
          </cell>
          <cell r="R909" t="str">
            <v>Sumenep</v>
          </cell>
          <cell r="S909" t="str">
            <v>M Madura</v>
          </cell>
          <cell r="T909" t="str">
            <v>Tomi</v>
          </cell>
          <cell r="U909">
            <v>0</v>
          </cell>
        </row>
        <row r="910">
          <cell r="E910" t="str">
            <v>B25013929</v>
          </cell>
          <cell r="F910"/>
          <cell r="G910">
            <v>1000</v>
          </cell>
          <cell r="H910" t="str">
            <v>Zakia</v>
          </cell>
          <cell r="I910" t="str">
            <v>Tiya</v>
          </cell>
          <cell r="J910" t="str">
            <v>New 28/08/25</v>
          </cell>
          <cell r="K910" t="str">
            <v>CBD</v>
          </cell>
          <cell r="L910" t="str">
            <v>BARO81</v>
          </cell>
          <cell r="M910" t="str">
            <v>Barokah Tani/Saiful Bahri</v>
          </cell>
          <cell r="N910" t="str">
            <v>Saiful Bahri</v>
          </cell>
          <cell r="O910" t="str">
            <v>Dusun Kowel RT.001/RW.002, Kel. Payudan Nangger Kec. Guluk-Guluk</v>
          </cell>
          <cell r="P910" t="str">
            <v>Sumenep</v>
          </cell>
          <cell r="Q910" t="str">
            <v>Dusun Kowel RT.001/RW.002, Kel. Payudan Nangger Kec. Guluk-Guluk</v>
          </cell>
          <cell r="R910" t="str">
            <v>Sumenep</v>
          </cell>
          <cell r="S910" t="str">
            <v>M Madura</v>
          </cell>
          <cell r="T910" t="str">
            <v>Tomi</v>
          </cell>
          <cell r="U910">
            <v>0</v>
          </cell>
        </row>
        <row r="911">
          <cell r="E911" t="str">
            <v>D25012898</v>
          </cell>
          <cell r="F911"/>
          <cell r="G911">
            <v>40000000</v>
          </cell>
          <cell r="H911" t="str">
            <v>Faris</v>
          </cell>
          <cell r="I911" t="str">
            <v>Syahra</v>
          </cell>
          <cell r="J911"/>
          <cell r="K911" t="str">
            <v>KU, Tunai</v>
          </cell>
          <cell r="L911" t="str">
            <v>BARO44</v>
          </cell>
          <cell r="M911" t="str">
            <v>Barokah Tani/Syaikur</v>
          </cell>
          <cell r="N911" t="str">
            <v>Bina Batris Syaikurohman</v>
          </cell>
          <cell r="O911" t="str">
            <v>Dsn. Kedungagung, RT.004/RW.002 Kel. Sambirejo, Kec. Bangorejo</v>
          </cell>
          <cell r="P911" t="str">
            <v>Banyuwangi</v>
          </cell>
          <cell r="Q911" t="str">
            <v>Dsn. Kedungagung, RT.004/RW.002 Kel. Sambirejo, Kec. Bangorejo</v>
          </cell>
          <cell r="R911" t="str">
            <v>Banyuwangi</v>
          </cell>
          <cell r="S911" t="str">
            <v>H Bwi4</v>
          </cell>
          <cell r="T911" t="str">
            <v>Hafid</v>
          </cell>
          <cell r="U911">
            <v>60</v>
          </cell>
        </row>
        <row r="912">
          <cell r="E912" t="str">
            <v>B25011630</v>
          </cell>
          <cell r="F912"/>
          <cell r="G912">
            <v>40000000</v>
          </cell>
          <cell r="H912" t="str">
            <v>Faris</v>
          </cell>
          <cell r="I912" t="str">
            <v>Syahra</v>
          </cell>
          <cell r="J912"/>
          <cell r="K912" t="str">
            <v>KU, Tunai</v>
          </cell>
          <cell r="L912" t="str">
            <v>BARO44</v>
          </cell>
          <cell r="M912" t="str">
            <v>Barokah Tani/Syaikur</v>
          </cell>
          <cell r="N912" t="str">
            <v>Bina Batris Syaikurohman</v>
          </cell>
          <cell r="O912" t="str">
            <v>Dsn. Kedungagung, RT.004/RW.002 Kel. Sambirejo, Kec. Bangorejo</v>
          </cell>
          <cell r="P912" t="str">
            <v>Banyuwangi</v>
          </cell>
          <cell r="Q912" t="str">
            <v>Dsn. Kedungagung, RT.004/RW.002 Kel. Sambirejo, Kec. Bangorejo</v>
          </cell>
          <cell r="R912" t="str">
            <v>Banyuwangi</v>
          </cell>
          <cell r="S912" t="str">
            <v>H Bwi4</v>
          </cell>
          <cell r="T912" t="str">
            <v>Hafid</v>
          </cell>
          <cell r="U912">
            <v>30</v>
          </cell>
        </row>
        <row r="913">
          <cell r="E913" t="str">
            <v>D25014498</v>
          </cell>
          <cell r="F913"/>
          <cell r="G913">
            <v>40000000</v>
          </cell>
          <cell r="H913" t="str">
            <v>Faris</v>
          </cell>
          <cell r="I913" t="str">
            <v>Syahra</v>
          </cell>
          <cell r="J913"/>
          <cell r="K913" t="str">
            <v>KU, Tunai</v>
          </cell>
          <cell r="L913" t="str">
            <v>BARO44</v>
          </cell>
          <cell r="M913" t="str">
            <v>Barokah Tani/Syaikur</v>
          </cell>
          <cell r="N913" t="str">
            <v>Bina Batris Syaikurohman</v>
          </cell>
          <cell r="O913" t="str">
            <v>Dsn. Kedungagung, RT.004/RW.002 Kel. Sambirejo, Kec. Bangorejo</v>
          </cell>
          <cell r="P913" t="str">
            <v>Banyuwangi</v>
          </cell>
          <cell r="Q913" t="str">
            <v>Dsn. Kedungagung, RT.004/RW.002 Kel. Sambirejo, Kec. Bangorejo</v>
          </cell>
          <cell r="R913" t="str">
            <v>Banyuwangi</v>
          </cell>
          <cell r="S913" t="str">
            <v>H Bwi4</v>
          </cell>
          <cell r="T913" t="str">
            <v>Hafid</v>
          </cell>
          <cell r="U913">
            <v>30</v>
          </cell>
        </row>
        <row r="914">
          <cell r="E914" t="str">
            <v>T25001436</v>
          </cell>
          <cell r="F914"/>
          <cell r="G914">
            <v>40000000</v>
          </cell>
          <cell r="H914" t="str">
            <v>Faris</v>
          </cell>
          <cell r="I914" t="str">
            <v>Syahra</v>
          </cell>
          <cell r="J914"/>
          <cell r="K914" t="str">
            <v>KU, Tunai</v>
          </cell>
          <cell r="L914" t="str">
            <v>BARO44</v>
          </cell>
          <cell r="M914" t="str">
            <v>Barokah Tani/Syaikur</v>
          </cell>
          <cell r="N914" t="str">
            <v>Bina Batris Syaikurohman</v>
          </cell>
          <cell r="O914" t="str">
            <v>Dsn. Kedungagung, RT.004/RW.002 Kel. Sambirejo, Kec. Bangorejo</v>
          </cell>
          <cell r="P914" t="str">
            <v>Banyuwangi</v>
          </cell>
          <cell r="Q914" t="str">
            <v>Dsn. Kedungagung, RT.004/RW.002 Kel. Sambirejo, Kec. Bangorejo</v>
          </cell>
          <cell r="R914" t="str">
            <v>Banyuwangi</v>
          </cell>
          <cell r="S914" t="str">
            <v>H Bwi4</v>
          </cell>
          <cell r="T914" t="str">
            <v>Hafid</v>
          </cell>
          <cell r="U914">
            <v>60</v>
          </cell>
        </row>
        <row r="915">
          <cell r="E915" t="str">
            <v>B25012510</v>
          </cell>
          <cell r="F915"/>
          <cell r="G915">
            <v>1000</v>
          </cell>
          <cell r="H915" t="str">
            <v>Faris</v>
          </cell>
          <cell r="I915" t="str">
            <v>Syahra</v>
          </cell>
          <cell r="J915"/>
          <cell r="K915" t="str">
            <v>KU</v>
          </cell>
          <cell r="L915" t="str">
            <v>BARO10</v>
          </cell>
          <cell r="M915" t="str">
            <v>Barokah Tani/Syamsul</v>
          </cell>
          <cell r="N915" t="str">
            <v>Ardiana Pratiwi</v>
          </cell>
          <cell r="O915" t="str">
            <v>Dsn. Krajan RT.002/RW.006 Kel. Plampangrejo, Kec. Cluring</v>
          </cell>
          <cell r="P915" t="str">
            <v>Banyuwangi</v>
          </cell>
          <cell r="Q915" t="str">
            <v>Plampangrejo</v>
          </cell>
          <cell r="R915" t="str">
            <v>Banyuwangi</v>
          </cell>
          <cell r="S915" t="str">
            <v>H Bwi2</v>
          </cell>
          <cell r="T915" t="str">
            <v>Hafid</v>
          </cell>
          <cell r="U915">
            <v>0</v>
          </cell>
        </row>
        <row r="916">
          <cell r="E916" t="str">
            <v>B25010433</v>
          </cell>
          <cell r="F916"/>
          <cell r="G916">
            <v>100000000</v>
          </cell>
          <cell r="H916" t="str">
            <v>Reni</v>
          </cell>
          <cell r="I916" t="str">
            <v>Farida</v>
          </cell>
          <cell r="J916" t="str">
            <v>New 01/11/23</v>
          </cell>
          <cell r="K916" t="str">
            <v>KU</v>
          </cell>
          <cell r="L916" t="str">
            <v>BARO74</v>
          </cell>
          <cell r="M916" t="str">
            <v>Barokah Tani/Widianto</v>
          </cell>
          <cell r="N916" t="str">
            <v>Barokah Tani Dampit, CV</v>
          </cell>
          <cell r="O916" t="str">
            <v>Jambangan RT.026/RW.004, Jambangan, Dampit</v>
          </cell>
          <cell r="P916" t="str">
            <v>Malang</v>
          </cell>
          <cell r="Q916" t="str">
            <v>Jl. Gn. Gambir, Dsn. Krajan, Desa Jambangan, Kec. Dampit</v>
          </cell>
          <cell r="R916" t="str">
            <v>Malang</v>
          </cell>
          <cell r="S916" t="str">
            <v>F Utara1</v>
          </cell>
          <cell r="T916" t="str">
            <v>Tomi</v>
          </cell>
          <cell r="U916">
            <v>60</v>
          </cell>
        </row>
        <row r="917">
          <cell r="E917" t="str">
            <v>D25012823</v>
          </cell>
          <cell r="F917"/>
          <cell r="G917">
            <v>100000000</v>
          </cell>
          <cell r="H917" t="str">
            <v>Reni</v>
          </cell>
          <cell r="I917" t="str">
            <v>Farida</v>
          </cell>
          <cell r="J917" t="str">
            <v>New 01/11/23</v>
          </cell>
          <cell r="K917" t="str">
            <v>KU</v>
          </cell>
          <cell r="L917" t="str">
            <v>BARO74</v>
          </cell>
          <cell r="M917" t="str">
            <v>Barokah Tani/Widianto</v>
          </cell>
          <cell r="N917" t="str">
            <v>Barokah Tani Dampit, CV</v>
          </cell>
          <cell r="O917" t="str">
            <v>Jambangan RT.026/RW.004, Jambangan, Dampit</v>
          </cell>
          <cell r="P917" t="str">
            <v>Malang</v>
          </cell>
          <cell r="Q917" t="str">
            <v>Jl. Gn. Gambir, Dsn. Krajan, Desa Jambangan, Kec. Dampit</v>
          </cell>
          <cell r="R917" t="str">
            <v>Malang</v>
          </cell>
          <cell r="S917" t="str">
            <v>F Utara1</v>
          </cell>
          <cell r="T917" t="str">
            <v>Tomi</v>
          </cell>
          <cell r="U917">
            <v>30</v>
          </cell>
        </row>
        <row r="918">
          <cell r="E918" t="str">
            <v>B25011432</v>
          </cell>
          <cell r="F918"/>
          <cell r="G918">
            <v>100000000</v>
          </cell>
          <cell r="H918" t="str">
            <v>Reni</v>
          </cell>
          <cell r="I918" t="str">
            <v>Farida</v>
          </cell>
          <cell r="J918" t="str">
            <v>New 01/11/23</v>
          </cell>
          <cell r="K918" t="str">
            <v>KU</v>
          </cell>
          <cell r="L918" t="str">
            <v>BARO74</v>
          </cell>
          <cell r="M918" t="str">
            <v>Barokah Tani/Widianto</v>
          </cell>
          <cell r="N918" t="str">
            <v>Barokah Tani Dampit, CV</v>
          </cell>
          <cell r="O918" t="str">
            <v>Jambangan RT.026/RW.004, Jambangan, Dampit</v>
          </cell>
          <cell r="P918" t="str">
            <v>Malang</v>
          </cell>
          <cell r="Q918" t="str">
            <v>Jl. Gn. Gambir, Dsn. Krajan, Desa Jambangan, Kec. Dampit</v>
          </cell>
          <cell r="R918" t="str">
            <v>Malang</v>
          </cell>
          <cell r="S918" t="str">
            <v>F Utara1</v>
          </cell>
          <cell r="T918" t="str">
            <v>Tomi</v>
          </cell>
          <cell r="U918">
            <v>60</v>
          </cell>
        </row>
        <row r="919">
          <cell r="E919" t="str">
            <v>D25013843</v>
          </cell>
          <cell r="F919"/>
          <cell r="G919">
            <v>100000000</v>
          </cell>
          <cell r="H919" t="str">
            <v>Reni</v>
          </cell>
          <cell r="I919" t="str">
            <v>Farida</v>
          </cell>
          <cell r="J919" t="str">
            <v>New 01/11/23</v>
          </cell>
          <cell r="K919" t="str">
            <v>KU</v>
          </cell>
          <cell r="L919" t="str">
            <v>BARO74</v>
          </cell>
          <cell r="M919" t="str">
            <v>Barokah Tani/Widianto</v>
          </cell>
          <cell r="N919" t="str">
            <v>Barokah Tani Dampit, CV</v>
          </cell>
          <cell r="O919" t="str">
            <v>Jambangan RT.026/RW.004, Jambangan, Dampit</v>
          </cell>
          <cell r="P919" t="str">
            <v>Malang</v>
          </cell>
          <cell r="Q919" t="str">
            <v>Jl. Gn. Gambir, Dsn. Krajan, Desa Jambangan, Kec. Dampit</v>
          </cell>
          <cell r="R919" t="str">
            <v>Malang</v>
          </cell>
          <cell r="S919" t="str">
            <v>F Utara1</v>
          </cell>
          <cell r="T919" t="str">
            <v>Tomi</v>
          </cell>
          <cell r="U919">
            <v>30</v>
          </cell>
        </row>
        <row r="920">
          <cell r="E920" t="str">
            <v>B25012809</v>
          </cell>
          <cell r="F920"/>
          <cell r="G920">
            <v>100000000</v>
          </cell>
          <cell r="H920" t="str">
            <v>Reni</v>
          </cell>
          <cell r="I920" t="str">
            <v>Farida</v>
          </cell>
          <cell r="J920" t="str">
            <v>New 01/11/23</v>
          </cell>
          <cell r="K920" t="str">
            <v>KU</v>
          </cell>
          <cell r="L920" t="str">
            <v>BARO74</v>
          </cell>
          <cell r="M920" t="str">
            <v>Barokah Tani/Widianto</v>
          </cell>
          <cell r="N920" t="str">
            <v>Barokah Tani Dampit, CV</v>
          </cell>
          <cell r="O920" t="str">
            <v>Jambangan RT.026/RW.004, Jambangan, Dampit</v>
          </cell>
          <cell r="P920" t="str">
            <v>Malang</v>
          </cell>
          <cell r="Q920" t="str">
            <v>Jl. Gn. Gambir, Dsn. Krajan, Desa Jambangan, Kec. Dampit</v>
          </cell>
          <cell r="R920" t="str">
            <v>Malang</v>
          </cell>
          <cell r="S920" t="str">
            <v>F Utara1</v>
          </cell>
          <cell r="T920" t="str">
            <v>Tomi</v>
          </cell>
          <cell r="U920">
            <v>60</v>
          </cell>
        </row>
        <row r="921">
          <cell r="E921" t="str">
            <v>T25001504</v>
          </cell>
          <cell r="F921"/>
          <cell r="G921">
            <v>100000000</v>
          </cell>
          <cell r="H921" t="str">
            <v>Reni</v>
          </cell>
          <cell r="I921" t="str">
            <v>Farida</v>
          </cell>
          <cell r="J921" t="str">
            <v>New 01/11/23</v>
          </cell>
          <cell r="K921" t="str">
            <v>KU</v>
          </cell>
          <cell r="L921" t="str">
            <v>BARO74</v>
          </cell>
          <cell r="M921" t="str">
            <v>Barokah Tani/Widianto</v>
          </cell>
          <cell r="N921" t="str">
            <v>Barokah Tani Dampit, CV</v>
          </cell>
          <cell r="O921" t="str">
            <v>Jambangan RT.026/RW.004, Jambangan, Dampit</v>
          </cell>
          <cell r="P921" t="str">
            <v>Malang</v>
          </cell>
          <cell r="Q921" t="str">
            <v>Jl. Gn. Gambir, Dsn. Krajan, Desa Jambangan, Kec. Dampit</v>
          </cell>
          <cell r="R921" t="str">
            <v>Malang</v>
          </cell>
          <cell r="S921" t="str">
            <v>F Utara1</v>
          </cell>
          <cell r="T921" t="str">
            <v>Tomi</v>
          </cell>
          <cell r="U921">
            <v>60</v>
          </cell>
        </row>
        <row r="922">
          <cell r="E922" t="str">
            <v>D25015737</v>
          </cell>
          <cell r="F922"/>
          <cell r="G922">
            <v>100000000</v>
          </cell>
          <cell r="H922" t="str">
            <v>Reni</v>
          </cell>
          <cell r="I922" t="str">
            <v>Farida</v>
          </cell>
          <cell r="J922" t="str">
            <v>New 01/11/23</v>
          </cell>
          <cell r="K922" t="str">
            <v>KU</v>
          </cell>
          <cell r="L922" t="str">
            <v>BARO74</v>
          </cell>
          <cell r="M922" t="str">
            <v>Barokah Tani/Widianto</v>
          </cell>
          <cell r="N922" t="str">
            <v>Barokah Tani Dampit, CV</v>
          </cell>
          <cell r="O922" t="str">
            <v>Jambangan RT.026/RW.004, Jambangan, Dampit</v>
          </cell>
          <cell r="P922" t="str">
            <v>Malang</v>
          </cell>
          <cell r="Q922" t="str">
            <v>Jl. Gn. Gambir, Dsn. Krajan, Desa Jambangan, Kec. Dampit</v>
          </cell>
          <cell r="R922" t="str">
            <v>Malang</v>
          </cell>
          <cell r="S922" t="str">
            <v>F Utara1</v>
          </cell>
          <cell r="T922" t="str">
            <v>Tomi</v>
          </cell>
          <cell r="U922">
            <v>60</v>
          </cell>
        </row>
        <row r="923">
          <cell r="E923" t="str">
            <v>T25001557</v>
          </cell>
          <cell r="F923"/>
          <cell r="G923">
            <v>100000000</v>
          </cell>
          <cell r="H923" t="str">
            <v>Reni</v>
          </cell>
          <cell r="I923" t="str">
            <v>Farida</v>
          </cell>
          <cell r="J923" t="str">
            <v>New 01/11/23</v>
          </cell>
          <cell r="K923" t="str">
            <v>KU</v>
          </cell>
          <cell r="L923" t="str">
            <v>BARO74</v>
          </cell>
          <cell r="M923" t="str">
            <v>Barokah Tani/Widianto</v>
          </cell>
          <cell r="N923" t="str">
            <v>Barokah Tani Dampit, CV</v>
          </cell>
          <cell r="O923" t="str">
            <v>Jambangan RT.026/RW.004, Jambangan, Dampit</v>
          </cell>
          <cell r="P923" t="str">
            <v>Malang</v>
          </cell>
          <cell r="Q923" t="str">
            <v>Jl. Gn. Gambir, Dsn. Krajan, Desa Jambangan, Kec. Dampit</v>
          </cell>
          <cell r="R923" t="str">
            <v>Malang</v>
          </cell>
          <cell r="S923" t="str">
            <v>F Utara1</v>
          </cell>
          <cell r="T923" t="str">
            <v>Tomi</v>
          </cell>
          <cell r="U923">
            <v>60</v>
          </cell>
        </row>
        <row r="924">
          <cell r="E924" t="str">
            <v>B25012841</v>
          </cell>
          <cell r="F924"/>
          <cell r="G924">
            <v>1000</v>
          </cell>
          <cell r="H924" t="str">
            <v>Sheila</v>
          </cell>
          <cell r="I924" t="str">
            <v>Exclusive</v>
          </cell>
          <cell r="J924" t="str">
            <v>New 08/09/23</v>
          </cell>
          <cell r="K924" t="str">
            <v>KU</v>
          </cell>
          <cell r="L924" t="str">
            <v>BARO73</v>
          </cell>
          <cell r="M924" t="str">
            <v>Barokah Utama Batam/Nur Umala</v>
          </cell>
          <cell r="N924" t="str">
            <v>Barokah Utama Batam, PT</v>
          </cell>
          <cell r="O924" t="str">
            <v>Komp. Hijrah Industrial Estate C No. 3 RT.000/RW.000, Kel. Baloi Permai, Kec. Batam, Kota Batam</v>
          </cell>
          <cell r="P924" t="str">
            <v>Kepulaun Riau</v>
          </cell>
          <cell r="Q924" t="str">
            <v>Kawasan Industri Hijrah Blok C No. 3, Batam Center, Kel. Baloi Permai, Kec. Batam, Kota Batam</v>
          </cell>
          <cell r="R924" t="str">
            <v>Kepulauan Riau</v>
          </cell>
          <cell r="S924" t="str">
            <v>E Luar Pulau1</v>
          </cell>
          <cell r="T924" t="str">
            <v>Non SE &amp; JSE</v>
          </cell>
          <cell r="U924">
            <v>15</v>
          </cell>
        </row>
        <row r="925">
          <cell r="E925" t="str">
            <v>B25012842</v>
          </cell>
          <cell r="F925"/>
          <cell r="G925">
            <v>1000</v>
          </cell>
          <cell r="H925" t="str">
            <v>Sheila</v>
          </cell>
          <cell r="I925" t="str">
            <v>Exclusive</v>
          </cell>
          <cell r="J925" t="str">
            <v>New 08/09/23</v>
          </cell>
          <cell r="K925" t="str">
            <v>KU</v>
          </cell>
          <cell r="L925" t="str">
            <v>BARO73</v>
          </cell>
          <cell r="M925" t="str">
            <v>Barokah Utama Batam/Nur Umala</v>
          </cell>
          <cell r="N925" t="str">
            <v>Barokah Utama Batam, PT</v>
          </cell>
          <cell r="O925" t="str">
            <v>Komp. Hijrah Industrial Estate C No. 3 RT.000/RW.000, Kel. Baloi Permai, Kec. Batam, Kota Batam</v>
          </cell>
          <cell r="P925" t="str">
            <v>Kepulaun Riau</v>
          </cell>
          <cell r="Q925" t="str">
            <v>Kawasan Industri Hijrah Blok C No. 3, Batam Center, Kel. Baloi Permai, Kec. Batam, Kota Batam</v>
          </cell>
          <cell r="R925" t="str">
            <v>Kepulauan Riau</v>
          </cell>
          <cell r="S925" t="str">
            <v>E Luar Pulau1</v>
          </cell>
          <cell r="T925" t="str">
            <v>Non SE &amp; JSE</v>
          </cell>
          <cell r="U925">
            <v>15</v>
          </cell>
        </row>
        <row r="926">
          <cell r="E926" t="str">
            <v>B25012569</v>
          </cell>
          <cell r="F926"/>
          <cell r="G926">
            <v>10000000</v>
          </cell>
          <cell r="H926" t="str">
            <v>Yuyun</v>
          </cell>
          <cell r="I926" t="str">
            <v>Farida</v>
          </cell>
          <cell r="J926" t="str">
            <v>New 03/08/19</v>
          </cell>
          <cell r="K926" t="str">
            <v>Lobi</v>
          </cell>
          <cell r="L926" t="str">
            <v>BARO42</v>
          </cell>
          <cell r="M926" t="str">
            <v>Barokah/Desy</v>
          </cell>
          <cell r="N926" t="str">
            <v>Desy Irawati</v>
          </cell>
          <cell r="O926" t="str">
            <v>Dsn. Curah Buntu, RT.008/RW.009 Kel. Jenggawah, Kec. Jenggawah</v>
          </cell>
          <cell r="P926" t="str">
            <v>Jember</v>
          </cell>
          <cell r="Q926" t="str">
            <v>Dsn. Curah Buntu, RT.008/RW.009 Kel. Jenggawah, Kec. Jenggawah</v>
          </cell>
          <cell r="R926" t="str">
            <v>Jember</v>
          </cell>
          <cell r="S926" t="str">
            <v>L Kota2</v>
          </cell>
          <cell r="T926" t="str">
            <v>Efendi</v>
          </cell>
          <cell r="U926">
            <v>30</v>
          </cell>
        </row>
        <row r="927">
          <cell r="E927" t="str">
            <v>B25013974</v>
          </cell>
          <cell r="F927"/>
          <cell r="G927">
            <v>10000000</v>
          </cell>
          <cell r="H927" t="str">
            <v>Yuyun</v>
          </cell>
          <cell r="I927" t="str">
            <v>Farida</v>
          </cell>
          <cell r="J927" t="str">
            <v>New 03/08/19</v>
          </cell>
          <cell r="K927" t="str">
            <v>Lobi</v>
          </cell>
          <cell r="L927" t="str">
            <v>BARO42</v>
          </cell>
          <cell r="M927" t="str">
            <v>Barokah/Desy</v>
          </cell>
          <cell r="N927" t="str">
            <v>Desy Irawati</v>
          </cell>
          <cell r="O927" t="str">
            <v>Dsn. Curah Buntu, RT.008/RW.009 Kel. Jenggawah, Kec. Jenggawah</v>
          </cell>
          <cell r="P927" t="str">
            <v>Jember</v>
          </cell>
          <cell r="Q927" t="str">
            <v>Dsn. Curah Buntu, RT.008/RW.009 Kel. Jenggawah, Kec. Jenggawah</v>
          </cell>
          <cell r="R927" t="str">
            <v>Jember</v>
          </cell>
          <cell r="S927" t="str">
            <v>L Kota2</v>
          </cell>
          <cell r="T927" t="str">
            <v>Efendi</v>
          </cell>
          <cell r="U927">
            <v>30</v>
          </cell>
        </row>
        <row r="928">
          <cell r="E928" t="str">
            <v>B25008586</v>
          </cell>
          <cell r="F928"/>
          <cell r="G928">
            <v>100000000</v>
          </cell>
          <cell r="H928" t="str">
            <v>Hendra</v>
          </cell>
          <cell r="I928" t="str">
            <v>Tiya</v>
          </cell>
          <cell r="J928" t="str">
            <v>New 23/07/20</v>
          </cell>
          <cell r="K928" t="str">
            <v>KU</v>
          </cell>
          <cell r="L928" t="str">
            <v>BARU01</v>
          </cell>
          <cell r="M928" t="str">
            <v>Baru Bersinar, UD</v>
          </cell>
          <cell r="N928" t="str">
            <v>Sukarnawadi</v>
          </cell>
          <cell r="O928" t="str">
            <v>Dusun Onyok RT.001 RW.-, Batu Putik Keruak, Kab. Lombok Timur</v>
          </cell>
          <cell r="P928" t="str">
            <v>NTB</v>
          </cell>
          <cell r="Q928" t="str">
            <v>Batugolok Sepapan, Jerowaru, Lombok Timur</v>
          </cell>
          <cell r="R928" t="str">
            <v>NTB</v>
          </cell>
          <cell r="S928" t="str">
            <v>E Luar Pulau1</v>
          </cell>
          <cell r="T928" t="str">
            <v>Muhlisin</v>
          </cell>
          <cell r="U928">
            <v>45</v>
          </cell>
        </row>
        <row r="929">
          <cell r="E929" t="str">
            <v>T25000349</v>
          </cell>
          <cell r="F929"/>
          <cell r="G929">
            <v>40000000</v>
          </cell>
          <cell r="H929" t="str">
            <v>Faris</v>
          </cell>
          <cell r="I929" t="str">
            <v>Syahra</v>
          </cell>
          <cell r="J929" t="str">
            <v>New 14/07/22</v>
          </cell>
          <cell r="K929" t="str">
            <v>KU</v>
          </cell>
          <cell r="L929" t="str">
            <v>BARU02</v>
          </cell>
          <cell r="M929" t="str">
            <v>Baru Rejo/Haris</v>
          </cell>
          <cell r="N929" t="str">
            <v>Haris Suwongso</v>
          </cell>
          <cell r="O929" t="str">
            <v>Dusun Krajan RT.005/RW.001, Kel. Lojejer Kec. Wuluhan</v>
          </cell>
          <cell r="P929" t="str">
            <v>Jember</v>
          </cell>
          <cell r="Q929" t="str">
            <v>Dusun Krajan RT.006/RW.002, Desa Barurejo, Kec. Siluragung</v>
          </cell>
          <cell r="R929" t="str">
            <v>Banyuwangi</v>
          </cell>
          <cell r="S929" t="str">
            <v>H Bwi4</v>
          </cell>
          <cell r="T929" t="str">
            <v>Hafid</v>
          </cell>
          <cell r="U929">
            <v>242</v>
          </cell>
        </row>
        <row r="930">
          <cell r="E930" t="str">
            <v>B25010376</v>
          </cell>
          <cell r="F930"/>
          <cell r="G930">
            <v>40000000</v>
          </cell>
          <cell r="H930" t="str">
            <v>Faris</v>
          </cell>
          <cell r="I930" t="str">
            <v>Syahra</v>
          </cell>
          <cell r="J930" t="str">
            <v>New 14/07/22</v>
          </cell>
          <cell r="K930" t="str">
            <v>KU</v>
          </cell>
          <cell r="L930" t="str">
            <v>BARU02</v>
          </cell>
          <cell r="M930" t="str">
            <v>Baru Rejo/Haris</v>
          </cell>
          <cell r="N930" t="str">
            <v>Haris Suwongso</v>
          </cell>
          <cell r="O930" t="str">
            <v>Dusun Krajan RT.005/RW.001, Kel. Lojejer Kec. Wuluhan</v>
          </cell>
          <cell r="P930" t="str">
            <v>Jember</v>
          </cell>
          <cell r="Q930" t="str">
            <v>Dusun Krajan RT.006/RW.002, Desa Barurejo, Kec. Siluragung</v>
          </cell>
          <cell r="R930" t="str">
            <v>Banyuwangi</v>
          </cell>
          <cell r="S930" t="str">
            <v>H Bwi4</v>
          </cell>
          <cell r="T930" t="str">
            <v>Hafid</v>
          </cell>
          <cell r="U930">
            <v>60</v>
          </cell>
        </row>
        <row r="931">
          <cell r="E931" t="str">
            <v>B25010376</v>
          </cell>
          <cell r="F931"/>
          <cell r="G931">
            <v>40000000</v>
          </cell>
          <cell r="H931" t="str">
            <v>Faris</v>
          </cell>
          <cell r="I931" t="str">
            <v>Syahra</v>
          </cell>
          <cell r="J931" t="str">
            <v>New 14/07/22</v>
          </cell>
          <cell r="K931" t="str">
            <v>KU</v>
          </cell>
          <cell r="L931" t="str">
            <v>BARU02</v>
          </cell>
          <cell r="M931" t="str">
            <v>Baru Rejo/Haris</v>
          </cell>
          <cell r="N931" t="str">
            <v>Haris Suwongso</v>
          </cell>
          <cell r="O931" t="str">
            <v>Dusun Krajan RT.005/RW.001, Kel. Lojejer Kec. Wuluhan</v>
          </cell>
          <cell r="P931" t="str">
            <v>Jember</v>
          </cell>
          <cell r="Q931" t="str">
            <v>Dusun Krajan RT.006/RW.002, Desa Barurejo, Kec. Siluragung</v>
          </cell>
          <cell r="R931" t="str">
            <v>Banyuwangi</v>
          </cell>
          <cell r="S931" t="str">
            <v>H Bwi4</v>
          </cell>
          <cell r="T931" t="str">
            <v>Hafid</v>
          </cell>
          <cell r="U931">
            <v>60</v>
          </cell>
        </row>
        <row r="932">
          <cell r="E932" t="str">
            <v>D25013687</v>
          </cell>
          <cell r="F932"/>
          <cell r="G932">
            <v>40000000</v>
          </cell>
          <cell r="H932" t="str">
            <v>Faris</v>
          </cell>
          <cell r="I932" t="str">
            <v>Syahra</v>
          </cell>
          <cell r="J932" t="str">
            <v>New 14/07/22</v>
          </cell>
          <cell r="K932" t="str">
            <v>KU</v>
          </cell>
          <cell r="L932" t="str">
            <v>BARU02</v>
          </cell>
          <cell r="M932" t="str">
            <v>Baru Rejo/Haris</v>
          </cell>
          <cell r="N932" t="str">
            <v>Haris Suwongso</v>
          </cell>
          <cell r="O932" t="str">
            <v>Dusun Krajan RT.005/RW.001, Kel. Lojejer Kec. Wuluhan</v>
          </cell>
          <cell r="P932" t="str">
            <v>Jember</v>
          </cell>
          <cell r="Q932" t="str">
            <v>Dusun Krajan RT.006/RW.002, Desa Barurejo, Kec. Siluragung</v>
          </cell>
          <cell r="R932" t="str">
            <v>Banyuwangi</v>
          </cell>
          <cell r="S932" t="str">
            <v>H Bwi4</v>
          </cell>
          <cell r="T932" t="str">
            <v>Hafid</v>
          </cell>
          <cell r="U932">
            <v>30</v>
          </cell>
        </row>
        <row r="933">
          <cell r="E933" t="str">
            <v>B25011779</v>
          </cell>
          <cell r="F933"/>
          <cell r="G933">
            <v>40000000</v>
          </cell>
          <cell r="H933" t="str">
            <v>Faris</v>
          </cell>
          <cell r="I933" t="str">
            <v>Syahra</v>
          </cell>
          <cell r="J933" t="str">
            <v>New 14/07/22</v>
          </cell>
          <cell r="K933" t="str">
            <v>KU</v>
          </cell>
          <cell r="L933" t="str">
            <v>BARU02</v>
          </cell>
          <cell r="M933" t="str">
            <v>Baru Rejo/Haris</v>
          </cell>
          <cell r="N933" t="str">
            <v>Haris Suwongso</v>
          </cell>
          <cell r="O933" t="str">
            <v>Dusun Krajan RT.005/RW.001, Kel. Lojejer Kec. Wuluhan</v>
          </cell>
          <cell r="P933" t="str">
            <v>Jember</v>
          </cell>
          <cell r="Q933" t="str">
            <v>Dusun Krajan RT.006/RW.002, Desa Barurejo, Kec. Siluragung</v>
          </cell>
          <cell r="R933" t="str">
            <v>Banyuwangi</v>
          </cell>
          <cell r="S933" t="str">
            <v>H Bwi4</v>
          </cell>
          <cell r="T933" t="str">
            <v>Hafid</v>
          </cell>
          <cell r="U933">
            <v>60</v>
          </cell>
        </row>
        <row r="934">
          <cell r="E934" t="str">
            <v>B25011954</v>
          </cell>
          <cell r="F934"/>
          <cell r="G934">
            <v>40000000</v>
          </cell>
          <cell r="H934" t="str">
            <v>Faris</v>
          </cell>
          <cell r="I934" t="str">
            <v>Syahra</v>
          </cell>
          <cell r="J934" t="str">
            <v>New 14/07/22</v>
          </cell>
          <cell r="K934" t="str">
            <v>KU</v>
          </cell>
          <cell r="L934" t="str">
            <v>BARU02</v>
          </cell>
          <cell r="M934" t="str">
            <v>Baru Rejo/Haris</v>
          </cell>
          <cell r="N934" t="str">
            <v>Haris Suwongso</v>
          </cell>
          <cell r="O934" t="str">
            <v>Dusun Krajan RT.005/RW.001, Kel. Lojejer Kec. Wuluhan</v>
          </cell>
          <cell r="P934" t="str">
            <v>Jember</v>
          </cell>
          <cell r="Q934" t="str">
            <v>Dusun Krajan RT.006/RW.002, Desa Barurejo, Kec. Siluragung</v>
          </cell>
          <cell r="R934" t="str">
            <v>Banyuwangi</v>
          </cell>
          <cell r="S934" t="str">
            <v>H Bwi4</v>
          </cell>
          <cell r="T934" t="str">
            <v>Hafid</v>
          </cell>
          <cell r="U934">
            <v>60</v>
          </cell>
        </row>
        <row r="935">
          <cell r="E935" t="str">
            <v>D25014204</v>
          </cell>
          <cell r="F935"/>
          <cell r="G935">
            <v>40000000</v>
          </cell>
          <cell r="H935" t="str">
            <v>Faris</v>
          </cell>
          <cell r="I935" t="str">
            <v>Syahra</v>
          </cell>
          <cell r="J935" t="str">
            <v>New 14/07/22</v>
          </cell>
          <cell r="K935" t="str">
            <v>KU</v>
          </cell>
          <cell r="L935" t="str">
            <v>BARU02</v>
          </cell>
          <cell r="M935" t="str">
            <v>Baru Rejo/Haris</v>
          </cell>
          <cell r="N935" t="str">
            <v>Haris Suwongso</v>
          </cell>
          <cell r="O935" t="str">
            <v>Dusun Krajan RT.005/RW.001, Kel. Lojejer Kec. Wuluhan</v>
          </cell>
          <cell r="P935" t="str">
            <v>Jember</v>
          </cell>
          <cell r="Q935" t="str">
            <v>Dusun Krajan RT.006/RW.002, Desa Barurejo, Kec. Siluragung</v>
          </cell>
          <cell r="R935" t="str">
            <v>Banyuwangi</v>
          </cell>
          <cell r="S935" t="str">
            <v>H Bwi4</v>
          </cell>
          <cell r="T935" t="str">
            <v>Hafid</v>
          </cell>
          <cell r="U935">
            <v>30</v>
          </cell>
        </row>
        <row r="936">
          <cell r="E936" t="str">
            <v>T25001402</v>
          </cell>
          <cell r="F936"/>
          <cell r="G936">
            <v>40000000</v>
          </cell>
          <cell r="H936" t="str">
            <v>Faris</v>
          </cell>
          <cell r="I936" t="str">
            <v>Syahra</v>
          </cell>
          <cell r="J936" t="str">
            <v>New 14/07/22</v>
          </cell>
          <cell r="K936" t="str">
            <v>KU</v>
          </cell>
          <cell r="L936" t="str">
            <v>BARU02</v>
          </cell>
          <cell r="M936" t="str">
            <v>Baru Rejo/Haris</v>
          </cell>
          <cell r="N936" t="str">
            <v>Haris Suwongso</v>
          </cell>
          <cell r="O936" t="str">
            <v>Dusun Krajan RT.005/RW.001, Kel. Lojejer Kec. Wuluhan</v>
          </cell>
          <cell r="P936" t="str">
            <v>Jember</v>
          </cell>
          <cell r="Q936" t="str">
            <v>Dusun Krajan RT.006/RW.002, Desa Barurejo, Kec. Siluragung</v>
          </cell>
          <cell r="R936" t="str">
            <v>Banyuwangi</v>
          </cell>
          <cell r="S936" t="str">
            <v>H Bwi4</v>
          </cell>
          <cell r="T936" t="str">
            <v>Hafid</v>
          </cell>
          <cell r="U936">
            <v>60</v>
          </cell>
        </row>
        <row r="937">
          <cell r="E937" t="str">
            <v>B25012235</v>
          </cell>
          <cell r="F937"/>
          <cell r="G937">
            <v>40000000</v>
          </cell>
          <cell r="H937" t="str">
            <v>Faris</v>
          </cell>
          <cell r="I937" t="str">
            <v>Syahra</v>
          </cell>
          <cell r="J937" t="str">
            <v>New 14/07/22</v>
          </cell>
          <cell r="K937" t="str">
            <v>KU</v>
          </cell>
          <cell r="L937" t="str">
            <v>BARU02</v>
          </cell>
          <cell r="M937" t="str">
            <v>Baru Rejo/Haris</v>
          </cell>
          <cell r="N937" t="str">
            <v>Haris Suwongso</v>
          </cell>
          <cell r="O937" t="str">
            <v>Dusun Krajan RT.005/RW.001, Kel. Lojejer Kec. Wuluhan</v>
          </cell>
          <cell r="P937" t="str">
            <v>Jember</v>
          </cell>
          <cell r="Q937" t="str">
            <v>Dusun Krajan RT.006/RW.002, Desa Barurejo, Kec. Siluragung</v>
          </cell>
          <cell r="R937" t="str">
            <v>Banyuwangi</v>
          </cell>
          <cell r="S937" t="str">
            <v>H Bwi4</v>
          </cell>
          <cell r="T937" t="str">
            <v>Hafid</v>
          </cell>
          <cell r="U937">
            <v>30</v>
          </cell>
        </row>
        <row r="938">
          <cell r="E938" t="str">
            <v>D25014939</v>
          </cell>
          <cell r="F938"/>
          <cell r="G938">
            <v>40000000</v>
          </cell>
          <cell r="H938" t="str">
            <v>Faris</v>
          </cell>
          <cell r="I938" t="str">
            <v>Syahra</v>
          </cell>
          <cell r="J938" t="str">
            <v>New 14/07/22</v>
          </cell>
          <cell r="K938" t="str">
            <v>KU</v>
          </cell>
          <cell r="L938" t="str">
            <v>BARU02</v>
          </cell>
          <cell r="M938" t="str">
            <v>Baru Rejo/Haris</v>
          </cell>
          <cell r="N938" t="str">
            <v>Haris Suwongso</v>
          </cell>
          <cell r="O938" t="str">
            <v>Dusun Krajan RT.005/RW.001, Kel. Lojejer Kec. Wuluhan</v>
          </cell>
          <cell r="P938" t="str">
            <v>Jember</v>
          </cell>
          <cell r="Q938" t="str">
            <v>Dusun Krajan RT.006/RW.002, Desa Barurejo, Kec. Siluragung</v>
          </cell>
          <cell r="R938" t="str">
            <v>Banyuwangi</v>
          </cell>
          <cell r="S938" t="str">
            <v>H Bwi4</v>
          </cell>
          <cell r="T938" t="str">
            <v>Hafid</v>
          </cell>
          <cell r="U938">
            <v>60</v>
          </cell>
        </row>
        <row r="939">
          <cell r="E939" t="str">
            <v>T25001484</v>
          </cell>
          <cell r="F939"/>
          <cell r="G939">
            <v>40000000</v>
          </cell>
          <cell r="H939" t="str">
            <v>Faris</v>
          </cell>
          <cell r="I939" t="str">
            <v>Syahra</v>
          </cell>
          <cell r="J939" t="str">
            <v>New 14/07/22</v>
          </cell>
          <cell r="K939" t="str">
            <v>KU</v>
          </cell>
          <cell r="L939" t="str">
            <v>BARU02</v>
          </cell>
          <cell r="M939" t="str">
            <v>Baru Rejo/Haris</v>
          </cell>
          <cell r="N939" t="str">
            <v>Haris Suwongso</v>
          </cell>
          <cell r="O939" t="str">
            <v>Dusun Krajan RT.005/RW.001, Kel. Lojejer Kec. Wuluhan</v>
          </cell>
          <cell r="P939" t="str">
            <v>Jember</v>
          </cell>
          <cell r="Q939" t="str">
            <v>Dusun Krajan RT.006/RW.002, Desa Barurejo, Kec. Siluragung</v>
          </cell>
          <cell r="R939" t="str">
            <v>Banyuwangi</v>
          </cell>
          <cell r="S939" t="str">
            <v>H Bwi4</v>
          </cell>
          <cell r="T939" t="str">
            <v>Hafid</v>
          </cell>
          <cell r="U939">
            <v>60</v>
          </cell>
        </row>
        <row r="940">
          <cell r="E940" t="str">
            <v>D25015612</v>
          </cell>
          <cell r="F940"/>
          <cell r="G940">
            <v>40000000</v>
          </cell>
          <cell r="H940" t="str">
            <v>Faris</v>
          </cell>
          <cell r="I940" t="str">
            <v>Syahra</v>
          </cell>
          <cell r="J940" t="str">
            <v>New 14/07/22</v>
          </cell>
          <cell r="K940" t="str">
            <v>KU</v>
          </cell>
          <cell r="L940" t="str">
            <v>BARU02</v>
          </cell>
          <cell r="M940" t="str">
            <v>Baru Rejo/Haris</v>
          </cell>
          <cell r="N940" t="str">
            <v>Haris Suwongso</v>
          </cell>
          <cell r="O940" t="str">
            <v>Dusun Krajan RT.005/RW.001, Kel. Lojejer Kec. Wuluhan</v>
          </cell>
          <cell r="P940" t="str">
            <v>Jember</v>
          </cell>
          <cell r="Q940" t="str">
            <v>Dusun Krajan RT.006/RW.002, Desa Barurejo, Kec. Siluragung</v>
          </cell>
          <cell r="R940" t="str">
            <v>Banyuwangi</v>
          </cell>
          <cell r="S940" t="str">
            <v>H Bwi4</v>
          </cell>
          <cell r="T940" t="str">
            <v>Hafid</v>
          </cell>
          <cell r="U940">
            <v>60</v>
          </cell>
        </row>
        <row r="941">
          <cell r="E941" t="str">
            <v>D25016145</v>
          </cell>
          <cell r="F941"/>
          <cell r="G941">
            <v>40000000</v>
          </cell>
          <cell r="H941" t="str">
            <v>Faris</v>
          </cell>
          <cell r="I941" t="str">
            <v>Syahra</v>
          </cell>
          <cell r="J941" t="str">
            <v>New 14/07/22</v>
          </cell>
          <cell r="K941" t="str">
            <v>KU</v>
          </cell>
          <cell r="L941" t="str">
            <v>BARU02</v>
          </cell>
          <cell r="M941" t="str">
            <v>Baru Rejo/Haris</v>
          </cell>
          <cell r="N941" t="str">
            <v>Haris Suwongso</v>
          </cell>
          <cell r="O941" t="str">
            <v>Dusun Krajan RT.005/RW.001, Kel. Lojejer Kec. Wuluhan</v>
          </cell>
          <cell r="P941" t="str">
            <v>Jember</v>
          </cell>
          <cell r="Q941" t="str">
            <v>Dusun Krajan RT.006/RW.002, Desa Barurejo, Kec. Siluragung</v>
          </cell>
          <cell r="R941" t="str">
            <v>Banyuwangi</v>
          </cell>
          <cell r="S941" t="str">
            <v>H Bwi4</v>
          </cell>
          <cell r="T941" t="str">
            <v>Hafid</v>
          </cell>
          <cell r="U941">
            <v>30</v>
          </cell>
        </row>
        <row r="942">
          <cell r="E942" t="str">
            <v>R25000098</v>
          </cell>
          <cell r="F942"/>
          <cell r="G942">
            <v>4000000000</v>
          </cell>
          <cell r="H942" t="str">
            <v>Hendra</v>
          </cell>
          <cell r="I942" t="str">
            <v>Tiya</v>
          </cell>
          <cell r="J942" t="str">
            <v>New 13/01/24</v>
          </cell>
          <cell r="K942" t="str">
            <v>KU</v>
          </cell>
          <cell r="L942" t="str">
            <v>BAYE01</v>
          </cell>
          <cell r="M942" t="str">
            <v>Bayer Indonesia, PT</v>
          </cell>
          <cell r="N942" t="str">
            <v>Bayer Indonesia, PT</v>
          </cell>
          <cell r="O942" t="str">
            <v>Gedung Menara Astra Lantai 33, Jl. Jend. Sudirman Kav 5-6</v>
          </cell>
          <cell r="P942" t="str">
            <v>Jakarta Pusat</v>
          </cell>
          <cell r="Q942" t="str">
            <v>Gedung Menara Astra Lantai 33, Jl. Jend. Sudirman Kav 5-6</v>
          </cell>
          <cell r="R942" t="str">
            <v>Jakarta Pusat</v>
          </cell>
          <cell r="S942" t="str">
            <v>I Jabar Jateng</v>
          </cell>
          <cell r="T942" t="str">
            <v>Non SE &amp; JSE</v>
          </cell>
          <cell r="U942">
            <v>15</v>
          </cell>
        </row>
        <row r="943">
          <cell r="E943" t="str">
            <v>D25013976</v>
          </cell>
          <cell r="F943"/>
          <cell r="G943">
            <v>4000000000</v>
          </cell>
          <cell r="H943" t="str">
            <v>Hendra</v>
          </cell>
          <cell r="I943" t="str">
            <v>Tiya</v>
          </cell>
          <cell r="J943" t="str">
            <v>New 13/01/24</v>
          </cell>
          <cell r="K943" t="str">
            <v>KU</v>
          </cell>
          <cell r="L943" t="str">
            <v>BAYE01</v>
          </cell>
          <cell r="M943" t="str">
            <v>Bayer Indonesia, PT</v>
          </cell>
          <cell r="N943" t="str">
            <v>Bayer Indonesia, PT</v>
          </cell>
          <cell r="O943" t="str">
            <v>Gedung Menara Astra Lantai 33, Jl. Jend. Sudirman Kav 5-6</v>
          </cell>
          <cell r="P943" t="str">
            <v>Jakarta Pusat</v>
          </cell>
          <cell r="Q943" t="str">
            <v>Gedung Menara Astra Lantai 33, Jl. Jend. Sudirman Kav 5-6</v>
          </cell>
          <cell r="R943" t="str">
            <v>Jakarta Pusat</v>
          </cell>
          <cell r="S943" t="str">
            <v>I Jabar Jateng</v>
          </cell>
          <cell r="T943" t="str">
            <v>Non SE &amp; JSE</v>
          </cell>
          <cell r="U943">
            <v>90</v>
          </cell>
        </row>
        <row r="944">
          <cell r="E944" t="str">
            <v>D25014216</v>
          </cell>
          <cell r="F944"/>
          <cell r="G944">
            <v>4000000000</v>
          </cell>
          <cell r="H944" t="str">
            <v>Hendra</v>
          </cell>
          <cell r="I944" t="str">
            <v>Tiya</v>
          </cell>
          <cell r="J944" t="str">
            <v>New 13/01/24</v>
          </cell>
          <cell r="K944" t="str">
            <v>KU</v>
          </cell>
          <cell r="L944" t="str">
            <v>BAYE01</v>
          </cell>
          <cell r="M944" t="str">
            <v>Bayer Indonesia, PT</v>
          </cell>
          <cell r="N944" t="str">
            <v>Bayer Indonesia, PT</v>
          </cell>
          <cell r="O944" t="str">
            <v>Gedung Menara Astra Lantai 33, Jl. Jend. Sudirman Kav 5-6</v>
          </cell>
          <cell r="P944" t="str">
            <v>Jakarta Pusat</v>
          </cell>
          <cell r="Q944" t="str">
            <v>Gedung Menara Astra Lantai 33, Jl. Jend. Sudirman Kav 5-6</v>
          </cell>
          <cell r="R944" t="str">
            <v>Jakarta Pusat</v>
          </cell>
          <cell r="S944" t="str">
            <v>I Jabar Jateng</v>
          </cell>
          <cell r="T944" t="str">
            <v>Non SE &amp; JSE</v>
          </cell>
          <cell r="U944">
            <v>30</v>
          </cell>
        </row>
        <row r="945">
          <cell r="E945" t="str">
            <v>R25000125</v>
          </cell>
          <cell r="F945"/>
          <cell r="G945">
            <v>1000</v>
          </cell>
          <cell r="H945" t="str">
            <v>Others</v>
          </cell>
          <cell r="I945" t="str">
            <v>Exclusive</v>
          </cell>
          <cell r="J945" t="str">
            <v>New 16/10/25</v>
          </cell>
          <cell r="K945" t="str">
            <v>KU</v>
          </cell>
          <cell r="L945" t="str">
            <v>BEHN01</v>
          </cell>
          <cell r="M945" t="str">
            <v>Behn Meyer Agricare, PT</v>
          </cell>
          <cell r="N945" t="str">
            <v>Behn Meyer Agricare, PT</v>
          </cell>
          <cell r="O945" t="str">
            <v>Taman Tekno BSD Industrial Kompleks Jl. Tekno Utama Blok B No. 1 Lt. 1A Sektor 11 BSD Setu, Tangerang</v>
          </cell>
          <cell r="P945" t="str">
            <v>Banten</v>
          </cell>
          <cell r="Q945" t="str">
            <v>Taman Tekno BSD Industrial Kompleks Jl. Tekno Utama Blok B No. 1 Lt. 1A Sektor 11 BSD Setu, Tangerang</v>
          </cell>
          <cell r="R945" t="str">
            <v>Banten</v>
          </cell>
          <cell r="S945" t="str">
            <v>I Jabar Jateng</v>
          </cell>
          <cell r="T945" t="str">
            <v>Non SE &amp; JSE</v>
          </cell>
          <cell r="U945">
            <v>15</v>
          </cell>
        </row>
        <row r="946">
          <cell r="E946" t="str">
            <v>T25001337</v>
          </cell>
          <cell r="F946"/>
          <cell r="G946">
            <v>50000000</v>
          </cell>
          <cell r="H946" t="str">
            <v>Yuyun</v>
          </cell>
          <cell r="I946" t="str">
            <v>Farida</v>
          </cell>
          <cell r="J946"/>
          <cell r="K946" t="str">
            <v>Tunai</v>
          </cell>
          <cell r="L946" t="str">
            <v>BEJO01</v>
          </cell>
          <cell r="M946" t="str">
            <v>Bejo Langgeng, Toko</v>
          </cell>
          <cell r="N946" t="str">
            <v>Handi Iswanto</v>
          </cell>
          <cell r="O946" t="str">
            <v>Kepel RT.001/RW.022, Ampel, Wuluhan Kab. Jember</v>
          </cell>
          <cell r="P946" t="str">
            <v>Jember</v>
          </cell>
          <cell r="Q946" t="str">
            <v>Kepel RT.001/RW.022, Ampel, Wuluhan Kab. Jember</v>
          </cell>
          <cell r="R946" t="str">
            <v>Jember</v>
          </cell>
          <cell r="S946" t="str">
            <v>L Kota2</v>
          </cell>
          <cell r="T946" t="str">
            <v>Wira</v>
          </cell>
          <cell r="U946">
            <v>60</v>
          </cell>
        </row>
        <row r="947">
          <cell r="E947" t="str">
            <v>D25013970</v>
          </cell>
          <cell r="F947"/>
          <cell r="G947">
            <v>50000000</v>
          </cell>
          <cell r="H947" t="str">
            <v>Yuyun</v>
          </cell>
          <cell r="I947" t="str">
            <v>Farida</v>
          </cell>
          <cell r="J947"/>
          <cell r="K947" t="str">
            <v>Tunai</v>
          </cell>
          <cell r="L947" t="str">
            <v>BEJO01</v>
          </cell>
          <cell r="M947" t="str">
            <v>Bejo Langgeng, Toko</v>
          </cell>
          <cell r="N947" t="str">
            <v>Handi Iswanto</v>
          </cell>
          <cell r="O947" t="str">
            <v>Kepel RT.001/RW.022, Ampel, Wuluhan Kab. Jember</v>
          </cell>
          <cell r="P947" t="str">
            <v>Jember</v>
          </cell>
          <cell r="Q947" t="str">
            <v>Kepel RT.001/RW.022, Ampel, Wuluhan Kab. Jember</v>
          </cell>
          <cell r="R947" t="str">
            <v>Jember</v>
          </cell>
          <cell r="S947" t="str">
            <v>L Kota2</v>
          </cell>
          <cell r="T947" t="str">
            <v>Wira</v>
          </cell>
          <cell r="U947">
            <v>30</v>
          </cell>
        </row>
        <row r="948">
          <cell r="E948" t="str">
            <v>D25014442</v>
          </cell>
          <cell r="F948"/>
          <cell r="G948">
            <v>50000000</v>
          </cell>
          <cell r="H948" t="str">
            <v>Yuyun</v>
          </cell>
          <cell r="I948" t="str">
            <v>Farida</v>
          </cell>
          <cell r="J948"/>
          <cell r="K948" t="str">
            <v>Tunai</v>
          </cell>
          <cell r="L948" t="str">
            <v>BEJO01</v>
          </cell>
          <cell r="M948" t="str">
            <v>Bejo Langgeng, Toko</v>
          </cell>
          <cell r="N948" t="str">
            <v>Handi Iswanto</v>
          </cell>
          <cell r="O948" t="str">
            <v>Kepel RT.001/RW.022, Ampel, Wuluhan Kab. Jember</v>
          </cell>
          <cell r="P948" t="str">
            <v>Jember</v>
          </cell>
          <cell r="Q948" t="str">
            <v>Kepel RT.001/RW.022, Ampel, Wuluhan Kab. Jember</v>
          </cell>
          <cell r="R948" t="str">
            <v>Jember</v>
          </cell>
          <cell r="S948" t="str">
            <v>L Kota2</v>
          </cell>
          <cell r="T948" t="str">
            <v>Wira</v>
          </cell>
          <cell r="U948">
            <v>30</v>
          </cell>
        </row>
        <row r="949">
          <cell r="E949" t="str">
            <v>D25014470</v>
          </cell>
          <cell r="F949"/>
          <cell r="G949">
            <v>50000000</v>
          </cell>
          <cell r="H949" t="str">
            <v>Yuyun</v>
          </cell>
          <cell r="I949" t="str">
            <v>Farida</v>
          </cell>
          <cell r="J949"/>
          <cell r="K949" t="str">
            <v>Tunai</v>
          </cell>
          <cell r="L949" t="str">
            <v>BEJO01</v>
          </cell>
          <cell r="M949" t="str">
            <v>Bejo Langgeng, Toko</v>
          </cell>
          <cell r="N949" t="str">
            <v>Handi Iswanto</v>
          </cell>
          <cell r="O949" t="str">
            <v>Kepel RT.001/RW.022, Ampel, Wuluhan Kab. Jember</v>
          </cell>
          <cell r="P949" t="str">
            <v>Jember</v>
          </cell>
          <cell r="Q949" t="str">
            <v>Kepel RT.001/RW.022, Ampel, Wuluhan Kab. Jember</v>
          </cell>
          <cell r="R949" t="str">
            <v>Jember</v>
          </cell>
          <cell r="S949" t="str">
            <v>L Kota2</v>
          </cell>
          <cell r="T949" t="str">
            <v>Wira</v>
          </cell>
          <cell r="U949">
            <v>30</v>
          </cell>
        </row>
        <row r="950">
          <cell r="E950" t="str">
            <v>D25014876</v>
          </cell>
          <cell r="F950"/>
          <cell r="G950">
            <v>50000000</v>
          </cell>
          <cell r="H950" t="str">
            <v>Yuyun</v>
          </cell>
          <cell r="I950" t="str">
            <v>Farida</v>
          </cell>
          <cell r="J950"/>
          <cell r="K950" t="str">
            <v>Tunai</v>
          </cell>
          <cell r="L950" t="str">
            <v>BEJO01</v>
          </cell>
          <cell r="M950" t="str">
            <v>Bejo Langgeng, Toko</v>
          </cell>
          <cell r="N950" t="str">
            <v>Handi Iswanto</v>
          </cell>
          <cell r="O950" t="str">
            <v>Kepel RT.001/RW.022, Ampel, Wuluhan Kab. Jember</v>
          </cell>
          <cell r="P950" t="str">
            <v>Jember</v>
          </cell>
          <cell r="Q950" t="str">
            <v>Kepel RT.001/RW.022, Ampel, Wuluhan Kab. Jember</v>
          </cell>
          <cell r="R950" t="str">
            <v>Jember</v>
          </cell>
          <cell r="S950" t="str">
            <v>L Kota2</v>
          </cell>
          <cell r="T950" t="str">
            <v>Wira</v>
          </cell>
          <cell r="U950">
            <v>30</v>
          </cell>
        </row>
        <row r="951">
          <cell r="E951" t="str">
            <v>D25011668</v>
          </cell>
          <cell r="F951"/>
          <cell r="G951">
            <v>100000000</v>
          </cell>
          <cell r="H951" t="str">
            <v>Zakia</v>
          </cell>
          <cell r="I951" t="str">
            <v>Tiya</v>
          </cell>
          <cell r="J951" t="str">
            <v>New 16/09/19</v>
          </cell>
          <cell r="K951" t="str">
            <v>KU</v>
          </cell>
          <cell r="L951" t="str">
            <v>BENT01</v>
          </cell>
          <cell r="M951" t="str">
            <v>Ben Tani</v>
          </cell>
          <cell r="N951" t="str">
            <v>I Nyoman Karimbawa</v>
          </cell>
          <cell r="O951" t="str">
            <v>Banjar Dinas Sendang Lapang Kel. Pemuteran, Kec. Cerokgak</v>
          </cell>
          <cell r="P951" t="str">
            <v>Buleleng</v>
          </cell>
          <cell r="Q951" t="str">
            <v>Banjar Dinas Sendang Lapang Kel. Pemuteran, Kec. Cerokgak, Buleleng</v>
          </cell>
          <cell r="R951" t="str">
            <v>Bali</v>
          </cell>
          <cell r="S951" t="str">
            <v>S Bali1</v>
          </cell>
          <cell r="T951" t="str">
            <v>Wira</v>
          </cell>
          <cell r="U951">
            <v>30</v>
          </cell>
        </row>
        <row r="952">
          <cell r="E952" t="str">
            <v>D25012340</v>
          </cell>
          <cell r="F952"/>
          <cell r="G952">
            <v>100000000</v>
          </cell>
          <cell r="H952" t="str">
            <v>Zakia</v>
          </cell>
          <cell r="I952" t="str">
            <v>Tiya</v>
          </cell>
          <cell r="J952" t="str">
            <v>New 16/09/19</v>
          </cell>
          <cell r="K952" t="str">
            <v>KU</v>
          </cell>
          <cell r="L952" t="str">
            <v>BENT01</v>
          </cell>
          <cell r="M952" t="str">
            <v>Ben Tani</v>
          </cell>
          <cell r="N952" t="str">
            <v>I Nyoman Karimbawa</v>
          </cell>
          <cell r="O952" t="str">
            <v>Banjar Dinas Sendang Lapang Kel. Pemuteran, Kec. Cerokgak</v>
          </cell>
          <cell r="P952" t="str">
            <v>Buleleng</v>
          </cell>
          <cell r="Q952" t="str">
            <v>Banjar Dinas Sendang Lapang Kel. Pemuteran, Kec. Cerokgak, Buleleng</v>
          </cell>
          <cell r="R952" t="str">
            <v>Bali</v>
          </cell>
          <cell r="S952" t="str">
            <v>S Bali1</v>
          </cell>
          <cell r="T952" t="str">
            <v>Wira</v>
          </cell>
          <cell r="U952">
            <v>30</v>
          </cell>
        </row>
        <row r="953">
          <cell r="E953" t="str">
            <v>B25011398</v>
          </cell>
          <cell r="F953"/>
          <cell r="G953">
            <v>100000000</v>
          </cell>
          <cell r="H953" t="str">
            <v>Zakia</v>
          </cell>
          <cell r="I953" t="str">
            <v>Tiya</v>
          </cell>
          <cell r="J953" t="str">
            <v>New 16/09/19</v>
          </cell>
          <cell r="K953" t="str">
            <v>KU</v>
          </cell>
          <cell r="L953" t="str">
            <v>BENT01</v>
          </cell>
          <cell r="M953" t="str">
            <v>Ben Tani</v>
          </cell>
          <cell r="N953" t="str">
            <v>I Nyoman Karimbawa</v>
          </cell>
          <cell r="O953" t="str">
            <v>Banjar Dinas Sendang Lapang Kel. Pemuteran, Kec. Cerokgak</v>
          </cell>
          <cell r="P953" t="str">
            <v>Buleleng</v>
          </cell>
          <cell r="Q953" t="str">
            <v>Banjar Dinas Sendang Lapang Kel. Pemuteran, Kec. Cerokgak, Buleleng</v>
          </cell>
          <cell r="R953" t="str">
            <v>Bali</v>
          </cell>
          <cell r="S953" t="str">
            <v>S Bali1</v>
          </cell>
          <cell r="T953" t="str">
            <v>Wira</v>
          </cell>
          <cell r="U953">
            <v>30</v>
          </cell>
        </row>
        <row r="954">
          <cell r="E954" t="str">
            <v>D25013532</v>
          </cell>
          <cell r="F954"/>
          <cell r="G954">
            <v>100000000</v>
          </cell>
          <cell r="H954" t="str">
            <v>Zakia</v>
          </cell>
          <cell r="I954" t="str">
            <v>Tiya</v>
          </cell>
          <cell r="J954" t="str">
            <v>New 16/09/19</v>
          </cell>
          <cell r="K954" t="str">
            <v>KU</v>
          </cell>
          <cell r="L954" t="str">
            <v>BENT01</v>
          </cell>
          <cell r="M954" t="str">
            <v>Ben Tani</v>
          </cell>
          <cell r="N954" t="str">
            <v>I Nyoman Karimbawa</v>
          </cell>
          <cell r="O954" t="str">
            <v>Banjar Dinas Sendang Lapang Kel. Pemuteran, Kec. Cerokgak</v>
          </cell>
          <cell r="P954" t="str">
            <v>Buleleng</v>
          </cell>
          <cell r="Q954" t="str">
            <v>Banjar Dinas Sendang Lapang Kel. Pemuteran, Kec. Cerokgak, Buleleng</v>
          </cell>
          <cell r="R954" t="str">
            <v>Bali</v>
          </cell>
          <cell r="S954" t="str">
            <v>S Bali1</v>
          </cell>
          <cell r="T954" t="str">
            <v>Wira</v>
          </cell>
          <cell r="U954">
            <v>30</v>
          </cell>
        </row>
        <row r="955">
          <cell r="E955" t="str">
            <v>B25012623</v>
          </cell>
          <cell r="F955"/>
          <cell r="G955">
            <v>100000000</v>
          </cell>
          <cell r="H955" t="str">
            <v>Zakia</v>
          </cell>
          <cell r="I955" t="str">
            <v>Tiya</v>
          </cell>
          <cell r="J955" t="str">
            <v>New 16/09/19</v>
          </cell>
          <cell r="K955" t="str">
            <v>KU</v>
          </cell>
          <cell r="L955" t="str">
            <v>BENT01</v>
          </cell>
          <cell r="M955" t="str">
            <v>Ben Tani</v>
          </cell>
          <cell r="N955" t="str">
            <v>I Nyoman Karimbawa</v>
          </cell>
          <cell r="O955" t="str">
            <v>Banjar Dinas Sendang Lapang Kel. Pemuteran, Kec. Cerokgak</v>
          </cell>
          <cell r="P955" t="str">
            <v>Buleleng</v>
          </cell>
          <cell r="Q955" t="str">
            <v>Banjar Dinas Sendang Lapang Kel. Pemuteran, Kec. Cerokgak, Buleleng</v>
          </cell>
          <cell r="R955" t="str">
            <v>Bali</v>
          </cell>
          <cell r="S955" t="str">
            <v>S Bali1</v>
          </cell>
          <cell r="T955" t="str">
            <v>Wira</v>
          </cell>
          <cell r="U955">
            <v>30</v>
          </cell>
        </row>
        <row r="956">
          <cell r="E956" t="str">
            <v>D25015585</v>
          </cell>
          <cell r="F956"/>
          <cell r="G956">
            <v>100000000</v>
          </cell>
          <cell r="H956" t="str">
            <v>Zakia</v>
          </cell>
          <cell r="I956" t="str">
            <v>Tiya</v>
          </cell>
          <cell r="J956" t="str">
            <v>New 16/09/19</v>
          </cell>
          <cell r="K956" t="str">
            <v>KU</v>
          </cell>
          <cell r="L956" t="str">
            <v>BENT01</v>
          </cell>
          <cell r="M956" t="str">
            <v>Ben Tani</v>
          </cell>
          <cell r="N956" t="str">
            <v>I Nyoman Karimbawa</v>
          </cell>
          <cell r="O956" t="str">
            <v>Banjar Dinas Sendang Lapang Kel. Pemuteran, Kec. Cerokgak</v>
          </cell>
          <cell r="P956" t="str">
            <v>Buleleng</v>
          </cell>
          <cell r="Q956" t="str">
            <v>Banjar Dinas Sendang Lapang Kel. Pemuteran, Kec. Cerokgak, Buleleng</v>
          </cell>
          <cell r="R956" t="str">
            <v>Bali</v>
          </cell>
          <cell r="S956" t="str">
            <v>S Bali1</v>
          </cell>
          <cell r="T956" t="str">
            <v>Wira</v>
          </cell>
          <cell r="U956">
            <v>30</v>
          </cell>
        </row>
        <row r="957">
          <cell r="E957" t="str">
            <v>R25000110</v>
          </cell>
          <cell r="F957"/>
          <cell r="G957">
            <v>500000000</v>
          </cell>
          <cell r="H957" t="str">
            <v>Yuyun</v>
          </cell>
          <cell r="I957" t="str">
            <v>Syahra</v>
          </cell>
          <cell r="J957"/>
          <cell r="K957" t="str">
            <v>Lobi</v>
          </cell>
          <cell r="L957" t="str">
            <v>BENI01</v>
          </cell>
          <cell r="M957" t="str">
            <v>Benih Citra Asia, PT</v>
          </cell>
          <cell r="N957" t="str">
            <v>Benih Citra Asia, PT</v>
          </cell>
          <cell r="O957" t="str">
            <v>JL.  H. Akmaludin No.26 Wirowongso Ajung, Kab. Jember</v>
          </cell>
          <cell r="P957" t="str">
            <v>Jember</v>
          </cell>
          <cell r="Q957" t="str">
            <v>JL.  H. Akmaludin No.26 Wirowongso Ajung, Kab. Jember</v>
          </cell>
          <cell r="R957" t="str">
            <v>Jember</v>
          </cell>
          <cell r="S957" t="str">
            <v>B Agronomis</v>
          </cell>
          <cell r="T957" t="str">
            <v>Wira</v>
          </cell>
          <cell r="U957">
            <v>0</v>
          </cell>
        </row>
        <row r="958">
          <cell r="E958" t="str">
            <v>R25000112</v>
          </cell>
          <cell r="F958"/>
          <cell r="G958">
            <v>500000000</v>
          </cell>
          <cell r="H958" t="str">
            <v>Yuyun</v>
          </cell>
          <cell r="I958" t="str">
            <v>Syahra</v>
          </cell>
          <cell r="J958"/>
          <cell r="K958" t="str">
            <v>Lobi</v>
          </cell>
          <cell r="L958" t="str">
            <v>BENI01</v>
          </cell>
          <cell r="M958" t="str">
            <v>Benih Citra Asia, PT</v>
          </cell>
          <cell r="N958" t="str">
            <v>Benih Citra Asia, PT</v>
          </cell>
          <cell r="O958" t="str">
            <v>JL.  H. Akmaludin No.26 Wirowongso Ajung, Kab. Jember</v>
          </cell>
          <cell r="P958" t="str">
            <v>Jember</v>
          </cell>
          <cell r="Q958" t="str">
            <v>JL.  H. Akmaludin No.26 Wirowongso Ajung, Kab. Jember</v>
          </cell>
          <cell r="R958" t="str">
            <v>Jember</v>
          </cell>
          <cell r="S958" t="str">
            <v>B Agronomis</v>
          </cell>
          <cell r="T958" t="str">
            <v>Wira</v>
          </cell>
          <cell r="U958">
            <v>0</v>
          </cell>
        </row>
        <row r="959">
          <cell r="E959" t="str">
            <v>D25013791</v>
          </cell>
          <cell r="F959"/>
          <cell r="G959">
            <v>100000000</v>
          </cell>
          <cell r="H959" t="str">
            <v>Reni</v>
          </cell>
          <cell r="I959" t="str">
            <v>Farida</v>
          </cell>
          <cell r="J959"/>
          <cell r="K959" t="str">
            <v>KU</v>
          </cell>
          <cell r="L959" t="str">
            <v>BENI02</v>
          </cell>
          <cell r="M959" t="str">
            <v>Benih Jaya</v>
          </cell>
          <cell r="N959" t="str">
            <v>Wiwin Fitriyah</v>
          </cell>
          <cell r="O959" t="str">
            <v>Kauman, Gg.01/19, RT.001/RW.001 Kel. Kauman, Kec. Mojosari</v>
          </cell>
          <cell r="P959" t="str">
            <v>Mojokerto</v>
          </cell>
          <cell r="Q959" t="str">
            <v>Jl. Airlangga No.122 Kec. Mojosari</v>
          </cell>
          <cell r="R959" t="str">
            <v>Mojokerto</v>
          </cell>
          <cell r="S959" t="str">
            <v>D Barat1</v>
          </cell>
          <cell r="T959" t="str">
            <v>Tomi</v>
          </cell>
          <cell r="U959">
            <v>30</v>
          </cell>
        </row>
        <row r="960">
          <cell r="E960" t="str">
            <v>B25011626</v>
          </cell>
          <cell r="F960"/>
          <cell r="G960">
            <v>100000000</v>
          </cell>
          <cell r="H960" t="str">
            <v>Reni</v>
          </cell>
          <cell r="I960" t="str">
            <v>Farida</v>
          </cell>
          <cell r="J960"/>
          <cell r="K960" t="str">
            <v>KU</v>
          </cell>
          <cell r="L960" t="str">
            <v>BENI02</v>
          </cell>
          <cell r="M960" t="str">
            <v>Benih Jaya</v>
          </cell>
          <cell r="N960" t="str">
            <v>Wiwin Fitriyah</v>
          </cell>
          <cell r="O960" t="str">
            <v>Kauman, Gg.01/19, RT.001/RW.001 Kel. Kauman, Kec. Mojosari</v>
          </cell>
          <cell r="P960" t="str">
            <v>Mojokerto</v>
          </cell>
          <cell r="Q960" t="str">
            <v>Jl. Airlangga No.122 Kec. Mojosari</v>
          </cell>
          <cell r="R960" t="str">
            <v>Mojokerto</v>
          </cell>
          <cell r="S960" t="str">
            <v>D Barat1</v>
          </cell>
          <cell r="T960" t="str">
            <v>Tomi</v>
          </cell>
          <cell r="U960">
            <v>60</v>
          </cell>
        </row>
        <row r="961">
          <cell r="E961" t="str">
            <v>B25011698</v>
          </cell>
          <cell r="F961"/>
          <cell r="G961">
            <v>100000000</v>
          </cell>
          <cell r="H961" t="str">
            <v>Reni</v>
          </cell>
          <cell r="I961" t="str">
            <v>Farida</v>
          </cell>
          <cell r="J961"/>
          <cell r="K961" t="str">
            <v>KU</v>
          </cell>
          <cell r="L961" t="str">
            <v>BENI02</v>
          </cell>
          <cell r="M961" t="str">
            <v>Benih Jaya</v>
          </cell>
          <cell r="N961" t="str">
            <v>Wiwin Fitriyah</v>
          </cell>
          <cell r="O961" t="str">
            <v>Kauman, Gg.01/19, RT.001/RW.001 Kel. Kauman, Kec. Mojosari</v>
          </cell>
          <cell r="P961" t="str">
            <v>Mojokerto</v>
          </cell>
          <cell r="Q961" t="str">
            <v>Jl. Airlangga No.122 Kec. Mojosari</v>
          </cell>
          <cell r="R961" t="str">
            <v>Mojokerto</v>
          </cell>
          <cell r="S961" t="str">
            <v>D Barat1</v>
          </cell>
          <cell r="T961" t="str">
            <v>Tomi</v>
          </cell>
          <cell r="U961">
            <v>30</v>
          </cell>
        </row>
        <row r="962">
          <cell r="E962" t="str">
            <v>D25014757</v>
          </cell>
          <cell r="F962"/>
          <cell r="G962">
            <v>100000000</v>
          </cell>
          <cell r="H962" t="str">
            <v>Reni</v>
          </cell>
          <cell r="I962" t="str">
            <v>Farida</v>
          </cell>
          <cell r="J962"/>
          <cell r="K962" t="str">
            <v>KU</v>
          </cell>
          <cell r="L962" t="str">
            <v>BENI02</v>
          </cell>
          <cell r="M962" t="str">
            <v>Benih Jaya</v>
          </cell>
          <cell r="N962" t="str">
            <v>Wiwin Fitriyah</v>
          </cell>
          <cell r="O962" t="str">
            <v>Kauman, Gg.01/19, RT.001/RW.001 Kel. Kauman, Kec. Mojosari</v>
          </cell>
          <cell r="P962" t="str">
            <v>Mojokerto</v>
          </cell>
          <cell r="Q962" t="str">
            <v>Jl. Airlangga No.122 Kec. Mojosari</v>
          </cell>
          <cell r="R962" t="str">
            <v>Mojokerto</v>
          </cell>
          <cell r="S962" t="str">
            <v>D Barat1</v>
          </cell>
          <cell r="T962" t="str">
            <v>Tomi</v>
          </cell>
          <cell r="U962">
            <v>60</v>
          </cell>
        </row>
        <row r="963">
          <cell r="E963" t="str">
            <v>D25014758</v>
          </cell>
          <cell r="F963"/>
          <cell r="G963">
            <v>100000000</v>
          </cell>
          <cell r="H963" t="str">
            <v>Reni</v>
          </cell>
          <cell r="I963" t="str">
            <v>Farida</v>
          </cell>
          <cell r="J963"/>
          <cell r="K963" t="str">
            <v>KU</v>
          </cell>
          <cell r="L963" t="str">
            <v>BENI02</v>
          </cell>
          <cell r="M963" t="str">
            <v>Benih Jaya</v>
          </cell>
          <cell r="N963" t="str">
            <v>Wiwin Fitriyah</v>
          </cell>
          <cell r="O963" t="str">
            <v>Kauman, Gg.01/19, RT.001/RW.001 Kel. Kauman, Kec. Mojosari</v>
          </cell>
          <cell r="P963" t="str">
            <v>Mojokerto</v>
          </cell>
          <cell r="Q963" t="str">
            <v>Jl. Airlangga No.122 Kec. Mojosari</v>
          </cell>
          <cell r="R963" t="str">
            <v>Mojokerto</v>
          </cell>
          <cell r="S963" t="str">
            <v>D Barat1</v>
          </cell>
          <cell r="T963" t="str">
            <v>Tomi</v>
          </cell>
          <cell r="U963">
            <v>60</v>
          </cell>
        </row>
        <row r="964">
          <cell r="E964" t="str">
            <v>D25014815</v>
          </cell>
          <cell r="F964"/>
          <cell r="G964">
            <v>100000000</v>
          </cell>
          <cell r="H964" t="str">
            <v>Reni</v>
          </cell>
          <cell r="I964" t="str">
            <v>Farida</v>
          </cell>
          <cell r="J964"/>
          <cell r="K964" t="str">
            <v>KU</v>
          </cell>
          <cell r="L964" t="str">
            <v>BENI02</v>
          </cell>
          <cell r="M964" t="str">
            <v>Benih Jaya</v>
          </cell>
          <cell r="N964" t="str">
            <v>Wiwin Fitriyah</v>
          </cell>
          <cell r="O964" t="str">
            <v>Kauman, Gg.01/19, RT.001/RW.001 Kel. Kauman, Kec. Mojosari</v>
          </cell>
          <cell r="P964" t="str">
            <v>Mojokerto</v>
          </cell>
          <cell r="Q964" t="str">
            <v>Jl. Airlangga No.122 Kec. Mojosari</v>
          </cell>
          <cell r="R964" t="str">
            <v>Mojokerto</v>
          </cell>
          <cell r="S964" t="str">
            <v>D Barat1</v>
          </cell>
          <cell r="T964" t="str">
            <v>Tomi</v>
          </cell>
          <cell r="U964">
            <v>60</v>
          </cell>
        </row>
        <row r="965">
          <cell r="E965" t="str">
            <v>B25012861</v>
          </cell>
          <cell r="F965"/>
          <cell r="G965">
            <v>100000000</v>
          </cell>
          <cell r="H965" t="str">
            <v>Reni</v>
          </cell>
          <cell r="I965" t="str">
            <v>Farida</v>
          </cell>
          <cell r="J965"/>
          <cell r="K965" t="str">
            <v>KU</v>
          </cell>
          <cell r="L965" t="str">
            <v>BENI02</v>
          </cell>
          <cell r="M965" t="str">
            <v>Benih Jaya</v>
          </cell>
          <cell r="N965" t="str">
            <v>Wiwin Fitriyah</v>
          </cell>
          <cell r="O965" t="str">
            <v>Kauman, Gg.01/19, RT.001/RW.001 Kel. Kauman, Kec. Mojosari</v>
          </cell>
          <cell r="P965" t="str">
            <v>Mojokerto</v>
          </cell>
          <cell r="Q965" t="str">
            <v>Jl. Airlangga No.122 Kec. Mojosari</v>
          </cell>
          <cell r="R965" t="str">
            <v>Mojokerto</v>
          </cell>
          <cell r="S965" t="str">
            <v>D Barat1</v>
          </cell>
          <cell r="T965" t="str">
            <v>Tomi</v>
          </cell>
          <cell r="U965">
            <v>60</v>
          </cell>
        </row>
        <row r="966">
          <cell r="E966" t="str">
            <v>D25015968</v>
          </cell>
          <cell r="F966"/>
          <cell r="G966">
            <v>100000000</v>
          </cell>
          <cell r="H966" t="str">
            <v>Reni</v>
          </cell>
          <cell r="I966" t="str">
            <v>Farida</v>
          </cell>
          <cell r="J966"/>
          <cell r="K966" t="str">
            <v>KU</v>
          </cell>
          <cell r="L966" t="str">
            <v>BENI02</v>
          </cell>
          <cell r="M966" t="str">
            <v>Benih Jaya</v>
          </cell>
          <cell r="N966" t="str">
            <v>Wiwin Fitriyah</v>
          </cell>
          <cell r="O966" t="str">
            <v>Kauman, Gg.01/19, RT.001/RW.001 Kel. Kauman, Kec. Mojosari</v>
          </cell>
          <cell r="P966" t="str">
            <v>Mojokerto</v>
          </cell>
          <cell r="Q966" t="str">
            <v>Jl. Airlangga No.122 Kec. Mojosari</v>
          </cell>
          <cell r="R966" t="str">
            <v>Mojokerto</v>
          </cell>
          <cell r="S966" t="str">
            <v>D Barat1</v>
          </cell>
          <cell r="T966" t="str">
            <v>Tomi</v>
          </cell>
          <cell r="U966">
            <v>60</v>
          </cell>
        </row>
        <row r="967">
          <cell r="E967" t="str">
            <v>B25008434</v>
          </cell>
          <cell r="F967"/>
          <cell r="G967">
            <v>1500000000</v>
          </cell>
          <cell r="H967" t="str">
            <v>Reni</v>
          </cell>
          <cell r="I967" t="str">
            <v>Farida</v>
          </cell>
          <cell r="J967"/>
          <cell r="K967" t="str">
            <v>BG, KU</v>
          </cell>
          <cell r="L967" t="str">
            <v>BERK01</v>
          </cell>
          <cell r="M967" t="str">
            <v>Berkah Abadi Tani/Widodo</v>
          </cell>
          <cell r="N967" t="str">
            <v>Berkah Abadi Madinah, PT</v>
          </cell>
          <cell r="O967" t="str">
            <v>Jl. Raya Ngawi, Jogorogo KM 11 RT.001/RW.005 Gentong, Paron</v>
          </cell>
          <cell r="P967" t="str">
            <v>Ngawi</v>
          </cell>
          <cell r="Q967" t="str">
            <v>Jl. Raya Ngawi, Jogorogo KM 11 RT.001/RW.005 Gentong, Paron</v>
          </cell>
          <cell r="R967" t="str">
            <v>Ngawi</v>
          </cell>
          <cell r="S967" t="str">
            <v>D Barat1</v>
          </cell>
          <cell r="T967" t="str">
            <v>Dian</v>
          </cell>
          <cell r="U967">
            <v>60</v>
          </cell>
        </row>
        <row r="968">
          <cell r="E968" t="str">
            <v>D25010472</v>
          </cell>
          <cell r="F968"/>
          <cell r="G968">
            <v>1500000000</v>
          </cell>
          <cell r="H968" t="str">
            <v>Reni</v>
          </cell>
          <cell r="I968" t="str">
            <v>Farida</v>
          </cell>
          <cell r="J968"/>
          <cell r="K968" t="str">
            <v>BG, KU</v>
          </cell>
          <cell r="L968" t="str">
            <v>BERK01</v>
          </cell>
          <cell r="M968" t="str">
            <v>Berkah Abadi Tani/Widodo</v>
          </cell>
          <cell r="N968" t="str">
            <v>Berkah Abadi Madinah, PT</v>
          </cell>
          <cell r="O968" t="str">
            <v>Jl. Raya Ngawi, Jogorogo KM 11 RT.001/RW.005 Gentong, Paron</v>
          </cell>
          <cell r="P968" t="str">
            <v>Ngawi</v>
          </cell>
          <cell r="Q968" t="str">
            <v>Jl. Raya Ngawi, Jogorogo KM 11 RT.001/RW.005 Gentong, Paron</v>
          </cell>
          <cell r="R968" t="str">
            <v>Ngawi</v>
          </cell>
          <cell r="S968" t="str">
            <v>D Barat1</v>
          </cell>
          <cell r="T968" t="str">
            <v>Dian</v>
          </cell>
          <cell r="U968">
            <v>30</v>
          </cell>
        </row>
        <row r="969">
          <cell r="E969" t="str">
            <v>D25010772</v>
          </cell>
          <cell r="F969"/>
          <cell r="G969">
            <v>1500000000</v>
          </cell>
          <cell r="H969" t="str">
            <v>Reni</v>
          </cell>
          <cell r="I969" t="str">
            <v>Farida</v>
          </cell>
          <cell r="J969"/>
          <cell r="K969" t="str">
            <v>BG, KU</v>
          </cell>
          <cell r="L969" t="str">
            <v>BERK01</v>
          </cell>
          <cell r="M969" t="str">
            <v>Berkah Abadi Tani/Widodo</v>
          </cell>
          <cell r="N969" t="str">
            <v>Berkah Abadi Madinah, PT</v>
          </cell>
          <cell r="O969" t="str">
            <v>Jl. Raya Ngawi, Jogorogo KM 11 RT.001/RW.005 Gentong, Paron</v>
          </cell>
          <cell r="P969" t="str">
            <v>Ngawi</v>
          </cell>
          <cell r="Q969" t="str">
            <v>Jl. Raya Ngawi, Jogorogo KM 11 RT.001/RW.005 Gentong, Paron</v>
          </cell>
          <cell r="R969" t="str">
            <v>Ngawi</v>
          </cell>
          <cell r="S969" t="str">
            <v>D Barat1</v>
          </cell>
          <cell r="T969" t="str">
            <v>Dian</v>
          </cell>
          <cell r="U969">
            <v>60</v>
          </cell>
        </row>
        <row r="970">
          <cell r="E970" t="str">
            <v>D25011840</v>
          </cell>
          <cell r="F970"/>
          <cell r="G970">
            <v>1500000000</v>
          </cell>
          <cell r="H970" t="str">
            <v>Reni</v>
          </cell>
          <cell r="I970" t="str">
            <v>Farida</v>
          </cell>
          <cell r="J970"/>
          <cell r="K970" t="str">
            <v>BG, KU</v>
          </cell>
          <cell r="L970" t="str">
            <v>BERK01</v>
          </cell>
          <cell r="M970" t="str">
            <v>Berkah Abadi Tani/Widodo</v>
          </cell>
          <cell r="N970" t="str">
            <v>Berkah Abadi Madinah, PT</v>
          </cell>
          <cell r="O970" t="str">
            <v>Jl. Raya Ngawi, Jogorogo KM 11 RT.001/RW.005 Gentong, Paron</v>
          </cell>
          <cell r="P970" t="str">
            <v>Ngawi</v>
          </cell>
          <cell r="Q970" t="str">
            <v>Jl. Raya Ngawi, Jogorogo KM 11 RT.001/RW.005 Gentong, Paron</v>
          </cell>
          <cell r="R970" t="str">
            <v>Ngawi</v>
          </cell>
          <cell r="S970" t="str">
            <v>D Barat1</v>
          </cell>
          <cell r="T970" t="str">
            <v>Dian</v>
          </cell>
          <cell r="U970">
            <v>60</v>
          </cell>
        </row>
        <row r="971">
          <cell r="E971" t="str">
            <v>D25011894</v>
          </cell>
          <cell r="F971"/>
          <cell r="G971">
            <v>1500000000</v>
          </cell>
          <cell r="H971" t="str">
            <v>Reni</v>
          </cell>
          <cell r="I971" t="str">
            <v>Farida</v>
          </cell>
          <cell r="J971"/>
          <cell r="K971" t="str">
            <v>BG, KU</v>
          </cell>
          <cell r="L971" t="str">
            <v>BERK01</v>
          </cell>
          <cell r="M971" t="str">
            <v>Berkah Abadi Tani/Widodo</v>
          </cell>
          <cell r="N971" t="str">
            <v>Berkah Abadi Madinah, PT</v>
          </cell>
          <cell r="O971" t="str">
            <v>Jl. Raya Ngawi, Jogorogo KM 11 RT.001/RW.005 Gentong, Paron</v>
          </cell>
          <cell r="P971" t="str">
            <v>Ngawi</v>
          </cell>
          <cell r="Q971" t="str">
            <v>Jl. Raya Ngawi, Jogorogo KM 11 RT.001/RW.005 Gentong, Paron</v>
          </cell>
          <cell r="R971" t="str">
            <v>Ngawi</v>
          </cell>
          <cell r="S971" t="str">
            <v>D Barat1</v>
          </cell>
          <cell r="T971" t="str">
            <v>Dian</v>
          </cell>
          <cell r="U971">
            <v>60</v>
          </cell>
        </row>
        <row r="972">
          <cell r="E972" t="str">
            <v>B25010323</v>
          </cell>
          <cell r="F972"/>
          <cell r="G972">
            <v>1500000000</v>
          </cell>
          <cell r="H972" t="str">
            <v>Reni</v>
          </cell>
          <cell r="I972" t="str">
            <v>Farida</v>
          </cell>
          <cell r="J972"/>
          <cell r="K972" t="str">
            <v>BG, KU</v>
          </cell>
          <cell r="L972" t="str">
            <v>BERK01</v>
          </cell>
          <cell r="M972" t="str">
            <v>Berkah Abadi Tani/Widodo</v>
          </cell>
          <cell r="N972" t="str">
            <v>Berkah Abadi Madinah, PT</v>
          </cell>
          <cell r="O972" t="str">
            <v>Jl. Raya Ngawi, Jogorogo KM 11 RT.001/RW.005 Gentong, Paron</v>
          </cell>
          <cell r="P972" t="str">
            <v>Ngawi</v>
          </cell>
          <cell r="Q972" t="str">
            <v>Jl. Raya Ngawi, Jogorogo KM 11 RT.001/RW.005 Gentong, Paron</v>
          </cell>
          <cell r="R972" t="str">
            <v>Ngawi</v>
          </cell>
          <cell r="S972" t="str">
            <v>D Barat1</v>
          </cell>
          <cell r="T972" t="str">
            <v>Dian</v>
          </cell>
          <cell r="U972">
            <v>60</v>
          </cell>
        </row>
        <row r="973">
          <cell r="E973" t="str">
            <v>T25001275</v>
          </cell>
          <cell r="F973"/>
          <cell r="G973">
            <v>1500000000</v>
          </cell>
          <cell r="H973" t="str">
            <v>Reni</v>
          </cell>
          <cell r="I973" t="str">
            <v>Farida</v>
          </cell>
          <cell r="J973"/>
          <cell r="K973" t="str">
            <v>BG, KU</v>
          </cell>
          <cell r="L973" t="str">
            <v>BERK01</v>
          </cell>
          <cell r="M973" t="str">
            <v>Berkah Abadi Tani/Widodo</v>
          </cell>
          <cell r="N973" t="str">
            <v>Berkah Abadi Madinah, PT</v>
          </cell>
          <cell r="O973" t="str">
            <v>Jl. Raya Ngawi, Jogorogo KM 11 RT.001/RW.005 Gentong, Paron</v>
          </cell>
          <cell r="P973" t="str">
            <v>Ngawi</v>
          </cell>
          <cell r="Q973" t="str">
            <v>Jl. Raya Ngawi, Jogorogo KM 11 RT.001/RW.005 Gentong, Paron</v>
          </cell>
          <cell r="R973" t="str">
            <v>Ngawi</v>
          </cell>
          <cell r="S973" t="str">
            <v>D Barat1</v>
          </cell>
          <cell r="T973" t="str">
            <v>Dian</v>
          </cell>
          <cell r="U973">
            <v>60</v>
          </cell>
        </row>
        <row r="974">
          <cell r="E974" t="str">
            <v>B25010541</v>
          </cell>
          <cell r="F974"/>
          <cell r="G974">
            <v>1500000000</v>
          </cell>
          <cell r="H974" t="str">
            <v>Reni</v>
          </cell>
          <cell r="I974" t="str">
            <v>Farida</v>
          </cell>
          <cell r="J974"/>
          <cell r="K974" t="str">
            <v>BG, KU</v>
          </cell>
          <cell r="L974" t="str">
            <v>BERK01</v>
          </cell>
          <cell r="M974" t="str">
            <v>Berkah Abadi Tani/Widodo</v>
          </cell>
          <cell r="N974" t="str">
            <v>Berkah Abadi Madinah, PT</v>
          </cell>
          <cell r="O974" t="str">
            <v>Jl. Raya Ngawi, Jogorogo KM 11 RT.001/RW.005 Gentong, Paron</v>
          </cell>
          <cell r="P974" t="str">
            <v>Ngawi</v>
          </cell>
          <cell r="Q974" t="str">
            <v>Jl. Raya Ngawi, Jogorogo KM 11 RT.001/RW.005 Gentong, Paron</v>
          </cell>
          <cell r="R974" t="str">
            <v>Ngawi</v>
          </cell>
          <cell r="S974" t="str">
            <v>D Barat1</v>
          </cell>
          <cell r="T974" t="str">
            <v>Dian</v>
          </cell>
          <cell r="U974">
            <v>60</v>
          </cell>
        </row>
        <row r="975">
          <cell r="E975" t="str">
            <v>B25010678</v>
          </cell>
          <cell r="F975"/>
          <cell r="G975">
            <v>1500000000</v>
          </cell>
          <cell r="H975" t="str">
            <v>Reni</v>
          </cell>
          <cell r="I975" t="str">
            <v>Farida</v>
          </cell>
          <cell r="J975"/>
          <cell r="K975" t="str">
            <v>BG, KU</v>
          </cell>
          <cell r="L975" t="str">
            <v>BERK01</v>
          </cell>
          <cell r="M975" t="str">
            <v>Berkah Abadi Tani/Widodo</v>
          </cell>
          <cell r="N975" t="str">
            <v>Berkah Abadi Madinah, PT</v>
          </cell>
          <cell r="O975" t="str">
            <v>Jl. Raya Ngawi, Jogorogo KM 11 RT.001/RW.005 Gentong, Paron</v>
          </cell>
          <cell r="P975" t="str">
            <v>Ngawi</v>
          </cell>
          <cell r="Q975" t="str">
            <v>Jl. Raya Ngawi, Jogorogo KM 11 RT.001/RW.005 Gentong, Paron</v>
          </cell>
          <cell r="R975" t="str">
            <v>Ngawi</v>
          </cell>
          <cell r="S975" t="str">
            <v>D Barat1</v>
          </cell>
          <cell r="T975" t="str">
            <v>Dian</v>
          </cell>
          <cell r="U975">
            <v>30</v>
          </cell>
        </row>
        <row r="976">
          <cell r="E976" t="str">
            <v>D25012695</v>
          </cell>
          <cell r="F976"/>
          <cell r="G976">
            <v>1500000000</v>
          </cell>
          <cell r="H976" t="str">
            <v>Reni</v>
          </cell>
          <cell r="I976" t="str">
            <v>Farida</v>
          </cell>
          <cell r="J976"/>
          <cell r="K976" t="str">
            <v>BG, KU</v>
          </cell>
          <cell r="L976" t="str">
            <v>BERK01</v>
          </cell>
          <cell r="M976" t="str">
            <v>Berkah Abadi Tani/Widodo</v>
          </cell>
          <cell r="N976" t="str">
            <v>Berkah Abadi Madinah, PT</v>
          </cell>
          <cell r="O976" t="str">
            <v>Jl. Raya Ngawi, Jogorogo KM 11 RT.001/RW.005 Gentong, Paron</v>
          </cell>
          <cell r="P976" t="str">
            <v>Ngawi</v>
          </cell>
          <cell r="Q976" t="str">
            <v>Jl. Raya Ngawi, Jogorogo KM 11 RT.001/RW.005 Gentong, Paron</v>
          </cell>
          <cell r="R976" t="str">
            <v>Ngawi</v>
          </cell>
          <cell r="S976" t="str">
            <v>D Barat1</v>
          </cell>
          <cell r="T976" t="str">
            <v>Dian</v>
          </cell>
          <cell r="U976">
            <v>30</v>
          </cell>
        </row>
        <row r="977">
          <cell r="E977" t="str">
            <v>D25013245</v>
          </cell>
          <cell r="F977"/>
          <cell r="G977">
            <v>1500000000</v>
          </cell>
          <cell r="H977" t="str">
            <v>Reni</v>
          </cell>
          <cell r="I977" t="str">
            <v>Farida</v>
          </cell>
          <cell r="J977"/>
          <cell r="K977" t="str">
            <v>BG, KU</v>
          </cell>
          <cell r="L977" t="str">
            <v>BERK01</v>
          </cell>
          <cell r="M977" t="str">
            <v>Berkah Abadi Tani/Widodo</v>
          </cell>
          <cell r="N977" t="str">
            <v>Berkah Abadi Madinah, PT</v>
          </cell>
          <cell r="O977" t="str">
            <v>Jl. Raya Ngawi, Jogorogo KM 11 RT.001/RW.005 Gentong, Paron</v>
          </cell>
          <cell r="P977" t="str">
            <v>Ngawi</v>
          </cell>
          <cell r="Q977" t="str">
            <v>Jl. Raya Ngawi, Jogorogo KM 11 RT.001/RW.005 Gentong, Paron</v>
          </cell>
          <cell r="R977" t="str">
            <v>Ngawi</v>
          </cell>
          <cell r="S977" t="str">
            <v>D Barat1</v>
          </cell>
          <cell r="T977" t="str">
            <v>Dian</v>
          </cell>
          <cell r="U977">
            <v>30</v>
          </cell>
        </row>
        <row r="978">
          <cell r="E978" t="str">
            <v>B25011689</v>
          </cell>
          <cell r="F978"/>
          <cell r="G978">
            <v>1500000000</v>
          </cell>
          <cell r="H978" t="str">
            <v>Reni</v>
          </cell>
          <cell r="I978" t="str">
            <v>Farida</v>
          </cell>
          <cell r="J978"/>
          <cell r="K978" t="str">
            <v>BG, KU</v>
          </cell>
          <cell r="L978" t="str">
            <v>BERK01</v>
          </cell>
          <cell r="M978" t="str">
            <v>Berkah Abadi Tani/Widodo</v>
          </cell>
          <cell r="N978" t="str">
            <v>Berkah Abadi Madinah, PT</v>
          </cell>
          <cell r="O978" t="str">
            <v>Jl. Raya Ngawi, Jogorogo KM 11 RT.001/RW.005 Gentong, Paron</v>
          </cell>
          <cell r="P978" t="str">
            <v>Ngawi</v>
          </cell>
          <cell r="Q978" t="str">
            <v>Jl. Raya Ngawi, Jogorogo KM 11 RT.001/RW.005 Gentong, Paron</v>
          </cell>
          <cell r="R978" t="str">
            <v>Ngawi</v>
          </cell>
          <cell r="S978" t="str">
            <v>D Barat1</v>
          </cell>
          <cell r="T978" t="str">
            <v>Dian</v>
          </cell>
          <cell r="U978">
            <v>60</v>
          </cell>
        </row>
        <row r="979">
          <cell r="E979" t="str">
            <v>B25011780</v>
          </cell>
          <cell r="F979"/>
          <cell r="G979">
            <v>1500000000</v>
          </cell>
          <cell r="H979" t="str">
            <v>Reni</v>
          </cell>
          <cell r="I979" t="str">
            <v>Farida</v>
          </cell>
          <cell r="J979"/>
          <cell r="K979" t="str">
            <v>BG, KU</v>
          </cell>
          <cell r="L979" t="str">
            <v>BERK01</v>
          </cell>
          <cell r="M979" t="str">
            <v>Berkah Abadi Tani/Widodo</v>
          </cell>
          <cell r="N979" t="str">
            <v>Berkah Abadi Madinah, PT</v>
          </cell>
          <cell r="O979" t="str">
            <v>Jl. Raya Ngawi, Jogorogo KM 11 RT.001/RW.005 Gentong, Paron</v>
          </cell>
          <cell r="P979" t="str">
            <v>Ngawi</v>
          </cell>
          <cell r="Q979" t="str">
            <v>Jl. Raya Ngawi, Jogorogo KM 11 RT.001/RW.005 Gentong, Paron</v>
          </cell>
          <cell r="R979" t="str">
            <v>Ngawi</v>
          </cell>
          <cell r="S979" t="str">
            <v>D Barat1</v>
          </cell>
          <cell r="T979" t="str">
            <v>Dian</v>
          </cell>
          <cell r="U979">
            <v>60</v>
          </cell>
        </row>
        <row r="980">
          <cell r="E980" t="str">
            <v>D25014349</v>
          </cell>
          <cell r="F980"/>
          <cell r="G980">
            <v>1500000000</v>
          </cell>
          <cell r="H980" t="str">
            <v>Reni</v>
          </cell>
          <cell r="I980" t="str">
            <v>Farida</v>
          </cell>
          <cell r="J980"/>
          <cell r="K980" t="str">
            <v>BG, KU</v>
          </cell>
          <cell r="L980" t="str">
            <v>BERK01</v>
          </cell>
          <cell r="M980" t="str">
            <v>Berkah Abadi Tani/Widodo</v>
          </cell>
          <cell r="N980" t="str">
            <v>Berkah Abadi Madinah, PT</v>
          </cell>
          <cell r="O980" t="str">
            <v>Jl. Raya Ngawi, Jogorogo KM 11 RT.001/RW.005 Gentong, Paron</v>
          </cell>
          <cell r="P980" t="str">
            <v>Ngawi</v>
          </cell>
          <cell r="Q980" t="str">
            <v>Jl. Raya Ngawi, Jogorogo KM 11 RT.001/RW.005 Gentong, Paron</v>
          </cell>
          <cell r="R980" t="str">
            <v>Ngawi</v>
          </cell>
          <cell r="S980" t="str">
            <v>D Barat1</v>
          </cell>
          <cell r="T980" t="str">
            <v>Dian</v>
          </cell>
          <cell r="U980">
            <v>60</v>
          </cell>
        </row>
        <row r="981">
          <cell r="E981" t="str">
            <v>D25014350</v>
          </cell>
          <cell r="F981"/>
          <cell r="G981">
            <v>1500000000</v>
          </cell>
          <cell r="H981" t="str">
            <v>Reni</v>
          </cell>
          <cell r="I981" t="str">
            <v>Farida</v>
          </cell>
          <cell r="J981"/>
          <cell r="K981" t="str">
            <v>BG, KU</v>
          </cell>
          <cell r="L981" t="str">
            <v>BERK01</v>
          </cell>
          <cell r="M981" t="str">
            <v>Berkah Abadi Tani/Widodo</v>
          </cell>
          <cell r="N981" t="str">
            <v>Berkah Abadi Madinah, PT</v>
          </cell>
          <cell r="O981" t="str">
            <v>Jl. Raya Ngawi, Jogorogo KM 11 RT.001/RW.005 Gentong, Paron</v>
          </cell>
          <cell r="P981" t="str">
            <v>Ngawi</v>
          </cell>
          <cell r="Q981" t="str">
            <v>Jl. Raya Ngawi, Jogorogo KM 11 RT.001/RW.005 Gentong, Paron</v>
          </cell>
          <cell r="R981" t="str">
            <v>Ngawi</v>
          </cell>
          <cell r="S981" t="str">
            <v>D Barat1</v>
          </cell>
          <cell r="T981" t="str">
            <v>Dian</v>
          </cell>
          <cell r="U981">
            <v>60</v>
          </cell>
        </row>
        <row r="982">
          <cell r="E982" t="str">
            <v>T25001500</v>
          </cell>
          <cell r="F982"/>
          <cell r="G982">
            <v>1500000000</v>
          </cell>
          <cell r="H982" t="str">
            <v>Reni</v>
          </cell>
          <cell r="I982" t="str">
            <v>Farida</v>
          </cell>
          <cell r="J982"/>
          <cell r="K982" t="str">
            <v>BG, KU</v>
          </cell>
          <cell r="L982" t="str">
            <v>BERK01</v>
          </cell>
          <cell r="M982" t="str">
            <v>Berkah Abadi Tani/Widodo</v>
          </cell>
          <cell r="N982" t="str">
            <v>Berkah Abadi Madinah, PT</v>
          </cell>
          <cell r="O982" t="str">
            <v>Jl. Raya Ngawi, Jogorogo KM 11 RT.001/RW.005 Gentong, Paron</v>
          </cell>
          <cell r="P982" t="str">
            <v>Ngawi</v>
          </cell>
          <cell r="Q982" t="str">
            <v>Jl. Raya Ngawi, Jogorogo KM 11 RT.001/RW.005 Gentong, Paron</v>
          </cell>
          <cell r="R982" t="str">
            <v>Ngawi</v>
          </cell>
          <cell r="S982" t="str">
            <v>D Barat1</v>
          </cell>
          <cell r="T982" t="str">
            <v>Dian</v>
          </cell>
          <cell r="U982">
            <v>60</v>
          </cell>
        </row>
        <row r="983">
          <cell r="E983" t="str">
            <v>D25015112</v>
          </cell>
          <cell r="F983"/>
          <cell r="G983">
            <v>1500000000</v>
          </cell>
          <cell r="H983" t="str">
            <v>Reni</v>
          </cell>
          <cell r="I983" t="str">
            <v>Farida</v>
          </cell>
          <cell r="J983"/>
          <cell r="K983" t="str">
            <v>BG, KU</v>
          </cell>
          <cell r="L983" t="str">
            <v>BERK01</v>
          </cell>
          <cell r="M983" t="str">
            <v>Berkah Abadi Tani/Widodo</v>
          </cell>
          <cell r="N983" t="str">
            <v>Berkah Abadi Madinah, PT</v>
          </cell>
          <cell r="O983" t="str">
            <v>Jl. Raya Ngawi, Jogorogo KM 11 RT.001/RW.005 Gentong, Paron</v>
          </cell>
          <cell r="P983" t="str">
            <v>Ngawi</v>
          </cell>
          <cell r="Q983" t="str">
            <v>Jl. Raya Ngawi, Jogorogo KM 11 RT.001/RW.005 Gentong, Paron</v>
          </cell>
          <cell r="R983" t="str">
            <v>Ngawi</v>
          </cell>
          <cell r="S983" t="str">
            <v>D Barat1</v>
          </cell>
          <cell r="T983" t="str">
            <v>Dian</v>
          </cell>
          <cell r="U983">
            <v>60</v>
          </cell>
        </row>
        <row r="984">
          <cell r="E984" t="str">
            <v>D25014846</v>
          </cell>
          <cell r="F984"/>
          <cell r="G984">
            <v>3700000000</v>
          </cell>
          <cell r="H984" t="str">
            <v>Reni</v>
          </cell>
          <cell r="I984" t="str">
            <v>Farida</v>
          </cell>
          <cell r="J984" t="str">
            <v>New 18/02/22</v>
          </cell>
          <cell r="K984" t="str">
            <v>BG, KU</v>
          </cell>
          <cell r="L984" t="str">
            <v>BERK56</v>
          </cell>
          <cell r="M984" t="str">
            <v>Berkah Abadi Tani/Widodo (Benih+Pupuk)</v>
          </cell>
          <cell r="N984" t="str">
            <v>Berkah Abadi, CV</v>
          </cell>
          <cell r="O984" t="str">
            <v>JL. Raya Ngawi Jogorogo KM 11 RT.001/RW.005, Gentong, Paron</v>
          </cell>
          <cell r="P984" t="str">
            <v>Ngawi</v>
          </cell>
          <cell r="Q984" t="str">
            <v>Jl. Raya Ngawi, Jogorogo KM 11 RT.001/RW.005 Gentong, Paron</v>
          </cell>
          <cell r="R984" t="str">
            <v>Ngawi</v>
          </cell>
          <cell r="S984" t="str">
            <v>D Barat1</v>
          </cell>
          <cell r="T984" t="str">
            <v>Dian</v>
          </cell>
          <cell r="U984">
            <v>0</v>
          </cell>
        </row>
        <row r="985">
          <cell r="E985" t="str">
            <v>D25014846</v>
          </cell>
          <cell r="F985"/>
          <cell r="G985">
            <v>3700000000</v>
          </cell>
          <cell r="H985" t="str">
            <v>Reni</v>
          </cell>
          <cell r="I985" t="str">
            <v>Farida</v>
          </cell>
          <cell r="J985" t="str">
            <v>New 18/02/22</v>
          </cell>
          <cell r="K985" t="str">
            <v>BG, KU</v>
          </cell>
          <cell r="L985" t="str">
            <v>BERK56</v>
          </cell>
          <cell r="M985" t="str">
            <v>Berkah Abadi Tani/Widodo (Benih+Pupuk)</v>
          </cell>
          <cell r="N985" t="str">
            <v>Berkah Abadi, CV</v>
          </cell>
          <cell r="O985" t="str">
            <v>JL. Raya Ngawi Jogorogo KM 11 RT.001/RW.005, Gentong, Paron</v>
          </cell>
          <cell r="P985" t="str">
            <v>Ngawi</v>
          </cell>
          <cell r="Q985" t="str">
            <v>Jl. Raya Ngawi, Jogorogo KM 11 RT.001/RW.005 Gentong, Paron</v>
          </cell>
          <cell r="R985" t="str">
            <v>Ngawi</v>
          </cell>
          <cell r="S985" t="str">
            <v>D Barat1</v>
          </cell>
          <cell r="T985" t="str">
            <v>Dian</v>
          </cell>
          <cell r="U985">
            <v>0</v>
          </cell>
        </row>
        <row r="986">
          <cell r="E986" t="str">
            <v>D25014846</v>
          </cell>
          <cell r="F986"/>
          <cell r="G986">
            <v>3700000000</v>
          </cell>
          <cell r="H986" t="str">
            <v>Reni</v>
          </cell>
          <cell r="I986" t="str">
            <v>Farida</v>
          </cell>
          <cell r="J986" t="str">
            <v>New 18/02/22</v>
          </cell>
          <cell r="K986" t="str">
            <v>BG, KU</v>
          </cell>
          <cell r="L986" t="str">
            <v>BERK56</v>
          </cell>
          <cell r="M986" t="str">
            <v>Berkah Abadi Tani/Widodo (Benih+Pupuk)</v>
          </cell>
          <cell r="N986" t="str">
            <v>Berkah Abadi, CV</v>
          </cell>
          <cell r="O986" t="str">
            <v>JL. Raya Ngawi Jogorogo KM 11 RT.001/RW.005, Gentong, Paron</v>
          </cell>
          <cell r="P986" t="str">
            <v>Ngawi</v>
          </cell>
          <cell r="Q986" t="str">
            <v>Jl. Raya Ngawi, Jogorogo KM 11 RT.001/RW.005 Gentong, Paron</v>
          </cell>
          <cell r="R986" t="str">
            <v>Ngawi</v>
          </cell>
          <cell r="S986" t="str">
            <v>D Barat1</v>
          </cell>
          <cell r="T986" t="str">
            <v>Dian</v>
          </cell>
          <cell r="U986">
            <v>0</v>
          </cell>
        </row>
        <row r="987">
          <cell r="E987" t="str">
            <v>D25014847</v>
          </cell>
          <cell r="F987"/>
          <cell r="G987">
            <v>3700000000</v>
          </cell>
          <cell r="H987" t="str">
            <v>Reni</v>
          </cell>
          <cell r="I987" t="str">
            <v>Farida</v>
          </cell>
          <cell r="J987" t="str">
            <v>New 18/02/22</v>
          </cell>
          <cell r="K987" t="str">
            <v>BG, KU</v>
          </cell>
          <cell r="L987" t="str">
            <v>BERK56</v>
          </cell>
          <cell r="M987" t="str">
            <v>Berkah Abadi Tani/Widodo (Benih+Pupuk)</v>
          </cell>
          <cell r="N987" t="str">
            <v>Berkah Abadi, CV</v>
          </cell>
          <cell r="O987" t="str">
            <v>JL. Raya Ngawi Jogorogo KM 11 RT.001/RW.005, Gentong, Paron</v>
          </cell>
          <cell r="P987" t="str">
            <v>Ngawi</v>
          </cell>
          <cell r="Q987" t="str">
            <v>Jl. Raya Ngawi, Jogorogo KM 11 RT.001/RW.005 Gentong, Paron</v>
          </cell>
          <cell r="R987" t="str">
            <v>Ngawi</v>
          </cell>
          <cell r="S987" t="str">
            <v>D Barat1</v>
          </cell>
          <cell r="T987" t="str">
            <v>Dian</v>
          </cell>
          <cell r="U987">
            <v>0</v>
          </cell>
        </row>
        <row r="988">
          <cell r="E988" t="str">
            <v>D25014935</v>
          </cell>
          <cell r="F988"/>
          <cell r="G988">
            <v>3700000000</v>
          </cell>
          <cell r="H988" t="str">
            <v>Reni</v>
          </cell>
          <cell r="I988" t="str">
            <v>Farida</v>
          </cell>
          <cell r="J988" t="str">
            <v>New 18/02/22</v>
          </cell>
          <cell r="K988" t="str">
            <v>BG, KU</v>
          </cell>
          <cell r="L988" t="str">
            <v>BERK56</v>
          </cell>
          <cell r="M988" t="str">
            <v>Berkah Abadi Tani/Widodo (Benih+Pupuk)</v>
          </cell>
          <cell r="N988" t="str">
            <v>Berkah Abadi, CV</v>
          </cell>
          <cell r="O988" t="str">
            <v>JL. Raya Ngawi Jogorogo KM 11 RT.001/RW.005, Gentong, Paron</v>
          </cell>
          <cell r="P988" t="str">
            <v>Ngawi</v>
          </cell>
          <cell r="Q988" t="str">
            <v>Jl. Raya Ngawi, Jogorogo KM 11 RT.001/RW.005 Gentong, Paron</v>
          </cell>
          <cell r="R988" t="str">
            <v>Ngawi</v>
          </cell>
          <cell r="S988" t="str">
            <v>D Barat1</v>
          </cell>
          <cell r="T988" t="str">
            <v>Dian</v>
          </cell>
          <cell r="U988">
            <v>0</v>
          </cell>
        </row>
        <row r="989">
          <cell r="E989" t="str">
            <v>D25015175</v>
          </cell>
          <cell r="F989"/>
          <cell r="G989">
            <v>3700000000</v>
          </cell>
          <cell r="H989" t="str">
            <v>Reni</v>
          </cell>
          <cell r="I989" t="str">
            <v>Farida</v>
          </cell>
          <cell r="J989" t="str">
            <v>New 18/02/22</v>
          </cell>
          <cell r="K989" t="str">
            <v>BG, KU</v>
          </cell>
          <cell r="L989" t="str">
            <v>BERK56</v>
          </cell>
          <cell r="M989" t="str">
            <v>Berkah Abadi Tani/Widodo (Benih+Pupuk)</v>
          </cell>
          <cell r="N989" t="str">
            <v>Berkah Abadi, CV</v>
          </cell>
          <cell r="O989" t="str">
            <v>JL. Raya Ngawi Jogorogo KM 11 RT.001/RW.005, Gentong, Paron</v>
          </cell>
          <cell r="P989" t="str">
            <v>Ngawi</v>
          </cell>
          <cell r="Q989" t="str">
            <v>Jl. Raya Ngawi, Jogorogo KM 11 RT.001/RW.005 Gentong, Paron</v>
          </cell>
          <cell r="R989" t="str">
            <v>Ngawi</v>
          </cell>
          <cell r="S989" t="str">
            <v>D Barat1</v>
          </cell>
          <cell r="T989" t="str">
            <v>Dian</v>
          </cell>
          <cell r="U989">
            <v>60</v>
          </cell>
        </row>
        <row r="990">
          <cell r="E990" t="str">
            <v>B25013003</v>
          </cell>
          <cell r="F990"/>
          <cell r="G990">
            <v>3700000000</v>
          </cell>
          <cell r="H990" t="str">
            <v>Reni</v>
          </cell>
          <cell r="I990" t="str">
            <v>Farida</v>
          </cell>
          <cell r="J990" t="str">
            <v>New 18/02/22</v>
          </cell>
          <cell r="K990" t="str">
            <v>BG, KU</v>
          </cell>
          <cell r="L990" t="str">
            <v>BERK56</v>
          </cell>
          <cell r="M990" t="str">
            <v>Berkah Abadi Tani/Widodo (Benih+Pupuk)</v>
          </cell>
          <cell r="N990" t="str">
            <v>Berkah Abadi, CV</v>
          </cell>
          <cell r="O990" t="str">
            <v>JL. Raya Ngawi Jogorogo KM 11 RT.001/RW.005, Gentong, Paron</v>
          </cell>
          <cell r="P990" t="str">
            <v>Ngawi</v>
          </cell>
          <cell r="Q990" t="str">
            <v>Jl. Raya Ngawi, Jogorogo KM 11 RT.001/RW.005 Gentong, Paron</v>
          </cell>
          <cell r="R990" t="str">
            <v>Ngawi</v>
          </cell>
          <cell r="S990" t="str">
            <v>D Barat1</v>
          </cell>
          <cell r="T990" t="str">
            <v>Dian</v>
          </cell>
          <cell r="U990">
            <v>60</v>
          </cell>
        </row>
        <row r="991">
          <cell r="E991" t="str">
            <v>B25013122</v>
          </cell>
          <cell r="F991"/>
          <cell r="G991">
            <v>3700000000</v>
          </cell>
          <cell r="H991" t="str">
            <v>Reni</v>
          </cell>
          <cell r="I991" t="str">
            <v>Farida</v>
          </cell>
          <cell r="J991" t="str">
            <v>New 18/02/22</v>
          </cell>
          <cell r="K991" t="str">
            <v>BG, KU</v>
          </cell>
          <cell r="L991" t="str">
            <v>BERK56</v>
          </cell>
          <cell r="M991" t="str">
            <v>Berkah Abadi Tani/Widodo (Benih+Pupuk)</v>
          </cell>
          <cell r="N991" t="str">
            <v>Berkah Abadi, CV</v>
          </cell>
          <cell r="O991" t="str">
            <v>JL. Raya Ngawi Jogorogo KM 11 RT.001/RW.005, Gentong, Paron</v>
          </cell>
          <cell r="P991" t="str">
            <v>Ngawi</v>
          </cell>
          <cell r="Q991" t="str">
            <v>Jl. Raya Ngawi, Jogorogo KM 11 RT.001/RW.005 Gentong, Paron</v>
          </cell>
          <cell r="R991" t="str">
            <v>Ngawi</v>
          </cell>
          <cell r="S991" t="str">
            <v>D Barat1</v>
          </cell>
          <cell r="T991" t="str">
            <v>Dian</v>
          </cell>
          <cell r="U991">
            <v>60</v>
          </cell>
        </row>
        <row r="992">
          <cell r="E992" t="str">
            <v>B25013230</v>
          </cell>
          <cell r="F992"/>
          <cell r="G992">
            <v>3700000000</v>
          </cell>
          <cell r="H992" t="str">
            <v>Reni</v>
          </cell>
          <cell r="I992" t="str">
            <v>Farida</v>
          </cell>
          <cell r="J992" t="str">
            <v>New 18/02/22</v>
          </cell>
          <cell r="K992" t="str">
            <v>BG, KU</v>
          </cell>
          <cell r="L992" t="str">
            <v>BERK56</v>
          </cell>
          <cell r="M992" t="str">
            <v>Berkah Abadi Tani/Widodo (Benih+Pupuk)</v>
          </cell>
          <cell r="N992" t="str">
            <v>Berkah Abadi, CV</v>
          </cell>
          <cell r="O992" t="str">
            <v>JL. Raya Ngawi Jogorogo KM 11 RT.001/RW.005, Gentong, Paron</v>
          </cell>
          <cell r="P992" t="str">
            <v>Ngawi</v>
          </cell>
          <cell r="Q992" t="str">
            <v>Jl. Raya Ngawi, Jogorogo KM 11 RT.001/RW.005 Gentong, Paron</v>
          </cell>
          <cell r="R992" t="str">
            <v>Ngawi</v>
          </cell>
          <cell r="S992" t="str">
            <v>D Barat1</v>
          </cell>
          <cell r="T992" t="str">
            <v>Dian</v>
          </cell>
          <cell r="U992">
            <v>60</v>
          </cell>
        </row>
        <row r="993">
          <cell r="E993" t="str">
            <v>D25015596</v>
          </cell>
          <cell r="F993"/>
          <cell r="G993">
            <v>3700000000</v>
          </cell>
          <cell r="H993" t="str">
            <v>Reni</v>
          </cell>
          <cell r="I993" t="str">
            <v>Farida</v>
          </cell>
          <cell r="J993" t="str">
            <v>New 18/02/22</v>
          </cell>
          <cell r="K993" t="str">
            <v>BG, KU</v>
          </cell>
          <cell r="L993" t="str">
            <v>BERK56</v>
          </cell>
          <cell r="M993" t="str">
            <v>Berkah Abadi Tani/Widodo (Benih+Pupuk)</v>
          </cell>
          <cell r="N993" t="str">
            <v>Berkah Abadi, CV</v>
          </cell>
          <cell r="O993" t="str">
            <v>JL. Raya Ngawi Jogorogo KM 11 RT.001/RW.005, Gentong, Paron</v>
          </cell>
          <cell r="P993" t="str">
            <v>Ngawi</v>
          </cell>
          <cell r="Q993" t="str">
            <v>Jl. Raya Ngawi, Jogorogo KM 11 RT.001/RW.005 Gentong, Paron</v>
          </cell>
          <cell r="R993" t="str">
            <v>Ngawi</v>
          </cell>
          <cell r="S993" t="str">
            <v>D Barat1</v>
          </cell>
          <cell r="T993" t="str">
            <v>Dian</v>
          </cell>
          <cell r="U993">
            <v>60</v>
          </cell>
        </row>
        <row r="994">
          <cell r="E994" t="str">
            <v>B25013435</v>
          </cell>
          <cell r="F994"/>
          <cell r="G994">
            <v>3700000000</v>
          </cell>
          <cell r="H994" t="str">
            <v>Reni</v>
          </cell>
          <cell r="I994" t="str">
            <v>Farida</v>
          </cell>
          <cell r="J994" t="str">
            <v>New 18/02/22</v>
          </cell>
          <cell r="K994" t="str">
            <v>BG, KU</v>
          </cell>
          <cell r="L994" t="str">
            <v>BERK56</v>
          </cell>
          <cell r="M994" t="str">
            <v>Berkah Abadi Tani/Widodo (Benih+Pupuk)</v>
          </cell>
          <cell r="N994" t="str">
            <v>Berkah Abadi, CV</v>
          </cell>
          <cell r="O994" t="str">
            <v>JL. Raya Ngawi Jogorogo KM 11 RT.001/RW.005, Gentong, Paron</v>
          </cell>
          <cell r="P994" t="str">
            <v>Ngawi</v>
          </cell>
          <cell r="Q994" t="str">
            <v>Jl. Raya Ngawi, Jogorogo KM 11 RT.001/RW.005 Gentong, Paron</v>
          </cell>
          <cell r="R994" t="str">
            <v>Ngawi</v>
          </cell>
          <cell r="S994" t="str">
            <v>D Barat1</v>
          </cell>
          <cell r="T994" t="str">
            <v>Dian</v>
          </cell>
          <cell r="U994">
            <v>60</v>
          </cell>
        </row>
        <row r="995">
          <cell r="E995" t="str">
            <v>D25015977</v>
          </cell>
          <cell r="F995"/>
          <cell r="G995">
            <v>3700000000</v>
          </cell>
          <cell r="H995" t="str">
            <v>Reni</v>
          </cell>
          <cell r="I995" t="str">
            <v>Farida</v>
          </cell>
          <cell r="J995" t="str">
            <v>New 18/02/22</v>
          </cell>
          <cell r="K995" t="str">
            <v>BG, KU</v>
          </cell>
          <cell r="L995" t="str">
            <v>BERK56</v>
          </cell>
          <cell r="M995" t="str">
            <v>Berkah Abadi Tani/Widodo (Benih+Pupuk)</v>
          </cell>
          <cell r="N995" t="str">
            <v>Berkah Abadi, CV</v>
          </cell>
          <cell r="O995" t="str">
            <v>JL. Raya Ngawi Jogorogo KM 11 RT.001/RW.005, Gentong, Paron</v>
          </cell>
          <cell r="P995" t="str">
            <v>Ngawi</v>
          </cell>
          <cell r="Q995" t="str">
            <v>Jl. Raya Ngawi, Jogorogo KM 11 RT.001/RW.005 Gentong, Paron</v>
          </cell>
          <cell r="R995" t="str">
            <v>Ngawi</v>
          </cell>
          <cell r="S995" t="str">
            <v>D Barat1</v>
          </cell>
          <cell r="T995" t="str">
            <v>Dian</v>
          </cell>
          <cell r="U995">
            <v>60</v>
          </cell>
        </row>
        <row r="996">
          <cell r="E996" t="str">
            <v>D25016027</v>
          </cell>
          <cell r="F996"/>
          <cell r="G996">
            <v>3700000000</v>
          </cell>
          <cell r="H996" t="str">
            <v>Reni</v>
          </cell>
          <cell r="I996" t="str">
            <v>Farida</v>
          </cell>
          <cell r="J996" t="str">
            <v>New 18/02/22</v>
          </cell>
          <cell r="K996" t="str">
            <v>BG, KU</v>
          </cell>
          <cell r="L996" t="str">
            <v>BERK56</v>
          </cell>
          <cell r="M996" t="str">
            <v>Berkah Abadi Tani/Widodo (Benih+Pupuk)</v>
          </cell>
          <cell r="N996" t="str">
            <v>Berkah Abadi, CV</v>
          </cell>
          <cell r="O996" t="str">
            <v>JL. Raya Ngawi Jogorogo KM 11 RT.001/RW.005, Gentong, Paron</v>
          </cell>
          <cell r="P996" t="str">
            <v>Ngawi</v>
          </cell>
          <cell r="Q996" t="str">
            <v>Jl. Raya Ngawi, Jogorogo KM 11 RT.001/RW.005 Gentong, Paron</v>
          </cell>
          <cell r="R996" t="str">
            <v>Ngawi</v>
          </cell>
          <cell r="S996" t="str">
            <v>D Barat1</v>
          </cell>
          <cell r="T996" t="str">
            <v>Dian</v>
          </cell>
          <cell r="U996">
            <v>0</v>
          </cell>
        </row>
        <row r="997">
          <cell r="E997" t="str">
            <v>B25013859</v>
          </cell>
          <cell r="F997"/>
          <cell r="G997">
            <v>3700000000</v>
          </cell>
          <cell r="H997" t="str">
            <v>Reni</v>
          </cell>
          <cell r="I997" t="str">
            <v>Farida</v>
          </cell>
          <cell r="J997" t="str">
            <v>New 18/02/22</v>
          </cell>
          <cell r="K997" t="str">
            <v>BG, KU</v>
          </cell>
          <cell r="L997" t="str">
            <v>BERK56</v>
          </cell>
          <cell r="M997" t="str">
            <v>Berkah Abadi Tani/Widodo (Benih+Pupuk)</v>
          </cell>
          <cell r="N997" t="str">
            <v>Berkah Abadi, CV</v>
          </cell>
          <cell r="O997" t="str">
            <v>JL. Raya Ngawi Jogorogo KM 11 RT.001/RW.005, Gentong, Paron</v>
          </cell>
          <cell r="P997" t="str">
            <v>Ngawi</v>
          </cell>
          <cell r="Q997" t="str">
            <v>Jl. Raya Ngawi, Jogorogo KM 11 RT.001/RW.005 Gentong, Paron</v>
          </cell>
          <cell r="R997" t="str">
            <v>Ngawi</v>
          </cell>
          <cell r="S997" t="str">
            <v>D Barat1</v>
          </cell>
          <cell r="T997" t="str">
            <v>Dian</v>
          </cell>
          <cell r="U997">
            <v>0</v>
          </cell>
        </row>
        <row r="998">
          <cell r="E998" t="str">
            <v>T25001570</v>
          </cell>
          <cell r="F998"/>
          <cell r="G998">
            <v>1000</v>
          </cell>
          <cell r="H998" t="str">
            <v>Faris</v>
          </cell>
          <cell r="I998" t="str">
            <v>Syahra</v>
          </cell>
          <cell r="J998" t="str">
            <v>New 21/03/22</v>
          </cell>
          <cell r="K998" t="str">
            <v>KU</v>
          </cell>
          <cell r="L998" t="str">
            <v>BERK57</v>
          </cell>
          <cell r="M998" t="str">
            <v>Berkah Abadi/Kasmirah</v>
          </cell>
          <cell r="N998" t="str">
            <v>Kasmirah</v>
          </cell>
          <cell r="O998" t="str">
            <v>Pandanrejo, RT.016/RW.002, Kel. Kendalrejo, Kec. Tegaldlimo</v>
          </cell>
          <cell r="P998" t="str">
            <v>Banyuwangi</v>
          </cell>
          <cell r="Q998" t="str">
            <v>Pandanrejo, RT.016/RW.002, Kel. Kendalrejo, Kec. Tegaldlimo</v>
          </cell>
          <cell r="R998" t="str">
            <v>Banyuwangi</v>
          </cell>
          <cell r="S998" t="str">
            <v>H Bwi3</v>
          </cell>
          <cell r="T998" t="str">
            <v>Hafid</v>
          </cell>
          <cell r="U998">
            <v>0</v>
          </cell>
        </row>
        <row r="999">
          <cell r="E999" t="str">
            <v>D25016110</v>
          </cell>
          <cell r="F999"/>
          <cell r="G999">
            <v>1000</v>
          </cell>
          <cell r="H999" t="str">
            <v>Hendra</v>
          </cell>
          <cell r="I999" t="str">
            <v>Tiya</v>
          </cell>
          <cell r="J999" t="str">
            <v>New 11/09/25</v>
          </cell>
          <cell r="K999" t="str">
            <v>KU</v>
          </cell>
          <cell r="L999" t="str">
            <v>BERK70</v>
          </cell>
          <cell r="M999" t="str">
            <v>Berkah Agro Sejahtera, CV</v>
          </cell>
          <cell r="N999" t="str">
            <v>Berkah Agro Sejahtera, CV</v>
          </cell>
          <cell r="O999" t="str">
            <v>Jl. Poros Pare Sengkang, Kel. Sumpangmango Kec. Pitu Riawa</v>
          </cell>
          <cell r="P999" t="str">
            <v>Sidenreng Rappang-Sulsel</v>
          </cell>
          <cell r="Q999" t="str">
            <v>Jl. Poros Pare Sengkang, Kel. Sumpangmango Kec. Pitu Riawa</v>
          </cell>
          <cell r="R999" t="str">
            <v>Sidenreng Rappang-Sulsel</v>
          </cell>
          <cell r="S999" t="str">
            <v>E Luar Pulau1</v>
          </cell>
          <cell r="T999" t="str">
            <v>Non SE &amp; JSE</v>
          </cell>
          <cell r="U999">
            <v>15</v>
          </cell>
        </row>
        <row r="1000">
          <cell r="E1000" t="str">
            <v>D25015078</v>
          </cell>
          <cell r="F1000"/>
          <cell r="G1000">
            <v>10000000</v>
          </cell>
          <cell r="H1000" t="str">
            <v>Faris</v>
          </cell>
          <cell r="I1000" t="str">
            <v>Syahra</v>
          </cell>
          <cell r="J1000"/>
          <cell r="K1000" t="str">
            <v>KU</v>
          </cell>
          <cell r="L1000" t="str">
            <v>BERK61</v>
          </cell>
          <cell r="M1000" t="str">
            <v>Berkah Joyo/Diana</v>
          </cell>
          <cell r="N1000" t="str">
            <v>Diana Kusumawati</v>
          </cell>
          <cell r="O1000" t="str">
            <v>Dusun Krajan RT.003/RW.003, Kel. Bengkak, Kec. Wongsorejo</v>
          </cell>
          <cell r="P1000" t="str">
            <v>Banyuwangi</v>
          </cell>
          <cell r="Q1000" t="str">
            <v>Dusun Krajan RT.003/RW.003, Kel. Bengkak, Kec. Wongsorejo</v>
          </cell>
          <cell r="R1000" t="str">
            <v>Banyuwangi</v>
          </cell>
          <cell r="S1000" t="str">
            <v>H Bwi2</v>
          </cell>
          <cell r="T1000" t="str">
            <v>Hafid</v>
          </cell>
          <cell r="U1000">
            <v>30</v>
          </cell>
        </row>
        <row r="1001">
          <cell r="E1001" t="str">
            <v>B25013220</v>
          </cell>
          <cell r="F1001"/>
          <cell r="G1001">
            <v>10000000</v>
          </cell>
          <cell r="H1001" t="str">
            <v>Faris</v>
          </cell>
          <cell r="I1001" t="str">
            <v>Syahra</v>
          </cell>
          <cell r="J1001"/>
          <cell r="K1001" t="str">
            <v>KU</v>
          </cell>
          <cell r="L1001" t="str">
            <v>BERK61</v>
          </cell>
          <cell r="M1001" t="str">
            <v>Berkah Joyo/Diana</v>
          </cell>
          <cell r="N1001" t="str">
            <v>Diana Kusumawati</v>
          </cell>
          <cell r="O1001" t="str">
            <v>Dusun Krajan RT.003/RW.003, Kel. Bengkak, Kec. Wongsorejo</v>
          </cell>
          <cell r="P1001" t="str">
            <v>Banyuwangi</v>
          </cell>
          <cell r="Q1001" t="str">
            <v>Dusun Krajan RT.003/RW.003, Kel. Bengkak, Kec. Wongsorejo</v>
          </cell>
          <cell r="R1001" t="str">
            <v>Banyuwangi</v>
          </cell>
          <cell r="S1001" t="str">
            <v>H Bwi2</v>
          </cell>
          <cell r="T1001" t="str">
            <v>Hafid</v>
          </cell>
          <cell r="U1001">
            <v>30</v>
          </cell>
        </row>
        <row r="1002">
          <cell r="E1002" t="str">
            <v>B25010326</v>
          </cell>
          <cell r="F1002"/>
          <cell r="G1002">
            <v>35000000</v>
          </cell>
          <cell r="H1002" t="str">
            <v>Yuyun</v>
          </cell>
          <cell r="I1002" t="str">
            <v>Farida</v>
          </cell>
          <cell r="J1002" t="str">
            <v>New 06/07/21</v>
          </cell>
          <cell r="K1002" t="str">
            <v>KU</v>
          </cell>
          <cell r="L1002" t="str">
            <v>BERK53</v>
          </cell>
          <cell r="M1002" t="str">
            <v>Berkah Kayra/Nuyun</v>
          </cell>
          <cell r="N1002" t="str">
            <v>Nuyun Masruroh</v>
          </cell>
          <cell r="O1002" t="str">
            <v>Dusun Jatilawang, RT.001/RW.009Kel. Tegal wangi, Kec. Umbulsari</v>
          </cell>
          <cell r="P1002" t="str">
            <v>Jember</v>
          </cell>
          <cell r="Q1002" t="str">
            <v>Dusun Jatilawang, RT.001/RW.009Kel. Tegal wangi, Kec. Umbulsari</v>
          </cell>
          <cell r="R1002" t="str">
            <v>Jember</v>
          </cell>
          <cell r="S1002" t="str">
            <v>L Kota3</v>
          </cell>
          <cell r="T1002" t="str">
            <v>Wira</v>
          </cell>
          <cell r="U1002">
            <v>30</v>
          </cell>
        </row>
        <row r="1003">
          <cell r="E1003" t="str">
            <v>B25010354</v>
          </cell>
          <cell r="F1003"/>
          <cell r="G1003">
            <v>35000000</v>
          </cell>
          <cell r="H1003" t="str">
            <v>Yuyun</v>
          </cell>
          <cell r="I1003" t="str">
            <v>Farida</v>
          </cell>
          <cell r="J1003" t="str">
            <v>New 06/07/21</v>
          </cell>
          <cell r="K1003" t="str">
            <v>KU</v>
          </cell>
          <cell r="L1003" t="str">
            <v>BERK53</v>
          </cell>
          <cell r="M1003" t="str">
            <v>Berkah Kayra/Nuyun</v>
          </cell>
          <cell r="N1003" t="str">
            <v>Nuyun Masruroh</v>
          </cell>
          <cell r="O1003" t="str">
            <v>Dusun Jatilawang, RT.001/RW.009Kel. Tegal wangi, Kec. Umbulsari</v>
          </cell>
          <cell r="P1003" t="str">
            <v>Jember</v>
          </cell>
          <cell r="Q1003" t="str">
            <v>Dusun Jatilawang, RT.001/RW.009Kel. Tegal wangi, Kec. Umbulsari</v>
          </cell>
          <cell r="R1003" t="str">
            <v>Jember</v>
          </cell>
          <cell r="S1003" t="str">
            <v>L Kota3</v>
          </cell>
          <cell r="T1003" t="str">
            <v>Wira</v>
          </cell>
          <cell r="U1003">
            <v>30</v>
          </cell>
        </row>
        <row r="1004">
          <cell r="E1004" t="str">
            <v>D25012519</v>
          </cell>
          <cell r="F1004"/>
          <cell r="G1004">
            <v>35000000</v>
          </cell>
          <cell r="H1004" t="str">
            <v>Yuyun</v>
          </cell>
          <cell r="I1004" t="str">
            <v>Farida</v>
          </cell>
          <cell r="J1004" t="str">
            <v>New 06/07/21</v>
          </cell>
          <cell r="K1004" t="str">
            <v>KU</v>
          </cell>
          <cell r="L1004" t="str">
            <v>BERK53</v>
          </cell>
          <cell r="M1004" t="str">
            <v>Berkah Kayra/Nuyun</v>
          </cell>
          <cell r="N1004" t="str">
            <v>Nuyun Masruroh</v>
          </cell>
          <cell r="O1004" t="str">
            <v>Dusun Jatilawang, RT.001/RW.009Kel. Tegal wangi, Kec. Umbulsari</v>
          </cell>
          <cell r="P1004" t="str">
            <v>Jember</v>
          </cell>
          <cell r="Q1004" t="str">
            <v>Dusun Jatilawang, RT.001/RW.009Kel. Tegal wangi, Kec. Umbulsari</v>
          </cell>
          <cell r="R1004" t="str">
            <v>Jember</v>
          </cell>
          <cell r="S1004" t="str">
            <v>L Kota3</v>
          </cell>
          <cell r="T1004" t="str">
            <v>Wira</v>
          </cell>
          <cell r="U1004">
            <v>30</v>
          </cell>
        </row>
        <row r="1005">
          <cell r="E1005" t="str">
            <v>D25012519</v>
          </cell>
          <cell r="F1005"/>
          <cell r="G1005">
            <v>35000000</v>
          </cell>
          <cell r="H1005" t="str">
            <v>Yuyun</v>
          </cell>
          <cell r="I1005" t="str">
            <v>Farida</v>
          </cell>
          <cell r="J1005" t="str">
            <v>New 06/07/21</v>
          </cell>
          <cell r="K1005" t="str">
            <v>KU</v>
          </cell>
          <cell r="L1005" t="str">
            <v>BERK53</v>
          </cell>
          <cell r="M1005" t="str">
            <v>Berkah Kayra/Nuyun</v>
          </cell>
          <cell r="N1005" t="str">
            <v>Nuyun Masruroh</v>
          </cell>
          <cell r="O1005" t="str">
            <v>Dusun Jatilawang, RT.001/RW.009Kel. Tegal wangi, Kec. Umbulsari</v>
          </cell>
          <cell r="P1005" t="str">
            <v>Jember</v>
          </cell>
          <cell r="Q1005" t="str">
            <v>Dusun Jatilawang, RT.001/RW.009Kel. Tegal wangi, Kec. Umbulsari</v>
          </cell>
          <cell r="R1005" t="str">
            <v>Jember</v>
          </cell>
          <cell r="S1005" t="str">
            <v>L Kota3</v>
          </cell>
          <cell r="T1005" t="str">
            <v>Wira</v>
          </cell>
          <cell r="U1005">
            <v>30</v>
          </cell>
        </row>
        <row r="1006">
          <cell r="E1006" t="str">
            <v>B25011700</v>
          </cell>
          <cell r="F1006"/>
          <cell r="G1006">
            <v>35000000</v>
          </cell>
          <cell r="H1006" t="str">
            <v>Yuyun</v>
          </cell>
          <cell r="I1006" t="str">
            <v>Farida</v>
          </cell>
          <cell r="J1006" t="str">
            <v>New 06/07/21</v>
          </cell>
          <cell r="K1006" t="str">
            <v>KU</v>
          </cell>
          <cell r="L1006" t="str">
            <v>BERK53</v>
          </cell>
          <cell r="M1006" t="str">
            <v>Berkah Kayra/Nuyun</v>
          </cell>
          <cell r="N1006" t="str">
            <v>Nuyun Masruroh</v>
          </cell>
          <cell r="O1006" t="str">
            <v>Dusun Jatilawang, RT.001/RW.009Kel. Tegal wangi, Kec. Umbulsari</v>
          </cell>
          <cell r="P1006" t="str">
            <v>Jember</v>
          </cell>
          <cell r="Q1006" t="str">
            <v>Dusun Jatilawang, RT.001/RW.009Kel. Tegal wangi, Kec. Umbulsari</v>
          </cell>
          <cell r="R1006" t="str">
            <v>Jember</v>
          </cell>
          <cell r="S1006" t="str">
            <v>L Kota3</v>
          </cell>
          <cell r="T1006" t="str">
            <v>Wira</v>
          </cell>
          <cell r="U1006">
            <v>30</v>
          </cell>
        </row>
        <row r="1007">
          <cell r="E1007" t="str">
            <v>B25011700</v>
          </cell>
          <cell r="F1007"/>
          <cell r="G1007">
            <v>35000000</v>
          </cell>
          <cell r="H1007" t="str">
            <v>Yuyun</v>
          </cell>
          <cell r="I1007" t="str">
            <v>Farida</v>
          </cell>
          <cell r="J1007" t="str">
            <v>New 06/07/21</v>
          </cell>
          <cell r="K1007" t="str">
            <v>KU</v>
          </cell>
          <cell r="L1007" t="str">
            <v>BERK53</v>
          </cell>
          <cell r="M1007" t="str">
            <v>Berkah Kayra/Nuyun</v>
          </cell>
          <cell r="N1007" t="str">
            <v>Nuyun Masruroh</v>
          </cell>
          <cell r="O1007" t="str">
            <v>Dusun Jatilawang, RT.001/RW.009Kel. Tegal wangi, Kec. Umbulsari</v>
          </cell>
          <cell r="P1007" t="str">
            <v>Jember</v>
          </cell>
          <cell r="Q1007" t="str">
            <v>Dusun Jatilawang, RT.001/RW.009Kel. Tegal wangi, Kec. Umbulsari</v>
          </cell>
          <cell r="R1007" t="str">
            <v>Jember</v>
          </cell>
          <cell r="S1007" t="str">
            <v>L Kota3</v>
          </cell>
          <cell r="T1007" t="str">
            <v>Wira</v>
          </cell>
          <cell r="U1007">
            <v>30</v>
          </cell>
        </row>
        <row r="1008">
          <cell r="E1008" t="str">
            <v>D25014443</v>
          </cell>
          <cell r="F1008"/>
          <cell r="G1008">
            <v>35000000</v>
          </cell>
          <cell r="H1008" t="str">
            <v>Yuyun</v>
          </cell>
          <cell r="I1008" t="str">
            <v>Farida</v>
          </cell>
          <cell r="J1008" t="str">
            <v>New 06/07/21</v>
          </cell>
          <cell r="K1008" t="str">
            <v>KU</v>
          </cell>
          <cell r="L1008" t="str">
            <v>BERK53</v>
          </cell>
          <cell r="M1008" t="str">
            <v>Berkah Kayra/Nuyun</v>
          </cell>
          <cell r="N1008" t="str">
            <v>Nuyun Masruroh</v>
          </cell>
          <cell r="O1008" t="str">
            <v>Dusun Jatilawang, RT.001/RW.009Kel. Tegal wangi, Kec. Umbulsari</v>
          </cell>
          <cell r="P1008" t="str">
            <v>Jember</v>
          </cell>
          <cell r="Q1008" t="str">
            <v>Dusun Jatilawang, RT.001/RW.009Kel. Tegal wangi, Kec. Umbulsari</v>
          </cell>
          <cell r="R1008" t="str">
            <v>Jember</v>
          </cell>
          <cell r="S1008" t="str">
            <v>L Kota3</v>
          </cell>
          <cell r="T1008" t="str">
            <v>Wira</v>
          </cell>
          <cell r="U1008">
            <v>30</v>
          </cell>
        </row>
        <row r="1009">
          <cell r="E1009" t="str">
            <v>D25014568</v>
          </cell>
          <cell r="F1009"/>
          <cell r="G1009">
            <v>35000000</v>
          </cell>
          <cell r="H1009" t="str">
            <v>Yuyun</v>
          </cell>
          <cell r="I1009" t="str">
            <v>Farida</v>
          </cell>
          <cell r="J1009" t="str">
            <v>New 06/07/21</v>
          </cell>
          <cell r="K1009" t="str">
            <v>KU</v>
          </cell>
          <cell r="L1009" t="str">
            <v>BERK53</v>
          </cell>
          <cell r="M1009" t="str">
            <v>Berkah Kayra/Nuyun</v>
          </cell>
          <cell r="N1009" t="str">
            <v>Nuyun Masruroh</v>
          </cell>
          <cell r="O1009" t="str">
            <v>Dusun Jatilawang, RT.001/RW.009Kel. Tegal wangi, Kec. Umbulsari</v>
          </cell>
          <cell r="P1009" t="str">
            <v>Jember</v>
          </cell>
          <cell r="Q1009" t="str">
            <v>Dusun Jatilawang, RT.001/RW.009Kel. Tegal wangi, Kec. Umbulsari</v>
          </cell>
          <cell r="R1009" t="str">
            <v>Jember</v>
          </cell>
          <cell r="S1009" t="str">
            <v>L Kota3</v>
          </cell>
          <cell r="T1009" t="str">
            <v>Wira</v>
          </cell>
          <cell r="U1009">
            <v>30</v>
          </cell>
        </row>
        <row r="1010">
          <cell r="E1010" t="str">
            <v>D25015970</v>
          </cell>
          <cell r="F1010"/>
          <cell r="G1010">
            <v>35000000</v>
          </cell>
          <cell r="H1010" t="str">
            <v>Yuyun</v>
          </cell>
          <cell r="I1010" t="str">
            <v>Farida</v>
          </cell>
          <cell r="J1010" t="str">
            <v>New 06/07/21</v>
          </cell>
          <cell r="K1010" t="str">
            <v>KU</v>
          </cell>
          <cell r="L1010" t="str">
            <v>BERK53</v>
          </cell>
          <cell r="M1010" t="str">
            <v>Berkah Kayra/Nuyun</v>
          </cell>
          <cell r="N1010" t="str">
            <v>Nuyun Masruroh</v>
          </cell>
          <cell r="O1010" t="str">
            <v>Dusun Jatilawang, RT.001/RW.009Kel. Tegal wangi, Kec. Umbulsari</v>
          </cell>
          <cell r="P1010" t="str">
            <v>Jember</v>
          </cell>
          <cell r="Q1010" t="str">
            <v>Dusun Jatilawang, RT.001/RW.009Kel. Tegal wangi, Kec. Umbulsari</v>
          </cell>
          <cell r="R1010" t="str">
            <v>Jember</v>
          </cell>
          <cell r="S1010" t="str">
            <v>L Kota3</v>
          </cell>
          <cell r="T1010" t="str">
            <v>Wira</v>
          </cell>
          <cell r="U1010">
            <v>30</v>
          </cell>
        </row>
        <row r="1011">
          <cell r="E1011" t="str">
            <v>B25013783</v>
          </cell>
          <cell r="F1011"/>
          <cell r="G1011">
            <v>35000000</v>
          </cell>
          <cell r="H1011" t="str">
            <v>Yuyun</v>
          </cell>
          <cell r="I1011" t="str">
            <v>Farida</v>
          </cell>
          <cell r="J1011" t="str">
            <v>New 06/07/21</v>
          </cell>
          <cell r="K1011" t="str">
            <v>KU</v>
          </cell>
          <cell r="L1011" t="str">
            <v>BERK53</v>
          </cell>
          <cell r="M1011" t="str">
            <v>Berkah Kayra/Nuyun</v>
          </cell>
          <cell r="N1011" t="str">
            <v>Nuyun Masruroh</v>
          </cell>
          <cell r="O1011" t="str">
            <v>Dusun Jatilawang, RT.001/RW.009Kel. Tegal wangi, Kec. Umbulsari</v>
          </cell>
          <cell r="P1011" t="str">
            <v>Jember</v>
          </cell>
          <cell r="Q1011" t="str">
            <v>Dusun Jatilawang, RT.001/RW.009Kel. Tegal wangi, Kec. Umbulsari</v>
          </cell>
          <cell r="R1011" t="str">
            <v>Jember</v>
          </cell>
          <cell r="S1011" t="str">
            <v>L Kota3</v>
          </cell>
          <cell r="T1011" t="str">
            <v>Wira</v>
          </cell>
          <cell r="U1011">
            <v>30</v>
          </cell>
        </row>
        <row r="1012">
          <cell r="E1012" t="str">
            <v>B25013784</v>
          </cell>
          <cell r="F1012"/>
          <cell r="G1012">
            <v>35000000</v>
          </cell>
          <cell r="H1012" t="str">
            <v>Yuyun</v>
          </cell>
          <cell r="I1012" t="str">
            <v>Farida</v>
          </cell>
          <cell r="J1012" t="str">
            <v>New 06/07/21</v>
          </cell>
          <cell r="K1012" t="str">
            <v>KU</v>
          </cell>
          <cell r="L1012" t="str">
            <v>BERK53</v>
          </cell>
          <cell r="M1012" t="str">
            <v>Berkah Kayra/Nuyun</v>
          </cell>
          <cell r="N1012" t="str">
            <v>Nuyun Masruroh</v>
          </cell>
          <cell r="O1012" t="str">
            <v>Dusun Jatilawang, RT.001/RW.009Kel. Tegal wangi, Kec. Umbulsari</v>
          </cell>
          <cell r="P1012" t="str">
            <v>Jember</v>
          </cell>
          <cell r="Q1012" t="str">
            <v>Dusun Jatilawang, RT.001/RW.009Kel. Tegal wangi, Kec. Umbulsari</v>
          </cell>
          <cell r="R1012" t="str">
            <v>Jember</v>
          </cell>
          <cell r="S1012" t="str">
            <v>L Kota3</v>
          </cell>
          <cell r="T1012" t="str">
            <v>Wira</v>
          </cell>
          <cell r="U1012">
            <v>30</v>
          </cell>
        </row>
        <row r="1013">
          <cell r="E1013" t="str">
            <v>B25013717</v>
          </cell>
          <cell r="F1013"/>
          <cell r="G1013">
            <v>1000</v>
          </cell>
          <cell r="H1013" t="str">
            <v>Yuyun</v>
          </cell>
          <cell r="I1013" t="str">
            <v>Farida</v>
          </cell>
          <cell r="J1013" t="str">
            <v>New 04/06/21</v>
          </cell>
          <cell r="K1013" t="str">
            <v>Lobi</v>
          </cell>
          <cell r="L1013" t="str">
            <v>BERK51</v>
          </cell>
          <cell r="M1013" t="str">
            <v>Berkah Tani Jaya/Abdul Rohman</v>
          </cell>
          <cell r="N1013" t="str">
            <v>Abdul Rohman</v>
          </cell>
          <cell r="O1013" t="str">
            <v>Dsn Krajan, RT.003/RW.002, Ds Karangharjo, Kec. Silo</v>
          </cell>
          <cell r="P1013" t="str">
            <v>Jember</v>
          </cell>
          <cell r="Q1013" t="str">
            <v>Dsn Krajan, RT.003/RW.002, Ds Karangharjo, Kec. Silo</v>
          </cell>
          <cell r="R1013" t="str">
            <v>Jember</v>
          </cell>
          <cell r="S1013" t="str">
            <v>L Kota1</v>
          </cell>
          <cell r="T1013" t="str">
            <v>Wira</v>
          </cell>
          <cell r="U1013">
            <v>0</v>
          </cell>
        </row>
        <row r="1014">
          <cell r="E1014" t="str">
            <v>D25008168</v>
          </cell>
          <cell r="F1014"/>
          <cell r="G1014">
            <v>10000000000</v>
          </cell>
          <cell r="H1014" t="str">
            <v>Zakia</v>
          </cell>
          <cell r="I1014" t="str">
            <v>Tiya</v>
          </cell>
          <cell r="J1014"/>
          <cell r="K1014" t="str">
            <v>KU</v>
          </cell>
          <cell r="L1014" t="str">
            <v>BERK02</v>
          </cell>
          <cell r="M1014" t="str">
            <v>Berkah Tani Mukti, PT</v>
          </cell>
          <cell r="N1014" t="str">
            <v>Berkah Tani Mukti, PT</v>
          </cell>
          <cell r="O1014" t="str">
            <v>Wisma Indah PS 3-6 Jl Abiyoso</v>
          </cell>
          <cell r="P1014" t="str">
            <v>Blitar</v>
          </cell>
          <cell r="Q1014" t="str">
            <v>Wisma Indah PS 3-6 Jl Abiyoso</v>
          </cell>
          <cell r="R1014" t="str">
            <v>Blitar</v>
          </cell>
          <cell r="S1014" t="str">
            <v>D Barat1</v>
          </cell>
          <cell r="T1014" t="str">
            <v>OTHERS</v>
          </cell>
          <cell r="U1014">
            <v>60</v>
          </cell>
        </row>
        <row r="1015">
          <cell r="E1015" t="str">
            <v>D25008396</v>
          </cell>
          <cell r="F1015"/>
          <cell r="G1015">
            <v>10000000000</v>
          </cell>
          <cell r="H1015" t="str">
            <v>Zakia</v>
          </cell>
          <cell r="I1015" t="str">
            <v>Tiya</v>
          </cell>
          <cell r="J1015"/>
          <cell r="K1015" t="str">
            <v>KU</v>
          </cell>
          <cell r="L1015" t="str">
            <v>BERK02</v>
          </cell>
          <cell r="M1015" t="str">
            <v>Berkah Tani Mukti, PT</v>
          </cell>
          <cell r="N1015" t="str">
            <v>Berkah Tani Mukti, PT</v>
          </cell>
          <cell r="O1015" t="str">
            <v>Wisma Indah PS 3-6 Jl Abiyoso</v>
          </cell>
          <cell r="P1015" t="str">
            <v>Blitar</v>
          </cell>
          <cell r="Q1015" t="str">
            <v>Wisma Indah PS 3-6 Jl Abiyoso</v>
          </cell>
          <cell r="R1015" t="str">
            <v>Blitar</v>
          </cell>
          <cell r="S1015" t="str">
            <v>D Barat1</v>
          </cell>
          <cell r="T1015" t="str">
            <v>OTHERS</v>
          </cell>
          <cell r="U1015">
            <v>60</v>
          </cell>
        </row>
        <row r="1016">
          <cell r="E1016" t="str">
            <v>D25008499</v>
          </cell>
          <cell r="F1016"/>
          <cell r="G1016">
            <v>10000000000</v>
          </cell>
          <cell r="H1016" t="str">
            <v>Zakia</v>
          </cell>
          <cell r="I1016" t="str">
            <v>Tiya</v>
          </cell>
          <cell r="J1016"/>
          <cell r="K1016" t="str">
            <v>KU</v>
          </cell>
          <cell r="L1016" t="str">
            <v>BERK02</v>
          </cell>
          <cell r="M1016" t="str">
            <v>Berkah Tani Mukti, PT</v>
          </cell>
          <cell r="N1016" t="str">
            <v>Berkah Tani Mukti, PT</v>
          </cell>
          <cell r="O1016" t="str">
            <v>Wisma Indah PS 3-6 Jl Abiyoso</v>
          </cell>
          <cell r="P1016" t="str">
            <v>Blitar</v>
          </cell>
          <cell r="Q1016" t="str">
            <v>Wisma Indah PS 3-6 Jl Abiyoso</v>
          </cell>
          <cell r="R1016" t="str">
            <v>Blitar</v>
          </cell>
          <cell r="S1016" t="str">
            <v>D Barat1</v>
          </cell>
          <cell r="T1016" t="str">
            <v>OTHERS</v>
          </cell>
          <cell r="U1016">
            <v>60</v>
          </cell>
        </row>
        <row r="1017">
          <cell r="E1017" t="str">
            <v>D25008761</v>
          </cell>
          <cell r="F1017"/>
          <cell r="G1017">
            <v>10000000000</v>
          </cell>
          <cell r="H1017" t="str">
            <v>Zakia</v>
          </cell>
          <cell r="I1017" t="str">
            <v>Tiya</v>
          </cell>
          <cell r="J1017"/>
          <cell r="K1017" t="str">
            <v>KU</v>
          </cell>
          <cell r="L1017" t="str">
            <v>BERK02</v>
          </cell>
          <cell r="M1017" t="str">
            <v>Berkah Tani Mukti, PT</v>
          </cell>
          <cell r="N1017" t="str">
            <v>Berkah Tani Mukti, PT</v>
          </cell>
          <cell r="O1017" t="str">
            <v>Wisma Indah PS 3-6 Jl Abiyoso</v>
          </cell>
          <cell r="P1017" t="str">
            <v>Blitar</v>
          </cell>
          <cell r="Q1017" t="str">
            <v>Wisma Indah PS 3-6 Jl Abiyoso</v>
          </cell>
          <cell r="R1017" t="str">
            <v>Blitar</v>
          </cell>
          <cell r="S1017" t="str">
            <v>D Barat1</v>
          </cell>
          <cell r="T1017" t="str">
            <v>OTHERS</v>
          </cell>
          <cell r="U1017">
            <v>60</v>
          </cell>
        </row>
        <row r="1018">
          <cell r="E1018" t="str">
            <v>D25009124</v>
          </cell>
          <cell r="F1018"/>
          <cell r="G1018">
            <v>10000000000</v>
          </cell>
          <cell r="H1018" t="str">
            <v>Zakia</v>
          </cell>
          <cell r="I1018" t="str">
            <v>Tiya</v>
          </cell>
          <cell r="J1018"/>
          <cell r="K1018" t="str">
            <v>KU</v>
          </cell>
          <cell r="L1018" t="str">
            <v>BERK02</v>
          </cell>
          <cell r="M1018" t="str">
            <v>Berkah Tani Mukti, PT</v>
          </cell>
          <cell r="N1018" t="str">
            <v>Berkah Tani Mukti, PT</v>
          </cell>
          <cell r="O1018" t="str">
            <v>Wisma Indah PS 3-6 Jl Abiyoso</v>
          </cell>
          <cell r="P1018" t="str">
            <v>Blitar</v>
          </cell>
          <cell r="Q1018" t="str">
            <v>Wisma Indah PS 3-6 Jl Abiyoso</v>
          </cell>
          <cell r="R1018" t="str">
            <v>Blitar</v>
          </cell>
          <cell r="S1018" t="str">
            <v>D Barat1</v>
          </cell>
          <cell r="T1018" t="str">
            <v>OTHERS</v>
          </cell>
          <cell r="U1018">
            <v>60</v>
          </cell>
        </row>
        <row r="1019">
          <cell r="E1019" t="str">
            <v>D25009124</v>
          </cell>
          <cell r="F1019"/>
          <cell r="G1019">
            <v>10000000000</v>
          </cell>
          <cell r="H1019" t="str">
            <v>Zakia</v>
          </cell>
          <cell r="I1019" t="str">
            <v>Tiya</v>
          </cell>
          <cell r="J1019"/>
          <cell r="K1019" t="str">
            <v>KU</v>
          </cell>
          <cell r="L1019" t="str">
            <v>BERK02</v>
          </cell>
          <cell r="M1019" t="str">
            <v>Berkah Tani Mukti, PT</v>
          </cell>
          <cell r="N1019" t="str">
            <v>Berkah Tani Mukti, PT</v>
          </cell>
          <cell r="O1019" t="str">
            <v>Wisma Indah PS 3-6 Jl Abiyoso</v>
          </cell>
          <cell r="P1019" t="str">
            <v>Blitar</v>
          </cell>
          <cell r="Q1019" t="str">
            <v>Wisma Indah PS 3-6 Jl Abiyoso</v>
          </cell>
          <cell r="R1019" t="str">
            <v>Blitar</v>
          </cell>
          <cell r="S1019" t="str">
            <v>D Barat1</v>
          </cell>
          <cell r="T1019" t="str">
            <v>OTHERS</v>
          </cell>
          <cell r="U1019">
            <v>60</v>
          </cell>
        </row>
        <row r="1020">
          <cell r="E1020" t="str">
            <v>D25009125</v>
          </cell>
          <cell r="F1020"/>
          <cell r="G1020">
            <v>10000000000</v>
          </cell>
          <cell r="H1020" t="str">
            <v>Zakia</v>
          </cell>
          <cell r="I1020" t="str">
            <v>Tiya</v>
          </cell>
          <cell r="J1020"/>
          <cell r="K1020" t="str">
            <v>KU</v>
          </cell>
          <cell r="L1020" t="str">
            <v>BERK02</v>
          </cell>
          <cell r="M1020" t="str">
            <v>Berkah Tani Mukti, PT</v>
          </cell>
          <cell r="N1020" t="str">
            <v>Berkah Tani Mukti, PT</v>
          </cell>
          <cell r="O1020" t="str">
            <v>Wisma Indah PS 3-6 Jl Abiyoso</v>
          </cell>
          <cell r="P1020" t="str">
            <v>Blitar</v>
          </cell>
          <cell r="Q1020" t="str">
            <v>Wisma Indah PS 3-6 Jl Abiyoso</v>
          </cell>
          <cell r="R1020" t="str">
            <v>Blitar</v>
          </cell>
          <cell r="S1020" t="str">
            <v>D Barat1</v>
          </cell>
          <cell r="T1020" t="str">
            <v>OTHERS</v>
          </cell>
          <cell r="U1020">
            <v>60</v>
          </cell>
        </row>
        <row r="1021">
          <cell r="E1021" t="str">
            <v>D25009159</v>
          </cell>
          <cell r="F1021"/>
          <cell r="G1021">
            <v>10000000000</v>
          </cell>
          <cell r="H1021" t="str">
            <v>Zakia</v>
          </cell>
          <cell r="I1021" t="str">
            <v>Tiya</v>
          </cell>
          <cell r="J1021"/>
          <cell r="K1021" t="str">
            <v>KU</v>
          </cell>
          <cell r="L1021" t="str">
            <v>BERK02</v>
          </cell>
          <cell r="M1021" t="str">
            <v>Berkah Tani Mukti, PT</v>
          </cell>
          <cell r="N1021" t="str">
            <v>Berkah Tani Mukti, PT</v>
          </cell>
          <cell r="O1021" t="str">
            <v>Wisma Indah PS 3-6 Jl Abiyoso</v>
          </cell>
          <cell r="P1021" t="str">
            <v>Blitar</v>
          </cell>
          <cell r="Q1021" t="str">
            <v>Wisma Indah PS 3-6 Jl Abiyoso</v>
          </cell>
          <cell r="R1021" t="str">
            <v>Blitar</v>
          </cell>
          <cell r="S1021" t="str">
            <v>D Barat1</v>
          </cell>
          <cell r="T1021" t="str">
            <v>OTHERS</v>
          </cell>
          <cell r="U1021">
            <v>60</v>
          </cell>
        </row>
        <row r="1022">
          <cell r="E1022" t="str">
            <v>D25009159</v>
          </cell>
          <cell r="F1022"/>
          <cell r="G1022">
            <v>10000000000</v>
          </cell>
          <cell r="H1022" t="str">
            <v>Zakia</v>
          </cell>
          <cell r="I1022" t="str">
            <v>Tiya</v>
          </cell>
          <cell r="J1022"/>
          <cell r="K1022" t="str">
            <v>KU</v>
          </cell>
          <cell r="L1022" t="str">
            <v>BERK02</v>
          </cell>
          <cell r="M1022" t="str">
            <v>Berkah Tani Mukti, PT</v>
          </cell>
          <cell r="N1022" t="str">
            <v>Berkah Tani Mukti, PT</v>
          </cell>
          <cell r="O1022" t="str">
            <v>Wisma Indah PS 3-6 Jl Abiyoso</v>
          </cell>
          <cell r="P1022" t="str">
            <v>Blitar</v>
          </cell>
          <cell r="Q1022" t="str">
            <v>Wisma Indah PS 3-6 Jl Abiyoso</v>
          </cell>
          <cell r="R1022" t="str">
            <v>Blitar</v>
          </cell>
          <cell r="S1022" t="str">
            <v>D Barat1</v>
          </cell>
          <cell r="T1022" t="str">
            <v>OTHERS</v>
          </cell>
          <cell r="U1022">
            <v>60</v>
          </cell>
        </row>
        <row r="1023">
          <cell r="E1023" t="str">
            <v>D25009270</v>
          </cell>
          <cell r="F1023"/>
          <cell r="G1023">
            <v>10000000000</v>
          </cell>
          <cell r="H1023" t="str">
            <v>Zakia</v>
          </cell>
          <cell r="I1023" t="str">
            <v>Tiya</v>
          </cell>
          <cell r="J1023"/>
          <cell r="K1023" t="str">
            <v>KU</v>
          </cell>
          <cell r="L1023" t="str">
            <v>BERK02</v>
          </cell>
          <cell r="M1023" t="str">
            <v>Berkah Tani Mukti, PT</v>
          </cell>
          <cell r="N1023" t="str">
            <v>Berkah Tani Mukti, PT</v>
          </cell>
          <cell r="O1023" t="str">
            <v>Wisma Indah PS 3-6 Jl Abiyoso</v>
          </cell>
          <cell r="P1023" t="str">
            <v>Blitar</v>
          </cell>
          <cell r="Q1023" t="str">
            <v>Wisma Indah PS 3-6 Jl Abiyoso</v>
          </cell>
          <cell r="R1023" t="str">
            <v>Blitar</v>
          </cell>
          <cell r="S1023" t="str">
            <v>D Barat1</v>
          </cell>
          <cell r="T1023" t="str">
            <v>OTHERS</v>
          </cell>
          <cell r="U1023">
            <v>60</v>
          </cell>
        </row>
        <row r="1024">
          <cell r="E1024" t="str">
            <v>D25009454</v>
          </cell>
          <cell r="F1024"/>
          <cell r="G1024">
            <v>10000000000</v>
          </cell>
          <cell r="H1024" t="str">
            <v>Zakia</v>
          </cell>
          <cell r="I1024" t="str">
            <v>Tiya</v>
          </cell>
          <cell r="J1024"/>
          <cell r="K1024" t="str">
            <v>KU</v>
          </cell>
          <cell r="L1024" t="str">
            <v>BERK02</v>
          </cell>
          <cell r="M1024" t="str">
            <v>Berkah Tani Mukti, PT</v>
          </cell>
          <cell r="N1024" t="str">
            <v>Berkah Tani Mukti, PT</v>
          </cell>
          <cell r="O1024" t="str">
            <v>Wisma Indah PS 3-6 Jl Abiyoso</v>
          </cell>
          <cell r="P1024" t="str">
            <v>Blitar</v>
          </cell>
          <cell r="Q1024" t="str">
            <v>Wisma Indah PS 3-6 Jl Abiyoso</v>
          </cell>
          <cell r="R1024" t="str">
            <v>Blitar</v>
          </cell>
          <cell r="S1024" t="str">
            <v>D Barat1</v>
          </cell>
          <cell r="T1024" t="str">
            <v>OTHERS</v>
          </cell>
          <cell r="U1024">
            <v>60</v>
          </cell>
        </row>
        <row r="1025">
          <cell r="E1025" t="str">
            <v>D25009455</v>
          </cell>
          <cell r="F1025"/>
          <cell r="G1025">
            <v>10000000000</v>
          </cell>
          <cell r="H1025" t="str">
            <v>Zakia</v>
          </cell>
          <cell r="I1025" t="str">
            <v>Tiya</v>
          </cell>
          <cell r="J1025"/>
          <cell r="K1025" t="str">
            <v>KU</v>
          </cell>
          <cell r="L1025" t="str">
            <v>BERK02</v>
          </cell>
          <cell r="M1025" t="str">
            <v>Berkah Tani Mukti, PT</v>
          </cell>
          <cell r="N1025" t="str">
            <v>Berkah Tani Mukti, PT</v>
          </cell>
          <cell r="O1025" t="str">
            <v>Wisma Indah PS 3-6 Jl Abiyoso</v>
          </cell>
          <cell r="P1025" t="str">
            <v>Blitar</v>
          </cell>
          <cell r="Q1025" t="str">
            <v>Wisma Indah PS 3-6 Jl Abiyoso</v>
          </cell>
          <cell r="R1025" t="str">
            <v>Blitar</v>
          </cell>
          <cell r="S1025" t="str">
            <v>D Barat1</v>
          </cell>
          <cell r="T1025" t="str">
            <v>OTHERS</v>
          </cell>
          <cell r="U1025">
            <v>60</v>
          </cell>
        </row>
        <row r="1026">
          <cell r="E1026" t="str">
            <v>D25009651</v>
          </cell>
          <cell r="F1026"/>
          <cell r="G1026">
            <v>10000000000</v>
          </cell>
          <cell r="H1026" t="str">
            <v>Zakia</v>
          </cell>
          <cell r="I1026" t="str">
            <v>Tiya</v>
          </cell>
          <cell r="J1026"/>
          <cell r="K1026" t="str">
            <v>KU</v>
          </cell>
          <cell r="L1026" t="str">
            <v>BERK02</v>
          </cell>
          <cell r="M1026" t="str">
            <v>Berkah Tani Mukti, PT</v>
          </cell>
          <cell r="N1026" t="str">
            <v>Berkah Tani Mukti, PT</v>
          </cell>
          <cell r="O1026" t="str">
            <v>Wisma Indah PS 3-6 Jl Abiyoso</v>
          </cell>
          <cell r="P1026" t="str">
            <v>Blitar</v>
          </cell>
          <cell r="Q1026" t="str">
            <v>Wisma Indah PS 3-6 Jl Abiyoso</v>
          </cell>
          <cell r="R1026" t="str">
            <v>Blitar</v>
          </cell>
          <cell r="S1026" t="str">
            <v>D Barat1</v>
          </cell>
          <cell r="T1026" t="str">
            <v>OTHERS</v>
          </cell>
          <cell r="U1026">
            <v>60</v>
          </cell>
        </row>
        <row r="1027">
          <cell r="E1027" t="str">
            <v>D25010178</v>
          </cell>
          <cell r="F1027"/>
          <cell r="G1027">
            <v>10000000000</v>
          </cell>
          <cell r="H1027" t="str">
            <v>Zakia</v>
          </cell>
          <cell r="I1027" t="str">
            <v>Tiya</v>
          </cell>
          <cell r="J1027"/>
          <cell r="K1027" t="str">
            <v>KU</v>
          </cell>
          <cell r="L1027" t="str">
            <v>BERK02</v>
          </cell>
          <cell r="M1027" t="str">
            <v>Berkah Tani Mukti, PT</v>
          </cell>
          <cell r="N1027" t="str">
            <v>Berkah Tani Mukti, PT</v>
          </cell>
          <cell r="O1027" t="str">
            <v>Wisma Indah PS 3-6 Jl Abiyoso</v>
          </cell>
          <cell r="P1027" t="str">
            <v>Blitar</v>
          </cell>
          <cell r="Q1027" t="str">
            <v>Wisma Indah PS 3-6 Jl Abiyoso</v>
          </cell>
          <cell r="R1027" t="str">
            <v>Blitar</v>
          </cell>
          <cell r="S1027" t="str">
            <v>D Barat1</v>
          </cell>
          <cell r="T1027" t="str">
            <v>OTHERS</v>
          </cell>
          <cell r="U1027">
            <v>60</v>
          </cell>
        </row>
        <row r="1028">
          <cell r="E1028" t="str">
            <v>D25010651</v>
          </cell>
          <cell r="F1028"/>
          <cell r="G1028">
            <v>10000000000</v>
          </cell>
          <cell r="H1028" t="str">
            <v>Zakia</v>
          </cell>
          <cell r="I1028" t="str">
            <v>Tiya</v>
          </cell>
          <cell r="J1028"/>
          <cell r="K1028" t="str">
            <v>KU</v>
          </cell>
          <cell r="L1028" t="str">
            <v>BERK02</v>
          </cell>
          <cell r="M1028" t="str">
            <v>Berkah Tani Mukti, PT</v>
          </cell>
          <cell r="N1028" t="str">
            <v>Berkah Tani Mukti, PT</v>
          </cell>
          <cell r="O1028" t="str">
            <v>Wisma Indah PS 3-6 Jl Abiyoso</v>
          </cell>
          <cell r="P1028" t="str">
            <v>Blitar</v>
          </cell>
          <cell r="Q1028" t="str">
            <v>Wisma Indah PS 3-6 Jl Abiyoso</v>
          </cell>
          <cell r="R1028" t="str">
            <v>Blitar</v>
          </cell>
          <cell r="S1028" t="str">
            <v>D Barat1</v>
          </cell>
          <cell r="T1028" t="str">
            <v>OTHERS</v>
          </cell>
          <cell r="U1028">
            <v>60</v>
          </cell>
        </row>
        <row r="1029">
          <cell r="E1029" t="str">
            <v>D25010734</v>
          </cell>
          <cell r="F1029"/>
          <cell r="G1029">
            <v>10000000000</v>
          </cell>
          <cell r="H1029" t="str">
            <v>Zakia</v>
          </cell>
          <cell r="I1029" t="str">
            <v>Tiya</v>
          </cell>
          <cell r="J1029"/>
          <cell r="K1029" t="str">
            <v>KU</v>
          </cell>
          <cell r="L1029" t="str">
            <v>BERK02</v>
          </cell>
          <cell r="M1029" t="str">
            <v>Berkah Tani Mukti, PT</v>
          </cell>
          <cell r="N1029" t="str">
            <v>Berkah Tani Mukti, PT</v>
          </cell>
          <cell r="O1029" t="str">
            <v>Wisma Indah PS 3-6 Jl Abiyoso</v>
          </cell>
          <cell r="P1029" t="str">
            <v>Blitar</v>
          </cell>
          <cell r="Q1029" t="str">
            <v>Wisma Indah PS 3-6 Jl Abiyoso</v>
          </cell>
          <cell r="R1029" t="str">
            <v>Blitar</v>
          </cell>
          <cell r="S1029" t="str">
            <v>D Barat1</v>
          </cell>
          <cell r="T1029" t="str">
            <v>OTHERS</v>
          </cell>
          <cell r="U1029">
            <v>60</v>
          </cell>
        </row>
        <row r="1030">
          <cell r="E1030" t="str">
            <v>D25011031</v>
          </cell>
          <cell r="F1030"/>
          <cell r="G1030">
            <v>10000000000</v>
          </cell>
          <cell r="H1030" t="str">
            <v>Zakia</v>
          </cell>
          <cell r="I1030" t="str">
            <v>Tiya</v>
          </cell>
          <cell r="J1030"/>
          <cell r="K1030" t="str">
            <v>KU</v>
          </cell>
          <cell r="L1030" t="str">
            <v>BERK02</v>
          </cell>
          <cell r="M1030" t="str">
            <v>Berkah Tani Mukti, PT</v>
          </cell>
          <cell r="N1030" t="str">
            <v>Berkah Tani Mukti, PT</v>
          </cell>
          <cell r="O1030" t="str">
            <v>Wisma Indah PS 3-6 Jl Abiyoso</v>
          </cell>
          <cell r="P1030" t="str">
            <v>Blitar</v>
          </cell>
          <cell r="Q1030" t="str">
            <v>Wisma Indah PS 3-6 Jl Abiyoso</v>
          </cell>
          <cell r="R1030" t="str">
            <v>Blitar</v>
          </cell>
          <cell r="S1030" t="str">
            <v>D Barat1</v>
          </cell>
          <cell r="T1030" t="str">
            <v>OTHERS</v>
          </cell>
          <cell r="U1030">
            <v>60</v>
          </cell>
        </row>
        <row r="1031">
          <cell r="E1031" t="str">
            <v>D25011035</v>
          </cell>
          <cell r="F1031"/>
          <cell r="G1031">
            <v>10000000000</v>
          </cell>
          <cell r="H1031" t="str">
            <v>Zakia</v>
          </cell>
          <cell r="I1031" t="str">
            <v>Tiya</v>
          </cell>
          <cell r="J1031"/>
          <cell r="K1031" t="str">
            <v>KU</v>
          </cell>
          <cell r="L1031" t="str">
            <v>BERK02</v>
          </cell>
          <cell r="M1031" t="str">
            <v>Berkah Tani Mukti, PT</v>
          </cell>
          <cell r="N1031" t="str">
            <v>Berkah Tani Mukti, PT</v>
          </cell>
          <cell r="O1031" t="str">
            <v>Wisma Indah PS 3-6 Jl Abiyoso</v>
          </cell>
          <cell r="P1031" t="str">
            <v>Blitar</v>
          </cell>
          <cell r="Q1031" t="str">
            <v>Wisma Indah PS 3-6 Jl Abiyoso</v>
          </cell>
          <cell r="R1031" t="str">
            <v>Blitar</v>
          </cell>
          <cell r="S1031" t="str">
            <v>D Barat1</v>
          </cell>
          <cell r="T1031" t="str">
            <v>OTHERS</v>
          </cell>
          <cell r="U1031">
            <v>60</v>
          </cell>
        </row>
        <row r="1032">
          <cell r="E1032" t="str">
            <v>D25011109</v>
          </cell>
          <cell r="F1032"/>
          <cell r="G1032">
            <v>10000000000</v>
          </cell>
          <cell r="H1032" t="str">
            <v>Zakia</v>
          </cell>
          <cell r="I1032" t="str">
            <v>Tiya</v>
          </cell>
          <cell r="J1032"/>
          <cell r="K1032" t="str">
            <v>KU</v>
          </cell>
          <cell r="L1032" t="str">
            <v>BERK02</v>
          </cell>
          <cell r="M1032" t="str">
            <v>Berkah Tani Mukti, PT</v>
          </cell>
          <cell r="N1032" t="str">
            <v>Berkah Tani Mukti, PT</v>
          </cell>
          <cell r="O1032" t="str">
            <v>Wisma Indah PS 3-6 Jl Abiyoso</v>
          </cell>
          <cell r="P1032" t="str">
            <v>Blitar</v>
          </cell>
          <cell r="Q1032" t="str">
            <v>Wisma Indah PS 3-6 Jl Abiyoso</v>
          </cell>
          <cell r="R1032" t="str">
            <v>Blitar</v>
          </cell>
          <cell r="S1032" t="str">
            <v>D Barat1</v>
          </cell>
          <cell r="T1032" t="str">
            <v>OTHERS</v>
          </cell>
          <cell r="U1032">
            <v>60</v>
          </cell>
        </row>
        <row r="1033">
          <cell r="E1033" t="str">
            <v>D25011337</v>
          </cell>
          <cell r="F1033"/>
          <cell r="G1033">
            <v>10000000000</v>
          </cell>
          <cell r="H1033" t="str">
            <v>Zakia</v>
          </cell>
          <cell r="I1033" t="str">
            <v>Tiya</v>
          </cell>
          <cell r="J1033"/>
          <cell r="K1033" t="str">
            <v>KU</v>
          </cell>
          <cell r="L1033" t="str">
            <v>BERK02</v>
          </cell>
          <cell r="M1033" t="str">
            <v>Berkah Tani Mukti, PT</v>
          </cell>
          <cell r="N1033" t="str">
            <v>Berkah Tani Mukti, PT</v>
          </cell>
          <cell r="O1033" t="str">
            <v>Wisma Indah PS 3-6 Jl Abiyoso</v>
          </cell>
          <cell r="P1033" t="str">
            <v>Blitar</v>
          </cell>
          <cell r="Q1033" t="str">
            <v>Wisma Indah PS 3-6 Jl Abiyoso</v>
          </cell>
          <cell r="R1033" t="str">
            <v>Blitar</v>
          </cell>
          <cell r="S1033" t="str">
            <v>D Barat1</v>
          </cell>
          <cell r="T1033" t="str">
            <v>OTHERS</v>
          </cell>
          <cell r="U1033">
            <v>60</v>
          </cell>
        </row>
        <row r="1034">
          <cell r="E1034" t="str">
            <v>D25011818</v>
          </cell>
          <cell r="F1034"/>
          <cell r="G1034">
            <v>10000000000</v>
          </cell>
          <cell r="H1034" t="str">
            <v>Zakia</v>
          </cell>
          <cell r="I1034" t="str">
            <v>Tiya</v>
          </cell>
          <cell r="J1034"/>
          <cell r="K1034" t="str">
            <v>KU</v>
          </cell>
          <cell r="L1034" t="str">
            <v>BERK02</v>
          </cell>
          <cell r="M1034" t="str">
            <v>Berkah Tani Mukti, PT</v>
          </cell>
          <cell r="N1034" t="str">
            <v>Berkah Tani Mukti, PT</v>
          </cell>
          <cell r="O1034" t="str">
            <v>Wisma Indah PS 3-6 Jl Abiyoso</v>
          </cell>
          <cell r="P1034" t="str">
            <v>Blitar</v>
          </cell>
          <cell r="Q1034" t="str">
            <v>Wisma Indah PS 3-6 Jl Abiyoso</v>
          </cell>
          <cell r="R1034" t="str">
            <v>Blitar</v>
          </cell>
          <cell r="S1034" t="str">
            <v>D Barat1</v>
          </cell>
          <cell r="T1034" t="str">
            <v>OTHERS</v>
          </cell>
          <cell r="U1034">
            <v>60</v>
          </cell>
        </row>
        <row r="1035">
          <cell r="E1035" t="str">
            <v>B25010258</v>
          </cell>
          <cell r="F1035"/>
          <cell r="G1035">
            <v>10000000000</v>
          </cell>
          <cell r="H1035" t="str">
            <v>Zakia</v>
          </cell>
          <cell r="I1035" t="str">
            <v>Tiya</v>
          </cell>
          <cell r="J1035"/>
          <cell r="K1035" t="str">
            <v>KU</v>
          </cell>
          <cell r="L1035" t="str">
            <v>BERK02</v>
          </cell>
          <cell r="M1035" t="str">
            <v>Berkah Tani Mukti, PT</v>
          </cell>
          <cell r="N1035" t="str">
            <v>Berkah Tani Mukti, PT</v>
          </cell>
          <cell r="O1035" t="str">
            <v>Wisma Indah PS 3-6 Jl Abiyoso</v>
          </cell>
          <cell r="P1035" t="str">
            <v>Blitar</v>
          </cell>
          <cell r="Q1035" t="str">
            <v>Wisma Indah PS 3-6 Jl Abiyoso</v>
          </cell>
          <cell r="R1035" t="str">
            <v>Blitar</v>
          </cell>
          <cell r="S1035" t="str">
            <v>D Barat1</v>
          </cell>
          <cell r="T1035" t="str">
            <v>OTHERS</v>
          </cell>
          <cell r="U1035">
            <v>60</v>
          </cell>
        </row>
        <row r="1036">
          <cell r="E1036" t="str">
            <v>D25012161</v>
          </cell>
          <cell r="F1036"/>
          <cell r="G1036">
            <v>10000000000</v>
          </cell>
          <cell r="H1036" t="str">
            <v>Zakia</v>
          </cell>
          <cell r="I1036" t="str">
            <v>Tiya</v>
          </cell>
          <cell r="J1036"/>
          <cell r="K1036" t="str">
            <v>KU</v>
          </cell>
          <cell r="L1036" t="str">
            <v>BERK02</v>
          </cell>
          <cell r="M1036" t="str">
            <v>Berkah Tani Mukti, PT</v>
          </cell>
          <cell r="N1036" t="str">
            <v>Berkah Tani Mukti, PT</v>
          </cell>
          <cell r="O1036" t="str">
            <v>Wisma Indah PS 3-6 Jl Abiyoso</v>
          </cell>
          <cell r="P1036" t="str">
            <v>Blitar</v>
          </cell>
          <cell r="Q1036" t="str">
            <v>Wisma Indah PS 3-6 Jl Abiyoso</v>
          </cell>
          <cell r="R1036" t="str">
            <v>Blitar</v>
          </cell>
          <cell r="S1036" t="str">
            <v>D Barat1</v>
          </cell>
          <cell r="T1036" t="str">
            <v>OTHERS</v>
          </cell>
          <cell r="U1036">
            <v>60</v>
          </cell>
        </row>
        <row r="1037">
          <cell r="E1037" t="str">
            <v>D25012187</v>
          </cell>
          <cell r="F1037"/>
          <cell r="G1037">
            <v>10000000000</v>
          </cell>
          <cell r="H1037" t="str">
            <v>Zakia</v>
          </cell>
          <cell r="I1037" t="str">
            <v>Tiya</v>
          </cell>
          <cell r="J1037"/>
          <cell r="K1037" t="str">
            <v>KU</v>
          </cell>
          <cell r="L1037" t="str">
            <v>BERK02</v>
          </cell>
          <cell r="M1037" t="str">
            <v>Berkah Tani Mukti, PT</v>
          </cell>
          <cell r="N1037" t="str">
            <v>Berkah Tani Mukti, PT</v>
          </cell>
          <cell r="O1037" t="str">
            <v>Wisma Indah PS 3-6 Jl Abiyoso</v>
          </cell>
          <cell r="P1037" t="str">
            <v>Blitar</v>
          </cell>
          <cell r="Q1037" t="str">
            <v>Wisma Indah PS 3-6 Jl Abiyoso</v>
          </cell>
          <cell r="R1037" t="str">
            <v>Blitar</v>
          </cell>
          <cell r="S1037" t="str">
            <v>D Barat1</v>
          </cell>
          <cell r="T1037" t="str">
            <v>OTHERS</v>
          </cell>
          <cell r="U1037">
            <v>60</v>
          </cell>
        </row>
        <row r="1038">
          <cell r="E1038" t="str">
            <v>D25012790</v>
          </cell>
          <cell r="F1038"/>
          <cell r="G1038">
            <v>10000000000</v>
          </cell>
          <cell r="H1038" t="str">
            <v>Zakia</v>
          </cell>
          <cell r="I1038" t="str">
            <v>Tiya</v>
          </cell>
          <cell r="J1038"/>
          <cell r="K1038" t="str">
            <v>KU</v>
          </cell>
          <cell r="L1038" t="str">
            <v>BERK02</v>
          </cell>
          <cell r="M1038" t="str">
            <v>Berkah Tani Mukti, PT</v>
          </cell>
          <cell r="N1038" t="str">
            <v>Berkah Tani Mukti, PT</v>
          </cell>
          <cell r="O1038" t="str">
            <v>Wisma Indah PS 3-6 Jl Abiyoso</v>
          </cell>
          <cell r="P1038" t="str">
            <v>Blitar</v>
          </cell>
          <cell r="Q1038" t="str">
            <v>Wisma Indah PS 3-6 Jl Abiyoso</v>
          </cell>
          <cell r="R1038" t="str">
            <v>Blitar</v>
          </cell>
          <cell r="S1038" t="str">
            <v>D Barat1</v>
          </cell>
          <cell r="T1038" t="str">
            <v>OTHERS</v>
          </cell>
          <cell r="U1038">
            <v>60</v>
          </cell>
        </row>
        <row r="1039">
          <cell r="E1039" t="str">
            <v>D25013782</v>
          </cell>
          <cell r="F1039"/>
          <cell r="G1039">
            <v>10000000000</v>
          </cell>
          <cell r="H1039" t="str">
            <v>Zakia</v>
          </cell>
          <cell r="I1039" t="str">
            <v>Tiya</v>
          </cell>
          <cell r="J1039"/>
          <cell r="K1039" t="str">
            <v>KU</v>
          </cell>
          <cell r="L1039" t="str">
            <v>BERK02</v>
          </cell>
          <cell r="M1039" t="str">
            <v>Berkah Tani Mukti, PT</v>
          </cell>
          <cell r="N1039" t="str">
            <v>Berkah Tani Mukti, PT</v>
          </cell>
          <cell r="O1039" t="str">
            <v>Wisma Indah PS 3-6 Jl Abiyoso</v>
          </cell>
          <cell r="P1039" t="str">
            <v>Blitar</v>
          </cell>
          <cell r="Q1039" t="str">
            <v>Wisma Indah PS 3-6 Jl Abiyoso</v>
          </cell>
          <cell r="R1039" t="str">
            <v>Blitar</v>
          </cell>
          <cell r="S1039" t="str">
            <v>D Barat1</v>
          </cell>
          <cell r="T1039" t="str">
            <v>OTHERS</v>
          </cell>
          <cell r="U1039">
            <v>60</v>
          </cell>
        </row>
        <row r="1040">
          <cell r="E1040" t="str">
            <v>D25013884</v>
          </cell>
          <cell r="F1040"/>
          <cell r="G1040">
            <v>10000000000</v>
          </cell>
          <cell r="H1040" t="str">
            <v>Zakia</v>
          </cell>
          <cell r="I1040" t="str">
            <v>Tiya</v>
          </cell>
          <cell r="J1040"/>
          <cell r="K1040" t="str">
            <v>KU</v>
          </cell>
          <cell r="L1040" t="str">
            <v>BERK02</v>
          </cell>
          <cell r="M1040" t="str">
            <v>Berkah Tani Mukti, PT</v>
          </cell>
          <cell r="N1040" t="str">
            <v>Berkah Tani Mukti, PT</v>
          </cell>
          <cell r="O1040" t="str">
            <v>Wisma Indah PS 3-6 Jl Abiyoso</v>
          </cell>
          <cell r="P1040" t="str">
            <v>Blitar</v>
          </cell>
          <cell r="Q1040" t="str">
            <v>Wisma Indah PS 3-6 Jl Abiyoso</v>
          </cell>
          <cell r="R1040" t="str">
            <v>Blitar</v>
          </cell>
          <cell r="S1040" t="str">
            <v>D Barat1</v>
          </cell>
          <cell r="T1040" t="str">
            <v>OTHERS</v>
          </cell>
          <cell r="U1040">
            <v>60</v>
          </cell>
        </row>
        <row r="1041">
          <cell r="E1041" t="str">
            <v>D25014367</v>
          </cell>
          <cell r="F1041"/>
          <cell r="G1041">
            <v>10000000000</v>
          </cell>
          <cell r="H1041" t="str">
            <v>Zakia</v>
          </cell>
          <cell r="I1041" t="str">
            <v>Tiya</v>
          </cell>
          <cell r="J1041"/>
          <cell r="K1041" t="str">
            <v>KU</v>
          </cell>
          <cell r="L1041" t="str">
            <v>BERK02</v>
          </cell>
          <cell r="M1041" t="str">
            <v>Berkah Tani Mukti, PT</v>
          </cell>
          <cell r="N1041" t="str">
            <v>Berkah Tani Mukti, PT</v>
          </cell>
          <cell r="O1041" t="str">
            <v>Wisma Indah PS 3-6 Jl Abiyoso</v>
          </cell>
          <cell r="P1041" t="str">
            <v>Blitar</v>
          </cell>
          <cell r="Q1041" t="str">
            <v>Wisma Indah PS 3-6 Jl Abiyoso</v>
          </cell>
          <cell r="R1041" t="str">
            <v>Blitar</v>
          </cell>
          <cell r="S1041" t="str">
            <v>D Barat1</v>
          </cell>
          <cell r="T1041" t="str">
            <v>OTHERS</v>
          </cell>
          <cell r="U1041">
            <v>60</v>
          </cell>
        </row>
        <row r="1042">
          <cell r="E1042" t="str">
            <v>D25014368</v>
          </cell>
          <cell r="F1042"/>
          <cell r="G1042">
            <v>10000000000</v>
          </cell>
          <cell r="H1042" t="str">
            <v>Zakia</v>
          </cell>
          <cell r="I1042" t="str">
            <v>Tiya</v>
          </cell>
          <cell r="J1042"/>
          <cell r="K1042" t="str">
            <v>KU</v>
          </cell>
          <cell r="L1042" t="str">
            <v>BERK02</v>
          </cell>
          <cell r="M1042" t="str">
            <v>Berkah Tani Mukti, PT</v>
          </cell>
          <cell r="N1042" t="str">
            <v>Berkah Tani Mukti, PT</v>
          </cell>
          <cell r="O1042" t="str">
            <v>Wisma Indah PS 3-6 Jl Abiyoso</v>
          </cell>
          <cell r="P1042" t="str">
            <v>Blitar</v>
          </cell>
          <cell r="Q1042" t="str">
            <v>Wisma Indah PS 3-6 Jl Abiyoso</v>
          </cell>
          <cell r="R1042" t="str">
            <v>Blitar</v>
          </cell>
          <cell r="S1042" t="str">
            <v>D Barat1</v>
          </cell>
          <cell r="T1042" t="str">
            <v>OTHERS</v>
          </cell>
          <cell r="U1042">
            <v>60</v>
          </cell>
        </row>
        <row r="1043">
          <cell r="E1043" t="str">
            <v>D25014417</v>
          </cell>
          <cell r="F1043"/>
          <cell r="G1043">
            <v>10000000000</v>
          </cell>
          <cell r="H1043" t="str">
            <v>Zakia</v>
          </cell>
          <cell r="I1043" t="str">
            <v>Tiya</v>
          </cell>
          <cell r="J1043"/>
          <cell r="K1043" t="str">
            <v>KU</v>
          </cell>
          <cell r="L1043" t="str">
            <v>BERK02</v>
          </cell>
          <cell r="M1043" t="str">
            <v>Berkah Tani Mukti, PT</v>
          </cell>
          <cell r="N1043" t="str">
            <v>Berkah Tani Mukti, PT</v>
          </cell>
          <cell r="O1043" t="str">
            <v>Wisma Indah PS 3-6 Jl Abiyoso</v>
          </cell>
          <cell r="P1043" t="str">
            <v>Blitar</v>
          </cell>
          <cell r="Q1043" t="str">
            <v>Wisma Indah PS 3-6 Jl Abiyoso</v>
          </cell>
          <cell r="R1043" t="str">
            <v>Blitar</v>
          </cell>
          <cell r="S1043" t="str">
            <v>D Barat1</v>
          </cell>
          <cell r="T1043" t="str">
            <v>OTHERS</v>
          </cell>
          <cell r="U1043">
            <v>60</v>
          </cell>
        </row>
        <row r="1044">
          <cell r="E1044" t="str">
            <v>D25014440</v>
          </cell>
          <cell r="F1044"/>
          <cell r="G1044">
            <v>10000000000</v>
          </cell>
          <cell r="H1044" t="str">
            <v>Zakia</v>
          </cell>
          <cell r="I1044" t="str">
            <v>Tiya</v>
          </cell>
          <cell r="J1044"/>
          <cell r="K1044" t="str">
            <v>KU</v>
          </cell>
          <cell r="L1044" t="str">
            <v>BERK02</v>
          </cell>
          <cell r="M1044" t="str">
            <v>Berkah Tani Mukti, PT</v>
          </cell>
          <cell r="N1044" t="str">
            <v>Berkah Tani Mukti, PT</v>
          </cell>
          <cell r="O1044" t="str">
            <v>Wisma Indah PS 3-6 Jl Abiyoso</v>
          </cell>
          <cell r="P1044" t="str">
            <v>Blitar</v>
          </cell>
          <cell r="Q1044" t="str">
            <v>Wisma Indah PS 3-6 Jl Abiyoso</v>
          </cell>
          <cell r="R1044" t="str">
            <v>Blitar</v>
          </cell>
          <cell r="S1044" t="str">
            <v>D Barat1</v>
          </cell>
          <cell r="T1044" t="str">
            <v>OTHERS</v>
          </cell>
          <cell r="U1044">
            <v>60</v>
          </cell>
        </row>
        <row r="1045">
          <cell r="E1045" t="str">
            <v>D25014576</v>
          </cell>
          <cell r="F1045"/>
          <cell r="G1045">
            <v>10000000000</v>
          </cell>
          <cell r="H1045" t="str">
            <v>Zakia</v>
          </cell>
          <cell r="I1045" t="str">
            <v>Tiya</v>
          </cell>
          <cell r="J1045"/>
          <cell r="K1045" t="str">
            <v>KU</v>
          </cell>
          <cell r="L1045" t="str">
            <v>BERK02</v>
          </cell>
          <cell r="M1045" t="str">
            <v>Berkah Tani Mukti, PT</v>
          </cell>
          <cell r="N1045" t="str">
            <v>Berkah Tani Mukti, PT</v>
          </cell>
          <cell r="O1045" t="str">
            <v>Wisma Indah PS 3-6 Jl Abiyoso</v>
          </cell>
          <cell r="P1045" t="str">
            <v>Blitar</v>
          </cell>
          <cell r="Q1045" t="str">
            <v>Wisma Indah PS 3-6 Jl Abiyoso</v>
          </cell>
          <cell r="R1045" t="str">
            <v>Blitar</v>
          </cell>
          <cell r="S1045" t="str">
            <v>D Barat1</v>
          </cell>
          <cell r="T1045" t="str">
            <v>OTHERS</v>
          </cell>
          <cell r="U1045">
            <v>60</v>
          </cell>
        </row>
        <row r="1046">
          <cell r="E1046" t="str">
            <v>D25014641</v>
          </cell>
          <cell r="F1046"/>
          <cell r="G1046">
            <v>10000000000</v>
          </cell>
          <cell r="H1046" t="str">
            <v>Zakia</v>
          </cell>
          <cell r="I1046" t="str">
            <v>Tiya</v>
          </cell>
          <cell r="J1046"/>
          <cell r="K1046" t="str">
            <v>KU</v>
          </cell>
          <cell r="L1046" t="str">
            <v>BERK02</v>
          </cell>
          <cell r="M1046" t="str">
            <v>Berkah Tani Mukti, PT</v>
          </cell>
          <cell r="N1046" t="str">
            <v>Berkah Tani Mukti, PT</v>
          </cell>
          <cell r="O1046" t="str">
            <v>Wisma Indah PS 3-6 Jl Abiyoso</v>
          </cell>
          <cell r="P1046" t="str">
            <v>Blitar</v>
          </cell>
          <cell r="Q1046" t="str">
            <v>Wisma Indah PS 3-6 Jl Abiyoso</v>
          </cell>
          <cell r="R1046" t="str">
            <v>Blitar</v>
          </cell>
          <cell r="S1046" t="str">
            <v>D Barat1</v>
          </cell>
          <cell r="T1046" t="str">
            <v>OTHERS</v>
          </cell>
          <cell r="U1046">
            <v>60</v>
          </cell>
        </row>
        <row r="1047">
          <cell r="E1047" t="str">
            <v>D25014948</v>
          </cell>
          <cell r="F1047"/>
          <cell r="G1047">
            <v>10000000000</v>
          </cell>
          <cell r="H1047" t="str">
            <v>Zakia</v>
          </cell>
          <cell r="I1047" t="str">
            <v>Tiya</v>
          </cell>
          <cell r="J1047"/>
          <cell r="K1047" t="str">
            <v>KU</v>
          </cell>
          <cell r="L1047" t="str">
            <v>BERK02</v>
          </cell>
          <cell r="M1047" t="str">
            <v>Berkah Tani Mukti, PT</v>
          </cell>
          <cell r="N1047" t="str">
            <v>Berkah Tani Mukti, PT</v>
          </cell>
          <cell r="O1047" t="str">
            <v>Wisma Indah PS 3-6 Jl Abiyoso</v>
          </cell>
          <cell r="P1047" t="str">
            <v>Blitar</v>
          </cell>
          <cell r="Q1047" t="str">
            <v>Wisma Indah PS 3-6 Jl Abiyoso</v>
          </cell>
          <cell r="R1047" t="str">
            <v>Blitar</v>
          </cell>
          <cell r="S1047" t="str">
            <v>D Barat1</v>
          </cell>
          <cell r="T1047" t="str">
            <v>OTHERS</v>
          </cell>
          <cell r="U1047">
            <v>60</v>
          </cell>
        </row>
        <row r="1048">
          <cell r="E1048" t="str">
            <v>D25015234</v>
          </cell>
          <cell r="F1048"/>
          <cell r="G1048">
            <v>10000000000</v>
          </cell>
          <cell r="H1048" t="str">
            <v>Zakia</v>
          </cell>
          <cell r="I1048" t="str">
            <v>Tiya</v>
          </cell>
          <cell r="J1048"/>
          <cell r="K1048" t="str">
            <v>KU</v>
          </cell>
          <cell r="L1048" t="str">
            <v>BERK02</v>
          </cell>
          <cell r="M1048" t="str">
            <v>Berkah Tani Mukti, PT</v>
          </cell>
          <cell r="N1048" t="str">
            <v>Berkah Tani Mukti, PT</v>
          </cell>
          <cell r="O1048" t="str">
            <v>Wisma Indah PS 3-6 Jl Abiyoso</v>
          </cell>
          <cell r="P1048" t="str">
            <v>Blitar</v>
          </cell>
          <cell r="Q1048" t="str">
            <v>Wisma Indah PS 3-6 Jl Abiyoso</v>
          </cell>
          <cell r="R1048" t="str">
            <v>Blitar</v>
          </cell>
          <cell r="S1048" t="str">
            <v>D Barat1</v>
          </cell>
          <cell r="T1048" t="str">
            <v>OTHERS</v>
          </cell>
          <cell r="U1048">
            <v>60</v>
          </cell>
        </row>
        <row r="1049">
          <cell r="E1049" t="str">
            <v>B25013096</v>
          </cell>
          <cell r="F1049"/>
          <cell r="G1049">
            <v>10000000000</v>
          </cell>
          <cell r="H1049" t="str">
            <v>Zakia</v>
          </cell>
          <cell r="I1049" t="str">
            <v>Tiya</v>
          </cell>
          <cell r="J1049"/>
          <cell r="K1049" t="str">
            <v>KU</v>
          </cell>
          <cell r="L1049" t="str">
            <v>BERK02</v>
          </cell>
          <cell r="M1049" t="str">
            <v>Berkah Tani Mukti, PT</v>
          </cell>
          <cell r="N1049" t="str">
            <v>Berkah Tani Mukti, PT</v>
          </cell>
          <cell r="O1049" t="str">
            <v>Wisma Indah PS 3-6 Jl Abiyoso</v>
          </cell>
          <cell r="P1049" t="str">
            <v>Blitar</v>
          </cell>
          <cell r="Q1049" t="str">
            <v>Wisma Indah PS 3-6 Jl Abiyoso</v>
          </cell>
          <cell r="R1049" t="str">
            <v>Blitar</v>
          </cell>
          <cell r="S1049" t="str">
            <v>D Barat1</v>
          </cell>
          <cell r="T1049" t="str">
            <v>OTHERS</v>
          </cell>
          <cell r="U1049">
            <v>60</v>
          </cell>
        </row>
        <row r="1050">
          <cell r="E1050" t="str">
            <v>B25013448</v>
          </cell>
          <cell r="F1050"/>
          <cell r="G1050">
            <v>10000000000</v>
          </cell>
          <cell r="H1050" t="str">
            <v>Zakia</v>
          </cell>
          <cell r="I1050" t="str">
            <v>Tiya</v>
          </cell>
          <cell r="J1050"/>
          <cell r="K1050" t="str">
            <v>KU</v>
          </cell>
          <cell r="L1050" t="str">
            <v>BERK02</v>
          </cell>
          <cell r="M1050" t="str">
            <v>Berkah Tani Mukti, PT</v>
          </cell>
          <cell r="N1050" t="str">
            <v>Berkah Tani Mukti, PT</v>
          </cell>
          <cell r="O1050" t="str">
            <v>Wisma Indah PS 3-6 Jl Abiyoso</v>
          </cell>
          <cell r="P1050" t="str">
            <v>Blitar</v>
          </cell>
          <cell r="Q1050" t="str">
            <v>Wisma Indah PS 3-6 Jl Abiyoso</v>
          </cell>
          <cell r="R1050" t="str">
            <v>Blitar</v>
          </cell>
          <cell r="S1050" t="str">
            <v>D Barat1</v>
          </cell>
          <cell r="T1050" t="str">
            <v>OTHERS</v>
          </cell>
          <cell r="U1050">
            <v>60</v>
          </cell>
        </row>
        <row r="1051">
          <cell r="E1051" t="str">
            <v>D25015924</v>
          </cell>
          <cell r="F1051"/>
          <cell r="G1051">
            <v>10000000000</v>
          </cell>
          <cell r="H1051" t="str">
            <v>Zakia</v>
          </cell>
          <cell r="I1051" t="str">
            <v>Tiya</v>
          </cell>
          <cell r="J1051"/>
          <cell r="K1051" t="str">
            <v>KU</v>
          </cell>
          <cell r="L1051" t="str">
            <v>BERK02</v>
          </cell>
          <cell r="M1051" t="str">
            <v>Berkah Tani Mukti, PT</v>
          </cell>
          <cell r="N1051" t="str">
            <v>Berkah Tani Mukti, PT</v>
          </cell>
          <cell r="O1051" t="str">
            <v>Wisma Indah PS 3-6 Jl Abiyoso</v>
          </cell>
          <cell r="P1051" t="str">
            <v>Blitar</v>
          </cell>
          <cell r="Q1051" t="str">
            <v>Wisma Indah PS 3-6 Jl Abiyoso</v>
          </cell>
          <cell r="R1051" t="str">
            <v>Blitar</v>
          </cell>
          <cell r="S1051" t="str">
            <v>D Barat1</v>
          </cell>
          <cell r="T1051" t="str">
            <v>OTHERS</v>
          </cell>
          <cell r="U1051">
            <v>60</v>
          </cell>
        </row>
        <row r="1052">
          <cell r="E1052" t="str">
            <v>D25016080</v>
          </cell>
          <cell r="F1052"/>
          <cell r="G1052">
            <v>10000000000</v>
          </cell>
          <cell r="H1052" t="str">
            <v>Zakia</v>
          </cell>
          <cell r="I1052" t="str">
            <v>Tiya</v>
          </cell>
          <cell r="J1052"/>
          <cell r="K1052" t="str">
            <v>KU</v>
          </cell>
          <cell r="L1052" t="str">
            <v>BERK02</v>
          </cell>
          <cell r="M1052" t="str">
            <v>Berkah Tani Mukti, PT</v>
          </cell>
          <cell r="N1052" t="str">
            <v>Berkah Tani Mukti, PT</v>
          </cell>
          <cell r="O1052" t="str">
            <v>Wisma Indah PS 3-6 Jl Abiyoso</v>
          </cell>
          <cell r="P1052" t="str">
            <v>Blitar</v>
          </cell>
          <cell r="Q1052" t="str">
            <v>Wisma Indah PS 3-6 Jl Abiyoso</v>
          </cell>
          <cell r="R1052" t="str">
            <v>Blitar</v>
          </cell>
          <cell r="S1052" t="str">
            <v>D Barat1</v>
          </cell>
          <cell r="T1052" t="str">
            <v>OTHERS</v>
          </cell>
          <cell r="U1052">
            <v>60</v>
          </cell>
        </row>
        <row r="1053">
          <cell r="E1053" t="str">
            <v>B25012553</v>
          </cell>
          <cell r="F1053"/>
          <cell r="G1053">
            <v>20000000</v>
          </cell>
          <cell r="H1053" t="str">
            <v>Ariyani</v>
          </cell>
          <cell r="I1053" t="str">
            <v>Fira</v>
          </cell>
          <cell r="J1053" t="str">
            <v>New 27/08/22</v>
          </cell>
          <cell r="K1053" t="str">
            <v>KU</v>
          </cell>
          <cell r="L1053" t="str">
            <v>BARO60</v>
          </cell>
          <cell r="M1053" t="str">
            <v>Berkah Tani/Abdul Mujib</v>
          </cell>
          <cell r="N1053" t="str">
            <v>Abdul Mujib</v>
          </cell>
          <cell r="O1053" t="str">
            <v>Dusun Purut RT.002/RW.004, Kel. Bades Kec. Pasirian</v>
          </cell>
          <cell r="P1053" t="str">
            <v>Lumajang</v>
          </cell>
          <cell r="Q1053" t="str">
            <v>Jl. Bades Beji Sari, Kec. Pasirian</v>
          </cell>
          <cell r="R1053" t="str">
            <v>Lumajang</v>
          </cell>
          <cell r="S1053" t="str">
            <v>C Lumajang</v>
          </cell>
          <cell r="T1053" t="str">
            <v>Efendi</v>
          </cell>
          <cell r="U1053">
            <v>30</v>
          </cell>
        </row>
        <row r="1054">
          <cell r="E1054" t="str">
            <v>D25014934</v>
          </cell>
          <cell r="F1054"/>
          <cell r="G1054">
            <v>20000000</v>
          </cell>
          <cell r="H1054" t="str">
            <v>Ariyani</v>
          </cell>
          <cell r="I1054" t="str">
            <v>Fira</v>
          </cell>
          <cell r="J1054" t="str">
            <v>New 27/08/22</v>
          </cell>
          <cell r="K1054" t="str">
            <v>KU</v>
          </cell>
          <cell r="L1054" t="str">
            <v>BARO60</v>
          </cell>
          <cell r="M1054" t="str">
            <v>Berkah Tani/Abdul Mujib</v>
          </cell>
          <cell r="N1054" t="str">
            <v>Abdul Mujib</v>
          </cell>
          <cell r="O1054" t="str">
            <v>Dusun Purut RT.002/RW.004, Kel. Bades Kec. Pasirian</v>
          </cell>
          <cell r="P1054" t="str">
            <v>Lumajang</v>
          </cell>
          <cell r="Q1054" t="str">
            <v>Jl. Bades Beji Sari, Kec. Pasirian</v>
          </cell>
          <cell r="R1054" t="str">
            <v>Lumajang</v>
          </cell>
          <cell r="S1054" t="str">
            <v>C Lumajang</v>
          </cell>
          <cell r="T1054" t="str">
            <v>Efendi</v>
          </cell>
          <cell r="U1054">
            <v>30</v>
          </cell>
        </row>
        <row r="1055">
          <cell r="E1055" t="str">
            <v>D25014952</v>
          </cell>
          <cell r="F1055"/>
          <cell r="G1055">
            <v>20000000</v>
          </cell>
          <cell r="H1055" t="str">
            <v>Ariyani</v>
          </cell>
          <cell r="I1055" t="str">
            <v>Fira</v>
          </cell>
          <cell r="J1055" t="str">
            <v>New 27/08/22</v>
          </cell>
          <cell r="K1055" t="str">
            <v>KU</v>
          </cell>
          <cell r="L1055" t="str">
            <v>BARO60</v>
          </cell>
          <cell r="M1055" t="str">
            <v>Berkah Tani/Abdul Mujib</v>
          </cell>
          <cell r="N1055" t="str">
            <v>Abdul Mujib</v>
          </cell>
          <cell r="O1055" t="str">
            <v>Dusun Purut RT.002/RW.004, Kel. Bades Kec. Pasirian</v>
          </cell>
          <cell r="P1055" t="str">
            <v>Lumajang</v>
          </cell>
          <cell r="Q1055" t="str">
            <v>Jl. Bades Beji Sari, Kec. Pasirian</v>
          </cell>
          <cell r="R1055" t="str">
            <v>Lumajang</v>
          </cell>
          <cell r="S1055" t="str">
            <v>C Lumajang</v>
          </cell>
          <cell r="T1055" t="str">
            <v>Efendi</v>
          </cell>
          <cell r="U1055">
            <v>30</v>
          </cell>
        </row>
        <row r="1056">
          <cell r="E1056" t="str">
            <v>B25013552</v>
          </cell>
          <cell r="F1056"/>
          <cell r="G1056">
            <v>20000000</v>
          </cell>
          <cell r="H1056" t="str">
            <v>Ariyani</v>
          </cell>
          <cell r="I1056" t="str">
            <v>Fira</v>
          </cell>
          <cell r="J1056" t="str">
            <v>New 27/08/22</v>
          </cell>
          <cell r="K1056" t="str">
            <v>KU</v>
          </cell>
          <cell r="L1056" t="str">
            <v>BARO60</v>
          </cell>
          <cell r="M1056" t="str">
            <v>Berkah Tani/Abdul Mujib</v>
          </cell>
          <cell r="N1056" t="str">
            <v>Abdul Mujib</v>
          </cell>
          <cell r="O1056" t="str">
            <v>Dusun Purut RT.002/RW.004, Kel. Bades Kec. Pasirian</v>
          </cell>
          <cell r="P1056" t="str">
            <v>Lumajang</v>
          </cell>
          <cell r="Q1056" t="str">
            <v>Jl. Bades Beji Sari, Kec. Pasirian</v>
          </cell>
          <cell r="R1056" t="str">
            <v>Lumajang</v>
          </cell>
          <cell r="S1056" t="str">
            <v>C Lumajang</v>
          </cell>
          <cell r="T1056" t="str">
            <v>Efendi</v>
          </cell>
          <cell r="U1056">
            <v>30</v>
          </cell>
        </row>
        <row r="1057">
          <cell r="E1057" t="str">
            <v>D25015832</v>
          </cell>
          <cell r="F1057"/>
          <cell r="G1057">
            <v>20000000</v>
          </cell>
          <cell r="H1057" t="str">
            <v>Ariyani</v>
          </cell>
          <cell r="I1057" t="str">
            <v>Fira</v>
          </cell>
          <cell r="J1057" t="str">
            <v>New 27/08/22</v>
          </cell>
          <cell r="K1057" t="str">
            <v>KU</v>
          </cell>
          <cell r="L1057" t="str">
            <v>BARO60</v>
          </cell>
          <cell r="M1057" t="str">
            <v>Berkah Tani/Abdul Mujib</v>
          </cell>
          <cell r="N1057" t="str">
            <v>Abdul Mujib</v>
          </cell>
          <cell r="O1057" t="str">
            <v>Dusun Purut RT.002/RW.004, Kel. Bades Kec. Pasirian</v>
          </cell>
          <cell r="P1057" t="str">
            <v>Lumajang</v>
          </cell>
          <cell r="Q1057" t="str">
            <v>Jl. Bades Beji Sari, Kec. Pasirian</v>
          </cell>
          <cell r="R1057" t="str">
            <v>Lumajang</v>
          </cell>
          <cell r="S1057" t="str">
            <v>C Lumajang</v>
          </cell>
          <cell r="T1057" t="str">
            <v>Efendi</v>
          </cell>
          <cell r="U1057">
            <v>30</v>
          </cell>
        </row>
        <row r="1058">
          <cell r="E1058" t="str">
            <v>B25013628</v>
          </cell>
          <cell r="F1058"/>
          <cell r="G1058">
            <v>20000000</v>
          </cell>
          <cell r="H1058" t="str">
            <v>Ariyani</v>
          </cell>
          <cell r="I1058" t="str">
            <v>Fira</v>
          </cell>
          <cell r="J1058" t="str">
            <v>New 27/08/22</v>
          </cell>
          <cell r="K1058" t="str">
            <v>KU</v>
          </cell>
          <cell r="L1058" t="str">
            <v>BARO60</v>
          </cell>
          <cell r="M1058" t="str">
            <v>Berkah Tani/Abdul Mujib</v>
          </cell>
          <cell r="N1058" t="str">
            <v>Abdul Mujib</v>
          </cell>
          <cell r="O1058" t="str">
            <v>Dusun Purut RT.002/RW.004, Kel. Bades Kec. Pasirian</v>
          </cell>
          <cell r="P1058" t="str">
            <v>Lumajang</v>
          </cell>
          <cell r="Q1058" t="str">
            <v>Jl. Bades Beji Sari, Kec. Pasirian</v>
          </cell>
          <cell r="R1058" t="str">
            <v>Lumajang</v>
          </cell>
          <cell r="S1058" t="str">
            <v>C Lumajang</v>
          </cell>
          <cell r="T1058" t="str">
            <v>Efendi</v>
          </cell>
          <cell r="U1058">
            <v>30</v>
          </cell>
        </row>
        <row r="1059">
          <cell r="E1059" t="str">
            <v>D25016017</v>
          </cell>
          <cell r="F1059"/>
          <cell r="G1059">
            <v>20000000</v>
          </cell>
          <cell r="H1059" t="str">
            <v>Ariyani</v>
          </cell>
          <cell r="I1059" t="str">
            <v>Fira</v>
          </cell>
          <cell r="J1059" t="str">
            <v>New 27/08/22</v>
          </cell>
          <cell r="K1059" t="str">
            <v>KU</v>
          </cell>
          <cell r="L1059" t="str">
            <v>BARO60</v>
          </cell>
          <cell r="M1059" t="str">
            <v>Berkah Tani/Abdul Mujib</v>
          </cell>
          <cell r="N1059" t="str">
            <v>Abdul Mujib</v>
          </cell>
          <cell r="O1059" t="str">
            <v>Dusun Purut RT.002/RW.004, Kel. Bades Kec. Pasirian</v>
          </cell>
          <cell r="P1059" t="str">
            <v>Lumajang</v>
          </cell>
          <cell r="Q1059" t="str">
            <v>Jl. Bades Beji Sari, Kec. Pasirian</v>
          </cell>
          <cell r="R1059" t="str">
            <v>Lumajang</v>
          </cell>
          <cell r="S1059" t="str">
            <v>C Lumajang</v>
          </cell>
          <cell r="T1059" t="str">
            <v>Efendi</v>
          </cell>
          <cell r="U1059">
            <v>30</v>
          </cell>
        </row>
        <row r="1060">
          <cell r="E1060" t="str">
            <v>D25012419</v>
          </cell>
          <cell r="F1060"/>
          <cell r="G1060">
            <v>25000000</v>
          </cell>
          <cell r="H1060" t="str">
            <v>Faris</v>
          </cell>
          <cell r="I1060" t="str">
            <v>Syahra</v>
          </cell>
          <cell r="J1060" t="str">
            <v>New 24/02/20</v>
          </cell>
          <cell r="K1060" t="str">
            <v>KU, Tunai</v>
          </cell>
          <cell r="L1060" t="str">
            <v>BERK47</v>
          </cell>
          <cell r="M1060" t="str">
            <v>Berkah Tani/Ali Mutohar</v>
          </cell>
          <cell r="N1060" t="str">
            <v>Ali Mutohar</v>
          </cell>
          <cell r="O1060" t="str">
            <v>Dsn. Salamrejo, Ds. Sumbergondo RT.002 RW.002, Glenmore</v>
          </cell>
          <cell r="P1060" t="str">
            <v>Banyuwangi</v>
          </cell>
          <cell r="Q1060" t="str">
            <v>Dsn. Salamrejo, Ds. Sumbergondo RT.002 RW.002, Glenmore</v>
          </cell>
          <cell r="R1060" t="str">
            <v>Banyuwangi</v>
          </cell>
          <cell r="S1060" t="str">
            <v>H Bwi1</v>
          </cell>
          <cell r="T1060" t="str">
            <v>Hafid</v>
          </cell>
          <cell r="U1060">
            <v>30</v>
          </cell>
        </row>
        <row r="1061">
          <cell r="E1061" t="str">
            <v>D25012419</v>
          </cell>
          <cell r="F1061"/>
          <cell r="G1061">
            <v>25000000</v>
          </cell>
          <cell r="H1061" t="str">
            <v>Faris</v>
          </cell>
          <cell r="I1061" t="str">
            <v>Syahra</v>
          </cell>
          <cell r="J1061" t="str">
            <v>New 24/02/20</v>
          </cell>
          <cell r="K1061" t="str">
            <v>KU, Tunai</v>
          </cell>
          <cell r="L1061" t="str">
            <v>BERK47</v>
          </cell>
          <cell r="M1061" t="str">
            <v>Berkah Tani/Ali Mutohar</v>
          </cell>
          <cell r="N1061" t="str">
            <v>Ali Mutohar</v>
          </cell>
          <cell r="O1061" t="str">
            <v>Dsn. Salamrejo, Ds. Sumbergondo RT.002 RW.002, Glenmore</v>
          </cell>
          <cell r="P1061" t="str">
            <v>Banyuwangi</v>
          </cell>
          <cell r="Q1061" t="str">
            <v>Dsn. Salamrejo, Ds. Sumbergondo RT.002 RW.002, Glenmore</v>
          </cell>
          <cell r="R1061" t="str">
            <v>Banyuwangi</v>
          </cell>
          <cell r="S1061" t="str">
            <v>H Bwi1</v>
          </cell>
          <cell r="T1061" t="str">
            <v>Hafid</v>
          </cell>
          <cell r="U1061">
            <v>30</v>
          </cell>
        </row>
        <row r="1062">
          <cell r="E1062" t="str">
            <v>D25015721</v>
          </cell>
          <cell r="F1062"/>
          <cell r="G1062">
            <v>25000000</v>
          </cell>
          <cell r="H1062" t="str">
            <v>Faris</v>
          </cell>
          <cell r="I1062" t="str">
            <v>Syahra</v>
          </cell>
          <cell r="J1062" t="str">
            <v>New 24/02/20</v>
          </cell>
          <cell r="K1062" t="str">
            <v>KU, Tunai</v>
          </cell>
          <cell r="L1062" t="str">
            <v>BERK47</v>
          </cell>
          <cell r="M1062" t="str">
            <v>Berkah Tani/Ali Mutohar</v>
          </cell>
          <cell r="N1062" t="str">
            <v>Ali Mutohar</v>
          </cell>
          <cell r="O1062" t="str">
            <v>Dsn. Salamrejo, Ds. Sumbergondo RT.002 RW.002, Glenmore</v>
          </cell>
          <cell r="P1062" t="str">
            <v>Banyuwangi</v>
          </cell>
          <cell r="Q1062" t="str">
            <v>Dsn. Salamrejo, Ds. Sumbergondo RT.002 RW.002, Glenmore</v>
          </cell>
          <cell r="R1062" t="str">
            <v>Banyuwangi</v>
          </cell>
          <cell r="S1062" t="str">
            <v>H Bwi1</v>
          </cell>
          <cell r="T1062" t="str">
            <v>Hafid</v>
          </cell>
          <cell r="U1062">
            <v>30</v>
          </cell>
        </row>
        <row r="1063">
          <cell r="E1063" t="str">
            <v>B25013561</v>
          </cell>
          <cell r="F1063"/>
          <cell r="G1063">
            <v>25000000</v>
          </cell>
          <cell r="H1063" t="str">
            <v>Faris</v>
          </cell>
          <cell r="I1063" t="str">
            <v>Syahra</v>
          </cell>
          <cell r="J1063" t="str">
            <v>New 24/02/20</v>
          </cell>
          <cell r="K1063" t="str">
            <v>KU, Tunai</v>
          </cell>
          <cell r="L1063" t="str">
            <v>BERK47</v>
          </cell>
          <cell r="M1063" t="str">
            <v>Berkah Tani/Ali Mutohar</v>
          </cell>
          <cell r="N1063" t="str">
            <v>Ali Mutohar</v>
          </cell>
          <cell r="O1063" t="str">
            <v>Dsn. Salamrejo, Ds. Sumbergondo RT.002 RW.002, Glenmore</v>
          </cell>
          <cell r="P1063" t="str">
            <v>Banyuwangi</v>
          </cell>
          <cell r="Q1063" t="str">
            <v>Dsn. Salamrejo, Ds. Sumbergondo RT.002 RW.002, Glenmore</v>
          </cell>
          <cell r="R1063" t="str">
            <v>Banyuwangi</v>
          </cell>
          <cell r="S1063" t="str">
            <v>H Bwi1</v>
          </cell>
          <cell r="T1063" t="str">
            <v>Hafid</v>
          </cell>
          <cell r="U1063">
            <v>30</v>
          </cell>
        </row>
        <row r="1064">
          <cell r="E1064" t="str">
            <v>Z25002515</v>
          </cell>
          <cell r="F1064"/>
          <cell r="G1064">
            <v>700000000</v>
          </cell>
          <cell r="H1064" t="str">
            <v>Yuyun</v>
          </cell>
          <cell r="I1064" t="str">
            <v>Farida</v>
          </cell>
          <cell r="J1064"/>
          <cell r="K1064" t="str">
            <v>KU, Tunai</v>
          </cell>
          <cell r="L1064" t="str">
            <v>BERK03</v>
          </cell>
          <cell r="M1064" t="str">
            <v>Berkah Tani/Cupo</v>
          </cell>
          <cell r="N1064" t="str">
            <v>Cupo</v>
          </cell>
          <cell r="O1064" t="str">
            <v>Dsn. Tirtoasri, RT.002/RW.001, Andongsari Ambulu</v>
          </cell>
          <cell r="P1064" t="str">
            <v>Jember</v>
          </cell>
          <cell r="Q1064" t="str">
            <v>Dsn. Tirtoasri, RT.002/RW.001, Andongsari Ambulu</v>
          </cell>
          <cell r="R1064" t="str">
            <v>Jember</v>
          </cell>
          <cell r="S1064" t="str">
            <v>L Kota2</v>
          </cell>
          <cell r="T1064" t="str">
            <v>Efendi</v>
          </cell>
          <cell r="U1064">
            <v>30</v>
          </cell>
        </row>
        <row r="1065">
          <cell r="E1065" t="str">
            <v>Z25002541</v>
          </cell>
          <cell r="F1065"/>
          <cell r="G1065">
            <v>700000000</v>
          </cell>
          <cell r="H1065" t="str">
            <v>Yuyun</v>
          </cell>
          <cell r="I1065" t="str">
            <v>Farida</v>
          </cell>
          <cell r="J1065"/>
          <cell r="K1065" t="str">
            <v>KU, Tunai</v>
          </cell>
          <cell r="L1065" t="str">
            <v>BERK03</v>
          </cell>
          <cell r="M1065" t="str">
            <v>Berkah Tani/Cupo</v>
          </cell>
          <cell r="N1065" t="str">
            <v>Cupo</v>
          </cell>
          <cell r="O1065" t="str">
            <v>Dsn. Tirtoasri, RT.002/RW.001, Andongsari Ambulu</v>
          </cell>
          <cell r="P1065" t="str">
            <v>Jember</v>
          </cell>
          <cell r="Q1065" t="str">
            <v>Dsn. Tirtoasri, RT.002/RW.001, Andongsari Ambulu</v>
          </cell>
          <cell r="R1065" t="str">
            <v>Jember</v>
          </cell>
          <cell r="S1065" t="str">
            <v>L Kota2</v>
          </cell>
          <cell r="T1065" t="str">
            <v>Efendi</v>
          </cell>
          <cell r="U1065">
            <v>30</v>
          </cell>
        </row>
        <row r="1066">
          <cell r="E1066" t="str">
            <v>Z25002542</v>
          </cell>
          <cell r="F1066"/>
          <cell r="G1066">
            <v>700000000</v>
          </cell>
          <cell r="H1066" t="str">
            <v>Yuyun</v>
          </cell>
          <cell r="I1066" t="str">
            <v>Farida</v>
          </cell>
          <cell r="J1066"/>
          <cell r="K1066" t="str">
            <v>KU, Tunai</v>
          </cell>
          <cell r="L1066" t="str">
            <v>BERK03</v>
          </cell>
          <cell r="M1066" t="str">
            <v>Berkah Tani/Cupo</v>
          </cell>
          <cell r="N1066" t="str">
            <v>Cupo</v>
          </cell>
          <cell r="O1066" t="str">
            <v>Dsn. Tirtoasri, RT.002/RW.001, Andongsari Ambulu</v>
          </cell>
          <cell r="P1066" t="str">
            <v>Jember</v>
          </cell>
          <cell r="Q1066" t="str">
            <v>Dsn. Tirtoasri, RT.002/RW.001, Andongsari Ambulu</v>
          </cell>
          <cell r="R1066" t="str">
            <v>Jember</v>
          </cell>
          <cell r="S1066" t="str">
            <v>L Kota2</v>
          </cell>
          <cell r="T1066" t="str">
            <v>Efendi</v>
          </cell>
          <cell r="U1066">
            <v>0</v>
          </cell>
        </row>
        <row r="1067">
          <cell r="E1067" t="str">
            <v>Z25002556</v>
          </cell>
          <cell r="F1067"/>
          <cell r="G1067">
            <v>700000000</v>
          </cell>
          <cell r="H1067" t="str">
            <v>Yuyun</v>
          </cell>
          <cell r="I1067" t="str">
            <v>Farida</v>
          </cell>
          <cell r="J1067"/>
          <cell r="K1067" t="str">
            <v>KU, Tunai</v>
          </cell>
          <cell r="L1067" t="str">
            <v>BERK03</v>
          </cell>
          <cell r="M1067" t="str">
            <v>Berkah Tani/Cupo</v>
          </cell>
          <cell r="N1067" t="str">
            <v>Cupo</v>
          </cell>
          <cell r="O1067" t="str">
            <v>Dsn. Tirtoasri, RT.002/RW.001, Andongsari Ambulu</v>
          </cell>
          <cell r="P1067" t="str">
            <v>Jember</v>
          </cell>
          <cell r="Q1067" t="str">
            <v>Dsn. Tirtoasri, RT.002/RW.001, Andongsari Ambulu</v>
          </cell>
          <cell r="R1067" t="str">
            <v>Jember</v>
          </cell>
          <cell r="S1067" t="str">
            <v>L Kota2</v>
          </cell>
          <cell r="T1067" t="str">
            <v>Efendi</v>
          </cell>
          <cell r="U1067">
            <v>30</v>
          </cell>
        </row>
        <row r="1068">
          <cell r="E1068" t="str">
            <v>Z25002558</v>
          </cell>
          <cell r="F1068"/>
          <cell r="G1068">
            <v>700000000</v>
          </cell>
          <cell r="H1068" t="str">
            <v>Yuyun</v>
          </cell>
          <cell r="I1068" t="str">
            <v>Farida</v>
          </cell>
          <cell r="J1068"/>
          <cell r="K1068" t="str">
            <v>KU, Tunai</v>
          </cell>
          <cell r="L1068" t="str">
            <v>BERK03</v>
          </cell>
          <cell r="M1068" t="str">
            <v>Berkah Tani/Cupo</v>
          </cell>
          <cell r="N1068" t="str">
            <v>Cupo</v>
          </cell>
          <cell r="O1068" t="str">
            <v>Dsn. Tirtoasri, RT.002/RW.001, Andongsari Ambulu</v>
          </cell>
          <cell r="P1068" t="str">
            <v>Jember</v>
          </cell>
          <cell r="Q1068" t="str">
            <v>Dsn. Tirtoasri, RT.002/RW.001, Andongsari Ambulu</v>
          </cell>
          <cell r="R1068" t="str">
            <v>Jember</v>
          </cell>
          <cell r="S1068" t="str">
            <v>L Kota2</v>
          </cell>
          <cell r="T1068" t="str">
            <v>Efendi</v>
          </cell>
          <cell r="U1068">
            <v>30</v>
          </cell>
        </row>
        <row r="1069">
          <cell r="E1069" t="str">
            <v>Z25002559</v>
          </cell>
          <cell r="F1069"/>
          <cell r="G1069">
            <v>700000000</v>
          </cell>
          <cell r="H1069" t="str">
            <v>Yuyun</v>
          </cell>
          <cell r="I1069" t="str">
            <v>Farida</v>
          </cell>
          <cell r="J1069"/>
          <cell r="K1069" t="str">
            <v>KU, Tunai</v>
          </cell>
          <cell r="L1069" t="str">
            <v>BERK03</v>
          </cell>
          <cell r="M1069" t="str">
            <v>Berkah Tani/Cupo</v>
          </cell>
          <cell r="N1069" t="str">
            <v>Cupo</v>
          </cell>
          <cell r="O1069" t="str">
            <v>Dsn. Tirtoasri, RT.002/RW.001, Andongsari Ambulu</v>
          </cell>
          <cell r="P1069" t="str">
            <v>Jember</v>
          </cell>
          <cell r="Q1069" t="str">
            <v>Dsn. Tirtoasri, RT.002/RW.001, Andongsari Ambulu</v>
          </cell>
          <cell r="R1069" t="str">
            <v>Jember</v>
          </cell>
          <cell r="S1069" t="str">
            <v>L Kota2</v>
          </cell>
          <cell r="T1069" t="str">
            <v>Efendi</v>
          </cell>
          <cell r="U1069">
            <v>30</v>
          </cell>
        </row>
        <row r="1070">
          <cell r="E1070" t="str">
            <v>Z25002560</v>
          </cell>
          <cell r="F1070"/>
          <cell r="G1070">
            <v>700000000</v>
          </cell>
          <cell r="H1070" t="str">
            <v>Yuyun</v>
          </cell>
          <cell r="I1070" t="str">
            <v>Farida</v>
          </cell>
          <cell r="J1070"/>
          <cell r="K1070" t="str">
            <v>KU, Tunai</v>
          </cell>
          <cell r="L1070" t="str">
            <v>BERK03</v>
          </cell>
          <cell r="M1070" t="str">
            <v>Berkah Tani/Cupo</v>
          </cell>
          <cell r="N1070" t="str">
            <v>Cupo</v>
          </cell>
          <cell r="O1070" t="str">
            <v>Dsn. Tirtoasri, RT.002/RW.001, Andongsari Ambulu</v>
          </cell>
          <cell r="P1070" t="str">
            <v>Jember</v>
          </cell>
          <cell r="Q1070" t="str">
            <v>Dsn. Tirtoasri, RT.002/RW.001, Andongsari Ambulu</v>
          </cell>
          <cell r="R1070" t="str">
            <v>Jember</v>
          </cell>
          <cell r="S1070" t="str">
            <v>L Kota2</v>
          </cell>
          <cell r="T1070" t="str">
            <v>Efendi</v>
          </cell>
          <cell r="U1070">
            <v>30</v>
          </cell>
        </row>
        <row r="1071">
          <cell r="E1071" t="str">
            <v>Z25002661</v>
          </cell>
          <cell r="F1071"/>
          <cell r="G1071">
            <v>700000000</v>
          </cell>
          <cell r="H1071" t="str">
            <v>Yuyun</v>
          </cell>
          <cell r="I1071" t="str">
            <v>Farida</v>
          </cell>
          <cell r="J1071"/>
          <cell r="K1071" t="str">
            <v>KU, Tunai</v>
          </cell>
          <cell r="L1071" t="str">
            <v>BERK03</v>
          </cell>
          <cell r="M1071" t="str">
            <v>Berkah Tani/Cupo</v>
          </cell>
          <cell r="N1071" t="str">
            <v>Cupo</v>
          </cell>
          <cell r="O1071" t="str">
            <v>Dsn. Tirtoasri, RT.002/RW.001, Andongsari Ambulu</v>
          </cell>
          <cell r="P1071" t="str">
            <v>Jember</v>
          </cell>
          <cell r="Q1071" t="str">
            <v>Dsn. Tirtoasri, RT.002/RW.001, Andongsari Ambulu</v>
          </cell>
          <cell r="R1071" t="str">
            <v>Jember</v>
          </cell>
          <cell r="S1071" t="str">
            <v>L Kota2</v>
          </cell>
          <cell r="T1071" t="str">
            <v>Efendi</v>
          </cell>
          <cell r="U1071">
            <v>30</v>
          </cell>
        </row>
        <row r="1072">
          <cell r="E1072" t="str">
            <v>Z25002662</v>
          </cell>
          <cell r="F1072"/>
          <cell r="G1072">
            <v>700000000</v>
          </cell>
          <cell r="H1072" t="str">
            <v>Yuyun</v>
          </cell>
          <cell r="I1072" t="str">
            <v>Farida</v>
          </cell>
          <cell r="J1072"/>
          <cell r="K1072" t="str">
            <v>KU, Tunai</v>
          </cell>
          <cell r="L1072" t="str">
            <v>BERK03</v>
          </cell>
          <cell r="M1072" t="str">
            <v>Berkah Tani/Cupo</v>
          </cell>
          <cell r="N1072" t="str">
            <v>Cupo</v>
          </cell>
          <cell r="O1072" t="str">
            <v>Dsn. Tirtoasri, RT.002/RW.001, Andongsari Ambulu</v>
          </cell>
          <cell r="P1072" t="str">
            <v>Jember</v>
          </cell>
          <cell r="Q1072" t="str">
            <v>Dsn. Tirtoasri, RT.002/RW.001, Andongsari Ambulu</v>
          </cell>
          <cell r="R1072" t="str">
            <v>Jember</v>
          </cell>
          <cell r="S1072" t="str">
            <v>L Kota2</v>
          </cell>
          <cell r="T1072" t="str">
            <v>Efendi</v>
          </cell>
          <cell r="U1072">
            <v>30</v>
          </cell>
        </row>
        <row r="1073">
          <cell r="E1073" t="str">
            <v>Z25002663</v>
          </cell>
          <cell r="F1073"/>
          <cell r="G1073">
            <v>700000000</v>
          </cell>
          <cell r="H1073" t="str">
            <v>Yuyun</v>
          </cell>
          <cell r="I1073" t="str">
            <v>Farida</v>
          </cell>
          <cell r="J1073"/>
          <cell r="K1073" t="str">
            <v>KU, Tunai</v>
          </cell>
          <cell r="L1073" t="str">
            <v>BERK03</v>
          </cell>
          <cell r="M1073" t="str">
            <v>Berkah Tani/Cupo</v>
          </cell>
          <cell r="N1073" t="str">
            <v>Cupo</v>
          </cell>
          <cell r="O1073" t="str">
            <v>Dsn. Tirtoasri, RT.002/RW.001, Andongsari Ambulu</v>
          </cell>
          <cell r="P1073" t="str">
            <v>Jember</v>
          </cell>
          <cell r="Q1073" t="str">
            <v>Dsn. Tirtoasri, RT.002/RW.001, Andongsari Ambulu</v>
          </cell>
          <cell r="R1073" t="str">
            <v>Jember</v>
          </cell>
          <cell r="S1073" t="str">
            <v>L Kota2</v>
          </cell>
          <cell r="T1073" t="str">
            <v>Efendi</v>
          </cell>
          <cell r="U1073">
            <v>30</v>
          </cell>
        </row>
        <row r="1074">
          <cell r="E1074" t="str">
            <v>Z25002689</v>
          </cell>
          <cell r="F1074"/>
          <cell r="G1074">
            <v>700000000</v>
          </cell>
          <cell r="H1074" t="str">
            <v>Yuyun</v>
          </cell>
          <cell r="I1074" t="str">
            <v>Farida</v>
          </cell>
          <cell r="J1074"/>
          <cell r="K1074" t="str">
            <v>KU, Tunai</v>
          </cell>
          <cell r="L1074" t="str">
            <v>BERK03</v>
          </cell>
          <cell r="M1074" t="str">
            <v>Berkah Tani/Cupo</v>
          </cell>
          <cell r="N1074" t="str">
            <v>Cupo</v>
          </cell>
          <cell r="O1074" t="str">
            <v>Dsn. Tirtoasri, RT.002/RW.001, Andongsari Ambulu</v>
          </cell>
          <cell r="P1074" t="str">
            <v>Jember</v>
          </cell>
          <cell r="Q1074" t="str">
            <v>Dsn. Tirtoasri, RT.002/RW.001, Andongsari Ambulu</v>
          </cell>
          <cell r="R1074" t="str">
            <v>Jember</v>
          </cell>
          <cell r="S1074" t="str">
            <v>L Kota2</v>
          </cell>
          <cell r="T1074" t="str">
            <v>Efendi</v>
          </cell>
          <cell r="U1074">
            <v>30</v>
          </cell>
        </row>
        <row r="1075">
          <cell r="E1075" t="str">
            <v>Z25002690</v>
          </cell>
          <cell r="F1075"/>
          <cell r="G1075">
            <v>700000000</v>
          </cell>
          <cell r="H1075" t="str">
            <v>Yuyun</v>
          </cell>
          <cell r="I1075" t="str">
            <v>Farida</v>
          </cell>
          <cell r="J1075"/>
          <cell r="K1075" t="str">
            <v>KU, Tunai</v>
          </cell>
          <cell r="L1075" t="str">
            <v>BERK03</v>
          </cell>
          <cell r="M1075" t="str">
            <v>Berkah Tani/Cupo</v>
          </cell>
          <cell r="N1075" t="str">
            <v>Cupo</v>
          </cell>
          <cell r="O1075" t="str">
            <v>Dsn. Tirtoasri, RT.002/RW.001, Andongsari Ambulu</v>
          </cell>
          <cell r="P1075" t="str">
            <v>Jember</v>
          </cell>
          <cell r="Q1075" t="str">
            <v>Dsn. Tirtoasri, RT.002/RW.001, Andongsari Ambulu</v>
          </cell>
          <cell r="R1075" t="str">
            <v>Jember</v>
          </cell>
          <cell r="S1075" t="str">
            <v>L Kota2</v>
          </cell>
          <cell r="T1075" t="str">
            <v>Efendi</v>
          </cell>
          <cell r="U1075">
            <v>30</v>
          </cell>
        </row>
        <row r="1076">
          <cell r="E1076" t="str">
            <v>Z25002709</v>
          </cell>
          <cell r="F1076"/>
          <cell r="G1076">
            <v>700000000</v>
          </cell>
          <cell r="H1076" t="str">
            <v>Yuyun</v>
          </cell>
          <cell r="I1076" t="str">
            <v>Farida</v>
          </cell>
          <cell r="J1076"/>
          <cell r="K1076" t="str">
            <v>KU, Tunai</v>
          </cell>
          <cell r="L1076" t="str">
            <v>BERK03</v>
          </cell>
          <cell r="M1076" t="str">
            <v>Berkah Tani/Cupo</v>
          </cell>
          <cell r="N1076" t="str">
            <v>Cupo</v>
          </cell>
          <cell r="O1076" t="str">
            <v>Dsn. Tirtoasri, RT.002/RW.001, Andongsari Ambulu</v>
          </cell>
          <cell r="P1076" t="str">
            <v>Jember</v>
          </cell>
          <cell r="Q1076" t="str">
            <v>Dsn. Tirtoasri, RT.002/RW.001, Andongsari Ambulu</v>
          </cell>
          <cell r="R1076" t="str">
            <v>Jember</v>
          </cell>
          <cell r="S1076" t="str">
            <v>L Kota2</v>
          </cell>
          <cell r="T1076" t="str">
            <v>Efendi</v>
          </cell>
          <cell r="U1076">
            <v>30</v>
          </cell>
        </row>
        <row r="1077">
          <cell r="E1077" t="str">
            <v>Z25002730</v>
          </cell>
          <cell r="F1077"/>
          <cell r="G1077">
            <v>700000000</v>
          </cell>
          <cell r="H1077" t="str">
            <v>Yuyun</v>
          </cell>
          <cell r="I1077" t="str">
            <v>Farida</v>
          </cell>
          <cell r="J1077"/>
          <cell r="K1077" t="str">
            <v>KU, Tunai</v>
          </cell>
          <cell r="L1077" t="str">
            <v>BERK03</v>
          </cell>
          <cell r="M1077" t="str">
            <v>Berkah Tani/Cupo</v>
          </cell>
          <cell r="N1077" t="str">
            <v>Cupo</v>
          </cell>
          <cell r="O1077" t="str">
            <v>Dsn. Tirtoasri, RT.002/RW.001, Andongsari Ambulu</v>
          </cell>
          <cell r="P1077" t="str">
            <v>Jember</v>
          </cell>
          <cell r="Q1077" t="str">
            <v>Dsn. Tirtoasri, RT.002/RW.001, Andongsari Ambulu</v>
          </cell>
          <cell r="R1077" t="str">
            <v>Jember</v>
          </cell>
          <cell r="S1077" t="str">
            <v>L Kota2</v>
          </cell>
          <cell r="T1077" t="str">
            <v>Efendi</v>
          </cell>
          <cell r="U1077">
            <v>30</v>
          </cell>
        </row>
        <row r="1078">
          <cell r="E1078" t="str">
            <v>Z25002731</v>
          </cell>
          <cell r="F1078"/>
          <cell r="G1078">
            <v>700000000</v>
          </cell>
          <cell r="H1078" t="str">
            <v>Yuyun</v>
          </cell>
          <cell r="I1078" t="str">
            <v>Farida</v>
          </cell>
          <cell r="J1078"/>
          <cell r="K1078" t="str">
            <v>KU, Tunai</v>
          </cell>
          <cell r="L1078" t="str">
            <v>BERK03</v>
          </cell>
          <cell r="M1078" t="str">
            <v>Berkah Tani/Cupo</v>
          </cell>
          <cell r="N1078" t="str">
            <v>Cupo</v>
          </cell>
          <cell r="O1078" t="str">
            <v>Dsn. Tirtoasri, RT.002/RW.001, Andongsari Ambulu</v>
          </cell>
          <cell r="P1078" t="str">
            <v>Jember</v>
          </cell>
          <cell r="Q1078" t="str">
            <v>Dsn. Tirtoasri, RT.002/RW.001, Andongsari Ambulu</v>
          </cell>
          <cell r="R1078" t="str">
            <v>Jember</v>
          </cell>
          <cell r="S1078" t="str">
            <v>L Kota2</v>
          </cell>
          <cell r="T1078" t="str">
            <v>Efendi</v>
          </cell>
          <cell r="U1078">
            <v>30</v>
          </cell>
        </row>
        <row r="1079">
          <cell r="E1079" t="str">
            <v>Z25002738</v>
          </cell>
          <cell r="F1079"/>
          <cell r="G1079">
            <v>700000000</v>
          </cell>
          <cell r="H1079" t="str">
            <v>Yuyun</v>
          </cell>
          <cell r="I1079" t="str">
            <v>Farida</v>
          </cell>
          <cell r="J1079"/>
          <cell r="K1079" t="str">
            <v>KU, Tunai</v>
          </cell>
          <cell r="L1079" t="str">
            <v>BERK03</v>
          </cell>
          <cell r="M1079" t="str">
            <v>Berkah Tani/Cupo</v>
          </cell>
          <cell r="N1079" t="str">
            <v>Cupo</v>
          </cell>
          <cell r="O1079" t="str">
            <v>Dsn. Tirtoasri, RT.002/RW.001, Andongsari Ambulu</v>
          </cell>
          <cell r="P1079" t="str">
            <v>Jember</v>
          </cell>
          <cell r="Q1079" t="str">
            <v>Dsn. Tirtoasri, RT.002/RW.001, Andongsari Ambulu</v>
          </cell>
          <cell r="R1079" t="str">
            <v>Jember</v>
          </cell>
          <cell r="S1079" t="str">
            <v>L Kota2</v>
          </cell>
          <cell r="T1079" t="str">
            <v>Efendi</v>
          </cell>
          <cell r="U1079">
            <v>30</v>
          </cell>
        </row>
        <row r="1080">
          <cell r="E1080" t="str">
            <v>Z25002764</v>
          </cell>
          <cell r="F1080"/>
          <cell r="G1080">
            <v>700000000</v>
          </cell>
          <cell r="H1080" t="str">
            <v>Yuyun</v>
          </cell>
          <cell r="I1080" t="str">
            <v>Farida</v>
          </cell>
          <cell r="J1080"/>
          <cell r="K1080" t="str">
            <v>KU, Tunai</v>
          </cell>
          <cell r="L1080" t="str">
            <v>BERK03</v>
          </cell>
          <cell r="M1080" t="str">
            <v>Berkah Tani/Cupo</v>
          </cell>
          <cell r="N1080" t="str">
            <v>Cupo</v>
          </cell>
          <cell r="O1080" t="str">
            <v>Dsn. Tirtoasri, RT.002/RW.001, Andongsari Ambulu</v>
          </cell>
          <cell r="P1080" t="str">
            <v>Jember</v>
          </cell>
          <cell r="Q1080" t="str">
            <v>Dsn. Tirtoasri, RT.002/RW.001, Andongsari Ambulu</v>
          </cell>
          <cell r="R1080" t="str">
            <v>Jember</v>
          </cell>
          <cell r="S1080" t="str">
            <v>L Kota2</v>
          </cell>
          <cell r="T1080" t="str">
            <v>Efendi</v>
          </cell>
          <cell r="U1080">
            <v>30</v>
          </cell>
        </row>
        <row r="1081">
          <cell r="E1081" t="str">
            <v>Z25002800</v>
          </cell>
          <cell r="F1081"/>
          <cell r="G1081">
            <v>700000000</v>
          </cell>
          <cell r="H1081" t="str">
            <v>Yuyun</v>
          </cell>
          <cell r="I1081" t="str">
            <v>Farida</v>
          </cell>
          <cell r="J1081"/>
          <cell r="K1081" t="str">
            <v>KU, Tunai</v>
          </cell>
          <cell r="L1081" t="str">
            <v>BERK03</v>
          </cell>
          <cell r="M1081" t="str">
            <v>Berkah Tani/Cupo</v>
          </cell>
          <cell r="N1081" t="str">
            <v>Cupo</v>
          </cell>
          <cell r="O1081" t="str">
            <v>Dsn. Tirtoasri, RT.002/RW.001, Andongsari Ambulu</v>
          </cell>
          <cell r="P1081" t="str">
            <v>Jember</v>
          </cell>
          <cell r="Q1081" t="str">
            <v>Dsn. Tirtoasri, RT.002/RW.001, Andongsari Ambulu</v>
          </cell>
          <cell r="R1081" t="str">
            <v>Jember</v>
          </cell>
          <cell r="S1081" t="str">
            <v>L Kota2</v>
          </cell>
          <cell r="T1081" t="str">
            <v>Efendi</v>
          </cell>
          <cell r="U1081">
            <v>30</v>
          </cell>
        </row>
        <row r="1082">
          <cell r="E1082" t="str">
            <v>B25013272</v>
          </cell>
          <cell r="F1082"/>
          <cell r="G1082">
            <v>10000000</v>
          </cell>
          <cell r="H1082" t="str">
            <v>Reni</v>
          </cell>
          <cell r="I1082" t="str">
            <v>Farida</v>
          </cell>
          <cell r="J1082"/>
          <cell r="K1082" t="str">
            <v>KU</v>
          </cell>
          <cell r="L1082" t="str">
            <v>BERK30</v>
          </cell>
          <cell r="M1082" t="str">
            <v>Berkah Tani/Dhita</v>
          </cell>
          <cell r="N1082" t="str">
            <v>Dhita Tanjung Puspitasari, SE</v>
          </cell>
          <cell r="O1082" t="str">
            <v>Jl. Arwana No.11A RT.021/RW.007, Kel. Nambangan Kidul, Kec. Manguharjo</v>
          </cell>
          <cell r="P1082" t="str">
            <v>Madiun</v>
          </cell>
          <cell r="Q1082" t="str">
            <v>Jl. Arwana No.11A RT.021/RW.007, Kel. Nambangan Kidul, Kec. Manguharjo</v>
          </cell>
          <cell r="R1082" t="str">
            <v>Madiun</v>
          </cell>
          <cell r="S1082" t="str">
            <v>D Barat1</v>
          </cell>
          <cell r="T1082" t="str">
            <v>Dian</v>
          </cell>
          <cell r="U1082">
            <v>0</v>
          </cell>
        </row>
        <row r="1083">
          <cell r="E1083" t="str">
            <v>T25001152</v>
          </cell>
          <cell r="F1083"/>
          <cell r="G1083">
            <v>10000000</v>
          </cell>
          <cell r="H1083" t="str">
            <v>Yuyun</v>
          </cell>
          <cell r="I1083" t="str">
            <v>Farida</v>
          </cell>
          <cell r="J1083" t="str">
            <v>New 08/02/22</v>
          </cell>
          <cell r="K1083" t="str">
            <v>KU</v>
          </cell>
          <cell r="L1083" t="str">
            <v>BERK55</v>
          </cell>
          <cell r="M1083" t="str">
            <v>Berkah Tani/Eka Adimas</v>
          </cell>
          <cell r="N1083" t="str">
            <v>Eka Adimas Sutra S</v>
          </cell>
          <cell r="O1083" t="str">
            <v>JL. Jawa IVD/51 Ling. Tegal Boto Kidul RT.002/RW.036, Kel. Sumbersari, Kec. Sumbersari</v>
          </cell>
          <cell r="P1083" t="str">
            <v>Jember</v>
          </cell>
          <cell r="Q1083" t="str">
            <v>Gambirono, Bangsal</v>
          </cell>
          <cell r="R1083" t="str">
            <v>Jember</v>
          </cell>
          <cell r="S1083" t="str">
            <v>L Kota2</v>
          </cell>
          <cell r="T1083" t="str">
            <v>Efendi</v>
          </cell>
          <cell r="U1083">
            <v>60</v>
          </cell>
        </row>
        <row r="1084">
          <cell r="E1084" t="str">
            <v>D25011614</v>
          </cell>
          <cell r="F1084"/>
          <cell r="G1084">
            <v>10000000</v>
          </cell>
          <cell r="H1084" t="str">
            <v>Yuyun</v>
          </cell>
          <cell r="I1084" t="str">
            <v>Farida</v>
          </cell>
          <cell r="J1084" t="str">
            <v>New 08/02/22</v>
          </cell>
          <cell r="K1084" t="str">
            <v>KU</v>
          </cell>
          <cell r="L1084" t="str">
            <v>BERK55</v>
          </cell>
          <cell r="M1084" t="str">
            <v>Berkah Tani/Eka Adimas</v>
          </cell>
          <cell r="N1084" t="str">
            <v>Eka Adimas Sutra S</v>
          </cell>
          <cell r="O1084" t="str">
            <v>JL. Jawa IVD/51 Ling. Tegal Boto Kidul RT.002/RW.036, Kel. Sumbersari, Kec. Sumbersari</v>
          </cell>
          <cell r="P1084" t="str">
            <v>Jember</v>
          </cell>
          <cell r="Q1084" t="str">
            <v>Gambirono, Bangsal</v>
          </cell>
          <cell r="R1084" t="str">
            <v>Jember</v>
          </cell>
          <cell r="S1084" t="str">
            <v>L Kota2</v>
          </cell>
          <cell r="T1084" t="str">
            <v>Efendi</v>
          </cell>
          <cell r="U1084">
            <v>60</v>
          </cell>
        </row>
        <row r="1085">
          <cell r="E1085" t="str">
            <v>D25010059</v>
          </cell>
          <cell r="F1085"/>
          <cell r="G1085">
            <v>10000000</v>
          </cell>
          <cell r="H1085" t="str">
            <v>Yuyun</v>
          </cell>
          <cell r="I1085" t="str">
            <v>Farida</v>
          </cell>
          <cell r="J1085" t="str">
            <v>New 20/07/23</v>
          </cell>
          <cell r="K1085" t="str">
            <v>KU</v>
          </cell>
          <cell r="L1085" t="str">
            <v>BARO71</v>
          </cell>
          <cell r="M1085" t="str">
            <v>Berkah Tani/Intan Sri</v>
          </cell>
          <cell r="N1085" t="str">
            <v>Intan Sri Rahayu</v>
          </cell>
          <cell r="O1085" t="str">
            <v>Jl. Gajah Mada 64 Lingk Patimura RT.002/RW.032, Kel. Jember Kidul, Kec. Kaliwates</v>
          </cell>
          <cell r="P1085" t="str">
            <v>Jember</v>
          </cell>
          <cell r="Q1085" t="str">
            <v>Maesan</v>
          </cell>
          <cell r="R1085" t="str">
            <v>Bondowoso</v>
          </cell>
          <cell r="S1085" t="str">
            <v>N Bdw Stb</v>
          </cell>
          <cell r="T1085" t="str">
            <v>Wira</v>
          </cell>
          <cell r="U1085">
            <v>60</v>
          </cell>
        </row>
        <row r="1086">
          <cell r="E1086" t="str">
            <v>B25008971</v>
          </cell>
          <cell r="F1086"/>
          <cell r="G1086">
            <v>10000000</v>
          </cell>
          <cell r="H1086" t="str">
            <v>Yuyun</v>
          </cell>
          <cell r="I1086" t="str">
            <v>Farida</v>
          </cell>
          <cell r="J1086" t="str">
            <v>New 20/07/23</v>
          </cell>
          <cell r="K1086" t="str">
            <v>KU</v>
          </cell>
          <cell r="L1086" t="str">
            <v>BARO71</v>
          </cell>
          <cell r="M1086" t="str">
            <v>Berkah Tani/Intan Sri</v>
          </cell>
          <cell r="N1086" t="str">
            <v>Intan Sri Rahayu</v>
          </cell>
          <cell r="O1086" t="str">
            <v>Jl. Gajah Mada 64 Lingk Patimura RT.002/RW.032, Kel. Jember Kidul, Kec. Kaliwates</v>
          </cell>
          <cell r="P1086" t="str">
            <v>Jember</v>
          </cell>
          <cell r="Q1086" t="str">
            <v>Maesan</v>
          </cell>
          <cell r="R1086" t="str">
            <v>Bondowoso</v>
          </cell>
          <cell r="S1086" t="str">
            <v>N Bdw Stb</v>
          </cell>
          <cell r="T1086" t="str">
            <v>Wira</v>
          </cell>
          <cell r="U1086">
            <v>30</v>
          </cell>
        </row>
        <row r="1087">
          <cell r="E1087" t="str">
            <v>B25008971</v>
          </cell>
          <cell r="F1087"/>
          <cell r="G1087">
            <v>10000000</v>
          </cell>
          <cell r="H1087" t="str">
            <v>Yuyun</v>
          </cell>
          <cell r="I1087" t="str">
            <v>Farida</v>
          </cell>
          <cell r="J1087" t="str">
            <v>New 20/07/23</v>
          </cell>
          <cell r="K1087" t="str">
            <v>KU</v>
          </cell>
          <cell r="L1087" t="str">
            <v>BARO71</v>
          </cell>
          <cell r="M1087" t="str">
            <v>Berkah Tani/Intan Sri</v>
          </cell>
          <cell r="N1087" t="str">
            <v>Intan Sri Rahayu</v>
          </cell>
          <cell r="O1087" t="str">
            <v>Jl. Gajah Mada 64 Lingk Patimura RT.002/RW.032, Kel. Jember Kidul, Kec. Kaliwates</v>
          </cell>
          <cell r="P1087" t="str">
            <v>Jember</v>
          </cell>
          <cell r="Q1087" t="str">
            <v>Maesan</v>
          </cell>
          <cell r="R1087" t="str">
            <v>Bondowoso</v>
          </cell>
          <cell r="S1087" t="str">
            <v>N Bdw Stb</v>
          </cell>
          <cell r="T1087" t="str">
            <v>Wira</v>
          </cell>
          <cell r="U1087">
            <v>30</v>
          </cell>
        </row>
        <row r="1088">
          <cell r="E1088" t="str">
            <v>D25016137</v>
          </cell>
          <cell r="F1088"/>
          <cell r="G1088">
            <v>10000000</v>
          </cell>
          <cell r="H1088" t="str">
            <v>Yuyun</v>
          </cell>
          <cell r="I1088" t="str">
            <v>Farida</v>
          </cell>
          <cell r="J1088" t="str">
            <v>New 20/07/23</v>
          </cell>
          <cell r="K1088" t="str">
            <v>KU</v>
          </cell>
          <cell r="L1088" t="str">
            <v>BARO71</v>
          </cell>
          <cell r="M1088" t="str">
            <v>Berkah Tani/Intan Sri</v>
          </cell>
          <cell r="N1088" t="str">
            <v>Intan Sri Rahayu</v>
          </cell>
          <cell r="O1088" t="str">
            <v>Jl. Gajah Mada 64 Lingk Patimura RT.002/RW.032, Kel. Jember Kidul, Kec. Kaliwates</v>
          </cell>
          <cell r="P1088" t="str">
            <v>Jember</v>
          </cell>
          <cell r="Q1088" t="str">
            <v>Maesan</v>
          </cell>
          <cell r="R1088" t="str">
            <v>Bondowoso</v>
          </cell>
          <cell r="S1088" t="str">
            <v>N Bdw Stb</v>
          </cell>
          <cell r="T1088" t="str">
            <v>Wira</v>
          </cell>
          <cell r="U1088">
            <v>30</v>
          </cell>
        </row>
        <row r="1089">
          <cell r="E1089" t="str">
            <v>T25001594</v>
          </cell>
          <cell r="F1089"/>
          <cell r="G1089">
            <v>10000000</v>
          </cell>
          <cell r="H1089" t="str">
            <v>Yuyun</v>
          </cell>
          <cell r="I1089" t="str">
            <v>Farida</v>
          </cell>
          <cell r="J1089" t="str">
            <v>New 20/07/23</v>
          </cell>
          <cell r="K1089" t="str">
            <v>KU</v>
          </cell>
          <cell r="L1089" t="str">
            <v>BARO71</v>
          </cell>
          <cell r="M1089" t="str">
            <v>Berkah Tani/Intan Sri</v>
          </cell>
          <cell r="N1089" t="str">
            <v>Intan Sri Rahayu</v>
          </cell>
          <cell r="O1089" t="str">
            <v>Jl. Gajah Mada 64 Lingk Patimura RT.002/RW.032, Kel. Jember Kidul, Kec. Kaliwates</v>
          </cell>
          <cell r="P1089" t="str">
            <v>Jember</v>
          </cell>
          <cell r="Q1089" t="str">
            <v>Maesan</v>
          </cell>
          <cell r="R1089" t="str">
            <v>Bondowoso</v>
          </cell>
          <cell r="S1089" t="str">
            <v>N Bdw Stb</v>
          </cell>
          <cell r="T1089" t="str">
            <v>Wira</v>
          </cell>
          <cell r="U1089">
            <v>60</v>
          </cell>
        </row>
        <row r="1090">
          <cell r="E1090" t="str">
            <v>D25010947</v>
          </cell>
          <cell r="F1090"/>
          <cell r="G1090">
            <v>100000000</v>
          </cell>
          <cell r="H1090" t="str">
            <v>Reni</v>
          </cell>
          <cell r="I1090" t="str">
            <v>Farida</v>
          </cell>
          <cell r="J1090"/>
          <cell r="K1090" t="str">
            <v>KU, Tunai</v>
          </cell>
          <cell r="L1090" t="str">
            <v>BERK33</v>
          </cell>
          <cell r="M1090" t="str">
            <v>Berkah Tani/Joko</v>
          </cell>
          <cell r="N1090" t="str">
            <v>Joko Supriono</v>
          </cell>
          <cell r="O1090" t="str">
            <v>Dsn. Tunggul, RT.014/RW.005 Kel. Klagen, Kec. Rejoso</v>
          </cell>
          <cell r="P1090" t="str">
            <v>Nganjuk</v>
          </cell>
          <cell r="Q1090" t="str">
            <v>Dsn. Tunggul, RT.014/RW.005 Kel. Klagen, Kec. Rejoso</v>
          </cell>
          <cell r="R1090" t="str">
            <v>Nganjuk</v>
          </cell>
          <cell r="S1090" t="str">
            <v>D Barat1</v>
          </cell>
          <cell r="T1090" t="str">
            <v>Dian</v>
          </cell>
          <cell r="U1090">
            <v>60</v>
          </cell>
        </row>
        <row r="1091">
          <cell r="E1091" t="str">
            <v>B25009396</v>
          </cell>
          <cell r="F1091"/>
          <cell r="G1091">
            <v>100000000</v>
          </cell>
          <cell r="H1091" t="str">
            <v>Reni</v>
          </cell>
          <cell r="I1091" t="str">
            <v>Farida</v>
          </cell>
          <cell r="J1091"/>
          <cell r="K1091" t="str">
            <v>KU, Tunai</v>
          </cell>
          <cell r="L1091" t="str">
            <v>BERK33</v>
          </cell>
          <cell r="M1091" t="str">
            <v>Berkah Tani/Joko</v>
          </cell>
          <cell r="N1091" t="str">
            <v>Joko Supriono</v>
          </cell>
          <cell r="O1091" t="str">
            <v>Dsn. Tunggul, RT.014/RW.005 Kel. Klagen, Kec. Rejoso</v>
          </cell>
          <cell r="P1091" t="str">
            <v>Nganjuk</v>
          </cell>
          <cell r="Q1091" t="str">
            <v>Dsn. Tunggul, RT.014/RW.005 Kel. Klagen, Kec. Rejoso</v>
          </cell>
          <cell r="R1091" t="str">
            <v>Nganjuk</v>
          </cell>
          <cell r="S1091" t="str">
            <v>D Barat1</v>
          </cell>
          <cell r="T1091" t="str">
            <v>Dian</v>
          </cell>
          <cell r="U1091">
            <v>60</v>
          </cell>
        </row>
        <row r="1092">
          <cell r="E1092" t="str">
            <v>D25011356</v>
          </cell>
          <cell r="F1092"/>
          <cell r="G1092">
            <v>100000000</v>
          </cell>
          <cell r="H1092" t="str">
            <v>Reni</v>
          </cell>
          <cell r="I1092" t="str">
            <v>Farida</v>
          </cell>
          <cell r="J1092"/>
          <cell r="K1092" t="str">
            <v>KU, Tunai</v>
          </cell>
          <cell r="L1092" t="str">
            <v>BERK33</v>
          </cell>
          <cell r="M1092" t="str">
            <v>Berkah Tani/Joko</v>
          </cell>
          <cell r="N1092" t="str">
            <v>Joko Supriono</v>
          </cell>
          <cell r="O1092" t="str">
            <v>Dsn. Tunggul, RT.014/RW.005 Kel. Klagen, Kec. Rejoso</v>
          </cell>
          <cell r="P1092" t="str">
            <v>Nganjuk</v>
          </cell>
          <cell r="Q1092" t="str">
            <v>Dsn. Tunggul, RT.014/RW.005 Kel. Klagen, Kec. Rejoso</v>
          </cell>
          <cell r="R1092" t="str">
            <v>Nganjuk</v>
          </cell>
          <cell r="S1092" t="str">
            <v>D Barat1</v>
          </cell>
          <cell r="T1092" t="str">
            <v>Dian</v>
          </cell>
          <cell r="U1092">
            <v>60</v>
          </cell>
        </row>
        <row r="1093">
          <cell r="E1093" t="str">
            <v>B25009702</v>
          </cell>
          <cell r="F1093"/>
          <cell r="G1093">
            <v>100000000</v>
          </cell>
          <cell r="H1093" t="str">
            <v>Reni</v>
          </cell>
          <cell r="I1093" t="str">
            <v>Farida</v>
          </cell>
          <cell r="J1093"/>
          <cell r="K1093" t="str">
            <v>KU, Tunai</v>
          </cell>
          <cell r="L1093" t="str">
            <v>BERK33</v>
          </cell>
          <cell r="M1093" t="str">
            <v>Berkah Tani/Joko</v>
          </cell>
          <cell r="N1093" t="str">
            <v>Joko Supriono</v>
          </cell>
          <cell r="O1093" t="str">
            <v>Dsn. Tunggul, RT.014/RW.005 Kel. Klagen, Kec. Rejoso</v>
          </cell>
          <cell r="P1093" t="str">
            <v>Nganjuk</v>
          </cell>
          <cell r="Q1093" t="str">
            <v>Dsn. Tunggul, RT.014/RW.005 Kel. Klagen, Kec. Rejoso</v>
          </cell>
          <cell r="R1093" t="str">
            <v>Nganjuk</v>
          </cell>
          <cell r="S1093" t="str">
            <v>D Barat1</v>
          </cell>
          <cell r="T1093" t="str">
            <v>Dian</v>
          </cell>
          <cell r="U1093">
            <v>60</v>
          </cell>
        </row>
        <row r="1094">
          <cell r="E1094" t="str">
            <v>T25001420</v>
          </cell>
          <cell r="F1094"/>
          <cell r="G1094">
            <v>100000000</v>
          </cell>
          <cell r="H1094" t="str">
            <v>Reni</v>
          </cell>
          <cell r="I1094" t="str">
            <v>Farida</v>
          </cell>
          <cell r="J1094"/>
          <cell r="K1094" t="str">
            <v>KU, Tunai</v>
          </cell>
          <cell r="L1094" t="str">
            <v>BERK33</v>
          </cell>
          <cell r="M1094" t="str">
            <v>Berkah Tani/Joko</v>
          </cell>
          <cell r="N1094" t="str">
            <v>Joko Supriono</v>
          </cell>
          <cell r="O1094" t="str">
            <v>Dsn. Tunggul, RT.014/RW.005 Kel. Klagen, Kec. Rejoso</v>
          </cell>
          <cell r="P1094" t="str">
            <v>Nganjuk</v>
          </cell>
          <cell r="Q1094" t="str">
            <v>Dsn. Tunggul, RT.014/RW.005 Kel. Klagen, Kec. Rejoso</v>
          </cell>
          <cell r="R1094" t="str">
            <v>Nganjuk</v>
          </cell>
          <cell r="S1094" t="str">
            <v>D Barat1</v>
          </cell>
          <cell r="T1094" t="str">
            <v>Dian</v>
          </cell>
          <cell r="U1094">
            <v>60</v>
          </cell>
        </row>
        <row r="1095">
          <cell r="E1095" t="str">
            <v>B25011726</v>
          </cell>
          <cell r="F1095"/>
          <cell r="G1095">
            <v>30000000</v>
          </cell>
          <cell r="H1095" t="str">
            <v>Zakia</v>
          </cell>
          <cell r="I1095" t="str">
            <v>Tiya</v>
          </cell>
          <cell r="J1095"/>
          <cell r="K1095" t="str">
            <v>KU</v>
          </cell>
          <cell r="L1095" t="str">
            <v>BERK64</v>
          </cell>
          <cell r="M1095" t="str">
            <v>Berkah Tani/Luluk</v>
          </cell>
          <cell r="N1095" t="str">
            <v>Luluk Widarmanto</v>
          </cell>
          <cell r="O1095" t="str">
            <v>Dsn. Kalisudo RT.011/RW.003, Kel. Sumberkembar, Kec. Binangun</v>
          </cell>
          <cell r="P1095" t="str">
            <v>Blitar</v>
          </cell>
          <cell r="Q1095" t="str">
            <v>Dsn. Kalisudo RT.011/RW.003, Kel. Sumberkembar, Kec. Binangun</v>
          </cell>
          <cell r="R1095" t="str">
            <v>Blitar</v>
          </cell>
          <cell r="S1095" t="str">
            <v>D Barat1</v>
          </cell>
          <cell r="T1095" t="str">
            <v>Tomi</v>
          </cell>
          <cell r="U1095">
            <v>30</v>
          </cell>
        </row>
        <row r="1096">
          <cell r="E1096" t="str">
            <v>B25011726</v>
          </cell>
          <cell r="F1096"/>
          <cell r="G1096">
            <v>30000000</v>
          </cell>
          <cell r="H1096" t="str">
            <v>Zakia</v>
          </cell>
          <cell r="I1096" t="str">
            <v>Tiya</v>
          </cell>
          <cell r="J1096"/>
          <cell r="K1096" t="str">
            <v>KU</v>
          </cell>
          <cell r="L1096" t="str">
            <v>BERK64</v>
          </cell>
          <cell r="M1096" t="str">
            <v>Berkah Tani/Luluk</v>
          </cell>
          <cell r="N1096" t="str">
            <v>Luluk Widarmanto</v>
          </cell>
          <cell r="O1096" t="str">
            <v>Dsn. Kalisudo RT.011/RW.003, Kel. Sumberkembar, Kec. Binangun</v>
          </cell>
          <cell r="P1096" t="str">
            <v>Blitar</v>
          </cell>
          <cell r="Q1096" t="str">
            <v>Dsn. Kalisudo RT.011/RW.003, Kel. Sumberkembar, Kec. Binangun</v>
          </cell>
          <cell r="R1096" t="str">
            <v>Blitar</v>
          </cell>
          <cell r="S1096" t="str">
            <v>D Barat1</v>
          </cell>
          <cell r="T1096" t="str">
            <v>Tomi</v>
          </cell>
          <cell r="U1096">
            <v>30</v>
          </cell>
        </row>
        <row r="1097">
          <cell r="E1097" t="str">
            <v>B25012845</v>
          </cell>
          <cell r="F1097"/>
          <cell r="G1097">
            <v>60000000</v>
          </cell>
          <cell r="H1097" t="str">
            <v>Zakia</v>
          </cell>
          <cell r="I1097" t="str">
            <v>Tiya</v>
          </cell>
          <cell r="J1097"/>
          <cell r="K1097" t="str">
            <v>KU</v>
          </cell>
          <cell r="L1097" t="str">
            <v>BERK64</v>
          </cell>
          <cell r="M1097" t="str">
            <v>Berkah Tani/Luluk</v>
          </cell>
          <cell r="N1097" t="str">
            <v>Luluk Widarmanto</v>
          </cell>
          <cell r="O1097" t="str">
            <v>Dsn. Kalisudo RT.011/RW.003, Kel. Sumberkembar, Kec. Binangun</v>
          </cell>
          <cell r="P1097" t="str">
            <v>Blitar</v>
          </cell>
          <cell r="Q1097" t="str">
            <v>Dsn. Kalisudo RT.011/RW.003, Kel. Sumberkembar, Kec. Binangun</v>
          </cell>
          <cell r="R1097" t="str">
            <v>Blitar</v>
          </cell>
          <cell r="S1097" t="str">
            <v>D Barat1</v>
          </cell>
          <cell r="T1097" t="str">
            <v>Tomi</v>
          </cell>
          <cell r="U1097">
            <v>30</v>
          </cell>
        </row>
        <row r="1098">
          <cell r="E1098" t="str">
            <v>B25013117</v>
          </cell>
          <cell r="F1098"/>
          <cell r="G1098">
            <v>60000000</v>
          </cell>
          <cell r="H1098" t="str">
            <v>Zakia</v>
          </cell>
          <cell r="I1098" t="str">
            <v>Tiya</v>
          </cell>
          <cell r="J1098"/>
          <cell r="K1098" t="str">
            <v>KU</v>
          </cell>
          <cell r="L1098" t="str">
            <v>BERK64</v>
          </cell>
          <cell r="M1098" t="str">
            <v>Berkah Tani/Luluk</v>
          </cell>
          <cell r="N1098" t="str">
            <v>Luluk Widarmanto</v>
          </cell>
          <cell r="O1098" t="str">
            <v>Dsn. Kalisudo RT.011/RW.003, Kel. Sumberkembar, Kec. Binangun</v>
          </cell>
          <cell r="P1098" t="str">
            <v>Blitar</v>
          </cell>
          <cell r="Q1098" t="str">
            <v>Dsn. Kalisudo RT.011/RW.003, Kel. Sumberkembar, Kec. Binangun</v>
          </cell>
          <cell r="R1098" t="str">
            <v>Blitar</v>
          </cell>
          <cell r="S1098" t="str">
            <v>D Barat1</v>
          </cell>
          <cell r="T1098" t="str">
            <v>Tomi</v>
          </cell>
          <cell r="U1098">
            <v>30</v>
          </cell>
        </row>
        <row r="1099">
          <cell r="E1099" t="str">
            <v>D25016159</v>
          </cell>
          <cell r="F1099"/>
          <cell r="G1099">
            <v>60000000</v>
          </cell>
          <cell r="H1099" t="str">
            <v>Zakia</v>
          </cell>
          <cell r="I1099" t="str">
            <v>Tiya</v>
          </cell>
          <cell r="J1099"/>
          <cell r="K1099" t="str">
            <v>KU</v>
          </cell>
          <cell r="L1099" t="str">
            <v>BERK64</v>
          </cell>
          <cell r="M1099" t="str">
            <v>Berkah Tani/Luluk</v>
          </cell>
          <cell r="N1099" t="str">
            <v>Luluk Widarmanto</v>
          </cell>
          <cell r="O1099" t="str">
            <v>Dsn. Kalisudo RT.011/RW.003, Kel. Sumberkembar, Kec. Binangun</v>
          </cell>
          <cell r="P1099" t="str">
            <v>Blitar</v>
          </cell>
          <cell r="Q1099" t="str">
            <v>Dsn. Kalisudo RT.011/RW.003, Kel. Sumberkembar, Kec. Binangun</v>
          </cell>
          <cell r="R1099" t="str">
            <v>Blitar</v>
          </cell>
          <cell r="S1099" t="str">
            <v>D Barat1</v>
          </cell>
          <cell r="T1099" t="str">
            <v>Tomi</v>
          </cell>
          <cell r="U1099">
            <v>30</v>
          </cell>
        </row>
        <row r="1100">
          <cell r="E1100" t="str">
            <v>T25001510</v>
          </cell>
          <cell r="F1100"/>
          <cell r="G1100">
            <v>1000</v>
          </cell>
          <cell r="H1100" t="str">
            <v>Zakia</v>
          </cell>
          <cell r="I1100" t="str">
            <v>Tiya</v>
          </cell>
          <cell r="J1100" t="str">
            <v>New 23/09/25</v>
          </cell>
          <cell r="K1100" t="str">
            <v>COD</v>
          </cell>
          <cell r="L1100" t="str">
            <v>BERK71</v>
          </cell>
          <cell r="M1100" t="str">
            <v>Berkah Tani/M.Asrori</v>
          </cell>
          <cell r="N1100" t="str">
            <v>M. Asrori</v>
          </cell>
          <cell r="O1100" t="str">
            <v>Dsn. Mojosari RT.004/RW.003, Des. Mojosari Kec. Kras</v>
          </cell>
          <cell r="P1100" t="str">
            <v>Kediri</v>
          </cell>
          <cell r="Q1100" t="str">
            <v>Desa Kebonagung, Kec. Wonodadi</v>
          </cell>
          <cell r="R1100" t="str">
            <v>Blitar</v>
          </cell>
          <cell r="S1100" t="str">
            <v>D Barat1</v>
          </cell>
          <cell r="T1100" t="str">
            <v>Tomi</v>
          </cell>
          <cell r="U1100">
            <v>0</v>
          </cell>
        </row>
        <row r="1101">
          <cell r="E1101" t="str">
            <v>B25013256</v>
          </cell>
          <cell r="F1101"/>
          <cell r="G1101">
            <v>1000</v>
          </cell>
          <cell r="H1101" t="str">
            <v>Zakia</v>
          </cell>
          <cell r="I1101" t="str">
            <v>Tiya</v>
          </cell>
          <cell r="J1101" t="str">
            <v>New 23/09/25</v>
          </cell>
          <cell r="K1101" t="str">
            <v>COD</v>
          </cell>
          <cell r="L1101" t="str">
            <v>BERK71</v>
          </cell>
          <cell r="M1101" t="str">
            <v>Berkah Tani/M.Asrori</v>
          </cell>
          <cell r="N1101" t="str">
            <v>M. Asrori</v>
          </cell>
          <cell r="O1101" t="str">
            <v>Dsn. Mojosari RT.004/RW.003, Des. Mojosari Kec. Kras</v>
          </cell>
          <cell r="P1101" t="str">
            <v>Kediri</v>
          </cell>
          <cell r="Q1101" t="str">
            <v>Desa Kebonagung, Kec. Wonodadi</v>
          </cell>
          <cell r="R1101" t="str">
            <v>Blitar</v>
          </cell>
          <cell r="S1101" t="str">
            <v>D Barat1</v>
          </cell>
          <cell r="T1101" t="str">
            <v>Tomi</v>
          </cell>
          <cell r="U1101">
            <v>0</v>
          </cell>
        </row>
        <row r="1102">
          <cell r="E1102" t="str">
            <v>B25010022</v>
          </cell>
          <cell r="F1102"/>
          <cell r="G1102">
            <v>350000000</v>
          </cell>
          <cell r="H1102" t="str">
            <v>Faris</v>
          </cell>
          <cell r="I1102" t="str">
            <v>Syahra</v>
          </cell>
          <cell r="J1102"/>
          <cell r="K1102" t="str">
            <v>KU</v>
          </cell>
          <cell r="L1102" t="str">
            <v>BERK24</v>
          </cell>
          <cell r="M1102" t="str">
            <v>Berkah Tani/Zainul</v>
          </cell>
          <cell r="N1102" t="str">
            <v>Moh Zainul Roziqin</v>
          </cell>
          <cell r="O1102" t="str">
            <v>Dsn. Krajan, RT.002/RW.002, Sidodadi, Wongsorejo Kab. Banyuwangi</v>
          </cell>
          <cell r="P1102" t="str">
            <v>Banyuwangi</v>
          </cell>
          <cell r="Q1102" t="str">
            <v>Dsn. Krajan, RT.002/RW.002, Sidodadi, Wongsorejo Kab. Banyuwangi</v>
          </cell>
          <cell r="R1102" t="str">
            <v>Banyuwangi</v>
          </cell>
          <cell r="S1102" t="str">
            <v>H Bwi5</v>
          </cell>
          <cell r="T1102" t="str">
            <v>Hafid</v>
          </cell>
          <cell r="U1102">
            <v>60</v>
          </cell>
        </row>
        <row r="1103">
          <cell r="E1103" t="str">
            <v>D25012217</v>
          </cell>
          <cell r="F1103"/>
          <cell r="G1103">
            <v>350000000</v>
          </cell>
          <cell r="H1103" t="str">
            <v>Faris</v>
          </cell>
          <cell r="I1103" t="str">
            <v>Syahra</v>
          </cell>
          <cell r="J1103"/>
          <cell r="K1103" t="str">
            <v>KU</v>
          </cell>
          <cell r="L1103" t="str">
            <v>BERK24</v>
          </cell>
          <cell r="M1103" t="str">
            <v>Berkah Tani/Zainul</v>
          </cell>
          <cell r="N1103" t="str">
            <v>Moh Zainul Roziqin</v>
          </cell>
          <cell r="O1103" t="str">
            <v>Dsn. Krajan, RT.002/RW.002, Sidodadi, Wongsorejo Kab. Banyuwangi</v>
          </cell>
          <cell r="P1103" t="str">
            <v>Banyuwangi</v>
          </cell>
          <cell r="Q1103" t="str">
            <v>Dsn. Krajan, RT.002/RW.002, Sidodadi, Wongsorejo Kab. Banyuwangi</v>
          </cell>
          <cell r="R1103" t="str">
            <v>Banyuwangi</v>
          </cell>
          <cell r="S1103" t="str">
            <v>H Bwi5</v>
          </cell>
          <cell r="T1103" t="str">
            <v>Hafid</v>
          </cell>
          <cell r="U1103">
            <v>60</v>
          </cell>
        </row>
        <row r="1104">
          <cell r="E1104" t="str">
            <v>D25013012</v>
          </cell>
          <cell r="F1104"/>
          <cell r="G1104">
            <v>350000000</v>
          </cell>
          <cell r="H1104" t="str">
            <v>Faris</v>
          </cell>
          <cell r="I1104" t="str">
            <v>Syahra</v>
          </cell>
          <cell r="J1104"/>
          <cell r="K1104" t="str">
            <v>KU</v>
          </cell>
          <cell r="L1104" t="str">
            <v>BERK24</v>
          </cell>
          <cell r="M1104" t="str">
            <v>Berkah Tani/Zainul</v>
          </cell>
          <cell r="N1104" t="str">
            <v>Moh Zainul Roziqin</v>
          </cell>
          <cell r="O1104" t="str">
            <v>Dsn. Krajan, RT.002/RW.002, Sidodadi, Wongsorejo Kab. Banyuwangi</v>
          </cell>
          <cell r="P1104" t="str">
            <v>Banyuwangi</v>
          </cell>
          <cell r="Q1104" t="str">
            <v>Dsn. Krajan, RT.002/RW.002, Sidodadi, Wongsorejo Kab. Banyuwangi</v>
          </cell>
          <cell r="R1104" t="str">
            <v>Banyuwangi</v>
          </cell>
          <cell r="S1104" t="str">
            <v>H Bwi5</v>
          </cell>
          <cell r="T1104" t="str">
            <v>Hafid</v>
          </cell>
          <cell r="U1104">
            <v>30</v>
          </cell>
        </row>
        <row r="1105">
          <cell r="E1105" t="str">
            <v>B25011102</v>
          </cell>
          <cell r="F1105"/>
          <cell r="G1105">
            <v>350000000</v>
          </cell>
          <cell r="H1105" t="str">
            <v>Faris</v>
          </cell>
          <cell r="I1105" t="str">
            <v>Syahra</v>
          </cell>
          <cell r="J1105"/>
          <cell r="K1105" t="str">
            <v>KU</v>
          </cell>
          <cell r="L1105" t="str">
            <v>BERK24</v>
          </cell>
          <cell r="M1105" t="str">
            <v>Berkah Tani/Zainul</v>
          </cell>
          <cell r="N1105" t="str">
            <v>Moh Zainul Roziqin</v>
          </cell>
          <cell r="O1105" t="str">
            <v>Dsn. Krajan, RT.002/RW.002, Sidodadi, Wongsorejo Kab. Banyuwangi</v>
          </cell>
          <cell r="P1105" t="str">
            <v>Banyuwangi</v>
          </cell>
          <cell r="Q1105" t="str">
            <v>Dsn. Krajan, RT.002/RW.002, Sidodadi, Wongsorejo Kab. Banyuwangi</v>
          </cell>
          <cell r="R1105" t="str">
            <v>Banyuwangi</v>
          </cell>
          <cell r="S1105" t="str">
            <v>H Bwi5</v>
          </cell>
          <cell r="T1105" t="str">
            <v>Hafid</v>
          </cell>
          <cell r="U1105">
            <v>30</v>
          </cell>
        </row>
        <row r="1106">
          <cell r="E1106" t="str">
            <v>B25011254</v>
          </cell>
          <cell r="F1106"/>
          <cell r="G1106">
            <v>350000000</v>
          </cell>
          <cell r="H1106" t="str">
            <v>Faris</v>
          </cell>
          <cell r="I1106" t="str">
            <v>Syahra</v>
          </cell>
          <cell r="J1106"/>
          <cell r="K1106" t="str">
            <v>KU</v>
          </cell>
          <cell r="L1106" t="str">
            <v>BERK24</v>
          </cell>
          <cell r="M1106" t="str">
            <v>Berkah Tani/Zainul</v>
          </cell>
          <cell r="N1106" t="str">
            <v>Moh Zainul Roziqin</v>
          </cell>
          <cell r="O1106" t="str">
            <v>Dsn. Krajan, RT.002/RW.002, Sidodadi, Wongsorejo Kab. Banyuwangi</v>
          </cell>
          <cell r="P1106" t="str">
            <v>Banyuwangi</v>
          </cell>
          <cell r="Q1106" t="str">
            <v>Dsn. Krajan, RT.002/RW.002, Sidodadi, Wongsorejo Kab. Banyuwangi</v>
          </cell>
          <cell r="R1106" t="str">
            <v>Banyuwangi</v>
          </cell>
          <cell r="S1106" t="str">
            <v>H Bwi5</v>
          </cell>
          <cell r="T1106" t="str">
            <v>Hafid</v>
          </cell>
          <cell r="U1106">
            <v>30</v>
          </cell>
        </row>
        <row r="1107">
          <cell r="E1107" t="str">
            <v>D25014082</v>
          </cell>
          <cell r="F1107"/>
          <cell r="G1107">
            <v>350000000</v>
          </cell>
          <cell r="H1107" t="str">
            <v>Faris</v>
          </cell>
          <cell r="I1107" t="str">
            <v>Syahra</v>
          </cell>
          <cell r="J1107"/>
          <cell r="K1107" t="str">
            <v>KU</v>
          </cell>
          <cell r="L1107" t="str">
            <v>BERK24</v>
          </cell>
          <cell r="M1107" t="str">
            <v>Berkah Tani/Zainul</v>
          </cell>
          <cell r="N1107" t="str">
            <v>Moh Zainul Roziqin</v>
          </cell>
          <cell r="O1107" t="str">
            <v>Dsn. Krajan, RT.002/RW.002, Sidodadi, Wongsorejo Kab. Banyuwangi</v>
          </cell>
          <cell r="P1107" t="str">
            <v>Banyuwangi</v>
          </cell>
          <cell r="Q1107" t="str">
            <v>Dsn. Krajan, RT.002/RW.002, Sidodadi, Wongsorejo Kab. Banyuwangi</v>
          </cell>
          <cell r="R1107" t="str">
            <v>Banyuwangi</v>
          </cell>
          <cell r="S1107" t="str">
            <v>H Bwi5</v>
          </cell>
          <cell r="T1107" t="str">
            <v>Hafid</v>
          </cell>
          <cell r="U1107">
            <v>30</v>
          </cell>
        </row>
        <row r="1108">
          <cell r="E1108" t="str">
            <v>D25014172</v>
          </cell>
          <cell r="F1108"/>
          <cell r="G1108">
            <v>350000000</v>
          </cell>
          <cell r="H1108" t="str">
            <v>Faris</v>
          </cell>
          <cell r="I1108" t="str">
            <v>Syahra</v>
          </cell>
          <cell r="J1108"/>
          <cell r="K1108" t="str">
            <v>KU</v>
          </cell>
          <cell r="L1108" t="str">
            <v>BERK24</v>
          </cell>
          <cell r="M1108" t="str">
            <v>Berkah Tani/Zainul</v>
          </cell>
          <cell r="N1108" t="str">
            <v>Moh Zainul Roziqin</v>
          </cell>
          <cell r="O1108" t="str">
            <v>Dsn. Krajan, RT.002/RW.002, Sidodadi, Wongsorejo Kab. Banyuwangi</v>
          </cell>
          <cell r="P1108" t="str">
            <v>Banyuwangi</v>
          </cell>
          <cell r="Q1108" t="str">
            <v>Dsn. Krajan, RT.002/RW.002, Sidodadi, Wongsorejo Kab. Banyuwangi</v>
          </cell>
          <cell r="R1108" t="str">
            <v>Banyuwangi</v>
          </cell>
          <cell r="S1108" t="str">
            <v>H Bwi5</v>
          </cell>
          <cell r="T1108" t="str">
            <v>Hafid</v>
          </cell>
          <cell r="U1108">
            <v>30</v>
          </cell>
        </row>
        <row r="1109">
          <cell r="E1109" t="str">
            <v>D25014659</v>
          </cell>
          <cell r="F1109"/>
          <cell r="G1109">
            <v>350000000</v>
          </cell>
          <cell r="H1109" t="str">
            <v>Faris</v>
          </cell>
          <cell r="I1109" t="str">
            <v>Syahra</v>
          </cell>
          <cell r="J1109"/>
          <cell r="K1109" t="str">
            <v>KU</v>
          </cell>
          <cell r="L1109" t="str">
            <v>BERK24</v>
          </cell>
          <cell r="M1109" t="str">
            <v>Berkah Tani/Zainul</v>
          </cell>
          <cell r="N1109" t="str">
            <v>Moh Zainul Roziqin</v>
          </cell>
          <cell r="O1109" t="str">
            <v>Dsn. Krajan, RT.002/RW.002, Sidodadi, Wongsorejo Kab. Banyuwangi</v>
          </cell>
          <cell r="P1109" t="str">
            <v>Banyuwangi</v>
          </cell>
          <cell r="Q1109" t="str">
            <v>Dsn. Krajan, RT.002/RW.002, Sidodadi, Wongsorejo Kab. Banyuwangi</v>
          </cell>
          <cell r="R1109" t="str">
            <v>Banyuwangi</v>
          </cell>
          <cell r="S1109" t="str">
            <v>H Bwi5</v>
          </cell>
          <cell r="T1109" t="str">
            <v>Hafid</v>
          </cell>
          <cell r="U1109">
            <v>30</v>
          </cell>
        </row>
        <row r="1110">
          <cell r="E1110" t="str">
            <v>B25012678</v>
          </cell>
          <cell r="F1110"/>
          <cell r="G1110">
            <v>350000000</v>
          </cell>
          <cell r="H1110" t="str">
            <v>Faris</v>
          </cell>
          <cell r="I1110" t="str">
            <v>Syahra</v>
          </cell>
          <cell r="J1110"/>
          <cell r="K1110" t="str">
            <v>KU</v>
          </cell>
          <cell r="L1110" t="str">
            <v>BERK24</v>
          </cell>
          <cell r="M1110" t="str">
            <v>Berkah Tani/Zainul</v>
          </cell>
          <cell r="N1110" t="str">
            <v>Moh Zainul Roziqin</v>
          </cell>
          <cell r="O1110" t="str">
            <v>Dsn. Krajan, RT.002/RW.002, Sidodadi, Wongsorejo Kab. Banyuwangi</v>
          </cell>
          <cell r="P1110" t="str">
            <v>Banyuwangi</v>
          </cell>
          <cell r="Q1110" t="str">
            <v>Dsn. Krajan, RT.002/RW.002, Sidodadi, Wongsorejo Kab. Banyuwangi</v>
          </cell>
          <cell r="R1110" t="str">
            <v>Banyuwangi</v>
          </cell>
          <cell r="S1110" t="str">
            <v>H Bwi5</v>
          </cell>
          <cell r="T1110" t="str">
            <v>Hafid</v>
          </cell>
          <cell r="U1110">
            <v>30</v>
          </cell>
        </row>
        <row r="1111">
          <cell r="E1111" t="str">
            <v>D25015013</v>
          </cell>
          <cell r="F1111"/>
          <cell r="G1111">
            <v>350000000</v>
          </cell>
          <cell r="H1111" t="str">
            <v>Faris</v>
          </cell>
          <cell r="I1111" t="str">
            <v>Syahra</v>
          </cell>
          <cell r="J1111"/>
          <cell r="K1111" t="str">
            <v>KU</v>
          </cell>
          <cell r="L1111" t="str">
            <v>BERK24</v>
          </cell>
          <cell r="M1111" t="str">
            <v>Berkah Tani/Zainul</v>
          </cell>
          <cell r="N1111" t="str">
            <v>Moh Zainul Roziqin</v>
          </cell>
          <cell r="O1111" t="str">
            <v>Dsn. Krajan, RT.002/RW.002, Sidodadi, Wongsorejo Kab. Banyuwangi</v>
          </cell>
          <cell r="P1111" t="str">
            <v>Banyuwangi</v>
          </cell>
          <cell r="Q1111" t="str">
            <v>Dsn. Krajan, RT.002/RW.002, Sidodadi, Wongsorejo Kab. Banyuwangi</v>
          </cell>
          <cell r="R1111" t="str">
            <v>Banyuwangi</v>
          </cell>
          <cell r="S1111" t="str">
            <v>H Bwi5</v>
          </cell>
          <cell r="T1111" t="str">
            <v>Hafid</v>
          </cell>
          <cell r="U1111">
            <v>0</v>
          </cell>
        </row>
        <row r="1112">
          <cell r="E1112" t="str">
            <v>B25012774</v>
          </cell>
          <cell r="F1112"/>
          <cell r="G1112">
            <v>350000000</v>
          </cell>
          <cell r="H1112" t="str">
            <v>Faris</v>
          </cell>
          <cell r="I1112" t="str">
            <v>Syahra</v>
          </cell>
          <cell r="J1112"/>
          <cell r="K1112" t="str">
            <v>KU</v>
          </cell>
          <cell r="L1112" t="str">
            <v>BERK24</v>
          </cell>
          <cell r="M1112" t="str">
            <v>Berkah Tani/Zainul</v>
          </cell>
          <cell r="N1112" t="str">
            <v>Moh Zainul Roziqin</v>
          </cell>
          <cell r="O1112" t="str">
            <v>Dsn. Krajan, RT.002/RW.002, Sidodadi, Wongsorejo Kab. Banyuwangi</v>
          </cell>
          <cell r="P1112" t="str">
            <v>Banyuwangi</v>
          </cell>
          <cell r="Q1112" t="str">
            <v>Dsn. Krajan, RT.002/RW.002, Sidodadi, Wongsorejo Kab. Banyuwangi</v>
          </cell>
          <cell r="R1112" t="str">
            <v>Banyuwangi</v>
          </cell>
          <cell r="S1112" t="str">
            <v>H Bwi5</v>
          </cell>
          <cell r="T1112" t="str">
            <v>Hafid</v>
          </cell>
          <cell r="U1112">
            <v>0</v>
          </cell>
        </row>
        <row r="1113">
          <cell r="E1113" t="str">
            <v>B25012775</v>
          </cell>
          <cell r="F1113"/>
          <cell r="G1113">
            <v>350000000</v>
          </cell>
          <cell r="H1113" t="str">
            <v>Faris</v>
          </cell>
          <cell r="I1113" t="str">
            <v>Syahra</v>
          </cell>
          <cell r="J1113"/>
          <cell r="K1113" t="str">
            <v>KU</v>
          </cell>
          <cell r="L1113" t="str">
            <v>BERK24</v>
          </cell>
          <cell r="M1113" t="str">
            <v>Berkah Tani/Zainul</v>
          </cell>
          <cell r="N1113" t="str">
            <v>Moh Zainul Roziqin</v>
          </cell>
          <cell r="O1113" t="str">
            <v>Dsn. Krajan, RT.002/RW.002, Sidodadi, Wongsorejo Kab. Banyuwangi</v>
          </cell>
          <cell r="P1113" t="str">
            <v>Banyuwangi</v>
          </cell>
          <cell r="Q1113" t="str">
            <v>Dsn. Krajan, RT.002/RW.002, Sidodadi, Wongsorejo Kab. Banyuwangi</v>
          </cell>
          <cell r="R1113" t="str">
            <v>Banyuwangi</v>
          </cell>
          <cell r="S1113" t="str">
            <v>H Bwi5</v>
          </cell>
          <cell r="T1113" t="str">
            <v>Hafid</v>
          </cell>
          <cell r="U1113">
            <v>30</v>
          </cell>
        </row>
        <row r="1114">
          <cell r="E1114" t="str">
            <v>B25013102</v>
          </cell>
          <cell r="F1114"/>
          <cell r="G1114">
            <v>350000000</v>
          </cell>
          <cell r="H1114" t="str">
            <v>Faris</v>
          </cell>
          <cell r="I1114" t="str">
            <v>Syahra</v>
          </cell>
          <cell r="J1114"/>
          <cell r="K1114" t="str">
            <v>KU</v>
          </cell>
          <cell r="L1114" t="str">
            <v>BERK24</v>
          </cell>
          <cell r="M1114" t="str">
            <v>Berkah Tani/Zainul</v>
          </cell>
          <cell r="N1114" t="str">
            <v>Moh Zainul Roziqin</v>
          </cell>
          <cell r="O1114" t="str">
            <v>Dsn. Krajan, RT.002/RW.002, Sidodadi, Wongsorejo Kab. Banyuwangi</v>
          </cell>
          <cell r="P1114" t="str">
            <v>Banyuwangi</v>
          </cell>
          <cell r="Q1114" t="str">
            <v>Dsn. Krajan, RT.002/RW.002, Sidodadi, Wongsorejo Kab. Banyuwangi</v>
          </cell>
          <cell r="R1114" t="str">
            <v>Banyuwangi</v>
          </cell>
          <cell r="S1114" t="str">
            <v>H Bwi5</v>
          </cell>
          <cell r="T1114" t="str">
            <v>Hafid</v>
          </cell>
          <cell r="U1114">
            <v>30</v>
          </cell>
        </row>
        <row r="1115">
          <cell r="E1115" t="str">
            <v>D25015394</v>
          </cell>
          <cell r="F1115"/>
          <cell r="G1115">
            <v>350000000</v>
          </cell>
          <cell r="H1115" t="str">
            <v>Faris</v>
          </cell>
          <cell r="I1115" t="str">
            <v>Syahra</v>
          </cell>
          <cell r="J1115"/>
          <cell r="K1115" t="str">
            <v>KU</v>
          </cell>
          <cell r="L1115" t="str">
            <v>BERK24</v>
          </cell>
          <cell r="M1115" t="str">
            <v>Berkah Tani/Zainul</v>
          </cell>
          <cell r="N1115" t="str">
            <v>Moh Zainul Roziqin</v>
          </cell>
          <cell r="O1115" t="str">
            <v>Dsn. Krajan, RT.002/RW.002, Sidodadi, Wongsorejo Kab. Banyuwangi</v>
          </cell>
          <cell r="P1115" t="str">
            <v>Banyuwangi</v>
          </cell>
          <cell r="Q1115" t="str">
            <v>Dsn. Krajan, RT.002/RW.002, Sidodadi, Wongsorejo Kab. Banyuwangi</v>
          </cell>
          <cell r="R1115" t="str">
            <v>Banyuwangi</v>
          </cell>
          <cell r="S1115" t="str">
            <v>H Bwi5</v>
          </cell>
          <cell r="T1115" t="str">
            <v>Hafid</v>
          </cell>
          <cell r="U1115">
            <v>30</v>
          </cell>
        </row>
        <row r="1116">
          <cell r="E1116" t="str">
            <v>B25013408</v>
          </cell>
          <cell r="F1116"/>
          <cell r="G1116">
            <v>350000000</v>
          </cell>
          <cell r="H1116" t="str">
            <v>Faris</v>
          </cell>
          <cell r="I1116" t="str">
            <v>Syahra</v>
          </cell>
          <cell r="J1116"/>
          <cell r="K1116" t="str">
            <v>KU</v>
          </cell>
          <cell r="L1116" t="str">
            <v>BERK24</v>
          </cell>
          <cell r="M1116" t="str">
            <v>Berkah Tani/Zainul</v>
          </cell>
          <cell r="N1116" t="str">
            <v>Moh Zainul Roziqin</v>
          </cell>
          <cell r="O1116" t="str">
            <v>Dsn. Krajan, RT.002/RW.002, Sidodadi, Wongsorejo Kab. Banyuwangi</v>
          </cell>
          <cell r="P1116" t="str">
            <v>Banyuwangi</v>
          </cell>
          <cell r="Q1116" t="str">
            <v>Dsn. Krajan, RT.002/RW.002, Sidodadi, Wongsorejo Kab. Banyuwangi</v>
          </cell>
          <cell r="R1116" t="str">
            <v>Banyuwangi</v>
          </cell>
          <cell r="S1116" t="str">
            <v>H Bwi5</v>
          </cell>
          <cell r="T1116" t="str">
            <v>Hafid</v>
          </cell>
          <cell r="U1116">
            <v>0</v>
          </cell>
        </row>
        <row r="1117">
          <cell r="E1117" t="str">
            <v>B25013409</v>
          </cell>
          <cell r="F1117"/>
          <cell r="G1117">
            <v>350000000</v>
          </cell>
          <cell r="H1117" t="str">
            <v>Faris</v>
          </cell>
          <cell r="I1117" t="str">
            <v>Syahra</v>
          </cell>
          <cell r="J1117"/>
          <cell r="K1117" t="str">
            <v>KU</v>
          </cell>
          <cell r="L1117" t="str">
            <v>BERK24</v>
          </cell>
          <cell r="M1117" t="str">
            <v>Berkah Tani/Zainul</v>
          </cell>
          <cell r="N1117" t="str">
            <v>Moh Zainul Roziqin</v>
          </cell>
          <cell r="O1117" t="str">
            <v>Dsn. Krajan, RT.002/RW.002, Sidodadi, Wongsorejo Kab. Banyuwangi</v>
          </cell>
          <cell r="P1117" t="str">
            <v>Banyuwangi</v>
          </cell>
          <cell r="Q1117" t="str">
            <v>Dsn. Krajan, RT.002/RW.002, Sidodadi, Wongsorejo Kab. Banyuwangi</v>
          </cell>
          <cell r="R1117" t="str">
            <v>Banyuwangi</v>
          </cell>
          <cell r="S1117" t="str">
            <v>H Bwi5</v>
          </cell>
          <cell r="T1117" t="str">
            <v>Hafid</v>
          </cell>
          <cell r="U1117">
            <v>0</v>
          </cell>
        </row>
        <row r="1118">
          <cell r="E1118" t="str">
            <v>B25013410</v>
          </cell>
          <cell r="F1118"/>
          <cell r="G1118">
            <v>350000000</v>
          </cell>
          <cell r="H1118" t="str">
            <v>Faris</v>
          </cell>
          <cell r="I1118" t="str">
            <v>Syahra</v>
          </cell>
          <cell r="J1118"/>
          <cell r="K1118" t="str">
            <v>KU</v>
          </cell>
          <cell r="L1118" t="str">
            <v>BERK24</v>
          </cell>
          <cell r="M1118" t="str">
            <v>Berkah Tani/Zainul</v>
          </cell>
          <cell r="N1118" t="str">
            <v>Moh Zainul Roziqin</v>
          </cell>
          <cell r="O1118" t="str">
            <v>Dsn. Krajan, RT.002/RW.002, Sidodadi, Wongsorejo Kab. Banyuwangi</v>
          </cell>
          <cell r="P1118" t="str">
            <v>Banyuwangi</v>
          </cell>
          <cell r="Q1118" t="str">
            <v>Dsn. Krajan, RT.002/RW.002, Sidodadi, Wongsorejo Kab. Banyuwangi</v>
          </cell>
          <cell r="R1118" t="str">
            <v>Banyuwangi</v>
          </cell>
          <cell r="S1118" t="str">
            <v>H Bwi5</v>
          </cell>
          <cell r="T1118" t="str">
            <v>Hafid</v>
          </cell>
          <cell r="U1118">
            <v>30</v>
          </cell>
        </row>
        <row r="1119">
          <cell r="E1119" t="str">
            <v>D25015679</v>
          </cell>
          <cell r="F1119"/>
          <cell r="G1119">
            <v>350000000</v>
          </cell>
          <cell r="H1119" t="str">
            <v>Faris</v>
          </cell>
          <cell r="I1119" t="str">
            <v>Syahra</v>
          </cell>
          <cell r="J1119"/>
          <cell r="K1119" t="str">
            <v>KU</v>
          </cell>
          <cell r="L1119" t="str">
            <v>BERK24</v>
          </cell>
          <cell r="M1119" t="str">
            <v>Berkah Tani/Zainul</v>
          </cell>
          <cell r="N1119" t="str">
            <v>Moh Zainul Roziqin</v>
          </cell>
          <cell r="O1119" t="str">
            <v>Dsn. Krajan, RT.002/RW.002, Sidodadi, Wongsorejo Kab. Banyuwangi</v>
          </cell>
          <cell r="P1119" t="str">
            <v>Banyuwangi</v>
          </cell>
          <cell r="Q1119" t="str">
            <v>Dsn. Krajan, RT.002/RW.002, Sidodadi, Wongsorejo Kab. Banyuwangi</v>
          </cell>
          <cell r="R1119" t="str">
            <v>Banyuwangi</v>
          </cell>
          <cell r="S1119" t="str">
            <v>H Bwi5</v>
          </cell>
          <cell r="T1119" t="str">
            <v>Hafid</v>
          </cell>
          <cell r="U1119">
            <v>30</v>
          </cell>
        </row>
        <row r="1120">
          <cell r="E1120" t="str">
            <v>B25013483</v>
          </cell>
          <cell r="F1120"/>
          <cell r="G1120">
            <v>350000000</v>
          </cell>
          <cell r="H1120" t="str">
            <v>Faris</v>
          </cell>
          <cell r="I1120" t="str">
            <v>Syahra</v>
          </cell>
          <cell r="J1120"/>
          <cell r="K1120" t="str">
            <v>KU</v>
          </cell>
          <cell r="L1120" t="str">
            <v>BERK24</v>
          </cell>
          <cell r="M1120" t="str">
            <v>Berkah Tani/Zainul</v>
          </cell>
          <cell r="N1120" t="str">
            <v>Moh Zainul Roziqin</v>
          </cell>
          <cell r="O1120" t="str">
            <v>Dsn. Krajan, RT.002/RW.002, Sidodadi, Wongsorejo Kab. Banyuwangi</v>
          </cell>
          <cell r="P1120" t="str">
            <v>Banyuwangi</v>
          </cell>
          <cell r="Q1120" t="str">
            <v>Dsn. Krajan, RT.002/RW.002, Sidodadi, Wongsorejo Kab. Banyuwangi</v>
          </cell>
          <cell r="R1120" t="str">
            <v>Banyuwangi</v>
          </cell>
          <cell r="S1120" t="str">
            <v>H Bwi5</v>
          </cell>
          <cell r="T1120" t="str">
            <v>Hafid</v>
          </cell>
          <cell r="U1120">
            <v>30</v>
          </cell>
        </row>
        <row r="1121">
          <cell r="E1121" t="str">
            <v>D25015750</v>
          </cell>
          <cell r="F1121"/>
          <cell r="G1121">
            <v>350000000</v>
          </cell>
          <cell r="H1121" t="str">
            <v>Faris</v>
          </cell>
          <cell r="I1121" t="str">
            <v>Syahra</v>
          </cell>
          <cell r="J1121"/>
          <cell r="K1121" t="str">
            <v>KU</v>
          </cell>
          <cell r="L1121" t="str">
            <v>BERK24</v>
          </cell>
          <cell r="M1121" t="str">
            <v>Berkah Tani/Zainul</v>
          </cell>
          <cell r="N1121" t="str">
            <v>Moh Zainul Roziqin</v>
          </cell>
          <cell r="O1121" t="str">
            <v>Dsn. Krajan, RT.002/RW.002, Sidodadi, Wongsorejo Kab. Banyuwangi</v>
          </cell>
          <cell r="P1121" t="str">
            <v>Banyuwangi</v>
          </cell>
          <cell r="Q1121" t="str">
            <v>Dsn. Krajan, RT.002/RW.002, Sidodadi, Wongsorejo Kab. Banyuwangi</v>
          </cell>
          <cell r="R1121" t="str">
            <v>Banyuwangi</v>
          </cell>
          <cell r="S1121" t="str">
            <v>H Bwi5</v>
          </cell>
          <cell r="T1121" t="str">
            <v>Hafid</v>
          </cell>
          <cell r="U1121">
            <v>30</v>
          </cell>
        </row>
        <row r="1122">
          <cell r="E1122" t="str">
            <v>B25013559</v>
          </cell>
          <cell r="F1122"/>
          <cell r="G1122">
            <v>350000000</v>
          </cell>
          <cell r="H1122" t="str">
            <v>Faris</v>
          </cell>
          <cell r="I1122" t="str">
            <v>Syahra</v>
          </cell>
          <cell r="J1122"/>
          <cell r="K1122" t="str">
            <v>KU</v>
          </cell>
          <cell r="L1122" t="str">
            <v>BERK24</v>
          </cell>
          <cell r="M1122" t="str">
            <v>Berkah Tani/Zainul</v>
          </cell>
          <cell r="N1122" t="str">
            <v>Moh Zainul Roziqin</v>
          </cell>
          <cell r="O1122" t="str">
            <v>Dsn. Krajan, RT.002/RW.002, Sidodadi, Wongsorejo Kab. Banyuwangi</v>
          </cell>
          <cell r="P1122" t="str">
            <v>Banyuwangi</v>
          </cell>
          <cell r="Q1122" t="str">
            <v>Dsn. Krajan, RT.002/RW.002, Sidodadi, Wongsorejo Kab. Banyuwangi</v>
          </cell>
          <cell r="R1122" t="str">
            <v>Banyuwangi</v>
          </cell>
          <cell r="S1122" t="str">
            <v>H Bwi5</v>
          </cell>
          <cell r="T1122" t="str">
            <v>Hafid</v>
          </cell>
          <cell r="U1122">
            <v>0</v>
          </cell>
        </row>
        <row r="1123">
          <cell r="E1123" t="str">
            <v>B25013770</v>
          </cell>
          <cell r="F1123"/>
          <cell r="G1123">
            <v>350000000</v>
          </cell>
          <cell r="H1123" t="str">
            <v>Faris</v>
          </cell>
          <cell r="I1123" t="str">
            <v>Syahra</v>
          </cell>
          <cell r="J1123"/>
          <cell r="K1123" t="str">
            <v>KU</v>
          </cell>
          <cell r="L1123" t="str">
            <v>BERK24</v>
          </cell>
          <cell r="M1123" t="str">
            <v>Berkah Tani/Zainul</v>
          </cell>
          <cell r="N1123" t="str">
            <v>Moh Zainul Roziqin</v>
          </cell>
          <cell r="O1123" t="str">
            <v>Dsn. Krajan, RT.002/RW.002, Sidodadi, Wongsorejo Kab. Banyuwangi</v>
          </cell>
          <cell r="P1123" t="str">
            <v>Banyuwangi</v>
          </cell>
          <cell r="Q1123" t="str">
            <v>Dsn. Krajan, RT.002/RW.002, Sidodadi, Wongsorejo Kab. Banyuwangi</v>
          </cell>
          <cell r="R1123" t="str">
            <v>Banyuwangi</v>
          </cell>
          <cell r="S1123" t="str">
            <v>H Bwi5</v>
          </cell>
          <cell r="T1123" t="str">
            <v>Hafid</v>
          </cell>
          <cell r="U1123">
            <v>30</v>
          </cell>
        </row>
        <row r="1124">
          <cell r="E1124" t="str">
            <v>B25013795</v>
          </cell>
          <cell r="F1124"/>
          <cell r="G1124">
            <v>350000000</v>
          </cell>
          <cell r="H1124" t="str">
            <v>Faris</v>
          </cell>
          <cell r="I1124" t="str">
            <v>Syahra</v>
          </cell>
          <cell r="J1124"/>
          <cell r="K1124" t="str">
            <v>KU</v>
          </cell>
          <cell r="L1124" t="str">
            <v>BERK24</v>
          </cell>
          <cell r="M1124" t="str">
            <v>Berkah Tani/Zainul</v>
          </cell>
          <cell r="N1124" t="str">
            <v>Moh Zainul Roziqin</v>
          </cell>
          <cell r="O1124" t="str">
            <v>Dsn. Krajan, RT.002/RW.002, Sidodadi, Wongsorejo Kab. Banyuwangi</v>
          </cell>
          <cell r="P1124" t="str">
            <v>Banyuwangi</v>
          </cell>
          <cell r="Q1124" t="str">
            <v>Dsn. Krajan, RT.002/RW.002, Sidodadi, Wongsorejo Kab. Banyuwangi</v>
          </cell>
          <cell r="R1124" t="str">
            <v>Banyuwangi</v>
          </cell>
          <cell r="S1124" t="str">
            <v>H Bwi5</v>
          </cell>
          <cell r="T1124" t="str">
            <v>Hafid</v>
          </cell>
          <cell r="U1124">
            <v>60</v>
          </cell>
        </row>
        <row r="1125">
          <cell r="E1125" t="str">
            <v>D25016142</v>
          </cell>
          <cell r="F1125"/>
          <cell r="G1125">
            <v>350000000</v>
          </cell>
          <cell r="H1125" t="str">
            <v>Faris</v>
          </cell>
          <cell r="I1125" t="str">
            <v>Syahra</v>
          </cell>
          <cell r="J1125"/>
          <cell r="K1125" t="str">
            <v>KU</v>
          </cell>
          <cell r="L1125" t="str">
            <v>BERK24</v>
          </cell>
          <cell r="M1125" t="str">
            <v>Berkah Tani/Zainul</v>
          </cell>
          <cell r="N1125" t="str">
            <v>Moh Zainul Roziqin</v>
          </cell>
          <cell r="O1125" t="str">
            <v>Dsn. Krajan, RT.002/RW.002, Sidodadi, Wongsorejo Kab. Banyuwangi</v>
          </cell>
          <cell r="P1125" t="str">
            <v>Banyuwangi</v>
          </cell>
          <cell r="Q1125" t="str">
            <v>Dsn. Krajan, RT.002/RW.002, Sidodadi, Wongsorejo Kab. Banyuwangi</v>
          </cell>
          <cell r="R1125" t="str">
            <v>Banyuwangi</v>
          </cell>
          <cell r="S1125" t="str">
            <v>H Bwi5</v>
          </cell>
          <cell r="T1125" t="str">
            <v>Hafid</v>
          </cell>
          <cell r="U1125">
            <v>60</v>
          </cell>
        </row>
        <row r="1126">
          <cell r="E1126" t="str">
            <v>T25001597</v>
          </cell>
          <cell r="F1126"/>
          <cell r="G1126">
            <v>350000000</v>
          </cell>
          <cell r="H1126" t="str">
            <v>Faris</v>
          </cell>
          <cell r="I1126" t="str">
            <v>Syahra</v>
          </cell>
          <cell r="J1126"/>
          <cell r="K1126" t="str">
            <v>KU</v>
          </cell>
          <cell r="L1126" t="str">
            <v>BERK24</v>
          </cell>
          <cell r="M1126" t="str">
            <v>Berkah Tani/Zainul</v>
          </cell>
          <cell r="N1126" t="str">
            <v>Moh Zainul Roziqin</v>
          </cell>
          <cell r="O1126" t="str">
            <v>Dsn. Krajan, RT.002/RW.002, Sidodadi, Wongsorejo Kab. Banyuwangi</v>
          </cell>
          <cell r="P1126" t="str">
            <v>Banyuwangi</v>
          </cell>
          <cell r="Q1126" t="str">
            <v>Dsn. Krajan, RT.002/RW.002, Sidodadi, Wongsorejo Kab. Banyuwangi</v>
          </cell>
          <cell r="R1126" t="str">
            <v>Banyuwangi</v>
          </cell>
          <cell r="S1126" t="str">
            <v>H Bwi5</v>
          </cell>
          <cell r="T1126" t="str">
            <v>Hafid</v>
          </cell>
          <cell r="U1126">
            <v>60</v>
          </cell>
        </row>
        <row r="1127">
          <cell r="E1127" t="str">
            <v>B25013888</v>
          </cell>
          <cell r="F1127"/>
          <cell r="G1127">
            <v>350000000</v>
          </cell>
          <cell r="H1127" t="str">
            <v>Faris</v>
          </cell>
          <cell r="I1127" t="str">
            <v>Syahra</v>
          </cell>
          <cell r="J1127"/>
          <cell r="K1127" t="str">
            <v>KU</v>
          </cell>
          <cell r="L1127" t="str">
            <v>BERK24</v>
          </cell>
          <cell r="M1127" t="str">
            <v>Berkah Tani/Zainul</v>
          </cell>
          <cell r="N1127" t="str">
            <v>Moh Zainul Roziqin</v>
          </cell>
          <cell r="O1127" t="str">
            <v>Dsn. Krajan, RT.002/RW.002, Sidodadi, Wongsorejo Kab. Banyuwangi</v>
          </cell>
          <cell r="P1127" t="str">
            <v>Banyuwangi</v>
          </cell>
          <cell r="Q1127" t="str">
            <v>Dsn. Krajan, RT.002/RW.002, Sidodadi, Wongsorejo Kab. Banyuwangi</v>
          </cell>
          <cell r="R1127" t="str">
            <v>Banyuwangi</v>
          </cell>
          <cell r="S1127" t="str">
            <v>H Bwi5</v>
          </cell>
          <cell r="T1127" t="str">
            <v>Hafid</v>
          </cell>
          <cell r="U1127">
            <v>30</v>
          </cell>
        </row>
        <row r="1128">
          <cell r="E1128" t="str">
            <v>B25013999</v>
          </cell>
          <cell r="F1128"/>
          <cell r="G1128">
            <v>350000000</v>
          </cell>
          <cell r="H1128" t="str">
            <v>Faris</v>
          </cell>
          <cell r="I1128" t="str">
            <v>Syahra</v>
          </cell>
          <cell r="J1128"/>
          <cell r="K1128" t="str">
            <v>KU</v>
          </cell>
          <cell r="L1128" t="str">
            <v>BERK24</v>
          </cell>
          <cell r="M1128" t="str">
            <v>Berkah Tani/Zainul</v>
          </cell>
          <cell r="N1128" t="str">
            <v>Moh Zainul Roziqin</v>
          </cell>
          <cell r="O1128" t="str">
            <v>Dsn. Krajan, RT.002/RW.002, Sidodadi, Wongsorejo Kab. Banyuwangi</v>
          </cell>
          <cell r="P1128" t="str">
            <v>Banyuwangi</v>
          </cell>
          <cell r="Q1128" t="str">
            <v>Dsn. Krajan, RT.002/RW.002, Sidodadi, Wongsorejo Kab. Banyuwangi</v>
          </cell>
          <cell r="R1128" t="str">
            <v>Banyuwangi</v>
          </cell>
          <cell r="S1128" t="str">
            <v>H Bwi5</v>
          </cell>
          <cell r="T1128" t="str">
            <v>Hafid</v>
          </cell>
          <cell r="U1128">
            <v>0</v>
          </cell>
        </row>
        <row r="1129">
          <cell r="E1129" t="str">
            <v>D25016310</v>
          </cell>
          <cell r="F1129"/>
          <cell r="G1129">
            <v>350000000</v>
          </cell>
          <cell r="H1129" t="str">
            <v>Faris</v>
          </cell>
          <cell r="I1129" t="str">
            <v>Syahra</v>
          </cell>
          <cell r="J1129"/>
          <cell r="K1129" t="str">
            <v>KU</v>
          </cell>
          <cell r="L1129" t="str">
            <v>BERK24</v>
          </cell>
          <cell r="M1129" t="str">
            <v>Berkah Tani/Zainul</v>
          </cell>
          <cell r="N1129" t="str">
            <v>Moh Zainul Roziqin</v>
          </cell>
          <cell r="O1129" t="str">
            <v>Dsn. Krajan, RT.002/RW.002, Sidodadi, Wongsorejo Kab. Banyuwangi</v>
          </cell>
          <cell r="P1129" t="str">
            <v>Banyuwangi</v>
          </cell>
          <cell r="Q1129" t="str">
            <v>Dsn. Krajan, RT.002/RW.002, Sidodadi, Wongsorejo Kab. Banyuwangi</v>
          </cell>
          <cell r="R1129" t="str">
            <v>Banyuwangi</v>
          </cell>
          <cell r="S1129" t="str">
            <v>H Bwi5</v>
          </cell>
          <cell r="T1129" t="str">
            <v>Hafid</v>
          </cell>
          <cell r="U1129">
            <v>30</v>
          </cell>
        </row>
        <row r="1130">
          <cell r="E1130" t="str">
            <v>B25014044</v>
          </cell>
          <cell r="F1130"/>
          <cell r="G1130">
            <v>350000000</v>
          </cell>
          <cell r="H1130" t="str">
            <v>Faris</v>
          </cell>
          <cell r="I1130" t="str">
            <v>Syahra</v>
          </cell>
          <cell r="J1130"/>
          <cell r="K1130" t="str">
            <v>KU</v>
          </cell>
          <cell r="L1130" t="str">
            <v>BERK24</v>
          </cell>
          <cell r="M1130" t="str">
            <v>Berkah Tani/Zainul</v>
          </cell>
          <cell r="N1130" t="str">
            <v>Moh Zainul Roziqin</v>
          </cell>
          <cell r="O1130" t="str">
            <v>Dsn. Krajan, RT.002/RW.002, Sidodadi, Wongsorejo Kab. Banyuwangi</v>
          </cell>
          <cell r="P1130" t="str">
            <v>Banyuwangi</v>
          </cell>
          <cell r="Q1130" t="str">
            <v>Dsn. Krajan, RT.002/RW.002, Sidodadi, Wongsorejo Kab. Banyuwangi</v>
          </cell>
          <cell r="R1130" t="str">
            <v>Banyuwangi</v>
          </cell>
          <cell r="S1130" t="str">
            <v>H Bwi5</v>
          </cell>
          <cell r="T1130" t="str">
            <v>Hafid</v>
          </cell>
          <cell r="U1130">
            <v>30</v>
          </cell>
        </row>
        <row r="1131">
          <cell r="E1131" t="str">
            <v>D25010844</v>
          </cell>
          <cell r="F1131"/>
          <cell r="G1131">
            <v>10000000</v>
          </cell>
          <cell r="H1131" t="str">
            <v>Reni</v>
          </cell>
          <cell r="I1131" t="str">
            <v>Farida</v>
          </cell>
          <cell r="J1131" t="str">
            <v>New 13/05/20</v>
          </cell>
          <cell r="K1131" t="str">
            <v>KU</v>
          </cell>
          <cell r="L1131" t="str">
            <v>BERK42</v>
          </cell>
          <cell r="M1131" t="str">
            <v>Berkah, Kios/Wahyudi</v>
          </cell>
          <cell r="N1131" t="str">
            <v>Wahyudi</v>
          </cell>
          <cell r="O1131" t="str">
            <v>Dukuh Bandar RT.001/RW.004 Kel. Karangjoho, Kec. Badegan</v>
          </cell>
          <cell r="P1131" t="str">
            <v>Ponorogo</v>
          </cell>
          <cell r="Q1131" t="str">
            <v>Dukuh Bandar RT.001/RW.004 Kel. Karangjoho, Kec. Badegan</v>
          </cell>
          <cell r="R1131" t="str">
            <v>Ponorogo</v>
          </cell>
          <cell r="S1131" t="str">
            <v>D Barat1</v>
          </cell>
          <cell r="T1131" t="str">
            <v>Dian</v>
          </cell>
          <cell r="U1131">
            <v>60</v>
          </cell>
        </row>
        <row r="1132">
          <cell r="E1132" t="str">
            <v>B25012415</v>
          </cell>
          <cell r="F1132"/>
          <cell r="G1132">
            <v>10000000</v>
          </cell>
          <cell r="H1132" t="str">
            <v>Reni</v>
          </cell>
          <cell r="I1132" t="str">
            <v>Farida</v>
          </cell>
          <cell r="J1132" t="str">
            <v>New 13/05/20</v>
          </cell>
          <cell r="K1132" t="str">
            <v>KU</v>
          </cell>
          <cell r="L1132" t="str">
            <v>BERK42</v>
          </cell>
          <cell r="M1132" t="str">
            <v>Berkah, Kios/Wahyudi</v>
          </cell>
          <cell r="N1132" t="str">
            <v>Wahyudi</v>
          </cell>
          <cell r="O1132" t="str">
            <v>Dukuh Bandar RT.001/RW.004 Kel. Karangjoho, Kec. Badegan</v>
          </cell>
          <cell r="P1132" t="str">
            <v>Ponorogo</v>
          </cell>
          <cell r="Q1132" t="str">
            <v>Dukuh Bandar RT.001/RW.004 Kel. Karangjoho, Kec. Badegan</v>
          </cell>
          <cell r="R1132" t="str">
            <v>Ponorogo</v>
          </cell>
          <cell r="S1132" t="str">
            <v>D Barat1</v>
          </cell>
          <cell r="T1132" t="str">
            <v>Dian</v>
          </cell>
          <cell r="U1132">
            <v>60</v>
          </cell>
        </row>
        <row r="1133">
          <cell r="E1133" t="str">
            <v>B25011134</v>
          </cell>
          <cell r="F1133"/>
          <cell r="G1133">
            <v>100000000</v>
          </cell>
          <cell r="H1133" t="str">
            <v>Faris</v>
          </cell>
          <cell r="I1133" t="str">
            <v>Syahra</v>
          </cell>
          <cell r="J1133"/>
          <cell r="K1133" t="str">
            <v>KU, Tunai</v>
          </cell>
          <cell r="L1133" t="str">
            <v>BERK09</v>
          </cell>
          <cell r="M1133" t="str">
            <v>Berkat Jaya II/Dony</v>
          </cell>
          <cell r="N1133" t="str">
            <v>Donny Setiawan</v>
          </cell>
          <cell r="O1133" t="str">
            <v>Jl. Sukamade No.440, Dsn. Rejoagung, RT.002/RW.001 Sumberagung, Pesanggaran</v>
          </cell>
          <cell r="P1133" t="str">
            <v>Banyuwangi</v>
          </cell>
          <cell r="Q1133" t="str">
            <v>Sumber Agung</v>
          </cell>
          <cell r="R1133" t="str">
            <v>Banyuwangi</v>
          </cell>
          <cell r="S1133" t="str">
            <v>H Bwi4</v>
          </cell>
          <cell r="T1133" t="str">
            <v>Hafid</v>
          </cell>
          <cell r="U1133">
            <v>30</v>
          </cell>
        </row>
        <row r="1134">
          <cell r="E1134" t="str">
            <v>D25015002</v>
          </cell>
          <cell r="F1134"/>
          <cell r="G1134">
            <v>200000000</v>
          </cell>
          <cell r="H1134" t="str">
            <v>Faris</v>
          </cell>
          <cell r="I1134" t="str">
            <v>Syahra</v>
          </cell>
          <cell r="J1134"/>
          <cell r="K1134" t="str">
            <v>KU, Tunai</v>
          </cell>
          <cell r="L1134" t="str">
            <v>BERK08</v>
          </cell>
          <cell r="M1134" t="str">
            <v>Berkat Jaya Utama</v>
          </cell>
          <cell r="N1134" t="str">
            <v>Hartono</v>
          </cell>
          <cell r="O1134" t="str">
            <v>Dsn. Rejoagung, RT.002/RW.001, Sumberagung, Pesanggaran</v>
          </cell>
          <cell r="P1134" t="str">
            <v>Banyuwangi</v>
          </cell>
          <cell r="Q1134" t="str">
            <v>Dsn. Rejoagung, RT.002/RW.001, Sumberagung, Pesanggaran</v>
          </cell>
          <cell r="R1134" t="str">
            <v>Banyuwangi</v>
          </cell>
          <cell r="S1134" t="str">
            <v>H Bwi4</v>
          </cell>
          <cell r="T1134" t="str">
            <v>Hafid</v>
          </cell>
          <cell r="U1134">
            <v>60</v>
          </cell>
        </row>
        <row r="1135">
          <cell r="E1135" t="str">
            <v>B25012781</v>
          </cell>
          <cell r="F1135"/>
          <cell r="G1135">
            <v>200000000</v>
          </cell>
          <cell r="H1135" t="str">
            <v>Faris</v>
          </cell>
          <cell r="I1135" t="str">
            <v>Syahra</v>
          </cell>
          <cell r="J1135"/>
          <cell r="K1135" t="str">
            <v>KU, Tunai</v>
          </cell>
          <cell r="L1135" t="str">
            <v>BERK08</v>
          </cell>
          <cell r="M1135" t="str">
            <v>Berkat Jaya Utama</v>
          </cell>
          <cell r="N1135" t="str">
            <v>Hartono</v>
          </cell>
          <cell r="O1135" t="str">
            <v>Dsn. Rejoagung, RT.002/RW.001, Sumberagung, Pesanggaran</v>
          </cell>
          <cell r="P1135" t="str">
            <v>Banyuwangi</v>
          </cell>
          <cell r="Q1135" t="str">
            <v>Dsn. Rejoagung, RT.002/RW.001, Sumberagung, Pesanggaran</v>
          </cell>
          <cell r="R1135" t="str">
            <v>Banyuwangi</v>
          </cell>
          <cell r="S1135" t="str">
            <v>H Bwi4</v>
          </cell>
          <cell r="T1135" t="str">
            <v>Hafid</v>
          </cell>
          <cell r="U1135">
            <v>0</v>
          </cell>
        </row>
        <row r="1136">
          <cell r="E1136" t="str">
            <v>D25015063</v>
          </cell>
          <cell r="F1136"/>
          <cell r="G1136">
            <v>200000000</v>
          </cell>
          <cell r="H1136" t="str">
            <v>Faris</v>
          </cell>
          <cell r="I1136" t="str">
            <v>Syahra</v>
          </cell>
          <cell r="J1136"/>
          <cell r="K1136" t="str">
            <v>KU, Tunai</v>
          </cell>
          <cell r="L1136" t="str">
            <v>BERK08</v>
          </cell>
          <cell r="M1136" t="str">
            <v>Berkat Jaya Utama</v>
          </cell>
          <cell r="N1136" t="str">
            <v>Hartono</v>
          </cell>
          <cell r="O1136" t="str">
            <v>Dsn. Rejoagung, RT.002/RW.001, Sumberagung, Pesanggaran</v>
          </cell>
          <cell r="P1136" t="str">
            <v>Banyuwangi</v>
          </cell>
          <cell r="Q1136" t="str">
            <v>Dsn. Rejoagung, RT.002/RW.001, Sumberagung, Pesanggaran</v>
          </cell>
          <cell r="R1136" t="str">
            <v>Banyuwangi</v>
          </cell>
          <cell r="S1136" t="str">
            <v>H Bwi4</v>
          </cell>
          <cell r="T1136" t="str">
            <v>Hafid</v>
          </cell>
          <cell r="U1136">
            <v>30</v>
          </cell>
        </row>
        <row r="1137">
          <cell r="E1137" t="str">
            <v>D25015292</v>
          </cell>
          <cell r="F1137"/>
          <cell r="G1137">
            <v>200000000</v>
          </cell>
          <cell r="H1137" t="str">
            <v>Faris</v>
          </cell>
          <cell r="I1137" t="str">
            <v>Syahra</v>
          </cell>
          <cell r="J1137"/>
          <cell r="K1137" t="str">
            <v>KU, Tunai</v>
          </cell>
          <cell r="L1137" t="str">
            <v>BERK08</v>
          </cell>
          <cell r="M1137" t="str">
            <v>Berkat Jaya Utama</v>
          </cell>
          <cell r="N1137" t="str">
            <v>Hartono</v>
          </cell>
          <cell r="O1137" t="str">
            <v>Dsn. Rejoagung, RT.002/RW.001, Sumberagung, Pesanggaran</v>
          </cell>
          <cell r="P1137" t="str">
            <v>Banyuwangi</v>
          </cell>
          <cell r="Q1137" t="str">
            <v>Dsn. Rejoagung, RT.002/RW.001, Sumberagung, Pesanggaran</v>
          </cell>
          <cell r="R1137" t="str">
            <v>Banyuwangi</v>
          </cell>
          <cell r="S1137" t="str">
            <v>H Bwi4</v>
          </cell>
          <cell r="T1137" t="str">
            <v>Hafid</v>
          </cell>
          <cell r="U1137">
            <v>30</v>
          </cell>
        </row>
        <row r="1138">
          <cell r="E1138" t="str">
            <v>B25013090</v>
          </cell>
          <cell r="F1138"/>
          <cell r="G1138">
            <v>200000000</v>
          </cell>
          <cell r="H1138" t="str">
            <v>Faris</v>
          </cell>
          <cell r="I1138" t="str">
            <v>Syahra</v>
          </cell>
          <cell r="J1138"/>
          <cell r="K1138" t="str">
            <v>KU, Tunai</v>
          </cell>
          <cell r="L1138" t="str">
            <v>BERK08</v>
          </cell>
          <cell r="M1138" t="str">
            <v>Berkat Jaya Utama</v>
          </cell>
          <cell r="N1138" t="str">
            <v>Hartono</v>
          </cell>
          <cell r="O1138" t="str">
            <v>Dsn. Rejoagung, RT.002/RW.001, Sumberagung, Pesanggaran</v>
          </cell>
          <cell r="P1138" t="str">
            <v>Banyuwangi</v>
          </cell>
          <cell r="Q1138" t="str">
            <v>Dsn. Rejoagung, RT.002/RW.001, Sumberagung, Pesanggaran</v>
          </cell>
          <cell r="R1138" t="str">
            <v>Banyuwangi</v>
          </cell>
          <cell r="S1138" t="str">
            <v>H Bwi4</v>
          </cell>
          <cell r="T1138" t="str">
            <v>Hafid</v>
          </cell>
          <cell r="U1138">
            <v>30</v>
          </cell>
        </row>
        <row r="1139">
          <cell r="E1139" t="str">
            <v>B25013609</v>
          </cell>
          <cell r="F1139"/>
          <cell r="G1139">
            <v>200000000</v>
          </cell>
          <cell r="H1139" t="str">
            <v>Faris</v>
          </cell>
          <cell r="I1139" t="str">
            <v>Syahra</v>
          </cell>
          <cell r="J1139"/>
          <cell r="K1139" t="str">
            <v>KU, Tunai</v>
          </cell>
          <cell r="L1139" t="str">
            <v>BERK08</v>
          </cell>
          <cell r="M1139" t="str">
            <v>Berkat Jaya Utama</v>
          </cell>
          <cell r="N1139" t="str">
            <v>Hartono</v>
          </cell>
          <cell r="O1139" t="str">
            <v>Dsn. Rejoagung, RT.002/RW.001, Sumberagung, Pesanggaran</v>
          </cell>
          <cell r="P1139" t="str">
            <v>Banyuwangi</v>
          </cell>
          <cell r="Q1139" t="str">
            <v>Dsn. Rejoagung, RT.002/RW.001, Sumberagung, Pesanggaran</v>
          </cell>
          <cell r="R1139" t="str">
            <v>Banyuwangi</v>
          </cell>
          <cell r="S1139" t="str">
            <v>H Bwi4</v>
          </cell>
          <cell r="T1139" t="str">
            <v>Hafid</v>
          </cell>
          <cell r="U1139">
            <v>30</v>
          </cell>
        </row>
        <row r="1140">
          <cell r="E1140" t="str">
            <v>B25013661</v>
          </cell>
          <cell r="F1140"/>
          <cell r="G1140">
            <v>200000000</v>
          </cell>
          <cell r="H1140" t="str">
            <v>Faris</v>
          </cell>
          <cell r="I1140" t="str">
            <v>Syahra</v>
          </cell>
          <cell r="J1140"/>
          <cell r="K1140" t="str">
            <v>KU, Tunai</v>
          </cell>
          <cell r="L1140" t="str">
            <v>BERK08</v>
          </cell>
          <cell r="M1140" t="str">
            <v>Berkat Jaya Utama</v>
          </cell>
          <cell r="N1140" t="str">
            <v>Hartono</v>
          </cell>
          <cell r="O1140" t="str">
            <v>Dsn. Rejoagung, RT.002/RW.001, Sumberagung, Pesanggaran</v>
          </cell>
          <cell r="P1140" t="str">
            <v>Banyuwangi</v>
          </cell>
          <cell r="Q1140" t="str">
            <v>Dsn. Rejoagung, RT.002/RW.001, Sumberagung, Pesanggaran</v>
          </cell>
          <cell r="R1140" t="str">
            <v>Banyuwangi</v>
          </cell>
          <cell r="S1140" t="str">
            <v>H Bwi4</v>
          </cell>
          <cell r="T1140" t="str">
            <v>Hafid</v>
          </cell>
          <cell r="U1140">
            <v>30</v>
          </cell>
        </row>
        <row r="1141">
          <cell r="E1141" t="str">
            <v>B25013662</v>
          </cell>
          <cell r="F1141"/>
          <cell r="G1141">
            <v>200000000</v>
          </cell>
          <cell r="H1141" t="str">
            <v>Faris</v>
          </cell>
          <cell r="I1141" t="str">
            <v>Syahra</v>
          </cell>
          <cell r="J1141"/>
          <cell r="K1141" t="str">
            <v>KU, Tunai</v>
          </cell>
          <cell r="L1141" t="str">
            <v>BERK08</v>
          </cell>
          <cell r="M1141" t="str">
            <v>Berkat Jaya Utama</v>
          </cell>
          <cell r="N1141" t="str">
            <v>Hartono</v>
          </cell>
          <cell r="O1141" t="str">
            <v>Dsn. Rejoagung, RT.002/RW.001, Sumberagung, Pesanggaran</v>
          </cell>
          <cell r="P1141" t="str">
            <v>Banyuwangi</v>
          </cell>
          <cell r="Q1141" t="str">
            <v>Dsn. Rejoagung, RT.002/RW.001, Sumberagung, Pesanggaran</v>
          </cell>
          <cell r="R1141" t="str">
            <v>Banyuwangi</v>
          </cell>
          <cell r="S1141" t="str">
            <v>H Bwi4</v>
          </cell>
          <cell r="T1141" t="str">
            <v>Hafid</v>
          </cell>
          <cell r="U1141">
            <v>30</v>
          </cell>
        </row>
        <row r="1142">
          <cell r="E1142" t="str">
            <v>B25013677</v>
          </cell>
          <cell r="F1142"/>
          <cell r="G1142">
            <v>200000000</v>
          </cell>
          <cell r="H1142" t="str">
            <v>Faris</v>
          </cell>
          <cell r="I1142" t="str">
            <v>Syahra</v>
          </cell>
          <cell r="J1142"/>
          <cell r="K1142" t="str">
            <v>KU, Tunai</v>
          </cell>
          <cell r="L1142" t="str">
            <v>BERK08</v>
          </cell>
          <cell r="M1142" t="str">
            <v>Berkat Jaya Utama</v>
          </cell>
          <cell r="N1142" t="str">
            <v>Hartono</v>
          </cell>
          <cell r="O1142" t="str">
            <v>Dsn. Rejoagung, RT.002/RW.001, Sumberagung, Pesanggaran</v>
          </cell>
          <cell r="P1142" t="str">
            <v>Banyuwangi</v>
          </cell>
          <cell r="Q1142" t="str">
            <v>Dsn. Rejoagung, RT.002/RW.001, Sumberagung, Pesanggaran</v>
          </cell>
          <cell r="R1142" t="str">
            <v>Banyuwangi</v>
          </cell>
          <cell r="S1142" t="str">
            <v>H Bwi4</v>
          </cell>
          <cell r="T1142" t="str">
            <v>Hafid</v>
          </cell>
          <cell r="U1142">
            <v>30</v>
          </cell>
        </row>
        <row r="1143">
          <cell r="E1143" t="str">
            <v>T25001581</v>
          </cell>
          <cell r="F1143"/>
          <cell r="G1143">
            <v>200000000</v>
          </cell>
          <cell r="H1143" t="str">
            <v>Faris</v>
          </cell>
          <cell r="I1143" t="str">
            <v>Syahra</v>
          </cell>
          <cell r="J1143"/>
          <cell r="K1143" t="str">
            <v>KU, Tunai</v>
          </cell>
          <cell r="L1143" t="str">
            <v>BERK08</v>
          </cell>
          <cell r="M1143" t="str">
            <v>Berkat Jaya Utama</v>
          </cell>
          <cell r="N1143" t="str">
            <v>Hartono</v>
          </cell>
          <cell r="O1143" t="str">
            <v>Dsn. Rejoagung, RT.002/RW.001, Sumberagung, Pesanggaran</v>
          </cell>
          <cell r="P1143" t="str">
            <v>Banyuwangi</v>
          </cell>
          <cell r="Q1143" t="str">
            <v>Dsn. Rejoagung, RT.002/RW.001, Sumberagung, Pesanggaran</v>
          </cell>
          <cell r="R1143" t="str">
            <v>Banyuwangi</v>
          </cell>
          <cell r="S1143" t="str">
            <v>H Bwi4</v>
          </cell>
          <cell r="T1143" t="str">
            <v>Hafid</v>
          </cell>
          <cell r="U1143">
            <v>60</v>
          </cell>
        </row>
        <row r="1144">
          <cell r="E1144" t="str">
            <v>B25013719</v>
          </cell>
          <cell r="F1144"/>
          <cell r="G1144">
            <v>200000000</v>
          </cell>
          <cell r="H1144" t="str">
            <v>Faris</v>
          </cell>
          <cell r="I1144" t="str">
            <v>Syahra</v>
          </cell>
          <cell r="J1144"/>
          <cell r="K1144" t="str">
            <v>KU, Tunai</v>
          </cell>
          <cell r="L1144" t="str">
            <v>BERK08</v>
          </cell>
          <cell r="M1144" t="str">
            <v>Berkat Jaya Utama</v>
          </cell>
          <cell r="N1144" t="str">
            <v>Hartono</v>
          </cell>
          <cell r="O1144" t="str">
            <v>Dsn. Rejoagung, RT.002/RW.001, Sumberagung, Pesanggaran</v>
          </cell>
          <cell r="P1144" t="str">
            <v>Banyuwangi</v>
          </cell>
          <cell r="Q1144" t="str">
            <v>Dsn. Rejoagung, RT.002/RW.001, Sumberagung, Pesanggaran</v>
          </cell>
          <cell r="R1144" t="str">
            <v>Banyuwangi</v>
          </cell>
          <cell r="S1144" t="str">
            <v>H Bwi4</v>
          </cell>
          <cell r="T1144" t="str">
            <v>Hafid</v>
          </cell>
          <cell r="U1144">
            <v>30</v>
          </cell>
        </row>
        <row r="1145">
          <cell r="E1145" t="str">
            <v>T25001598</v>
          </cell>
          <cell r="F1145"/>
          <cell r="G1145">
            <v>200000000</v>
          </cell>
          <cell r="H1145" t="str">
            <v>Faris</v>
          </cell>
          <cell r="I1145" t="str">
            <v>Syahra</v>
          </cell>
          <cell r="J1145"/>
          <cell r="K1145" t="str">
            <v>KU, Tunai</v>
          </cell>
          <cell r="L1145" t="str">
            <v>BERK08</v>
          </cell>
          <cell r="M1145" t="str">
            <v>Berkat Jaya Utama</v>
          </cell>
          <cell r="N1145" t="str">
            <v>Hartono</v>
          </cell>
          <cell r="O1145" t="str">
            <v>Dsn. Rejoagung, RT.002/RW.001, Sumberagung, Pesanggaran</v>
          </cell>
          <cell r="P1145" t="str">
            <v>Banyuwangi</v>
          </cell>
          <cell r="Q1145" t="str">
            <v>Dsn. Rejoagung, RT.002/RW.001, Sumberagung, Pesanggaran</v>
          </cell>
          <cell r="R1145" t="str">
            <v>Banyuwangi</v>
          </cell>
          <cell r="S1145" t="str">
            <v>H Bwi4</v>
          </cell>
          <cell r="T1145" t="str">
            <v>Hafid</v>
          </cell>
          <cell r="U1145">
            <v>60</v>
          </cell>
        </row>
        <row r="1146">
          <cell r="E1146" t="str">
            <v>B25013891</v>
          </cell>
          <cell r="F1146"/>
          <cell r="G1146">
            <v>200000000</v>
          </cell>
          <cell r="H1146" t="str">
            <v>Faris</v>
          </cell>
          <cell r="I1146" t="str">
            <v>Syahra</v>
          </cell>
          <cell r="J1146"/>
          <cell r="K1146" t="str">
            <v>KU, Tunai</v>
          </cell>
          <cell r="L1146" t="str">
            <v>BERK08</v>
          </cell>
          <cell r="M1146" t="str">
            <v>Berkat Jaya Utama</v>
          </cell>
          <cell r="N1146" t="str">
            <v>Hartono</v>
          </cell>
          <cell r="O1146" t="str">
            <v>Dsn. Rejoagung, RT.002/RW.001, Sumberagung, Pesanggaran</v>
          </cell>
          <cell r="P1146" t="str">
            <v>Banyuwangi</v>
          </cell>
          <cell r="Q1146" t="str">
            <v>Dsn. Rejoagung, RT.002/RW.001, Sumberagung, Pesanggaran</v>
          </cell>
          <cell r="R1146" t="str">
            <v>Banyuwangi</v>
          </cell>
          <cell r="S1146" t="str">
            <v>H Bwi4</v>
          </cell>
          <cell r="T1146" t="str">
            <v>Hafid</v>
          </cell>
          <cell r="U1146">
            <v>30</v>
          </cell>
        </row>
        <row r="1147">
          <cell r="E1147" t="str">
            <v>D25016283</v>
          </cell>
          <cell r="F1147"/>
          <cell r="G1147">
            <v>200000000</v>
          </cell>
          <cell r="H1147" t="str">
            <v>Faris</v>
          </cell>
          <cell r="I1147" t="str">
            <v>Syahra</v>
          </cell>
          <cell r="J1147"/>
          <cell r="K1147" t="str">
            <v>KU, Tunai</v>
          </cell>
          <cell r="L1147" t="str">
            <v>BERK08</v>
          </cell>
          <cell r="M1147" t="str">
            <v>Berkat Jaya Utama</v>
          </cell>
          <cell r="N1147" t="str">
            <v>Hartono</v>
          </cell>
          <cell r="O1147" t="str">
            <v>Dsn. Rejoagung, RT.002/RW.001, Sumberagung, Pesanggaran</v>
          </cell>
          <cell r="P1147" t="str">
            <v>Banyuwangi</v>
          </cell>
          <cell r="Q1147" t="str">
            <v>Dsn. Rejoagung, RT.002/RW.001, Sumberagung, Pesanggaran</v>
          </cell>
          <cell r="R1147" t="str">
            <v>Banyuwangi</v>
          </cell>
          <cell r="S1147" t="str">
            <v>H Bwi4</v>
          </cell>
          <cell r="T1147" t="str">
            <v>Hafid</v>
          </cell>
          <cell r="U1147">
            <v>30</v>
          </cell>
        </row>
        <row r="1148">
          <cell r="E1148" t="str">
            <v>B25014030</v>
          </cell>
          <cell r="F1148"/>
          <cell r="G1148">
            <v>200000000</v>
          </cell>
          <cell r="H1148" t="str">
            <v>Faris</v>
          </cell>
          <cell r="I1148" t="str">
            <v>Syahra</v>
          </cell>
          <cell r="J1148"/>
          <cell r="K1148" t="str">
            <v>KU, Tunai</v>
          </cell>
          <cell r="L1148" t="str">
            <v>BERK08</v>
          </cell>
          <cell r="M1148" t="str">
            <v>Berkat Jaya Utama</v>
          </cell>
          <cell r="N1148" t="str">
            <v>Hartono</v>
          </cell>
          <cell r="O1148" t="str">
            <v>Dsn. Rejoagung, RT.002/RW.001, Sumberagung, Pesanggaran</v>
          </cell>
          <cell r="P1148" t="str">
            <v>Banyuwangi</v>
          </cell>
          <cell r="Q1148" t="str">
            <v>Dsn. Rejoagung, RT.002/RW.001, Sumberagung, Pesanggaran</v>
          </cell>
          <cell r="R1148" t="str">
            <v>Banyuwangi</v>
          </cell>
          <cell r="S1148" t="str">
            <v>H Bwi4</v>
          </cell>
          <cell r="T1148" t="str">
            <v>Hafid</v>
          </cell>
          <cell r="U1148">
            <v>30</v>
          </cell>
        </row>
        <row r="1149">
          <cell r="E1149" t="str">
            <v>D25013600</v>
          </cell>
          <cell r="F1149"/>
          <cell r="G1149">
            <v>50000000</v>
          </cell>
          <cell r="H1149" t="str">
            <v>Reni</v>
          </cell>
          <cell r="I1149" t="str">
            <v>Farida</v>
          </cell>
          <cell r="J1149"/>
          <cell r="K1149" t="str">
            <v>KU</v>
          </cell>
          <cell r="L1149" t="str">
            <v>BERK10</v>
          </cell>
          <cell r="M1149" t="str">
            <v>Berkat Tani/Benny</v>
          </cell>
          <cell r="N1149" t="str">
            <v>Berkat Tani, CV</v>
          </cell>
          <cell r="O1149" t="str">
            <v>Jl. HM Sunan SH, RT.003/RW.002 Penarukan, Kepanjen, Kab. Malang</v>
          </cell>
          <cell r="P1149" t="str">
            <v>Malang</v>
          </cell>
          <cell r="Q1149" t="str">
            <v>Jl. HM Sunan SH, RT.003/RW.002 Penarukan, Kepanjen, Kab. Malang</v>
          </cell>
          <cell r="R1149" t="str">
            <v>Malang</v>
          </cell>
          <cell r="S1149" t="str">
            <v>F Utara1</v>
          </cell>
          <cell r="T1149" t="str">
            <v>Tomi</v>
          </cell>
          <cell r="U1149">
            <v>60</v>
          </cell>
        </row>
        <row r="1150">
          <cell r="E1150" t="str">
            <v>D25013678</v>
          </cell>
          <cell r="F1150"/>
          <cell r="G1150">
            <v>50000000</v>
          </cell>
          <cell r="H1150" t="str">
            <v>Reni</v>
          </cell>
          <cell r="I1150" t="str">
            <v>Farida</v>
          </cell>
          <cell r="J1150"/>
          <cell r="K1150" t="str">
            <v>KU</v>
          </cell>
          <cell r="L1150" t="str">
            <v>BERK10</v>
          </cell>
          <cell r="M1150" t="str">
            <v>Berkat Tani/Benny</v>
          </cell>
          <cell r="N1150" t="str">
            <v>Berkat Tani, CV</v>
          </cell>
          <cell r="O1150" t="str">
            <v>Jl. HM Sunan SH, RT.003/RW.002 Penarukan, Kepanjen, Kab. Malang</v>
          </cell>
          <cell r="P1150" t="str">
            <v>Malang</v>
          </cell>
          <cell r="Q1150" t="str">
            <v>Jl. HM Sunan SH, RT.003/RW.002 Penarukan, Kepanjen, Kab. Malang</v>
          </cell>
          <cell r="R1150" t="str">
            <v>Malang</v>
          </cell>
          <cell r="S1150" t="str">
            <v>F Utara1</v>
          </cell>
          <cell r="T1150" t="str">
            <v>Tomi</v>
          </cell>
          <cell r="U1150">
            <v>30</v>
          </cell>
        </row>
        <row r="1151">
          <cell r="E1151" t="str">
            <v>D25013712</v>
          </cell>
          <cell r="F1151"/>
          <cell r="G1151">
            <v>50000000</v>
          </cell>
          <cell r="H1151" t="str">
            <v>Reni</v>
          </cell>
          <cell r="I1151" t="str">
            <v>Farida</v>
          </cell>
          <cell r="J1151"/>
          <cell r="K1151" t="str">
            <v>KU</v>
          </cell>
          <cell r="L1151" t="str">
            <v>BERK10</v>
          </cell>
          <cell r="M1151" t="str">
            <v>Berkat Tani/Benny</v>
          </cell>
          <cell r="N1151" t="str">
            <v>Berkat Tani, CV</v>
          </cell>
          <cell r="O1151" t="str">
            <v>Jl. HM Sunan SH, RT.003/RW.002 Penarukan, Kepanjen, Kab. Malang</v>
          </cell>
          <cell r="P1151" t="str">
            <v>Malang</v>
          </cell>
          <cell r="Q1151" t="str">
            <v>Jl. HM Sunan SH, RT.003/RW.002 Penarukan, Kepanjen, Kab. Malang</v>
          </cell>
          <cell r="R1151" t="str">
            <v>Malang</v>
          </cell>
          <cell r="S1151" t="str">
            <v>F Utara1</v>
          </cell>
          <cell r="T1151" t="str">
            <v>Tomi</v>
          </cell>
          <cell r="U1151">
            <v>60</v>
          </cell>
        </row>
        <row r="1152">
          <cell r="E1152" t="str">
            <v>D25014475</v>
          </cell>
          <cell r="F1152"/>
          <cell r="G1152">
            <v>50000000</v>
          </cell>
          <cell r="H1152" t="str">
            <v>Reni</v>
          </cell>
          <cell r="I1152" t="str">
            <v>Farida</v>
          </cell>
          <cell r="J1152"/>
          <cell r="K1152" t="str">
            <v>KU</v>
          </cell>
          <cell r="L1152" t="str">
            <v>BERK10</v>
          </cell>
          <cell r="M1152" t="str">
            <v>Berkat Tani/Benny</v>
          </cell>
          <cell r="N1152" t="str">
            <v>Berkat Tani, CV</v>
          </cell>
          <cell r="O1152" t="str">
            <v>Jl. HM Sunan SH, RT.003/RW.002 Penarukan, Kepanjen, Kab. Malang</v>
          </cell>
          <cell r="P1152" t="str">
            <v>Malang</v>
          </cell>
          <cell r="Q1152" t="str">
            <v>Jl. HM Sunan SH, RT.003/RW.002 Penarukan, Kepanjen, Kab. Malang</v>
          </cell>
          <cell r="R1152" t="str">
            <v>Malang</v>
          </cell>
          <cell r="S1152" t="str">
            <v>F Utara1</v>
          </cell>
          <cell r="T1152" t="str">
            <v>Tomi</v>
          </cell>
          <cell r="U1152">
            <v>60</v>
          </cell>
        </row>
        <row r="1153">
          <cell r="E1153" t="str">
            <v>B25012902</v>
          </cell>
          <cell r="F1153"/>
          <cell r="G1153">
            <v>50000000</v>
          </cell>
          <cell r="H1153" t="str">
            <v>Reni</v>
          </cell>
          <cell r="I1153" t="str">
            <v>Farida</v>
          </cell>
          <cell r="J1153"/>
          <cell r="K1153" t="str">
            <v>KU</v>
          </cell>
          <cell r="L1153" t="str">
            <v>BERK10</v>
          </cell>
          <cell r="M1153" t="str">
            <v>Berkat Tani/Benny</v>
          </cell>
          <cell r="N1153" t="str">
            <v>Berkat Tani, CV</v>
          </cell>
          <cell r="O1153" t="str">
            <v>Jl. HM Sunan SH, RT.003/RW.002 Penarukan, Kepanjen, Kab. Malang</v>
          </cell>
          <cell r="P1153" t="str">
            <v>Malang</v>
          </cell>
          <cell r="Q1153" t="str">
            <v>Jl. HM Sunan SH, RT.003/RW.002 Penarukan, Kepanjen, Kab. Malang</v>
          </cell>
          <cell r="R1153" t="str">
            <v>Malang</v>
          </cell>
          <cell r="S1153" t="str">
            <v>F Utara1</v>
          </cell>
          <cell r="T1153" t="str">
            <v>Tomi</v>
          </cell>
          <cell r="U1153">
            <v>60</v>
          </cell>
        </row>
        <row r="1154">
          <cell r="E1154" t="str">
            <v>B25014004</v>
          </cell>
          <cell r="F1154"/>
          <cell r="G1154">
            <v>50000000</v>
          </cell>
          <cell r="H1154" t="str">
            <v>Reni</v>
          </cell>
          <cell r="I1154" t="str">
            <v>Farida</v>
          </cell>
          <cell r="J1154"/>
          <cell r="K1154" t="str">
            <v>KU</v>
          </cell>
          <cell r="L1154" t="str">
            <v>BERK10</v>
          </cell>
          <cell r="M1154" t="str">
            <v>Berkat Tani/Benny</v>
          </cell>
          <cell r="N1154" t="str">
            <v>Berkat Tani, CV</v>
          </cell>
          <cell r="O1154" t="str">
            <v>Jl. HM Sunan SH, RT.003/RW.002 Penarukan, Kepanjen, Kab. Malang</v>
          </cell>
          <cell r="P1154" t="str">
            <v>Malang</v>
          </cell>
          <cell r="Q1154" t="str">
            <v>Jl. HM Sunan SH, RT.003/RW.002 Penarukan, Kepanjen, Kab. Malang</v>
          </cell>
          <cell r="R1154" t="str">
            <v>Malang</v>
          </cell>
          <cell r="S1154" t="str">
            <v>F Utara1</v>
          </cell>
          <cell r="T1154" t="str">
            <v>Tomi</v>
          </cell>
          <cell r="U1154">
            <v>60</v>
          </cell>
        </row>
        <row r="1155">
          <cell r="E1155" t="str">
            <v>T25001517</v>
          </cell>
          <cell r="F1155"/>
          <cell r="G1155">
            <v>1000</v>
          </cell>
          <cell r="H1155" t="str">
            <v>Ariyani</v>
          </cell>
          <cell r="I1155" t="str">
            <v>Fira</v>
          </cell>
          <cell r="J1155" t="str">
            <v>New 10/10/25</v>
          </cell>
          <cell r="K1155" t="str">
            <v>KU</v>
          </cell>
          <cell r="L1155" t="str">
            <v>BERL02</v>
          </cell>
          <cell r="M1155" t="str">
            <v>Berlian Tani/Putri</v>
          </cell>
          <cell r="N1155" t="str">
            <v>Putri Diana</v>
          </cell>
          <cell r="O1155" t="str">
            <v>Dusun Sumber Dandang RT.001/RW.010, Kel. Kertosari, Kec. Pakusari</v>
          </cell>
          <cell r="P1155" t="str">
            <v>Jember</v>
          </cell>
          <cell r="Q1155" t="str">
            <v>Jln. Soekarno Hatta, Kel. Kawang Rejo, Kec. Mumbulsari</v>
          </cell>
          <cell r="R1155" t="str">
            <v>Jember</v>
          </cell>
          <cell r="S1155" t="str">
            <v>L Kota1</v>
          </cell>
          <cell r="T1155" t="str">
            <v>Wira</v>
          </cell>
          <cell r="U1155">
            <v>0</v>
          </cell>
        </row>
        <row r="1156">
          <cell r="E1156" t="str">
            <v>B25013001</v>
          </cell>
          <cell r="F1156"/>
          <cell r="G1156">
            <v>1000</v>
          </cell>
          <cell r="H1156" t="str">
            <v>Ariyani</v>
          </cell>
          <cell r="I1156" t="str">
            <v>Fira</v>
          </cell>
          <cell r="J1156" t="str">
            <v>New 10/10/25</v>
          </cell>
          <cell r="K1156" t="str">
            <v>KU</v>
          </cell>
          <cell r="L1156" t="str">
            <v>BERL02</v>
          </cell>
          <cell r="M1156" t="str">
            <v>Berlian Tani/Putri</v>
          </cell>
          <cell r="N1156" t="str">
            <v>Putri Diana</v>
          </cell>
          <cell r="O1156" t="str">
            <v>Dusun Sumber Dandang RT.001/RW.010, Kel. Kertosari, Kec. Pakusari</v>
          </cell>
          <cell r="P1156" t="str">
            <v>Jember</v>
          </cell>
          <cell r="Q1156" t="str">
            <v>Jln. Soekarno Hatta, Kel. Kawang Rejo, Kec. Mumbulsari</v>
          </cell>
          <cell r="R1156" t="str">
            <v>Jember</v>
          </cell>
          <cell r="S1156" t="str">
            <v>L Kota1</v>
          </cell>
          <cell r="T1156" t="str">
            <v>Wira</v>
          </cell>
          <cell r="U1156">
            <v>0</v>
          </cell>
        </row>
        <row r="1157">
          <cell r="E1157" t="str">
            <v>B25009840</v>
          </cell>
          <cell r="F1157"/>
          <cell r="G1157">
            <v>344070000</v>
          </cell>
          <cell r="H1157" t="str">
            <v>Yuyun</v>
          </cell>
          <cell r="I1157" t="str">
            <v>Farida</v>
          </cell>
          <cell r="J1157"/>
          <cell r="K1157" t="str">
            <v>KU</v>
          </cell>
          <cell r="L1157" t="str">
            <v>BIMA04</v>
          </cell>
          <cell r="M1157" t="str">
            <v>Bima Tani Jaya/Kevin Pratama</v>
          </cell>
          <cell r="N1157" t="str">
            <v>Kevin Pratama Susilo</v>
          </cell>
          <cell r="O1157" t="str">
            <v>Jl. Nusantara F-06 A RT.004/RW.012, Kel. Kaliwates, Kec. Kaliwates</v>
          </cell>
          <cell r="P1157" t="str">
            <v>Jember</v>
          </cell>
          <cell r="Q1157" t="str">
            <v>Krajan Tutul, Kel. Tutul, Kec. Balung (pinggir jalan)</v>
          </cell>
          <cell r="R1157" t="str">
            <v>Jember</v>
          </cell>
          <cell r="S1157" t="str">
            <v>L Kota1</v>
          </cell>
          <cell r="T1157" t="str">
            <v>Wira</v>
          </cell>
          <cell r="U1157">
            <v>30</v>
          </cell>
        </row>
        <row r="1158">
          <cell r="E1158" t="str">
            <v>T25001230k</v>
          </cell>
          <cell r="F1158"/>
          <cell r="G1158">
            <v>344070000</v>
          </cell>
          <cell r="H1158" t="str">
            <v>Yuyun</v>
          </cell>
          <cell r="I1158" t="str">
            <v>Farida</v>
          </cell>
          <cell r="J1158"/>
          <cell r="K1158" t="str">
            <v>KU</v>
          </cell>
          <cell r="L1158" t="str">
            <v>BIMA04</v>
          </cell>
          <cell r="M1158" t="str">
            <v>Bima Tani Jaya/Kevin Pratama</v>
          </cell>
          <cell r="N1158" t="str">
            <v>Kevin Pratama Susilo</v>
          </cell>
          <cell r="O1158" t="str">
            <v>Jl. Nusantara F-06 A RT.004/RW.012, Kel. Kaliwates, Kec. Kaliwates</v>
          </cell>
          <cell r="P1158" t="str">
            <v>Jember</v>
          </cell>
          <cell r="Q1158" t="str">
            <v>Krajan Tutul, Kel. Tutul, Kec. Balung (pinggir jalan)</v>
          </cell>
          <cell r="R1158" t="str">
            <v>Jember</v>
          </cell>
          <cell r="S1158" t="str">
            <v>L Kota1</v>
          </cell>
          <cell r="T1158" t="str">
            <v>Wira</v>
          </cell>
          <cell r="U1158">
            <v>60</v>
          </cell>
        </row>
        <row r="1159">
          <cell r="E1159" t="str">
            <v>T25001230k</v>
          </cell>
          <cell r="F1159"/>
          <cell r="G1159">
            <v>344070000</v>
          </cell>
          <cell r="H1159" t="str">
            <v>Yuyun</v>
          </cell>
          <cell r="I1159" t="str">
            <v>Farida</v>
          </cell>
          <cell r="J1159"/>
          <cell r="K1159" t="str">
            <v>KU</v>
          </cell>
          <cell r="L1159" t="str">
            <v>BIMA04</v>
          </cell>
          <cell r="M1159" t="str">
            <v>Bima Tani Jaya/Kevin Pratama</v>
          </cell>
          <cell r="N1159" t="str">
            <v>Kevin Pratama Susilo</v>
          </cell>
          <cell r="O1159" t="str">
            <v>Jl. Nusantara F-06 A RT.004/RW.012, Kel. Kaliwates, Kec. Kaliwates</v>
          </cell>
          <cell r="P1159" t="str">
            <v>Jember</v>
          </cell>
          <cell r="Q1159" t="str">
            <v>Krajan Tutul, Kel. Tutul, Kec. Balung (pinggir jalan)</v>
          </cell>
          <cell r="R1159" t="str">
            <v>Jember</v>
          </cell>
          <cell r="S1159" t="str">
            <v>L Kota1</v>
          </cell>
          <cell r="T1159" t="str">
            <v>Wira</v>
          </cell>
          <cell r="U1159">
            <v>60</v>
          </cell>
        </row>
        <row r="1160">
          <cell r="E1160" t="str">
            <v>B25010062</v>
          </cell>
          <cell r="F1160"/>
          <cell r="G1160">
            <v>344070000</v>
          </cell>
          <cell r="H1160" t="str">
            <v>Yuyun</v>
          </cell>
          <cell r="I1160" t="str">
            <v>Farida</v>
          </cell>
          <cell r="J1160"/>
          <cell r="K1160" t="str">
            <v>KU</v>
          </cell>
          <cell r="L1160" t="str">
            <v>BIMA04</v>
          </cell>
          <cell r="M1160" t="str">
            <v>Bima Tani Jaya/Kevin Pratama</v>
          </cell>
          <cell r="N1160" t="str">
            <v>Kevin Pratama Susilo</v>
          </cell>
          <cell r="O1160" t="str">
            <v>Jl. Nusantara F-06 A RT.004/RW.012, Kel. Kaliwates, Kec. Kaliwates</v>
          </cell>
          <cell r="P1160" t="str">
            <v>Jember</v>
          </cell>
          <cell r="Q1160" t="str">
            <v>Krajan Tutul, Kel. Tutul, Kec. Balung (pinggir jalan)</v>
          </cell>
          <cell r="R1160" t="str">
            <v>Jember</v>
          </cell>
          <cell r="S1160" t="str">
            <v>L Kota1</v>
          </cell>
          <cell r="T1160" t="str">
            <v>Wira</v>
          </cell>
          <cell r="U1160">
            <v>30</v>
          </cell>
        </row>
        <row r="1161">
          <cell r="E1161" t="str">
            <v>B25010068</v>
          </cell>
          <cell r="F1161"/>
          <cell r="G1161">
            <v>344070000</v>
          </cell>
          <cell r="H1161" t="str">
            <v>Yuyun</v>
          </cell>
          <cell r="I1161" t="str">
            <v>Farida</v>
          </cell>
          <cell r="J1161"/>
          <cell r="K1161" t="str">
            <v>KU</v>
          </cell>
          <cell r="L1161" t="str">
            <v>BIMA04</v>
          </cell>
          <cell r="M1161" t="str">
            <v>Bima Tani Jaya/Kevin Pratama</v>
          </cell>
          <cell r="N1161" t="str">
            <v>Kevin Pratama Susilo</v>
          </cell>
          <cell r="O1161" t="str">
            <v>Jl. Nusantara F-06 A RT.004/RW.012, Kel. Kaliwates, Kec. Kaliwates</v>
          </cell>
          <cell r="P1161" t="str">
            <v>Jember</v>
          </cell>
          <cell r="Q1161" t="str">
            <v>Krajan Tutul, Kel. Tutul, Kec. Balung (pinggir jalan)</v>
          </cell>
          <cell r="R1161" t="str">
            <v>Jember</v>
          </cell>
          <cell r="S1161" t="str">
            <v>L Kota1</v>
          </cell>
          <cell r="T1161" t="str">
            <v>Wira</v>
          </cell>
          <cell r="U1161">
            <v>30</v>
          </cell>
        </row>
        <row r="1162">
          <cell r="E1162" t="str">
            <v>D25011990</v>
          </cell>
          <cell r="F1162"/>
          <cell r="G1162">
            <v>344070000</v>
          </cell>
          <cell r="H1162" t="str">
            <v>Yuyun</v>
          </cell>
          <cell r="I1162" t="str">
            <v>Farida</v>
          </cell>
          <cell r="J1162"/>
          <cell r="K1162" t="str">
            <v>KU</v>
          </cell>
          <cell r="L1162" t="str">
            <v>BIMA04</v>
          </cell>
          <cell r="M1162" t="str">
            <v>Bima Tani Jaya/Kevin Pratama</v>
          </cell>
          <cell r="N1162" t="str">
            <v>Kevin Pratama Susilo</v>
          </cell>
          <cell r="O1162" t="str">
            <v>Jl. Nusantara F-06 A RT.004/RW.012, Kel. Kaliwates, Kec. Kaliwates</v>
          </cell>
          <cell r="P1162" t="str">
            <v>Jember</v>
          </cell>
          <cell r="Q1162" t="str">
            <v>Krajan Tutul, Kel. Tutul, Kec. Balung (pinggir jalan)</v>
          </cell>
          <cell r="R1162" t="str">
            <v>Jember</v>
          </cell>
          <cell r="S1162" t="str">
            <v>L Kota1</v>
          </cell>
          <cell r="T1162" t="str">
            <v>Wira</v>
          </cell>
          <cell r="U1162">
            <v>30</v>
          </cell>
        </row>
        <row r="1163">
          <cell r="E1163" t="str">
            <v>D25011990</v>
          </cell>
          <cell r="F1163"/>
          <cell r="G1163">
            <v>344070000</v>
          </cell>
          <cell r="H1163" t="str">
            <v>Yuyun</v>
          </cell>
          <cell r="I1163" t="str">
            <v>Farida</v>
          </cell>
          <cell r="J1163"/>
          <cell r="K1163" t="str">
            <v>KU</v>
          </cell>
          <cell r="L1163" t="str">
            <v>BIMA04</v>
          </cell>
          <cell r="M1163" t="str">
            <v>Bima Tani Jaya/Kevin Pratama</v>
          </cell>
          <cell r="N1163" t="str">
            <v>Kevin Pratama Susilo</v>
          </cell>
          <cell r="O1163" t="str">
            <v>Jl. Nusantara F-06 A RT.004/RW.012, Kel. Kaliwates, Kec. Kaliwates</v>
          </cell>
          <cell r="P1163" t="str">
            <v>Jember</v>
          </cell>
          <cell r="Q1163" t="str">
            <v>Krajan Tutul, Kel. Tutul, Kec. Balung (pinggir jalan)</v>
          </cell>
          <cell r="R1163" t="str">
            <v>Jember</v>
          </cell>
          <cell r="S1163" t="str">
            <v>L Kota1</v>
          </cell>
          <cell r="T1163" t="str">
            <v>Wira</v>
          </cell>
          <cell r="U1163">
            <v>30</v>
          </cell>
        </row>
        <row r="1164">
          <cell r="E1164" t="str">
            <v>D25012085</v>
          </cell>
          <cell r="F1164"/>
          <cell r="G1164">
            <v>344070000</v>
          </cell>
          <cell r="H1164" t="str">
            <v>Yuyun</v>
          </cell>
          <cell r="I1164" t="str">
            <v>Farida</v>
          </cell>
          <cell r="J1164"/>
          <cell r="K1164" t="str">
            <v>KU</v>
          </cell>
          <cell r="L1164" t="str">
            <v>BIMA04</v>
          </cell>
          <cell r="M1164" t="str">
            <v>Bima Tani Jaya/Kevin Pratama</v>
          </cell>
          <cell r="N1164" t="str">
            <v>Kevin Pratama Susilo</v>
          </cell>
          <cell r="O1164" t="str">
            <v>Jl. Nusantara F-06 A RT.004/RW.012, Kel. Kaliwates, Kec. Kaliwates</v>
          </cell>
          <cell r="P1164" t="str">
            <v>Jember</v>
          </cell>
          <cell r="Q1164" t="str">
            <v>Krajan Tutul, Kel. Tutul, Kec. Balung (pinggir jalan)</v>
          </cell>
          <cell r="R1164" t="str">
            <v>Jember</v>
          </cell>
          <cell r="S1164" t="str">
            <v>L Kota1</v>
          </cell>
          <cell r="T1164" t="str">
            <v>Wira</v>
          </cell>
          <cell r="U1164">
            <v>30</v>
          </cell>
        </row>
        <row r="1165">
          <cell r="E1165" t="str">
            <v>D25012182</v>
          </cell>
          <cell r="F1165"/>
          <cell r="G1165">
            <v>344070000</v>
          </cell>
          <cell r="H1165" t="str">
            <v>Yuyun</v>
          </cell>
          <cell r="I1165" t="str">
            <v>Farida</v>
          </cell>
          <cell r="J1165"/>
          <cell r="K1165" t="str">
            <v>KU</v>
          </cell>
          <cell r="L1165" t="str">
            <v>BIMA04</v>
          </cell>
          <cell r="M1165" t="str">
            <v>Bima Tani Jaya/Kevin Pratama</v>
          </cell>
          <cell r="N1165" t="str">
            <v>Kevin Pratama Susilo</v>
          </cell>
          <cell r="O1165" t="str">
            <v>Jl. Nusantara F-06 A RT.004/RW.012, Kel. Kaliwates, Kec. Kaliwates</v>
          </cell>
          <cell r="P1165" t="str">
            <v>Jember</v>
          </cell>
          <cell r="Q1165" t="str">
            <v>Krajan Tutul, Kel. Tutul, Kec. Balung (pinggir jalan)</v>
          </cell>
          <cell r="R1165" t="str">
            <v>Jember</v>
          </cell>
          <cell r="S1165" t="str">
            <v>L Kota1</v>
          </cell>
          <cell r="T1165" t="str">
            <v>Wira</v>
          </cell>
          <cell r="U1165">
            <v>30</v>
          </cell>
        </row>
        <row r="1166">
          <cell r="E1166" t="str">
            <v>B25010362</v>
          </cell>
          <cell r="F1166"/>
          <cell r="G1166">
            <v>344070000</v>
          </cell>
          <cell r="H1166" t="str">
            <v>Yuyun</v>
          </cell>
          <cell r="I1166" t="str">
            <v>Farida</v>
          </cell>
          <cell r="J1166"/>
          <cell r="K1166" t="str">
            <v>KU</v>
          </cell>
          <cell r="L1166" t="str">
            <v>BIMA04</v>
          </cell>
          <cell r="M1166" t="str">
            <v>Bima Tani Jaya/Kevin Pratama</v>
          </cell>
          <cell r="N1166" t="str">
            <v>Kevin Pratama Susilo</v>
          </cell>
          <cell r="O1166" t="str">
            <v>Jl. Nusantara F-06 A RT.004/RW.012, Kel. Kaliwates, Kec. Kaliwates</v>
          </cell>
          <cell r="P1166" t="str">
            <v>Jember</v>
          </cell>
          <cell r="Q1166" t="str">
            <v>Krajan Tutul, Kel. Tutul, Kec. Balung (pinggir jalan)</v>
          </cell>
          <cell r="R1166" t="str">
            <v>Jember</v>
          </cell>
          <cell r="S1166" t="str">
            <v>L Kota1</v>
          </cell>
          <cell r="T1166" t="str">
            <v>Wira</v>
          </cell>
          <cell r="U1166">
            <v>30</v>
          </cell>
        </row>
        <row r="1167">
          <cell r="E1167" t="str">
            <v>B25010381</v>
          </cell>
          <cell r="F1167"/>
          <cell r="G1167">
            <v>344070000</v>
          </cell>
          <cell r="H1167" t="str">
            <v>Yuyun</v>
          </cell>
          <cell r="I1167" t="str">
            <v>Farida</v>
          </cell>
          <cell r="J1167"/>
          <cell r="K1167" t="str">
            <v>KU</v>
          </cell>
          <cell r="L1167" t="str">
            <v>BIMA04</v>
          </cell>
          <cell r="M1167" t="str">
            <v>Bima Tani Jaya/Kevin Pratama</v>
          </cell>
          <cell r="N1167" t="str">
            <v>Kevin Pratama Susilo</v>
          </cell>
          <cell r="O1167" t="str">
            <v>Jl. Nusantara F-06 A RT.004/RW.012, Kel. Kaliwates, Kec. Kaliwates</v>
          </cell>
          <cell r="P1167" t="str">
            <v>Jember</v>
          </cell>
          <cell r="Q1167" t="str">
            <v>Krajan Tutul, Kel. Tutul, Kec. Balung (pinggir jalan)</v>
          </cell>
          <cell r="R1167" t="str">
            <v>Jember</v>
          </cell>
          <cell r="S1167" t="str">
            <v>L Kota1</v>
          </cell>
          <cell r="T1167" t="str">
            <v>Wira</v>
          </cell>
          <cell r="U1167">
            <v>30</v>
          </cell>
        </row>
        <row r="1168">
          <cell r="E1168" t="str">
            <v>B25010487</v>
          </cell>
          <cell r="F1168"/>
          <cell r="G1168">
            <v>344070000</v>
          </cell>
          <cell r="H1168" t="str">
            <v>Yuyun</v>
          </cell>
          <cell r="I1168" t="str">
            <v>Farida</v>
          </cell>
          <cell r="J1168"/>
          <cell r="K1168" t="str">
            <v>KU</v>
          </cell>
          <cell r="L1168" t="str">
            <v>BIMA04</v>
          </cell>
          <cell r="M1168" t="str">
            <v>Bima Tani Jaya/Kevin Pratama</v>
          </cell>
          <cell r="N1168" t="str">
            <v>Kevin Pratama Susilo</v>
          </cell>
          <cell r="O1168" t="str">
            <v>Jl. Nusantara F-06 A RT.004/RW.012, Kel. Kaliwates, Kec. Kaliwates</v>
          </cell>
          <cell r="P1168" t="str">
            <v>Jember</v>
          </cell>
          <cell r="Q1168" t="str">
            <v>Krajan Tutul, Kel. Tutul, Kec. Balung (pinggir jalan)</v>
          </cell>
          <cell r="R1168" t="str">
            <v>Jember</v>
          </cell>
          <cell r="S1168" t="str">
            <v>L Kota1</v>
          </cell>
          <cell r="T1168" t="str">
            <v>Wira</v>
          </cell>
          <cell r="U1168">
            <v>30</v>
          </cell>
        </row>
        <row r="1169">
          <cell r="E1169" t="str">
            <v>D25012623</v>
          </cell>
          <cell r="F1169"/>
          <cell r="G1169">
            <v>344070000</v>
          </cell>
          <cell r="H1169" t="str">
            <v>Yuyun</v>
          </cell>
          <cell r="I1169" t="str">
            <v>Farida</v>
          </cell>
          <cell r="J1169"/>
          <cell r="K1169" t="str">
            <v>KU</v>
          </cell>
          <cell r="L1169" t="str">
            <v>BIMA04</v>
          </cell>
          <cell r="M1169" t="str">
            <v>Bima Tani Jaya/Kevin Pratama</v>
          </cell>
          <cell r="N1169" t="str">
            <v>Kevin Pratama Susilo</v>
          </cell>
          <cell r="O1169" t="str">
            <v>Jl. Nusantara F-06 A RT.004/RW.012, Kel. Kaliwates, Kec. Kaliwates</v>
          </cell>
          <cell r="P1169" t="str">
            <v>Jember</v>
          </cell>
          <cell r="Q1169" t="str">
            <v>Krajan Tutul, Kel. Tutul, Kec. Balung (pinggir jalan)</v>
          </cell>
          <cell r="R1169" t="str">
            <v>Jember</v>
          </cell>
          <cell r="S1169" t="str">
            <v>L Kota1</v>
          </cell>
          <cell r="T1169" t="str">
            <v>Wira</v>
          </cell>
          <cell r="U1169">
            <v>30</v>
          </cell>
        </row>
        <row r="1170">
          <cell r="E1170" t="str">
            <v>B25010722</v>
          </cell>
          <cell r="F1170"/>
          <cell r="G1170">
            <v>344070000</v>
          </cell>
          <cell r="H1170" t="str">
            <v>Yuyun</v>
          </cell>
          <cell r="I1170" t="str">
            <v>Farida</v>
          </cell>
          <cell r="J1170"/>
          <cell r="K1170" t="str">
            <v>KU</v>
          </cell>
          <cell r="L1170" t="str">
            <v>BIMA04</v>
          </cell>
          <cell r="M1170" t="str">
            <v>Bima Tani Jaya/Kevin Pratama</v>
          </cell>
          <cell r="N1170" t="str">
            <v>Kevin Pratama Susilo</v>
          </cell>
          <cell r="O1170" t="str">
            <v>Jl. Nusantara F-06 A RT.004/RW.012, Kel. Kaliwates, Kec. Kaliwates</v>
          </cell>
          <cell r="P1170" t="str">
            <v>Jember</v>
          </cell>
          <cell r="Q1170" t="str">
            <v>Krajan Tutul, Kel. Tutul, Kec. Balung (pinggir jalan)</v>
          </cell>
          <cell r="R1170" t="str">
            <v>Jember</v>
          </cell>
          <cell r="S1170" t="str">
            <v>L Kota1</v>
          </cell>
          <cell r="T1170" t="str">
            <v>Wira</v>
          </cell>
          <cell r="U1170">
            <v>30</v>
          </cell>
        </row>
        <row r="1171">
          <cell r="E1171" t="str">
            <v>B25010737</v>
          </cell>
          <cell r="F1171"/>
          <cell r="G1171">
            <v>344070000</v>
          </cell>
          <cell r="H1171" t="str">
            <v>Yuyun</v>
          </cell>
          <cell r="I1171" t="str">
            <v>Farida</v>
          </cell>
          <cell r="J1171"/>
          <cell r="K1171" t="str">
            <v>KU</v>
          </cell>
          <cell r="L1171" t="str">
            <v>BIMA04</v>
          </cell>
          <cell r="M1171" t="str">
            <v>Bima Tani Jaya/Kevin Pratama</v>
          </cell>
          <cell r="N1171" t="str">
            <v>Kevin Pratama Susilo</v>
          </cell>
          <cell r="O1171" t="str">
            <v>Jl. Nusantara F-06 A RT.004/RW.012, Kel. Kaliwates, Kec. Kaliwates</v>
          </cell>
          <cell r="P1171" t="str">
            <v>Jember</v>
          </cell>
          <cell r="Q1171" t="str">
            <v>Krajan Tutul, Kel. Tutul, Kec. Balung (pinggir jalan)</v>
          </cell>
          <cell r="R1171" t="str">
            <v>Jember</v>
          </cell>
          <cell r="S1171" t="str">
            <v>L Kota1</v>
          </cell>
          <cell r="T1171" t="str">
            <v>Wira</v>
          </cell>
          <cell r="U1171">
            <v>30</v>
          </cell>
        </row>
        <row r="1172">
          <cell r="E1172" t="str">
            <v>B25010761</v>
          </cell>
          <cell r="F1172"/>
          <cell r="G1172">
            <v>344070000</v>
          </cell>
          <cell r="H1172" t="str">
            <v>Yuyun</v>
          </cell>
          <cell r="I1172" t="str">
            <v>Farida</v>
          </cell>
          <cell r="J1172"/>
          <cell r="K1172" t="str">
            <v>KU</v>
          </cell>
          <cell r="L1172" t="str">
            <v>BIMA04</v>
          </cell>
          <cell r="M1172" t="str">
            <v>Bima Tani Jaya/Kevin Pratama</v>
          </cell>
          <cell r="N1172" t="str">
            <v>Kevin Pratama Susilo</v>
          </cell>
          <cell r="O1172" t="str">
            <v>Jl. Nusantara F-06 A RT.004/RW.012, Kel. Kaliwates, Kec. Kaliwates</v>
          </cell>
          <cell r="P1172" t="str">
            <v>Jember</v>
          </cell>
          <cell r="Q1172" t="str">
            <v>Krajan Tutul, Kel. Tutul, Kec. Balung (pinggir jalan)</v>
          </cell>
          <cell r="R1172" t="str">
            <v>Jember</v>
          </cell>
          <cell r="S1172" t="str">
            <v>L Kota1</v>
          </cell>
          <cell r="T1172" t="str">
            <v>Wira</v>
          </cell>
          <cell r="U1172">
            <v>30</v>
          </cell>
        </row>
        <row r="1173">
          <cell r="E1173" t="str">
            <v>B25010794</v>
          </cell>
          <cell r="F1173"/>
          <cell r="G1173">
            <v>344070000</v>
          </cell>
          <cell r="H1173" t="str">
            <v>Yuyun</v>
          </cell>
          <cell r="I1173" t="str">
            <v>Farida</v>
          </cell>
          <cell r="J1173"/>
          <cell r="K1173" t="str">
            <v>KU</v>
          </cell>
          <cell r="L1173" t="str">
            <v>BIMA04</v>
          </cell>
          <cell r="M1173" t="str">
            <v>Bima Tani Jaya/Kevin Pratama</v>
          </cell>
          <cell r="N1173" t="str">
            <v>Kevin Pratama Susilo</v>
          </cell>
          <cell r="O1173" t="str">
            <v>Jl. Nusantara F-06 A RT.004/RW.012, Kel. Kaliwates, Kec. Kaliwates</v>
          </cell>
          <cell r="P1173" t="str">
            <v>Jember</v>
          </cell>
          <cell r="Q1173" t="str">
            <v>Krajan Tutul, Kel. Tutul, Kec. Balung (pinggir jalan)</v>
          </cell>
          <cell r="R1173" t="str">
            <v>Jember</v>
          </cell>
          <cell r="S1173" t="str">
            <v>L Kota1</v>
          </cell>
          <cell r="T1173" t="str">
            <v>Wira</v>
          </cell>
          <cell r="U1173">
            <v>30</v>
          </cell>
        </row>
        <row r="1174">
          <cell r="E1174" t="str">
            <v>B25010818</v>
          </cell>
          <cell r="F1174"/>
          <cell r="G1174">
            <v>344070000</v>
          </cell>
          <cell r="H1174" t="str">
            <v>Yuyun</v>
          </cell>
          <cell r="I1174" t="str">
            <v>Farida</v>
          </cell>
          <cell r="J1174"/>
          <cell r="K1174" t="str">
            <v>KU</v>
          </cell>
          <cell r="L1174" t="str">
            <v>BIMA04</v>
          </cell>
          <cell r="M1174" t="str">
            <v>Bima Tani Jaya/Kevin Pratama</v>
          </cell>
          <cell r="N1174" t="str">
            <v>Kevin Pratama Susilo</v>
          </cell>
          <cell r="O1174" t="str">
            <v>Jl. Nusantara F-06 A RT.004/RW.012, Kel. Kaliwates, Kec. Kaliwates</v>
          </cell>
          <cell r="P1174" t="str">
            <v>Jember</v>
          </cell>
          <cell r="Q1174" t="str">
            <v>Krajan Tutul, Kel. Tutul, Kec. Balung (pinggir jalan)</v>
          </cell>
          <cell r="R1174" t="str">
            <v>Jember</v>
          </cell>
          <cell r="S1174" t="str">
            <v>L Kota1</v>
          </cell>
          <cell r="T1174" t="str">
            <v>Wira</v>
          </cell>
          <cell r="U1174">
            <v>30</v>
          </cell>
        </row>
        <row r="1175">
          <cell r="E1175" t="str">
            <v>B25010831</v>
          </cell>
          <cell r="F1175"/>
          <cell r="G1175">
            <v>344070000</v>
          </cell>
          <cell r="H1175" t="str">
            <v>Yuyun</v>
          </cell>
          <cell r="I1175" t="str">
            <v>Farida</v>
          </cell>
          <cell r="J1175"/>
          <cell r="K1175" t="str">
            <v>KU</v>
          </cell>
          <cell r="L1175" t="str">
            <v>BIMA04</v>
          </cell>
          <cell r="M1175" t="str">
            <v>Bima Tani Jaya/Kevin Pratama</v>
          </cell>
          <cell r="N1175" t="str">
            <v>Kevin Pratama Susilo</v>
          </cell>
          <cell r="O1175" t="str">
            <v>Jl. Nusantara F-06 A RT.004/RW.012, Kel. Kaliwates, Kec. Kaliwates</v>
          </cell>
          <cell r="P1175" t="str">
            <v>Jember</v>
          </cell>
          <cell r="Q1175" t="str">
            <v>Krajan Tutul, Kel. Tutul, Kec. Balung (pinggir jalan)</v>
          </cell>
          <cell r="R1175" t="str">
            <v>Jember</v>
          </cell>
          <cell r="S1175" t="str">
            <v>L Kota1</v>
          </cell>
          <cell r="T1175" t="str">
            <v>Wira</v>
          </cell>
          <cell r="U1175">
            <v>30</v>
          </cell>
        </row>
        <row r="1176">
          <cell r="E1176" t="str">
            <v>B25010853</v>
          </cell>
          <cell r="F1176"/>
          <cell r="G1176">
            <v>344070000</v>
          </cell>
          <cell r="H1176" t="str">
            <v>Yuyun</v>
          </cell>
          <cell r="I1176" t="str">
            <v>Farida</v>
          </cell>
          <cell r="J1176"/>
          <cell r="K1176" t="str">
            <v>KU</v>
          </cell>
          <cell r="L1176" t="str">
            <v>BIMA04</v>
          </cell>
          <cell r="M1176" t="str">
            <v>Bima Tani Jaya/Kevin Pratama</v>
          </cell>
          <cell r="N1176" t="str">
            <v>Kevin Pratama Susilo</v>
          </cell>
          <cell r="O1176" t="str">
            <v>Jl. Nusantara F-06 A RT.004/RW.012, Kel. Kaliwates, Kec. Kaliwates</v>
          </cell>
          <cell r="P1176" t="str">
            <v>Jember</v>
          </cell>
          <cell r="Q1176" t="str">
            <v>Krajan Tutul, Kel. Tutul, Kec. Balung (pinggir jalan)</v>
          </cell>
          <cell r="R1176" t="str">
            <v>Jember</v>
          </cell>
          <cell r="S1176" t="str">
            <v>L Kota1</v>
          </cell>
          <cell r="T1176" t="str">
            <v>Wira</v>
          </cell>
          <cell r="U1176">
            <v>30</v>
          </cell>
        </row>
        <row r="1177">
          <cell r="E1177" t="str">
            <v>D25012948</v>
          </cell>
          <cell r="F1177"/>
          <cell r="G1177">
            <v>344070000</v>
          </cell>
          <cell r="H1177" t="str">
            <v>Yuyun</v>
          </cell>
          <cell r="I1177" t="str">
            <v>Farida</v>
          </cell>
          <cell r="J1177"/>
          <cell r="K1177" t="str">
            <v>KU</v>
          </cell>
          <cell r="L1177" t="str">
            <v>BIMA04</v>
          </cell>
          <cell r="M1177" t="str">
            <v>Bima Tani Jaya/Kevin Pratama</v>
          </cell>
          <cell r="N1177" t="str">
            <v>Kevin Pratama Susilo</v>
          </cell>
          <cell r="O1177" t="str">
            <v>Jl. Nusantara F-06 A RT.004/RW.012, Kel. Kaliwates, Kec. Kaliwates</v>
          </cell>
          <cell r="P1177" t="str">
            <v>Jember</v>
          </cell>
          <cell r="Q1177" t="str">
            <v>Krajan Tutul, Kel. Tutul, Kec. Balung (pinggir jalan)</v>
          </cell>
          <cell r="R1177" t="str">
            <v>Jember</v>
          </cell>
          <cell r="S1177" t="str">
            <v>L Kota1</v>
          </cell>
          <cell r="T1177" t="str">
            <v>Wira</v>
          </cell>
          <cell r="U1177">
            <v>30</v>
          </cell>
        </row>
        <row r="1178">
          <cell r="E1178" t="str">
            <v>D25013033</v>
          </cell>
          <cell r="F1178"/>
          <cell r="G1178">
            <v>344070000</v>
          </cell>
          <cell r="H1178" t="str">
            <v>Yuyun</v>
          </cell>
          <cell r="I1178" t="str">
            <v>Farida</v>
          </cell>
          <cell r="J1178"/>
          <cell r="K1178" t="str">
            <v>KU</v>
          </cell>
          <cell r="L1178" t="str">
            <v>BIMA04</v>
          </cell>
          <cell r="M1178" t="str">
            <v>Bima Tani Jaya/Kevin Pratama</v>
          </cell>
          <cell r="N1178" t="str">
            <v>Kevin Pratama Susilo</v>
          </cell>
          <cell r="O1178" t="str">
            <v>Jl. Nusantara F-06 A RT.004/RW.012, Kel. Kaliwates, Kec. Kaliwates</v>
          </cell>
          <cell r="P1178" t="str">
            <v>Jember</v>
          </cell>
          <cell r="Q1178" t="str">
            <v>Krajan Tutul, Kel. Tutul, Kec. Balung (pinggir jalan)</v>
          </cell>
          <cell r="R1178" t="str">
            <v>Jember</v>
          </cell>
          <cell r="S1178" t="str">
            <v>L Kota1</v>
          </cell>
          <cell r="T1178" t="str">
            <v>Wira</v>
          </cell>
          <cell r="U1178">
            <v>30</v>
          </cell>
        </row>
        <row r="1179">
          <cell r="E1179" t="str">
            <v>B25010917</v>
          </cell>
          <cell r="F1179"/>
          <cell r="G1179">
            <v>344070000</v>
          </cell>
          <cell r="H1179" t="str">
            <v>Yuyun</v>
          </cell>
          <cell r="I1179" t="str">
            <v>Farida</v>
          </cell>
          <cell r="J1179"/>
          <cell r="K1179" t="str">
            <v>KU</v>
          </cell>
          <cell r="L1179" t="str">
            <v>BIMA04</v>
          </cell>
          <cell r="M1179" t="str">
            <v>Bima Tani Jaya/Kevin Pratama</v>
          </cell>
          <cell r="N1179" t="str">
            <v>Kevin Pratama Susilo</v>
          </cell>
          <cell r="O1179" t="str">
            <v>Jl. Nusantara F-06 A RT.004/RW.012, Kel. Kaliwates, Kec. Kaliwates</v>
          </cell>
          <cell r="P1179" t="str">
            <v>Jember</v>
          </cell>
          <cell r="Q1179" t="str">
            <v>Krajan Tutul, Kel. Tutul, Kec. Balung (pinggir jalan)</v>
          </cell>
          <cell r="R1179" t="str">
            <v>Jember</v>
          </cell>
          <cell r="S1179" t="str">
            <v>L Kota1</v>
          </cell>
          <cell r="T1179" t="str">
            <v>Wira</v>
          </cell>
          <cell r="U1179">
            <v>30</v>
          </cell>
        </row>
        <row r="1180">
          <cell r="E1180" t="str">
            <v>B25010958</v>
          </cell>
          <cell r="F1180"/>
          <cell r="G1180">
            <v>344070000</v>
          </cell>
          <cell r="H1180" t="str">
            <v>Yuyun</v>
          </cell>
          <cell r="I1180" t="str">
            <v>Farida</v>
          </cell>
          <cell r="J1180"/>
          <cell r="K1180" t="str">
            <v>KU</v>
          </cell>
          <cell r="L1180" t="str">
            <v>BIMA04</v>
          </cell>
          <cell r="M1180" t="str">
            <v>Bima Tani Jaya/Kevin Pratama</v>
          </cell>
          <cell r="N1180" t="str">
            <v>Kevin Pratama Susilo</v>
          </cell>
          <cell r="O1180" t="str">
            <v>Jl. Nusantara F-06 A RT.004/RW.012, Kel. Kaliwates, Kec. Kaliwates</v>
          </cell>
          <cell r="P1180" t="str">
            <v>Jember</v>
          </cell>
          <cell r="Q1180" t="str">
            <v>Krajan Tutul, Kel. Tutul, Kec. Balung (pinggir jalan)</v>
          </cell>
          <cell r="R1180" t="str">
            <v>Jember</v>
          </cell>
          <cell r="S1180" t="str">
            <v>L Kota1</v>
          </cell>
          <cell r="T1180" t="str">
            <v>Wira</v>
          </cell>
          <cell r="U1180">
            <v>30</v>
          </cell>
        </row>
        <row r="1181">
          <cell r="E1181" t="str">
            <v>D25013203</v>
          </cell>
          <cell r="F1181"/>
          <cell r="G1181">
            <v>344070000</v>
          </cell>
          <cell r="H1181" t="str">
            <v>Yuyun</v>
          </cell>
          <cell r="I1181" t="str">
            <v>Farida</v>
          </cell>
          <cell r="J1181"/>
          <cell r="K1181" t="str">
            <v>KU</v>
          </cell>
          <cell r="L1181" t="str">
            <v>BIMA04</v>
          </cell>
          <cell r="M1181" t="str">
            <v>Bima Tani Jaya/Kevin Pratama</v>
          </cell>
          <cell r="N1181" t="str">
            <v>Kevin Pratama Susilo</v>
          </cell>
          <cell r="O1181" t="str">
            <v>Jl. Nusantara F-06 A RT.004/RW.012, Kel. Kaliwates, Kec. Kaliwates</v>
          </cell>
          <cell r="P1181" t="str">
            <v>Jember</v>
          </cell>
          <cell r="Q1181" t="str">
            <v>Krajan Tutul, Kel. Tutul, Kec. Balung (pinggir jalan)</v>
          </cell>
          <cell r="R1181" t="str">
            <v>Jember</v>
          </cell>
          <cell r="S1181" t="str">
            <v>L Kota1</v>
          </cell>
          <cell r="T1181" t="str">
            <v>Wira</v>
          </cell>
          <cell r="U1181">
            <v>30</v>
          </cell>
        </row>
        <row r="1182">
          <cell r="E1182" t="str">
            <v>D25013237</v>
          </cell>
          <cell r="F1182"/>
          <cell r="G1182">
            <v>344070000</v>
          </cell>
          <cell r="H1182" t="str">
            <v>Yuyun</v>
          </cell>
          <cell r="I1182" t="str">
            <v>Farida</v>
          </cell>
          <cell r="J1182"/>
          <cell r="K1182" t="str">
            <v>KU</v>
          </cell>
          <cell r="L1182" t="str">
            <v>BIMA04</v>
          </cell>
          <cell r="M1182" t="str">
            <v>Bima Tani Jaya/Kevin Pratama</v>
          </cell>
          <cell r="N1182" t="str">
            <v>Kevin Pratama Susilo</v>
          </cell>
          <cell r="O1182" t="str">
            <v>Jl. Nusantara F-06 A RT.004/RW.012, Kel. Kaliwates, Kec. Kaliwates</v>
          </cell>
          <cell r="P1182" t="str">
            <v>Jember</v>
          </cell>
          <cell r="Q1182" t="str">
            <v>Krajan Tutul, Kel. Tutul, Kec. Balung (pinggir jalan)</v>
          </cell>
          <cell r="R1182" t="str">
            <v>Jember</v>
          </cell>
          <cell r="S1182" t="str">
            <v>L Kota1</v>
          </cell>
          <cell r="T1182" t="str">
            <v>Wira</v>
          </cell>
          <cell r="U1182">
            <v>30</v>
          </cell>
        </row>
        <row r="1183">
          <cell r="E1183" t="str">
            <v>B25011053</v>
          </cell>
          <cell r="F1183"/>
          <cell r="G1183">
            <v>344070000</v>
          </cell>
          <cell r="H1183" t="str">
            <v>Yuyun</v>
          </cell>
          <cell r="I1183" t="str">
            <v>Farida</v>
          </cell>
          <cell r="J1183"/>
          <cell r="K1183" t="str">
            <v>KU</v>
          </cell>
          <cell r="L1183" t="str">
            <v>BIMA04</v>
          </cell>
          <cell r="M1183" t="str">
            <v>Bima Tani Jaya/Kevin Pratama</v>
          </cell>
          <cell r="N1183" t="str">
            <v>Kevin Pratama Susilo</v>
          </cell>
          <cell r="O1183" t="str">
            <v>Jl. Nusantara F-06 A RT.004/RW.012, Kel. Kaliwates, Kec. Kaliwates</v>
          </cell>
          <cell r="P1183" t="str">
            <v>Jember</v>
          </cell>
          <cell r="Q1183" t="str">
            <v>Krajan Tutul, Kel. Tutul, Kec. Balung (pinggir jalan)</v>
          </cell>
          <cell r="R1183" t="str">
            <v>Jember</v>
          </cell>
          <cell r="S1183" t="str">
            <v>L Kota1</v>
          </cell>
          <cell r="T1183" t="str">
            <v>Wira</v>
          </cell>
          <cell r="U1183">
            <v>30</v>
          </cell>
        </row>
        <row r="1184">
          <cell r="E1184" t="str">
            <v>B25011097</v>
          </cell>
          <cell r="F1184"/>
          <cell r="G1184">
            <v>344070000</v>
          </cell>
          <cell r="H1184" t="str">
            <v>Yuyun</v>
          </cell>
          <cell r="I1184" t="str">
            <v>Farida</v>
          </cell>
          <cell r="J1184"/>
          <cell r="K1184" t="str">
            <v>KU</v>
          </cell>
          <cell r="L1184" t="str">
            <v>BIMA04</v>
          </cell>
          <cell r="M1184" t="str">
            <v>Bima Tani Jaya/Kevin Pratama</v>
          </cell>
          <cell r="N1184" t="str">
            <v>Kevin Pratama Susilo</v>
          </cell>
          <cell r="O1184" t="str">
            <v>Jl. Nusantara F-06 A RT.004/RW.012, Kel. Kaliwates, Kec. Kaliwates</v>
          </cell>
          <cell r="P1184" t="str">
            <v>Jember</v>
          </cell>
          <cell r="Q1184" t="str">
            <v>Krajan Tutul, Kel. Tutul, Kec. Balung (pinggir jalan)</v>
          </cell>
          <cell r="R1184" t="str">
            <v>Jember</v>
          </cell>
          <cell r="S1184" t="str">
            <v>L Kota1</v>
          </cell>
          <cell r="T1184" t="str">
            <v>Wira</v>
          </cell>
          <cell r="U1184">
            <v>30</v>
          </cell>
        </row>
        <row r="1185">
          <cell r="E1185" t="str">
            <v>B25011120</v>
          </cell>
          <cell r="F1185"/>
          <cell r="G1185">
            <v>344070000</v>
          </cell>
          <cell r="H1185" t="str">
            <v>Yuyun</v>
          </cell>
          <cell r="I1185" t="str">
            <v>Farida</v>
          </cell>
          <cell r="J1185"/>
          <cell r="K1185" t="str">
            <v>KU</v>
          </cell>
          <cell r="L1185" t="str">
            <v>BIMA04</v>
          </cell>
          <cell r="M1185" t="str">
            <v>Bima Tani Jaya/Kevin Pratama</v>
          </cell>
          <cell r="N1185" t="str">
            <v>Kevin Pratama Susilo</v>
          </cell>
          <cell r="O1185" t="str">
            <v>Jl. Nusantara F-06 A RT.004/RW.012, Kel. Kaliwates, Kec. Kaliwates</v>
          </cell>
          <cell r="P1185" t="str">
            <v>Jember</v>
          </cell>
          <cell r="Q1185" t="str">
            <v>Krajan Tutul, Kel. Tutul, Kec. Balung (pinggir jalan)</v>
          </cell>
          <cell r="R1185" t="str">
            <v>Jember</v>
          </cell>
          <cell r="S1185" t="str">
            <v>L Kota1</v>
          </cell>
          <cell r="T1185" t="str">
            <v>Wira</v>
          </cell>
          <cell r="U1185">
            <v>30</v>
          </cell>
        </row>
        <row r="1186">
          <cell r="E1186" t="str">
            <v>B25011253</v>
          </cell>
          <cell r="F1186"/>
          <cell r="G1186">
            <v>344070000</v>
          </cell>
          <cell r="H1186" t="str">
            <v>Yuyun</v>
          </cell>
          <cell r="I1186" t="str">
            <v>Farida</v>
          </cell>
          <cell r="J1186"/>
          <cell r="K1186" t="str">
            <v>KU</v>
          </cell>
          <cell r="L1186" t="str">
            <v>BIMA04</v>
          </cell>
          <cell r="M1186" t="str">
            <v>Bima Tani Jaya/Kevin Pratama</v>
          </cell>
          <cell r="N1186" t="str">
            <v>Kevin Pratama Susilo</v>
          </cell>
          <cell r="O1186" t="str">
            <v>Jl. Nusantara F-06 A RT.004/RW.012, Kel. Kaliwates, Kec. Kaliwates</v>
          </cell>
          <cell r="P1186" t="str">
            <v>Jember</v>
          </cell>
          <cell r="Q1186" t="str">
            <v>Krajan Tutul, Kel. Tutul, Kec. Balung (pinggir jalan)</v>
          </cell>
          <cell r="R1186" t="str">
            <v>Jember</v>
          </cell>
          <cell r="S1186" t="str">
            <v>L Kota1</v>
          </cell>
          <cell r="T1186" t="str">
            <v>Wira</v>
          </cell>
          <cell r="U1186">
            <v>30</v>
          </cell>
        </row>
        <row r="1187">
          <cell r="E1187" t="str">
            <v>B25011259</v>
          </cell>
          <cell r="F1187"/>
          <cell r="G1187">
            <v>344070000</v>
          </cell>
          <cell r="H1187" t="str">
            <v>Yuyun</v>
          </cell>
          <cell r="I1187" t="str">
            <v>Farida</v>
          </cell>
          <cell r="J1187"/>
          <cell r="K1187" t="str">
            <v>KU</v>
          </cell>
          <cell r="L1187" t="str">
            <v>BIMA04</v>
          </cell>
          <cell r="M1187" t="str">
            <v>Bima Tani Jaya/Kevin Pratama</v>
          </cell>
          <cell r="N1187" t="str">
            <v>Kevin Pratama Susilo</v>
          </cell>
          <cell r="O1187" t="str">
            <v>Jl. Nusantara F-06 A RT.004/RW.012, Kel. Kaliwates, Kec. Kaliwates</v>
          </cell>
          <cell r="P1187" t="str">
            <v>Jember</v>
          </cell>
          <cell r="Q1187" t="str">
            <v>Krajan Tutul, Kel. Tutul, Kec. Balung (pinggir jalan)</v>
          </cell>
          <cell r="R1187" t="str">
            <v>Jember</v>
          </cell>
          <cell r="S1187" t="str">
            <v>L Kota1</v>
          </cell>
          <cell r="T1187" t="str">
            <v>Wira</v>
          </cell>
          <cell r="U1187">
            <v>30</v>
          </cell>
        </row>
        <row r="1188">
          <cell r="E1188" t="str">
            <v>B25011337</v>
          </cell>
          <cell r="F1188"/>
          <cell r="G1188">
            <v>344070000</v>
          </cell>
          <cell r="H1188" t="str">
            <v>Yuyun</v>
          </cell>
          <cell r="I1188" t="str">
            <v>Farida</v>
          </cell>
          <cell r="J1188"/>
          <cell r="K1188" t="str">
            <v>KU</v>
          </cell>
          <cell r="L1188" t="str">
            <v>BIMA04</v>
          </cell>
          <cell r="M1188" t="str">
            <v>Bima Tani Jaya/Kevin Pratama</v>
          </cell>
          <cell r="N1188" t="str">
            <v>Kevin Pratama Susilo</v>
          </cell>
          <cell r="O1188" t="str">
            <v>Jl. Nusantara F-06 A RT.004/RW.012, Kel. Kaliwates, Kec. Kaliwates</v>
          </cell>
          <cell r="P1188" t="str">
            <v>Jember</v>
          </cell>
          <cell r="Q1188" t="str">
            <v>Krajan Tutul, Kel. Tutul, Kec. Balung (pinggir jalan)</v>
          </cell>
          <cell r="R1188" t="str">
            <v>Jember</v>
          </cell>
          <cell r="S1188" t="str">
            <v>L Kota1</v>
          </cell>
          <cell r="T1188" t="str">
            <v>Wira</v>
          </cell>
          <cell r="U1188">
            <v>30</v>
          </cell>
        </row>
        <row r="1189">
          <cell r="E1189" t="str">
            <v>T25001356k</v>
          </cell>
          <cell r="F1189"/>
          <cell r="G1189">
            <v>344070000</v>
          </cell>
          <cell r="H1189" t="str">
            <v>Yuyun</v>
          </cell>
          <cell r="I1189" t="str">
            <v>Farida</v>
          </cell>
          <cell r="J1189"/>
          <cell r="K1189" t="str">
            <v>KU</v>
          </cell>
          <cell r="L1189" t="str">
            <v>BIMA04</v>
          </cell>
          <cell r="M1189" t="str">
            <v>Bima Tani Jaya/Kevin Pratama</v>
          </cell>
          <cell r="N1189" t="str">
            <v>Kevin Pratama Susilo</v>
          </cell>
          <cell r="O1189" t="str">
            <v>Jl. Nusantara F-06 A RT.004/RW.012, Kel. Kaliwates, Kec. Kaliwates</v>
          </cell>
          <cell r="P1189" t="str">
            <v>Jember</v>
          </cell>
          <cell r="Q1189" t="str">
            <v>Krajan Tutul, Kel. Tutul, Kec. Balung (pinggir jalan)</v>
          </cell>
          <cell r="R1189" t="str">
            <v>Jember</v>
          </cell>
          <cell r="S1189" t="str">
            <v>L Kota1</v>
          </cell>
          <cell r="T1189" t="str">
            <v>Wira</v>
          </cell>
          <cell r="U1189">
            <v>30</v>
          </cell>
        </row>
        <row r="1190">
          <cell r="E1190" t="str">
            <v>B25011444</v>
          </cell>
          <cell r="F1190"/>
          <cell r="G1190">
            <v>344070000</v>
          </cell>
          <cell r="H1190" t="str">
            <v>Yuyun</v>
          </cell>
          <cell r="I1190" t="str">
            <v>Farida</v>
          </cell>
          <cell r="J1190"/>
          <cell r="K1190" t="str">
            <v>KU</v>
          </cell>
          <cell r="L1190" t="str">
            <v>BIMA04</v>
          </cell>
          <cell r="M1190" t="str">
            <v>Bima Tani Jaya/Kevin Pratama</v>
          </cell>
          <cell r="N1190" t="str">
            <v>Kevin Pratama Susilo</v>
          </cell>
          <cell r="O1190" t="str">
            <v>Jl. Nusantara F-06 A RT.004/RW.012, Kel. Kaliwates, Kec. Kaliwates</v>
          </cell>
          <cell r="P1190" t="str">
            <v>Jember</v>
          </cell>
          <cell r="Q1190" t="str">
            <v>Krajan Tutul, Kel. Tutul, Kec. Balung (pinggir jalan)</v>
          </cell>
          <cell r="R1190" t="str">
            <v>Jember</v>
          </cell>
          <cell r="S1190" t="str">
            <v>L Kota1</v>
          </cell>
          <cell r="T1190" t="str">
            <v>Wira</v>
          </cell>
          <cell r="U1190">
            <v>30</v>
          </cell>
        </row>
        <row r="1191">
          <cell r="E1191" t="str">
            <v>D25013593</v>
          </cell>
          <cell r="F1191"/>
          <cell r="G1191">
            <v>344070000</v>
          </cell>
          <cell r="H1191" t="str">
            <v>Yuyun</v>
          </cell>
          <cell r="I1191" t="str">
            <v>Farida</v>
          </cell>
          <cell r="J1191"/>
          <cell r="K1191" t="str">
            <v>KU</v>
          </cell>
          <cell r="L1191" t="str">
            <v>BIMA04</v>
          </cell>
          <cell r="M1191" t="str">
            <v>Bima Tani Jaya/Kevin Pratama</v>
          </cell>
          <cell r="N1191" t="str">
            <v>Kevin Pratama Susilo</v>
          </cell>
          <cell r="O1191" t="str">
            <v>Jl. Nusantara F-06 A RT.004/RW.012, Kel. Kaliwates, Kec. Kaliwates</v>
          </cell>
          <cell r="P1191" t="str">
            <v>Jember</v>
          </cell>
          <cell r="Q1191" t="str">
            <v>Krajan Tutul, Kel. Tutul, Kec. Balung (pinggir jalan)</v>
          </cell>
          <cell r="R1191" t="str">
            <v>Jember</v>
          </cell>
          <cell r="S1191" t="str">
            <v>L Kota1</v>
          </cell>
          <cell r="T1191" t="str">
            <v>Wira</v>
          </cell>
          <cell r="U1191">
            <v>30</v>
          </cell>
        </row>
        <row r="1192">
          <cell r="E1192" t="str">
            <v>B25011484</v>
          </cell>
          <cell r="F1192"/>
          <cell r="G1192">
            <v>344070000</v>
          </cell>
          <cell r="H1192" t="str">
            <v>Yuyun</v>
          </cell>
          <cell r="I1192" t="str">
            <v>Farida</v>
          </cell>
          <cell r="J1192"/>
          <cell r="K1192" t="str">
            <v>KU</v>
          </cell>
          <cell r="L1192" t="str">
            <v>BIMA04</v>
          </cell>
          <cell r="M1192" t="str">
            <v>Bima Tani Jaya/Kevin Pratama</v>
          </cell>
          <cell r="N1192" t="str">
            <v>Kevin Pratama Susilo</v>
          </cell>
          <cell r="O1192" t="str">
            <v>Jl. Nusantara F-06 A RT.004/RW.012, Kel. Kaliwates, Kec. Kaliwates</v>
          </cell>
          <cell r="P1192" t="str">
            <v>Jember</v>
          </cell>
          <cell r="Q1192" t="str">
            <v>Krajan Tutul, Kel. Tutul, Kec. Balung (pinggir jalan)</v>
          </cell>
          <cell r="R1192" t="str">
            <v>Jember</v>
          </cell>
          <cell r="S1192" t="str">
            <v>L Kota1</v>
          </cell>
          <cell r="T1192" t="str">
            <v>Wira</v>
          </cell>
          <cell r="U1192">
            <v>30</v>
          </cell>
        </row>
        <row r="1193">
          <cell r="E1193" t="str">
            <v>B25011496</v>
          </cell>
          <cell r="F1193"/>
          <cell r="G1193">
            <v>344070000</v>
          </cell>
          <cell r="H1193" t="str">
            <v>Yuyun</v>
          </cell>
          <cell r="I1193" t="str">
            <v>Farida</v>
          </cell>
          <cell r="J1193"/>
          <cell r="K1193" t="str">
            <v>KU</v>
          </cell>
          <cell r="L1193" t="str">
            <v>BIMA04</v>
          </cell>
          <cell r="M1193" t="str">
            <v>Bima Tani Jaya/Kevin Pratama</v>
          </cell>
          <cell r="N1193" t="str">
            <v>Kevin Pratama Susilo</v>
          </cell>
          <cell r="O1193" t="str">
            <v>Jl. Nusantara F-06 A RT.004/RW.012, Kel. Kaliwates, Kec. Kaliwates</v>
          </cell>
          <cell r="P1193" t="str">
            <v>Jember</v>
          </cell>
          <cell r="Q1193" t="str">
            <v>Krajan Tutul, Kel. Tutul, Kec. Balung (pinggir jalan)</v>
          </cell>
          <cell r="R1193" t="str">
            <v>Jember</v>
          </cell>
          <cell r="S1193" t="str">
            <v>L Kota1</v>
          </cell>
          <cell r="T1193" t="str">
            <v>Wira</v>
          </cell>
          <cell r="U1193">
            <v>30</v>
          </cell>
        </row>
        <row r="1194">
          <cell r="E1194" t="str">
            <v>D25013666</v>
          </cell>
          <cell r="F1194"/>
          <cell r="G1194">
            <v>344070000</v>
          </cell>
          <cell r="H1194" t="str">
            <v>Yuyun</v>
          </cell>
          <cell r="I1194" t="str">
            <v>Farida</v>
          </cell>
          <cell r="J1194"/>
          <cell r="K1194" t="str">
            <v>KU</v>
          </cell>
          <cell r="L1194" t="str">
            <v>BIMA04</v>
          </cell>
          <cell r="M1194" t="str">
            <v>Bima Tani Jaya/Kevin Pratama</v>
          </cell>
          <cell r="N1194" t="str">
            <v>Kevin Pratama Susilo</v>
          </cell>
          <cell r="O1194" t="str">
            <v>Jl. Nusantara F-06 A RT.004/RW.012, Kel. Kaliwates, Kec. Kaliwates</v>
          </cell>
          <cell r="P1194" t="str">
            <v>Jember</v>
          </cell>
          <cell r="Q1194" t="str">
            <v>Krajan Tutul, Kel. Tutul, Kec. Balung (pinggir jalan)</v>
          </cell>
          <cell r="R1194" t="str">
            <v>Jember</v>
          </cell>
          <cell r="S1194" t="str">
            <v>L Kota1</v>
          </cell>
          <cell r="T1194" t="str">
            <v>Wira</v>
          </cell>
          <cell r="U1194">
            <v>30</v>
          </cell>
        </row>
        <row r="1195">
          <cell r="E1195" t="str">
            <v>D25013757</v>
          </cell>
          <cell r="F1195"/>
          <cell r="G1195">
            <v>344070000</v>
          </cell>
          <cell r="H1195" t="str">
            <v>Yuyun</v>
          </cell>
          <cell r="I1195" t="str">
            <v>Farida</v>
          </cell>
          <cell r="J1195"/>
          <cell r="K1195" t="str">
            <v>KU</v>
          </cell>
          <cell r="L1195" t="str">
            <v>BIMA04</v>
          </cell>
          <cell r="M1195" t="str">
            <v>Bima Tani Jaya/Kevin Pratama</v>
          </cell>
          <cell r="N1195" t="str">
            <v>Kevin Pratama Susilo</v>
          </cell>
          <cell r="O1195" t="str">
            <v>Jl. Nusantara F-06 A RT.004/RW.012, Kel. Kaliwates, Kec. Kaliwates</v>
          </cell>
          <cell r="P1195" t="str">
            <v>Jember</v>
          </cell>
          <cell r="Q1195" t="str">
            <v>Krajan Tutul, Kel. Tutul, Kec. Balung (pinggir jalan)</v>
          </cell>
          <cell r="R1195" t="str">
            <v>Jember</v>
          </cell>
          <cell r="S1195" t="str">
            <v>L Kota1</v>
          </cell>
          <cell r="T1195" t="str">
            <v>Wira</v>
          </cell>
          <cell r="U1195">
            <v>30</v>
          </cell>
        </row>
        <row r="1196">
          <cell r="E1196" t="str">
            <v>D25013760</v>
          </cell>
          <cell r="F1196"/>
          <cell r="G1196">
            <v>344070000</v>
          </cell>
          <cell r="H1196" t="str">
            <v>Yuyun</v>
          </cell>
          <cell r="I1196" t="str">
            <v>Farida</v>
          </cell>
          <cell r="J1196"/>
          <cell r="K1196" t="str">
            <v>KU</v>
          </cell>
          <cell r="L1196" t="str">
            <v>BIMA04</v>
          </cell>
          <cell r="M1196" t="str">
            <v>Bima Tani Jaya/Kevin Pratama</v>
          </cell>
          <cell r="N1196" t="str">
            <v>Kevin Pratama Susilo</v>
          </cell>
          <cell r="O1196" t="str">
            <v>Jl. Nusantara F-06 A RT.004/RW.012, Kel. Kaliwates, Kec. Kaliwates</v>
          </cell>
          <cell r="P1196" t="str">
            <v>Jember</v>
          </cell>
          <cell r="Q1196" t="str">
            <v>Krajan Tutul, Kel. Tutul, Kec. Balung (pinggir jalan)</v>
          </cell>
          <cell r="R1196" t="str">
            <v>Jember</v>
          </cell>
          <cell r="S1196" t="str">
            <v>L Kota1</v>
          </cell>
          <cell r="T1196" t="str">
            <v>Wira</v>
          </cell>
          <cell r="U1196">
            <v>30</v>
          </cell>
        </row>
        <row r="1197">
          <cell r="E1197" t="str">
            <v>T25001378K</v>
          </cell>
          <cell r="F1197"/>
          <cell r="G1197">
            <v>344070000</v>
          </cell>
          <cell r="H1197" t="str">
            <v>Yuyun</v>
          </cell>
          <cell r="I1197" t="str">
            <v>Farida</v>
          </cell>
          <cell r="J1197"/>
          <cell r="K1197" t="str">
            <v>KU</v>
          </cell>
          <cell r="L1197" t="str">
            <v>BIMA04</v>
          </cell>
          <cell r="M1197" t="str">
            <v>Bima Tani Jaya/Kevin Pratama</v>
          </cell>
          <cell r="N1197" t="str">
            <v>Kevin Pratama Susilo</v>
          </cell>
          <cell r="O1197" t="str">
            <v>Jl. Nusantara F-06 A RT.004/RW.012, Kel. Kaliwates, Kec. Kaliwates</v>
          </cell>
          <cell r="P1197" t="str">
            <v>Jember</v>
          </cell>
          <cell r="Q1197" t="str">
            <v>Krajan Tutul, Kel. Tutul, Kec. Balung (pinggir jalan)</v>
          </cell>
          <cell r="R1197" t="str">
            <v>Jember</v>
          </cell>
          <cell r="S1197" t="str">
            <v>L Kota1</v>
          </cell>
          <cell r="T1197" t="str">
            <v>Wira</v>
          </cell>
          <cell r="U1197">
            <v>30</v>
          </cell>
        </row>
        <row r="1198">
          <cell r="E1198" t="str">
            <v>T25001378K</v>
          </cell>
          <cell r="F1198"/>
          <cell r="G1198">
            <v>344070000</v>
          </cell>
          <cell r="H1198" t="str">
            <v>Yuyun</v>
          </cell>
          <cell r="I1198" t="str">
            <v>Farida</v>
          </cell>
          <cell r="J1198"/>
          <cell r="K1198" t="str">
            <v>KU</v>
          </cell>
          <cell r="L1198" t="str">
            <v>BIMA04</v>
          </cell>
          <cell r="M1198" t="str">
            <v>Bima Tani Jaya/Kevin Pratama</v>
          </cell>
          <cell r="N1198" t="str">
            <v>Kevin Pratama Susilo</v>
          </cell>
          <cell r="O1198" t="str">
            <v>Jl. Nusantara F-06 A RT.004/RW.012, Kel. Kaliwates, Kec. Kaliwates</v>
          </cell>
          <cell r="P1198" t="str">
            <v>Jember</v>
          </cell>
          <cell r="Q1198" t="str">
            <v>Krajan Tutul, Kel. Tutul, Kec. Balung (pinggir jalan)</v>
          </cell>
          <cell r="R1198" t="str">
            <v>Jember</v>
          </cell>
          <cell r="S1198" t="str">
            <v>L Kota1</v>
          </cell>
          <cell r="T1198" t="str">
            <v>Wira</v>
          </cell>
          <cell r="U1198">
            <v>30</v>
          </cell>
        </row>
        <row r="1199">
          <cell r="E1199" t="str">
            <v>B25011637</v>
          </cell>
          <cell r="F1199"/>
          <cell r="G1199">
            <v>344070000</v>
          </cell>
          <cell r="H1199" t="str">
            <v>Yuyun</v>
          </cell>
          <cell r="I1199" t="str">
            <v>Farida</v>
          </cell>
          <cell r="J1199"/>
          <cell r="K1199" t="str">
            <v>KU</v>
          </cell>
          <cell r="L1199" t="str">
            <v>BIMA04</v>
          </cell>
          <cell r="M1199" t="str">
            <v>Bima Tani Jaya/Kevin Pratama</v>
          </cell>
          <cell r="N1199" t="str">
            <v>Kevin Pratama Susilo</v>
          </cell>
          <cell r="O1199" t="str">
            <v>Jl. Nusantara F-06 A RT.004/RW.012, Kel. Kaliwates, Kec. Kaliwates</v>
          </cell>
          <cell r="P1199" t="str">
            <v>Jember</v>
          </cell>
          <cell r="Q1199" t="str">
            <v>Krajan Tutul, Kel. Tutul, Kec. Balung (pinggir jalan)</v>
          </cell>
          <cell r="R1199" t="str">
            <v>Jember</v>
          </cell>
          <cell r="S1199" t="str">
            <v>L Kota1</v>
          </cell>
          <cell r="T1199" t="str">
            <v>Wira</v>
          </cell>
          <cell r="U1199">
            <v>30</v>
          </cell>
        </row>
        <row r="1200">
          <cell r="E1200" t="str">
            <v>B25011671</v>
          </cell>
          <cell r="F1200"/>
          <cell r="G1200">
            <v>344070000</v>
          </cell>
          <cell r="H1200" t="str">
            <v>Yuyun</v>
          </cell>
          <cell r="I1200" t="str">
            <v>Farida</v>
          </cell>
          <cell r="J1200"/>
          <cell r="K1200" t="str">
            <v>KU</v>
          </cell>
          <cell r="L1200" t="str">
            <v>BIMA04</v>
          </cell>
          <cell r="M1200" t="str">
            <v>Bima Tani Jaya/Kevin Pratama</v>
          </cell>
          <cell r="N1200" t="str">
            <v>Kevin Pratama Susilo</v>
          </cell>
          <cell r="O1200" t="str">
            <v>Jl. Nusantara F-06 A RT.004/RW.012, Kel. Kaliwates, Kec. Kaliwates</v>
          </cell>
          <cell r="P1200" t="str">
            <v>Jember</v>
          </cell>
          <cell r="Q1200" t="str">
            <v>Krajan Tutul, Kel. Tutul, Kec. Balung (pinggir jalan)</v>
          </cell>
          <cell r="R1200" t="str">
            <v>Jember</v>
          </cell>
          <cell r="S1200" t="str">
            <v>L Kota1</v>
          </cell>
          <cell r="T1200" t="str">
            <v>Wira</v>
          </cell>
          <cell r="U1200">
            <v>30</v>
          </cell>
        </row>
        <row r="1201">
          <cell r="E1201" t="str">
            <v>T25001385k</v>
          </cell>
          <cell r="F1201"/>
          <cell r="G1201">
            <v>344070000</v>
          </cell>
          <cell r="H1201" t="str">
            <v>Yuyun</v>
          </cell>
          <cell r="I1201" t="str">
            <v>Farida</v>
          </cell>
          <cell r="J1201"/>
          <cell r="K1201" t="str">
            <v>KU</v>
          </cell>
          <cell r="L1201" t="str">
            <v>BIMA04</v>
          </cell>
          <cell r="M1201" t="str">
            <v>Bima Tani Jaya/Kevin Pratama</v>
          </cell>
          <cell r="N1201" t="str">
            <v>Kevin Pratama Susilo</v>
          </cell>
          <cell r="O1201" t="str">
            <v>Jl. Nusantara F-06 A RT.004/RW.012, Kel. Kaliwates, Kec. Kaliwates</v>
          </cell>
          <cell r="P1201" t="str">
            <v>Jember</v>
          </cell>
          <cell r="Q1201" t="str">
            <v>Krajan Tutul, Kel. Tutul, Kec. Balung (pinggir jalan)</v>
          </cell>
          <cell r="R1201" t="str">
            <v>Jember</v>
          </cell>
          <cell r="S1201" t="str">
            <v>L Kota1</v>
          </cell>
          <cell r="T1201" t="str">
            <v>Wira</v>
          </cell>
          <cell r="U1201">
            <v>30</v>
          </cell>
        </row>
        <row r="1202">
          <cell r="E1202" t="str">
            <v>B25011686</v>
          </cell>
          <cell r="F1202"/>
          <cell r="G1202">
            <v>344070000</v>
          </cell>
          <cell r="H1202" t="str">
            <v>Yuyun</v>
          </cell>
          <cell r="I1202" t="str">
            <v>Farida</v>
          </cell>
          <cell r="J1202"/>
          <cell r="K1202" t="str">
            <v>KU</v>
          </cell>
          <cell r="L1202" t="str">
            <v>BIMA04</v>
          </cell>
          <cell r="M1202" t="str">
            <v>Bima Tani Jaya/Kevin Pratama</v>
          </cell>
          <cell r="N1202" t="str">
            <v>Kevin Pratama Susilo</v>
          </cell>
          <cell r="O1202" t="str">
            <v>Jl. Nusantara F-06 A RT.004/RW.012, Kel. Kaliwates, Kec. Kaliwates</v>
          </cell>
          <cell r="P1202" t="str">
            <v>Jember</v>
          </cell>
          <cell r="Q1202" t="str">
            <v>Krajan Tutul, Kel. Tutul, Kec. Balung (pinggir jalan)</v>
          </cell>
          <cell r="R1202" t="str">
            <v>Jember</v>
          </cell>
          <cell r="S1202" t="str">
            <v>L Kota1</v>
          </cell>
          <cell r="T1202" t="str">
            <v>Wira</v>
          </cell>
          <cell r="U1202">
            <v>30</v>
          </cell>
        </row>
        <row r="1203">
          <cell r="E1203" t="str">
            <v>B25011732</v>
          </cell>
          <cell r="F1203"/>
          <cell r="G1203">
            <v>344070000</v>
          </cell>
          <cell r="H1203" t="str">
            <v>Yuyun</v>
          </cell>
          <cell r="I1203" t="str">
            <v>Farida</v>
          </cell>
          <cell r="J1203"/>
          <cell r="K1203" t="str">
            <v>KU</v>
          </cell>
          <cell r="L1203" t="str">
            <v>BIMA04</v>
          </cell>
          <cell r="M1203" t="str">
            <v>Bima Tani Jaya/Kevin Pratama</v>
          </cell>
          <cell r="N1203" t="str">
            <v>Kevin Pratama Susilo</v>
          </cell>
          <cell r="O1203" t="str">
            <v>Jl. Nusantara F-06 A RT.004/RW.012, Kel. Kaliwates, Kec. Kaliwates</v>
          </cell>
          <cell r="P1203" t="str">
            <v>Jember</v>
          </cell>
          <cell r="Q1203" t="str">
            <v>Krajan Tutul, Kel. Tutul, Kec. Balung (pinggir jalan)</v>
          </cell>
          <cell r="R1203" t="str">
            <v>Jember</v>
          </cell>
          <cell r="S1203" t="str">
            <v>L Kota1</v>
          </cell>
          <cell r="T1203" t="str">
            <v>Wira</v>
          </cell>
          <cell r="U1203">
            <v>30</v>
          </cell>
        </row>
        <row r="1204">
          <cell r="E1204" t="str">
            <v>T25001388k</v>
          </cell>
          <cell r="F1204"/>
          <cell r="G1204">
            <v>344070000</v>
          </cell>
          <cell r="H1204" t="str">
            <v>Yuyun</v>
          </cell>
          <cell r="I1204" t="str">
            <v>Farida</v>
          </cell>
          <cell r="J1204"/>
          <cell r="K1204" t="str">
            <v>KU</v>
          </cell>
          <cell r="L1204" t="str">
            <v>BIMA04</v>
          </cell>
          <cell r="M1204" t="str">
            <v>Bima Tani Jaya/Kevin Pratama</v>
          </cell>
          <cell r="N1204" t="str">
            <v>Kevin Pratama Susilo</v>
          </cell>
          <cell r="O1204" t="str">
            <v>Jl. Nusantara F-06 A RT.004/RW.012, Kel. Kaliwates, Kec. Kaliwates</v>
          </cell>
          <cell r="P1204" t="str">
            <v>Jember</v>
          </cell>
          <cell r="Q1204" t="str">
            <v>Krajan Tutul, Kel. Tutul, Kec. Balung (pinggir jalan)</v>
          </cell>
          <cell r="R1204" t="str">
            <v>Jember</v>
          </cell>
          <cell r="S1204" t="str">
            <v>L Kota1</v>
          </cell>
          <cell r="T1204" t="str">
            <v>Wira</v>
          </cell>
          <cell r="U1204">
            <v>30</v>
          </cell>
        </row>
        <row r="1205">
          <cell r="E1205" t="str">
            <v>T25001390k</v>
          </cell>
          <cell r="F1205"/>
          <cell r="G1205">
            <v>344070000</v>
          </cell>
          <cell r="H1205" t="str">
            <v>Yuyun</v>
          </cell>
          <cell r="I1205" t="str">
            <v>Farida</v>
          </cell>
          <cell r="J1205"/>
          <cell r="K1205" t="str">
            <v>KU</v>
          </cell>
          <cell r="L1205" t="str">
            <v>BIMA04</v>
          </cell>
          <cell r="M1205" t="str">
            <v>Bima Tani Jaya/Kevin Pratama</v>
          </cell>
          <cell r="N1205" t="str">
            <v>Kevin Pratama Susilo</v>
          </cell>
          <cell r="O1205" t="str">
            <v>Jl. Nusantara F-06 A RT.004/RW.012, Kel. Kaliwates, Kec. Kaliwates</v>
          </cell>
          <cell r="P1205" t="str">
            <v>Jember</v>
          </cell>
          <cell r="Q1205" t="str">
            <v>Krajan Tutul, Kel. Tutul, Kec. Balung (pinggir jalan)</v>
          </cell>
          <cell r="R1205" t="str">
            <v>Jember</v>
          </cell>
          <cell r="S1205" t="str">
            <v>L Kota1</v>
          </cell>
          <cell r="T1205" t="str">
            <v>Wira</v>
          </cell>
          <cell r="U1205">
            <v>30</v>
          </cell>
        </row>
        <row r="1206">
          <cell r="E1206" t="str">
            <v>D25013987</v>
          </cell>
          <cell r="F1206"/>
          <cell r="G1206">
            <v>344070000</v>
          </cell>
          <cell r="H1206" t="str">
            <v>Yuyun</v>
          </cell>
          <cell r="I1206" t="str">
            <v>Farida</v>
          </cell>
          <cell r="J1206"/>
          <cell r="K1206" t="str">
            <v>KU</v>
          </cell>
          <cell r="L1206" t="str">
            <v>BIMA04</v>
          </cell>
          <cell r="M1206" t="str">
            <v>Bima Tani Jaya/Kevin Pratama</v>
          </cell>
          <cell r="N1206" t="str">
            <v>Kevin Pratama Susilo</v>
          </cell>
          <cell r="O1206" t="str">
            <v>Jl. Nusantara F-06 A RT.004/RW.012, Kel. Kaliwates, Kec. Kaliwates</v>
          </cell>
          <cell r="P1206" t="str">
            <v>Jember</v>
          </cell>
          <cell r="Q1206" t="str">
            <v>Krajan Tutul, Kel. Tutul, Kec. Balung (pinggir jalan)</v>
          </cell>
          <cell r="R1206" t="str">
            <v>Jember</v>
          </cell>
          <cell r="S1206" t="str">
            <v>L Kota1</v>
          </cell>
          <cell r="T1206" t="str">
            <v>Wira</v>
          </cell>
          <cell r="U1206">
            <v>30</v>
          </cell>
        </row>
        <row r="1207">
          <cell r="E1207" t="str">
            <v>B25011811</v>
          </cell>
          <cell r="F1207"/>
          <cell r="G1207">
            <v>344070000</v>
          </cell>
          <cell r="H1207" t="str">
            <v>Yuyun</v>
          </cell>
          <cell r="I1207" t="str">
            <v>Farida</v>
          </cell>
          <cell r="J1207"/>
          <cell r="K1207" t="str">
            <v>KU</v>
          </cell>
          <cell r="L1207" t="str">
            <v>BIMA04</v>
          </cell>
          <cell r="M1207" t="str">
            <v>Bima Tani Jaya/Kevin Pratama</v>
          </cell>
          <cell r="N1207" t="str">
            <v>Kevin Pratama Susilo</v>
          </cell>
          <cell r="O1207" t="str">
            <v>Jl. Nusantara F-06 A RT.004/RW.012, Kel. Kaliwates, Kec. Kaliwates</v>
          </cell>
          <cell r="P1207" t="str">
            <v>Jember</v>
          </cell>
          <cell r="Q1207" t="str">
            <v>Krajan Tutul, Kel. Tutul, Kec. Balung (pinggir jalan)</v>
          </cell>
          <cell r="R1207" t="str">
            <v>Jember</v>
          </cell>
          <cell r="S1207" t="str">
            <v>L Kota1</v>
          </cell>
          <cell r="T1207" t="str">
            <v>Wira</v>
          </cell>
          <cell r="U1207">
            <v>30</v>
          </cell>
        </row>
        <row r="1208">
          <cell r="E1208" t="str">
            <v>B25011828</v>
          </cell>
          <cell r="F1208"/>
          <cell r="G1208">
            <v>344070000</v>
          </cell>
          <cell r="H1208" t="str">
            <v>Yuyun</v>
          </cell>
          <cell r="I1208" t="str">
            <v>Farida</v>
          </cell>
          <cell r="J1208"/>
          <cell r="K1208" t="str">
            <v>KU</v>
          </cell>
          <cell r="L1208" t="str">
            <v>BIMA04</v>
          </cell>
          <cell r="M1208" t="str">
            <v>Bima Tani Jaya/Kevin Pratama</v>
          </cell>
          <cell r="N1208" t="str">
            <v>Kevin Pratama Susilo</v>
          </cell>
          <cell r="O1208" t="str">
            <v>Jl. Nusantara F-06 A RT.004/RW.012, Kel. Kaliwates, Kec. Kaliwates</v>
          </cell>
          <cell r="P1208" t="str">
            <v>Jember</v>
          </cell>
          <cell r="Q1208" t="str">
            <v>Krajan Tutul, Kel. Tutul, Kec. Balung (pinggir jalan)</v>
          </cell>
          <cell r="R1208" t="str">
            <v>Jember</v>
          </cell>
          <cell r="S1208" t="str">
            <v>L Kota1</v>
          </cell>
          <cell r="T1208" t="str">
            <v>Wira</v>
          </cell>
          <cell r="U1208">
            <v>30</v>
          </cell>
        </row>
        <row r="1209">
          <cell r="E1209" t="str">
            <v>B25011829</v>
          </cell>
          <cell r="F1209"/>
          <cell r="G1209">
            <v>344070000</v>
          </cell>
          <cell r="H1209" t="str">
            <v>Yuyun</v>
          </cell>
          <cell r="I1209" t="str">
            <v>Farida</v>
          </cell>
          <cell r="J1209"/>
          <cell r="K1209" t="str">
            <v>KU</v>
          </cell>
          <cell r="L1209" t="str">
            <v>BIMA04</v>
          </cell>
          <cell r="M1209" t="str">
            <v>Bima Tani Jaya/Kevin Pratama</v>
          </cell>
          <cell r="N1209" t="str">
            <v>Kevin Pratama Susilo</v>
          </cell>
          <cell r="O1209" t="str">
            <v>Jl. Nusantara F-06 A RT.004/RW.012, Kel. Kaliwates, Kec. Kaliwates</v>
          </cell>
          <cell r="P1209" t="str">
            <v>Jember</v>
          </cell>
          <cell r="Q1209" t="str">
            <v>Krajan Tutul, Kel. Tutul, Kec. Balung (pinggir jalan)</v>
          </cell>
          <cell r="R1209" t="str">
            <v>Jember</v>
          </cell>
          <cell r="S1209" t="str">
            <v>L Kota1</v>
          </cell>
          <cell r="T1209" t="str">
            <v>Wira</v>
          </cell>
          <cell r="U1209">
            <v>30</v>
          </cell>
        </row>
        <row r="1210">
          <cell r="E1210" t="str">
            <v>B25011851</v>
          </cell>
          <cell r="F1210"/>
          <cell r="G1210">
            <v>344070000</v>
          </cell>
          <cell r="H1210" t="str">
            <v>Yuyun</v>
          </cell>
          <cell r="I1210" t="str">
            <v>Farida</v>
          </cell>
          <cell r="J1210"/>
          <cell r="K1210" t="str">
            <v>KU</v>
          </cell>
          <cell r="L1210" t="str">
            <v>BIMA04</v>
          </cell>
          <cell r="M1210" t="str">
            <v>Bima Tani Jaya/Kevin Pratama</v>
          </cell>
          <cell r="N1210" t="str">
            <v>Kevin Pratama Susilo</v>
          </cell>
          <cell r="O1210" t="str">
            <v>Jl. Nusantara F-06 A RT.004/RW.012, Kel. Kaliwates, Kec. Kaliwates</v>
          </cell>
          <cell r="P1210" t="str">
            <v>Jember</v>
          </cell>
          <cell r="Q1210" t="str">
            <v>Krajan Tutul, Kel. Tutul, Kec. Balung (pinggir jalan)</v>
          </cell>
          <cell r="R1210" t="str">
            <v>Jember</v>
          </cell>
          <cell r="S1210" t="str">
            <v>L Kota1</v>
          </cell>
          <cell r="T1210" t="str">
            <v>Wira</v>
          </cell>
          <cell r="U1210">
            <v>30</v>
          </cell>
        </row>
        <row r="1211">
          <cell r="E1211" t="str">
            <v>T25001393k</v>
          </cell>
          <cell r="F1211"/>
          <cell r="G1211">
            <v>344070000</v>
          </cell>
          <cell r="H1211" t="str">
            <v>Yuyun</v>
          </cell>
          <cell r="I1211" t="str">
            <v>Farida</v>
          </cell>
          <cell r="J1211"/>
          <cell r="K1211" t="str">
            <v>KU</v>
          </cell>
          <cell r="L1211" t="str">
            <v>BIMA04</v>
          </cell>
          <cell r="M1211" t="str">
            <v>Bima Tani Jaya/Kevin Pratama</v>
          </cell>
          <cell r="N1211" t="str">
            <v>Kevin Pratama Susilo</v>
          </cell>
          <cell r="O1211" t="str">
            <v>Jl. Nusantara F-06 A RT.004/RW.012, Kel. Kaliwates, Kec. Kaliwates</v>
          </cell>
          <cell r="P1211" t="str">
            <v>Jember</v>
          </cell>
          <cell r="Q1211" t="str">
            <v>Krajan Tutul, Kel. Tutul, Kec. Balung (pinggir jalan)</v>
          </cell>
          <cell r="R1211" t="str">
            <v>Jember</v>
          </cell>
          <cell r="S1211" t="str">
            <v>L Kota1</v>
          </cell>
          <cell r="T1211" t="str">
            <v>Wira</v>
          </cell>
          <cell r="U1211">
            <v>30</v>
          </cell>
        </row>
        <row r="1212">
          <cell r="E1212" t="str">
            <v>B25011864</v>
          </cell>
          <cell r="F1212"/>
          <cell r="G1212">
            <v>344070000</v>
          </cell>
          <cell r="H1212" t="str">
            <v>Yuyun</v>
          </cell>
          <cell r="I1212" t="str">
            <v>Farida</v>
          </cell>
          <cell r="J1212"/>
          <cell r="K1212" t="str">
            <v>KU</v>
          </cell>
          <cell r="L1212" t="str">
            <v>BIMA04</v>
          </cell>
          <cell r="M1212" t="str">
            <v>Bima Tani Jaya/Kevin Pratama</v>
          </cell>
          <cell r="N1212" t="str">
            <v>Kevin Pratama Susilo</v>
          </cell>
          <cell r="O1212" t="str">
            <v>Jl. Nusantara F-06 A RT.004/RW.012, Kel. Kaliwates, Kec. Kaliwates</v>
          </cell>
          <cell r="P1212" t="str">
            <v>Jember</v>
          </cell>
          <cell r="Q1212" t="str">
            <v>Krajan Tutul, Kel. Tutul, Kec. Balung (pinggir jalan)</v>
          </cell>
          <cell r="R1212" t="str">
            <v>Jember</v>
          </cell>
          <cell r="S1212" t="str">
            <v>L Kota1</v>
          </cell>
          <cell r="T1212" t="str">
            <v>Wira</v>
          </cell>
          <cell r="U1212">
            <v>30</v>
          </cell>
        </row>
        <row r="1213">
          <cell r="E1213" t="str">
            <v>B25011908</v>
          </cell>
          <cell r="F1213"/>
          <cell r="G1213">
            <v>344070000</v>
          </cell>
          <cell r="H1213" t="str">
            <v>Yuyun</v>
          </cell>
          <cell r="I1213" t="str">
            <v>Farida</v>
          </cell>
          <cell r="J1213"/>
          <cell r="K1213" t="str">
            <v>KU</v>
          </cell>
          <cell r="L1213" t="str">
            <v>BIMA04</v>
          </cell>
          <cell r="M1213" t="str">
            <v>Bima Tani Jaya/Kevin Pratama</v>
          </cell>
          <cell r="N1213" t="str">
            <v>Kevin Pratama Susilo</v>
          </cell>
          <cell r="O1213" t="str">
            <v>Jl. Nusantara F-06 A RT.004/RW.012, Kel. Kaliwates, Kec. Kaliwates</v>
          </cell>
          <cell r="P1213" t="str">
            <v>Jember</v>
          </cell>
          <cell r="Q1213" t="str">
            <v>Krajan Tutul, Kel. Tutul, Kec. Balung (pinggir jalan)</v>
          </cell>
          <cell r="R1213" t="str">
            <v>Jember</v>
          </cell>
          <cell r="S1213" t="str">
            <v>L Kota1</v>
          </cell>
          <cell r="T1213" t="str">
            <v>Wira</v>
          </cell>
          <cell r="U1213">
            <v>30</v>
          </cell>
        </row>
        <row r="1214">
          <cell r="E1214" t="str">
            <v>D25014124</v>
          </cell>
          <cell r="F1214"/>
          <cell r="G1214">
            <v>344070000</v>
          </cell>
          <cell r="H1214" t="str">
            <v>Yuyun</v>
          </cell>
          <cell r="I1214" t="str">
            <v>Farida</v>
          </cell>
          <cell r="J1214"/>
          <cell r="K1214" t="str">
            <v>KU</v>
          </cell>
          <cell r="L1214" t="str">
            <v>BIMA04</v>
          </cell>
          <cell r="M1214" t="str">
            <v>Bima Tani Jaya/Kevin Pratama</v>
          </cell>
          <cell r="N1214" t="str">
            <v>Kevin Pratama Susilo</v>
          </cell>
          <cell r="O1214" t="str">
            <v>Jl. Nusantara F-06 A RT.004/RW.012, Kel. Kaliwates, Kec. Kaliwates</v>
          </cell>
          <cell r="P1214" t="str">
            <v>Jember</v>
          </cell>
          <cell r="Q1214" t="str">
            <v>Krajan Tutul, Kel. Tutul, Kec. Balung (pinggir jalan)</v>
          </cell>
          <cell r="R1214" t="str">
            <v>Jember</v>
          </cell>
          <cell r="S1214" t="str">
            <v>L Kota1</v>
          </cell>
          <cell r="T1214" t="str">
            <v>Wira</v>
          </cell>
          <cell r="U1214">
            <v>30</v>
          </cell>
        </row>
        <row r="1215">
          <cell r="E1215" t="str">
            <v>T25001396k</v>
          </cell>
          <cell r="F1215"/>
          <cell r="G1215">
            <v>344070000</v>
          </cell>
          <cell r="H1215" t="str">
            <v>Yuyun</v>
          </cell>
          <cell r="I1215" t="str">
            <v>Farida</v>
          </cell>
          <cell r="J1215"/>
          <cell r="K1215" t="str">
            <v>KU</v>
          </cell>
          <cell r="L1215" t="str">
            <v>BIMA04</v>
          </cell>
          <cell r="M1215" t="str">
            <v>Bima Tani Jaya/Kevin Pratama</v>
          </cell>
          <cell r="N1215" t="str">
            <v>Kevin Pratama Susilo</v>
          </cell>
          <cell r="O1215" t="str">
            <v>Jl. Nusantara F-06 A RT.004/RW.012, Kel. Kaliwates, Kec. Kaliwates</v>
          </cell>
          <cell r="P1215" t="str">
            <v>Jember</v>
          </cell>
          <cell r="Q1215" t="str">
            <v>Krajan Tutul, Kel. Tutul, Kec. Balung (pinggir jalan)</v>
          </cell>
          <cell r="R1215" t="str">
            <v>Jember</v>
          </cell>
          <cell r="S1215" t="str">
            <v>L Kota1</v>
          </cell>
          <cell r="T1215" t="str">
            <v>Wira</v>
          </cell>
          <cell r="U1215">
            <v>30</v>
          </cell>
        </row>
        <row r="1216">
          <cell r="E1216" t="str">
            <v>B25011963</v>
          </cell>
          <cell r="F1216"/>
          <cell r="G1216">
            <v>344070000</v>
          </cell>
          <cell r="H1216" t="str">
            <v>Yuyun</v>
          </cell>
          <cell r="I1216" t="str">
            <v>Farida</v>
          </cell>
          <cell r="J1216"/>
          <cell r="K1216" t="str">
            <v>KU</v>
          </cell>
          <cell r="L1216" t="str">
            <v>BIMA04</v>
          </cell>
          <cell r="M1216" t="str">
            <v>Bima Tani Jaya/Kevin Pratama</v>
          </cell>
          <cell r="N1216" t="str">
            <v>Kevin Pratama Susilo</v>
          </cell>
          <cell r="O1216" t="str">
            <v>Jl. Nusantara F-06 A RT.004/RW.012, Kel. Kaliwates, Kec. Kaliwates</v>
          </cell>
          <cell r="P1216" t="str">
            <v>Jember</v>
          </cell>
          <cell r="Q1216" t="str">
            <v>Krajan Tutul, Kel. Tutul, Kec. Balung (pinggir jalan)</v>
          </cell>
          <cell r="R1216" t="str">
            <v>Jember</v>
          </cell>
          <cell r="S1216" t="str">
            <v>L Kota1</v>
          </cell>
          <cell r="T1216" t="str">
            <v>Wira</v>
          </cell>
          <cell r="U1216">
            <v>30</v>
          </cell>
        </row>
        <row r="1217">
          <cell r="E1217" t="str">
            <v>B25011990</v>
          </cell>
          <cell r="F1217"/>
          <cell r="G1217">
            <v>344070000</v>
          </cell>
          <cell r="H1217" t="str">
            <v>Yuyun</v>
          </cell>
          <cell r="I1217" t="str">
            <v>Farida</v>
          </cell>
          <cell r="J1217"/>
          <cell r="K1217" t="str">
            <v>KU</v>
          </cell>
          <cell r="L1217" t="str">
            <v>BIMA04</v>
          </cell>
          <cell r="M1217" t="str">
            <v>Bima Tani Jaya/Kevin Pratama</v>
          </cell>
          <cell r="N1217" t="str">
            <v>Kevin Pratama Susilo</v>
          </cell>
          <cell r="O1217" t="str">
            <v>Jl. Nusantara F-06 A RT.004/RW.012, Kel. Kaliwates, Kec. Kaliwates</v>
          </cell>
          <cell r="P1217" t="str">
            <v>Jember</v>
          </cell>
          <cell r="Q1217" t="str">
            <v>Krajan Tutul, Kel. Tutul, Kec. Balung (pinggir jalan)</v>
          </cell>
          <cell r="R1217" t="str">
            <v>Jember</v>
          </cell>
          <cell r="S1217" t="str">
            <v>L Kota1</v>
          </cell>
          <cell r="T1217" t="str">
            <v>Wira</v>
          </cell>
          <cell r="U1217">
            <v>30</v>
          </cell>
        </row>
        <row r="1218">
          <cell r="E1218" t="str">
            <v>L25000047</v>
          </cell>
          <cell r="F1218"/>
          <cell r="G1218">
            <v>344070000</v>
          </cell>
          <cell r="H1218" t="str">
            <v>Yuyun</v>
          </cell>
          <cell r="I1218" t="str">
            <v>Farida</v>
          </cell>
          <cell r="J1218"/>
          <cell r="K1218" t="str">
            <v>KU</v>
          </cell>
          <cell r="L1218" t="str">
            <v>BIMA04</v>
          </cell>
          <cell r="M1218" t="str">
            <v>Bima Tani Jaya/Kevin Pratama</v>
          </cell>
          <cell r="N1218" t="str">
            <v>Kevin Pratama Susilo</v>
          </cell>
          <cell r="O1218" t="str">
            <v>Jl. Nusantara F-06 A RT.004/RW.012, Kel. Kaliwates, Kec. Kaliwates</v>
          </cell>
          <cell r="P1218" t="str">
            <v>Jember</v>
          </cell>
          <cell r="Q1218" t="str">
            <v>Krajan Tutul, Kel. Tutul, Kec. Balung (pinggir jalan)</v>
          </cell>
          <cell r="R1218" t="str">
            <v>Jember</v>
          </cell>
          <cell r="S1218" t="str">
            <v>L Kota1</v>
          </cell>
          <cell r="T1218" t="str">
            <v>Wira</v>
          </cell>
          <cell r="U1218">
            <v>30</v>
          </cell>
        </row>
        <row r="1219">
          <cell r="E1219" t="str">
            <v>B25012032</v>
          </cell>
          <cell r="F1219"/>
          <cell r="G1219">
            <v>344070000</v>
          </cell>
          <cell r="H1219" t="str">
            <v>Yuyun</v>
          </cell>
          <cell r="I1219" t="str">
            <v>Farida</v>
          </cell>
          <cell r="J1219"/>
          <cell r="K1219" t="str">
            <v>KU</v>
          </cell>
          <cell r="L1219" t="str">
            <v>BIMA04</v>
          </cell>
          <cell r="M1219" t="str">
            <v>Bima Tani Jaya/Kevin Pratama</v>
          </cell>
          <cell r="N1219" t="str">
            <v>Kevin Pratama Susilo</v>
          </cell>
          <cell r="O1219" t="str">
            <v>Jl. Nusantara F-06 A RT.004/RW.012, Kel. Kaliwates, Kec. Kaliwates</v>
          </cell>
          <cell r="P1219" t="str">
            <v>Jember</v>
          </cell>
          <cell r="Q1219" t="str">
            <v>Krajan Tutul, Kel. Tutul, Kec. Balung (pinggir jalan)</v>
          </cell>
          <cell r="R1219" t="str">
            <v>Jember</v>
          </cell>
          <cell r="S1219" t="str">
            <v>L Kota1</v>
          </cell>
          <cell r="T1219" t="str">
            <v>Wira</v>
          </cell>
          <cell r="U1219">
            <v>30</v>
          </cell>
        </row>
        <row r="1220">
          <cell r="E1220" t="str">
            <v>B25012035</v>
          </cell>
          <cell r="F1220"/>
          <cell r="G1220">
            <v>344070000</v>
          </cell>
          <cell r="H1220" t="str">
            <v>Yuyun</v>
          </cell>
          <cell r="I1220" t="str">
            <v>Farida</v>
          </cell>
          <cell r="J1220"/>
          <cell r="K1220" t="str">
            <v>KU</v>
          </cell>
          <cell r="L1220" t="str">
            <v>BIMA04</v>
          </cell>
          <cell r="M1220" t="str">
            <v>Bima Tani Jaya/Kevin Pratama</v>
          </cell>
          <cell r="N1220" t="str">
            <v>Kevin Pratama Susilo</v>
          </cell>
          <cell r="O1220" t="str">
            <v>Jl. Nusantara F-06 A RT.004/RW.012, Kel. Kaliwates, Kec. Kaliwates</v>
          </cell>
          <cell r="P1220" t="str">
            <v>Jember</v>
          </cell>
          <cell r="Q1220" t="str">
            <v>Krajan Tutul, Kel. Tutul, Kec. Balung (pinggir jalan)</v>
          </cell>
          <cell r="R1220" t="str">
            <v>Jember</v>
          </cell>
          <cell r="S1220" t="str">
            <v>L Kota1</v>
          </cell>
          <cell r="T1220" t="str">
            <v>Wira</v>
          </cell>
          <cell r="U1220">
            <v>30</v>
          </cell>
        </row>
        <row r="1221">
          <cell r="E1221" t="str">
            <v>B25012095</v>
          </cell>
          <cell r="F1221"/>
          <cell r="G1221">
            <v>344070000</v>
          </cell>
          <cell r="H1221" t="str">
            <v>Yuyun</v>
          </cell>
          <cell r="I1221" t="str">
            <v>Farida</v>
          </cell>
          <cell r="J1221"/>
          <cell r="K1221" t="str">
            <v>KU</v>
          </cell>
          <cell r="L1221" t="str">
            <v>BIMA04</v>
          </cell>
          <cell r="M1221" t="str">
            <v>Bima Tani Jaya/Kevin Pratama</v>
          </cell>
          <cell r="N1221" t="str">
            <v>Kevin Pratama Susilo</v>
          </cell>
          <cell r="O1221" t="str">
            <v>Jl. Nusantara F-06 A RT.004/RW.012, Kel. Kaliwates, Kec. Kaliwates</v>
          </cell>
          <cell r="P1221" t="str">
            <v>Jember</v>
          </cell>
          <cell r="Q1221" t="str">
            <v>Krajan Tutul, Kel. Tutul, Kec. Balung (pinggir jalan)</v>
          </cell>
          <cell r="R1221" t="str">
            <v>Jember</v>
          </cell>
          <cell r="S1221" t="str">
            <v>L Kota1</v>
          </cell>
          <cell r="T1221" t="str">
            <v>Wira</v>
          </cell>
          <cell r="U1221">
            <v>30</v>
          </cell>
        </row>
        <row r="1222">
          <cell r="E1222" t="str">
            <v>D25014268</v>
          </cell>
          <cell r="F1222"/>
          <cell r="G1222">
            <v>344070000</v>
          </cell>
          <cell r="H1222" t="str">
            <v>Yuyun</v>
          </cell>
          <cell r="I1222" t="str">
            <v>Farida</v>
          </cell>
          <cell r="J1222"/>
          <cell r="K1222" t="str">
            <v>KU</v>
          </cell>
          <cell r="L1222" t="str">
            <v>BIMA04</v>
          </cell>
          <cell r="M1222" t="str">
            <v>Bima Tani Jaya/Kevin Pratama</v>
          </cell>
          <cell r="N1222" t="str">
            <v>Kevin Pratama Susilo</v>
          </cell>
          <cell r="O1222" t="str">
            <v>Jl. Nusantara F-06 A RT.004/RW.012, Kel. Kaliwates, Kec. Kaliwates</v>
          </cell>
          <cell r="P1222" t="str">
            <v>Jember</v>
          </cell>
          <cell r="Q1222" t="str">
            <v>Krajan Tutul, Kel. Tutul, Kec. Balung (pinggir jalan)</v>
          </cell>
          <cell r="R1222" t="str">
            <v>Jember</v>
          </cell>
          <cell r="S1222" t="str">
            <v>L Kota1</v>
          </cell>
          <cell r="T1222" t="str">
            <v>Wira</v>
          </cell>
          <cell r="U1222">
            <v>30</v>
          </cell>
        </row>
        <row r="1223">
          <cell r="E1223" t="str">
            <v>D25014269</v>
          </cell>
          <cell r="F1223"/>
          <cell r="G1223">
            <v>344070000</v>
          </cell>
          <cell r="H1223" t="str">
            <v>Yuyun</v>
          </cell>
          <cell r="I1223" t="str">
            <v>Farida</v>
          </cell>
          <cell r="J1223"/>
          <cell r="K1223" t="str">
            <v>KU</v>
          </cell>
          <cell r="L1223" t="str">
            <v>BIMA04</v>
          </cell>
          <cell r="M1223" t="str">
            <v>Bima Tani Jaya/Kevin Pratama</v>
          </cell>
          <cell r="N1223" t="str">
            <v>Kevin Pratama Susilo</v>
          </cell>
          <cell r="O1223" t="str">
            <v>Jl. Nusantara F-06 A RT.004/RW.012, Kel. Kaliwates, Kec. Kaliwates</v>
          </cell>
          <cell r="P1223" t="str">
            <v>Jember</v>
          </cell>
          <cell r="Q1223" t="str">
            <v>Krajan Tutul, Kel. Tutul, Kec. Balung (pinggir jalan)</v>
          </cell>
          <cell r="R1223" t="str">
            <v>Jember</v>
          </cell>
          <cell r="S1223" t="str">
            <v>L Kota1</v>
          </cell>
          <cell r="T1223" t="str">
            <v>Wira</v>
          </cell>
          <cell r="U1223">
            <v>30</v>
          </cell>
        </row>
        <row r="1224">
          <cell r="E1224" t="str">
            <v>B25012100</v>
          </cell>
          <cell r="F1224"/>
          <cell r="G1224">
            <v>344070000</v>
          </cell>
          <cell r="H1224" t="str">
            <v>Yuyun</v>
          </cell>
          <cell r="I1224" t="str">
            <v>Farida</v>
          </cell>
          <cell r="J1224"/>
          <cell r="K1224" t="str">
            <v>KU</v>
          </cell>
          <cell r="L1224" t="str">
            <v>BIMA04</v>
          </cell>
          <cell r="M1224" t="str">
            <v>Bima Tani Jaya/Kevin Pratama</v>
          </cell>
          <cell r="N1224" t="str">
            <v>Kevin Pratama Susilo</v>
          </cell>
          <cell r="O1224" t="str">
            <v>Jl. Nusantara F-06 A RT.004/RW.012, Kel. Kaliwates, Kec. Kaliwates</v>
          </cell>
          <cell r="P1224" t="str">
            <v>Jember</v>
          </cell>
          <cell r="Q1224" t="str">
            <v>Krajan Tutul, Kel. Tutul, Kec. Balung (pinggir jalan)</v>
          </cell>
          <cell r="R1224" t="str">
            <v>Jember</v>
          </cell>
          <cell r="S1224" t="str">
            <v>L Kota1</v>
          </cell>
          <cell r="T1224" t="str">
            <v>Wira</v>
          </cell>
          <cell r="U1224">
            <v>30</v>
          </cell>
        </row>
        <row r="1225">
          <cell r="E1225" t="str">
            <v>B25012111</v>
          </cell>
          <cell r="F1225"/>
          <cell r="G1225">
            <v>344070000</v>
          </cell>
          <cell r="H1225" t="str">
            <v>Yuyun</v>
          </cell>
          <cell r="I1225" t="str">
            <v>Farida</v>
          </cell>
          <cell r="J1225"/>
          <cell r="K1225" t="str">
            <v>KU</v>
          </cell>
          <cell r="L1225" t="str">
            <v>BIMA04</v>
          </cell>
          <cell r="M1225" t="str">
            <v>Bima Tani Jaya/Kevin Pratama</v>
          </cell>
          <cell r="N1225" t="str">
            <v>Kevin Pratama Susilo</v>
          </cell>
          <cell r="O1225" t="str">
            <v>Jl. Nusantara F-06 A RT.004/RW.012, Kel. Kaliwates, Kec. Kaliwates</v>
          </cell>
          <cell r="P1225" t="str">
            <v>Jember</v>
          </cell>
          <cell r="Q1225" t="str">
            <v>Krajan Tutul, Kel. Tutul, Kec. Balung (pinggir jalan)</v>
          </cell>
          <cell r="R1225" t="str">
            <v>Jember</v>
          </cell>
          <cell r="S1225" t="str">
            <v>L Kota1</v>
          </cell>
          <cell r="T1225" t="str">
            <v>Wira</v>
          </cell>
          <cell r="U1225">
            <v>30</v>
          </cell>
        </row>
        <row r="1226">
          <cell r="E1226" t="str">
            <v>B25012119</v>
          </cell>
          <cell r="F1226"/>
          <cell r="G1226">
            <v>344070000</v>
          </cell>
          <cell r="H1226" t="str">
            <v>Yuyun</v>
          </cell>
          <cell r="I1226" t="str">
            <v>Farida</v>
          </cell>
          <cell r="J1226"/>
          <cell r="K1226" t="str">
            <v>KU</v>
          </cell>
          <cell r="L1226" t="str">
            <v>BIMA04</v>
          </cell>
          <cell r="M1226" t="str">
            <v>Bima Tani Jaya/Kevin Pratama</v>
          </cell>
          <cell r="N1226" t="str">
            <v>Kevin Pratama Susilo</v>
          </cell>
          <cell r="O1226" t="str">
            <v>Jl. Nusantara F-06 A RT.004/RW.012, Kel. Kaliwates, Kec. Kaliwates</v>
          </cell>
          <cell r="P1226" t="str">
            <v>Jember</v>
          </cell>
          <cell r="Q1226" t="str">
            <v>Krajan Tutul, Kel. Tutul, Kec. Balung (pinggir jalan)</v>
          </cell>
          <cell r="R1226" t="str">
            <v>Jember</v>
          </cell>
          <cell r="S1226" t="str">
            <v>L Kota1</v>
          </cell>
          <cell r="T1226" t="str">
            <v>Wira</v>
          </cell>
          <cell r="U1226">
            <v>30</v>
          </cell>
        </row>
        <row r="1227">
          <cell r="E1227" t="str">
            <v>T25001423k</v>
          </cell>
          <cell r="F1227"/>
          <cell r="G1227">
            <v>344070000</v>
          </cell>
          <cell r="H1227" t="str">
            <v>Yuyun</v>
          </cell>
          <cell r="I1227" t="str">
            <v>Farida</v>
          </cell>
          <cell r="J1227"/>
          <cell r="K1227" t="str">
            <v>KU</v>
          </cell>
          <cell r="L1227" t="str">
            <v>BIMA04</v>
          </cell>
          <cell r="M1227" t="str">
            <v>Bima Tani Jaya/Kevin Pratama</v>
          </cell>
          <cell r="N1227" t="str">
            <v>Kevin Pratama Susilo</v>
          </cell>
          <cell r="O1227" t="str">
            <v>Jl. Nusantara F-06 A RT.004/RW.012, Kel. Kaliwates, Kec. Kaliwates</v>
          </cell>
          <cell r="P1227" t="str">
            <v>Jember</v>
          </cell>
          <cell r="Q1227" t="str">
            <v>Krajan Tutul, Kel. Tutul, Kec. Balung (pinggir jalan)</v>
          </cell>
          <cell r="R1227" t="str">
            <v>Jember</v>
          </cell>
          <cell r="S1227" t="str">
            <v>L Kota1</v>
          </cell>
          <cell r="T1227" t="str">
            <v>Wira</v>
          </cell>
          <cell r="U1227">
            <v>30</v>
          </cell>
        </row>
        <row r="1228">
          <cell r="E1228" t="str">
            <v>B25012299</v>
          </cell>
          <cell r="F1228"/>
          <cell r="G1228">
            <v>344070000</v>
          </cell>
          <cell r="H1228" t="str">
            <v>Yuyun</v>
          </cell>
          <cell r="I1228" t="str">
            <v>Farida</v>
          </cell>
          <cell r="J1228"/>
          <cell r="K1228" t="str">
            <v>KU</v>
          </cell>
          <cell r="L1228" t="str">
            <v>BIMA04</v>
          </cell>
          <cell r="M1228" t="str">
            <v>Bima Tani Jaya/Kevin Pratama</v>
          </cell>
          <cell r="N1228" t="str">
            <v>Kevin Pratama Susilo</v>
          </cell>
          <cell r="O1228" t="str">
            <v>Jl. Nusantara F-06 A RT.004/RW.012, Kel. Kaliwates, Kec. Kaliwates</v>
          </cell>
          <cell r="P1228" t="str">
            <v>Jember</v>
          </cell>
          <cell r="Q1228" t="str">
            <v>Krajan Tutul, Kel. Tutul, Kec. Balung (pinggir jalan)</v>
          </cell>
          <cell r="R1228" t="str">
            <v>Jember</v>
          </cell>
          <cell r="S1228" t="str">
            <v>L Kota1</v>
          </cell>
          <cell r="T1228" t="str">
            <v>Wira</v>
          </cell>
          <cell r="U1228">
            <v>30</v>
          </cell>
        </row>
        <row r="1229">
          <cell r="E1229" t="str">
            <v>D25014566</v>
          </cell>
          <cell r="F1229"/>
          <cell r="G1229">
            <v>344070000</v>
          </cell>
          <cell r="H1229" t="str">
            <v>Yuyun</v>
          </cell>
          <cell r="I1229" t="str">
            <v>Farida</v>
          </cell>
          <cell r="J1229"/>
          <cell r="K1229" t="str">
            <v>KU</v>
          </cell>
          <cell r="L1229" t="str">
            <v>BIMA04</v>
          </cell>
          <cell r="M1229" t="str">
            <v>Bima Tani Jaya/Kevin Pratama</v>
          </cell>
          <cell r="N1229" t="str">
            <v>Kevin Pratama Susilo</v>
          </cell>
          <cell r="O1229" t="str">
            <v>Jl. Nusantara F-06 A RT.004/RW.012, Kel. Kaliwates, Kec. Kaliwates</v>
          </cell>
          <cell r="P1229" t="str">
            <v>Jember</v>
          </cell>
          <cell r="Q1229" t="str">
            <v>Krajan Tutul, Kel. Tutul, Kec. Balung (pinggir jalan)</v>
          </cell>
          <cell r="R1229" t="str">
            <v>Jember</v>
          </cell>
          <cell r="S1229" t="str">
            <v>L Kota1</v>
          </cell>
          <cell r="T1229" t="str">
            <v>Wira</v>
          </cell>
          <cell r="U1229">
            <v>30</v>
          </cell>
        </row>
        <row r="1230">
          <cell r="E1230" t="str">
            <v>D25014575</v>
          </cell>
          <cell r="F1230"/>
          <cell r="G1230">
            <v>344070000</v>
          </cell>
          <cell r="H1230" t="str">
            <v>Yuyun</v>
          </cell>
          <cell r="I1230" t="str">
            <v>Farida</v>
          </cell>
          <cell r="J1230"/>
          <cell r="K1230" t="str">
            <v>KU</v>
          </cell>
          <cell r="L1230" t="str">
            <v>BIMA04</v>
          </cell>
          <cell r="M1230" t="str">
            <v>Bima Tani Jaya/Kevin Pratama</v>
          </cell>
          <cell r="N1230" t="str">
            <v>Kevin Pratama Susilo</v>
          </cell>
          <cell r="O1230" t="str">
            <v>Jl. Nusantara F-06 A RT.004/RW.012, Kel. Kaliwates, Kec. Kaliwates</v>
          </cell>
          <cell r="P1230" t="str">
            <v>Jember</v>
          </cell>
          <cell r="Q1230" t="str">
            <v>Krajan Tutul, Kel. Tutul, Kec. Balung (pinggir jalan)</v>
          </cell>
          <cell r="R1230" t="str">
            <v>Jember</v>
          </cell>
          <cell r="S1230" t="str">
            <v>L Kota1</v>
          </cell>
          <cell r="T1230" t="str">
            <v>Wira</v>
          </cell>
          <cell r="U1230">
            <v>30</v>
          </cell>
        </row>
        <row r="1231">
          <cell r="E1231" t="str">
            <v>D25014608</v>
          </cell>
          <cell r="F1231"/>
          <cell r="G1231">
            <v>344070000</v>
          </cell>
          <cell r="H1231" t="str">
            <v>Yuyun</v>
          </cell>
          <cell r="I1231" t="str">
            <v>Farida</v>
          </cell>
          <cell r="J1231"/>
          <cell r="K1231" t="str">
            <v>KU</v>
          </cell>
          <cell r="L1231" t="str">
            <v>BIMA04</v>
          </cell>
          <cell r="M1231" t="str">
            <v>Bima Tani Jaya/Kevin Pratama</v>
          </cell>
          <cell r="N1231" t="str">
            <v>Kevin Pratama Susilo</v>
          </cell>
          <cell r="O1231" t="str">
            <v>Jl. Nusantara F-06 A RT.004/RW.012, Kel. Kaliwates, Kec. Kaliwates</v>
          </cell>
          <cell r="P1231" t="str">
            <v>Jember</v>
          </cell>
          <cell r="Q1231" t="str">
            <v>Krajan Tutul, Kel. Tutul, Kec. Balung (pinggir jalan)</v>
          </cell>
          <cell r="R1231" t="str">
            <v>Jember</v>
          </cell>
          <cell r="S1231" t="str">
            <v>L Kota1</v>
          </cell>
          <cell r="T1231" t="str">
            <v>Wira</v>
          </cell>
          <cell r="U1231">
            <v>30</v>
          </cell>
        </row>
        <row r="1232">
          <cell r="E1232" t="str">
            <v>D25014621</v>
          </cell>
          <cell r="F1232"/>
          <cell r="G1232">
            <v>344070000</v>
          </cell>
          <cell r="H1232" t="str">
            <v>Yuyun</v>
          </cell>
          <cell r="I1232" t="str">
            <v>Farida</v>
          </cell>
          <cell r="J1232"/>
          <cell r="K1232" t="str">
            <v>KU</v>
          </cell>
          <cell r="L1232" t="str">
            <v>BIMA04</v>
          </cell>
          <cell r="M1232" t="str">
            <v>Bima Tani Jaya/Kevin Pratama</v>
          </cell>
          <cell r="N1232" t="str">
            <v>Kevin Pratama Susilo</v>
          </cell>
          <cell r="O1232" t="str">
            <v>Jl. Nusantara F-06 A RT.004/RW.012, Kel. Kaliwates, Kec. Kaliwates</v>
          </cell>
          <cell r="P1232" t="str">
            <v>Jember</v>
          </cell>
          <cell r="Q1232" t="str">
            <v>Krajan Tutul, Kel. Tutul, Kec. Balung (pinggir jalan)</v>
          </cell>
          <cell r="R1232" t="str">
            <v>Jember</v>
          </cell>
          <cell r="S1232" t="str">
            <v>L Kota1</v>
          </cell>
          <cell r="T1232" t="str">
            <v>Wira</v>
          </cell>
          <cell r="U1232">
            <v>30</v>
          </cell>
        </row>
        <row r="1233">
          <cell r="E1233" t="str">
            <v>B25012371</v>
          </cell>
          <cell r="F1233"/>
          <cell r="G1233">
            <v>344070000</v>
          </cell>
          <cell r="H1233" t="str">
            <v>Yuyun</v>
          </cell>
          <cell r="I1233" t="str">
            <v>Farida</v>
          </cell>
          <cell r="J1233"/>
          <cell r="K1233" t="str">
            <v>KU</v>
          </cell>
          <cell r="L1233" t="str">
            <v>BIMA04</v>
          </cell>
          <cell r="M1233" t="str">
            <v>Bima Tani Jaya/Kevin Pratama</v>
          </cell>
          <cell r="N1233" t="str">
            <v>Kevin Pratama Susilo</v>
          </cell>
          <cell r="O1233" t="str">
            <v>Jl. Nusantara F-06 A RT.004/RW.012, Kel. Kaliwates, Kec. Kaliwates</v>
          </cell>
          <cell r="P1233" t="str">
            <v>Jember</v>
          </cell>
          <cell r="Q1233" t="str">
            <v>Krajan Tutul, Kel. Tutul, Kec. Balung (pinggir jalan)</v>
          </cell>
          <cell r="R1233" t="str">
            <v>Jember</v>
          </cell>
          <cell r="S1233" t="str">
            <v>L Kota1</v>
          </cell>
          <cell r="T1233" t="str">
            <v>Wira</v>
          </cell>
          <cell r="U1233">
            <v>30</v>
          </cell>
        </row>
        <row r="1234">
          <cell r="E1234" t="str">
            <v>T25001454K</v>
          </cell>
          <cell r="F1234"/>
          <cell r="G1234">
            <v>344070000</v>
          </cell>
          <cell r="H1234" t="str">
            <v>Yuyun</v>
          </cell>
          <cell r="I1234" t="str">
            <v>Farida</v>
          </cell>
          <cell r="J1234"/>
          <cell r="K1234" t="str">
            <v>KU</v>
          </cell>
          <cell r="L1234" t="str">
            <v>BIMA04</v>
          </cell>
          <cell r="M1234" t="str">
            <v>Bima Tani Jaya/Kevin Pratama</v>
          </cell>
          <cell r="N1234" t="str">
            <v>Kevin Pratama Susilo</v>
          </cell>
          <cell r="O1234" t="str">
            <v>Jl. Nusantara F-06 A RT.004/RW.012, Kel. Kaliwates, Kec. Kaliwates</v>
          </cell>
          <cell r="P1234" t="str">
            <v>Jember</v>
          </cell>
          <cell r="Q1234" t="str">
            <v>Krajan Tutul, Kel. Tutul, Kec. Balung (pinggir jalan)</v>
          </cell>
          <cell r="R1234" t="str">
            <v>Jember</v>
          </cell>
          <cell r="S1234" t="str">
            <v>L Kota1</v>
          </cell>
          <cell r="T1234" t="str">
            <v>Wira</v>
          </cell>
          <cell r="U1234">
            <v>30</v>
          </cell>
        </row>
        <row r="1235">
          <cell r="E1235" t="str">
            <v>B25012508</v>
          </cell>
          <cell r="F1235"/>
          <cell r="G1235">
            <v>344070000</v>
          </cell>
          <cell r="H1235" t="str">
            <v>Yuyun</v>
          </cell>
          <cell r="I1235" t="str">
            <v>Farida</v>
          </cell>
          <cell r="J1235"/>
          <cell r="K1235" t="str">
            <v>KU</v>
          </cell>
          <cell r="L1235" t="str">
            <v>BIMA04</v>
          </cell>
          <cell r="M1235" t="str">
            <v>Bima Tani Jaya/Kevin Pratama</v>
          </cell>
          <cell r="N1235" t="str">
            <v>Kevin Pratama Susilo</v>
          </cell>
          <cell r="O1235" t="str">
            <v>Jl. Nusantara F-06 A RT.004/RW.012, Kel. Kaliwates, Kec. Kaliwates</v>
          </cell>
          <cell r="P1235" t="str">
            <v>Jember</v>
          </cell>
          <cell r="Q1235" t="str">
            <v>Krajan Tutul, Kel. Tutul, Kec. Balung (pinggir jalan)</v>
          </cell>
          <cell r="R1235" t="str">
            <v>Jember</v>
          </cell>
          <cell r="S1235" t="str">
            <v>L Kota1</v>
          </cell>
          <cell r="T1235" t="str">
            <v>Wira</v>
          </cell>
          <cell r="U1235">
            <v>30</v>
          </cell>
        </row>
        <row r="1236">
          <cell r="E1236" t="str">
            <v>D25014920</v>
          </cell>
          <cell r="F1236"/>
          <cell r="G1236">
            <v>344070000</v>
          </cell>
          <cell r="H1236" t="str">
            <v>Yuyun</v>
          </cell>
          <cell r="I1236" t="str">
            <v>Farida</v>
          </cell>
          <cell r="J1236"/>
          <cell r="K1236" t="str">
            <v>KU</v>
          </cell>
          <cell r="L1236" t="str">
            <v>BIMA04</v>
          </cell>
          <cell r="M1236" t="str">
            <v>Bima Tani Jaya/Kevin Pratama</v>
          </cell>
          <cell r="N1236" t="str">
            <v>Kevin Pratama Susilo</v>
          </cell>
          <cell r="O1236" t="str">
            <v>Jl. Nusantara F-06 A RT.004/RW.012, Kel. Kaliwates, Kec. Kaliwates</v>
          </cell>
          <cell r="P1236" t="str">
            <v>Jember</v>
          </cell>
          <cell r="Q1236" t="str">
            <v>Krajan Tutul, Kel. Tutul, Kec. Balung (pinggir jalan)</v>
          </cell>
          <cell r="R1236" t="str">
            <v>Jember</v>
          </cell>
          <cell r="S1236" t="str">
            <v>L Kota1</v>
          </cell>
          <cell r="T1236" t="str">
            <v>Wira</v>
          </cell>
          <cell r="U1236">
            <v>30</v>
          </cell>
        </row>
        <row r="1237">
          <cell r="E1237" t="str">
            <v>D25014921</v>
          </cell>
          <cell r="F1237"/>
          <cell r="G1237">
            <v>344070000</v>
          </cell>
          <cell r="H1237" t="str">
            <v>Yuyun</v>
          </cell>
          <cell r="I1237" t="str">
            <v>Farida</v>
          </cell>
          <cell r="J1237"/>
          <cell r="K1237" t="str">
            <v>KU</v>
          </cell>
          <cell r="L1237" t="str">
            <v>BIMA04</v>
          </cell>
          <cell r="M1237" t="str">
            <v>Bima Tani Jaya/Kevin Pratama</v>
          </cell>
          <cell r="N1237" t="str">
            <v>Kevin Pratama Susilo</v>
          </cell>
          <cell r="O1237" t="str">
            <v>Jl. Nusantara F-06 A RT.004/RW.012, Kel. Kaliwates, Kec. Kaliwates</v>
          </cell>
          <cell r="P1237" t="str">
            <v>Jember</v>
          </cell>
          <cell r="Q1237" t="str">
            <v>Krajan Tutul, Kel. Tutul, Kec. Balung (pinggir jalan)</v>
          </cell>
          <cell r="R1237" t="str">
            <v>Jember</v>
          </cell>
          <cell r="S1237" t="str">
            <v>L Kota1</v>
          </cell>
          <cell r="T1237" t="str">
            <v>Wira</v>
          </cell>
          <cell r="U1237">
            <v>0</v>
          </cell>
        </row>
        <row r="1238">
          <cell r="E1238" t="str">
            <v>B25012641</v>
          </cell>
          <cell r="F1238"/>
          <cell r="G1238">
            <v>344070000</v>
          </cell>
          <cell r="H1238" t="str">
            <v>Yuyun</v>
          </cell>
          <cell r="I1238" t="str">
            <v>Farida</v>
          </cell>
          <cell r="J1238"/>
          <cell r="K1238" t="str">
            <v>KU</v>
          </cell>
          <cell r="L1238" t="str">
            <v>BIMA04</v>
          </cell>
          <cell r="M1238" t="str">
            <v>Bima Tani Jaya/Kevin Pratama</v>
          </cell>
          <cell r="N1238" t="str">
            <v>Kevin Pratama Susilo</v>
          </cell>
          <cell r="O1238" t="str">
            <v>Jl. Nusantara F-06 A RT.004/RW.012, Kel. Kaliwates, Kec. Kaliwates</v>
          </cell>
          <cell r="P1238" t="str">
            <v>Jember</v>
          </cell>
          <cell r="Q1238" t="str">
            <v>Krajan Tutul, Kel. Tutul, Kec. Balung (pinggir jalan)</v>
          </cell>
          <cell r="R1238" t="str">
            <v>Jember</v>
          </cell>
          <cell r="S1238" t="str">
            <v>L Kota1</v>
          </cell>
          <cell r="T1238" t="str">
            <v>Wira</v>
          </cell>
          <cell r="U1238">
            <v>30</v>
          </cell>
        </row>
        <row r="1239">
          <cell r="E1239" t="str">
            <v>D25015048</v>
          </cell>
          <cell r="F1239"/>
          <cell r="G1239">
            <v>344070000</v>
          </cell>
          <cell r="H1239" t="str">
            <v>Yuyun</v>
          </cell>
          <cell r="I1239" t="str">
            <v>Farida</v>
          </cell>
          <cell r="J1239"/>
          <cell r="K1239" t="str">
            <v>KU</v>
          </cell>
          <cell r="L1239" t="str">
            <v>BIMA04</v>
          </cell>
          <cell r="M1239" t="str">
            <v>Bima Tani Jaya/Kevin Pratama</v>
          </cell>
          <cell r="N1239" t="str">
            <v>Kevin Pratama Susilo</v>
          </cell>
          <cell r="O1239" t="str">
            <v>Jl. Nusantara F-06 A RT.004/RW.012, Kel. Kaliwates, Kec. Kaliwates</v>
          </cell>
          <cell r="P1239" t="str">
            <v>Jember</v>
          </cell>
          <cell r="Q1239" t="str">
            <v>Krajan Tutul, Kel. Tutul, Kec. Balung (pinggir jalan)</v>
          </cell>
          <cell r="R1239" t="str">
            <v>Jember</v>
          </cell>
          <cell r="S1239" t="str">
            <v>L Kota1</v>
          </cell>
          <cell r="T1239" t="str">
            <v>Wira</v>
          </cell>
          <cell r="U1239">
            <v>30</v>
          </cell>
        </row>
        <row r="1240">
          <cell r="E1240" t="str">
            <v>D25015114</v>
          </cell>
          <cell r="F1240"/>
          <cell r="G1240">
            <v>344070000</v>
          </cell>
          <cell r="H1240" t="str">
            <v>Yuyun</v>
          </cell>
          <cell r="I1240" t="str">
            <v>Farida</v>
          </cell>
          <cell r="J1240"/>
          <cell r="K1240" t="str">
            <v>KU</v>
          </cell>
          <cell r="L1240" t="str">
            <v>BIMA04</v>
          </cell>
          <cell r="M1240" t="str">
            <v>Bima Tani Jaya/Kevin Pratama</v>
          </cell>
          <cell r="N1240" t="str">
            <v>Kevin Pratama Susilo</v>
          </cell>
          <cell r="O1240" t="str">
            <v>Jl. Nusantara F-06 A RT.004/RW.012, Kel. Kaliwates, Kec. Kaliwates</v>
          </cell>
          <cell r="P1240" t="str">
            <v>Jember</v>
          </cell>
          <cell r="Q1240" t="str">
            <v>Krajan Tutul, Kel. Tutul, Kec. Balung (pinggir jalan)</v>
          </cell>
          <cell r="R1240" t="str">
            <v>Jember</v>
          </cell>
          <cell r="S1240" t="str">
            <v>L Kota1</v>
          </cell>
          <cell r="T1240" t="str">
            <v>Wira</v>
          </cell>
          <cell r="U1240">
            <v>30</v>
          </cell>
        </row>
        <row r="1241">
          <cell r="E1241" t="str">
            <v>D25015154</v>
          </cell>
          <cell r="F1241"/>
          <cell r="G1241">
            <v>344070000</v>
          </cell>
          <cell r="H1241" t="str">
            <v>Yuyun</v>
          </cell>
          <cell r="I1241" t="str">
            <v>Farida</v>
          </cell>
          <cell r="J1241"/>
          <cell r="K1241" t="str">
            <v>KU</v>
          </cell>
          <cell r="L1241" t="str">
            <v>BIMA04</v>
          </cell>
          <cell r="M1241" t="str">
            <v>Bima Tani Jaya/Kevin Pratama</v>
          </cell>
          <cell r="N1241" t="str">
            <v>Kevin Pratama Susilo</v>
          </cell>
          <cell r="O1241" t="str">
            <v>Jl. Nusantara F-06 A RT.004/RW.012, Kel. Kaliwates, Kec. Kaliwates</v>
          </cell>
          <cell r="P1241" t="str">
            <v>Jember</v>
          </cell>
          <cell r="Q1241" t="str">
            <v>Krajan Tutul, Kel. Tutul, Kec. Balung (pinggir jalan)</v>
          </cell>
          <cell r="R1241" t="str">
            <v>Jember</v>
          </cell>
          <cell r="S1241" t="str">
            <v>L Kota1</v>
          </cell>
          <cell r="T1241" t="str">
            <v>Wira</v>
          </cell>
          <cell r="U1241">
            <v>30</v>
          </cell>
        </row>
        <row r="1242">
          <cell r="E1242" t="str">
            <v>D25015155</v>
          </cell>
          <cell r="F1242"/>
          <cell r="G1242">
            <v>344070000</v>
          </cell>
          <cell r="H1242" t="str">
            <v>Yuyun</v>
          </cell>
          <cell r="I1242" t="str">
            <v>Farida</v>
          </cell>
          <cell r="J1242"/>
          <cell r="K1242" t="str">
            <v>KU</v>
          </cell>
          <cell r="L1242" t="str">
            <v>BIMA04</v>
          </cell>
          <cell r="M1242" t="str">
            <v>Bima Tani Jaya/Kevin Pratama</v>
          </cell>
          <cell r="N1242" t="str">
            <v>Kevin Pratama Susilo</v>
          </cell>
          <cell r="O1242" t="str">
            <v>Jl. Nusantara F-06 A RT.004/RW.012, Kel. Kaliwates, Kec. Kaliwates</v>
          </cell>
          <cell r="P1242" t="str">
            <v>Jember</v>
          </cell>
          <cell r="Q1242" t="str">
            <v>Krajan Tutul, Kel. Tutul, Kec. Balung (pinggir jalan)</v>
          </cell>
          <cell r="R1242" t="str">
            <v>Jember</v>
          </cell>
          <cell r="S1242" t="str">
            <v>L Kota1</v>
          </cell>
          <cell r="T1242" t="str">
            <v>Wira</v>
          </cell>
          <cell r="U1242">
            <v>0</v>
          </cell>
        </row>
        <row r="1243">
          <cell r="E1243" t="str">
            <v>B25012897</v>
          </cell>
          <cell r="F1243"/>
          <cell r="G1243">
            <v>344070000</v>
          </cell>
          <cell r="H1243" t="str">
            <v>Yuyun</v>
          </cell>
          <cell r="I1243" t="str">
            <v>Farida</v>
          </cell>
          <cell r="J1243"/>
          <cell r="K1243" t="str">
            <v>KU</v>
          </cell>
          <cell r="L1243" t="str">
            <v>BIMA04</v>
          </cell>
          <cell r="M1243" t="str">
            <v>Bima Tani Jaya/Kevin Pratama</v>
          </cell>
          <cell r="N1243" t="str">
            <v>Kevin Pratama Susilo</v>
          </cell>
          <cell r="O1243" t="str">
            <v>Jl. Nusantara F-06 A RT.004/RW.012, Kel. Kaliwates, Kec. Kaliwates</v>
          </cell>
          <cell r="P1243" t="str">
            <v>Jember</v>
          </cell>
          <cell r="Q1243" t="str">
            <v>Krajan Tutul, Kel. Tutul, Kec. Balung (pinggir jalan)</v>
          </cell>
          <cell r="R1243" t="str">
            <v>Jember</v>
          </cell>
          <cell r="S1243" t="str">
            <v>L Kota1</v>
          </cell>
          <cell r="T1243" t="str">
            <v>Wira</v>
          </cell>
          <cell r="U1243">
            <v>30</v>
          </cell>
        </row>
        <row r="1244">
          <cell r="E1244" t="str">
            <v>B25012904</v>
          </cell>
          <cell r="F1244"/>
          <cell r="G1244">
            <v>344070000</v>
          </cell>
          <cell r="H1244" t="str">
            <v>Yuyun</v>
          </cell>
          <cell r="I1244" t="str">
            <v>Farida</v>
          </cell>
          <cell r="J1244"/>
          <cell r="K1244" t="str">
            <v>KU</v>
          </cell>
          <cell r="L1244" t="str">
            <v>BIMA04</v>
          </cell>
          <cell r="M1244" t="str">
            <v>Bima Tani Jaya/Kevin Pratama</v>
          </cell>
          <cell r="N1244" t="str">
            <v>Kevin Pratama Susilo</v>
          </cell>
          <cell r="O1244" t="str">
            <v>Jl. Nusantara F-06 A RT.004/RW.012, Kel. Kaliwates, Kec. Kaliwates</v>
          </cell>
          <cell r="P1244" t="str">
            <v>Jember</v>
          </cell>
          <cell r="Q1244" t="str">
            <v>Krajan Tutul, Kel. Tutul, Kec. Balung (pinggir jalan)</v>
          </cell>
          <cell r="R1244" t="str">
            <v>Jember</v>
          </cell>
          <cell r="S1244" t="str">
            <v>L Kota1</v>
          </cell>
          <cell r="T1244" t="str">
            <v>Wira</v>
          </cell>
          <cell r="U1244">
            <v>30</v>
          </cell>
        </row>
        <row r="1245">
          <cell r="E1245" t="str">
            <v>D25015162</v>
          </cell>
          <cell r="F1245"/>
          <cell r="G1245">
            <v>344070000</v>
          </cell>
          <cell r="H1245" t="str">
            <v>Yuyun</v>
          </cell>
          <cell r="I1245" t="str">
            <v>Farida</v>
          </cell>
          <cell r="J1245"/>
          <cell r="K1245" t="str">
            <v>KU</v>
          </cell>
          <cell r="L1245" t="str">
            <v>BIMA04</v>
          </cell>
          <cell r="M1245" t="str">
            <v>Bima Tani Jaya/Kevin Pratama</v>
          </cell>
          <cell r="N1245" t="str">
            <v>Kevin Pratama Susilo</v>
          </cell>
          <cell r="O1245" t="str">
            <v>Jl. Nusantara F-06 A RT.004/RW.012, Kel. Kaliwates, Kec. Kaliwates</v>
          </cell>
          <cell r="P1245" t="str">
            <v>Jember</v>
          </cell>
          <cell r="Q1245" t="str">
            <v>Krajan Tutul, Kel. Tutul, Kec. Balung (pinggir jalan)</v>
          </cell>
          <cell r="R1245" t="str">
            <v>Jember</v>
          </cell>
          <cell r="S1245" t="str">
            <v>L Kota1</v>
          </cell>
          <cell r="T1245" t="str">
            <v>Wira</v>
          </cell>
          <cell r="U1245">
            <v>30</v>
          </cell>
        </row>
        <row r="1246">
          <cell r="E1246" t="str">
            <v>D25015163</v>
          </cell>
          <cell r="F1246"/>
          <cell r="G1246">
            <v>344070000</v>
          </cell>
          <cell r="H1246" t="str">
            <v>Yuyun</v>
          </cell>
          <cell r="I1246" t="str">
            <v>Farida</v>
          </cell>
          <cell r="J1246"/>
          <cell r="K1246" t="str">
            <v>KU</v>
          </cell>
          <cell r="L1246" t="str">
            <v>BIMA04</v>
          </cell>
          <cell r="M1246" t="str">
            <v>Bima Tani Jaya/Kevin Pratama</v>
          </cell>
          <cell r="N1246" t="str">
            <v>Kevin Pratama Susilo</v>
          </cell>
          <cell r="O1246" t="str">
            <v>Jl. Nusantara F-06 A RT.004/RW.012, Kel. Kaliwates, Kec. Kaliwates</v>
          </cell>
          <cell r="P1246" t="str">
            <v>Jember</v>
          </cell>
          <cell r="Q1246" t="str">
            <v>Krajan Tutul, Kel. Tutul, Kec. Balung (pinggir jalan)</v>
          </cell>
          <cell r="R1246" t="str">
            <v>Jember</v>
          </cell>
          <cell r="S1246" t="str">
            <v>L Kota1</v>
          </cell>
          <cell r="T1246" t="str">
            <v>Wira</v>
          </cell>
          <cell r="U1246">
            <v>0</v>
          </cell>
        </row>
        <row r="1247">
          <cell r="E1247" t="str">
            <v>B25012929</v>
          </cell>
          <cell r="F1247"/>
          <cell r="G1247">
            <v>344070000</v>
          </cell>
          <cell r="H1247" t="str">
            <v>Yuyun</v>
          </cell>
          <cell r="I1247" t="str">
            <v>Farida</v>
          </cell>
          <cell r="J1247"/>
          <cell r="K1247" t="str">
            <v>KU</v>
          </cell>
          <cell r="L1247" t="str">
            <v>BIMA04</v>
          </cell>
          <cell r="M1247" t="str">
            <v>Bima Tani Jaya/Kevin Pratama</v>
          </cell>
          <cell r="N1247" t="str">
            <v>Kevin Pratama Susilo</v>
          </cell>
          <cell r="O1247" t="str">
            <v>Jl. Nusantara F-06 A RT.004/RW.012, Kel. Kaliwates, Kec. Kaliwates</v>
          </cell>
          <cell r="P1247" t="str">
            <v>Jember</v>
          </cell>
          <cell r="Q1247" t="str">
            <v>Krajan Tutul, Kel. Tutul, Kec. Balung (pinggir jalan)</v>
          </cell>
          <cell r="R1247" t="str">
            <v>Jember</v>
          </cell>
          <cell r="S1247" t="str">
            <v>L Kota1</v>
          </cell>
          <cell r="T1247" t="str">
            <v>Wira</v>
          </cell>
          <cell r="U1247">
            <v>0</v>
          </cell>
        </row>
        <row r="1248">
          <cell r="E1248" t="str">
            <v>D25015245</v>
          </cell>
          <cell r="F1248"/>
          <cell r="G1248">
            <v>344070000</v>
          </cell>
          <cell r="H1248" t="str">
            <v>Yuyun</v>
          </cell>
          <cell r="I1248" t="str">
            <v>Farida</v>
          </cell>
          <cell r="J1248"/>
          <cell r="K1248" t="str">
            <v>KU</v>
          </cell>
          <cell r="L1248" t="str">
            <v>BIMA04</v>
          </cell>
          <cell r="M1248" t="str">
            <v>Bima Tani Jaya/Kevin Pratama</v>
          </cell>
          <cell r="N1248" t="str">
            <v>Kevin Pratama Susilo</v>
          </cell>
          <cell r="O1248" t="str">
            <v>Jl. Nusantara F-06 A RT.004/RW.012, Kel. Kaliwates, Kec. Kaliwates</v>
          </cell>
          <cell r="P1248" t="str">
            <v>Jember</v>
          </cell>
          <cell r="Q1248" t="str">
            <v>Krajan Tutul, Kel. Tutul, Kec. Balung (pinggir jalan)</v>
          </cell>
          <cell r="R1248" t="str">
            <v>Jember</v>
          </cell>
          <cell r="S1248" t="str">
            <v>L Kota1</v>
          </cell>
          <cell r="T1248" t="str">
            <v>Wira</v>
          </cell>
          <cell r="U1248">
            <v>30</v>
          </cell>
        </row>
        <row r="1249">
          <cell r="E1249" t="str">
            <v>D25015251</v>
          </cell>
          <cell r="F1249"/>
          <cell r="G1249">
            <v>344070000</v>
          </cell>
          <cell r="H1249" t="str">
            <v>Yuyun</v>
          </cell>
          <cell r="I1249" t="str">
            <v>Farida</v>
          </cell>
          <cell r="J1249"/>
          <cell r="K1249" t="str">
            <v>KU</v>
          </cell>
          <cell r="L1249" t="str">
            <v>BIMA04</v>
          </cell>
          <cell r="M1249" t="str">
            <v>Bima Tani Jaya/Kevin Pratama</v>
          </cell>
          <cell r="N1249" t="str">
            <v>Kevin Pratama Susilo</v>
          </cell>
          <cell r="O1249" t="str">
            <v>Jl. Nusantara F-06 A RT.004/RW.012, Kel. Kaliwates, Kec. Kaliwates</v>
          </cell>
          <cell r="P1249" t="str">
            <v>Jember</v>
          </cell>
          <cell r="Q1249" t="str">
            <v>Krajan Tutul, Kel. Tutul, Kec. Balung (pinggir jalan)</v>
          </cell>
          <cell r="R1249" t="str">
            <v>Jember</v>
          </cell>
          <cell r="S1249" t="str">
            <v>L Kota1</v>
          </cell>
          <cell r="T1249" t="str">
            <v>Wira</v>
          </cell>
          <cell r="U1249">
            <v>30</v>
          </cell>
        </row>
        <row r="1250">
          <cell r="E1250" t="str">
            <v>D25015252</v>
          </cell>
          <cell r="F1250"/>
          <cell r="G1250">
            <v>344070000</v>
          </cell>
          <cell r="H1250" t="str">
            <v>Yuyun</v>
          </cell>
          <cell r="I1250" t="str">
            <v>Farida</v>
          </cell>
          <cell r="J1250"/>
          <cell r="K1250" t="str">
            <v>KU</v>
          </cell>
          <cell r="L1250" t="str">
            <v>BIMA04</v>
          </cell>
          <cell r="M1250" t="str">
            <v>Bima Tani Jaya/Kevin Pratama</v>
          </cell>
          <cell r="N1250" t="str">
            <v>Kevin Pratama Susilo</v>
          </cell>
          <cell r="O1250" t="str">
            <v>Jl. Nusantara F-06 A RT.004/RW.012, Kel. Kaliwates, Kec. Kaliwates</v>
          </cell>
          <cell r="P1250" t="str">
            <v>Jember</v>
          </cell>
          <cell r="Q1250" t="str">
            <v>Krajan Tutul, Kel. Tutul, Kec. Balung (pinggir jalan)</v>
          </cell>
          <cell r="R1250" t="str">
            <v>Jember</v>
          </cell>
          <cell r="S1250" t="str">
            <v>L Kota1</v>
          </cell>
          <cell r="T1250" t="str">
            <v>Wira</v>
          </cell>
          <cell r="U1250">
            <v>30</v>
          </cell>
        </row>
        <row r="1251">
          <cell r="E1251" t="str">
            <v>D25015266</v>
          </cell>
          <cell r="F1251"/>
          <cell r="G1251">
            <v>344070000</v>
          </cell>
          <cell r="H1251" t="str">
            <v>Yuyun</v>
          </cell>
          <cell r="I1251" t="str">
            <v>Farida</v>
          </cell>
          <cell r="J1251"/>
          <cell r="K1251" t="str">
            <v>KU</v>
          </cell>
          <cell r="L1251" t="str">
            <v>BIMA04</v>
          </cell>
          <cell r="M1251" t="str">
            <v>Bima Tani Jaya/Kevin Pratama</v>
          </cell>
          <cell r="N1251" t="str">
            <v>Kevin Pratama Susilo</v>
          </cell>
          <cell r="O1251" t="str">
            <v>Jl. Nusantara F-06 A RT.004/RW.012, Kel. Kaliwates, Kec. Kaliwates</v>
          </cell>
          <cell r="P1251" t="str">
            <v>Jember</v>
          </cell>
          <cell r="Q1251" t="str">
            <v>Krajan Tutul, Kel. Tutul, Kec. Balung (pinggir jalan)</v>
          </cell>
          <cell r="R1251" t="str">
            <v>Jember</v>
          </cell>
          <cell r="S1251" t="str">
            <v>L Kota1</v>
          </cell>
          <cell r="T1251" t="str">
            <v>Wira</v>
          </cell>
          <cell r="U1251">
            <v>30</v>
          </cell>
        </row>
        <row r="1252">
          <cell r="E1252" t="str">
            <v>B25013017</v>
          </cell>
          <cell r="F1252"/>
          <cell r="G1252">
            <v>344070000</v>
          </cell>
          <cell r="H1252" t="str">
            <v>Yuyun</v>
          </cell>
          <cell r="I1252" t="str">
            <v>Farida</v>
          </cell>
          <cell r="J1252"/>
          <cell r="K1252" t="str">
            <v>KU</v>
          </cell>
          <cell r="L1252" t="str">
            <v>BIMA04</v>
          </cell>
          <cell r="M1252" t="str">
            <v>Bima Tani Jaya/Kevin Pratama</v>
          </cell>
          <cell r="N1252" t="str">
            <v>Kevin Pratama Susilo</v>
          </cell>
          <cell r="O1252" t="str">
            <v>Jl. Nusantara F-06 A RT.004/RW.012, Kel. Kaliwates, Kec. Kaliwates</v>
          </cell>
          <cell r="P1252" t="str">
            <v>Jember</v>
          </cell>
          <cell r="Q1252" t="str">
            <v>Krajan Tutul, Kel. Tutul, Kec. Balung (pinggir jalan)</v>
          </cell>
          <cell r="R1252" t="str">
            <v>Jember</v>
          </cell>
          <cell r="S1252" t="str">
            <v>L Kota1</v>
          </cell>
          <cell r="T1252" t="str">
            <v>Wira</v>
          </cell>
          <cell r="U1252">
            <v>30</v>
          </cell>
        </row>
        <row r="1253">
          <cell r="E1253" t="str">
            <v>B25013138</v>
          </cell>
          <cell r="F1253"/>
          <cell r="G1253">
            <v>344070000</v>
          </cell>
          <cell r="H1253" t="str">
            <v>Yuyun</v>
          </cell>
          <cell r="I1253" t="str">
            <v>Farida</v>
          </cell>
          <cell r="J1253"/>
          <cell r="K1253" t="str">
            <v>KU</v>
          </cell>
          <cell r="L1253" t="str">
            <v>BIMA04</v>
          </cell>
          <cell r="M1253" t="str">
            <v>Bima Tani Jaya/Kevin Pratama</v>
          </cell>
          <cell r="N1253" t="str">
            <v>Kevin Pratama Susilo</v>
          </cell>
          <cell r="O1253" t="str">
            <v>Jl. Nusantara F-06 A RT.004/RW.012, Kel. Kaliwates, Kec. Kaliwates</v>
          </cell>
          <cell r="P1253" t="str">
            <v>Jember</v>
          </cell>
          <cell r="Q1253" t="str">
            <v>Krajan Tutul, Kel. Tutul, Kec. Balung (pinggir jalan)</v>
          </cell>
          <cell r="R1253" t="str">
            <v>Jember</v>
          </cell>
          <cell r="S1253" t="str">
            <v>L Kota1</v>
          </cell>
          <cell r="T1253" t="str">
            <v>Wira</v>
          </cell>
          <cell r="U1253">
            <v>60</v>
          </cell>
        </row>
        <row r="1254">
          <cell r="E1254" t="str">
            <v>B25013197</v>
          </cell>
          <cell r="F1254"/>
          <cell r="G1254">
            <v>344070000</v>
          </cell>
          <cell r="H1254" t="str">
            <v>Yuyun</v>
          </cell>
          <cell r="I1254" t="str">
            <v>Farida</v>
          </cell>
          <cell r="J1254"/>
          <cell r="K1254" t="str">
            <v>KU</v>
          </cell>
          <cell r="L1254" t="str">
            <v>BIMA04</v>
          </cell>
          <cell r="M1254" t="str">
            <v>Bima Tani Jaya/Kevin Pratama</v>
          </cell>
          <cell r="N1254" t="str">
            <v>Kevin Pratama Susilo</v>
          </cell>
          <cell r="O1254" t="str">
            <v>Jl. Nusantara F-06 A RT.004/RW.012, Kel. Kaliwates, Kec. Kaliwates</v>
          </cell>
          <cell r="P1254" t="str">
            <v>Jember</v>
          </cell>
          <cell r="Q1254" t="str">
            <v>Krajan Tutul, Kel. Tutul, Kec. Balung (pinggir jalan)</v>
          </cell>
          <cell r="R1254" t="str">
            <v>Jember</v>
          </cell>
          <cell r="S1254" t="str">
            <v>L Kota1</v>
          </cell>
          <cell r="T1254" t="str">
            <v>Wira</v>
          </cell>
          <cell r="U1254">
            <v>30</v>
          </cell>
        </row>
        <row r="1255">
          <cell r="E1255" t="str">
            <v>B25013330</v>
          </cell>
          <cell r="F1255"/>
          <cell r="G1255">
            <v>344070000</v>
          </cell>
          <cell r="H1255" t="str">
            <v>Yuyun</v>
          </cell>
          <cell r="I1255" t="str">
            <v>Farida</v>
          </cell>
          <cell r="J1255"/>
          <cell r="K1255" t="str">
            <v>KU</v>
          </cell>
          <cell r="L1255" t="str">
            <v>BIMA04</v>
          </cell>
          <cell r="M1255" t="str">
            <v>Bima Tani Jaya/Kevin Pratama</v>
          </cell>
          <cell r="N1255" t="str">
            <v>Kevin Pratama Susilo</v>
          </cell>
          <cell r="O1255" t="str">
            <v>Jl. Nusantara F-06 A RT.004/RW.012, Kel. Kaliwates, Kec. Kaliwates</v>
          </cell>
          <cell r="P1255" t="str">
            <v>Jember</v>
          </cell>
          <cell r="Q1255" t="str">
            <v>Krajan Tutul, Kel. Tutul, Kec. Balung (pinggir jalan)</v>
          </cell>
          <cell r="R1255" t="str">
            <v>Jember</v>
          </cell>
          <cell r="S1255" t="str">
            <v>L Kota1</v>
          </cell>
          <cell r="T1255" t="str">
            <v>Wira</v>
          </cell>
          <cell r="U1255">
            <v>30</v>
          </cell>
        </row>
        <row r="1256">
          <cell r="E1256" t="str">
            <v>B25013336</v>
          </cell>
          <cell r="F1256"/>
          <cell r="G1256">
            <v>344070000</v>
          </cell>
          <cell r="H1256" t="str">
            <v>Yuyun</v>
          </cell>
          <cell r="I1256" t="str">
            <v>Farida</v>
          </cell>
          <cell r="J1256"/>
          <cell r="K1256" t="str">
            <v>KU</v>
          </cell>
          <cell r="L1256" t="str">
            <v>BIMA04</v>
          </cell>
          <cell r="M1256" t="str">
            <v>Bima Tani Jaya/Kevin Pratama</v>
          </cell>
          <cell r="N1256" t="str">
            <v>Kevin Pratama Susilo</v>
          </cell>
          <cell r="O1256" t="str">
            <v>Jl. Nusantara F-06 A RT.004/RW.012, Kel. Kaliwates, Kec. Kaliwates</v>
          </cell>
          <cell r="P1256" t="str">
            <v>Jember</v>
          </cell>
          <cell r="Q1256" t="str">
            <v>Krajan Tutul, Kel. Tutul, Kec. Balung (pinggir jalan)</v>
          </cell>
          <cell r="R1256" t="str">
            <v>Jember</v>
          </cell>
          <cell r="S1256" t="str">
            <v>L Kota1</v>
          </cell>
          <cell r="T1256" t="str">
            <v>Wira</v>
          </cell>
          <cell r="U1256">
            <v>30</v>
          </cell>
        </row>
        <row r="1257">
          <cell r="E1257" t="str">
            <v>B25013337</v>
          </cell>
          <cell r="F1257"/>
          <cell r="G1257">
            <v>344070000</v>
          </cell>
          <cell r="H1257" t="str">
            <v>Yuyun</v>
          </cell>
          <cell r="I1257" t="str">
            <v>Farida</v>
          </cell>
          <cell r="J1257"/>
          <cell r="K1257" t="str">
            <v>KU</v>
          </cell>
          <cell r="L1257" t="str">
            <v>BIMA04</v>
          </cell>
          <cell r="M1257" t="str">
            <v>Bima Tani Jaya/Kevin Pratama</v>
          </cell>
          <cell r="N1257" t="str">
            <v>Kevin Pratama Susilo</v>
          </cell>
          <cell r="O1257" t="str">
            <v>Jl. Nusantara F-06 A RT.004/RW.012, Kel. Kaliwates, Kec. Kaliwates</v>
          </cell>
          <cell r="P1257" t="str">
            <v>Jember</v>
          </cell>
          <cell r="Q1257" t="str">
            <v>Krajan Tutul, Kel. Tutul, Kec. Balung (pinggir jalan)</v>
          </cell>
          <cell r="R1257" t="str">
            <v>Jember</v>
          </cell>
          <cell r="S1257" t="str">
            <v>L Kota1</v>
          </cell>
          <cell r="T1257" t="str">
            <v>Wira</v>
          </cell>
          <cell r="U1257">
            <v>30</v>
          </cell>
        </row>
        <row r="1258">
          <cell r="E1258" t="str">
            <v>B25013523</v>
          </cell>
          <cell r="F1258"/>
          <cell r="G1258">
            <v>344070000</v>
          </cell>
          <cell r="H1258" t="str">
            <v>Yuyun</v>
          </cell>
          <cell r="I1258" t="str">
            <v>Farida</v>
          </cell>
          <cell r="J1258"/>
          <cell r="K1258" t="str">
            <v>KU</v>
          </cell>
          <cell r="L1258" t="str">
            <v>BIMA04</v>
          </cell>
          <cell r="M1258" t="str">
            <v>Bima Tani Jaya/Kevin Pratama</v>
          </cell>
          <cell r="N1258" t="str">
            <v>Kevin Pratama Susilo</v>
          </cell>
          <cell r="O1258" t="str">
            <v>Jl. Nusantara F-06 A RT.004/RW.012, Kel. Kaliwates, Kec. Kaliwates</v>
          </cell>
          <cell r="P1258" t="str">
            <v>Jember</v>
          </cell>
          <cell r="Q1258" t="str">
            <v>Krajan Tutul, Kel. Tutul, Kec. Balung (pinggir jalan)</v>
          </cell>
          <cell r="R1258" t="str">
            <v>Jember</v>
          </cell>
          <cell r="S1258" t="str">
            <v>L Kota1</v>
          </cell>
          <cell r="T1258" t="str">
            <v>Wira</v>
          </cell>
          <cell r="U1258">
            <v>30</v>
          </cell>
        </row>
        <row r="1259">
          <cell r="E1259" t="str">
            <v>B25013524</v>
          </cell>
          <cell r="F1259"/>
          <cell r="G1259">
            <v>344070000</v>
          </cell>
          <cell r="H1259" t="str">
            <v>Yuyun</v>
          </cell>
          <cell r="I1259" t="str">
            <v>Farida</v>
          </cell>
          <cell r="J1259"/>
          <cell r="K1259" t="str">
            <v>KU</v>
          </cell>
          <cell r="L1259" t="str">
            <v>BIMA04</v>
          </cell>
          <cell r="M1259" t="str">
            <v>Bima Tani Jaya/Kevin Pratama</v>
          </cell>
          <cell r="N1259" t="str">
            <v>Kevin Pratama Susilo</v>
          </cell>
          <cell r="O1259" t="str">
            <v>Jl. Nusantara F-06 A RT.004/RW.012, Kel. Kaliwates, Kec. Kaliwates</v>
          </cell>
          <cell r="P1259" t="str">
            <v>Jember</v>
          </cell>
          <cell r="Q1259" t="str">
            <v>Krajan Tutul, Kel. Tutul, Kec. Balung (pinggir jalan)</v>
          </cell>
          <cell r="R1259" t="str">
            <v>Jember</v>
          </cell>
          <cell r="S1259" t="str">
            <v>L Kota1</v>
          </cell>
          <cell r="T1259" t="str">
            <v>Wira</v>
          </cell>
          <cell r="U1259">
            <v>30</v>
          </cell>
        </row>
        <row r="1260">
          <cell r="E1260" t="str">
            <v>B25013525</v>
          </cell>
          <cell r="F1260"/>
          <cell r="G1260">
            <v>344070000</v>
          </cell>
          <cell r="H1260" t="str">
            <v>Yuyun</v>
          </cell>
          <cell r="I1260" t="str">
            <v>Farida</v>
          </cell>
          <cell r="J1260"/>
          <cell r="K1260" t="str">
            <v>KU</v>
          </cell>
          <cell r="L1260" t="str">
            <v>BIMA04</v>
          </cell>
          <cell r="M1260" t="str">
            <v>Bima Tani Jaya/Kevin Pratama</v>
          </cell>
          <cell r="N1260" t="str">
            <v>Kevin Pratama Susilo</v>
          </cell>
          <cell r="O1260" t="str">
            <v>Jl. Nusantara F-06 A RT.004/RW.012, Kel. Kaliwates, Kec. Kaliwates</v>
          </cell>
          <cell r="P1260" t="str">
            <v>Jember</v>
          </cell>
          <cell r="Q1260" t="str">
            <v>Krajan Tutul, Kel. Tutul, Kec. Balung (pinggir jalan)</v>
          </cell>
          <cell r="R1260" t="str">
            <v>Jember</v>
          </cell>
          <cell r="S1260" t="str">
            <v>L Kota1</v>
          </cell>
          <cell r="T1260" t="str">
            <v>Wira</v>
          </cell>
          <cell r="U1260">
            <v>30</v>
          </cell>
        </row>
        <row r="1261">
          <cell r="E1261" t="str">
            <v>D25015825</v>
          </cell>
          <cell r="F1261"/>
          <cell r="G1261">
            <v>344070000</v>
          </cell>
          <cell r="H1261" t="str">
            <v>Yuyun</v>
          </cell>
          <cell r="I1261" t="str">
            <v>Farida</v>
          </cell>
          <cell r="J1261"/>
          <cell r="K1261" t="str">
            <v>KU</v>
          </cell>
          <cell r="L1261" t="str">
            <v>BIMA04</v>
          </cell>
          <cell r="M1261" t="str">
            <v>Bima Tani Jaya/Kevin Pratama</v>
          </cell>
          <cell r="N1261" t="str">
            <v>Kevin Pratama Susilo</v>
          </cell>
          <cell r="O1261" t="str">
            <v>Jl. Nusantara F-06 A RT.004/RW.012, Kel. Kaliwates, Kec. Kaliwates</v>
          </cell>
          <cell r="P1261" t="str">
            <v>Jember</v>
          </cell>
          <cell r="Q1261" t="str">
            <v>Krajan Tutul, Kel. Tutul, Kec. Balung (pinggir jalan)</v>
          </cell>
          <cell r="R1261" t="str">
            <v>Jember</v>
          </cell>
          <cell r="S1261" t="str">
            <v>L Kota1</v>
          </cell>
          <cell r="T1261" t="str">
            <v>Wira</v>
          </cell>
          <cell r="U1261">
            <v>30</v>
          </cell>
        </row>
        <row r="1262">
          <cell r="E1262" t="str">
            <v>T25001582</v>
          </cell>
          <cell r="F1262"/>
          <cell r="G1262">
            <v>344070000</v>
          </cell>
          <cell r="H1262" t="str">
            <v>Yuyun</v>
          </cell>
          <cell r="I1262" t="str">
            <v>Farida</v>
          </cell>
          <cell r="J1262"/>
          <cell r="K1262" t="str">
            <v>KU</v>
          </cell>
          <cell r="L1262" t="str">
            <v>BIMA04</v>
          </cell>
          <cell r="M1262" t="str">
            <v>Bima Tani Jaya/Kevin Pratama</v>
          </cell>
          <cell r="N1262" t="str">
            <v>Kevin Pratama Susilo</v>
          </cell>
          <cell r="O1262" t="str">
            <v>Jl. Nusantara F-06 A RT.004/RW.012, Kel. Kaliwates, Kec. Kaliwates</v>
          </cell>
          <cell r="P1262" t="str">
            <v>Jember</v>
          </cell>
          <cell r="Q1262" t="str">
            <v>Krajan Tutul, Kel. Tutul, Kec. Balung (pinggir jalan)</v>
          </cell>
          <cell r="R1262" t="str">
            <v>Jember</v>
          </cell>
          <cell r="S1262" t="str">
            <v>L Kota1</v>
          </cell>
          <cell r="T1262" t="str">
            <v>Wira</v>
          </cell>
          <cell r="U1262">
            <v>10</v>
          </cell>
        </row>
        <row r="1263">
          <cell r="E1263" t="str">
            <v>B25013718</v>
          </cell>
          <cell r="F1263"/>
          <cell r="G1263">
            <v>344070000</v>
          </cell>
          <cell r="H1263" t="str">
            <v>Yuyun</v>
          </cell>
          <cell r="I1263" t="str">
            <v>Farida</v>
          </cell>
          <cell r="J1263"/>
          <cell r="K1263" t="str">
            <v>KU</v>
          </cell>
          <cell r="L1263" t="str">
            <v>BIMA04</v>
          </cell>
          <cell r="M1263" t="str">
            <v>Bima Tani Jaya/Kevin Pratama</v>
          </cell>
          <cell r="N1263" t="str">
            <v>Kevin Pratama Susilo</v>
          </cell>
          <cell r="O1263" t="str">
            <v>Jl. Nusantara F-06 A RT.004/RW.012, Kel. Kaliwates, Kec. Kaliwates</v>
          </cell>
          <cell r="P1263" t="str">
            <v>Jember</v>
          </cell>
          <cell r="Q1263" t="str">
            <v>Krajan Tutul, Kel. Tutul, Kec. Balung (pinggir jalan)</v>
          </cell>
          <cell r="R1263" t="str">
            <v>Jember</v>
          </cell>
          <cell r="S1263" t="str">
            <v>L Kota1</v>
          </cell>
          <cell r="T1263" t="str">
            <v>Wira</v>
          </cell>
          <cell r="U1263">
            <v>7</v>
          </cell>
        </row>
        <row r="1264">
          <cell r="E1264" t="str">
            <v>D25016074</v>
          </cell>
          <cell r="F1264"/>
          <cell r="G1264">
            <v>344070000</v>
          </cell>
          <cell r="H1264" t="str">
            <v>Yuyun</v>
          </cell>
          <cell r="I1264" t="str">
            <v>Farida</v>
          </cell>
          <cell r="J1264"/>
          <cell r="K1264" t="str">
            <v>KU</v>
          </cell>
          <cell r="L1264" t="str">
            <v>BIMA04</v>
          </cell>
          <cell r="M1264" t="str">
            <v>Bima Tani Jaya/Kevin Pratama</v>
          </cell>
          <cell r="N1264" t="str">
            <v>Kevin Pratama Susilo</v>
          </cell>
          <cell r="O1264" t="str">
            <v>Jl. Nusantara F-06 A RT.004/RW.012, Kel. Kaliwates, Kec. Kaliwates</v>
          </cell>
          <cell r="P1264" t="str">
            <v>Jember</v>
          </cell>
          <cell r="Q1264" t="str">
            <v>Krajan Tutul, Kel. Tutul, Kec. Balung (pinggir jalan)</v>
          </cell>
          <cell r="R1264" t="str">
            <v>Jember</v>
          </cell>
          <cell r="S1264" t="str">
            <v>L Kota1</v>
          </cell>
          <cell r="T1264" t="str">
            <v>Wira</v>
          </cell>
          <cell r="U1264">
            <v>30</v>
          </cell>
        </row>
        <row r="1265">
          <cell r="E1265" t="str">
            <v>B25013902</v>
          </cell>
          <cell r="F1265"/>
          <cell r="G1265">
            <v>344070000</v>
          </cell>
          <cell r="H1265" t="str">
            <v>Yuyun</v>
          </cell>
          <cell r="I1265" t="str">
            <v>Farida</v>
          </cell>
          <cell r="J1265"/>
          <cell r="K1265" t="str">
            <v>KU</v>
          </cell>
          <cell r="L1265" t="str">
            <v>BIMA04</v>
          </cell>
          <cell r="M1265" t="str">
            <v>Bima Tani Jaya/Kevin Pratama</v>
          </cell>
          <cell r="N1265" t="str">
            <v>Kevin Pratama Susilo</v>
          </cell>
          <cell r="O1265" t="str">
            <v>Jl. Nusantara F-06 A RT.004/RW.012, Kel. Kaliwates, Kec. Kaliwates</v>
          </cell>
          <cell r="P1265" t="str">
            <v>Jember</v>
          </cell>
          <cell r="Q1265" t="str">
            <v>Krajan Tutul, Kel. Tutul, Kec. Balung (pinggir jalan)</v>
          </cell>
          <cell r="R1265" t="str">
            <v>Jember</v>
          </cell>
          <cell r="S1265" t="str">
            <v>L Kota1</v>
          </cell>
          <cell r="T1265" t="str">
            <v>Wira</v>
          </cell>
          <cell r="U1265">
            <v>30</v>
          </cell>
        </row>
        <row r="1266">
          <cell r="E1266" t="str">
            <v>B25013903</v>
          </cell>
          <cell r="F1266"/>
          <cell r="G1266">
            <v>344070000</v>
          </cell>
          <cell r="H1266" t="str">
            <v>Yuyun</v>
          </cell>
          <cell r="I1266" t="str">
            <v>Farida</v>
          </cell>
          <cell r="J1266"/>
          <cell r="K1266" t="str">
            <v>KU</v>
          </cell>
          <cell r="L1266" t="str">
            <v>BIMA04</v>
          </cell>
          <cell r="M1266" t="str">
            <v>Bima Tani Jaya/Kevin Pratama</v>
          </cell>
          <cell r="N1266" t="str">
            <v>Kevin Pratama Susilo</v>
          </cell>
          <cell r="O1266" t="str">
            <v>Jl. Nusantara F-06 A RT.004/RW.012, Kel. Kaliwates, Kec. Kaliwates</v>
          </cell>
          <cell r="P1266" t="str">
            <v>Jember</v>
          </cell>
          <cell r="Q1266" t="str">
            <v>Krajan Tutul, Kel. Tutul, Kec. Balung (pinggir jalan)</v>
          </cell>
          <cell r="R1266" t="str">
            <v>Jember</v>
          </cell>
          <cell r="S1266" t="str">
            <v>L Kota1</v>
          </cell>
          <cell r="T1266" t="str">
            <v>Wira</v>
          </cell>
          <cell r="U1266">
            <v>30</v>
          </cell>
        </row>
        <row r="1267">
          <cell r="E1267" t="str">
            <v>B25013944</v>
          </cell>
          <cell r="F1267"/>
          <cell r="G1267">
            <v>344070000</v>
          </cell>
          <cell r="H1267" t="str">
            <v>Yuyun</v>
          </cell>
          <cell r="I1267" t="str">
            <v>Farida</v>
          </cell>
          <cell r="J1267"/>
          <cell r="K1267" t="str">
            <v>KU</v>
          </cell>
          <cell r="L1267" t="str">
            <v>BIMA04</v>
          </cell>
          <cell r="M1267" t="str">
            <v>Bima Tani Jaya/Kevin Pratama</v>
          </cell>
          <cell r="N1267" t="str">
            <v>Kevin Pratama Susilo</v>
          </cell>
          <cell r="O1267" t="str">
            <v>Jl. Nusantara F-06 A RT.004/RW.012, Kel. Kaliwates, Kec. Kaliwates</v>
          </cell>
          <cell r="P1267" t="str">
            <v>Jember</v>
          </cell>
          <cell r="Q1267" t="str">
            <v>Krajan Tutul, Kel. Tutul, Kec. Balung (pinggir jalan)</v>
          </cell>
          <cell r="R1267" t="str">
            <v>Jember</v>
          </cell>
          <cell r="S1267" t="str">
            <v>L Kota1</v>
          </cell>
          <cell r="T1267" t="str">
            <v>Wira</v>
          </cell>
          <cell r="U1267">
            <v>30</v>
          </cell>
        </row>
        <row r="1268">
          <cell r="E1268" t="str">
            <v>B25013975</v>
          </cell>
          <cell r="F1268"/>
          <cell r="G1268">
            <v>344070000</v>
          </cell>
          <cell r="H1268" t="str">
            <v>Yuyun</v>
          </cell>
          <cell r="I1268" t="str">
            <v>Farida</v>
          </cell>
          <cell r="J1268"/>
          <cell r="K1268" t="str">
            <v>KU</v>
          </cell>
          <cell r="L1268" t="str">
            <v>BIMA04</v>
          </cell>
          <cell r="M1268" t="str">
            <v>Bima Tani Jaya/Kevin Pratama</v>
          </cell>
          <cell r="N1268" t="str">
            <v>Kevin Pratama Susilo</v>
          </cell>
          <cell r="O1268" t="str">
            <v>Jl. Nusantara F-06 A RT.004/RW.012, Kel. Kaliwates, Kec. Kaliwates</v>
          </cell>
          <cell r="P1268" t="str">
            <v>Jember</v>
          </cell>
          <cell r="Q1268" t="str">
            <v>Krajan Tutul, Kel. Tutul, Kec. Balung (pinggir jalan)</v>
          </cell>
          <cell r="R1268" t="str">
            <v>Jember</v>
          </cell>
          <cell r="S1268" t="str">
            <v>L Kota1</v>
          </cell>
          <cell r="T1268" t="str">
            <v>Wira</v>
          </cell>
          <cell r="U1268">
            <v>30</v>
          </cell>
        </row>
        <row r="1269">
          <cell r="E1269" t="str">
            <v>B25013986</v>
          </cell>
          <cell r="F1269"/>
          <cell r="G1269">
            <v>344070000</v>
          </cell>
          <cell r="H1269" t="str">
            <v>Yuyun</v>
          </cell>
          <cell r="I1269" t="str">
            <v>Farida</v>
          </cell>
          <cell r="J1269"/>
          <cell r="K1269" t="str">
            <v>KU</v>
          </cell>
          <cell r="L1269" t="str">
            <v>BIMA04</v>
          </cell>
          <cell r="M1269" t="str">
            <v>Bima Tani Jaya/Kevin Pratama</v>
          </cell>
          <cell r="N1269" t="str">
            <v>Kevin Pratama Susilo</v>
          </cell>
          <cell r="O1269" t="str">
            <v>Jl. Nusantara F-06 A RT.004/RW.012, Kel. Kaliwates, Kec. Kaliwates</v>
          </cell>
          <cell r="P1269" t="str">
            <v>Jember</v>
          </cell>
          <cell r="Q1269" t="str">
            <v>Krajan Tutul, Kel. Tutul, Kec. Balung (pinggir jalan)</v>
          </cell>
          <cell r="R1269" t="str">
            <v>Jember</v>
          </cell>
          <cell r="S1269" t="str">
            <v>L Kota1</v>
          </cell>
          <cell r="T1269" t="str">
            <v>Wira</v>
          </cell>
          <cell r="U1269">
            <v>30</v>
          </cell>
        </row>
        <row r="1270">
          <cell r="E1270" t="str">
            <v>B25014001</v>
          </cell>
          <cell r="F1270"/>
          <cell r="G1270">
            <v>344070000</v>
          </cell>
          <cell r="H1270" t="str">
            <v>Yuyun</v>
          </cell>
          <cell r="I1270" t="str">
            <v>Farida</v>
          </cell>
          <cell r="J1270"/>
          <cell r="K1270" t="str">
            <v>KU</v>
          </cell>
          <cell r="L1270" t="str">
            <v>BIMA04</v>
          </cell>
          <cell r="M1270" t="str">
            <v>Bima Tani Jaya/Kevin Pratama</v>
          </cell>
          <cell r="N1270" t="str">
            <v>Kevin Pratama Susilo</v>
          </cell>
          <cell r="O1270" t="str">
            <v>Jl. Nusantara F-06 A RT.004/RW.012, Kel. Kaliwates, Kec. Kaliwates</v>
          </cell>
          <cell r="P1270" t="str">
            <v>Jember</v>
          </cell>
          <cell r="Q1270" t="str">
            <v>Krajan Tutul, Kel. Tutul, Kec. Balung (pinggir jalan)</v>
          </cell>
          <cell r="R1270" t="str">
            <v>Jember</v>
          </cell>
          <cell r="S1270" t="str">
            <v>L Kota1</v>
          </cell>
          <cell r="T1270" t="str">
            <v>Wira</v>
          </cell>
          <cell r="U1270">
            <v>30</v>
          </cell>
        </row>
        <row r="1271">
          <cell r="E1271" t="str">
            <v>B25014087</v>
          </cell>
          <cell r="F1271"/>
          <cell r="G1271">
            <v>344070000</v>
          </cell>
          <cell r="H1271" t="str">
            <v>Yuyun</v>
          </cell>
          <cell r="I1271" t="str">
            <v>Farida</v>
          </cell>
          <cell r="J1271"/>
          <cell r="K1271" t="str">
            <v>KU</v>
          </cell>
          <cell r="L1271" t="str">
            <v>BIMA04</v>
          </cell>
          <cell r="M1271" t="str">
            <v>Bima Tani Jaya/Kevin Pratama</v>
          </cell>
          <cell r="N1271" t="str">
            <v>Kevin Pratama Susilo</v>
          </cell>
          <cell r="O1271" t="str">
            <v>Jl. Nusantara F-06 A RT.004/RW.012, Kel. Kaliwates, Kec. Kaliwates</v>
          </cell>
          <cell r="P1271" t="str">
            <v>Jember</v>
          </cell>
          <cell r="Q1271" t="str">
            <v>Krajan Tutul, Kel. Tutul, Kec. Balung (pinggir jalan)</v>
          </cell>
          <cell r="R1271" t="str">
            <v>Jember</v>
          </cell>
          <cell r="S1271" t="str">
            <v>L Kota1</v>
          </cell>
          <cell r="T1271" t="str">
            <v>Wira</v>
          </cell>
          <cell r="U1271">
            <v>30</v>
          </cell>
        </row>
        <row r="1272">
          <cell r="E1272" t="str">
            <v>D25015322</v>
          </cell>
          <cell r="F1272"/>
          <cell r="G1272">
            <v>1000</v>
          </cell>
          <cell r="H1272" t="str">
            <v>Yuyun</v>
          </cell>
          <cell r="I1272" t="str">
            <v>Farida</v>
          </cell>
          <cell r="J1272" t="str">
            <v>New 29/04/25</v>
          </cell>
          <cell r="K1272" t="str">
            <v>CBD</v>
          </cell>
          <cell r="L1272" t="str">
            <v>BIMA07</v>
          </cell>
          <cell r="M1272" t="str">
            <v>Bima Tani Sejahtera</v>
          </cell>
          <cell r="N1272" t="str">
            <v>Lutfi Hidayat</v>
          </cell>
          <cell r="O1272" t="str">
            <v>Jalan PB Sudirman Mencek RT.002/RW.002 , Kel. Serut Kec. Panti</v>
          </cell>
          <cell r="P1272" t="str">
            <v>Jember</v>
          </cell>
          <cell r="Q1272" t="str">
            <v>Jalan PB Sudirman Mencek RT.002/RW.002 , Kel. Serut Kec. Panti</v>
          </cell>
          <cell r="R1272" t="str">
            <v>Jember</v>
          </cell>
          <cell r="S1272" t="str">
            <v>L Kota1</v>
          </cell>
          <cell r="T1272" t="str">
            <v>Wira</v>
          </cell>
          <cell r="U1272">
            <v>0</v>
          </cell>
        </row>
        <row r="1273">
          <cell r="E1273" t="str">
            <v>B25007295</v>
          </cell>
          <cell r="F1273"/>
          <cell r="G1273">
            <v>500000000</v>
          </cell>
          <cell r="H1273" t="str">
            <v>Faris</v>
          </cell>
          <cell r="I1273" t="str">
            <v>Syahra</v>
          </cell>
          <cell r="J1273"/>
          <cell r="K1273" t="str">
            <v>KU</v>
          </cell>
          <cell r="L1273" t="str">
            <v>BIMO02</v>
          </cell>
          <cell r="M1273" t="str">
            <v>Bimo Rukun Tani II</v>
          </cell>
          <cell r="N1273" t="str">
            <v>Cindo Agro, CV</v>
          </cell>
          <cell r="O1273" t="str">
            <v>Dsn. Aseman, RT.003/RW.004, Bimorejo, Wongsorejo</v>
          </cell>
          <cell r="P1273" t="str">
            <v>Banyuwangi</v>
          </cell>
          <cell r="Q1273" t="str">
            <v>Dsn. Aseman, RT.003/RW.004, Bimorejo, Wongsorejo</v>
          </cell>
          <cell r="R1273" t="str">
            <v>Banyuwangi</v>
          </cell>
          <cell r="S1273" t="str">
            <v>H Bwi5</v>
          </cell>
          <cell r="T1273" t="str">
            <v>Hafid</v>
          </cell>
          <cell r="U1273">
            <v>60</v>
          </cell>
        </row>
        <row r="1274">
          <cell r="E1274" t="str">
            <v>D25009683</v>
          </cell>
          <cell r="F1274"/>
          <cell r="G1274">
            <v>500000000</v>
          </cell>
          <cell r="H1274" t="str">
            <v>Faris</v>
          </cell>
          <cell r="I1274" t="str">
            <v>Syahra</v>
          </cell>
          <cell r="J1274"/>
          <cell r="K1274" t="str">
            <v>KU</v>
          </cell>
          <cell r="L1274" t="str">
            <v>BIMO02</v>
          </cell>
          <cell r="M1274" t="str">
            <v>Bimo Rukun Tani II</v>
          </cell>
          <cell r="N1274" t="str">
            <v>Cindo Agro, CV</v>
          </cell>
          <cell r="O1274" t="str">
            <v>Dsn. Aseman, RT.003/RW.004, Bimorejo, Wongsorejo</v>
          </cell>
          <cell r="P1274" t="str">
            <v>Banyuwangi</v>
          </cell>
          <cell r="Q1274" t="str">
            <v>Dsn. Aseman, RT.003/RW.004, Bimorejo, Wongsorejo</v>
          </cell>
          <cell r="R1274" t="str">
            <v>Banyuwangi</v>
          </cell>
          <cell r="S1274" t="str">
            <v>H Bwi5</v>
          </cell>
          <cell r="T1274" t="str">
            <v>Hafid</v>
          </cell>
          <cell r="U1274">
            <v>30</v>
          </cell>
        </row>
        <row r="1275">
          <cell r="E1275" t="str">
            <v>D25009765</v>
          </cell>
          <cell r="F1275"/>
          <cell r="G1275">
            <v>500000000</v>
          </cell>
          <cell r="H1275" t="str">
            <v>Faris</v>
          </cell>
          <cell r="I1275" t="str">
            <v>Syahra</v>
          </cell>
          <cell r="J1275"/>
          <cell r="K1275" t="str">
            <v>KU</v>
          </cell>
          <cell r="L1275" t="str">
            <v>BIMO02</v>
          </cell>
          <cell r="M1275" t="str">
            <v>Bimo Rukun Tani II</v>
          </cell>
          <cell r="N1275" t="str">
            <v>Cindo Agro, CV</v>
          </cell>
          <cell r="O1275" t="str">
            <v>Dsn. Aseman, RT.003/RW.004, Bimorejo, Wongsorejo</v>
          </cell>
          <cell r="P1275" t="str">
            <v>Banyuwangi</v>
          </cell>
          <cell r="Q1275" t="str">
            <v>Dsn. Aseman, RT.003/RW.004, Bimorejo, Wongsorejo</v>
          </cell>
          <cell r="R1275" t="str">
            <v>Banyuwangi</v>
          </cell>
          <cell r="S1275" t="str">
            <v>H Bwi5</v>
          </cell>
          <cell r="T1275" t="str">
            <v>Hafid</v>
          </cell>
          <cell r="U1275">
            <v>30</v>
          </cell>
        </row>
        <row r="1276">
          <cell r="E1276" t="str">
            <v>D25012997</v>
          </cell>
          <cell r="F1276"/>
          <cell r="G1276">
            <v>500000000</v>
          </cell>
          <cell r="H1276" t="str">
            <v>Faris</v>
          </cell>
          <cell r="I1276" t="str">
            <v>Syahra</v>
          </cell>
          <cell r="J1276"/>
          <cell r="K1276" t="str">
            <v>KU</v>
          </cell>
          <cell r="L1276" t="str">
            <v>BIMO02</v>
          </cell>
          <cell r="M1276" t="str">
            <v>Bimo Rukun Tani II</v>
          </cell>
          <cell r="N1276" t="str">
            <v>Cindo Agro, CV</v>
          </cell>
          <cell r="O1276" t="str">
            <v>Dsn. Aseman, RT.003/RW.004, Bimorejo, Wongsorejo</v>
          </cell>
          <cell r="P1276" t="str">
            <v>Banyuwangi</v>
          </cell>
          <cell r="Q1276" t="str">
            <v>Dsn. Aseman, RT.003/RW.004, Bimorejo, Wongsorejo</v>
          </cell>
          <cell r="R1276" t="str">
            <v>Banyuwangi</v>
          </cell>
          <cell r="S1276" t="str">
            <v>H Bwi5</v>
          </cell>
          <cell r="T1276" t="str">
            <v>Hafid</v>
          </cell>
          <cell r="U1276">
            <v>30</v>
          </cell>
        </row>
        <row r="1277">
          <cell r="E1277" t="str">
            <v>B25010950</v>
          </cell>
          <cell r="F1277"/>
          <cell r="G1277">
            <v>500000000</v>
          </cell>
          <cell r="H1277" t="str">
            <v>Faris</v>
          </cell>
          <cell r="I1277" t="str">
            <v>Syahra</v>
          </cell>
          <cell r="J1277"/>
          <cell r="K1277" t="str">
            <v>KU</v>
          </cell>
          <cell r="L1277" t="str">
            <v>BIMO02</v>
          </cell>
          <cell r="M1277" t="str">
            <v>Bimo Rukun Tani II</v>
          </cell>
          <cell r="N1277" t="str">
            <v>Cindo Agro, CV</v>
          </cell>
          <cell r="O1277" t="str">
            <v>Dsn. Aseman, RT.003/RW.004, Bimorejo, Wongsorejo</v>
          </cell>
          <cell r="P1277" t="str">
            <v>Banyuwangi</v>
          </cell>
          <cell r="Q1277" t="str">
            <v>Dsn. Aseman, RT.003/RW.004, Bimorejo, Wongsorejo</v>
          </cell>
          <cell r="R1277" t="str">
            <v>Banyuwangi</v>
          </cell>
          <cell r="S1277" t="str">
            <v>H Bwi5</v>
          </cell>
          <cell r="T1277" t="str">
            <v>Hafid</v>
          </cell>
          <cell r="U1277">
            <v>30</v>
          </cell>
        </row>
        <row r="1278">
          <cell r="E1278" t="str">
            <v>D25013092</v>
          </cell>
          <cell r="F1278"/>
          <cell r="G1278">
            <v>500000000</v>
          </cell>
          <cell r="H1278" t="str">
            <v>Faris</v>
          </cell>
          <cell r="I1278" t="str">
            <v>Syahra</v>
          </cell>
          <cell r="J1278"/>
          <cell r="K1278" t="str">
            <v>KU</v>
          </cell>
          <cell r="L1278" t="str">
            <v>BIMO02</v>
          </cell>
          <cell r="M1278" t="str">
            <v>Bimo Rukun Tani II</v>
          </cell>
          <cell r="N1278" t="str">
            <v>Cindo Agro, CV</v>
          </cell>
          <cell r="O1278" t="str">
            <v>Dsn. Aseman, RT.003/RW.004, Bimorejo, Wongsorejo</v>
          </cell>
          <cell r="P1278" t="str">
            <v>Banyuwangi</v>
          </cell>
          <cell r="Q1278" t="str">
            <v>Dsn. Aseman, RT.003/RW.004, Bimorejo, Wongsorejo</v>
          </cell>
          <cell r="R1278" t="str">
            <v>Banyuwangi</v>
          </cell>
          <cell r="S1278" t="str">
            <v>H Bwi5</v>
          </cell>
          <cell r="T1278" t="str">
            <v>Hafid</v>
          </cell>
          <cell r="U1278">
            <v>30</v>
          </cell>
        </row>
        <row r="1279">
          <cell r="E1279">
            <v>250080</v>
          </cell>
          <cell r="F1279"/>
          <cell r="G1279">
            <v>500000000</v>
          </cell>
          <cell r="H1279" t="str">
            <v>Faris</v>
          </cell>
          <cell r="I1279" t="str">
            <v>Syahra</v>
          </cell>
          <cell r="J1279"/>
          <cell r="K1279" t="str">
            <v>KU</v>
          </cell>
          <cell r="L1279" t="str">
            <v>BIMO02</v>
          </cell>
          <cell r="M1279" t="str">
            <v>Bimo Rukun Tani II</v>
          </cell>
          <cell r="N1279" t="str">
            <v>Cindo Agro, CV</v>
          </cell>
          <cell r="O1279" t="str">
            <v>Dsn. Aseman, RT.003/RW.004, Bimorejo, Wongsorejo</v>
          </cell>
          <cell r="P1279" t="str">
            <v>Banyuwangi</v>
          </cell>
          <cell r="Q1279" t="str">
            <v>Dsn. Aseman, RT.003/RW.004, Bimorejo, Wongsorejo</v>
          </cell>
          <cell r="R1279" t="str">
            <v>Banyuwangi</v>
          </cell>
          <cell r="S1279" t="str">
            <v>H Bwi5</v>
          </cell>
          <cell r="T1279" t="str">
            <v>Hafid</v>
          </cell>
          <cell r="U1279">
            <v>30</v>
          </cell>
        </row>
        <row r="1280">
          <cell r="E1280" t="str">
            <v>T25001341</v>
          </cell>
          <cell r="F1280"/>
          <cell r="G1280">
            <v>500000000</v>
          </cell>
          <cell r="H1280" t="str">
            <v>Faris</v>
          </cell>
          <cell r="I1280" t="str">
            <v>Syahra</v>
          </cell>
          <cell r="J1280"/>
          <cell r="K1280" t="str">
            <v>KU</v>
          </cell>
          <cell r="L1280" t="str">
            <v>BIMO02</v>
          </cell>
          <cell r="M1280" t="str">
            <v>Bimo Rukun Tani II</v>
          </cell>
          <cell r="N1280" t="str">
            <v>Cindo Agro, CV</v>
          </cell>
          <cell r="O1280" t="str">
            <v>Dsn. Aseman, RT.003/RW.004, Bimorejo, Wongsorejo</v>
          </cell>
          <cell r="P1280" t="str">
            <v>Banyuwangi</v>
          </cell>
          <cell r="Q1280" t="str">
            <v>Dsn. Aseman, RT.003/RW.004, Bimorejo, Wongsorejo</v>
          </cell>
          <cell r="R1280" t="str">
            <v>Banyuwangi</v>
          </cell>
          <cell r="S1280" t="str">
            <v>H Bwi5</v>
          </cell>
          <cell r="T1280" t="str">
            <v>Hafid</v>
          </cell>
          <cell r="U1280">
            <v>60</v>
          </cell>
        </row>
        <row r="1281">
          <cell r="E1281" t="str">
            <v>B25011368</v>
          </cell>
          <cell r="F1281"/>
          <cell r="G1281">
            <v>500000000</v>
          </cell>
          <cell r="H1281" t="str">
            <v>Faris</v>
          </cell>
          <cell r="I1281" t="str">
            <v>Syahra</v>
          </cell>
          <cell r="J1281"/>
          <cell r="K1281" t="str">
            <v>KU</v>
          </cell>
          <cell r="L1281" t="str">
            <v>BIMO02</v>
          </cell>
          <cell r="M1281" t="str">
            <v>Bimo Rukun Tani II</v>
          </cell>
          <cell r="N1281" t="str">
            <v>Cindo Agro, CV</v>
          </cell>
          <cell r="O1281" t="str">
            <v>Dsn. Aseman, RT.003/RW.004, Bimorejo, Wongsorejo</v>
          </cell>
          <cell r="P1281" t="str">
            <v>Banyuwangi</v>
          </cell>
          <cell r="Q1281" t="str">
            <v>Dsn. Aseman, RT.003/RW.004, Bimorejo, Wongsorejo</v>
          </cell>
          <cell r="R1281" t="str">
            <v>Banyuwangi</v>
          </cell>
          <cell r="S1281" t="str">
            <v>H Bwi5</v>
          </cell>
          <cell r="T1281" t="str">
            <v>Hafid</v>
          </cell>
          <cell r="U1281">
            <v>30</v>
          </cell>
        </row>
        <row r="1282">
          <cell r="E1282" t="str">
            <v>D25013584</v>
          </cell>
          <cell r="F1282"/>
          <cell r="G1282">
            <v>500000000</v>
          </cell>
          <cell r="H1282" t="str">
            <v>Faris</v>
          </cell>
          <cell r="I1282" t="str">
            <v>Syahra</v>
          </cell>
          <cell r="J1282"/>
          <cell r="K1282" t="str">
            <v>KU</v>
          </cell>
          <cell r="L1282" t="str">
            <v>BIMO02</v>
          </cell>
          <cell r="M1282" t="str">
            <v>Bimo Rukun Tani II</v>
          </cell>
          <cell r="N1282" t="str">
            <v>Cindo Agro, CV</v>
          </cell>
          <cell r="O1282" t="str">
            <v>Dsn. Aseman, RT.003/RW.004, Bimorejo, Wongsorejo</v>
          </cell>
          <cell r="P1282" t="str">
            <v>Banyuwangi</v>
          </cell>
          <cell r="Q1282" t="str">
            <v>Dsn. Aseman, RT.003/RW.004, Bimorejo, Wongsorejo</v>
          </cell>
          <cell r="R1282" t="str">
            <v>Banyuwangi</v>
          </cell>
          <cell r="S1282" t="str">
            <v>H Bwi5</v>
          </cell>
          <cell r="T1282" t="str">
            <v>Hafid</v>
          </cell>
          <cell r="U1282">
            <v>30</v>
          </cell>
        </row>
        <row r="1283">
          <cell r="E1283" t="str">
            <v>D25014030</v>
          </cell>
          <cell r="F1283"/>
          <cell r="G1283">
            <v>500000000</v>
          </cell>
          <cell r="H1283" t="str">
            <v>Faris</v>
          </cell>
          <cell r="I1283" t="str">
            <v>Syahra</v>
          </cell>
          <cell r="J1283"/>
          <cell r="K1283" t="str">
            <v>KU</v>
          </cell>
          <cell r="L1283" t="str">
            <v>BIMO02</v>
          </cell>
          <cell r="M1283" t="str">
            <v>Bimo Rukun Tani II</v>
          </cell>
          <cell r="N1283" t="str">
            <v>Cindo Agro, CV</v>
          </cell>
          <cell r="O1283" t="str">
            <v>Dsn. Aseman, RT.003/RW.004, Bimorejo, Wongsorejo</v>
          </cell>
          <cell r="P1283" t="str">
            <v>Banyuwangi</v>
          </cell>
          <cell r="Q1283" t="str">
            <v>Dsn. Aseman, RT.003/RW.004, Bimorejo, Wongsorejo</v>
          </cell>
          <cell r="R1283" t="str">
            <v>Banyuwangi</v>
          </cell>
          <cell r="S1283" t="str">
            <v>H Bwi5</v>
          </cell>
          <cell r="T1283" t="str">
            <v>Hafid</v>
          </cell>
          <cell r="U1283">
            <v>30</v>
          </cell>
        </row>
        <row r="1284">
          <cell r="E1284" t="str">
            <v>D25014031</v>
          </cell>
          <cell r="F1284"/>
          <cell r="G1284">
            <v>500000000</v>
          </cell>
          <cell r="H1284" t="str">
            <v>Faris</v>
          </cell>
          <cell r="I1284" t="str">
            <v>Syahra</v>
          </cell>
          <cell r="J1284"/>
          <cell r="K1284" t="str">
            <v>KU</v>
          </cell>
          <cell r="L1284" t="str">
            <v>BIMO02</v>
          </cell>
          <cell r="M1284" t="str">
            <v>Bimo Rukun Tani II</v>
          </cell>
          <cell r="N1284" t="str">
            <v>Cindo Agro, CV</v>
          </cell>
          <cell r="O1284" t="str">
            <v>Dsn. Aseman, RT.003/RW.004, Bimorejo, Wongsorejo</v>
          </cell>
          <cell r="P1284" t="str">
            <v>Banyuwangi</v>
          </cell>
          <cell r="Q1284" t="str">
            <v>Dsn. Aseman, RT.003/RW.004, Bimorejo, Wongsorejo</v>
          </cell>
          <cell r="R1284" t="str">
            <v>Banyuwangi</v>
          </cell>
          <cell r="S1284" t="str">
            <v>H Bwi5</v>
          </cell>
          <cell r="T1284" t="str">
            <v>Hafid</v>
          </cell>
          <cell r="U1284">
            <v>60</v>
          </cell>
        </row>
        <row r="1285">
          <cell r="E1285" t="str">
            <v>B25011835</v>
          </cell>
          <cell r="F1285"/>
          <cell r="G1285">
            <v>500000000</v>
          </cell>
          <cell r="H1285" t="str">
            <v>Faris</v>
          </cell>
          <cell r="I1285" t="str">
            <v>Syahra</v>
          </cell>
          <cell r="J1285"/>
          <cell r="K1285" t="str">
            <v>KU</v>
          </cell>
          <cell r="L1285" t="str">
            <v>BIMO02</v>
          </cell>
          <cell r="M1285" t="str">
            <v>Bimo Rukun Tani II</v>
          </cell>
          <cell r="N1285" t="str">
            <v>Cindo Agro, CV</v>
          </cell>
          <cell r="O1285" t="str">
            <v>Dsn. Aseman, RT.003/RW.004, Bimorejo, Wongsorejo</v>
          </cell>
          <cell r="P1285" t="str">
            <v>Banyuwangi</v>
          </cell>
          <cell r="Q1285" t="str">
            <v>Dsn. Aseman, RT.003/RW.004, Bimorejo, Wongsorejo</v>
          </cell>
          <cell r="R1285" t="str">
            <v>Banyuwangi</v>
          </cell>
          <cell r="S1285" t="str">
            <v>H Bwi5</v>
          </cell>
          <cell r="T1285" t="str">
            <v>Hafid</v>
          </cell>
          <cell r="U1285">
            <v>30</v>
          </cell>
        </row>
        <row r="1286">
          <cell r="E1286" t="str">
            <v>B25011836</v>
          </cell>
          <cell r="F1286"/>
          <cell r="G1286">
            <v>500000000</v>
          </cell>
          <cell r="H1286" t="str">
            <v>Faris</v>
          </cell>
          <cell r="I1286" t="str">
            <v>Syahra</v>
          </cell>
          <cell r="J1286"/>
          <cell r="K1286" t="str">
            <v>KU</v>
          </cell>
          <cell r="L1286" t="str">
            <v>BIMO02</v>
          </cell>
          <cell r="M1286" t="str">
            <v>Bimo Rukun Tani II</v>
          </cell>
          <cell r="N1286" t="str">
            <v>Cindo Agro, CV</v>
          </cell>
          <cell r="O1286" t="str">
            <v>Dsn. Aseman, RT.003/RW.004, Bimorejo, Wongsorejo</v>
          </cell>
          <cell r="P1286" t="str">
            <v>Banyuwangi</v>
          </cell>
          <cell r="Q1286" t="str">
            <v>Dsn. Aseman, RT.003/RW.004, Bimorejo, Wongsorejo</v>
          </cell>
          <cell r="R1286" t="str">
            <v>Banyuwangi</v>
          </cell>
          <cell r="S1286" t="str">
            <v>H Bwi5</v>
          </cell>
          <cell r="T1286" t="str">
            <v>Hafid</v>
          </cell>
          <cell r="U1286">
            <v>30</v>
          </cell>
        </row>
        <row r="1287">
          <cell r="E1287" t="str">
            <v>D25014123</v>
          </cell>
          <cell r="F1287"/>
          <cell r="G1287">
            <v>500000000</v>
          </cell>
          <cell r="H1287" t="str">
            <v>Faris</v>
          </cell>
          <cell r="I1287" t="str">
            <v>Syahra</v>
          </cell>
          <cell r="J1287"/>
          <cell r="K1287" t="str">
            <v>KU</v>
          </cell>
          <cell r="L1287" t="str">
            <v>BIMO02</v>
          </cell>
          <cell r="M1287" t="str">
            <v>Bimo Rukun Tani II</v>
          </cell>
          <cell r="N1287" t="str">
            <v>Cindo Agro, CV</v>
          </cell>
          <cell r="O1287" t="str">
            <v>Dsn. Aseman, RT.003/RW.004, Bimorejo, Wongsorejo</v>
          </cell>
          <cell r="P1287" t="str">
            <v>Banyuwangi</v>
          </cell>
          <cell r="Q1287" t="str">
            <v>Dsn. Aseman, RT.003/RW.004, Bimorejo, Wongsorejo</v>
          </cell>
          <cell r="R1287" t="str">
            <v>Banyuwangi</v>
          </cell>
          <cell r="S1287" t="str">
            <v>H Bwi5</v>
          </cell>
          <cell r="T1287" t="str">
            <v>Hafid</v>
          </cell>
          <cell r="U1287">
            <v>30</v>
          </cell>
        </row>
        <row r="1288">
          <cell r="E1288" t="str">
            <v>D25014171</v>
          </cell>
          <cell r="F1288"/>
          <cell r="G1288">
            <v>500000000</v>
          </cell>
          <cell r="H1288" t="str">
            <v>Faris</v>
          </cell>
          <cell r="I1288" t="str">
            <v>Syahra</v>
          </cell>
          <cell r="J1288"/>
          <cell r="K1288" t="str">
            <v>KU</v>
          </cell>
          <cell r="L1288" t="str">
            <v>BIMO02</v>
          </cell>
          <cell r="M1288" t="str">
            <v>Bimo Rukun Tani II</v>
          </cell>
          <cell r="N1288" t="str">
            <v>Cindo Agro, CV</v>
          </cell>
          <cell r="O1288" t="str">
            <v>Dsn. Aseman, RT.003/RW.004, Bimorejo, Wongsorejo</v>
          </cell>
          <cell r="P1288" t="str">
            <v>Banyuwangi</v>
          </cell>
          <cell r="Q1288" t="str">
            <v>Dsn. Aseman, RT.003/RW.004, Bimorejo, Wongsorejo</v>
          </cell>
          <cell r="R1288" t="str">
            <v>Banyuwangi</v>
          </cell>
          <cell r="S1288" t="str">
            <v>H Bwi5</v>
          </cell>
          <cell r="T1288" t="str">
            <v>Hafid</v>
          </cell>
          <cell r="U1288">
            <v>60</v>
          </cell>
        </row>
        <row r="1289">
          <cell r="E1289" t="str">
            <v>D25014294</v>
          </cell>
          <cell r="F1289"/>
          <cell r="G1289">
            <v>500000000</v>
          </cell>
          <cell r="H1289" t="str">
            <v>Faris</v>
          </cell>
          <cell r="I1289" t="str">
            <v>Syahra</v>
          </cell>
          <cell r="J1289"/>
          <cell r="K1289" t="str">
            <v>KU</v>
          </cell>
          <cell r="L1289" t="str">
            <v>BIMO02</v>
          </cell>
          <cell r="M1289" t="str">
            <v>Bimo Rukun Tani II</v>
          </cell>
          <cell r="N1289" t="str">
            <v>Cindo Agro, CV</v>
          </cell>
          <cell r="O1289" t="str">
            <v>Dsn. Aseman, RT.003/RW.004, Bimorejo, Wongsorejo</v>
          </cell>
          <cell r="P1289" t="str">
            <v>Banyuwangi</v>
          </cell>
          <cell r="Q1289" t="str">
            <v>Dsn. Aseman, RT.003/RW.004, Bimorejo, Wongsorejo</v>
          </cell>
          <cell r="R1289" t="str">
            <v>Banyuwangi</v>
          </cell>
          <cell r="S1289" t="str">
            <v>H Bwi5</v>
          </cell>
          <cell r="T1289" t="str">
            <v>Hafid</v>
          </cell>
          <cell r="U1289">
            <v>30</v>
          </cell>
        </row>
        <row r="1290">
          <cell r="E1290" t="str">
            <v>B25012357</v>
          </cell>
          <cell r="F1290"/>
          <cell r="G1290">
            <v>500000000</v>
          </cell>
          <cell r="H1290" t="str">
            <v>Faris</v>
          </cell>
          <cell r="I1290" t="str">
            <v>Syahra</v>
          </cell>
          <cell r="J1290"/>
          <cell r="K1290" t="str">
            <v>KU</v>
          </cell>
          <cell r="L1290" t="str">
            <v>BIMO02</v>
          </cell>
          <cell r="M1290" t="str">
            <v>Bimo Rukun Tani II</v>
          </cell>
          <cell r="N1290" t="str">
            <v>Cindo Agro, CV</v>
          </cell>
          <cell r="O1290" t="str">
            <v>Dsn. Aseman, RT.003/RW.004, Bimorejo, Wongsorejo</v>
          </cell>
          <cell r="P1290" t="str">
            <v>Banyuwangi</v>
          </cell>
          <cell r="Q1290" t="str">
            <v>Dsn. Aseman, RT.003/RW.004, Bimorejo, Wongsorejo</v>
          </cell>
          <cell r="R1290" t="str">
            <v>Banyuwangi</v>
          </cell>
          <cell r="S1290" t="str">
            <v>H Bwi5</v>
          </cell>
          <cell r="T1290" t="str">
            <v>Hafid</v>
          </cell>
          <cell r="U1290">
            <v>30</v>
          </cell>
        </row>
        <row r="1291">
          <cell r="E1291" t="str">
            <v>D25014580</v>
          </cell>
          <cell r="F1291"/>
          <cell r="G1291">
            <v>500000000</v>
          </cell>
          <cell r="H1291" t="str">
            <v>Faris</v>
          </cell>
          <cell r="I1291" t="str">
            <v>Syahra</v>
          </cell>
          <cell r="J1291"/>
          <cell r="K1291" t="str">
            <v>KU</v>
          </cell>
          <cell r="L1291" t="str">
            <v>BIMO02</v>
          </cell>
          <cell r="M1291" t="str">
            <v>Bimo Rukun Tani II</v>
          </cell>
          <cell r="N1291" t="str">
            <v>Cindo Agro, CV</v>
          </cell>
          <cell r="O1291" t="str">
            <v>Dsn. Aseman, RT.003/RW.004, Bimorejo, Wongsorejo</v>
          </cell>
          <cell r="P1291" t="str">
            <v>Banyuwangi</v>
          </cell>
          <cell r="Q1291" t="str">
            <v>Dsn. Aseman, RT.003/RW.004, Bimorejo, Wongsorejo</v>
          </cell>
          <cell r="R1291" t="str">
            <v>Banyuwangi</v>
          </cell>
          <cell r="S1291" t="str">
            <v>H Bwi5</v>
          </cell>
          <cell r="T1291" t="str">
            <v>Hafid</v>
          </cell>
          <cell r="U1291">
            <v>0</v>
          </cell>
        </row>
        <row r="1292">
          <cell r="E1292" t="str">
            <v>D25014879</v>
          </cell>
          <cell r="F1292"/>
          <cell r="G1292">
            <v>500000000</v>
          </cell>
          <cell r="H1292" t="str">
            <v>Faris</v>
          </cell>
          <cell r="I1292" t="str">
            <v>Syahra</v>
          </cell>
          <cell r="J1292"/>
          <cell r="K1292" t="str">
            <v>KU</v>
          </cell>
          <cell r="L1292" t="str">
            <v>BIMO02</v>
          </cell>
          <cell r="M1292" t="str">
            <v>Bimo Rukun Tani II</v>
          </cell>
          <cell r="N1292" t="str">
            <v>Cindo Agro, CV</v>
          </cell>
          <cell r="O1292" t="str">
            <v>Dsn. Aseman, RT.003/RW.004, Bimorejo, Wongsorejo</v>
          </cell>
          <cell r="P1292" t="str">
            <v>Banyuwangi</v>
          </cell>
          <cell r="Q1292" t="str">
            <v>Dsn. Aseman, RT.003/RW.004, Bimorejo, Wongsorejo</v>
          </cell>
          <cell r="R1292" t="str">
            <v>Banyuwangi</v>
          </cell>
          <cell r="S1292" t="str">
            <v>H Bwi5</v>
          </cell>
          <cell r="T1292" t="str">
            <v>Hafid</v>
          </cell>
          <cell r="U1292">
            <v>30</v>
          </cell>
        </row>
        <row r="1293">
          <cell r="E1293" t="str">
            <v>D25014885</v>
          </cell>
          <cell r="F1293"/>
          <cell r="G1293">
            <v>500000000</v>
          </cell>
          <cell r="H1293" t="str">
            <v>Faris</v>
          </cell>
          <cell r="I1293" t="str">
            <v>Syahra</v>
          </cell>
          <cell r="J1293"/>
          <cell r="K1293" t="str">
            <v>KU</v>
          </cell>
          <cell r="L1293" t="str">
            <v>BIMO02</v>
          </cell>
          <cell r="M1293" t="str">
            <v>Bimo Rukun Tani II</v>
          </cell>
          <cell r="N1293" t="str">
            <v>Cindo Agro, CV</v>
          </cell>
          <cell r="O1293" t="str">
            <v>Dsn. Aseman, RT.003/RW.004, Bimorejo, Wongsorejo</v>
          </cell>
          <cell r="P1293" t="str">
            <v>Banyuwangi</v>
          </cell>
          <cell r="Q1293" t="str">
            <v>Dsn. Aseman, RT.003/RW.004, Bimorejo, Wongsorejo</v>
          </cell>
          <cell r="R1293" t="str">
            <v>Banyuwangi</v>
          </cell>
          <cell r="S1293" t="str">
            <v>H Bwi5</v>
          </cell>
          <cell r="T1293" t="str">
            <v>Hafid</v>
          </cell>
          <cell r="U1293">
            <v>30</v>
          </cell>
        </row>
        <row r="1294">
          <cell r="E1294" t="str">
            <v>D25014886</v>
          </cell>
          <cell r="F1294"/>
          <cell r="G1294">
            <v>500000000</v>
          </cell>
          <cell r="H1294" t="str">
            <v>Faris</v>
          </cell>
          <cell r="I1294" t="str">
            <v>Syahra</v>
          </cell>
          <cell r="J1294"/>
          <cell r="K1294" t="str">
            <v>KU</v>
          </cell>
          <cell r="L1294" t="str">
            <v>BIMO02</v>
          </cell>
          <cell r="M1294" t="str">
            <v>Bimo Rukun Tani II</v>
          </cell>
          <cell r="N1294" t="str">
            <v>Cindo Agro, CV</v>
          </cell>
          <cell r="O1294" t="str">
            <v>Dsn. Aseman, RT.003/RW.004, Bimorejo, Wongsorejo</v>
          </cell>
          <cell r="P1294" t="str">
            <v>Banyuwangi</v>
          </cell>
          <cell r="Q1294" t="str">
            <v>Dsn. Aseman, RT.003/RW.004, Bimorejo, Wongsorejo</v>
          </cell>
          <cell r="R1294" t="str">
            <v>Banyuwangi</v>
          </cell>
          <cell r="S1294" t="str">
            <v>H Bwi5</v>
          </cell>
          <cell r="T1294" t="str">
            <v>Hafid</v>
          </cell>
          <cell r="U1294">
            <v>30</v>
          </cell>
        </row>
        <row r="1295">
          <cell r="E1295" t="str">
            <v>D25014887</v>
          </cell>
          <cell r="F1295"/>
          <cell r="G1295">
            <v>500000000</v>
          </cell>
          <cell r="H1295" t="str">
            <v>Faris</v>
          </cell>
          <cell r="I1295" t="str">
            <v>Syahra</v>
          </cell>
          <cell r="J1295"/>
          <cell r="K1295" t="str">
            <v>KU</v>
          </cell>
          <cell r="L1295" t="str">
            <v>BIMO02</v>
          </cell>
          <cell r="M1295" t="str">
            <v>Bimo Rukun Tani II</v>
          </cell>
          <cell r="N1295" t="str">
            <v>Cindo Agro, CV</v>
          </cell>
          <cell r="O1295" t="str">
            <v>Dsn. Aseman, RT.003/RW.004, Bimorejo, Wongsorejo</v>
          </cell>
          <cell r="P1295" t="str">
            <v>Banyuwangi</v>
          </cell>
          <cell r="Q1295" t="str">
            <v>Dsn. Aseman, RT.003/RW.004, Bimorejo, Wongsorejo</v>
          </cell>
          <cell r="R1295" t="str">
            <v>Banyuwangi</v>
          </cell>
          <cell r="S1295" t="str">
            <v>H Bwi5</v>
          </cell>
          <cell r="T1295" t="str">
            <v>Hafid</v>
          </cell>
          <cell r="U1295">
            <v>0</v>
          </cell>
        </row>
        <row r="1296">
          <cell r="E1296" t="str">
            <v>Z25002517</v>
          </cell>
          <cell r="F1296"/>
          <cell r="G1296">
            <v>500000000</v>
          </cell>
          <cell r="H1296" t="str">
            <v>Faris</v>
          </cell>
          <cell r="I1296" t="str">
            <v>Syahra</v>
          </cell>
          <cell r="J1296"/>
          <cell r="K1296" t="str">
            <v>KU</v>
          </cell>
          <cell r="L1296" t="str">
            <v>BIMO02</v>
          </cell>
          <cell r="M1296" t="str">
            <v>Bimo Rukun Tani II</v>
          </cell>
          <cell r="N1296" t="str">
            <v>Cindo Agro, CV</v>
          </cell>
          <cell r="O1296" t="str">
            <v>Dsn. Aseman, RT.003/RW.004, Bimorejo, Wongsorejo</v>
          </cell>
          <cell r="P1296" t="str">
            <v>Banyuwangi</v>
          </cell>
          <cell r="Q1296" t="str">
            <v>Dsn. Aseman, RT.003/RW.004, Bimorejo, Wongsorejo</v>
          </cell>
          <cell r="R1296" t="str">
            <v>Banyuwangi</v>
          </cell>
          <cell r="S1296" t="str">
            <v>H Bwi5</v>
          </cell>
          <cell r="T1296" t="str">
            <v>Hafid</v>
          </cell>
          <cell r="U1296">
            <v>30</v>
          </cell>
        </row>
        <row r="1297">
          <cell r="E1297" t="str">
            <v>B25012995</v>
          </cell>
          <cell r="F1297"/>
          <cell r="G1297">
            <v>500000000</v>
          </cell>
          <cell r="H1297" t="str">
            <v>Faris</v>
          </cell>
          <cell r="I1297" t="str">
            <v>Syahra</v>
          </cell>
          <cell r="J1297"/>
          <cell r="K1297" t="str">
            <v>KU</v>
          </cell>
          <cell r="L1297" t="str">
            <v>BIMO02</v>
          </cell>
          <cell r="M1297" t="str">
            <v>Bimo Rukun Tani II</v>
          </cell>
          <cell r="N1297" t="str">
            <v>Cindo Agro, CV</v>
          </cell>
          <cell r="O1297" t="str">
            <v>Dsn. Aseman, RT.003/RW.004, Bimorejo, Wongsorejo</v>
          </cell>
          <cell r="P1297" t="str">
            <v>Banyuwangi</v>
          </cell>
          <cell r="Q1297" t="str">
            <v>Dsn. Aseman, RT.003/RW.004, Bimorejo, Wongsorejo</v>
          </cell>
          <cell r="R1297" t="str">
            <v>Banyuwangi</v>
          </cell>
          <cell r="S1297" t="str">
            <v>H Bwi5</v>
          </cell>
          <cell r="T1297" t="str">
            <v>Hafid</v>
          </cell>
          <cell r="U1297">
            <v>30</v>
          </cell>
        </row>
        <row r="1298">
          <cell r="E1298" t="str">
            <v>B25012996</v>
          </cell>
          <cell r="F1298"/>
          <cell r="G1298">
            <v>500000000</v>
          </cell>
          <cell r="H1298" t="str">
            <v>Faris</v>
          </cell>
          <cell r="I1298" t="str">
            <v>Syahra</v>
          </cell>
          <cell r="J1298"/>
          <cell r="K1298" t="str">
            <v>KU</v>
          </cell>
          <cell r="L1298" t="str">
            <v>BIMO02</v>
          </cell>
          <cell r="M1298" t="str">
            <v>Bimo Rukun Tani II</v>
          </cell>
          <cell r="N1298" t="str">
            <v>Cindo Agro, CV</v>
          </cell>
          <cell r="O1298" t="str">
            <v>Dsn. Aseman, RT.003/RW.004, Bimorejo, Wongsorejo</v>
          </cell>
          <cell r="P1298" t="str">
            <v>Banyuwangi</v>
          </cell>
          <cell r="Q1298" t="str">
            <v>Dsn. Aseman, RT.003/RW.004, Bimorejo, Wongsorejo</v>
          </cell>
          <cell r="R1298" t="str">
            <v>Banyuwangi</v>
          </cell>
          <cell r="S1298" t="str">
            <v>H Bwi5</v>
          </cell>
          <cell r="T1298" t="str">
            <v>Hafid</v>
          </cell>
          <cell r="U1298">
            <v>30</v>
          </cell>
        </row>
        <row r="1299">
          <cell r="E1299" t="str">
            <v>D25015302</v>
          </cell>
          <cell r="F1299"/>
          <cell r="G1299">
            <v>500000000</v>
          </cell>
          <cell r="H1299" t="str">
            <v>Faris</v>
          </cell>
          <cell r="I1299" t="str">
            <v>Syahra</v>
          </cell>
          <cell r="J1299"/>
          <cell r="K1299" t="str">
            <v>KU</v>
          </cell>
          <cell r="L1299" t="str">
            <v>BIMO02</v>
          </cell>
          <cell r="M1299" t="str">
            <v>Bimo Rukun Tani II</v>
          </cell>
          <cell r="N1299" t="str">
            <v>Cindo Agro, CV</v>
          </cell>
          <cell r="O1299" t="str">
            <v>Dsn. Aseman, RT.003/RW.004, Bimorejo, Wongsorejo</v>
          </cell>
          <cell r="P1299" t="str">
            <v>Banyuwangi</v>
          </cell>
          <cell r="Q1299" t="str">
            <v>Dsn. Aseman, RT.003/RW.004, Bimorejo, Wongsorejo</v>
          </cell>
          <cell r="R1299" t="str">
            <v>Banyuwangi</v>
          </cell>
          <cell r="S1299" t="str">
            <v>H Bwi5</v>
          </cell>
          <cell r="T1299" t="str">
            <v>Hafid</v>
          </cell>
          <cell r="U1299">
            <v>30</v>
          </cell>
        </row>
        <row r="1300">
          <cell r="E1300" t="str">
            <v>B25013270</v>
          </cell>
          <cell r="F1300"/>
          <cell r="G1300">
            <v>500000000</v>
          </cell>
          <cell r="H1300" t="str">
            <v>Faris</v>
          </cell>
          <cell r="I1300" t="str">
            <v>Syahra</v>
          </cell>
          <cell r="J1300"/>
          <cell r="K1300" t="str">
            <v>KU</v>
          </cell>
          <cell r="L1300" t="str">
            <v>BIMO02</v>
          </cell>
          <cell r="M1300" t="str">
            <v>Bimo Rukun Tani II</v>
          </cell>
          <cell r="N1300" t="str">
            <v>Cindo Agro, CV</v>
          </cell>
          <cell r="O1300" t="str">
            <v>Dsn. Aseman, RT.003/RW.004, Bimorejo, Wongsorejo</v>
          </cell>
          <cell r="P1300" t="str">
            <v>Banyuwangi</v>
          </cell>
          <cell r="Q1300" t="str">
            <v>Dsn. Aseman, RT.003/RW.004, Bimorejo, Wongsorejo</v>
          </cell>
          <cell r="R1300" t="str">
            <v>Banyuwangi</v>
          </cell>
          <cell r="S1300" t="str">
            <v>H Bwi5</v>
          </cell>
          <cell r="T1300" t="str">
            <v>Hafid</v>
          </cell>
          <cell r="U1300">
            <v>0</v>
          </cell>
        </row>
        <row r="1301">
          <cell r="E1301" t="str">
            <v>B25013271</v>
          </cell>
          <cell r="F1301"/>
          <cell r="G1301">
            <v>500000000</v>
          </cell>
          <cell r="H1301" t="str">
            <v>Faris</v>
          </cell>
          <cell r="I1301" t="str">
            <v>Syahra</v>
          </cell>
          <cell r="J1301"/>
          <cell r="K1301" t="str">
            <v>KU</v>
          </cell>
          <cell r="L1301" t="str">
            <v>BIMO02</v>
          </cell>
          <cell r="M1301" t="str">
            <v>Bimo Rukun Tani II</v>
          </cell>
          <cell r="N1301" t="str">
            <v>Cindo Agro, CV</v>
          </cell>
          <cell r="O1301" t="str">
            <v>Dsn. Aseman, RT.003/RW.004, Bimorejo, Wongsorejo</v>
          </cell>
          <cell r="P1301" t="str">
            <v>Banyuwangi</v>
          </cell>
          <cell r="Q1301" t="str">
            <v>Dsn. Aseman, RT.003/RW.004, Bimorejo, Wongsorejo</v>
          </cell>
          <cell r="R1301" t="str">
            <v>Banyuwangi</v>
          </cell>
          <cell r="S1301" t="str">
            <v>H Bwi5</v>
          </cell>
          <cell r="T1301" t="str">
            <v>Hafid</v>
          </cell>
          <cell r="U1301">
            <v>30</v>
          </cell>
        </row>
        <row r="1302">
          <cell r="E1302" t="str">
            <v>D25015552</v>
          </cell>
          <cell r="F1302"/>
          <cell r="G1302">
            <v>500000000</v>
          </cell>
          <cell r="H1302" t="str">
            <v>Faris</v>
          </cell>
          <cell r="I1302" t="str">
            <v>Syahra</v>
          </cell>
          <cell r="J1302"/>
          <cell r="K1302" t="str">
            <v>KU</v>
          </cell>
          <cell r="L1302" t="str">
            <v>BIMO02</v>
          </cell>
          <cell r="M1302" t="str">
            <v>Bimo Rukun Tani II</v>
          </cell>
          <cell r="N1302" t="str">
            <v>Cindo Agro, CV</v>
          </cell>
          <cell r="O1302" t="str">
            <v>Dsn. Aseman, RT.003/RW.004, Bimorejo, Wongsorejo</v>
          </cell>
          <cell r="P1302" t="str">
            <v>Banyuwangi</v>
          </cell>
          <cell r="Q1302" t="str">
            <v>Dsn. Aseman, RT.003/RW.004, Bimorejo, Wongsorejo</v>
          </cell>
          <cell r="R1302" t="str">
            <v>Banyuwangi</v>
          </cell>
          <cell r="S1302" t="str">
            <v>H Bwi5</v>
          </cell>
          <cell r="T1302" t="str">
            <v>Hafid</v>
          </cell>
          <cell r="U1302">
            <v>30</v>
          </cell>
        </row>
        <row r="1303">
          <cell r="E1303" t="str">
            <v>T25001541</v>
          </cell>
          <cell r="F1303"/>
          <cell r="G1303">
            <v>500000000</v>
          </cell>
          <cell r="H1303" t="str">
            <v>Faris</v>
          </cell>
          <cell r="I1303" t="str">
            <v>Syahra</v>
          </cell>
          <cell r="J1303"/>
          <cell r="K1303" t="str">
            <v>KU</v>
          </cell>
          <cell r="L1303" t="str">
            <v>BIMO02</v>
          </cell>
          <cell r="M1303" t="str">
            <v>Bimo Rukun Tani II</v>
          </cell>
          <cell r="N1303" t="str">
            <v>Cindo Agro, CV</v>
          </cell>
          <cell r="O1303" t="str">
            <v>Dsn. Aseman, RT.003/RW.004, Bimorejo, Wongsorejo</v>
          </cell>
          <cell r="P1303" t="str">
            <v>Banyuwangi</v>
          </cell>
          <cell r="Q1303" t="str">
            <v>Dsn. Aseman, RT.003/RW.004, Bimorejo, Wongsorejo</v>
          </cell>
          <cell r="R1303" t="str">
            <v>Banyuwangi</v>
          </cell>
          <cell r="S1303" t="str">
            <v>H Bwi5</v>
          </cell>
          <cell r="T1303" t="str">
            <v>Hafid</v>
          </cell>
          <cell r="U1303">
            <v>60</v>
          </cell>
        </row>
        <row r="1304">
          <cell r="E1304" t="str">
            <v>B25013597</v>
          </cell>
          <cell r="F1304"/>
          <cell r="G1304">
            <v>500000000</v>
          </cell>
          <cell r="H1304" t="str">
            <v>Faris</v>
          </cell>
          <cell r="I1304" t="str">
            <v>Syahra</v>
          </cell>
          <cell r="J1304"/>
          <cell r="K1304" t="str">
            <v>KU</v>
          </cell>
          <cell r="L1304" t="str">
            <v>BIMO02</v>
          </cell>
          <cell r="M1304" t="str">
            <v>Bimo Rukun Tani II</v>
          </cell>
          <cell r="N1304" t="str">
            <v>Cindo Agro, CV</v>
          </cell>
          <cell r="O1304" t="str">
            <v>Dsn. Aseman, RT.003/RW.004, Bimorejo, Wongsorejo</v>
          </cell>
          <cell r="P1304" t="str">
            <v>Banyuwangi</v>
          </cell>
          <cell r="Q1304" t="str">
            <v>Dsn. Aseman, RT.003/RW.004, Bimorejo, Wongsorejo</v>
          </cell>
          <cell r="R1304" t="str">
            <v>Banyuwangi</v>
          </cell>
          <cell r="S1304" t="str">
            <v>H Bwi5</v>
          </cell>
          <cell r="T1304" t="str">
            <v>Hafid</v>
          </cell>
          <cell r="U1304">
            <v>60</v>
          </cell>
        </row>
        <row r="1305">
          <cell r="E1305" t="str">
            <v>D25010065</v>
          </cell>
          <cell r="F1305"/>
          <cell r="G1305">
            <v>500000000</v>
          </cell>
          <cell r="H1305" t="str">
            <v>Faris</v>
          </cell>
          <cell r="I1305" t="str">
            <v>Syahra</v>
          </cell>
          <cell r="J1305"/>
          <cell r="K1305" t="str">
            <v>KU</v>
          </cell>
          <cell r="L1305" t="str">
            <v>BIMO01</v>
          </cell>
          <cell r="M1305" t="str">
            <v>Bimo Rukun Tani, UD</v>
          </cell>
          <cell r="N1305" t="str">
            <v>Cindo Agro, CV</v>
          </cell>
          <cell r="O1305" t="str">
            <v>Dsn. Aseman, RT.003/RW.004, Bimorejo, Wongsorejo</v>
          </cell>
          <cell r="P1305" t="str">
            <v>Banyuwangi</v>
          </cell>
          <cell r="Q1305" t="str">
            <v>Dsn. Aseman, RT.003/RW.004, Bimorejo, Wongsorejo</v>
          </cell>
          <cell r="R1305" t="str">
            <v>Banyuwangi</v>
          </cell>
          <cell r="S1305" t="str">
            <v>H Bwi5</v>
          </cell>
          <cell r="T1305" t="str">
            <v>Hafid</v>
          </cell>
          <cell r="U1305">
            <v>30</v>
          </cell>
        </row>
        <row r="1306">
          <cell r="E1306" t="str">
            <v>B25008332</v>
          </cell>
          <cell r="F1306"/>
          <cell r="G1306">
            <v>500000000</v>
          </cell>
          <cell r="H1306" t="str">
            <v>Faris</v>
          </cell>
          <cell r="I1306" t="str">
            <v>Syahra</v>
          </cell>
          <cell r="J1306"/>
          <cell r="K1306" t="str">
            <v>KU</v>
          </cell>
          <cell r="L1306" t="str">
            <v>BIMO01</v>
          </cell>
          <cell r="M1306" t="str">
            <v>Bimo Rukun Tani, UD</v>
          </cell>
          <cell r="N1306" t="str">
            <v>Cindo Agro, CV</v>
          </cell>
          <cell r="O1306" t="str">
            <v>Dsn. Aseman, RT.003/RW.004, Bimorejo, Wongsorejo</v>
          </cell>
          <cell r="P1306" t="str">
            <v>Banyuwangi</v>
          </cell>
          <cell r="Q1306" t="str">
            <v>Dsn. Aseman, RT.003/RW.004, Bimorejo, Wongsorejo</v>
          </cell>
          <cell r="R1306" t="str">
            <v>Banyuwangi</v>
          </cell>
          <cell r="S1306" t="str">
            <v>H Bwi5</v>
          </cell>
          <cell r="T1306" t="str">
            <v>Hafid</v>
          </cell>
          <cell r="U1306">
            <v>30</v>
          </cell>
        </row>
        <row r="1307">
          <cell r="E1307" t="str">
            <v>B25008376</v>
          </cell>
          <cell r="F1307"/>
          <cell r="G1307">
            <v>500000000</v>
          </cell>
          <cell r="H1307" t="str">
            <v>Faris</v>
          </cell>
          <cell r="I1307" t="str">
            <v>Syahra</v>
          </cell>
          <cell r="J1307"/>
          <cell r="K1307" t="str">
            <v>KU</v>
          </cell>
          <cell r="L1307" t="str">
            <v>BIMO01</v>
          </cell>
          <cell r="M1307" t="str">
            <v>Bimo Rukun Tani, UD</v>
          </cell>
          <cell r="N1307" t="str">
            <v>Cindo Agro, CV</v>
          </cell>
          <cell r="O1307" t="str">
            <v>Dsn. Aseman, RT.003/RW.004, Bimorejo, Wongsorejo</v>
          </cell>
          <cell r="P1307" t="str">
            <v>Banyuwangi</v>
          </cell>
          <cell r="Q1307" t="str">
            <v>Dsn. Aseman, RT.003/RW.004, Bimorejo, Wongsorejo</v>
          </cell>
          <cell r="R1307" t="str">
            <v>Banyuwangi</v>
          </cell>
          <cell r="S1307" t="str">
            <v>H Bwi5</v>
          </cell>
          <cell r="T1307" t="str">
            <v>Hafid</v>
          </cell>
          <cell r="U1307">
            <v>30</v>
          </cell>
        </row>
        <row r="1308">
          <cell r="E1308" t="str">
            <v>B25008526</v>
          </cell>
          <cell r="F1308"/>
          <cell r="G1308">
            <v>500000000</v>
          </cell>
          <cell r="H1308" t="str">
            <v>Faris</v>
          </cell>
          <cell r="I1308" t="str">
            <v>Syahra</v>
          </cell>
          <cell r="J1308"/>
          <cell r="K1308" t="str">
            <v>KU</v>
          </cell>
          <cell r="L1308" t="str">
            <v>BIMO01</v>
          </cell>
          <cell r="M1308" t="str">
            <v>Bimo Rukun Tani, UD</v>
          </cell>
          <cell r="N1308" t="str">
            <v>Cindo Agro, CV</v>
          </cell>
          <cell r="O1308" t="str">
            <v>Dsn. Aseman, RT.003/RW.004, Bimorejo, Wongsorejo</v>
          </cell>
          <cell r="P1308" t="str">
            <v>Banyuwangi</v>
          </cell>
          <cell r="Q1308" t="str">
            <v>Dsn. Aseman, RT.003/RW.004, Bimorejo, Wongsorejo</v>
          </cell>
          <cell r="R1308" t="str">
            <v>Banyuwangi</v>
          </cell>
          <cell r="S1308" t="str">
            <v>H Bwi5</v>
          </cell>
          <cell r="T1308" t="str">
            <v>Hafid</v>
          </cell>
          <cell r="U1308">
            <v>30</v>
          </cell>
        </row>
        <row r="1309">
          <cell r="E1309" t="str">
            <v>B25008567</v>
          </cell>
          <cell r="F1309"/>
          <cell r="G1309">
            <v>500000000</v>
          </cell>
          <cell r="H1309" t="str">
            <v>Faris</v>
          </cell>
          <cell r="I1309" t="str">
            <v>Syahra</v>
          </cell>
          <cell r="J1309"/>
          <cell r="K1309" t="str">
            <v>KU</v>
          </cell>
          <cell r="L1309" t="str">
            <v>BIMO01</v>
          </cell>
          <cell r="M1309" t="str">
            <v>Bimo Rukun Tani, UD</v>
          </cell>
          <cell r="N1309" t="str">
            <v>Cindo Agro, CV</v>
          </cell>
          <cell r="O1309" t="str">
            <v>Dsn. Aseman, RT.003/RW.004, Bimorejo, Wongsorejo</v>
          </cell>
          <cell r="P1309" t="str">
            <v>Banyuwangi</v>
          </cell>
          <cell r="Q1309" t="str">
            <v>Dsn. Aseman, RT.003/RW.004, Bimorejo, Wongsorejo</v>
          </cell>
          <cell r="R1309" t="str">
            <v>Banyuwangi</v>
          </cell>
          <cell r="S1309" t="str">
            <v>H Bwi5</v>
          </cell>
          <cell r="T1309" t="str">
            <v>Hafid</v>
          </cell>
          <cell r="U1309">
            <v>60</v>
          </cell>
        </row>
        <row r="1310">
          <cell r="E1310" t="str">
            <v>D25010463</v>
          </cell>
          <cell r="F1310"/>
          <cell r="G1310">
            <v>500000000</v>
          </cell>
          <cell r="H1310" t="str">
            <v>Faris</v>
          </cell>
          <cell r="I1310" t="str">
            <v>Syahra</v>
          </cell>
          <cell r="J1310"/>
          <cell r="K1310" t="str">
            <v>KU</v>
          </cell>
          <cell r="L1310" t="str">
            <v>BIMO01</v>
          </cell>
          <cell r="M1310" t="str">
            <v>Bimo Rukun Tani, UD</v>
          </cell>
          <cell r="N1310" t="str">
            <v>Cindo Agro, CV</v>
          </cell>
          <cell r="O1310" t="str">
            <v>Dsn. Aseman, RT.003/RW.004, Bimorejo, Wongsorejo</v>
          </cell>
          <cell r="P1310" t="str">
            <v>Banyuwangi</v>
          </cell>
          <cell r="Q1310" t="str">
            <v>Dsn. Aseman, RT.003/RW.004, Bimorejo, Wongsorejo</v>
          </cell>
          <cell r="R1310" t="str">
            <v>Banyuwangi</v>
          </cell>
          <cell r="S1310" t="str">
            <v>H Bwi5</v>
          </cell>
          <cell r="T1310" t="str">
            <v>Hafid</v>
          </cell>
          <cell r="U1310">
            <v>30</v>
          </cell>
        </row>
        <row r="1311">
          <cell r="E1311" t="str">
            <v>D25010465</v>
          </cell>
          <cell r="F1311"/>
          <cell r="G1311">
            <v>500000000</v>
          </cell>
          <cell r="H1311" t="str">
            <v>Faris</v>
          </cell>
          <cell r="I1311" t="str">
            <v>Syahra</v>
          </cell>
          <cell r="J1311"/>
          <cell r="K1311" t="str">
            <v>KU</v>
          </cell>
          <cell r="L1311" t="str">
            <v>BIMO01</v>
          </cell>
          <cell r="M1311" t="str">
            <v>Bimo Rukun Tani, UD</v>
          </cell>
          <cell r="N1311" t="str">
            <v>Cindo Agro, CV</v>
          </cell>
          <cell r="O1311" t="str">
            <v>Dsn. Aseman, RT.003/RW.004, Bimorejo, Wongsorejo</v>
          </cell>
          <cell r="P1311" t="str">
            <v>Banyuwangi</v>
          </cell>
          <cell r="Q1311" t="str">
            <v>Dsn. Aseman, RT.003/RW.004, Bimorejo, Wongsorejo</v>
          </cell>
          <cell r="R1311" t="str">
            <v>Banyuwangi</v>
          </cell>
          <cell r="S1311" t="str">
            <v>H Bwi5</v>
          </cell>
          <cell r="T1311" t="str">
            <v>Hafid</v>
          </cell>
          <cell r="U1311">
            <v>30</v>
          </cell>
        </row>
        <row r="1312">
          <cell r="E1312" t="str">
            <v>B25009231</v>
          </cell>
          <cell r="F1312"/>
          <cell r="G1312">
            <v>500000000</v>
          </cell>
          <cell r="H1312" t="str">
            <v>Faris</v>
          </cell>
          <cell r="I1312" t="str">
            <v>Syahra</v>
          </cell>
          <cell r="J1312"/>
          <cell r="K1312" t="str">
            <v>KU</v>
          </cell>
          <cell r="L1312" t="str">
            <v>BIMO01</v>
          </cell>
          <cell r="M1312" t="str">
            <v>Bimo Rukun Tani, UD</v>
          </cell>
          <cell r="N1312" t="str">
            <v>Cindo Agro, CV</v>
          </cell>
          <cell r="O1312" t="str">
            <v>Dsn. Aseman, RT.003/RW.004, Bimorejo, Wongsorejo</v>
          </cell>
          <cell r="P1312" t="str">
            <v>Banyuwangi</v>
          </cell>
          <cell r="Q1312" t="str">
            <v>Dsn. Aseman, RT.003/RW.004, Bimorejo, Wongsorejo</v>
          </cell>
          <cell r="R1312" t="str">
            <v>Banyuwangi</v>
          </cell>
          <cell r="S1312" t="str">
            <v>H Bwi5</v>
          </cell>
          <cell r="T1312" t="str">
            <v>Hafid</v>
          </cell>
          <cell r="U1312">
            <v>30</v>
          </cell>
        </row>
        <row r="1313">
          <cell r="E1313" t="str">
            <v>B25009288</v>
          </cell>
          <cell r="F1313"/>
          <cell r="G1313">
            <v>500000000</v>
          </cell>
          <cell r="H1313" t="str">
            <v>Faris</v>
          </cell>
          <cell r="I1313" t="str">
            <v>Syahra</v>
          </cell>
          <cell r="J1313"/>
          <cell r="K1313" t="str">
            <v>KU</v>
          </cell>
          <cell r="L1313" t="str">
            <v>BIMO01</v>
          </cell>
          <cell r="M1313" t="str">
            <v>Bimo Rukun Tani, UD</v>
          </cell>
          <cell r="N1313" t="str">
            <v>Cindo Agro, CV</v>
          </cell>
          <cell r="O1313" t="str">
            <v>Dsn. Aseman, RT.003/RW.004, Bimorejo, Wongsorejo</v>
          </cell>
          <cell r="P1313" t="str">
            <v>Banyuwangi</v>
          </cell>
          <cell r="Q1313" t="str">
            <v>Dsn. Aseman, RT.003/RW.004, Bimorejo, Wongsorejo</v>
          </cell>
          <cell r="R1313" t="str">
            <v>Banyuwangi</v>
          </cell>
          <cell r="S1313" t="str">
            <v>H Bwi5</v>
          </cell>
          <cell r="T1313" t="str">
            <v>Hafid</v>
          </cell>
          <cell r="U1313">
            <v>60</v>
          </cell>
        </row>
        <row r="1314">
          <cell r="E1314" t="str">
            <v>B25009290</v>
          </cell>
          <cell r="F1314"/>
          <cell r="G1314">
            <v>500000000</v>
          </cell>
          <cell r="H1314" t="str">
            <v>Faris</v>
          </cell>
          <cell r="I1314" t="str">
            <v>Syahra</v>
          </cell>
          <cell r="J1314"/>
          <cell r="K1314" t="str">
            <v>KU</v>
          </cell>
          <cell r="L1314" t="str">
            <v>BIMO01</v>
          </cell>
          <cell r="M1314" t="str">
            <v>Bimo Rukun Tani, UD</v>
          </cell>
          <cell r="N1314" t="str">
            <v>Cindo Agro, CV</v>
          </cell>
          <cell r="O1314" t="str">
            <v>Dsn. Aseman, RT.003/RW.004, Bimorejo, Wongsorejo</v>
          </cell>
          <cell r="P1314" t="str">
            <v>Banyuwangi</v>
          </cell>
          <cell r="Q1314" t="str">
            <v>Dsn. Aseman, RT.003/RW.004, Bimorejo, Wongsorejo</v>
          </cell>
          <cell r="R1314" t="str">
            <v>Banyuwangi</v>
          </cell>
          <cell r="S1314" t="str">
            <v>H Bwi5</v>
          </cell>
          <cell r="T1314" t="str">
            <v>Hafid</v>
          </cell>
          <cell r="U1314">
            <v>30</v>
          </cell>
        </row>
        <row r="1315">
          <cell r="E1315" t="str">
            <v>B25009301</v>
          </cell>
          <cell r="F1315"/>
          <cell r="G1315">
            <v>500000000</v>
          </cell>
          <cell r="H1315" t="str">
            <v>Faris</v>
          </cell>
          <cell r="I1315" t="str">
            <v>Syahra</v>
          </cell>
          <cell r="J1315"/>
          <cell r="K1315" t="str">
            <v>KU</v>
          </cell>
          <cell r="L1315" t="str">
            <v>BIMO01</v>
          </cell>
          <cell r="M1315" t="str">
            <v>Bimo Rukun Tani, UD</v>
          </cell>
          <cell r="N1315" t="str">
            <v>Cindo Agro, CV</v>
          </cell>
          <cell r="O1315" t="str">
            <v>Dsn. Aseman, RT.003/RW.004, Bimorejo, Wongsorejo</v>
          </cell>
          <cell r="P1315" t="str">
            <v>Banyuwangi</v>
          </cell>
          <cell r="Q1315" t="str">
            <v>Dsn. Aseman, RT.003/RW.004, Bimorejo, Wongsorejo</v>
          </cell>
          <cell r="R1315" t="str">
            <v>Banyuwangi</v>
          </cell>
          <cell r="S1315" t="str">
            <v>H Bwi5</v>
          </cell>
          <cell r="T1315" t="str">
            <v>Hafid</v>
          </cell>
          <cell r="U1315">
            <v>60</v>
          </cell>
        </row>
        <row r="1316">
          <cell r="E1316" t="str">
            <v>B25009302</v>
          </cell>
          <cell r="F1316"/>
          <cell r="G1316">
            <v>500000000</v>
          </cell>
          <cell r="H1316" t="str">
            <v>Faris</v>
          </cell>
          <cell r="I1316" t="str">
            <v>Syahra</v>
          </cell>
          <cell r="J1316"/>
          <cell r="K1316" t="str">
            <v>KU</v>
          </cell>
          <cell r="L1316" t="str">
            <v>BIMO01</v>
          </cell>
          <cell r="M1316" t="str">
            <v>Bimo Rukun Tani, UD</v>
          </cell>
          <cell r="N1316" t="str">
            <v>Cindo Agro, CV</v>
          </cell>
          <cell r="O1316" t="str">
            <v>Dsn. Aseman, RT.003/RW.004, Bimorejo, Wongsorejo</v>
          </cell>
          <cell r="P1316" t="str">
            <v>Banyuwangi</v>
          </cell>
          <cell r="Q1316" t="str">
            <v>Dsn. Aseman, RT.003/RW.004, Bimorejo, Wongsorejo</v>
          </cell>
          <cell r="R1316" t="str">
            <v>Banyuwangi</v>
          </cell>
          <cell r="S1316" t="str">
            <v>H Bwi5</v>
          </cell>
          <cell r="T1316" t="str">
            <v>Hafid</v>
          </cell>
          <cell r="U1316">
            <v>30</v>
          </cell>
        </row>
        <row r="1317">
          <cell r="E1317">
            <v>250037</v>
          </cell>
          <cell r="F1317"/>
          <cell r="G1317">
            <v>500000000</v>
          </cell>
          <cell r="H1317" t="str">
            <v>Faris</v>
          </cell>
          <cell r="I1317" t="str">
            <v>Syahra</v>
          </cell>
          <cell r="J1317"/>
          <cell r="K1317" t="str">
            <v>KU</v>
          </cell>
          <cell r="L1317" t="str">
            <v>BIMO01</v>
          </cell>
          <cell r="M1317" t="str">
            <v>Bimo Rukun Tani, UD</v>
          </cell>
          <cell r="N1317" t="str">
            <v>Cindo Agro, CV</v>
          </cell>
          <cell r="O1317" t="str">
            <v>Dsn. Aseman, RT.003/RW.004, Bimorejo, Wongsorejo</v>
          </cell>
          <cell r="P1317" t="str">
            <v>Banyuwangi</v>
          </cell>
          <cell r="Q1317" t="str">
            <v>Dsn. Aseman, RT.003/RW.004, Bimorejo, Wongsorejo</v>
          </cell>
          <cell r="R1317" t="str">
            <v>Banyuwangi</v>
          </cell>
          <cell r="S1317" t="str">
            <v>H Bwi5</v>
          </cell>
          <cell r="T1317" t="str">
            <v>Hafid</v>
          </cell>
          <cell r="U1317">
            <v>30</v>
          </cell>
        </row>
        <row r="1318">
          <cell r="E1318" t="str">
            <v>B25009570</v>
          </cell>
          <cell r="F1318"/>
          <cell r="G1318">
            <v>500000000</v>
          </cell>
          <cell r="H1318" t="str">
            <v>Faris</v>
          </cell>
          <cell r="I1318" t="str">
            <v>Syahra</v>
          </cell>
          <cell r="J1318"/>
          <cell r="K1318" t="str">
            <v>KU</v>
          </cell>
          <cell r="L1318" t="str">
            <v>BIMO01</v>
          </cell>
          <cell r="M1318" t="str">
            <v>Bimo Rukun Tani, UD</v>
          </cell>
          <cell r="N1318" t="str">
            <v>Cindo Agro, CV</v>
          </cell>
          <cell r="O1318" t="str">
            <v>Dsn. Aseman, RT.003/RW.004, Bimorejo, Wongsorejo</v>
          </cell>
          <cell r="P1318" t="str">
            <v>Banyuwangi</v>
          </cell>
          <cell r="Q1318" t="str">
            <v>Dsn. Aseman, RT.003/RW.004, Bimorejo, Wongsorejo</v>
          </cell>
          <cell r="R1318" t="str">
            <v>Banyuwangi</v>
          </cell>
          <cell r="S1318" t="str">
            <v>H Bwi5</v>
          </cell>
          <cell r="T1318" t="str">
            <v>Hafid</v>
          </cell>
          <cell r="U1318">
            <v>30</v>
          </cell>
        </row>
        <row r="1319">
          <cell r="E1319" t="str">
            <v>D25011451</v>
          </cell>
          <cell r="F1319"/>
          <cell r="G1319">
            <v>500000000</v>
          </cell>
          <cell r="H1319" t="str">
            <v>Faris</v>
          </cell>
          <cell r="I1319" t="str">
            <v>Syahra</v>
          </cell>
          <cell r="J1319"/>
          <cell r="K1319" t="str">
            <v>KU</v>
          </cell>
          <cell r="L1319" t="str">
            <v>BIMO01</v>
          </cell>
          <cell r="M1319" t="str">
            <v>Bimo Rukun Tani, UD</v>
          </cell>
          <cell r="N1319" t="str">
            <v>Cindo Agro, CV</v>
          </cell>
          <cell r="O1319" t="str">
            <v>Dsn. Aseman, RT.003/RW.004, Bimorejo, Wongsorejo</v>
          </cell>
          <cell r="P1319" t="str">
            <v>Banyuwangi</v>
          </cell>
          <cell r="Q1319" t="str">
            <v>Dsn. Aseman, RT.003/RW.004, Bimorejo, Wongsorejo</v>
          </cell>
          <cell r="R1319" t="str">
            <v>Banyuwangi</v>
          </cell>
          <cell r="S1319" t="str">
            <v>H Bwi5</v>
          </cell>
          <cell r="T1319" t="str">
            <v>Hafid</v>
          </cell>
          <cell r="U1319">
            <v>30</v>
          </cell>
        </row>
        <row r="1320">
          <cell r="E1320" t="str">
            <v>B25009583</v>
          </cell>
          <cell r="F1320"/>
          <cell r="G1320">
            <v>500000000</v>
          </cell>
          <cell r="H1320" t="str">
            <v>Faris</v>
          </cell>
          <cell r="I1320" t="str">
            <v>Syahra</v>
          </cell>
          <cell r="J1320"/>
          <cell r="K1320" t="str">
            <v>KU</v>
          </cell>
          <cell r="L1320" t="str">
            <v>BIMO01</v>
          </cell>
          <cell r="M1320" t="str">
            <v>Bimo Rukun Tani, UD</v>
          </cell>
          <cell r="N1320" t="str">
            <v>Cindo Agro, CV</v>
          </cell>
          <cell r="O1320" t="str">
            <v>Dsn. Aseman, RT.003/RW.004, Bimorejo, Wongsorejo</v>
          </cell>
          <cell r="P1320" t="str">
            <v>Banyuwangi</v>
          </cell>
          <cell r="Q1320" t="str">
            <v>Dsn. Aseman, RT.003/RW.004, Bimorejo, Wongsorejo</v>
          </cell>
          <cell r="R1320" t="str">
            <v>Banyuwangi</v>
          </cell>
          <cell r="S1320" t="str">
            <v>H Bwi5</v>
          </cell>
          <cell r="T1320" t="str">
            <v>Hafid</v>
          </cell>
          <cell r="U1320">
            <v>30</v>
          </cell>
        </row>
        <row r="1321">
          <cell r="E1321" t="str">
            <v>B25009584</v>
          </cell>
          <cell r="F1321"/>
          <cell r="G1321">
            <v>500000000</v>
          </cell>
          <cell r="H1321" t="str">
            <v>Faris</v>
          </cell>
          <cell r="I1321" t="str">
            <v>Syahra</v>
          </cell>
          <cell r="J1321"/>
          <cell r="K1321" t="str">
            <v>KU</v>
          </cell>
          <cell r="L1321" t="str">
            <v>BIMO01</v>
          </cell>
          <cell r="M1321" t="str">
            <v>Bimo Rukun Tani, UD</v>
          </cell>
          <cell r="N1321" t="str">
            <v>Cindo Agro, CV</v>
          </cell>
          <cell r="O1321" t="str">
            <v>Dsn. Aseman, RT.003/RW.004, Bimorejo, Wongsorejo</v>
          </cell>
          <cell r="P1321" t="str">
            <v>Banyuwangi</v>
          </cell>
          <cell r="Q1321" t="str">
            <v>Dsn. Aseman, RT.003/RW.004, Bimorejo, Wongsorejo</v>
          </cell>
          <cell r="R1321" t="str">
            <v>Banyuwangi</v>
          </cell>
          <cell r="S1321" t="str">
            <v>H Bwi5</v>
          </cell>
          <cell r="T1321" t="str">
            <v>Hafid</v>
          </cell>
          <cell r="U1321">
            <v>30</v>
          </cell>
        </row>
        <row r="1322">
          <cell r="E1322" t="str">
            <v>D25011526</v>
          </cell>
          <cell r="F1322"/>
          <cell r="G1322">
            <v>500000000</v>
          </cell>
          <cell r="H1322" t="str">
            <v>Faris</v>
          </cell>
          <cell r="I1322" t="str">
            <v>Syahra</v>
          </cell>
          <cell r="J1322"/>
          <cell r="K1322" t="str">
            <v>KU</v>
          </cell>
          <cell r="L1322" t="str">
            <v>BIMO01</v>
          </cell>
          <cell r="M1322" t="str">
            <v>Bimo Rukun Tani, UD</v>
          </cell>
          <cell r="N1322" t="str">
            <v>Cindo Agro, CV</v>
          </cell>
          <cell r="O1322" t="str">
            <v>Dsn. Aseman, RT.003/RW.004, Bimorejo, Wongsorejo</v>
          </cell>
          <cell r="P1322" t="str">
            <v>Banyuwangi</v>
          </cell>
          <cell r="Q1322" t="str">
            <v>Dsn. Aseman, RT.003/RW.004, Bimorejo, Wongsorejo</v>
          </cell>
          <cell r="R1322" t="str">
            <v>Banyuwangi</v>
          </cell>
          <cell r="S1322" t="str">
            <v>H Bwi5</v>
          </cell>
          <cell r="T1322" t="str">
            <v>Hafid</v>
          </cell>
          <cell r="U1322">
            <v>30</v>
          </cell>
        </row>
        <row r="1323">
          <cell r="E1323" t="str">
            <v>D25011536</v>
          </cell>
          <cell r="F1323"/>
          <cell r="G1323">
            <v>500000000</v>
          </cell>
          <cell r="H1323" t="str">
            <v>Faris</v>
          </cell>
          <cell r="I1323" t="str">
            <v>Syahra</v>
          </cell>
          <cell r="J1323"/>
          <cell r="K1323" t="str">
            <v>KU</v>
          </cell>
          <cell r="L1323" t="str">
            <v>BIMO01</v>
          </cell>
          <cell r="M1323" t="str">
            <v>Bimo Rukun Tani, UD</v>
          </cell>
          <cell r="N1323" t="str">
            <v>Cindo Agro, CV</v>
          </cell>
          <cell r="O1323" t="str">
            <v>Dsn. Aseman, RT.003/RW.004, Bimorejo, Wongsorejo</v>
          </cell>
          <cell r="P1323" t="str">
            <v>Banyuwangi</v>
          </cell>
          <cell r="Q1323" t="str">
            <v>Dsn. Aseman, RT.003/RW.004, Bimorejo, Wongsorejo</v>
          </cell>
          <cell r="R1323" t="str">
            <v>Banyuwangi</v>
          </cell>
          <cell r="S1323" t="str">
            <v>H Bwi5</v>
          </cell>
          <cell r="T1323" t="str">
            <v>Hafid</v>
          </cell>
          <cell r="U1323">
            <v>30</v>
          </cell>
        </row>
        <row r="1324">
          <cell r="E1324" t="str">
            <v>D25011845</v>
          </cell>
          <cell r="F1324"/>
          <cell r="G1324">
            <v>500000000</v>
          </cell>
          <cell r="H1324" t="str">
            <v>Faris</v>
          </cell>
          <cell r="I1324" t="str">
            <v>Syahra</v>
          </cell>
          <cell r="J1324"/>
          <cell r="K1324" t="str">
            <v>KU</v>
          </cell>
          <cell r="L1324" t="str">
            <v>BIMO01</v>
          </cell>
          <cell r="M1324" t="str">
            <v>Bimo Rukun Tani, UD</v>
          </cell>
          <cell r="N1324" t="str">
            <v>Cindo Agro, CV</v>
          </cell>
          <cell r="O1324" t="str">
            <v>Dsn. Aseman, RT.003/RW.004, Bimorejo, Wongsorejo</v>
          </cell>
          <cell r="P1324" t="str">
            <v>Banyuwangi</v>
          </cell>
          <cell r="Q1324" t="str">
            <v>Dsn. Aseman, RT.003/RW.004, Bimorejo, Wongsorejo</v>
          </cell>
          <cell r="R1324" t="str">
            <v>Banyuwangi</v>
          </cell>
          <cell r="S1324" t="str">
            <v>H Bwi5</v>
          </cell>
          <cell r="T1324" t="str">
            <v>Hafid</v>
          </cell>
          <cell r="U1324">
            <v>60</v>
          </cell>
        </row>
        <row r="1325">
          <cell r="E1325" t="str">
            <v>B25009963</v>
          </cell>
          <cell r="F1325"/>
          <cell r="G1325">
            <v>500000000</v>
          </cell>
          <cell r="H1325" t="str">
            <v>Faris</v>
          </cell>
          <cell r="I1325" t="str">
            <v>Syahra</v>
          </cell>
          <cell r="J1325"/>
          <cell r="K1325" t="str">
            <v>KU</v>
          </cell>
          <cell r="L1325" t="str">
            <v>BIMO01</v>
          </cell>
          <cell r="M1325" t="str">
            <v>Bimo Rukun Tani, UD</v>
          </cell>
          <cell r="N1325" t="str">
            <v>Cindo Agro, CV</v>
          </cell>
          <cell r="O1325" t="str">
            <v>Dsn. Aseman, RT.003/RW.004, Bimorejo, Wongsorejo</v>
          </cell>
          <cell r="P1325" t="str">
            <v>Banyuwangi</v>
          </cell>
          <cell r="Q1325" t="str">
            <v>Dsn. Aseman, RT.003/RW.004, Bimorejo, Wongsorejo</v>
          </cell>
          <cell r="R1325" t="str">
            <v>Banyuwangi</v>
          </cell>
          <cell r="S1325" t="str">
            <v>H Bwi5</v>
          </cell>
          <cell r="T1325" t="str">
            <v>Hafid</v>
          </cell>
          <cell r="U1325">
            <v>30</v>
          </cell>
        </row>
        <row r="1326">
          <cell r="E1326" t="str">
            <v>B25009965</v>
          </cell>
          <cell r="F1326"/>
          <cell r="G1326">
            <v>500000000</v>
          </cell>
          <cell r="H1326" t="str">
            <v>Faris</v>
          </cell>
          <cell r="I1326" t="str">
            <v>Syahra</v>
          </cell>
          <cell r="J1326"/>
          <cell r="K1326" t="str">
            <v>KU</v>
          </cell>
          <cell r="L1326" t="str">
            <v>BIMO01</v>
          </cell>
          <cell r="M1326" t="str">
            <v>Bimo Rukun Tani, UD</v>
          </cell>
          <cell r="N1326" t="str">
            <v>Cindo Agro, CV</v>
          </cell>
          <cell r="O1326" t="str">
            <v>Dsn. Aseman, RT.003/RW.004, Bimorejo, Wongsorejo</v>
          </cell>
          <cell r="P1326" t="str">
            <v>Banyuwangi</v>
          </cell>
          <cell r="Q1326" t="str">
            <v>Dsn. Aseman, RT.003/RW.004, Bimorejo, Wongsorejo</v>
          </cell>
          <cell r="R1326" t="str">
            <v>Banyuwangi</v>
          </cell>
          <cell r="S1326" t="str">
            <v>H Bwi5</v>
          </cell>
          <cell r="T1326" t="str">
            <v>Hafid</v>
          </cell>
          <cell r="U1326">
            <v>60</v>
          </cell>
        </row>
        <row r="1327">
          <cell r="E1327" t="str">
            <v>B25010010</v>
          </cell>
          <cell r="F1327"/>
          <cell r="G1327">
            <v>500000000</v>
          </cell>
          <cell r="H1327" t="str">
            <v>Faris</v>
          </cell>
          <cell r="I1327" t="str">
            <v>Syahra</v>
          </cell>
          <cell r="J1327"/>
          <cell r="K1327" t="str">
            <v>KU</v>
          </cell>
          <cell r="L1327" t="str">
            <v>BIMO01</v>
          </cell>
          <cell r="M1327" t="str">
            <v>Bimo Rukun Tani, UD</v>
          </cell>
          <cell r="N1327" t="str">
            <v>Cindo Agro, CV</v>
          </cell>
          <cell r="O1327" t="str">
            <v>Dsn. Aseman, RT.003/RW.004, Bimorejo, Wongsorejo</v>
          </cell>
          <cell r="P1327" t="str">
            <v>Banyuwangi</v>
          </cell>
          <cell r="Q1327" t="str">
            <v>Dsn. Aseman, RT.003/RW.004, Bimorejo, Wongsorejo</v>
          </cell>
          <cell r="R1327" t="str">
            <v>Banyuwangi</v>
          </cell>
          <cell r="S1327" t="str">
            <v>H Bwi5</v>
          </cell>
          <cell r="T1327" t="str">
            <v>Hafid</v>
          </cell>
          <cell r="U1327">
            <v>60</v>
          </cell>
        </row>
        <row r="1328">
          <cell r="E1328" t="str">
            <v>D25011978</v>
          </cell>
          <cell r="F1328"/>
          <cell r="G1328">
            <v>500000000</v>
          </cell>
          <cell r="H1328" t="str">
            <v>Faris</v>
          </cell>
          <cell r="I1328" t="str">
            <v>Syahra</v>
          </cell>
          <cell r="J1328"/>
          <cell r="K1328" t="str">
            <v>KU</v>
          </cell>
          <cell r="L1328" t="str">
            <v>BIMO01</v>
          </cell>
          <cell r="M1328" t="str">
            <v>Bimo Rukun Tani, UD</v>
          </cell>
          <cell r="N1328" t="str">
            <v>Cindo Agro, CV</v>
          </cell>
          <cell r="O1328" t="str">
            <v>Dsn. Aseman, RT.003/RW.004, Bimorejo, Wongsorejo</v>
          </cell>
          <cell r="P1328" t="str">
            <v>Banyuwangi</v>
          </cell>
          <cell r="Q1328" t="str">
            <v>Dsn. Aseman, RT.003/RW.004, Bimorejo, Wongsorejo</v>
          </cell>
          <cell r="R1328" t="str">
            <v>Banyuwangi</v>
          </cell>
          <cell r="S1328" t="str">
            <v>H Bwi5</v>
          </cell>
          <cell r="T1328" t="str">
            <v>Hafid</v>
          </cell>
          <cell r="U1328">
            <v>30</v>
          </cell>
        </row>
        <row r="1329">
          <cell r="E1329">
            <v>250047</v>
          </cell>
          <cell r="F1329"/>
          <cell r="G1329">
            <v>500000000</v>
          </cell>
          <cell r="H1329" t="str">
            <v>Faris</v>
          </cell>
          <cell r="I1329" t="str">
            <v>Syahra</v>
          </cell>
          <cell r="J1329"/>
          <cell r="K1329" t="str">
            <v>KU</v>
          </cell>
          <cell r="L1329" t="str">
            <v>BIMO01</v>
          </cell>
          <cell r="M1329" t="str">
            <v>Bimo Rukun Tani, UD</v>
          </cell>
          <cell r="N1329" t="str">
            <v>Cindo Agro, CV</v>
          </cell>
          <cell r="O1329" t="str">
            <v>Dsn. Aseman, RT.003/RW.004, Bimorejo, Wongsorejo</v>
          </cell>
          <cell r="P1329" t="str">
            <v>Banyuwangi</v>
          </cell>
          <cell r="Q1329" t="str">
            <v>Dsn. Aseman, RT.003/RW.004, Bimorejo, Wongsorejo</v>
          </cell>
          <cell r="R1329" t="str">
            <v>Banyuwangi</v>
          </cell>
          <cell r="S1329" t="str">
            <v>H Bwi5</v>
          </cell>
          <cell r="T1329" t="str">
            <v>Hafid</v>
          </cell>
          <cell r="U1329">
            <v>30</v>
          </cell>
        </row>
        <row r="1330">
          <cell r="E1330" t="str">
            <v>B25010104</v>
          </cell>
          <cell r="F1330"/>
          <cell r="G1330">
            <v>500000000</v>
          </cell>
          <cell r="H1330" t="str">
            <v>Faris</v>
          </cell>
          <cell r="I1330" t="str">
            <v>Syahra</v>
          </cell>
          <cell r="J1330"/>
          <cell r="K1330" t="str">
            <v>KU</v>
          </cell>
          <cell r="L1330" t="str">
            <v>BIMO01</v>
          </cell>
          <cell r="M1330" t="str">
            <v>Bimo Rukun Tani, UD</v>
          </cell>
          <cell r="N1330" t="str">
            <v>Cindo Agro, CV</v>
          </cell>
          <cell r="O1330" t="str">
            <v>Dsn. Aseman, RT.003/RW.004, Bimorejo, Wongsorejo</v>
          </cell>
          <cell r="P1330" t="str">
            <v>Banyuwangi</v>
          </cell>
          <cell r="Q1330" t="str">
            <v>Dsn. Aseman, RT.003/RW.004, Bimorejo, Wongsorejo</v>
          </cell>
          <cell r="R1330" t="str">
            <v>Banyuwangi</v>
          </cell>
          <cell r="S1330" t="str">
            <v>H Bwi5</v>
          </cell>
          <cell r="T1330" t="str">
            <v>Hafid</v>
          </cell>
          <cell r="U1330">
            <v>30</v>
          </cell>
        </row>
        <row r="1331">
          <cell r="E1331" t="str">
            <v>B25010403</v>
          </cell>
          <cell r="F1331"/>
          <cell r="G1331">
            <v>500000000</v>
          </cell>
          <cell r="H1331" t="str">
            <v>Faris</v>
          </cell>
          <cell r="I1331" t="str">
            <v>Syahra</v>
          </cell>
          <cell r="J1331"/>
          <cell r="K1331" t="str">
            <v>KU</v>
          </cell>
          <cell r="L1331" t="str">
            <v>BIMO01</v>
          </cell>
          <cell r="M1331" t="str">
            <v>Bimo Rukun Tani, UD</v>
          </cell>
          <cell r="N1331" t="str">
            <v>Cindo Agro, CV</v>
          </cell>
          <cell r="O1331" t="str">
            <v>Dsn. Aseman, RT.003/RW.004, Bimorejo, Wongsorejo</v>
          </cell>
          <cell r="P1331" t="str">
            <v>Banyuwangi</v>
          </cell>
          <cell r="Q1331" t="str">
            <v>Dsn. Aseman, RT.003/RW.004, Bimorejo, Wongsorejo</v>
          </cell>
          <cell r="R1331" t="str">
            <v>Banyuwangi</v>
          </cell>
          <cell r="S1331" t="str">
            <v>H Bwi5</v>
          </cell>
          <cell r="T1331" t="str">
            <v>Hafid</v>
          </cell>
          <cell r="U1331">
            <v>30</v>
          </cell>
        </row>
        <row r="1332">
          <cell r="E1332" t="str">
            <v>D25012323</v>
          </cell>
          <cell r="F1332"/>
          <cell r="G1332">
            <v>500000000</v>
          </cell>
          <cell r="H1332" t="str">
            <v>Faris</v>
          </cell>
          <cell r="I1332" t="str">
            <v>Syahra</v>
          </cell>
          <cell r="J1332"/>
          <cell r="K1332" t="str">
            <v>KU</v>
          </cell>
          <cell r="L1332" t="str">
            <v>BIMO01</v>
          </cell>
          <cell r="M1332" t="str">
            <v>Bimo Rukun Tani, UD</v>
          </cell>
          <cell r="N1332" t="str">
            <v>Cindo Agro, CV</v>
          </cell>
          <cell r="O1332" t="str">
            <v>Dsn. Aseman, RT.003/RW.004, Bimorejo, Wongsorejo</v>
          </cell>
          <cell r="P1332" t="str">
            <v>Banyuwangi</v>
          </cell>
          <cell r="Q1332" t="str">
            <v>Dsn. Aseman, RT.003/RW.004, Bimorejo, Wongsorejo</v>
          </cell>
          <cell r="R1332" t="str">
            <v>Banyuwangi</v>
          </cell>
          <cell r="S1332" t="str">
            <v>H Bwi5</v>
          </cell>
          <cell r="T1332" t="str">
            <v>Hafid</v>
          </cell>
          <cell r="U1332">
            <v>30</v>
          </cell>
        </row>
        <row r="1333">
          <cell r="E1333" t="str">
            <v>D25012324</v>
          </cell>
          <cell r="F1333"/>
          <cell r="G1333">
            <v>500000000</v>
          </cell>
          <cell r="H1333" t="str">
            <v>Faris</v>
          </cell>
          <cell r="I1333" t="str">
            <v>Syahra</v>
          </cell>
          <cell r="J1333"/>
          <cell r="K1333" t="str">
            <v>KU</v>
          </cell>
          <cell r="L1333" t="str">
            <v>BIMO01</v>
          </cell>
          <cell r="M1333" t="str">
            <v>Bimo Rukun Tani, UD</v>
          </cell>
          <cell r="N1333" t="str">
            <v>Cindo Agro, CV</v>
          </cell>
          <cell r="O1333" t="str">
            <v>Dsn. Aseman, RT.003/RW.004, Bimorejo, Wongsorejo</v>
          </cell>
          <cell r="P1333" t="str">
            <v>Banyuwangi</v>
          </cell>
          <cell r="Q1333" t="str">
            <v>Dsn. Aseman, RT.003/RW.004, Bimorejo, Wongsorejo</v>
          </cell>
          <cell r="R1333" t="str">
            <v>Banyuwangi</v>
          </cell>
          <cell r="S1333" t="str">
            <v>H Bwi5</v>
          </cell>
          <cell r="T1333" t="str">
            <v>Hafid</v>
          </cell>
          <cell r="U1333">
            <v>60</v>
          </cell>
        </row>
        <row r="1334">
          <cell r="E1334" t="str">
            <v>D25012600</v>
          </cell>
          <cell r="F1334"/>
          <cell r="G1334">
            <v>500000000</v>
          </cell>
          <cell r="H1334" t="str">
            <v>Faris</v>
          </cell>
          <cell r="I1334" t="str">
            <v>Syahra</v>
          </cell>
          <cell r="J1334"/>
          <cell r="K1334" t="str">
            <v>KU</v>
          </cell>
          <cell r="L1334" t="str">
            <v>BIMO01</v>
          </cell>
          <cell r="M1334" t="str">
            <v>Bimo Rukun Tani, UD</v>
          </cell>
          <cell r="N1334" t="str">
            <v>Cindo Agro, CV</v>
          </cell>
          <cell r="O1334" t="str">
            <v>Dsn. Aseman, RT.003/RW.004, Bimorejo, Wongsorejo</v>
          </cell>
          <cell r="P1334" t="str">
            <v>Banyuwangi</v>
          </cell>
          <cell r="Q1334" t="str">
            <v>Dsn. Aseman, RT.003/RW.004, Bimorejo, Wongsorejo</v>
          </cell>
          <cell r="R1334" t="str">
            <v>Banyuwangi</v>
          </cell>
          <cell r="S1334" t="str">
            <v>H Bwi5</v>
          </cell>
          <cell r="T1334" t="str">
            <v>Hafid</v>
          </cell>
          <cell r="U1334">
            <v>30</v>
          </cell>
        </row>
        <row r="1335">
          <cell r="E1335" t="str">
            <v>B25010729</v>
          </cell>
          <cell r="F1335"/>
          <cell r="G1335">
            <v>500000000</v>
          </cell>
          <cell r="H1335" t="str">
            <v>Faris</v>
          </cell>
          <cell r="I1335" t="str">
            <v>Syahra</v>
          </cell>
          <cell r="J1335"/>
          <cell r="K1335" t="str">
            <v>KU</v>
          </cell>
          <cell r="L1335" t="str">
            <v>BIMO01</v>
          </cell>
          <cell r="M1335" t="str">
            <v>Bimo Rukun Tani, UD</v>
          </cell>
          <cell r="N1335" t="str">
            <v>Cindo Agro, CV</v>
          </cell>
          <cell r="O1335" t="str">
            <v>Dsn. Aseman, RT.003/RW.004, Bimorejo, Wongsorejo</v>
          </cell>
          <cell r="P1335" t="str">
            <v>Banyuwangi</v>
          </cell>
          <cell r="Q1335" t="str">
            <v>Dsn. Aseman, RT.003/RW.004, Bimorejo, Wongsorejo</v>
          </cell>
          <cell r="R1335" t="str">
            <v>Banyuwangi</v>
          </cell>
          <cell r="S1335" t="str">
            <v>H Bwi5</v>
          </cell>
          <cell r="T1335" t="str">
            <v>Hafid</v>
          </cell>
          <cell r="U1335">
            <v>30</v>
          </cell>
        </row>
        <row r="1336">
          <cell r="E1336" t="str">
            <v>D25012815</v>
          </cell>
          <cell r="F1336"/>
          <cell r="G1336">
            <v>500000000</v>
          </cell>
          <cell r="H1336" t="str">
            <v>Faris</v>
          </cell>
          <cell r="I1336" t="str">
            <v>Syahra</v>
          </cell>
          <cell r="J1336"/>
          <cell r="K1336" t="str">
            <v>KU</v>
          </cell>
          <cell r="L1336" t="str">
            <v>BIMO01</v>
          </cell>
          <cell r="M1336" t="str">
            <v>Bimo Rukun Tani, UD</v>
          </cell>
          <cell r="N1336" t="str">
            <v>Cindo Agro, CV</v>
          </cell>
          <cell r="O1336" t="str">
            <v>Dsn. Aseman, RT.003/RW.004, Bimorejo, Wongsorejo</v>
          </cell>
          <cell r="P1336" t="str">
            <v>Banyuwangi</v>
          </cell>
          <cell r="Q1336" t="str">
            <v>Dsn. Aseman, RT.003/RW.004, Bimorejo, Wongsorejo</v>
          </cell>
          <cell r="R1336" t="str">
            <v>Banyuwangi</v>
          </cell>
          <cell r="S1336" t="str">
            <v>H Bwi5</v>
          </cell>
          <cell r="T1336" t="str">
            <v>Hafid</v>
          </cell>
          <cell r="U1336">
            <v>30</v>
          </cell>
        </row>
        <row r="1337">
          <cell r="E1337" t="str">
            <v>D25012838</v>
          </cell>
          <cell r="F1337"/>
          <cell r="G1337">
            <v>500000000</v>
          </cell>
          <cell r="H1337" t="str">
            <v>Faris</v>
          </cell>
          <cell r="I1337" t="str">
            <v>Syahra</v>
          </cell>
          <cell r="J1337"/>
          <cell r="K1337" t="str">
            <v>KU</v>
          </cell>
          <cell r="L1337" t="str">
            <v>BIMO01</v>
          </cell>
          <cell r="M1337" t="str">
            <v>Bimo Rukun Tani, UD</v>
          </cell>
          <cell r="N1337" t="str">
            <v>Cindo Agro, CV</v>
          </cell>
          <cell r="O1337" t="str">
            <v>Dsn. Aseman, RT.003/RW.004, Bimorejo, Wongsorejo</v>
          </cell>
          <cell r="P1337" t="str">
            <v>Banyuwangi</v>
          </cell>
          <cell r="Q1337" t="str">
            <v>Dsn. Aseman, RT.003/RW.004, Bimorejo, Wongsorejo</v>
          </cell>
          <cell r="R1337" t="str">
            <v>Banyuwangi</v>
          </cell>
          <cell r="S1337" t="str">
            <v>H Bwi5</v>
          </cell>
          <cell r="T1337" t="str">
            <v>Hafid</v>
          </cell>
          <cell r="U1337">
            <v>30</v>
          </cell>
        </row>
        <row r="1338">
          <cell r="E1338" t="str">
            <v>D25012839</v>
          </cell>
          <cell r="F1338"/>
          <cell r="G1338">
            <v>500000000</v>
          </cell>
          <cell r="H1338" t="str">
            <v>Faris</v>
          </cell>
          <cell r="I1338" t="str">
            <v>Syahra</v>
          </cell>
          <cell r="J1338"/>
          <cell r="K1338" t="str">
            <v>KU</v>
          </cell>
          <cell r="L1338" t="str">
            <v>BIMO01</v>
          </cell>
          <cell r="M1338" t="str">
            <v>Bimo Rukun Tani, UD</v>
          </cell>
          <cell r="N1338" t="str">
            <v>Cindo Agro, CV</v>
          </cell>
          <cell r="O1338" t="str">
            <v>Dsn. Aseman, RT.003/RW.004, Bimorejo, Wongsorejo</v>
          </cell>
          <cell r="P1338" t="str">
            <v>Banyuwangi</v>
          </cell>
          <cell r="Q1338" t="str">
            <v>Dsn. Aseman, RT.003/RW.004, Bimorejo, Wongsorejo</v>
          </cell>
          <cell r="R1338" t="str">
            <v>Banyuwangi</v>
          </cell>
          <cell r="S1338" t="str">
            <v>H Bwi5</v>
          </cell>
          <cell r="T1338" t="str">
            <v>Hafid</v>
          </cell>
          <cell r="U1338">
            <v>30</v>
          </cell>
        </row>
        <row r="1339">
          <cell r="E1339" t="str">
            <v>D25012901</v>
          </cell>
          <cell r="F1339"/>
          <cell r="G1339">
            <v>500000000</v>
          </cell>
          <cell r="H1339" t="str">
            <v>Faris</v>
          </cell>
          <cell r="I1339" t="str">
            <v>Syahra</v>
          </cell>
          <cell r="J1339"/>
          <cell r="K1339" t="str">
            <v>KU</v>
          </cell>
          <cell r="L1339" t="str">
            <v>BIMO01</v>
          </cell>
          <cell r="M1339" t="str">
            <v>Bimo Rukun Tani, UD</v>
          </cell>
          <cell r="N1339" t="str">
            <v>Cindo Agro, CV</v>
          </cell>
          <cell r="O1339" t="str">
            <v>Dsn. Aseman, RT.003/RW.004, Bimorejo, Wongsorejo</v>
          </cell>
          <cell r="P1339" t="str">
            <v>Banyuwangi</v>
          </cell>
          <cell r="Q1339" t="str">
            <v>Dsn. Aseman, RT.003/RW.004, Bimorejo, Wongsorejo</v>
          </cell>
          <cell r="R1339" t="str">
            <v>Banyuwangi</v>
          </cell>
          <cell r="S1339" t="str">
            <v>H Bwi5</v>
          </cell>
          <cell r="T1339" t="str">
            <v>Hafid</v>
          </cell>
          <cell r="U1339">
            <v>30</v>
          </cell>
        </row>
        <row r="1340">
          <cell r="E1340" t="str">
            <v>D25013032</v>
          </cell>
          <cell r="F1340"/>
          <cell r="G1340">
            <v>500000000</v>
          </cell>
          <cell r="H1340" t="str">
            <v>Faris</v>
          </cell>
          <cell r="I1340" t="str">
            <v>Syahra</v>
          </cell>
          <cell r="J1340"/>
          <cell r="K1340" t="str">
            <v>KU</v>
          </cell>
          <cell r="L1340" t="str">
            <v>BIMO01</v>
          </cell>
          <cell r="M1340" t="str">
            <v>Bimo Rukun Tani, UD</v>
          </cell>
          <cell r="N1340" t="str">
            <v>Cindo Agro, CV</v>
          </cell>
          <cell r="O1340" t="str">
            <v>Dsn. Aseman, RT.003/RW.004, Bimorejo, Wongsorejo</v>
          </cell>
          <cell r="P1340" t="str">
            <v>Banyuwangi</v>
          </cell>
          <cell r="Q1340" t="str">
            <v>Dsn. Aseman, RT.003/RW.004, Bimorejo, Wongsorejo</v>
          </cell>
          <cell r="R1340" t="str">
            <v>Banyuwangi</v>
          </cell>
          <cell r="S1340" t="str">
            <v>H Bwi5</v>
          </cell>
          <cell r="T1340" t="str">
            <v>Hafid</v>
          </cell>
          <cell r="U1340">
            <v>60</v>
          </cell>
        </row>
        <row r="1341">
          <cell r="E1341" t="str">
            <v>T25001311</v>
          </cell>
          <cell r="F1341"/>
          <cell r="G1341">
            <v>500000000</v>
          </cell>
          <cell r="H1341" t="str">
            <v>Faris</v>
          </cell>
          <cell r="I1341" t="str">
            <v>Syahra</v>
          </cell>
          <cell r="J1341"/>
          <cell r="K1341" t="str">
            <v>KU</v>
          </cell>
          <cell r="L1341" t="str">
            <v>BIMO01</v>
          </cell>
          <cell r="M1341" t="str">
            <v>Bimo Rukun Tani, UD</v>
          </cell>
          <cell r="N1341" t="str">
            <v>Cindo Agro, CV</v>
          </cell>
          <cell r="O1341" t="str">
            <v>Dsn. Aseman, RT.003/RW.004, Bimorejo, Wongsorejo</v>
          </cell>
          <cell r="P1341" t="str">
            <v>Banyuwangi</v>
          </cell>
          <cell r="Q1341" t="str">
            <v>Dsn. Aseman, RT.003/RW.004, Bimorejo, Wongsorejo</v>
          </cell>
          <cell r="R1341" t="str">
            <v>Banyuwangi</v>
          </cell>
          <cell r="S1341" t="str">
            <v>H Bwi5</v>
          </cell>
          <cell r="T1341" t="str">
            <v>Hafid</v>
          </cell>
          <cell r="U1341">
            <v>60</v>
          </cell>
        </row>
        <row r="1342">
          <cell r="E1342" t="str">
            <v>B25011934</v>
          </cell>
          <cell r="F1342"/>
          <cell r="G1342">
            <v>500000000</v>
          </cell>
          <cell r="H1342" t="str">
            <v>Faris</v>
          </cell>
          <cell r="I1342" t="str">
            <v>Syahra</v>
          </cell>
          <cell r="J1342"/>
          <cell r="K1342" t="str">
            <v>KU</v>
          </cell>
          <cell r="L1342" t="str">
            <v>BIMO01</v>
          </cell>
          <cell r="M1342" t="str">
            <v>Bimo Rukun Tani, UD</v>
          </cell>
          <cell r="N1342" t="str">
            <v>Cindo Agro, CV</v>
          </cell>
          <cell r="O1342" t="str">
            <v>Dsn. Aseman, RT.003/RW.004, Bimorejo, Wongsorejo</v>
          </cell>
          <cell r="P1342" t="str">
            <v>Banyuwangi</v>
          </cell>
          <cell r="Q1342" t="str">
            <v>Dsn. Aseman, RT.003/RW.004, Bimorejo, Wongsorejo</v>
          </cell>
          <cell r="R1342" t="str">
            <v>Banyuwangi</v>
          </cell>
          <cell r="S1342" t="str">
            <v>H Bwi5</v>
          </cell>
          <cell r="T1342" t="str">
            <v>Hafid</v>
          </cell>
          <cell r="U1342">
            <v>30</v>
          </cell>
        </row>
        <row r="1343">
          <cell r="E1343" t="str">
            <v>B25011935</v>
          </cell>
          <cell r="F1343"/>
          <cell r="G1343">
            <v>500000000</v>
          </cell>
          <cell r="H1343" t="str">
            <v>Faris</v>
          </cell>
          <cell r="I1343" t="str">
            <v>Syahra</v>
          </cell>
          <cell r="J1343"/>
          <cell r="K1343" t="str">
            <v>KU</v>
          </cell>
          <cell r="L1343" t="str">
            <v>BIMO01</v>
          </cell>
          <cell r="M1343" t="str">
            <v>Bimo Rukun Tani, UD</v>
          </cell>
          <cell r="N1343" t="str">
            <v>Cindo Agro, CV</v>
          </cell>
          <cell r="O1343" t="str">
            <v>Dsn. Aseman, RT.003/RW.004, Bimorejo, Wongsorejo</v>
          </cell>
          <cell r="P1343" t="str">
            <v>Banyuwangi</v>
          </cell>
          <cell r="Q1343" t="str">
            <v>Dsn. Aseman, RT.003/RW.004, Bimorejo, Wongsorejo</v>
          </cell>
          <cell r="R1343" t="str">
            <v>Banyuwangi</v>
          </cell>
          <cell r="S1343" t="str">
            <v>H Bwi5</v>
          </cell>
          <cell r="T1343" t="str">
            <v>Hafid</v>
          </cell>
          <cell r="U1343">
            <v>30</v>
          </cell>
        </row>
        <row r="1344">
          <cell r="E1344" t="str">
            <v>B25012524</v>
          </cell>
          <cell r="F1344"/>
          <cell r="G1344">
            <v>500000000</v>
          </cell>
          <cell r="H1344" t="str">
            <v>Faris</v>
          </cell>
          <cell r="I1344" t="str">
            <v>Syahra</v>
          </cell>
          <cell r="J1344"/>
          <cell r="K1344" t="str">
            <v>KU</v>
          </cell>
          <cell r="L1344" t="str">
            <v>BIMO01</v>
          </cell>
          <cell r="M1344" t="str">
            <v>Bimo Rukun Tani, UD</v>
          </cell>
          <cell r="N1344" t="str">
            <v>Cindo Agro, CV</v>
          </cell>
          <cell r="O1344" t="str">
            <v>Dsn. Aseman, RT.003/RW.004, Bimorejo, Wongsorejo</v>
          </cell>
          <cell r="P1344" t="str">
            <v>Banyuwangi</v>
          </cell>
          <cell r="Q1344" t="str">
            <v>Dsn. Aseman, RT.003/RW.004, Bimorejo, Wongsorejo</v>
          </cell>
          <cell r="R1344" t="str">
            <v>Banyuwangi</v>
          </cell>
          <cell r="S1344" t="str">
            <v>H Bwi5</v>
          </cell>
          <cell r="T1344" t="str">
            <v>Hafid</v>
          </cell>
          <cell r="U1344">
            <v>30</v>
          </cell>
        </row>
        <row r="1345">
          <cell r="E1345" t="str">
            <v>D25014828</v>
          </cell>
          <cell r="F1345"/>
          <cell r="G1345">
            <v>500000000</v>
          </cell>
          <cell r="H1345" t="str">
            <v>Faris</v>
          </cell>
          <cell r="I1345" t="str">
            <v>Syahra</v>
          </cell>
          <cell r="J1345"/>
          <cell r="K1345" t="str">
            <v>KU</v>
          </cell>
          <cell r="L1345" t="str">
            <v>BIMO01</v>
          </cell>
          <cell r="M1345" t="str">
            <v>Bimo Rukun Tani, UD</v>
          </cell>
          <cell r="N1345" t="str">
            <v>Cindo Agro, CV</v>
          </cell>
          <cell r="O1345" t="str">
            <v>Dsn. Aseman, RT.003/RW.004, Bimorejo, Wongsorejo</v>
          </cell>
          <cell r="P1345" t="str">
            <v>Banyuwangi</v>
          </cell>
          <cell r="Q1345" t="str">
            <v>Dsn. Aseman, RT.003/RW.004, Bimorejo, Wongsorejo</v>
          </cell>
          <cell r="R1345" t="str">
            <v>Banyuwangi</v>
          </cell>
          <cell r="S1345" t="str">
            <v>H Bwi5</v>
          </cell>
          <cell r="T1345" t="str">
            <v>Hafid</v>
          </cell>
          <cell r="U1345">
            <v>60</v>
          </cell>
        </row>
        <row r="1346">
          <cell r="E1346" t="str">
            <v>B25013715</v>
          </cell>
          <cell r="F1346"/>
          <cell r="G1346">
            <v>500000000</v>
          </cell>
          <cell r="H1346" t="str">
            <v>Faris</v>
          </cell>
          <cell r="I1346" t="str">
            <v>Syahra</v>
          </cell>
          <cell r="J1346"/>
          <cell r="K1346" t="str">
            <v>KU</v>
          </cell>
          <cell r="L1346" t="str">
            <v>BIMO01</v>
          </cell>
          <cell r="M1346" t="str">
            <v>Bimo Rukun Tani, UD</v>
          </cell>
          <cell r="N1346" t="str">
            <v>Cindo Agro, CV</v>
          </cell>
          <cell r="O1346" t="str">
            <v>Dsn. Aseman, RT.003/RW.004, Bimorejo, Wongsorejo</v>
          </cell>
          <cell r="P1346" t="str">
            <v>Banyuwangi</v>
          </cell>
          <cell r="Q1346" t="str">
            <v>Dsn. Aseman, RT.003/RW.004, Bimorejo, Wongsorejo</v>
          </cell>
          <cell r="R1346" t="str">
            <v>Banyuwangi</v>
          </cell>
          <cell r="S1346" t="str">
            <v>H Bwi5</v>
          </cell>
          <cell r="T1346" t="str">
            <v>Hafid</v>
          </cell>
          <cell r="U1346">
            <v>30</v>
          </cell>
        </row>
        <row r="1347">
          <cell r="E1347" t="str">
            <v>B25013722</v>
          </cell>
          <cell r="F1347"/>
          <cell r="G1347">
            <v>500000000</v>
          </cell>
          <cell r="H1347" t="str">
            <v>Faris</v>
          </cell>
          <cell r="I1347" t="str">
            <v>Syahra</v>
          </cell>
          <cell r="J1347"/>
          <cell r="K1347" t="str">
            <v>KU</v>
          </cell>
          <cell r="L1347" t="str">
            <v>BIMO01</v>
          </cell>
          <cell r="M1347" t="str">
            <v>Bimo Rukun Tani, UD</v>
          </cell>
          <cell r="N1347" t="str">
            <v>Cindo Agro, CV</v>
          </cell>
          <cell r="O1347" t="str">
            <v>Dsn. Aseman, RT.003/RW.004, Bimorejo, Wongsorejo</v>
          </cell>
          <cell r="P1347" t="str">
            <v>Banyuwangi</v>
          </cell>
          <cell r="Q1347" t="str">
            <v>Dsn. Aseman, RT.003/RW.004, Bimorejo, Wongsorejo</v>
          </cell>
          <cell r="R1347" t="str">
            <v>Banyuwangi</v>
          </cell>
          <cell r="S1347" t="str">
            <v>H Bwi5</v>
          </cell>
          <cell r="T1347" t="str">
            <v>Hafid</v>
          </cell>
          <cell r="U1347">
            <v>0</v>
          </cell>
        </row>
        <row r="1348">
          <cell r="E1348" t="str">
            <v>B25014024</v>
          </cell>
          <cell r="F1348"/>
          <cell r="G1348">
            <v>500000000</v>
          </cell>
          <cell r="H1348" t="str">
            <v>Faris</v>
          </cell>
          <cell r="I1348" t="str">
            <v>Syahra</v>
          </cell>
          <cell r="J1348"/>
          <cell r="K1348" t="str">
            <v>KU</v>
          </cell>
          <cell r="L1348" t="str">
            <v>BIMO01</v>
          </cell>
          <cell r="M1348" t="str">
            <v>Bimo Rukun Tani, UD</v>
          </cell>
          <cell r="N1348" t="str">
            <v>Cindo Agro, CV</v>
          </cell>
          <cell r="O1348" t="str">
            <v>Dsn. Aseman, RT.003/RW.004, Bimorejo, Wongsorejo</v>
          </cell>
          <cell r="P1348" t="str">
            <v>Banyuwangi</v>
          </cell>
          <cell r="Q1348" t="str">
            <v>Dsn. Aseman, RT.003/RW.004, Bimorejo, Wongsorejo</v>
          </cell>
          <cell r="R1348" t="str">
            <v>Banyuwangi</v>
          </cell>
          <cell r="S1348" t="str">
            <v>H Bwi5</v>
          </cell>
          <cell r="T1348" t="str">
            <v>Hafid</v>
          </cell>
          <cell r="U1348">
            <v>0</v>
          </cell>
        </row>
        <row r="1349">
          <cell r="E1349" t="str">
            <v>B25014025</v>
          </cell>
          <cell r="F1349"/>
          <cell r="G1349">
            <v>500000000</v>
          </cell>
          <cell r="H1349" t="str">
            <v>Faris</v>
          </cell>
          <cell r="I1349" t="str">
            <v>Syahra</v>
          </cell>
          <cell r="J1349"/>
          <cell r="K1349" t="str">
            <v>KU</v>
          </cell>
          <cell r="L1349" t="str">
            <v>BIMO01</v>
          </cell>
          <cell r="M1349" t="str">
            <v>Bimo Rukun Tani, UD</v>
          </cell>
          <cell r="N1349" t="str">
            <v>Cindo Agro, CV</v>
          </cell>
          <cell r="O1349" t="str">
            <v>Dsn. Aseman, RT.003/RW.004, Bimorejo, Wongsorejo</v>
          </cell>
          <cell r="P1349" t="str">
            <v>Banyuwangi</v>
          </cell>
          <cell r="Q1349" t="str">
            <v>Dsn. Aseman, RT.003/RW.004, Bimorejo, Wongsorejo</v>
          </cell>
          <cell r="R1349" t="str">
            <v>Banyuwangi</v>
          </cell>
          <cell r="S1349" t="str">
            <v>H Bwi5</v>
          </cell>
          <cell r="T1349" t="str">
            <v>Hafid</v>
          </cell>
          <cell r="U1349">
            <v>30</v>
          </cell>
        </row>
        <row r="1350">
          <cell r="E1350" t="str">
            <v>D25010705</v>
          </cell>
          <cell r="F1350"/>
          <cell r="G1350">
            <v>35000000</v>
          </cell>
          <cell r="H1350" t="str">
            <v>Yuyun</v>
          </cell>
          <cell r="I1350" t="str">
            <v>Farida</v>
          </cell>
          <cell r="J1350"/>
          <cell r="K1350" t="str">
            <v>KU</v>
          </cell>
          <cell r="L1350" t="str">
            <v>BINA11</v>
          </cell>
          <cell r="M1350" t="str">
            <v>Bina Mandiri, UD/Nurul</v>
          </cell>
          <cell r="N1350" t="str">
            <v>Imam Ghozali</v>
          </cell>
          <cell r="O1350" t="str">
            <v>Dsn. Kepel, RT.004/RW.023, Kel. Ampel, Kec. Wuluhan</v>
          </cell>
          <cell r="P1350" t="str">
            <v>Jember</v>
          </cell>
          <cell r="Q1350" t="str">
            <v>Dsn. Kepel, RT.004/RW.023, Ds. Ampel, Kec. Wuluhan Kab. Jember</v>
          </cell>
          <cell r="R1350" t="str">
            <v>Jember</v>
          </cell>
          <cell r="S1350" t="str">
            <v>L Kota2</v>
          </cell>
          <cell r="T1350" t="str">
            <v>Efendi</v>
          </cell>
          <cell r="U1350">
            <v>60</v>
          </cell>
        </row>
        <row r="1351">
          <cell r="E1351" t="str">
            <v>D25012371</v>
          </cell>
          <cell r="F1351"/>
          <cell r="G1351">
            <v>35000000</v>
          </cell>
          <cell r="H1351" t="str">
            <v>Yuyun</v>
          </cell>
          <cell r="I1351" t="str">
            <v>Farida</v>
          </cell>
          <cell r="J1351"/>
          <cell r="K1351" t="str">
            <v>KU</v>
          </cell>
          <cell r="L1351" t="str">
            <v>BINA11</v>
          </cell>
          <cell r="M1351" t="str">
            <v>Bina Mandiri, UD/Nurul</v>
          </cell>
          <cell r="N1351" t="str">
            <v>Imam Ghozali</v>
          </cell>
          <cell r="O1351" t="str">
            <v>Dsn. Kepel, RT.004/RW.023, Kel. Ampel, Kec. Wuluhan</v>
          </cell>
          <cell r="P1351" t="str">
            <v>Jember</v>
          </cell>
          <cell r="Q1351" t="str">
            <v>Dsn. Kepel, RT.004/RW.023, Ds. Ampel, Kec. Wuluhan Kab. Jember</v>
          </cell>
          <cell r="R1351" t="str">
            <v>Jember</v>
          </cell>
          <cell r="S1351" t="str">
            <v>L Kota2</v>
          </cell>
          <cell r="T1351" t="str">
            <v>Efendi</v>
          </cell>
          <cell r="U1351">
            <v>30</v>
          </cell>
        </row>
        <row r="1352">
          <cell r="E1352" t="str">
            <v>D25012432</v>
          </cell>
          <cell r="F1352"/>
          <cell r="G1352">
            <v>35000000</v>
          </cell>
          <cell r="H1352" t="str">
            <v>Yuyun</v>
          </cell>
          <cell r="I1352" t="str">
            <v>Farida</v>
          </cell>
          <cell r="J1352"/>
          <cell r="K1352" t="str">
            <v>KU</v>
          </cell>
          <cell r="L1352" t="str">
            <v>BINA11</v>
          </cell>
          <cell r="M1352" t="str">
            <v>Bina Mandiri, UD/Nurul</v>
          </cell>
          <cell r="N1352" t="str">
            <v>Imam Ghozali</v>
          </cell>
          <cell r="O1352" t="str">
            <v>Dsn. Kepel, RT.004/RW.023, Kel. Ampel, Kec. Wuluhan</v>
          </cell>
          <cell r="P1352" t="str">
            <v>Jember</v>
          </cell>
          <cell r="Q1352" t="str">
            <v>Dsn. Kepel, RT.004/RW.023, Ds. Ampel, Kec. Wuluhan Kab. Jember</v>
          </cell>
          <cell r="R1352" t="str">
            <v>Jember</v>
          </cell>
          <cell r="S1352" t="str">
            <v>L Kota2</v>
          </cell>
          <cell r="T1352" t="str">
            <v>Efendi</v>
          </cell>
          <cell r="U1352">
            <v>30</v>
          </cell>
        </row>
        <row r="1353">
          <cell r="E1353" t="str">
            <v>D25012733</v>
          </cell>
          <cell r="F1353"/>
          <cell r="G1353">
            <v>35000000</v>
          </cell>
          <cell r="H1353" t="str">
            <v>Yuyun</v>
          </cell>
          <cell r="I1353" t="str">
            <v>Farida</v>
          </cell>
          <cell r="J1353"/>
          <cell r="K1353" t="str">
            <v>KU</v>
          </cell>
          <cell r="L1353" t="str">
            <v>BINA11</v>
          </cell>
          <cell r="M1353" t="str">
            <v>Bina Mandiri, UD/Nurul</v>
          </cell>
          <cell r="N1353" t="str">
            <v>Imam Ghozali</v>
          </cell>
          <cell r="O1353" t="str">
            <v>Dsn. Kepel, RT.004/RW.023, Kel. Ampel, Kec. Wuluhan</v>
          </cell>
          <cell r="P1353" t="str">
            <v>Jember</v>
          </cell>
          <cell r="Q1353" t="str">
            <v>Dsn. Kepel, RT.004/RW.023, Ds. Ampel, Kec. Wuluhan Kab. Jember</v>
          </cell>
          <cell r="R1353" t="str">
            <v>Jember</v>
          </cell>
          <cell r="S1353" t="str">
            <v>L Kota2</v>
          </cell>
          <cell r="T1353" t="str">
            <v>Efendi</v>
          </cell>
          <cell r="U1353">
            <v>30</v>
          </cell>
        </row>
        <row r="1354">
          <cell r="E1354" t="str">
            <v>D25013226</v>
          </cell>
          <cell r="F1354"/>
          <cell r="G1354">
            <v>35000000</v>
          </cell>
          <cell r="H1354" t="str">
            <v>Yuyun</v>
          </cell>
          <cell r="I1354" t="str">
            <v>Farida</v>
          </cell>
          <cell r="J1354"/>
          <cell r="K1354" t="str">
            <v>KU</v>
          </cell>
          <cell r="L1354" t="str">
            <v>BINA11</v>
          </cell>
          <cell r="M1354" t="str">
            <v>Bina Mandiri, UD/Nurul</v>
          </cell>
          <cell r="N1354" t="str">
            <v>Imam Ghozali</v>
          </cell>
          <cell r="O1354" t="str">
            <v>Dsn. Kepel, RT.004/RW.023, Kel. Ampel, Kec. Wuluhan</v>
          </cell>
          <cell r="P1354" t="str">
            <v>Jember</v>
          </cell>
          <cell r="Q1354" t="str">
            <v>Dsn. Kepel, RT.004/RW.023, Ds. Ampel, Kec. Wuluhan Kab. Jember</v>
          </cell>
          <cell r="R1354" t="str">
            <v>Jember</v>
          </cell>
          <cell r="S1354" t="str">
            <v>L Kota2</v>
          </cell>
          <cell r="T1354" t="str">
            <v>Efendi</v>
          </cell>
          <cell r="U1354">
            <v>30</v>
          </cell>
        </row>
        <row r="1355">
          <cell r="E1355" t="str">
            <v>B25011119</v>
          </cell>
          <cell r="F1355"/>
          <cell r="G1355">
            <v>35000000</v>
          </cell>
          <cell r="H1355" t="str">
            <v>Yuyun</v>
          </cell>
          <cell r="I1355" t="str">
            <v>Farida</v>
          </cell>
          <cell r="J1355"/>
          <cell r="K1355" t="str">
            <v>KU</v>
          </cell>
          <cell r="L1355" t="str">
            <v>BINA11</v>
          </cell>
          <cell r="M1355" t="str">
            <v>Bina Mandiri, UD/Nurul</v>
          </cell>
          <cell r="N1355" t="str">
            <v>Imam Ghozali</v>
          </cell>
          <cell r="O1355" t="str">
            <v>Dsn. Kepel, RT.004/RW.023, Kel. Ampel, Kec. Wuluhan</v>
          </cell>
          <cell r="P1355" t="str">
            <v>Jember</v>
          </cell>
          <cell r="Q1355" t="str">
            <v>Dsn. Kepel, RT.004/RW.023, Ds. Ampel, Kec. Wuluhan Kab. Jember</v>
          </cell>
          <cell r="R1355" t="str">
            <v>Jember</v>
          </cell>
          <cell r="S1355" t="str">
            <v>L Kota2</v>
          </cell>
          <cell r="T1355" t="str">
            <v>Efendi</v>
          </cell>
          <cell r="U1355">
            <v>30</v>
          </cell>
        </row>
        <row r="1356">
          <cell r="E1356" t="str">
            <v>D25013581</v>
          </cell>
          <cell r="F1356"/>
          <cell r="G1356">
            <v>35000000</v>
          </cell>
          <cell r="H1356" t="str">
            <v>Yuyun</v>
          </cell>
          <cell r="I1356" t="str">
            <v>Farida</v>
          </cell>
          <cell r="J1356"/>
          <cell r="K1356" t="str">
            <v>KU</v>
          </cell>
          <cell r="L1356" t="str">
            <v>BINA11</v>
          </cell>
          <cell r="M1356" t="str">
            <v>Bina Mandiri, UD/Nurul</v>
          </cell>
          <cell r="N1356" t="str">
            <v>Imam Ghozali</v>
          </cell>
          <cell r="O1356" t="str">
            <v>Dsn. Kepel, RT.004/RW.023, Kel. Ampel, Kec. Wuluhan</v>
          </cell>
          <cell r="P1356" t="str">
            <v>Jember</v>
          </cell>
          <cell r="Q1356" t="str">
            <v>Dsn. Kepel, RT.004/RW.023, Ds. Ampel, Kec. Wuluhan Kab. Jember</v>
          </cell>
          <cell r="R1356" t="str">
            <v>Jember</v>
          </cell>
          <cell r="S1356" t="str">
            <v>L Kota2</v>
          </cell>
          <cell r="T1356" t="str">
            <v>Efendi</v>
          </cell>
          <cell r="U1356">
            <v>30</v>
          </cell>
        </row>
        <row r="1357">
          <cell r="E1357" t="str">
            <v>D25013646</v>
          </cell>
          <cell r="F1357"/>
          <cell r="G1357">
            <v>35000000</v>
          </cell>
          <cell r="H1357" t="str">
            <v>Yuyun</v>
          </cell>
          <cell r="I1357" t="str">
            <v>Farida</v>
          </cell>
          <cell r="J1357"/>
          <cell r="K1357" t="str">
            <v>KU</v>
          </cell>
          <cell r="L1357" t="str">
            <v>BINA11</v>
          </cell>
          <cell r="M1357" t="str">
            <v>Bina Mandiri, UD/Nurul</v>
          </cell>
          <cell r="N1357" t="str">
            <v>Imam Ghozali</v>
          </cell>
          <cell r="O1357" t="str">
            <v>Dsn. Kepel, RT.004/RW.023, Kel. Ampel, Kec. Wuluhan</v>
          </cell>
          <cell r="P1357" t="str">
            <v>Jember</v>
          </cell>
          <cell r="Q1357" t="str">
            <v>Dsn. Kepel, RT.004/RW.023, Ds. Ampel, Kec. Wuluhan Kab. Jember</v>
          </cell>
          <cell r="R1357" t="str">
            <v>Jember</v>
          </cell>
          <cell r="S1357" t="str">
            <v>L Kota2</v>
          </cell>
          <cell r="T1357" t="str">
            <v>Efendi</v>
          </cell>
          <cell r="U1357">
            <v>30</v>
          </cell>
        </row>
        <row r="1358">
          <cell r="E1358" t="str">
            <v>D25013646</v>
          </cell>
          <cell r="F1358"/>
          <cell r="G1358">
            <v>35000000</v>
          </cell>
          <cell r="H1358" t="str">
            <v>Yuyun</v>
          </cell>
          <cell r="I1358" t="str">
            <v>Farida</v>
          </cell>
          <cell r="J1358"/>
          <cell r="K1358" t="str">
            <v>KU</v>
          </cell>
          <cell r="L1358" t="str">
            <v>BINA11</v>
          </cell>
          <cell r="M1358" t="str">
            <v>Bina Mandiri, UD/Nurul</v>
          </cell>
          <cell r="N1358" t="str">
            <v>Imam Ghozali</v>
          </cell>
          <cell r="O1358" t="str">
            <v>Dsn. Kepel, RT.004/RW.023, Kel. Ampel, Kec. Wuluhan</v>
          </cell>
          <cell r="P1358" t="str">
            <v>Jember</v>
          </cell>
          <cell r="Q1358" t="str">
            <v>Dsn. Kepel, RT.004/RW.023, Ds. Ampel, Kec. Wuluhan Kab. Jember</v>
          </cell>
          <cell r="R1358" t="str">
            <v>Jember</v>
          </cell>
          <cell r="S1358" t="str">
            <v>L Kota2</v>
          </cell>
          <cell r="T1358" t="str">
            <v>Efendi</v>
          </cell>
          <cell r="U1358">
            <v>30</v>
          </cell>
        </row>
        <row r="1359">
          <cell r="E1359" t="str">
            <v>D25013646</v>
          </cell>
          <cell r="F1359"/>
          <cell r="G1359">
            <v>35000000</v>
          </cell>
          <cell r="H1359" t="str">
            <v>Yuyun</v>
          </cell>
          <cell r="I1359" t="str">
            <v>Farida</v>
          </cell>
          <cell r="J1359"/>
          <cell r="K1359" t="str">
            <v>KU</v>
          </cell>
          <cell r="L1359" t="str">
            <v>BINA11</v>
          </cell>
          <cell r="M1359" t="str">
            <v>Bina Mandiri, UD/Nurul</v>
          </cell>
          <cell r="N1359" t="str">
            <v>Imam Ghozali</v>
          </cell>
          <cell r="O1359" t="str">
            <v>Dsn. Kepel, RT.004/RW.023, Kel. Ampel, Kec. Wuluhan</v>
          </cell>
          <cell r="P1359" t="str">
            <v>Jember</v>
          </cell>
          <cell r="Q1359" t="str">
            <v>Dsn. Kepel, RT.004/RW.023, Ds. Ampel, Kec. Wuluhan Kab. Jember</v>
          </cell>
          <cell r="R1359" t="str">
            <v>Jember</v>
          </cell>
          <cell r="S1359" t="str">
            <v>L Kota2</v>
          </cell>
          <cell r="T1359" t="str">
            <v>Efendi</v>
          </cell>
          <cell r="U1359">
            <v>30</v>
          </cell>
        </row>
        <row r="1360">
          <cell r="E1360" t="str">
            <v>D25014011</v>
          </cell>
          <cell r="F1360"/>
          <cell r="G1360">
            <v>35000000</v>
          </cell>
          <cell r="H1360" t="str">
            <v>Yuyun</v>
          </cell>
          <cell r="I1360" t="str">
            <v>Farida</v>
          </cell>
          <cell r="J1360"/>
          <cell r="K1360" t="str">
            <v>KU</v>
          </cell>
          <cell r="L1360" t="str">
            <v>BINA11</v>
          </cell>
          <cell r="M1360" t="str">
            <v>Bina Mandiri, UD/Nurul</v>
          </cell>
          <cell r="N1360" t="str">
            <v>Imam Ghozali</v>
          </cell>
          <cell r="O1360" t="str">
            <v>Dsn. Kepel, RT.004/RW.023, Kel. Ampel, Kec. Wuluhan</v>
          </cell>
          <cell r="P1360" t="str">
            <v>Jember</v>
          </cell>
          <cell r="Q1360" t="str">
            <v>Dsn. Kepel, RT.004/RW.023, Ds. Ampel, Kec. Wuluhan Kab. Jember</v>
          </cell>
          <cell r="R1360" t="str">
            <v>Jember</v>
          </cell>
          <cell r="S1360" t="str">
            <v>L Kota2</v>
          </cell>
          <cell r="T1360" t="str">
            <v>Efendi</v>
          </cell>
          <cell r="U1360">
            <v>30</v>
          </cell>
        </row>
        <row r="1361">
          <cell r="E1361" t="str">
            <v>D25014021</v>
          </cell>
          <cell r="F1361"/>
          <cell r="G1361">
            <v>35000000</v>
          </cell>
          <cell r="H1361" t="str">
            <v>Yuyun</v>
          </cell>
          <cell r="I1361" t="str">
            <v>Farida</v>
          </cell>
          <cell r="J1361"/>
          <cell r="K1361" t="str">
            <v>KU</v>
          </cell>
          <cell r="L1361" t="str">
            <v>BINA11</v>
          </cell>
          <cell r="M1361" t="str">
            <v>Bina Mandiri, UD/Nurul</v>
          </cell>
          <cell r="N1361" t="str">
            <v>Imam Ghozali</v>
          </cell>
          <cell r="O1361" t="str">
            <v>Dsn. Kepel, RT.004/RW.023, Kel. Ampel, Kec. Wuluhan</v>
          </cell>
          <cell r="P1361" t="str">
            <v>Jember</v>
          </cell>
          <cell r="Q1361" t="str">
            <v>Dsn. Kepel, RT.004/RW.023, Ds. Ampel, Kec. Wuluhan Kab. Jember</v>
          </cell>
          <cell r="R1361" t="str">
            <v>Jember</v>
          </cell>
          <cell r="S1361" t="str">
            <v>L Kota2</v>
          </cell>
          <cell r="T1361" t="str">
            <v>Efendi</v>
          </cell>
          <cell r="U1361">
            <v>30</v>
          </cell>
        </row>
        <row r="1362">
          <cell r="E1362" t="str">
            <v>D25014022</v>
          </cell>
          <cell r="F1362"/>
          <cell r="G1362">
            <v>35000000</v>
          </cell>
          <cell r="H1362" t="str">
            <v>Yuyun</v>
          </cell>
          <cell r="I1362" t="str">
            <v>Farida</v>
          </cell>
          <cell r="J1362"/>
          <cell r="K1362" t="str">
            <v>KU</v>
          </cell>
          <cell r="L1362" t="str">
            <v>BINA11</v>
          </cell>
          <cell r="M1362" t="str">
            <v>Bina Mandiri, UD/Nurul</v>
          </cell>
          <cell r="N1362" t="str">
            <v>Imam Ghozali</v>
          </cell>
          <cell r="O1362" t="str">
            <v>Dsn. Kepel, RT.004/RW.023, Kel. Ampel, Kec. Wuluhan</v>
          </cell>
          <cell r="P1362" t="str">
            <v>Jember</v>
          </cell>
          <cell r="Q1362" t="str">
            <v>Dsn. Kepel, RT.004/RW.023, Ds. Ampel, Kec. Wuluhan Kab. Jember</v>
          </cell>
          <cell r="R1362" t="str">
            <v>Jember</v>
          </cell>
          <cell r="S1362" t="str">
            <v>L Kota2</v>
          </cell>
          <cell r="T1362" t="str">
            <v>Efendi</v>
          </cell>
          <cell r="U1362">
            <v>30</v>
          </cell>
        </row>
        <row r="1363">
          <cell r="E1363" t="str">
            <v>D25014280</v>
          </cell>
          <cell r="F1363"/>
          <cell r="G1363">
            <v>35000000</v>
          </cell>
          <cell r="H1363" t="str">
            <v>Yuyun</v>
          </cell>
          <cell r="I1363" t="str">
            <v>Farida</v>
          </cell>
          <cell r="J1363"/>
          <cell r="K1363" t="str">
            <v>KU</v>
          </cell>
          <cell r="L1363" t="str">
            <v>BINA11</v>
          </cell>
          <cell r="M1363" t="str">
            <v>Bina Mandiri, UD/Nurul</v>
          </cell>
          <cell r="N1363" t="str">
            <v>Imam Ghozali</v>
          </cell>
          <cell r="O1363" t="str">
            <v>Dsn. Kepel, RT.004/RW.023, Kel. Ampel, Kec. Wuluhan</v>
          </cell>
          <cell r="P1363" t="str">
            <v>Jember</v>
          </cell>
          <cell r="Q1363" t="str">
            <v>Dsn. Kepel, RT.004/RW.023, Ds. Ampel, Kec. Wuluhan Kab. Jember</v>
          </cell>
          <cell r="R1363" t="str">
            <v>Jember</v>
          </cell>
          <cell r="S1363" t="str">
            <v>L Kota2</v>
          </cell>
          <cell r="T1363" t="str">
            <v>Efendi</v>
          </cell>
          <cell r="U1363">
            <v>30</v>
          </cell>
        </row>
        <row r="1364">
          <cell r="E1364" t="str">
            <v>D25014717</v>
          </cell>
          <cell r="F1364"/>
          <cell r="G1364">
            <v>35000000</v>
          </cell>
          <cell r="H1364" t="str">
            <v>Yuyun</v>
          </cell>
          <cell r="I1364" t="str">
            <v>Farida</v>
          </cell>
          <cell r="J1364"/>
          <cell r="K1364" t="str">
            <v>KU</v>
          </cell>
          <cell r="L1364" t="str">
            <v>BINA11</v>
          </cell>
          <cell r="M1364" t="str">
            <v>Bina Mandiri, UD/Nurul</v>
          </cell>
          <cell r="N1364" t="str">
            <v>Imam Ghozali</v>
          </cell>
          <cell r="O1364" t="str">
            <v>Dsn. Kepel, RT.004/RW.023, Kel. Ampel, Kec. Wuluhan</v>
          </cell>
          <cell r="P1364" t="str">
            <v>Jember</v>
          </cell>
          <cell r="Q1364" t="str">
            <v>Dsn. Kepel, RT.004/RW.023, Ds. Ampel, Kec. Wuluhan Kab. Jember</v>
          </cell>
          <cell r="R1364" t="str">
            <v>Jember</v>
          </cell>
          <cell r="S1364" t="str">
            <v>L Kota2</v>
          </cell>
          <cell r="T1364" t="str">
            <v>Efendi</v>
          </cell>
          <cell r="U1364">
            <v>30</v>
          </cell>
        </row>
        <row r="1365">
          <cell r="E1365" t="str">
            <v>B25012922</v>
          </cell>
          <cell r="F1365"/>
          <cell r="G1365">
            <v>35000000</v>
          </cell>
          <cell r="H1365" t="str">
            <v>Yuyun</v>
          </cell>
          <cell r="I1365" t="str">
            <v>Farida</v>
          </cell>
          <cell r="J1365"/>
          <cell r="K1365" t="str">
            <v>KU</v>
          </cell>
          <cell r="L1365" t="str">
            <v>BINA11</v>
          </cell>
          <cell r="M1365" t="str">
            <v>Bina Mandiri, UD/Nurul</v>
          </cell>
          <cell r="N1365" t="str">
            <v>Imam Ghozali</v>
          </cell>
          <cell r="O1365" t="str">
            <v>Dsn. Kepel, RT.004/RW.023, Kel. Ampel, Kec. Wuluhan</v>
          </cell>
          <cell r="P1365" t="str">
            <v>Jember</v>
          </cell>
          <cell r="Q1365" t="str">
            <v>Dsn. Kepel, RT.004/RW.023, Ds. Ampel, Kec. Wuluhan Kab. Jember</v>
          </cell>
          <cell r="R1365" t="str">
            <v>Jember</v>
          </cell>
          <cell r="S1365" t="str">
            <v>L Kota2</v>
          </cell>
          <cell r="T1365" t="str">
            <v>Efendi</v>
          </cell>
          <cell r="U1365">
            <v>60</v>
          </cell>
        </row>
        <row r="1366">
          <cell r="E1366" t="str">
            <v>D25015265</v>
          </cell>
          <cell r="F1366"/>
          <cell r="G1366">
            <v>35000000</v>
          </cell>
          <cell r="H1366" t="str">
            <v>Yuyun</v>
          </cell>
          <cell r="I1366" t="str">
            <v>Farida</v>
          </cell>
          <cell r="J1366"/>
          <cell r="K1366" t="str">
            <v>KU</v>
          </cell>
          <cell r="L1366" t="str">
            <v>BINA11</v>
          </cell>
          <cell r="M1366" t="str">
            <v>Bina Mandiri, UD/Nurul</v>
          </cell>
          <cell r="N1366" t="str">
            <v>Imam Ghozali</v>
          </cell>
          <cell r="O1366" t="str">
            <v>Dsn. Kepel, RT.004/RW.023, Kel. Ampel, Kec. Wuluhan</v>
          </cell>
          <cell r="P1366" t="str">
            <v>Jember</v>
          </cell>
          <cell r="Q1366" t="str">
            <v>Dsn. Kepel, RT.004/RW.023, Ds. Ampel, Kec. Wuluhan Kab. Jember</v>
          </cell>
          <cell r="R1366" t="str">
            <v>Jember</v>
          </cell>
          <cell r="S1366" t="str">
            <v>L Kota2</v>
          </cell>
          <cell r="T1366" t="str">
            <v>Efendi</v>
          </cell>
          <cell r="U1366">
            <v>30</v>
          </cell>
        </row>
        <row r="1367">
          <cell r="E1367" t="str">
            <v>D25015639</v>
          </cell>
          <cell r="F1367"/>
          <cell r="G1367">
            <v>35000000</v>
          </cell>
          <cell r="H1367" t="str">
            <v>Yuyun</v>
          </cell>
          <cell r="I1367" t="str">
            <v>Farida</v>
          </cell>
          <cell r="J1367"/>
          <cell r="K1367" t="str">
            <v>KU</v>
          </cell>
          <cell r="L1367" t="str">
            <v>BINA11</v>
          </cell>
          <cell r="M1367" t="str">
            <v>Bina Mandiri, UD/Nurul</v>
          </cell>
          <cell r="N1367" t="str">
            <v>Imam Ghozali</v>
          </cell>
          <cell r="O1367" t="str">
            <v>Dsn. Kepel, RT.004/RW.023, Kel. Ampel, Kec. Wuluhan</v>
          </cell>
          <cell r="P1367" t="str">
            <v>Jember</v>
          </cell>
          <cell r="Q1367" t="str">
            <v>Dsn. Kepel, RT.004/RW.023, Ds. Ampel, Kec. Wuluhan Kab. Jember</v>
          </cell>
          <cell r="R1367" t="str">
            <v>Jember</v>
          </cell>
          <cell r="S1367" t="str">
            <v>L Kota2</v>
          </cell>
          <cell r="T1367" t="str">
            <v>Efendi</v>
          </cell>
          <cell r="U1367">
            <v>30</v>
          </cell>
        </row>
        <row r="1368">
          <cell r="E1368" t="str">
            <v>D25011283</v>
          </cell>
          <cell r="F1368"/>
          <cell r="G1368">
            <v>1500000000</v>
          </cell>
          <cell r="H1368" t="str">
            <v>Zakia</v>
          </cell>
          <cell r="I1368" t="str">
            <v>Tiya</v>
          </cell>
          <cell r="J1368"/>
          <cell r="K1368" t="str">
            <v>KU</v>
          </cell>
          <cell r="L1368" t="str">
            <v>BINA02</v>
          </cell>
          <cell r="M1368" t="str">
            <v>Bina Tani Mandiri, UD</v>
          </cell>
          <cell r="N1368" t="str">
            <v>I Nyoman Bina</v>
          </cell>
          <cell r="O1368" t="str">
            <v>Dsn. Sekardadi, Kel.Sekardadi, Kec. Kintamani</v>
          </cell>
          <cell r="P1368" t="str">
            <v>Bangli - Bali</v>
          </cell>
          <cell r="Q1368" t="str">
            <v>Br. Sekardadi, Kintamani, Bangli</v>
          </cell>
          <cell r="R1368" t="str">
            <v>Bali</v>
          </cell>
          <cell r="S1368" t="str">
            <v>S Bali1</v>
          </cell>
          <cell r="T1368" t="str">
            <v>Wira</v>
          </cell>
          <cell r="U1368">
            <v>60</v>
          </cell>
        </row>
        <row r="1369">
          <cell r="E1369" t="str">
            <v>D25011284</v>
          </cell>
          <cell r="F1369"/>
          <cell r="G1369">
            <v>1500000000</v>
          </cell>
          <cell r="H1369" t="str">
            <v>Zakia</v>
          </cell>
          <cell r="I1369" t="str">
            <v>Tiya</v>
          </cell>
          <cell r="J1369"/>
          <cell r="K1369" t="str">
            <v>KU</v>
          </cell>
          <cell r="L1369" t="str">
            <v>BINA02</v>
          </cell>
          <cell r="M1369" t="str">
            <v>Bina Tani Mandiri, UD</v>
          </cell>
          <cell r="N1369" t="str">
            <v>I Nyoman Bina</v>
          </cell>
          <cell r="O1369" t="str">
            <v>Dsn. Sekardadi, Kel.Sekardadi, Kec. Kintamani</v>
          </cell>
          <cell r="P1369" t="str">
            <v>Bangli - Bali</v>
          </cell>
          <cell r="Q1369" t="str">
            <v>Br. Sekardadi, Kintamani, Bangli</v>
          </cell>
          <cell r="R1369" t="str">
            <v>Bali</v>
          </cell>
          <cell r="S1369" t="str">
            <v>S Bali1</v>
          </cell>
          <cell r="T1369" t="str">
            <v>Wira</v>
          </cell>
          <cell r="U1369">
            <v>60</v>
          </cell>
        </row>
        <row r="1370">
          <cell r="E1370" t="str">
            <v>D25011284</v>
          </cell>
          <cell r="F1370"/>
          <cell r="G1370">
            <v>1500000000</v>
          </cell>
          <cell r="H1370" t="str">
            <v>Zakia</v>
          </cell>
          <cell r="I1370" t="str">
            <v>Tiya</v>
          </cell>
          <cell r="J1370"/>
          <cell r="K1370" t="str">
            <v>KU</v>
          </cell>
          <cell r="L1370" t="str">
            <v>BINA02</v>
          </cell>
          <cell r="M1370" t="str">
            <v>Bina Tani Mandiri, UD</v>
          </cell>
          <cell r="N1370" t="str">
            <v>I Nyoman Bina</v>
          </cell>
          <cell r="O1370" t="str">
            <v>Dsn. Sekardadi, Kel.Sekardadi, Kec. Kintamani</v>
          </cell>
          <cell r="P1370" t="str">
            <v>Bangli - Bali</v>
          </cell>
          <cell r="Q1370" t="str">
            <v>Br. Sekardadi, Kintamani, Bangli</v>
          </cell>
          <cell r="R1370" t="str">
            <v>Bali</v>
          </cell>
          <cell r="S1370" t="str">
            <v>S Bali1</v>
          </cell>
          <cell r="T1370" t="str">
            <v>Wira</v>
          </cell>
          <cell r="U1370">
            <v>60</v>
          </cell>
        </row>
        <row r="1371">
          <cell r="E1371" t="str">
            <v>D25011548</v>
          </cell>
          <cell r="F1371"/>
          <cell r="G1371">
            <v>1500000000</v>
          </cell>
          <cell r="H1371" t="str">
            <v>Zakia</v>
          </cell>
          <cell r="I1371" t="str">
            <v>Tiya</v>
          </cell>
          <cell r="J1371"/>
          <cell r="K1371" t="str">
            <v>KU</v>
          </cell>
          <cell r="L1371" t="str">
            <v>BINA02</v>
          </cell>
          <cell r="M1371" t="str">
            <v>Bina Tani Mandiri, UD</v>
          </cell>
          <cell r="N1371" t="str">
            <v>I Nyoman Bina</v>
          </cell>
          <cell r="O1371" t="str">
            <v>Dsn. Sekardadi, Kel.Sekardadi, Kec. Kintamani</v>
          </cell>
          <cell r="P1371" t="str">
            <v>Bangli - Bali</v>
          </cell>
          <cell r="Q1371" t="str">
            <v>Br. Sekardadi, Kintamani, Bangli</v>
          </cell>
          <cell r="R1371" t="str">
            <v>Bali</v>
          </cell>
          <cell r="S1371" t="str">
            <v>S Bali1</v>
          </cell>
          <cell r="T1371" t="str">
            <v>Wira</v>
          </cell>
          <cell r="U1371">
            <v>60</v>
          </cell>
        </row>
        <row r="1372">
          <cell r="E1372" t="str">
            <v>D25011548</v>
          </cell>
          <cell r="F1372"/>
          <cell r="G1372">
            <v>1500000000</v>
          </cell>
          <cell r="H1372" t="str">
            <v>Zakia</v>
          </cell>
          <cell r="I1372" t="str">
            <v>Tiya</v>
          </cell>
          <cell r="J1372"/>
          <cell r="K1372" t="str">
            <v>KU</v>
          </cell>
          <cell r="L1372" t="str">
            <v>BINA02</v>
          </cell>
          <cell r="M1372" t="str">
            <v>Bina Tani Mandiri, UD</v>
          </cell>
          <cell r="N1372" t="str">
            <v>I Nyoman Bina</v>
          </cell>
          <cell r="O1372" t="str">
            <v>Dsn. Sekardadi, Kel.Sekardadi, Kec. Kintamani</v>
          </cell>
          <cell r="P1372" t="str">
            <v>Bangli - Bali</v>
          </cell>
          <cell r="Q1372" t="str">
            <v>Br. Sekardadi, Kintamani, Bangli</v>
          </cell>
          <cell r="R1372" t="str">
            <v>Bali</v>
          </cell>
          <cell r="S1372" t="str">
            <v>S Bali1</v>
          </cell>
          <cell r="T1372" t="str">
            <v>Wira</v>
          </cell>
          <cell r="U1372">
            <v>60</v>
          </cell>
        </row>
        <row r="1373">
          <cell r="E1373" t="str">
            <v>D25011548</v>
          </cell>
          <cell r="F1373"/>
          <cell r="G1373">
            <v>1500000000</v>
          </cell>
          <cell r="H1373" t="str">
            <v>Zakia</v>
          </cell>
          <cell r="I1373" t="str">
            <v>Tiya</v>
          </cell>
          <cell r="J1373"/>
          <cell r="K1373" t="str">
            <v>KU</v>
          </cell>
          <cell r="L1373" t="str">
            <v>BINA02</v>
          </cell>
          <cell r="M1373" t="str">
            <v>Bina Tani Mandiri, UD</v>
          </cell>
          <cell r="N1373" t="str">
            <v>I Nyoman Bina</v>
          </cell>
          <cell r="O1373" t="str">
            <v>Dsn. Sekardadi, Kel.Sekardadi, Kec. Kintamani</v>
          </cell>
          <cell r="P1373" t="str">
            <v>Bangli - Bali</v>
          </cell>
          <cell r="Q1373" t="str">
            <v>Br. Sekardadi, Kintamani, Bangli</v>
          </cell>
          <cell r="R1373" t="str">
            <v>Bali</v>
          </cell>
          <cell r="S1373" t="str">
            <v>S Bali1</v>
          </cell>
          <cell r="T1373" t="str">
            <v>Wira</v>
          </cell>
          <cell r="U1373">
            <v>60</v>
          </cell>
        </row>
        <row r="1374">
          <cell r="E1374" t="str">
            <v>B25010924</v>
          </cell>
          <cell r="F1374"/>
          <cell r="G1374">
            <v>1500000000</v>
          </cell>
          <cell r="H1374" t="str">
            <v>Zakia</v>
          </cell>
          <cell r="I1374" t="str">
            <v>Tiya</v>
          </cell>
          <cell r="J1374"/>
          <cell r="K1374" t="str">
            <v>KU</v>
          </cell>
          <cell r="L1374" t="str">
            <v>BINA02</v>
          </cell>
          <cell r="M1374" t="str">
            <v>Bina Tani Mandiri, UD</v>
          </cell>
          <cell r="N1374" t="str">
            <v>I Nyoman Bina</v>
          </cell>
          <cell r="O1374" t="str">
            <v>Dsn. Sekardadi, Kel.Sekardadi, Kec. Kintamani</v>
          </cell>
          <cell r="P1374" t="str">
            <v>Bangli - Bali</v>
          </cell>
          <cell r="Q1374" t="str">
            <v>Br. Sekardadi, Kintamani, Bangli</v>
          </cell>
          <cell r="R1374" t="str">
            <v>Bali</v>
          </cell>
          <cell r="S1374" t="str">
            <v>S Bali1</v>
          </cell>
          <cell r="T1374" t="str">
            <v>Wira</v>
          </cell>
          <cell r="U1374">
            <v>30</v>
          </cell>
        </row>
        <row r="1375">
          <cell r="E1375" t="str">
            <v>B25010936</v>
          </cell>
          <cell r="F1375"/>
          <cell r="G1375">
            <v>1500000000</v>
          </cell>
          <cell r="H1375" t="str">
            <v>Zakia</v>
          </cell>
          <cell r="I1375" t="str">
            <v>Tiya</v>
          </cell>
          <cell r="J1375"/>
          <cell r="K1375" t="str">
            <v>KU</v>
          </cell>
          <cell r="L1375" t="str">
            <v>BINA02</v>
          </cell>
          <cell r="M1375" t="str">
            <v>Bina Tani Mandiri, UD</v>
          </cell>
          <cell r="N1375" t="str">
            <v>I Nyoman Bina</v>
          </cell>
          <cell r="O1375" t="str">
            <v>Dsn. Sekardadi, Kel.Sekardadi, Kec. Kintamani</v>
          </cell>
          <cell r="P1375" t="str">
            <v>Bangli - Bali</v>
          </cell>
          <cell r="Q1375" t="str">
            <v>Br. Sekardadi, Kintamani, Bangli</v>
          </cell>
          <cell r="R1375" t="str">
            <v>Bali</v>
          </cell>
          <cell r="S1375" t="str">
            <v>S Bali1</v>
          </cell>
          <cell r="T1375" t="str">
            <v>Wira</v>
          </cell>
          <cell r="U1375">
            <v>30</v>
          </cell>
        </row>
        <row r="1376">
          <cell r="E1376" t="str">
            <v>D25013120</v>
          </cell>
          <cell r="F1376"/>
          <cell r="G1376">
            <v>1500000000</v>
          </cell>
          <cell r="H1376" t="str">
            <v>Zakia</v>
          </cell>
          <cell r="I1376" t="str">
            <v>Tiya</v>
          </cell>
          <cell r="J1376"/>
          <cell r="K1376" t="str">
            <v>KU</v>
          </cell>
          <cell r="L1376" t="str">
            <v>BINA02</v>
          </cell>
          <cell r="M1376" t="str">
            <v>Bina Tani Mandiri, UD</v>
          </cell>
          <cell r="N1376" t="str">
            <v>I Nyoman Bina</v>
          </cell>
          <cell r="O1376" t="str">
            <v>Dsn. Sekardadi, Kel.Sekardadi, Kec. Kintamani</v>
          </cell>
          <cell r="P1376" t="str">
            <v>Bangli - Bali</v>
          </cell>
          <cell r="Q1376" t="str">
            <v>Br. Sekardadi, Kintamani, Bangli</v>
          </cell>
          <cell r="R1376" t="str">
            <v>Bali</v>
          </cell>
          <cell r="S1376" t="str">
            <v>S Bali1</v>
          </cell>
          <cell r="T1376" t="str">
            <v>Wira</v>
          </cell>
          <cell r="U1376">
            <v>30</v>
          </cell>
        </row>
        <row r="1377">
          <cell r="E1377" t="str">
            <v>B25011561</v>
          </cell>
          <cell r="F1377"/>
          <cell r="G1377">
            <v>1500000000</v>
          </cell>
          <cell r="H1377" t="str">
            <v>Zakia</v>
          </cell>
          <cell r="I1377" t="str">
            <v>Tiya</v>
          </cell>
          <cell r="J1377"/>
          <cell r="K1377" t="str">
            <v>KU</v>
          </cell>
          <cell r="L1377" t="str">
            <v>BINA02</v>
          </cell>
          <cell r="M1377" t="str">
            <v>Bina Tani Mandiri, UD</v>
          </cell>
          <cell r="N1377" t="str">
            <v>I Nyoman Bina</v>
          </cell>
          <cell r="O1377" t="str">
            <v>Dsn. Sekardadi, Kel.Sekardadi, Kec. Kintamani</v>
          </cell>
          <cell r="P1377" t="str">
            <v>Bangli - Bali</v>
          </cell>
          <cell r="Q1377" t="str">
            <v>Br. Sekardadi, Kintamani, Bangli</v>
          </cell>
          <cell r="R1377" t="str">
            <v>Bali</v>
          </cell>
          <cell r="S1377" t="str">
            <v>S Bali1</v>
          </cell>
          <cell r="T1377" t="str">
            <v>Wira</v>
          </cell>
          <cell r="U1377">
            <v>60</v>
          </cell>
        </row>
        <row r="1378">
          <cell r="E1378" t="str">
            <v>B25012163</v>
          </cell>
          <cell r="F1378"/>
          <cell r="G1378">
            <v>1500000000</v>
          </cell>
          <cell r="H1378" t="str">
            <v>Zakia</v>
          </cell>
          <cell r="I1378" t="str">
            <v>Tiya</v>
          </cell>
          <cell r="J1378"/>
          <cell r="K1378" t="str">
            <v>KU</v>
          </cell>
          <cell r="L1378" t="str">
            <v>BINA02</v>
          </cell>
          <cell r="M1378" t="str">
            <v>Bina Tani Mandiri, UD</v>
          </cell>
          <cell r="N1378" t="str">
            <v>I Nyoman Bina</v>
          </cell>
          <cell r="O1378" t="str">
            <v>Dsn. Sekardadi, Kel.Sekardadi, Kec. Kintamani</v>
          </cell>
          <cell r="P1378" t="str">
            <v>Bangli - Bali</v>
          </cell>
          <cell r="Q1378" t="str">
            <v>Br. Sekardadi, Kintamani, Bangli</v>
          </cell>
          <cell r="R1378" t="str">
            <v>Bali</v>
          </cell>
          <cell r="S1378" t="str">
            <v>S Bali1</v>
          </cell>
          <cell r="T1378" t="str">
            <v>Wira</v>
          </cell>
          <cell r="U1378">
            <v>60</v>
          </cell>
        </row>
        <row r="1379">
          <cell r="E1379" t="str">
            <v>Z25002414</v>
          </cell>
          <cell r="F1379"/>
          <cell r="G1379">
            <v>1500000000</v>
          </cell>
          <cell r="H1379" t="str">
            <v>Zakia</v>
          </cell>
          <cell r="I1379" t="str">
            <v>Tiya</v>
          </cell>
          <cell r="J1379"/>
          <cell r="K1379" t="str">
            <v>KU</v>
          </cell>
          <cell r="L1379" t="str">
            <v>BINA02</v>
          </cell>
          <cell r="M1379" t="str">
            <v>Bina Tani Mandiri, UD</v>
          </cell>
          <cell r="N1379" t="str">
            <v>I Nyoman Bina</v>
          </cell>
          <cell r="O1379" t="str">
            <v>Dsn. Sekardadi, Kel.Sekardadi, Kec. Kintamani</v>
          </cell>
          <cell r="P1379" t="str">
            <v>Bangli - Bali</v>
          </cell>
          <cell r="Q1379" t="str">
            <v>Br. Sekardadi, Kintamani, Bangli</v>
          </cell>
          <cell r="R1379" t="str">
            <v>Bali</v>
          </cell>
          <cell r="S1379" t="str">
            <v>S Bali1</v>
          </cell>
          <cell r="T1379" t="str">
            <v>Wira</v>
          </cell>
          <cell r="U1379">
            <v>30</v>
          </cell>
        </row>
        <row r="1380">
          <cell r="E1380" t="str">
            <v>D25014495</v>
          </cell>
          <cell r="F1380"/>
          <cell r="G1380">
            <v>1500000000</v>
          </cell>
          <cell r="H1380" t="str">
            <v>Zakia</v>
          </cell>
          <cell r="I1380" t="str">
            <v>Tiya</v>
          </cell>
          <cell r="J1380"/>
          <cell r="K1380" t="str">
            <v>KU</v>
          </cell>
          <cell r="L1380" t="str">
            <v>BINA02</v>
          </cell>
          <cell r="M1380" t="str">
            <v>Bina Tani Mandiri, UD</v>
          </cell>
          <cell r="N1380" t="str">
            <v>I Nyoman Bina</v>
          </cell>
          <cell r="O1380" t="str">
            <v>Dsn. Sekardadi, Kel.Sekardadi, Kec. Kintamani</v>
          </cell>
          <cell r="P1380" t="str">
            <v>Bangli - Bali</v>
          </cell>
          <cell r="Q1380" t="str">
            <v>Br. Sekardadi, Kintamani, Bangli</v>
          </cell>
          <cell r="R1380" t="str">
            <v>Bali</v>
          </cell>
          <cell r="S1380" t="str">
            <v>S Bali1</v>
          </cell>
          <cell r="T1380" t="str">
            <v>Wira</v>
          </cell>
          <cell r="U1380">
            <v>30</v>
          </cell>
        </row>
        <row r="1381">
          <cell r="E1381" t="str">
            <v>D25014786</v>
          </cell>
          <cell r="F1381"/>
          <cell r="G1381">
            <v>1500000000</v>
          </cell>
          <cell r="H1381" t="str">
            <v>Zakia</v>
          </cell>
          <cell r="I1381" t="str">
            <v>Tiya</v>
          </cell>
          <cell r="J1381"/>
          <cell r="K1381" t="str">
            <v>KU</v>
          </cell>
          <cell r="L1381" t="str">
            <v>BINA02</v>
          </cell>
          <cell r="M1381" t="str">
            <v>Bina Tani Mandiri, UD</v>
          </cell>
          <cell r="N1381" t="str">
            <v>I Nyoman Bina</v>
          </cell>
          <cell r="O1381" t="str">
            <v>Dsn. Sekardadi, Kel.Sekardadi, Kec. Kintamani</v>
          </cell>
          <cell r="P1381" t="str">
            <v>Bangli - Bali</v>
          </cell>
          <cell r="Q1381" t="str">
            <v>Br. Sekardadi, Kintamani, Bangli</v>
          </cell>
          <cell r="R1381" t="str">
            <v>Bali</v>
          </cell>
          <cell r="S1381" t="str">
            <v>S Bali1</v>
          </cell>
          <cell r="T1381" t="str">
            <v>Wira</v>
          </cell>
          <cell r="U1381">
            <v>30</v>
          </cell>
        </row>
        <row r="1382">
          <cell r="E1382" t="str">
            <v>D25015169</v>
          </cell>
          <cell r="F1382"/>
          <cell r="G1382">
            <v>1500000000</v>
          </cell>
          <cell r="H1382" t="str">
            <v>Zakia</v>
          </cell>
          <cell r="I1382" t="str">
            <v>Tiya</v>
          </cell>
          <cell r="J1382"/>
          <cell r="K1382" t="str">
            <v>KU</v>
          </cell>
          <cell r="L1382" t="str">
            <v>BINA02</v>
          </cell>
          <cell r="M1382" t="str">
            <v>Bina Tani Mandiri, UD</v>
          </cell>
          <cell r="N1382" t="str">
            <v>I Nyoman Bina</v>
          </cell>
          <cell r="O1382" t="str">
            <v>Dsn. Sekardadi, Kel.Sekardadi, Kec. Kintamani</v>
          </cell>
          <cell r="P1382" t="str">
            <v>Bangli - Bali</v>
          </cell>
          <cell r="Q1382" t="str">
            <v>Br. Sekardadi, Kintamani, Bangli</v>
          </cell>
          <cell r="R1382" t="str">
            <v>Bali</v>
          </cell>
          <cell r="S1382" t="str">
            <v>S Bali1</v>
          </cell>
          <cell r="T1382" t="str">
            <v>Wira</v>
          </cell>
          <cell r="U1382">
            <v>30</v>
          </cell>
        </row>
        <row r="1383">
          <cell r="E1383" t="str">
            <v>D25015581</v>
          </cell>
          <cell r="F1383"/>
          <cell r="G1383">
            <v>1500000000</v>
          </cell>
          <cell r="H1383" t="str">
            <v>Zakia</v>
          </cell>
          <cell r="I1383" t="str">
            <v>Tiya</v>
          </cell>
          <cell r="J1383"/>
          <cell r="K1383" t="str">
            <v>KU</v>
          </cell>
          <cell r="L1383" t="str">
            <v>BINA02</v>
          </cell>
          <cell r="M1383" t="str">
            <v>Bina Tani Mandiri, UD</v>
          </cell>
          <cell r="N1383" t="str">
            <v>I Nyoman Bina</v>
          </cell>
          <cell r="O1383" t="str">
            <v>Dsn. Sekardadi, Kel.Sekardadi, Kec. Kintamani</v>
          </cell>
          <cell r="P1383" t="str">
            <v>Bangli - Bali</v>
          </cell>
          <cell r="Q1383" t="str">
            <v>Br. Sekardadi, Kintamani, Bangli</v>
          </cell>
          <cell r="R1383" t="str">
            <v>Bali</v>
          </cell>
          <cell r="S1383" t="str">
            <v>S Bali1</v>
          </cell>
          <cell r="T1383" t="str">
            <v>Wira</v>
          </cell>
          <cell r="U1383">
            <v>30</v>
          </cell>
        </row>
        <row r="1384">
          <cell r="E1384" t="str">
            <v>D25015276</v>
          </cell>
          <cell r="F1384"/>
          <cell r="G1384">
            <v>1000</v>
          </cell>
          <cell r="H1384" t="str">
            <v>Reni</v>
          </cell>
          <cell r="I1384" t="str">
            <v>Farida</v>
          </cell>
          <cell r="J1384"/>
          <cell r="K1384" t="str">
            <v>KU</v>
          </cell>
          <cell r="L1384" t="str">
            <v>BINT34</v>
          </cell>
          <cell r="M1384" t="str">
            <v>Bintang Berkah Barokah, CV</v>
          </cell>
          <cell r="N1384" t="str">
            <v>Bintang Berkah Barokah, CV</v>
          </cell>
          <cell r="O1384" t="str">
            <v>Komplek Ruko No. 1 Dusun Pekingan, Sumbersono, Dlanggu</v>
          </cell>
          <cell r="P1384" t="str">
            <v>Mojokerto</v>
          </cell>
          <cell r="Q1384" t="str">
            <v>Komplek Ruko No. 1 Dusun Pekingan, Sumbersono, Dlanggu</v>
          </cell>
          <cell r="R1384" t="str">
            <v>Mojokerto</v>
          </cell>
          <cell r="S1384" t="str">
            <v>D Barat1</v>
          </cell>
          <cell r="T1384" t="str">
            <v>Tomi</v>
          </cell>
          <cell r="U1384">
            <v>0</v>
          </cell>
        </row>
        <row r="1385">
          <cell r="E1385" t="str">
            <v>D25015382</v>
          </cell>
          <cell r="F1385"/>
          <cell r="G1385">
            <v>1000</v>
          </cell>
          <cell r="H1385" t="str">
            <v>Reni</v>
          </cell>
          <cell r="I1385" t="str">
            <v>Farida</v>
          </cell>
          <cell r="J1385"/>
          <cell r="K1385" t="str">
            <v>KU</v>
          </cell>
          <cell r="L1385" t="str">
            <v>BINT34</v>
          </cell>
          <cell r="M1385" t="str">
            <v>Bintang Berkah Barokah, CV</v>
          </cell>
          <cell r="N1385" t="str">
            <v>Bintang Berkah Barokah, CV</v>
          </cell>
          <cell r="O1385" t="str">
            <v>Komplek Ruko No. 1 Dusun Pekingan, Sumbersono, Dlanggu</v>
          </cell>
          <cell r="P1385" t="str">
            <v>Mojokerto</v>
          </cell>
          <cell r="Q1385" t="str">
            <v>Komplek Ruko No. 1 Dusun Pekingan, Sumbersono, Dlanggu</v>
          </cell>
          <cell r="R1385" t="str">
            <v>Mojokerto</v>
          </cell>
          <cell r="S1385" t="str">
            <v>D Barat1</v>
          </cell>
          <cell r="T1385" t="str">
            <v>Tomi</v>
          </cell>
          <cell r="U1385">
            <v>0</v>
          </cell>
        </row>
        <row r="1386">
          <cell r="E1386" t="str">
            <v>B25013789</v>
          </cell>
          <cell r="F1386"/>
          <cell r="G1386">
            <v>1000</v>
          </cell>
          <cell r="H1386" t="str">
            <v>Reni</v>
          </cell>
          <cell r="I1386" t="str">
            <v>Farida</v>
          </cell>
          <cell r="J1386"/>
          <cell r="K1386" t="str">
            <v>KU</v>
          </cell>
          <cell r="L1386" t="str">
            <v>BINT34</v>
          </cell>
          <cell r="M1386" t="str">
            <v>Bintang Berkah Barokah, CV</v>
          </cell>
          <cell r="N1386" t="str">
            <v>Bintang Berkah Barokah, CV</v>
          </cell>
          <cell r="O1386" t="str">
            <v>Komplek Ruko No. 1 Dusun Pekingan, Sumbersono, Dlanggu</v>
          </cell>
          <cell r="P1386" t="str">
            <v>Mojokerto</v>
          </cell>
          <cell r="Q1386" t="str">
            <v>Komplek Ruko No. 1 Dusun Pekingan, Sumbersono, Dlanggu</v>
          </cell>
          <cell r="R1386" t="str">
            <v>Mojokerto</v>
          </cell>
          <cell r="S1386" t="str">
            <v>D Barat1</v>
          </cell>
          <cell r="T1386" t="str">
            <v>Tomi</v>
          </cell>
          <cell r="U1386">
            <v>0</v>
          </cell>
        </row>
        <row r="1387">
          <cell r="E1387" t="str">
            <v>B25011218</v>
          </cell>
          <cell r="F1387"/>
          <cell r="G1387">
            <v>5000000</v>
          </cell>
          <cell r="H1387" t="str">
            <v>Yuyun</v>
          </cell>
          <cell r="I1387" t="str">
            <v>Farida</v>
          </cell>
          <cell r="J1387" t="str">
            <v>New 24/04/21</v>
          </cell>
          <cell r="K1387" t="str">
            <v>Tunai</v>
          </cell>
          <cell r="L1387" t="str">
            <v>BINT30</v>
          </cell>
          <cell r="M1387" t="str">
            <v>Bintang Berlian/Hairun</v>
          </cell>
          <cell r="N1387" t="str">
            <v>Hairun Niam</v>
          </cell>
          <cell r="O1387" t="str">
            <v>Dusun Krajan RT.001/RW.002, Kaliwining, Rambipuji</v>
          </cell>
          <cell r="P1387" t="str">
            <v>Jember</v>
          </cell>
          <cell r="Q1387" t="str">
            <v>Dusun Krajan RT.001/RW.002, Kaliwining, Rambipuji</v>
          </cell>
          <cell r="R1387" t="str">
            <v>Jember</v>
          </cell>
          <cell r="S1387" t="str">
            <v>L Kota3</v>
          </cell>
          <cell r="T1387" t="str">
            <v>Efendi</v>
          </cell>
          <cell r="U1387">
            <v>30</v>
          </cell>
        </row>
        <row r="1388">
          <cell r="E1388" t="str">
            <v>D25016068</v>
          </cell>
          <cell r="F1388"/>
          <cell r="G1388">
            <v>5000000</v>
          </cell>
          <cell r="H1388" t="str">
            <v>Yuyun</v>
          </cell>
          <cell r="I1388" t="str">
            <v>Farida</v>
          </cell>
          <cell r="J1388" t="str">
            <v>New 24/04/21</v>
          </cell>
          <cell r="K1388" t="str">
            <v>Tunai</v>
          </cell>
          <cell r="L1388" t="str">
            <v>BINT30</v>
          </cell>
          <cell r="M1388" t="str">
            <v>Bintang Berlian/Hairun</v>
          </cell>
          <cell r="N1388" t="str">
            <v>Hairun Niam</v>
          </cell>
          <cell r="O1388" t="str">
            <v>Dusun Krajan RT.001/RW.002, Kaliwining, Rambipuji</v>
          </cell>
          <cell r="P1388" t="str">
            <v>Jember</v>
          </cell>
          <cell r="Q1388" t="str">
            <v>Dusun Krajan RT.001/RW.002, Kaliwining, Rambipuji</v>
          </cell>
          <cell r="R1388" t="str">
            <v>Jember</v>
          </cell>
          <cell r="S1388" t="str">
            <v>L Kota3</v>
          </cell>
          <cell r="T1388" t="str">
            <v>Efendi</v>
          </cell>
          <cell r="U1388">
            <v>30</v>
          </cell>
        </row>
        <row r="1389">
          <cell r="E1389" t="str">
            <v>B25008449</v>
          </cell>
          <cell r="F1389"/>
          <cell r="G1389">
            <v>150000000</v>
          </cell>
          <cell r="H1389" t="str">
            <v>Faris</v>
          </cell>
          <cell r="I1389" t="str">
            <v>Syahra</v>
          </cell>
          <cell r="J1389"/>
          <cell r="K1389" t="str">
            <v>KU</v>
          </cell>
          <cell r="L1389" t="str">
            <v>BINT02</v>
          </cell>
          <cell r="M1389" t="str">
            <v>Bintang Harapan</v>
          </cell>
          <cell r="N1389" t="str">
            <v>Mohamad Fadhil</v>
          </cell>
          <cell r="O1389" t="str">
            <v>Dsn. Sasak Bomo, RT.001/RW.001, Mangir, Rogojampi</v>
          </cell>
          <cell r="P1389" t="str">
            <v>Banyuwangi</v>
          </cell>
          <cell r="Q1389" t="str">
            <v>Dsn. Sasak Bomo, RT.001/RW.001, Mangir, Rogojampi</v>
          </cell>
          <cell r="R1389" t="str">
            <v>Banyuwangi</v>
          </cell>
          <cell r="S1389" t="str">
            <v>H Bwi1</v>
          </cell>
          <cell r="T1389" t="str">
            <v>Hafid</v>
          </cell>
          <cell r="U1389">
            <v>60</v>
          </cell>
        </row>
        <row r="1390">
          <cell r="E1390" t="str">
            <v>D25012645</v>
          </cell>
          <cell r="F1390"/>
          <cell r="G1390">
            <v>150000000</v>
          </cell>
          <cell r="H1390" t="str">
            <v>Faris</v>
          </cell>
          <cell r="I1390" t="str">
            <v>Syahra</v>
          </cell>
          <cell r="J1390"/>
          <cell r="K1390" t="str">
            <v>KU</v>
          </cell>
          <cell r="L1390" t="str">
            <v>BINT02</v>
          </cell>
          <cell r="M1390" t="str">
            <v>Bintang Harapan</v>
          </cell>
          <cell r="N1390" t="str">
            <v>Mohamad Fadhil</v>
          </cell>
          <cell r="O1390" t="str">
            <v>Dsn. Sasak Bomo, RT.001/RW.001, Mangir, Rogojampi</v>
          </cell>
          <cell r="P1390" t="str">
            <v>Banyuwangi</v>
          </cell>
          <cell r="Q1390" t="str">
            <v>Dsn. Sasak Bomo, RT.001/RW.001, Mangir, Rogojampi</v>
          </cell>
          <cell r="R1390" t="str">
            <v>Banyuwangi</v>
          </cell>
          <cell r="S1390" t="str">
            <v>H Bwi1</v>
          </cell>
          <cell r="T1390" t="str">
            <v>Hafid</v>
          </cell>
          <cell r="U1390">
            <v>30</v>
          </cell>
        </row>
        <row r="1391">
          <cell r="E1391" t="str">
            <v>D25012718</v>
          </cell>
          <cell r="F1391"/>
          <cell r="G1391">
            <v>150000000</v>
          </cell>
          <cell r="H1391" t="str">
            <v>Faris</v>
          </cell>
          <cell r="I1391" t="str">
            <v>Syahra</v>
          </cell>
          <cell r="J1391"/>
          <cell r="K1391" t="str">
            <v>KU</v>
          </cell>
          <cell r="L1391" t="str">
            <v>BINT02</v>
          </cell>
          <cell r="M1391" t="str">
            <v>Bintang Harapan</v>
          </cell>
          <cell r="N1391" t="str">
            <v>Mohamad Fadhil</v>
          </cell>
          <cell r="O1391" t="str">
            <v>Dsn. Sasak Bomo, RT.001/RW.001, Mangir, Rogojampi</v>
          </cell>
          <cell r="P1391" t="str">
            <v>Banyuwangi</v>
          </cell>
          <cell r="Q1391" t="str">
            <v>Dsn. Sasak Bomo, RT.001/RW.001, Mangir, Rogojampi</v>
          </cell>
          <cell r="R1391" t="str">
            <v>Banyuwangi</v>
          </cell>
          <cell r="S1391" t="str">
            <v>H Bwi1</v>
          </cell>
          <cell r="T1391" t="str">
            <v>Hafid</v>
          </cell>
          <cell r="U1391">
            <v>30</v>
          </cell>
        </row>
        <row r="1392">
          <cell r="E1392" t="str">
            <v>D25013897</v>
          </cell>
          <cell r="F1392"/>
          <cell r="G1392">
            <v>150000000</v>
          </cell>
          <cell r="H1392" t="str">
            <v>Faris</v>
          </cell>
          <cell r="I1392" t="str">
            <v>Syahra</v>
          </cell>
          <cell r="J1392"/>
          <cell r="K1392" t="str">
            <v>KU</v>
          </cell>
          <cell r="L1392" t="str">
            <v>BINT02</v>
          </cell>
          <cell r="M1392" t="str">
            <v>Bintang Harapan</v>
          </cell>
          <cell r="N1392" t="str">
            <v>Mohamad Fadhil</v>
          </cell>
          <cell r="O1392" t="str">
            <v>Dsn. Sasak Bomo, RT.001/RW.001, Mangir, Rogojampi</v>
          </cell>
          <cell r="P1392" t="str">
            <v>Banyuwangi</v>
          </cell>
          <cell r="Q1392" t="str">
            <v>Dsn. Sasak Bomo, RT.001/RW.001, Mangir, Rogojampi</v>
          </cell>
          <cell r="R1392" t="str">
            <v>Banyuwangi</v>
          </cell>
          <cell r="S1392" t="str">
            <v>H Bwi1</v>
          </cell>
          <cell r="T1392" t="str">
            <v>Hafid</v>
          </cell>
          <cell r="U1392">
            <v>30</v>
          </cell>
        </row>
        <row r="1393">
          <cell r="E1393" t="str">
            <v>D25014033</v>
          </cell>
          <cell r="F1393"/>
          <cell r="G1393">
            <v>150000000</v>
          </cell>
          <cell r="H1393" t="str">
            <v>Faris</v>
          </cell>
          <cell r="I1393" t="str">
            <v>Syahra</v>
          </cell>
          <cell r="J1393"/>
          <cell r="K1393" t="str">
            <v>KU</v>
          </cell>
          <cell r="L1393" t="str">
            <v>BINT02</v>
          </cell>
          <cell r="M1393" t="str">
            <v>Bintang Harapan</v>
          </cell>
          <cell r="N1393" t="str">
            <v>Mohamad Fadhil</v>
          </cell>
          <cell r="O1393" t="str">
            <v>Dsn. Sasak Bomo, RT.001/RW.001, Mangir, Rogojampi</v>
          </cell>
          <cell r="P1393" t="str">
            <v>Banyuwangi</v>
          </cell>
          <cell r="Q1393" t="str">
            <v>Dsn. Sasak Bomo, RT.001/RW.001, Mangir, Rogojampi</v>
          </cell>
          <cell r="R1393" t="str">
            <v>Banyuwangi</v>
          </cell>
          <cell r="S1393" t="str">
            <v>H Bwi1</v>
          </cell>
          <cell r="T1393" t="str">
            <v>Hafid</v>
          </cell>
          <cell r="U1393">
            <v>30</v>
          </cell>
        </row>
        <row r="1394">
          <cell r="E1394" t="str">
            <v>D25014034</v>
          </cell>
          <cell r="F1394"/>
          <cell r="G1394">
            <v>150000000</v>
          </cell>
          <cell r="H1394" t="str">
            <v>Faris</v>
          </cell>
          <cell r="I1394" t="str">
            <v>Syahra</v>
          </cell>
          <cell r="J1394"/>
          <cell r="K1394" t="str">
            <v>KU</v>
          </cell>
          <cell r="L1394" t="str">
            <v>BINT02</v>
          </cell>
          <cell r="M1394" t="str">
            <v>Bintang Harapan</v>
          </cell>
          <cell r="N1394" t="str">
            <v>Mohamad Fadhil</v>
          </cell>
          <cell r="O1394" t="str">
            <v>Dsn. Sasak Bomo, RT.001/RW.001, Mangir, Rogojampi</v>
          </cell>
          <cell r="P1394" t="str">
            <v>Banyuwangi</v>
          </cell>
          <cell r="Q1394" t="str">
            <v>Dsn. Sasak Bomo, RT.001/RW.001, Mangir, Rogojampi</v>
          </cell>
          <cell r="R1394" t="str">
            <v>Banyuwangi</v>
          </cell>
          <cell r="S1394" t="str">
            <v>H Bwi1</v>
          </cell>
          <cell r="T1394" t="str">
            <v>Hafid</v>
          </cell>
          <cell r="U1394">
            <v>30</v>
          </cell>
        </row>
        <row r="1395">
          <cell r="E1395" t="str">
            <v>B25012426</v>
          </cell>
          <cell r="F1395"/>
          <cell r="G1395">
            <v>150000000</v>
          </cell>
          <cell r="H1395" t="str">
            <v>Faris</v>
          </cell>
          <cell r="I1395" t="str">
            <v>Syahra</v>
          </cell>
          <cell r="J1395"/>
          <cell r="K1395" t="str">
            <v>KU</v>
          </cell>
          <cell r="L1395" t="str">
            <v>BINT02</v>
          </cell>
          <cell r="M1395" t="str">
            <v>Bintang Harapan</v>
          </cell>
          <cell r="N1395" t="str">
            <v>Mohamad Fadhil</v>
          </cell>
          <cell r="O1395" t="str">
            <v>Dsn. Sasak Bomo, RT.001/RW.001, Mangir, Rogojampi</v>
          </cell>
          <cell r="P1395" t="str">
            <v>Banyuwangi</v>
          </cell>
          <cell r="Q1395" t="str">
            <v>Dsn. Sasak Bomo, RT.001/RW.001, Mangir, Rogojampi</v>
          </cell>
          <cell r="R1395" t="str">
            <v>Banyuwangi</v>
          </cell>
          <cell r="S1395" t="str">
            <v>H Bwi1</v>
          </cell>
          <cell r="T1395" t="str">
            <v>Hafid</v>
          </cell>
          <cell r="U1395">
            <v>30</v>
          </cell>
        </row>
        <row r="1396">
          <cell r="E1396" t="str">
            <v>B25007481</v>
          </cell>
          <cell r="F1396"/>
          <cell r="G1396">
            <v>30000000</v>
          </cell>
          <cell r="H1396" t="str">
            <v>Yuyun</v>
          </cell>
          <cell r="I1396" t="str">
            <v>Farida</v>
          </cell>
          <cell r="J1396"/>
          <cell r="K1396" t="str">
            <v>KU</v>
          </cell>
          <cell r="L1396" t="str">
            <v>BINT05</v>
          </cell>
          <cell r="M1396" t="str">
            <v>Bintang Mulia Tani/Yuda</v>
          </cell>
          <cell r="N1396" t="str">
            <v>Achmad Yuda Adi Pratama</v>
          </cell>
          <cell r="O1396" t="str">
            <v>Jl. Mangun Sarkoro No.67, RT.003/RW.018 Kel. Rambupuji, Kec. Rambipuji</v>
          </cell>
          <cell r="P1396" t="str">
            <v>Jember</v>
          </cell>
          <cell r="Q1396" t="str">
            <v>Gayam, Kaliwining</v>
          </cell>
          <cell r="R1396" t="str">
            <v>Jember</v>
          </cell>
          <cell r="S1396" t="str">
            <v>L Kota2</v>
          </cell>
          <cell r="T1396" t="str">
            <v>Efendi</v>
          </cell>
          <cell r="U1396">
            <v>132</v>
          </cell>
        </row>
        <row r="1397">
          <cell r="E1397" t="str">
            <v>T25001200</v>
          </cell>
          <cell r="F1397"/>
          <cell r="G1397">
            <v>30000000</v>
          </cell>
          <cell r="H1397" t="str">
            <v>Yuyun</v>
          </cell>
          <cell r="I1397" t="str">
            <v>Farida</v>
          </cell>
          <cell r="J1397"/>
          <cell r="K1397" t="str">
            <v>KU</v>
          </cell>
          <cell r="L1397" t="str">
            <v>BINT05</v>
          </cell>
          <cell r="M1397" t="str">
            <v>Bintang Mulia Tani/Yuda</v>
          </cell>
          <cell r="N1397" t="str">
            <v>Achmad Yuda Adi Pratama</v>
          </cell>
          <cell r="O1397" t="str">
            <v>Jl. Mangun Sarkoro No.67, RT.003/RW.018 Kel. Rambupuji, Kec. Rambipuji</v>
          </cell>
          <cell r="P1397" t="str">
            <v>Jember</v>
          </cell>
          <cell r="Q1397" t="str">
            <v>Gayam, Kaliwining</v>
          </cell>
          <cell r="R1397" t="str">
            <v>Jember</v>
          </cell>
          <cell r="S1397" t="str">
            <v>L Kota2</v>
          </cell>
          <cell r="T1397" t="str">
            <v>Efendi</v>
          </cell>
          <cell r="U1397">
            <v>60</v>
          </cell>
        </row>
        <row r="1398">
          <cell r="E1398" t="str">
            <v>T25001218K</v>
          </cell>
          <cell r="F1398"/>
          <cell r="G1398">
            <v>30000000</v>
          </cell>
          <cell r="H1398" t="str">
            <v>Yuyun</v>
          </cell>
          <cell r="I1398" t="str">
            <v>Farida</v>
          </cell>
          <cell r="J1398"/>
          <cell r="K1398" t="str">
            <v>KU</v>
          </cell>
          <cell r="L1398" t="str">
            <v>BINT05</v>
          </cell>
          <cell r="M1398" t="str">
            <v>Bintang Mulia Tani/Yuda</v>
          </cell>
          <cell r="N1398" t="str">
            <v>Achmad Yuda Adi Pratama</v>
          </cell>
          <cell r="O1398" t="str">
            <v>Jl. Mangun Sarkoro No.67, RT.003/RW.018 Kel. Rambupuji, Kec. Rambipuji</v>
          </cell>
          <cell r="P1398" t="str">
            <v>Jember</v>
          </cell>
          <cell r="Q1398" t="str">
            <v>Gayam, Kaliwining</v>
          </cell>
          <cell r="R1398" t="str">
            <v>Jember</v>
          </cell>
          <cell r="S1398" t="str">
            <v>L Kota2</v>
          </cell>
          <cell r="T1398" t="str">
            <v>Efendi</v>
          </cell>
          <cell r="U1398">
            <v>120</v>
          </cell>
        </row>
        <row r="1399">
          <cell r="E1399" t="str">
            <v>B25009827</v>
          </cell>
          <cell r="F1399"/>
          <cell r="G1399">
            <v>30000000</v>
          </cell>
          <cell r="H1399" t="str">
            <v>Yuyun</v>
          </cell>
          <cell r="I1399" t="str">
            <v>Farida</v>
          </cell>
          <cell r="J1399"/>
          <cell r="K1399" t="str">
            <v>KU</v>
          </cell>
          <cell r="L1399" t="str">
            <v>BINT05</v>
          </cell>
          <cell r="M1399" t="str">
            <v>Bintang Mulia Tani/Yuda</v>
          </cell>
          <cell r="N1399" t="str">
            <v>Achmad Yuda Adi Pratama</v>
          </cell>
          <cell r="O1399" t="str">
            <v>Jl. Mangun Sarkoro No.67, RT.003/RW.018 Kel. Rambupuji, Kec. Rambipuji</v>
          </cell>
          <cell r="P1399" t="str">
            <v>Jember</v>
          </cell>
          <cell r="Q1399" t="str">
            <v>Gayam, Kaliwining</v>
          </cell>
          <cell r="R1399" t="str">
            <v>Jember</v>
          </cell>
          <cell r="S1399" t="str">
            <v>L Kota2</v>
          </cell>
          <cell r="T1399" t="str">
            <v>Efendi</v>
          </cell>
          <cell r="U1399">
            <v>60</v>
          </cell>
        </row>
        <row r="1400">
          <cell r="E1400" t="str">
            <v>D25014010</v>
          </cell>
          <cell r="F1400"/>
          <cell r="G1400">
            <v>30000000</v>
          </cell>
          <cell r="H1400" t="str">
            <v>Yuyun</v>
          </cell>
          <cell r="I1400" t="str">
            <v>Farida</v>
          </cell>
          <cell r="J1400"/>
          <cell r="K1400" t="str">
            <v>KU</v>
          </cell>
          <cell r="L1400" t="str">
            <v>BINT05</v>
          </cell>
          <cell r="M1400" t="str">
            <v>Bintang Mulia Tani/Yuda</v>
          </cell>
          <cell r="N1400" t="str">
            <v>Achmad Yuda Adi Pratama</v>
          </cell>
          <cell r="O1400" t="str">
            <v>Jl. Mangun Sarkoro No.67, RT.003/RW.018 Kel. Rambupuji, Kec. Rambipuji</v>
          </cell>
          <cell r="P1400" t="str">
            <v>Jember</v>
          </cell>
          <cell r="Q1400" t="str">
            <v>Gayam, Kaliwining</v>
          </cell>
          <cell r="R1400" t="str">
            <v>Jember</v>
          </cell>
          <cell r="S1400" t="str">
            <v>L Kota2</v>
          </cell>
          <cell r="T1400" t="str">
            <v>Efendi</v>
          </cell>
          <cell r="U1400">
            <v>30</v>
          </cell>
        </row>
        <row r="1401">
          <cell r="E1401" t="str">
            <v>B25011824</v>
          </cell>
          <cell r="F1401"/>
          <cell r="G1401">
            <v>30000000</v>
          </cell>
          <cell r="H1401" t="str">
            <v>Yuyun</v>
          </cell>
          <cell r="I1401" t="str">
            <v>Farida</v>
          </cell>
          <cell r="J1401"/>
          <cell r="K1401" t="str">
            <v>KU</v>
          </cell>
          <cell r="L1401" t="str">
            <v>BINT05</v>
          </cell>
          <cell r="M1401" t="str">
            <v>Bintang Mulia Tani/Yuda</v>
          </cell>
          <cell r="N1401" t="str">
            <v>Achmad Yuda Adi Pratama</v>
          </cell>
          <cell r="O1401" t="str">
            <v>Jl. Mangun Sarkoro No.67, RT.003/RW.018 Kel. Rambupuji, Kec. Rambipuji</v>
          </cell>
          <cell r="P1401" t="str">
            <v>Jember</v>
          </cell>
          <cell r="Q1401" t="str">
            <v>Gayam, Kaliwining</v>
          </cell>
          <cell r="R1401" t="str">
            <v>Jember</v>
          </cell>
          <cell r="S1401" t="str">
            <v>L Kota2</v>
          </cell>
          <cell r="T1401" t="str">
            <v>Efendi</v>
          </cell>
          <cell r="U1401">
            <v>30</v>
          </cell>
        </row>
        <row r="1402">
          <cell r="E1402" t="str">
            <v>D25015167</v>
          </cell>
          <cell r="F1402"/>
          <cell r="G1402">
            <v>30000000</v>
          </cell>
          <cell r="H1402" t="str">
            <v>Yuyun</v>
          </cell>
          <cell r="I1402" t="str">
            <v>Farida</v>
          </cell>
          <cell r="J1402"/>
          <cell r="K1402" t="str">
            <v>KU</v>
          </cell>
          <cell r="L1402" t="str">
            <v>BINT05</v>
          </cell>
          <cell r="M1402" t="str">
            <v>Bintang Mulia Tani/Yuda</v>
          </cell>
          <cell r="N1402" t="str">
            <v>Achmad Yuda Adi Pratama</v>
          </cell>
          <cell r="O1402" t="str">
            <v>Jl. Mangun Sarkoro No.67, RT.003/RW.018 Kel. Rambupuji, Kec. Rambipuji</v>
          </cell>
          <cell r="P1402" t="str">
            <v>Jember</v>
          </cell>
          <cell r="Q1402" t="str">
            <v>Gayam, Kaliwining</v>
          </cell>
          <cell r="R1402" t="str">
            <v>Jember</v>
          </cell>
          <cell r="S1402" t="str">
            <v>L Kota2</v>
          </cell>
          <cell r="T1402" t="str">
            <v>Efendi</v>
          </cell>
          <cell r="U1402">
            <v>30</v>
          </cell>
        </row>
        <row r="1403">
          <cell r="E1403" t="str">
            <v>B25012938</v>
          </cell>
          <cell r="F1403"/>
          <cell r="G1403">
            <v>30000000</v>
          </cell>
          <cell r="H1403" t="str">
            <v>Yuyun</v>
          </cell>
          <cell r="I1403" t="str">
            <v>Farida</v>
          </cell>
          <cell r="J1403"/>
          <cell r="K1403" t="str">
            <v>KU</v>
          </cell>
          <cell r="L1403" t="str">
            <v>BINT05</v>
          </cell>
          <cell r="M1403" t="str">
            <v>Bintang Mulia Tani/Yuda</v>
          </cell>
          <cell r="N1403" t="str">
            <v>Achmad Yuda Adi Pratama</v>
          </cell>
          <cell r="O1403" t="str">
            <v>Jl. Mangun Sarkoro No.67, RT.003/RW.018 Kel. Rambupuji, Kec. Rambipuji</v>
          </cell>
          <cell r="P1403" t="str">
            <v>Jember</v>
          </cell>
          <cell r="Q1403" t="str">
            <v>Gayam, Kaliwining</v>
          </cell>
          <cell r="R1403" t="str">
            <v>Jember</v>
          </cell>
          <cell r="S1403" t="str">
            <v>L Kota2</v>
          </cell>
          <cell r="T1403" t="str">
            <v>Efendi</v>
          </cell>
          <cell r="U1403">
            <v>60</v>
          </cell>
        </row>
        <row r="1404">
          <cell r="E1404" t="str">
            <v>B25010873</v>
          </cell>
          <cell r="F1404"/>
          <cell r="G1404">
            <v>1000</v>
          </cell>
          <cell r="H1404" t="str">
            <v>Others</v>
          </cell>
          <cell r="I1404" t="str">
            <v>Exclusive</v>
          </cell>
          <cell r="J1404"/>
          <cell r="K1404" t="str">
            <v>KU</v>
          </cell>
          <cell r="L1404" t="str">
            <v>BINT31</v>
          </cell>
          <cell r="M1404" t="str">
            <v>Bintang Putri Karisma, CV</v>
          </cell>
          <cell r="N1404" t="str">
            <v>Bintang Putri Karisma, CV</v>
          </cell>
          <cell r="O1404" t="str">
            <v>Mojopahit AC 01, Lingk. Gerdu RT.004/RW., Sempusari, Kaliwates</v>
          </cell>
          <cell r="P1404" t="str">
            <v>Jember</v>
          </cell>
          <cell r="Q1404" t="str">
            <v>Mojopahit AC 01, Lingk. Gerdu RT.004/RW., Sempusari, Kaliwates</v>
          </cell>
          <cell r="R1404" t="str">
            <v>Jember</v>
          </cell>
          <cell r="S1404" t="str">
            <v>L Kota1</v>
          </cell>
          <cell r="T1404" t="str">
            <v>OTHERS</v>
          </cell>
          <cell r="U1404">
            <v>60</v>
          </cell>
        </row>
        <row r="1405">
          <cell r="E1405" t="str">
            <v>D25013003</v>
          </cell>
          <cell r="F1405"/>
          <cell r="G1405">
            <v>1000</v>
          </cell>
          <cell r="H1405" t="str">
            <v>Others</v>
          </cell>
          <cell r="I1405" t="str">
            <v>Exclusive</v>
          </cell>
          <cell r="J1405"/>
          <cell r="K1405" t="str">
            <v>KU</v>
          </cell>
          <cell r="L1405" t="str">
            <v>BINT31</v>
          </cell>
          <cell r="M1405" t="str">
            <v>Bintang Putri Karisma, CV</v>
          </cell>
          <cell r="N1405" t="str">
            <v>Bintang Putri Karisma, CV</v>
          </cell>
          <cell r="O1405" t="str">
            <v>Mojopahit AC 01, Lingk. Gerdu RT.004/RW., Sempusari, Kaliwates</v>
          </cell>
          <cell r="P1405" t="str">
            <v>Jember</v>
          </cell>
          <cell r="Q1405" t="str">
            <v>Mojopahit AC 01, Lingk. Gerdu RT.004/RW., Sempusari, Kaliwates</v>
          </cell>
          <cell r="R1405" t="str">
            <v>Jember</v>
          </cell>
          <cell r="S1405" t="str">
            <v>L Kota1</v>
          </cell>
          <cell r="T1405" t="str">
            <v>OTHERS</v>
          </cell>
          <cell r="U1405">
            <v>30</v>
          </cell>
        </row>
        <row r="1406">
          <cell r="E1406" t="str">
            <v>D25013016</v>
          </cell>
          <cell r="F1406"/>
          <cell r="G1406">
            <v>1000</v>
          </cell>
          <cell r="H1406" t="str">
            <v>Others</v>
          </cell>
          <cell r="I1406" t="str">
            <v>Exclusive</v>
          </cell>
          <cell r="J1406"/>
          <cell r="K1406" t="str">
            <v>KU</v>
          </cell>
          <cell r="L1406" t="str">
            <v>BINT31</v>
          </cell>
          <cell r="M1406" t="str">
            <v>Bintang Putri Karisma, CV</v>
          </cell>
          <cell r="N1406" t="str">
            <v>Bintang Putri Karisma, CV</v>
          </cell>
          <cell r="O1406" t="str">
            <v>Mojopahit AC 01, Lingk. Gerdu RT.004/RW., Sempusari, Kaliwates</v>
          </cell>
          <cell r="P1406" t="str">
            <v>Jember</v>
          </cell>
          <cell r="Q1406" t="str">
            <v>Mojopahit AC 01, Lingk. Gerdu RT.004/RW., Sempusari, Kaliwates</v>
          </cell>
          <cell r="R1406" t="str">
            <v>Jember</v>
          </cell>
          <cell r="S1406" t="str">
            <v>L Kota1</v>
          </cell>
          <cell r="T1406" t="str">
            <v>OTHERS</v>
          </cell>
          <cell r="U1406">
            <v>30</v>
          </cell>
        </row>
        <row r="1407">
          <cell r="E1407" t="str">
            <v>D25013017</v>
          </cell>
          <cell r="F1407"/>
          <cell r="G1407">
            <v>1000</v>
          </cell>
          <cell r="H1407" t="str">
            <v>Others</v>
          </cell>
          <cell r="I1407" t="str">
            <v>Exclusive</v>
          </cell>
          <cell r="J1407"/>
          <cell r="K1407" t="str">
            <v>KU</v>
          </cell>
          <cell r="L1407" t="str">
            <v>BINT31</v>
          </cell>
          <cell r="M1407" t="str">
            <v>Bintang Putri Karisma, CV</v>
          </cell>
          <cell r="N1407" t="str">
            <v>Bintang Putri Karisma, CV</v>
          </cell>
          <cell r="O1407" t="str">
            <v>Mojopahit AC 01, Lingk. Gerdu RT.004/RW., Sempusari, Kaliwates</v>
          </cell>
          <cell r="P1407" t="str">
            <v>Jember</v>
          </cell>
          <cell r="Q1407" t="str">
            <v>Mojopahit AC 01, Lingk. Gerdu RT.004/RW., Sempusari, Kaliwates</v>
          </cell>
          <cell r="R1407" t="str">
            <v>Jember</v>
          </cell>
          <cell r="S1407" t="str">
            <v>L Kota1</v>
          </cell>
          <cell r="T1407" t="str">
            <v>OTHERS</v>
          </cell>
          <cell r="U1407">
            <v>30</v>
          </cell>
        </row>
        <row r="1408">
          <cell r="E1408" t="str">
            <v>D25013040</v>
          </cell>
          <cell r="F1408"/>
          <cell r="G1408">
            <v>1000</v>
          </cell>
          <cell r="H1408" t="str">
            <v>Others</v>
          </cell>
          <cell r="I1408" t="str">
            <v>Exclusive</v>
          </cell>
          <cell r="J1408"/>
          <cell r="K1408" t="str">
            <v>KU</v>
          </cell>
          <cell r="L1408" t="str">
            <v>BINT31</v>
          </cell>
          <cell r="M1408" t="str">
            <v>Bintang Putri Karisma, CV</v>
          </cell>
          <cell r="N1408" t="str">
            <v>Bintang Putri Karisma, CV</v>
          </cell>
          <cell r="O1408" t="str">
            <v>Mojopahit AC 01, Lingk. Gerdu RT.004/RW., Sempusari, Kaliwates</v>
          </cell>
          <cell r="P1408" t="str">
            <v>Jember</v>
          </cell>
          <cell r="Q1408" t="str">
            <v>Mojopahit AC 01, Lingk. Gerdu RT.004/RW., Sempusari, Kaliwates</v>
          </cell>
          <cell r="R1408" t="str">
            <v>Jember</v>
          </cell>
          <cell r="S1408" t="str">
            <v>L Kota1</v>
          </cell>
          <cell r="T1408" t="str">
            <v>OTHERS</v>
          </cell>
          <cell r="U1408">
            <v>30</v>
          </cell>
        </row>
        <row r="1409">
          <cell r="E1409" t="str">
            <v>B25010971</v>
          </cell>
          <cell r="F1409"/>
          <cell r="G1409">
            <v>1000</v>
          </cell>
          <cell r="H1409" t="str">
            <v>Others</v>
          </cell>
          <cell r="I1409" t="str">
            <v>Exclusive</v>
          </cell>
          <cell r="J1409"/>
          <cell r="K1409" t="str">
            <v>KU</v>
          </cell>
          <cell r="L1409" t="str">
            <v>BINT31</v>
          </cell>
          <cell r="M1409" t="str">
            <v>Bintang Putri Karisma, CV</v>
          </cell>
          <cell r="N1409" t="str">
            <v>Bintang Putri Karisma, CV</v>
          </cell>
          <cell r="O1409" t="str">
            <v>Mojopahit AC 01, Lingk. Gerdu RT.004/RW., Sempusari, Kaliwates</v>
          </cell>
          <cell r="P1409" t="str">
            <v>Jember</v>
          </cell>
          <cell r="Q1409" t="str">
            <v>Mojopahit AC 01, Lingk. Gerdu RT.004/RW., Sempusari, Kaliwates</v>
          </cell>
          <cell r="R1409" t="str">
            <v>Jember</v>
          </cell>
          <cell r="S1409" t="str">
            <v>L Kota1</v>
          </cell>
          <cell r="T1409" t="str">
            <v>OTHERS</v>
          </cell>
          <cell r="U1409">
            <v>0</v>
          </cell>
        </row>
        <row r="1410">
          <cell r="E1410" t="str">
            <v>B25010998</v>
          </cell>
          <cell r="F1410"/>
          <cell r="G1410">
            <v>1000</v>
          </cell>
          <cell r="H1410" t="str">
            <v>Others</v>
          </cell>
          <cell r="I1410" t="str">
            <v>Exclusive</v>
          </cell>
          <cell r="J1410"/>
          <cell r="K1410" t="str">
            <v>KU</v>
          </cell>
          <cell r="L1410" t="str">
            <v>BINT31</v>
          </cell>
          <cell r="M1410" t="str">
            <v>Bintang Putri Karisma, CV</v>
          </cell>
          <cell r="N1410" t="str">
            <v>Bintang Putri Karisma, CV</v>
          </cell>
          <cell r="O1410" t="str">
            <v>Mojopahit AC 01, Lingk. Gerdu RT.004/RW., Sempusari, Kaliwates</v>
          </cell>
          <cell r="P1410" t="str">
            <v>Jember</v>
          </cell>
          <cell r="Q1410" t="str">
            <v>Mojopahit AC 01, Lingk. Gerdu RT.004/RW., Sempusari, Kaliwates</v>
          </cell>
          <cell r="R1410" t="str">
            <v>Jember</v>
          </cell>
          <cell r="S1410" t="str">
            <v>L Kota1</v>
          </cell>
          <cell r="T1410" t="str">
            <v>OTHERS</v>
          </cell>
          <cell r="U1410">
            <v>30</v>
          </cell>
        </row>
        <row r="1411">
          <cell r="E1411" t="str">
            <v>B25010999</v>
          </cell>
          <cell r="F1411"/>
          <cell r="G1411">
            <v>1000</v>
          </cell>
          <cell r="H1411" t="str">
            <v>Others</v>
          </cell>
          <cell r="I1411" t="str">
            <v>Exclusive</v>
          </cell>
          <cell r="J1411"/>
          <cell r="K1411" t="str">
            <v>KU</v>
          </cell>
          <cell r="L1411" t="str">
            <v>BINT31</v>
          </cell>
          <cell r="M1411" t="str">
            <v>Bintang Putri Karisma, CV</v>
          </cell>
          <cell r="N1411" t="str">
            <v>Bintang Putri Karisma, CV</v>
          </cell>
          <cell r="O1411" t="str">
            <v>Mojopahit AC 01, Lingk. Gerdu RT.004/RW., Sempusari, Kaliwates</v>
          </cell>
          <cell r="P1411" t="str">
            <v>Jember</v>
          </cell>
          <cell r="Q1411" t="str">
            <v>Mojopahit AC 01, Lingk. Gerdu RT.004/RW., Sempusari, Kaliwates</v>
          </cell>
          <cell r="R1411" t="str">
            <v>Jember</v>
          </cell>
          <cell r="S1411" t="str">
            <v>L Kota1</v>
          </cell>
          <cell r="T1411" t="str">
            <v>OTHERS</v>
          </cell>
          <cell r="U1411">
            <v>0</v>
          </cell>
        </row>
        <row r="1412">
          <cell r="E1412" t="str">
            <v>B25011011</v>
          </cell>
          <cell r="F1412"/>
          <cell r="G1412">
            <v>1000</v>
          </cell>
          <cell r="H1412" t="str">
            <v>Others</v>
          </cell>
          <cell r="I1412" t="str">
            <v>Exclusive</v>
          </cell>
          <cell r="J1412"/>
          <cell r="K1412" t="str">
            <v>KU</v>
          </cell>
          <cell r="L1412" t="str">
            <v>BINT31</v>
          </cell>
          <cell r="M1412" t="str">
            <v>Bintang Putri Karisma, CV</v>
          </cell>
          <cell r="N1412" t="str">
            <v>Bintang Putri Karisma, CV</v>
          </cell>
          <cell r="O1412" t="str">
            <v>Mojopahit AC 01, Lingk. Gerdu RT.004/RW., Sempusari, Kaliwates</v>
          </cell>
          <cell r="P1412" t="str">
            <v>Jember</v>
          </cell>
          <cell r="Q1412" t="str">
            <v>Mojopahit AC 01, Lingk. Gerdu RT.004/RW., Sempusari, Kaliwates</v>
          </cell>
          <cell r="R1412" t="str">
            <v>Jember</v>
          </cell>
          <cell r="S1412" t="str">
            <v>L Kota1</v>
          </cell>
          <cell r="T1412" t="str">
            <v>OTHERS</v>
          </cell>
          <cell r="U1412">
            <v>30</v>
          </cell>
        </row>
        <row r="1413">
          <cell r="E1413" t="str">
            <v>B25011030</v>
          </cell>
          <cell r="F1413"/>
          <cell r="G1413">
            <v>1000</v>
          </cell>
          <cell r="H1413" t="str">
            <v>Others</v>
          </cell>
          <cell r="I1413" t="str">
            <v>Exclusive</v>
          </cell>
          <cell r="J1413"/>
          <cell r="K1413" t="str">
            <v>KU</v>
          </cell>
          <cell r="L1413" t="str">
            <v>BINT31</v>
          </cell>
          <cell r="M1413" t="str">
            <v>Bintang Putri Karisma, CV</v>
          </cell>
          <cell r="N1413" t="str">
            <v>Bintang Putri Karisma, CV</v>
          </cell>
          <cell r="O1413" t="str">
            <v>Mojopahit AC 01, Lingk. Gerdu RT.004/RW., Sempusari, Kaliwates</v>
          </cell>
          <cell r="P1413" t="str">
            <v>Jember</v>
          </cell>
          <cell r="Q1413" t="str">
            <v>Mojopahit AC 01, Lingk. Gerdu RT.004/RW., Sempusari, Kaliwates</v>
          </cell>
          <cell r="R1413" t="str">
            <v>Jember</v>
          </cell>
          <cell r="S1413" t="str">
            <v>L Kota1</v>
          </cell>
          <cell r="T1413" t="str">
            <v>OTHERS</v>
          </cell>
          <cell r="U1413">
            <v>30</v>
          </cell>
        </row>
        <row r="1414">
          <cell r="E1414" t="str">
            <v>D25013244</v>
          </cell>
          <cell r="F1414"/>
          <cell r="G1414">
            <v>1000</v>
          </cell>
          <cell r="H1414" t="str">
            <v>Others</v>
          </cell>
          <cell r="I1414" t="str">
            <v>Exclusive</v>
          </cell>
          <cell r="J1414"/>
          <cell r="K1414" t="str">
            <v>KU</v>
          </cell>
          <cell r="L1414" t="str">
            <v>BINT31</v>
          </cell>
          <cell r="M1414" t="str">
            <v>Bintang Putri Karisma, CV</v>
          </cell>
          <cell r="N1414" t="str">
            <v>Bintang Putri Karisma, CV</v>
          </cell>
          <cell r="O1414" t="str">
            <v>Mojopahit AC 01, Lingk. Gerdu RT.004/RW., Sempusari, Kaliwates</v>
          </cell>
          <cell r="P1414" t="str">
            <v>Jember</v>
          </cell>
          <cell r="Q1414" t="str">
            <v>Mojopahit AC 01, Lingk. Gerdu RT.004/RW., Sempusari, Kaliwates</v>
          </cell>
          <cell r="R1414" t="str">
            <v>Jember</v>
          </cell>
          <cell r="S1414" t="str">
            <v>L Kota1</v>
          </cell>
          <cell r="T1414" t="str">
            <v>OTHERS</v>
          </cell>
          <cell r="U1414">
            <v>30</v>
          </cell>
        </row>
        <row r="1415">
          <cell r="E1415" t="str">
            <v>B25011069</v>
          </cell>
          <cell r="F1415"/>
          <cell r="G1415">
            <v>1000</v>
          </cell>
          <cell r="H1415" t="str">
            <v>Others</v>
          </cell>
          <cell r="I1415" t="str">
            <v>Exclusive</v>
          </cell>
          <cell r="J1415"/>
          <cell r="K1415" t="str">
            <v>KU</v>
          </cell>
          <cell r="L1415" t="str">
            <v>BINT31</v>
          </cell>
          <cell r="M1415" t="str">
            <v>Bintang Putri Karisma, CV</v>
          </cell>
          <cell r="N1415" t="str">
            <v>Bintang Putri Karisma, CV</v>
          </cell>
          <cell r="O1415" t="str">
            <v>Mojopahit AC 01, Lingk. Gerdu RT.004/RW., Sempusari, Kaliwates</v>
          </cell>
          <cell r="P1415" t="str">
            <v>Jember</v>
          </cell>
          <cell r="Q1415" t="str">
            <v>Mojopahit AC 01, Lingk. Gerdu RT.004/RW., Sempusari, Kaliwates</v>
          </cell>
          <cell r="R1415" t="str">
            <v>Jember</v>
          </cell>
          <cell r="S1415" t="str">
            <v>L Kota1</v>
          </cell>
          <cell r="T1415" t="str">
            <v>OTHERS</v>
          </cell>
          <cell r="U1415">
            <v>30</v>
          </cell>
        </row>
        <row r="1416">
          <cell r="E1416" t="str">
            <v>B25011101</v>
          </cell>
          <cell r="F1416"/>
          <cell r="G1416">
            <v>1000</v>
          </cell>
          <cell r="H1416" t="str">
            <v>Others</v>
          </cell>
          <cell r="I1416" t="str">
            <v>Exclusive</v>
          </cell>
          <cell r="J1416"/>
          <cell r="K1416" t="str">
            <v>KU</v>
          </cell>
          <cell r="L1416" t="str">
            <v>BINT31</v>
          </cell>
          <cell r="M1416" t="str">
            <v>Bintang Putri Karisma, CV</v>
          </cell>
          <cell r="N1416" t="str">
            <v>Bintang Putri Karisma, CV</v>
          </cell>
          <cell r="O1416" t="str">
            <v>Mojopahit AC 01, Lingk. Gerdu RT.004/RW., Sempusari, Kaliwates</v>
          </cell>
          <cell r="P1416" t="str">
            <v>Jember</v>
          </cell>
          <cell r="Q1416" t="str">
            <v>Mojopahit AC 01, Lingk. Gerdu RT.004/RW., Sempusari, Kaliwates</v>
          </cell>
          <cell r="R1416" t="str">
            <v>Jember</v>
          </cell>
          <cell r="S1416" t="str">
            <v>L Kota1</v>
          </cell>
          <cell r="T1416" t="str">
            <v>OTHERS</v>
          </cell>
          <cell r="U1416">
            <v>30</v>
          </cell>
        </row>
        <row r="1417">
          <cell r="E1417" t="str">
            <v>B25011112</v>
          </cell>
          <cell r="F1417"/>
          <cell r="G1417">
            <v>1000</v>
          </cell>
          <cell r="H1417" t="str">
            <v>Others</v>
          </cell>
          <cell r="I1417" t="str">
            <v>Exclusive</v>
          </cell>
          <cell r="J1417"/>
          <cell r="K1417" t="str">
            <v>KU</v>
          </cell>
          <cell r="L1417" t="str">
            <v>BINT31</v>
          </cell>
          <cell r="M1417" t="str">
            <v>Bintang Putri Karisma, CV</v>
          </cell>
          <cell r="N1417" t="str">
            <v>Bintang Putri Karisma, CV</v>
          </cell>
          <cell r="O1417" t="str">
            <v>Mojopahit AC 01, Lingk. Gerdu RT.004/RW., Sempusari, Kaliwates</v>
          </cell>
          <cell r="P1417" t="str">
            <v>Jember</v>
          </cell>
          <cell r="Q1417" t="str">
            <v>Mojopahit AC 01, Lingk. Gerdu RT.004/RW., Sempusari, Kaliwates</v>
          </cell>
          <cell r="R1417" t="str">
            <v>Jember</v>
          </cell>
          <cell r="S1417" t="str">
            <v>L Kota1</v>
          </cell>
          <cell r="T1417" t="str">
            <v>OTHERS</v>
          </cell>
          <cell r="U1417">
            <v>30</v>
          </cell>
        </row>
        <row r="1418">
          <cell r="E1418" t="str">
            <v>B25011179</v>
          </cell>
          <cell r="F1418"/>
          <cell r="G1418">
            <v>1000</v>
          </cell>
          <cell r="H1418" t="str">
            <v>Others</v>
          </cell>
          <cell r="I1418" t="str">
            <v>Exclusive</v>
          </cell>
          <cell r="J1418"/>
          <cell r="K1418" t="str">
            <v>KU</v>
          </cell>
          <cell r="L1418" t="str">
            <v>BINT31</v>
          </cell>
          <cell r="M1418" t="str">
            <v>Bintang Putri Karisma, CV</v>
          </cell>
          <cell r="N1418" t="str">
            <v>Bintang Putri Karisma, CV</v>
          </cell>
          <cell r="O1418" t="str">
            <v>Mojopahit AC 01, Lingk. Gerdu RT.004/RW., Sempusari, Kaliwates</v>
          </cell>
          <cell r="P1418" t="str">
            <v>Jember</v>
          </cell>
          <cell r="Q1418" t="str">
            <v>Mojopahit AC 01, Lingk. Gerdu RT.004/RW., Sempusari, Kaliwates</v>
          </cell>
          <cell r="R1418" t="str">
            <v>Jember</v>
          </cell>
          <cell r="S1418" t="str">
            <v>L Kota1</v>
          </cell>
          <cell r="T1418" t="str">
            <v>OTHERS</v>
          </cell>
          <cell r="U1418">
            <v>0</v>
          </cell>
        </row>
        <row r="1419">
          <cell r="E1419" t="str">
            <v>D25013359</v>
          </cell>
          <cell r="F1419"/>
          <cell r="G1419">
            <v>1000</v>
          </cell>
          <cell r="H1419" t="str">
            <v>Others</v>
          </cell>
          <cell r="I1419" t="str">
            <v>Exclusive</v>
          </cell>
          <cell r="J1419"/>
          <cell r="K1419" t="str">
            <v>KU</v>
          </cell>
          <cell r="L1419" t="str">
            <v>BINT31</v>
          </cell>
          <cell r="M1419" t="str">
            <v>Bintang Putri Karisma, CV</v>
          </cell>
          <cell r="N1419" t="str">
            <v>Bintang Putri Karisma, CV</v>
          </cell>
          <cell r="O1419" t="str">
            <v>Mojopahit AC 01, Lingk. Gerdu RT.004/RW., Sempusari, Kaliwates</v>
          </cell>
          <cell r="P1419" t="str">
            <v>Jember</v>
          </cell>
          <cell r="Q1419" t="str">
            <v>Mojopahit AC 01, Lingk. Gerdu RT.004/RW., Sempusari, Kaliwates</v>
          </cell>
          <cell r="R1419" t="str">
            <v>Jember</v>
          </cell>
          <cell r="S1419" t="str">
            <v>L Kota1</v>
          </cell>
          <cell r="T1419" t="str">
            <v>OTHERS</v>
          </cell>
          <cell r="U1419">
            <v>30</v>
          </cell>
        </row>
        <row r="1420">
          <cell r="E1420" t="str">
            <v>D25013365</v>
          </cell>
          <cell r="F1420"/>
          <cell r="G1420">
            <v>1000</v>
          </cell>
          <cell r="H1420" t="str">
            <v>Others</v>
          </cell>
          <cell r="I1420" t="str">
            <v>Exclusive</v>
          </cell>
          <cell r="J1420"/>
          <cell r="K1420" t="str">
            <v>KU</v>
          </cell>
          <cell r="L1420" t="str">
            <v>BINT31</v>
          </cell>
          <cell r="M1420" t="str">
            <v>Bintang Putri Karisma, CV</v>
          </cell>
          <cell r="N1420" t="str">
            <v>Bintang Putri Karisma, CV</v>
          </cell>
          <cell r="O1420" t="str">
            <v>Mojopahit AC 01, Lingk. Gerdu RT.004/RW., Sempusari, Kaliwates</v>
          </cell>
          <cell r="P1420" t="str">
            <v>Jember</v>
          </cell>
          <cell r="Q1420" t="str">
            <v>Mojopahit AC 01, Lingk. Gerdu RT.004/RW., Sempusari, Kaliwates</v>
          </cell>
          <cell r="R1420" t="str">
            <v>Jember</v>
          </cell>
          <cell r="S1420" t="str">
            <v>L Kota1</v>
          </cell>
          <cell r="T1420" t="str">
            <v>OTHERS</v>
          </cell>
          <cell r="U1420">
            <v>0</v>
          </cell>
        </row>
        <row r="1421">
          <cell r="E1421" t="str">
            <v>D25013478</v>
          </cell>
          <cell r="F1421"/>
          <cell r="G1421">
            <v>1000</v>
          </cell>
          <cell r="H1421" t="str">
            <v>Others</v>
          </cell>
          <cell r="I1421" t="str">
            <v>Exclusive</v>
          </cell>
          <cell r="J1421"/>
          <cell r="K1421" t="str">
            <v>KU</v>
          </cell>
          <cell r="L1421" t="str">
            <v>BINT31</v>
          </cell>
          <cell r="M1421" t="str">
            <v>Bintang Putri Karisma, CV</v>
          </cell>
          <cell r="N1421" t="str">
            <v>Bintang Putri Karisma, CV</v>
          </cell>
          <cell r="O1421" t="str">
            <v>Mojopahit AC 01, Lingk. Gerdu RT.004/RW., Sempusari, Kaliwates</v>
          </cell>
          <cell r="P1421" t="str">
            <v>Jember</v>
          </cell>
          <cell r="Q1421" t="str">
            <v>Mojopahit AC 01, Lingk. Gerdu RT.004/RW., Sempusari, Kaliwates</v>
          </cell>
          <cell r="R1421" t="str">
            <v>Jember</v>
          </cell>
          <cell r="S1421" t="str">
            <v>L Kota1</v>
          </cell>
          <cell r="T1421" t="str">
            <v>OTHERS</v>
          </cell>
          <cell r="U1421">
            <v>0</v>
          </cell>
        </row>
        <row r="1422">
          <cell r="E1422" t="str">
            <v>B25011244</v>
          </cell>
          <cell r="F1422"/>
          <cell r="G1422">
            <v>1000</v>
          </cell>
          <cell r="H1422" t="str">
            <v>Others</v>
          </cell>
          <cell r="I1422" t="str">
            <v>Exclusive</v>
          </cell>
          <cell r="J1422"/>
          <cell r="K1422" t="str">
            <v>KU</v>
          </cell>
          <cell r="L1422" t="str">
            <v>BINT31</v>
          </cell>
          <cell r="M1422" t="str">
            <v>Bintang Putri Karisma, CV</v>
          </cell>
          <cell r="N1422" t="str">
            <v>Bintang Putri Karisma, CV</v>
          </cell>
          <cell r="O1422" t="str">
            <v>Mojopahit AC 01, Lingk. Gerdu RT.004/RW., Sempusari, Kaliwates</v>
          </cell>
          <cell r="P1422" t="str">
            <v>Jember</v>
          </cell>
          <cell r="Q1422" t="str">
            <v>Mojopahit AC 01, Lingk. Gerdu RT.004/RW., Sempusari, Kaliwates</v>
          </cell>
          <cell r="R1422" t="str">
            <v>Jember</v>
          </cell>
          <cell r="S1422" t="str">
            <v>L Kota1</v>
          </cell>
          <cell r="T1422" t="str">
            <v>OTHERS</v>
          </cell>
          <cell r="U1422">
            <v>30</v>
          </cell>
        </row>
        <row r="1423">
          <cell r="E1423" t="str">
            <v>B25011245</v>
          </cell>
          <cell r="F1423"/>
          <cell r="G1423">
            <v>1000</v>
          </cell>
          <cell r="H1423" t="str">
            <v>Others</v>
          </cell>
          <cell r="I1423" t="str">
            <v>Exclusive</v>
          </cell>
          <cell r="J1423"/>
          <cell r="K1423" t="str">
            <v>KU</v>
          </cell>
          <cell r="L1423" t="str">
            <v>BINT31</v>
          </cell>
          <cell r="M1423" t="str">
            <v>Bintang Putri Karisma, CV</v>
          </cell>
          <cell r="N1423" t="str">
            <v>Bintang Putri Karisma, CV</v>
          </cell>
          <cell r="O1423" t="str">
            <v>Mojopahit AC 01, Lingk. Gerdu RT.004/RW., Sempusari, Kaliwates</v>
          </cell>
          <cell r="P1423" t="str">
            <v>Jember</v>
          </cell>
          <cell r="Q1423" t="str">
            <v>Mojopahit AC 01, Lingk. Gerdu RT.004/RW., Sempusari, Kaliwates</v>
          </cell>
          <cell r="R1423" t="str">
            <v>Jember</v>
          </cell>
          <cell r="S1423" t="str">
            <v>L Kota1</v>
          </cell>
          <cell r="T1423" t="str">
            <v>OTHERS</v>
          </cell>
          <cell r="U1423">
            <v>30</v>
          </cell>
        </row>
        <row r="1424">
          <cell r="E1424" t="str">
            <v>B25011298</v>
          </cell>
          <cell r="F1424"/>
          <cell r="G1424">
            <v>1000</v>
          </cell>
          <cell r="H1424" t="str">
            <v>Others</v>
          </cell>
          <cell r="I1424" t="str">
            <v>Exclusive</v>
          </cell>
          <cell r="J1424"/>
          <cell r="K1424" t="str">
            <v>KU</v>
          </cell>
          <cell r="L1424" t="str">
            <v>BINT31</v>
          </cell>
          <cell r="M1424" t="str">
            <v>Bintang Putri Karisma, CV</v>
          </cell>
          <cell r="N1424" t="str">
            <v>Bintang Putri Karisma, CV</v>
          </cell>
          <cell r="O1424" t="str">
            <v>Mojopahit AC 01, Lingk. Gerdu RT.004/RW., Sempusari, Kaliwates</v>
          </cell>
          <cell r="P1424" t="str">
            <v>Jember</v>
          </cell>
          <cell r="Q1424" t="str">
            <v>Mojopahit AC 01, Lingk. Gerdu RT.004/RW., Sempusari, Kaliwates</v>
          </cell>
          <cell r="R1424" t="str">
            <v>Jember</v>
          </cell>
          <cell r="S1424" t="str">
            <v>L Kota1</v>
          </cell>
          <cell r="T1424" t="str">
            <v>OTHERS</v>
          </cell>
          <cell r="U1424">
            <v>30</v>
          </cell>
        </row>
        <row r="1425">
          <cell r="E1425" t="str">
            <v>B25011310</v>
          </cell>
          <cell r="F1425"/>
          <cell r="G1425">
            <v>1000</v>
          </cell>
          <cell r="H1425" t="str">
            <v>Others</v>
          </cell>
          <cell r="I1425" t="str">
            <v>Exclusive</v>
          </cell>
          <cell r="J1425"/>
          <cell r="K1425" t="str">
            <v>KU</v>
          </cell>
          <cell r="L1425" t="str">
            <v>BINT31</v>
          </cell>
          <cell r="M1425" t="str">
            <v>Bintang Putri Karisma, CV</v>
          </cell>
          <cell r="N1425" t="str">
            <v>Bintang Putri Karisma, CV</v>
          </cell>
          <cell r="O1425" t="str">
            <v>Mojopahit AC 01, Lingk. Gerdu RT.004/RW., Sempusari, Kaliwates</v>
          </cell>
          <cell r="P1425" t="str">
            <v>Jember</v>
          </cell>
          <cell r="Q1425" t="str">
            <v>Mojopahit AC 01, Lingk. Gerdu RT.004/RW., Sempusari, Kaliwates</v>
          </cell>
          <cell r="R1425" t="str">
            <v>Jember</v>
          </cell>
          <cell r="S1425" t="str">
            <v>L Kota1</v>
          </cell>
          <cell r="T1425" t="str">
            <v>OTHERS</v>
          </cell>
          <cell r="U1425">
            <v>30</v>
          </cell>
        </row>
        <row r="1426">
          <cell r="E1426" t="str">
            <v>D25013531</v>
          </cell>
          <cell r="F1426"/>
          <cell r="G1426">
            <v>1000</v>
          </cell>
          <cell r="H1426" t="str">
            <v>Others</v>
          </cell>
          <cell r="I1426" t="str">
            <v>Exclusive</v>
          </cell>
          <cell r="J1426"/>
          <cell r="K1426" t="str">
            <v>KU</v>
          </cell>
          <cell r="L1426" t="str">
            <v>BINT31</v>
          </cell>
          <cell r="M1426" t="str">
            <v>Bintang Putri Karisma, CV</v>
          </cell>
          <cell r="N1426" t="str">
            <v>Bintang Putri Karisma, CV</v>
          </cell>
          <cell r="O1426" t="str">
            <v>Mojopahit AC 01, Lingk. Gerdu RT.004/RW., Sempusari, Kaliwates</v>
          </cell>
          <cell r="P1426" t="str">
            <v>Jember</v>
          </cell>
          <cell r="Q1426" t="str">
            <v>Mojopahit AC 01, Lingk. Gerdu RT.004/RW., Sempusari, Kaliwates</v>
          </cell>
          <cell r="R1426" t="str">
            <v>Jember</v>
          </cell>
          <cell r="S1426" t="str">
            <v>L Kota1</v>
          </cell>
          <cell r="T1426" t="str">
            <v>OTHERS</v>
          </cell>
          <cell r="U1426">
            <v>30</v>
          </cell>
        </row>
        <row r="1427">
          <cell r="E1427" t="str">
            <v>D25013591</v>
          </cell>
          <cell r="F1427"/>
          <cell r="G1427">
            <v>1000</v>
          </cell>
          <cell r="H1427" t="str">
            <v>Others</v>
          </cell>
          <cell r="I1427" t="str">
            <v>Exclusive</v>
          </cell>
          <cell r="J1427"/>
          <cell r="K1427" t="str">
            <v>KU</v>
          </cell>
          <cell r="L1427" t="str">
            <v>BINT31</v>
          </cell>
          <cell r="M1427" t="str">
            <v>Bintang Putri Karisma, CV</v>
          </cell>
          <cell r="N1427" t="str">
            <v>Bintang Putri Karisma, CV</v>
          </cell>
          <cell r="O1427" t="str">
            <v>Mojopahit AC 01, Lingk. Gerdu RT.004/RW., Sempusari, Kaliwates</v>
          </cell>
          <cell r="P1427" t="str">
            <v>Jember</v>
          </cell>
          <cell r="Q1427" t="str">
            <v>Mojopahit AC 01, Lingk. Gerdu RT.004/RW., Sempusari, Kaliwates</v>
          </cell>
          <cell r="R1427" t="str">
            <v>Jember</v>
          </cell>
          <cell r="S1427" t="str">
            <v>L Kota1</v>
          </cell>
          <cell r="T1427" t="str">
            <v>OTHERS</v>
          </cell>
          <cell r="U1427">
            <v>30</v>
          </cell>
        </row>
        <row r="1428">
          <cell r="E1428" t="str">
            <v>B25011493</v>
          </cell>
          <cell r="F1428"/>
          <cell r="G1428">
            <v>1000</v>
          </cell>
          <cell r="H1428" t="str">
            <v>Others</v>
          </cell>
          <cell r="I1428" t="str">
            <v>Exclusive</v>
          </cell>
          <cell r="J1428"/>
          <cell r="K1428" t="str">
            <v>KU</v>
          </cell>
          <cell r="L1428" t="str">
            <v>BINT31</v>
          </cell>
          <cell r="M1428" t="str">
            <v>Bintang Putri Karisma, CV</v>
          </cell>
          <cell r="N1428" t="str">
            <v>Bintang Putri Karisma, CV</v>
          </cell>
          <cell r="O1428" t="str">
            <v>Mojopahit AC 01, Lingk. Gerdu RT.004/RW., Sempusari, Kaliwates</v>
          </cell>
          <cell r="P1428" t="str">
            <v>Jember</v>
          </cell>
          <cell r="Q1428" t="str">
            <v>Mojopahit AC 01, Lingk. Gerdu RT.004/RW., Sempusari, Kaliwates</v>
          </cell>
          <cell r="R1428" t="str">
            <v>Jember</v>
          </cell>
          <cell r="S1428" t="str">
            <v>L Kota1</v>
          </cell>
          <cell r="T1428" t="str">
            <v>OTHERS</v>
          </cell>
          <cell r="U1428">
            <v>30</v>
          </cell>
        </row>
        <row r="1429">
          <cell r="E1429" t="str">
            <v>B25011501</v>
          </cell>
          <cell r="F1429"/>
          <cell r="G1429">
            <v>1000</v>
          </cell>
          <cell r="H1429" t="str">
            <v>Others</v>
          </cell>
          <cell r="I1429" t="str">
            <v>Exclusive</v>
          </cell>
          <cell r="J1429"/>
          <cell r="K1429" t="str">
            <v>KU</v>
          </cell>
          <cell r="L1429" t="str">
            <v>BINT31</v>
          </cell>
          <cell r="M1429" t="str">
            <v>Bintang Putri Karisma, CV</v>
          </cell>
          <cell r="N1429" t="str">
            <v>Bintang Putri Karisma, CV</v>
          </cell>
          <cell r="O1429" t="str">
            <v>Mojopahit AC 01, Lingk. Gerdu RT.004/RW., Sempusari, Kaliwates</v>
          </cell>
          <cell r="P1429" t="str">
            <v>Jember</v>
          </cell>
          <cell r="Q1429" t="str">
            <v>Mojopahit AC 01, Lingk. Gerdu RT.004/RW., Sempusari, Kaliwates</v>
          </cell>
          <cell r="R1429" t="str">
            <v>Jember</v>
          </cell>
          <cell r="S1429" t="str">
            <v>L Kota1</v>
          </cell>
          <cell r="T1429" t="str">
            <v>OTHERS</v>
          </cell>
          <cell r="U1429">
            <v>30</v>
          </cell>
        </row>
        <row r="1430">
          <cell r="E1430" t="str">
            <v>D25013680</v>
          </cell>
          <cell r="F1430"/>
          <cell r="G1430">
            <v>1000</v>
          </cell>
          <cell r="H1430" t="str">
            <v>Others</v>
          </cell>
          <cell r="I1430" t="str">
            <v>Exclusive</v>
          </cell>
          <cell r="J1430"/>
          <cell r="K1430" t="str">
            <v>KU</v>
          </cell>
          <cell r="L1430" t="str">
            <v>BINT31</v>
          </cell>
          <cell r="M1430" t="str">
            <v>Bintang Putri Karisma, CV</v>
          </cell>
          <cell r="N1430" t="str">
            <v>Bintang Putri Karisma, CV</v>
          </cell>
          <cell r="O1430" t="str">
            <v>Mojopahit AC 01, Lingk. Gerdu RT.004/RW., Sempusari, Kaliwates</v>
          </cell>
          <cell r="P1430" t="str">
            <v>Jember</v>
          </cell>
          <cell r="Q1430" t="str">
            <v>Mojopahit AC 01, Lingk. Gerdu RT.004/RW., Sempusari, Kaliwates</v>
          </cell>
          <cell r="R1430" t="str">
            <v>Jember</v>
          </cell>
          <cell r="S1430" t="str">
            <v>L Kota1</v>
          </cell>
          <cell r="T1430" t="str">
            <v>OTHERS</v>
          </cell>
          <cell r="U1430">
            <v>30</v>
          </cell>
        </row>
        <row r="1431">
          <cell r="E1431" t="str">
            <v>B25011575</v>
          </cell>
          <cell r="F1431"/>
          <cell r="G1431">
            <v>1000</v>
          </cell>
          <cell r="H1431" t="str">
            <v>Others</v>
          </cell>
          <cell r="I1431" t="str">
            <v>Exclusive</v>
          </cell>
          <cell r="J1431"/>
          <cell r="K1431" t="str">
            <v>KU</v>
          </cell>
          <cell r="L1431" t="str">
            <v>BINT31</v>
          </cell>
          <cell r="M1431" t="str">
            <v>Bintang Putri Karisma, CV</v>
          </cell>
          <cell r="N1431" t="str">
            <v>Bintang Putri Karisma, CV</v>
          </cell>
          <cell r="O1431" t="str">
            <v>Mojopahit AC 01, Lingk. Gerdu RT.004/RW., Sempusari, Kaliwates</v>
          </cell>
          <cell r="P1431" t="str">
            <v>Jember</v>
          </cell>
          <cell r="Q1431" t="str">
            <v>Mojopahit AC 01, Lingk. Gerdu RT.004/RW., Sempusari, Kaliwates</v>
          </cell>
          <cell r="R1431" t="str">
            <v>Jember</v>
          </cell>
          <cell r="S1431" t="str">
            <v>L Kota1</v>
          </cell>
          <cell r="T1431" t="str">
            <v>OTHERS</v>
          </cell>
          <cell r="U1431">
            <v>30</v>
          </cell>
        </row>
        <row r="1432">
          <cell r="E1432" t="str">
            <v>D25013727</v>
          </cell>
          <cell r="F1432"/>
          <cell r="G1432">
            <v>1000</v>
          </cell>
          <cell r="H1432" t="str">
            <v>Others</v>
          </cell>
          <cell r="I1432" t="str">
            <v>Exclusive</v>
          </cell>
          <cell r="J1432"/>
          <cell r="K1432" t="str">
            <v>KU</v>
          </cell>
          <cell r="L1432" t="str">
            <v>BINT31</v>
          </cell>
          <cell r="M1432" t="str">
            <v>Bintang Putri Karisma, CV</v>
          </cell>
          <cell r="N1432" t="str">
            <v>Bintang Putri Karisma, CV</v>
          </cell>
          <cell r="O1432" t="str">
            <v>Mojopahit AC 01, Lingk. Gerdu RT.004/RW., Sempusari, Kaliwates</v>
          </cell>
          <cell r="P1432" t="str">
            <v>Jember</v>
          </cell>
          <cell r="Q1432" t="str">
            <v>Mojopahit AC 01, Lingk. Gerdu RT.004/RW., Sempusari, Kaliwates</v>
          </cell>
          <cell r="R1432" t="str">
            <v>Jember</v>
          </cell>
          <cell r="S1432" t="str">
            <v>L Kota1</v>
          </cell>
          <cell r="T1432" t="str">
            <v>OTHERS</v>
          </cell>
          <cell r="U1432">
            <v>30</v>
          </cell>
        </row>
        <row r="1433">
          <cell r="E1433" t="str">
            <v>B25011591</v>
          </cell>
          <cell r="F1433"/>
          <cell r="G1433">
            <v>1000</v>
          </cell>
          <cell r="H1433" t="str">
            <v>Others</v>
          </cell>
          <cell r="I1433" t="str">
            <v>Exclusive</v>
          </cell>
          <cell r="J1433"/>
          <cell r="K1433" t="str">
            <v>KU</v>
          </cell>
          <cell r="L1433" t="str">
            <v>BINT31</v>
          </cell>
          <cell r="M1433" t="str">
            <v>Bintang Putri Karisma, CV</v>
          </cell>
          <cell r="N1433" t="str">
            <v>Bintang Putri Karisma, CV</v>
          </cell>
          <cell r="O1433" t="str">
            <v>Mojopahit AC 01, Lingk. Gerdu RT.004/RW., Sempusari, Kaliwates</v>
          </cell>
          <cell r="P1433" t="str">
            <v>Jember</v>
          </cell>
          <cell r="Q1433" t="str">
            <v>Mojopahit AC 01, Lingk. Gerdu RT.004/RW., Sempusari, Kaliwates</v>
          </cell>
          <cell r="R1433" t="str">
            <v>Jember</v>
          </cell>
          <cell r="S1433" t="str">
            <v>L Kota1</v>
          </cell>
          <cell r="T1433" t="str">
            <v>OTHERS</v>
          </cell>
          <cell r="U1433">
            <v>30</v>
          </cell>
        </row>
        <row r="1434">
          <cell r="E1434" t="str">
            <v>B25011607</v>
          </cell>
          <cell r="F1434"/>
          <cell r="G1434">
            <v>1000</v>
          </cell>
          <cell r="H1434" t="str">
            <v>Others</v>
          </cell>
          <cell r="I1434" t="str">
            <v>Exclusive</v>
          </cell>
          <cell r="J1434"/>
          <cell r="K1434" t="str">
            <v>KU</v>
          </cell>
          <cell r="L1434" t="str">
            <v>BINT31</v>
          </cell>
          <cell r="M1434" t="str">
            <v>Bintang Putri Karisma, CV</v>
          </cell>
          <cell r="N1434" t="str">
            <v>Bintang Putri Karisma, CV</v>
          </cell>
          <cell r="O1434" t="str">
            <v>Mojopahit AC 01, Lingk. Gerdu RT.004/RW., Sempusari, Kaliwates</v>
          </cell>
          <cell r="P1434" t="str">
            <v>Jember</v>
          </cell>
          <cell r="Q1434" t="str">
            <v>Mojopahit AC 01, Lingk. Gerdu RT.004/RW., Sempusari, Kaliwates</v>
          </cell>
          <cell r="R1434" t="str">
            <v>Jember</v>
          </cell>
          <cell r="S1434" t="str">
            <v>L Kota1</v>
          </cell>
          <cell r="T1434" t="str">
            <v>OTHERS</v>
          </cell>
          <cell r="U1434">
            <v>0</v>
          </cell>
        </row>
        <row r="1435">
          <cell r="E1435" t="str">
            <v>B25011632</v>
          </cell>
          <cell r="F1435"/>
          <cell r="G1435">
            <v>1000</v>
          </cell>
          <cell r="H1435" t="str">
            <v>Others</v>
          </cell>
          <cell r="I1435" t="str">
            <v>Exclusive</v>
          </cell>
          <cell r="J1435"/>
          <cell r="K1435" t="str">
            <v>KU</v>
          </cell>
          <cell r="L1435" t="str">
            <v>BINT31</v>
          </cell>
          <cell r="M1435" t="str">
            <v>Bintang Putri Karisma, CV</v>
          </cell>
          <cell r="N1435" t="str">
            <v>Bintang Putri Karisma, CV</v>
          </cell>
          <cell r="O1435" t="str">
            <v>Mojopahit AC 01, Lingk. Gerdu RT.004/RW., Sempusari, Kaliwates</v>
          </cell>
          <cell r="P1435" t="str">
            <v>Jember</v>
          </cell>
          <cell r="Q1435" t="str">
            <v>Mojopahit AC 01, Lingk. Gerdu RT.004/RW., Sempusari, Kaliwates</v>
          </cell>
          <cell r="R1435" t="str">
            <v>Jember</v>
          </cell>
          <cell r="S1435" t="str">
            <v>L Kota1</v>
          </cell>
          <cell r="T1435" t="str">
            <v>OTHERS</v>
          </cell>
          <cell r="U1435">
            <v>30</v>
          </cell>
        </row>
        <row r="1436">
          <cell r="E1436" t="str">
            <v>D25013855</v>
          </cell>
          <cell r="F1436"/>
          <cell r="G1436">
            <v>1000</v>
          </cell>
          <cell r="H1436" t="str">
            <v>Others</v>
          </cell>
          <cell r="I1436" t="str">
            <v>Exclusive</v>
          </cell>
          <cell r="J1436"/>
          <cell r="K1436" t="str">
            <v>KU</v>
          </cell>
          <cell r="L1436" t="str">
            <v>BINT31</v>
          </cell>
          <cell r="M1436" t="str">
            <v>Bintang Putri Karisma, CV</v>
          </cell>
          <cell r="N1436" t="str">
            <v>Bintang Putri Karisma, CV</v>
          </cell>
          <cell r="O1436" t="str">
            <v>Mojopahit AC 01, Lingk. Gerdu RT.004/RW., Sempusari, Kaliwates</v>
          </cell>
          <cell r="P1436" t="str">
            <v>Jember</v>
          </cell>
          <cell r="Q1436" t="str">
            <v>Mojopahit AC 01, Lingk. Gerdu RT.004/RW., Sempusari, Kaliwates</v>
          </cell>
          <cell r="R1436" t="str">
            <v>Jember</v>
          </cell>
          <cell r="S1436" t="str">
            <v>L Kota1</v>
          </cell>
          <cell r="T1436" t="str">
            <v>OTHERS</v>
          </cell>
          <cell r="U1436">
            <v>30</v>
          </cell>
        </row>
        <row r="1437">
          <cell r="E1437" t="str">
            <v>D25013873</v>
          </cell>
          <cell r="F1437"/>
          <cell r="G1437">
            <v>1000</v>
          </cell>
          <cell r="H1437" t="str">
            <v>Others</v>
          </cell>
          <cell r="I1437" t="str">
            <v>Exclusive</v>
          </cell>
          <cell r="J1437"/>
          <cell r="K1437" t="str">
            <v>KU</v>
          </cell>
          <cell r="L1437" t="str">
            <v>BINT31</v>
          </cell>
          <cell r="M1437" t="str">
            <v>Bintang Putri Karisma, CV</v>
          </cell>
          <cell r="N1437" t="str">
            <v>Bintang Putri Karisma, CV</v>
          </cell>
          <cell r="O1437" t="str">
            <v>Mojopahit AC 01, Lingk. Gerdu RT.004/RW., Sempusari, Kaliwates</v>
          </cell>
          <cell r="P1437" t="str">
            <v>Jember</v>
          </cell>
          <cell r="Q1437" t="str">
            <v>Mojopahit AC 01, Lingk. Gerdu RT.004/RW., Sempusari, Kaliwates</v>
          </cell>
          <cell r="R1437" t="str">
            <v>Jember</v>
          </cell>
          <cell r="S1437" t="str">
            <v>L Kota1</v>
          </cell>
          <cell r="T1437" t="str">
            <v>OTHERS</v>
          </cell>
          <cell r="U1437">
            <v>30</v>
          </cell>
        </row>
        <row r="1438">
          <cell r="E1438" t="str">
            <v>B25011752</v>
          </cell>
          <cell r="F1438"/>
          <cell r="G1438">
            <v>1000</v>
          </cell>
          <cell r="H1438" t="str">
            <v>Others</v>
          </cell>
          <cell r="I1438" t="str">
            <v>Exclusive</v>
          </cell>
          <cell r="J1438"/>
          <cell r="K1438" t="str">
            <v>KU</v>
          </cell>
          <cell r="L1438" t="str">
            <v>BINT31</v>
          </cell>
          <cell r="M1438" t="str">
            <v>Bintang Putri Karisma, CV</v>
          </cell>
          <cell r="N1438" t="str">
            <v>Bintang Putri Karisma, CV</v>
          </cell>
          <cell r="O1438" t="str">
            <v>Mojopahit AC 01, Lingk. Gerdu RT.004/RW., Sempusari, Kaliwates</v>
          </cell>
          <cell r="P1438" t="str">
            <v>Jember</v>
          </cell>
          <cell r="Q1438" t="str">
            <v>Mojopahit AC 01, Lingk. Gerdu RT.004/RW., Sempusari, Kaliwates</v>
          </cell>
          <cell r="R1438" t="str">
            <v>Jember</v>
          </cell>
          <cell r="S1438" t="str">
            <v>L Kota1</v>
          </cell>
          <cell r="T1438" t="str">
            <v>OTHERS</v>
          </cell>
          <cell r="U1438">
            <v>30</v>
          </cell>
        </row>
        <row r="1439">
          <cell r="E1439" t="str">
            <v>B25011787</v>
          </cell>
          <cell r="F1439"/>
          <cell r="G1439">
            <v>1000</v>
          </cell>
          <cell r="H1439" t="str">
            <v>Others</v>
          </cell>
          <cell r="I1439" t="str">
            <v>Exclusive</v>
          </cell>
          <cell r="J1439"/>
          <cell r="K1439" t="str">
            <v>KU</v>
          </cell>
          <cell r="L1439" t="str">
            <v>BINT31</v>
          </cell>
          <cell r="M1439" t="str">
            <v>Bintang Putri Karisma, CV</v>
          </cell>
          <cell r="N1439" t="str">
            <v>Bintang Putri Karisma, CV</v>
          </cell>
          <cell r="O1439" t="str">
            <v>Mojopahit AC 01, Lingk. Gerdu RT.004/RW., Sempusari, Kaliwates</v>
          </cell>
          <cell r="P1439" t="str">
            <v>Jember</v>
          </cell>
          <cell r="Q1439" t="str">
            <v>Mojopahit AC 01, Lingk. Gerdu RT.004/RW., Sempusari, Kaliwates</v>
          </cell>
          <cell r="R1439" t="str">
            <v>Jember</v>
          </cell>
          <cell r="S1439" t="str">
            <v>L Kota1</v>
          </cell>
          <cell r="T1439" t="str">
            <v>OTHERS</v>
          </cell>
          <cell r="U1439">
            <v>0</v>
          </cell>
        </row>
        <row r="1440">
          <cell r="E1440" t="str">
            <v>D25014043</v>
          </cell>
          <cell r="F1440"/>
          <cell r="G1440">
            <v>1000</v>
          </cell>
          <cell r="H1440" t="str">
            <v>Others</v>
          </cell>
          <cell r="I1440" t="str">
            <v>Exclusive</v>
          </cell>
          <cell r="J1440"/>
          <cell r="K1440" t="str">
            <v>KU</v>
          </cell>
          <cell r="L1440" t="str">
            <v>BINT31</v>
          </cell>
          <cell r="M1440" t="str">
            <v>Bintang Putri Karisma, CV</v>
          </cell>
          <cell r="N1440" t="str">
            <v>Bintang Putri Karisma, CV</v>
          </cell>
          <cell r="O1440" t="str">
            <v>Mojopahit AC 01, Lingk. Gerdu RT.004/RW., Sempusari, Kaliwates</v>
          </cell>
          <cell r="P1440" t="str">
            <v>Jember</v>
          </cell>
          <cell r="Q1440" t="str">
            <v>Mojopahit AC 01, Lingk. Gerdu RT.004/RW., Sempusari, Kaliwates</v>
          </cell>
          <cell r="R1440" t="str">
            <v>Jember</v>
          </cell>
          <cell r="S1440" t="str">
            <v>L Kota1</v>
          </cell>
          <cell r="T1440" t="str">
            <v>OTHERS</v>
          </cell>
          <cell r="U1440">
            <v>30</v>
          </cell>
        </row>
        <row r="1441">
          <cell r="E1441" t="str">
            <v>D25014062</v>
          </cell>
          <cell r="F1441"/>
          <cell r="G1441">
            <v>1000</v>
          </cell>
          <cell r="H1441" t="str">
            <v>Others</v>
          </cell>
          <cell r="I1441" t="str">
            <v>Exclusive</v>
          </cell>
          <cell r="J1441"/>
          <cell r="K1441" t="str">
            <v>KU</v>
          </cell>
          <cell r="L1441" t="str">
            <v>BINT31</v>
          </cell>
          <cell r="M1441" t="str">
            <v>Bintang Putri Karisma, CV</v>
          </cell>
          <cell r="N1441" t="str">
            <v>Bintang Putri Karisma, CV</v>
          </cell>
          <cell r="O1441" t="str">
            <v>Mojopahit AC 01, Lingk. Gerdu RT.004/RW., Sempusari, Kaliwates</v>
          </cell>
          <cell r="P1441" t="str">
            <v>Jember</v>
          </cell>
          <cell r="Q1441" t="str">
            <v>Mojopahit AC 01, Lingk. Gerdu RT.004/RW., Sempusari, Kaliwates</v>
          </cell>
          <cell r="R1441" t="str">
            <v>Jember</v>
          </cell>
          <cell r="S1441" t="str">
            <v>L Kota1</v>
          </cell>
          <cell r="T1441" t="str">
            <v>OTHERS</v>
          </cell>
          <cell r="U1441">
            <v>30</v>
          </cell>
        </row>
        <row r="1442">
          <cell r="E1442" t="str">
            <v>B25011881</v>
          </cell>
          <cell r="F1442"/>
          <cell r="G1442">
            <v>1000</v>
          </cell>
          <cell r="H1442" t="str">
            <v>Others</v>
          </cell>
          <cell r="I1442" t="str">
            <v>Exclusive</v>
          </cell>
          <cell r="J1442"/>
          <cell r="K1442" t="str">
            <v>KU</v>
          </cell>
          <cell r="L1442" t="str">
            <v>BINT31</v>
          </cell>
          <cell r="M1442" t="str">
            <v>Bintang Putri Karisma, CV</v>
          </cell>
          <cell r="N1442" t="str">
            <v>Bintang Putri Karisma, CV</v>
          </cell>
          <cell r="O1442" t="str">
            <v>Mojopahit AC 01, Lingk. Gerdu RT.004/RW., Sempusari, Kaliwates</v>
          </cell>
          <cell r="P1442" t="str">
            <v>Jember</v>
          </cell>
          <cell r="Q1442" t="str">
            <v>Mojopahit AC 01, Lingk. Gerdu RT.004/RW., Sempusari, Kaliwates</v>
          </cell>
          <cell r="R1442" t="str">
            <v>Jember</v>
          </cell>
          <cell r="S1442" t="str">
            <v>L Kota1</v>
          </cell>
          <cell r="T1442" t="str">
            <v>OTHERS</v>
          </cell>
          <cell r="U1442">
            <v>30</v>
          </cell>
        </row>
        <row r="1443">
          <cell r="E1443" t="str">
            <v>B25011932</v>
          </cell>
          <cell r="F1443"/>
          <cell r="G1443">
            <v>1000</v>
          </cell>
          <cell r="H1443" t="str">
            <v>Others</v>
          </cell>
          <cell r="I1443" t="str">
            <v>Exclusive</v>
          </cell>
          <cell r="J1443"/>
          <cell r="K1443" t="str">
            <v>KU</v>
          </cell>
          <cell r="L1443" t="str">
            <v>BINT31</v>
          </cell>
          <cell r="M1443" t="str">
            <v>Bintang Putri Karisma, CV</v>
          </cell>
          <cell r="N1443" t="str">
            <v>Bintang Putri Karisma, CV</v>
          </cell>
          <cell r="O1443" t="str">
            <v>Mojopahit AC 01, Lingk. Gerdu RT.004/RW., Sempusari, Kaliwates</v>
          </cell>
          <cell r="P1443" t="str">
            <v>Jember</v>
          </cell>
          <cell r="Q1443" t="str">
            <v>Mojopahit AC 01, Lingk. Gerdu RT.004/RW., Sempusari, Kaliwates</v>
          </cell>
          <cell r="R1443" t="str">
            <v>Jember</v>
          </cell>
          <cell r="S1443" t="str">
            <v>L Kota1</v>
          </cell>
          <cell r="T1443" t="str">
            <v>OTHERS</v>
          </cell>
          <cell r="U1443">
            <v>30</v>
          </cell>
        </row>
        <row r="1444">
          <cell r="E1444" t="str">
            <v>D25014259</v>
          </cell>
          <cell r="F1444"/>
          <cell r="G1444">
            <v>1000</v>
          </cell>
          <cell r="H1444" t="str">
            <v>Others</v>
          </cell>
          <cell r="I1444" t="str">
            <v>Exclusive</v>
          </cell>
          <cell r="J1444"/>
          <cell r="K1444" t="str">
            <v>KU</v>
          </cell>
          <cell r="L1444" t="str">
            <v>BINT31</v>
          </cell>
          <cell r="M1444" t="str">
            <v>Bintang Putri Karisma, CV</v>
          </cell>
          <cell r="N1444" t="str">
            <v>Bintang Putri Karisma, CV</v>
          </cell>
          <cell r="O1444" t="str">
            <v>Mojopahit AC 01, Lingk. Gerdu RT.004/RW., Sempusari, Kaliwates</v>
          </cell>
          <cell r="P1444" t="str">
            <v>Jember</v>
          </cell>
          <cell r="Q1444" t="str">
            <v>Mojopahit AC 01, Lingk. Gerdu RT.004/RW., Sempusari, Kaliwates</v>
          </cell>
          <cell r="R1444" t="str">
            <v>Jember</v>
          </cell>
          <cell r="S1444" t="str">
            <v>L Kota1</v>
          </cell>
          <cell r="T1444" t="str">
            <v>OTHERS</v>
          </cell>
          <cell r="U1444">
            <v>30</v>
          </cell>
        </row>
        <row r="1445">
          <cell r="E1445" t="str">
            <v>B25012115</v>
          </cell>
          <cell r="F1445"/>
          <cell r="G1445">
            <v>1000</v>
          </cell>
          <cell r="H1445" t="str">
            <v>Others</v>
          </cell>
          <cell r="I1445" t="str">
            <v>Exclusive</v>
          </cell>
          <cell r="J1445"/>
          <cell r="K1445" t="str">
            <v>KU</v>
          </cell>
          <cell r="L1445" t="str">
            <v>BINT31</v>
          </cell>
          <cell r="M1445" t="str">
            <v>Bintang Putri Karisma, CV</v>
          </cell>
          <cell r="N1445" t="str">
            <v>Bintang Putri Karisma, CV</v>
          </cell>
          <cell r="O1445" t="str">
            <v>Mojopahit AC 01, Lingk. Gerdu RT.004/RW., Sempusari, Kaliwates</v>
          </cell>
          <cell r="P1445" t="str">
            <v>Jember</v>
          </cell>
          <cell r="Q1445" t="str">
            <v>Mojopahit AC 01, Lingk. Gerdu RT.004/RW., Sempusari, Kaliwates</v>
          </cell>
          <cell r="R1445" t="str">
            <v>Jember</v>
          </cell>
          <cell r="S1445" t="str">
            <v>L Kota1</v>
          </cell>
          <cell r="T1445" t="str">
            <v>OTHERS</v>
          </cell>
          <cell r="U1445">
            <v>30</v>
          </cell>
        </row>
        <row r="1446">
          <cell r="E1446" t="str">
            <v>D25014338</v>
          </cell>
          <cell r="F1446"/>
          <cell r="G1446">
            <v>1000</v>
          </cell>
          <cell r="H1446" t="str">
            <v>Others</v>
          </cell>
          <cell r="I1446" t="str">
            <v>Exclusive</v>
          </cell>
          <cell r="J1446"/>
          <cell r="K1446" t="str">
            <v>KU</v>
          </cell>
          <cell r="L1446" t="str">
            <v>BINT31</v>
          </cell>
          <cell r="M1446" t="str">
            <v>Bintang Putri Karisma, CV</v>
          </cell>
          <cell r="N1446" t="str">
            <v>Bintang Putri Karisma, CV</v>
          </cell>
          <cell r="O1446" t="str">
            <v>Mojopahit AC 01, Lingk. Gerdu RT.004/RW., Sempusari, Kaliwates</v>
          </cell>
          <cell r="P1446" t="str">
            <v>Jember</v>
          </cell>
          <cell r="Q1446" t="str">
            <v>Mojopahit AC 01, Lingk. Gerdu RT.004/RW., Sempusari, Kaliwates</v>
          </cell>
          <cell r="R1446" t="str">
            <v>Jember</v>
          </cell>
          <cell r="S1446" t="str">
            <v>L Kota1</v>
          </cell>
          <cell r="T1446" t="str">
            <v>OTHERS</v>
          </cell>
          <cell r="U1446">
            <v>30</v>
          </cell>
        </row>
        <row r="1447">
          <cell r="E1447" t="str">
            <v>D25014386</v>
          </cell>
          <cell r="F1447"/>
          <cell r="G1447">
            <v>1000</v>
          </cell>
          <cell r="H1447" t="str">
            <v>Others</v>
          </cell>
          <cell r="I1447" t="str">
            <v>Exclusive</v>
          </cell>
          <cell r="J1447"/>
          <cell r="K1447" t="str">
            <v>KU</v>
          </cell>
          <cell r="L1447" t="str">
            <v>BINT31</v>
          </cell>
          <cell r="M1447" t="str">
            <v>Bintang Putri Karisma, CV</v>
          </cell>
          <cell r="N1447" t="str">
            <v>Bintang Putri Karisma, CV</v>
          </cell>
          <cell r="O1447" t="str">
            <v>Mojopahit AC 01, Lingk. Gerdu RT.004/RW., Sempusari, Kaliwates</v>
          </cell>
          <cell r="P1447" t="str">
            <v>Jember</v>
          </cell>
          <cell r="Q1447" t="str">
            <v>Mojopahit AC 01, Lingk. Gerdu RT.004/RW., Sempusari, Kaliwates</v>
          </cell>
          <cell r="R1447" t="str">
            <v>Jember</v>
          </cell>
          <cell r="S1447" t="str">
            <v>L Kota1</v>
          </cell>
          <cell r="T1447" t="str">
            <v>OTHERS</v>
          </cell>
          <cell r="U1447">
            <v>30</v>
          </cell>
        </row>
        <row r="1448">
          <cell r="E1448" t="str">
            <v>D25014387</v>
          </cell>
          <cell r="F1448"/>
          <cell r="G1448">
            <v>1000</v>
          </cell>
          <cell r="H1448" t="str">
            <v>Others</v>
          </cell>
          <cell r="I1448" t="str">
            <v>Exclusive</v>
          </cell>
          <cell r="J1448"/>
          <cell r="K1448" t="str">
            <v>KU</v>
          </cell>
          <cell r="L1448" t="str">
            <v>BINT31</v>
          </cell>
          <cell r="M1448" t="str">
            <v>Bintang Putri Karisma, CV</v>
          </cell>
          <cell r="N1448" t="str">
            <v>Bintang Putri Karisma, CV</v>
          </cell>
          <cell r="O1448" t="str">
            <v>Mojopahit AC 01, Lingk. Gerdu RT.004/RW., Sempusari, Kaliwates</v>
          </cell>
          <cell r="P1448" t="str">
            <v>Jember</v>
          </cell>
          <cell r="Q1448" t="str">
            <v>Mojopahit AC 01, Lingk. Gerdu RT.004/RW., Sempusari, Kaliwates</v>
          </cell>
          <cell r="R1448" t="str">
            <v>Jember</v>
          </cell>
          <cell r="S1448" t="str">
            <v>L Kota1</v>
          </cell>
          <cell r="T1448" t="str">
            <v>OTHERS</v>
          </cell>
          <cell r="U1448">
            <v>30</v>
          </cell>
        </row>
        <row r="1449">
          <cell r="E1449" t="str">
            <v>B25012156</v>
          </cell>
          <cell r="F1449"/>
          <cell r="G1449">
            <v>1000</v>
          </cell>
          <cell r="H1449" t="str">
            <v>Others</v>
          </cell>
          <cell r="I1449" t="str">
            <v>Exclusive</v>
          </cell>
          <cell r="J1449"/>
          <cell r="K1449" t="str">
            <v>KU</v>
          </cell>
          <cell r="L1449" t="str">
            <v>BINT31</v>
          </cell>
          <cell r="M1449" t="str">
            <v>Bintang Putri Karisma, CV</v>
          </cell>
          <cell r="N1449" t="str">
            <v>Bintang Putri Karisma, CV</v>
          </cell>
          <cell r="O1449" t="str">
            <v>Mojopahit AC 01, Lingk. Gerdu RT.004/RW., Sempusari, Kaliwates</v>
          </cell>
          <cell r="P1449" t="str">
            <v>Jember</v>
          </cell>
          <cell r="Q1449" t="str">
            <v>Mojopahit AC 01, Lingk. Gerdu RT.004/RW., Sempusari, Kaliwates</v>
          </cell>
          <cell r="R1449" t="str">
            <v>Jember</v>
          </cell>
          <cell r="S1449" t="str">
            <v>L Kota1</v>
          </cell>
          <cell r="T1449" t="str">
            <v>OTHERS</v>
          </cell>
          <cell r="U1449">
            <v>30</v>
          </cell>
        </row>
        <row r="1450">
          <cell r="E1450" t="str">
            <v>B25012190</v>
          </cell>
          <cell r="F1450"/>
          <cell r="G1450">
            <v>1000</v>
          </cell>
          <cell r="H1450" t="str">
            <v>Others</v>
          </cell>
          <cell r="I1450" t="str">
            <v>Exclusive</v>
          </cell>
          <cell r="J1450"/>
          <cell r="K1450" t="str">
            <v>KU</v>
          </cell>
          <cell r="L1450" t="str">
            <v>BINT31</v>
          </cell>
          <cell r="M1450" t="str">
            <v>Bintang Putri Karisma, CV</v>
          </cell>
          <cell r="N1450" t="str">
            <v>Bintang Putri Karisma, CV</v>
          </cell>
          <cell r="O1450" t="str">
            <v>Mojopahit AC 01, Lingk. Gerdu RT.004/RW., Sempusari, Kaliwates</v>
          </cell>
          <cell r="P1450" t="str">
            <v>Jember</v>
          </cell>
          <cell r="Q1450" t="str">
            <v>Mojopahit AC 01, Lingk. Gerdu RT.004/RW., Sempusari, Kaliwates</v>
          </cell>
          <cell r="R1450" t="str">
            <v>Jember</v>
          </cell>
          <cell r="S1450" t="str">
            <v>L Kota1</v>
          </cell>
          <cell r="T1450" t="str">
            <v>OTHERS</v>
          </cell>
          <cell r="U1450">
            <v>0</v>
          </cell>
        </row>
        <row r="1451">
          <cell r="E1451" t="str">
            <v>B25012192</v>
          </cell>
          <cell r="F1451"/>
          <cell r="G1451">
            <v>1000</v>
          </cell>
          <cell r="H1451" t="str">
            <v>Others</v>
          </cell>
          <cell r="I1451" t="str">
            <v>Exclusive</v>
          </cell>
          <cell r="J1451"/>
          <cell r="K1451" t="str">
            <v>KU</v>
          </cell>
          <cell r="L1451" t="str">
            <v>BINT31</v>
          </cell>
          <cell r="M1451" t="str">
            <v>Bintang Putri Karisma, CV</v>
          </cell>
          <cell r="N1451" t="str">
            <v>Bintang Putri Karisma, CV</v>
          </cell>
          <cell r="O1451" t="str">
            <v>Mojopahit AC 01, Lingk. Gerdu RT.004/RW., Sempusari, Kaliwates</v>
          </cell>
          <cell r="P1451" t="str">
            <v>Jember</v>
          </cell>
          <cell r="Q1451" t="str">
            <v>Mojopahit AC 01, Lingk. Gerdu RT.004/RW., Sempusari, Kaliwates</v>
          </cell>
          <cell r="R1451" t="str">
            <v>Jember</v>
          </cell>
          <cell r="S1451" t="str">
            <v>L Kota1</v>
          </cell>
          <cell r="T1451" t="str">
            <v>OTHERS</v>
          </cell>
          <cell r="U1451">
            <v>0</v>
          </cell>
        </row>
        <row r="1452">
          <cell r="E1452" t="str">
            <v>D25014432</v>
          </cell>
          <cell r="F1452"/>
          <cell r="G1452">
            <v>1000</v>
          </cell>
          <cell r="H1452" t="str">
            <v>Others</v>
          </cell>
          <cell r="I1452" t="str">
            <v>Exclusive</v>
          </cell>
          <cell r="J1452"/>
          <cell r="K1452" t="str">
            <v>KU</v>
          </cell>
          <cell r="L1452" t="str">
            <v>BINT31</v>
          </cell>
          <cell r="M1452" t="str">
            <v>Bintang Putri Karisma, CV</v>
          </cell>
          <cell r="N1452" t="str">
            <v>Bintang Putri Karisma, CV</v>
          </cell>
          <cell r="O1452" t="str">
            <v>Mojopahit AC 01, Lingk. Gerdu RT.004/RW., Sempusari, Kaliwates</v>
          </cell>
          <cell r="P1452" t="str">
            <v>Jember</v>
          </cell>
          <cell r="Q1452" t="str">
            <v>Mojopahit AC 01, Lingk. Gerdu RT.004/RW., Sempusari, Kaliwates</v>
          </cell>
          <cell r="R1452" t="str">
            <v>Jember</v>
          </cell>
          <cell r="S1452" t="str">
            <v>L Kota1</v>
          </cell>
          <cell r="T1452" t="str">
            <v>OTHERS</v>
          </cell>
          <cell r="U1452">
            <v>30</v>
          </cell>
        </row>
        <row r="1453">
          <cell r="E1453" t="str">
            <v>D25014441</v>
          </cell>
          <cell r="F1453"/>
          <cell r="G1453">
            <v>1000</v>
          </cell>
          <cell r="H1453" t="str">
            <v>Others</v>
          </cell>
          <cell r="I1453" t="str">
            <v>Exclusive</v>
          </cell>
          <cell r="J1453"/>
          <cell r="K1453" t="str">
            <v>KU</v>
          </cell>
          <cell r="L1453" t="str">
            <v>BINT31</v>
          </cell>
          <cell r="M1453" t="str">
            <v>Bintang Putri Karisma, CV</v>
          </cell>
          <cell r="N1453" t="str">
            <v>Bintang Putri Karisma, CV</v>
          </cell>
          <cell r="O1453" t="str">
            <v>Mojopahit AC 01, Lingk. Gerdu RT.004/RW., Sempusari, Kaliwates</v>
          </cell>
          <cell r="P1453" t="str">
            <v>Jember</v>
          </cell>
          <cell r="Q1453" t="str">
            <v>Mojopahit AC 01, Lingk. Gerdu RT.004/RW., Sempusari, Kaliwates</v>
          </cell>
          <cell r="R1453" t="str">
            <v>Jember</v>
          </cell>
          <cell r="S1453" t="str">
            <v>L Kota1</v>
          </cell>
          <cell r="T1453" t="str">
            <v>OTHERS</v>
          </cell>
          <cell r="U1453">
            <v>0</v>
          </cell>
        </row>
        <row r="1454">
          <cell r="E1454" t="str">
            <v>B25012225</v>
          </cell>
          <cell r="F1454"/>
          <cell r="G1454">
            <v>1000</v>
          </cell>
          <cell r="H1454" t="str">
            <v>Others</v>
          </cell>
          <cell r="I1454" t="str">
            <v>Exclusive</v>
          </cell>
          <cell r="J1454"/>
          <cell r="K1454" t="str">
            <v>KU</v>
          </cell>
          <cell r="L1454" t="str">
            <v>BINT31</v>
          </cell>
          <cell r="M1454" t="str">
            <v>Bintang Putri Karisma, CV</v>
          </cell>
          <cell r="N1454" t="str">
            <v>Bintang Putri Karisma, CV</v>
          </cell>
          <cell r="O1454" t="str">
            <v>Mojopahit AC 01, Lingk. Gerdu RT.004/RW., Sempusari, Kaliwates</v>
          </cell>
          <cell r="P1454" t="str">
            <v>Jember</v>
          </cell>
          <cell r="Q1454" t="str">
            <v>Mojopahit AC 01, Lingk. Gerdu RT.004/RW., Sempusari, Kaliwates</v>
          </cell>
          <cell r="R1454" t="str">
            <v>Jember</v>
          </cell>
          <cell r="S1454" t="str">
            <v>L Kota1</v>
          </cell>
          <cell r="T1454" t="str">
            <v>OTHERS</v>
          </cell>
          <cell r="U1454">
            <v>0</v>
          </cell>
        </row>
        <row r="1455">
          <cell r="E1455" t="str">
            <v>D25014504</v>
          </cell>
          <cell r="F1455"/>
          <cell r="G1455">
            <v>1000</v>
          </cell>
          <cell r="H1455" t="str">
            <v>Others</v>
          </cell>
          <cell r="I1455" t="str">
            <v>Exclusive</v>
          </cell>
          <cell r="J1455"/>
          <cell r="K1455" t="str">
            <v>KU</v>
          </cell>
          <cell r="L1455" t="str">
            <v>BINT31</v>
          </cell>
          <cell r="M1455" t="str">
            <v>Bintang Putri Karisma, CV</v>
          </cell>
          <cell r="N1455" t="str">
            <v>Bintang Putri Karisma, CV</v>
          </cell>
          <cell r="O1455" t="str">
            <v>Mojopahit AC 01, Lingk. Gerdu RT.004/RW., Sempusari, Kaliwates</v>
          </cell>
          <cell r="P1455" t="str">
            <v>Jember</v>
          </cell>
          <cell r="Q1455" t="str">
            <v>Mojopahit AC 01, Lingk. Gerdu RT.004/RW., Sempusari, Kaliwates</v>
          </cell>
          <cell r="R1455" t="str">
            <v>Jember</v>
          </cell>
          <cell r="S1455" t="str">
            <v>L Kota1</v>
          </cell>
          <cell r="T1455" t="str">
            <v>OTHERS</v>
          </cell>
          <cell r="U1455">
            <v>30</v>
          </cell>
        </row>
        <row r="1456">
          <cell r="E1456" t="str">
            <v>B25012306</v>
          </cell>
          <cell r="F1456"/>
          <cell r="G1456">
            <v>1000</v>
          </cell>
          <cell r="H1456" t="str">
            <v>Others</v>
          </cell>
          <cell r="I1456" t="str">
            <v>Exclusive</v>
          </cell>
          <cell r="J1456"/>
          <cell r="K1456" t="str">
            <v>KU</v>
          </cell>
          <cell r="L1456" t="str">
            <v>BINT31</v>
          </cell>
          <cell r="M1456" t="str">
            <v>Bintang Putri Karisma, CV</v>
          </cell>
          <cell r="N1456" t="str">
            <v>Bintang Putri Karisma, CV</v>
          </cell>
          <cell r="O1456" t="str">
            <v>Mojopahit AC 01, Lingk. Gerdu RT.004/RW., Sempusari, Kaliwates</v>
          </cell>
          <cell r="P1456" t="str">
            <v>Jember</v>
          </cell>
          <cell r="Q1456" t="str">
            <v>Mojopahit AC 01, Lingk. Gerdu RT.004/RW., Sempusari, Kaliwates</v>
          </cell>
          <cell r="R1456" t="str">
            <v>Jember</v>
          </cell>
          <cell r="S1456" t="str">
            <v>L Kota1</v>
          </cell>
          <cell r="T1456" t="str">
            <v>OTHERS</v>
          </cell>
          <cell r="U1456">
            <v>30</v>
          </cell>
        </row>
        <row r="1457">
          <cell r="E1457" t="str">
            <v>B25012320</v>
          </cell>
          <cell r="F1457"/>
          <cell r="G1457">
            <v>1000</v>
          </cell>
          <cell r="H1457" t="str">
            <v>Others</v>
          </cell>
          <cell r="I1457" t="str">
            <v>Exclusive</v>
          </cell>
          <cell r="J1457"/>
          <cell r="K1457" t="str">
            <v>KU</v>
          </cell>
          <cell r="L1457" t="str">
            <v>BINT31</v>
          </cell>
          <cell r="M1457" t="str">
            <v>Bintang Putri Karisma, CV</v>
          </cell>
          <cell r="N1457" t="str">
            <v>Bintang Putri Karisma, CV</v>
          </cell>
          <cell r="O1457" t="str">
            <v>Mojopahit AC 01, Lingk. Gerdu RT.004/RW., Sempusari, Kaliwates</v>
          </cell>
          <cell r="P1457" t="str">
            <v>Jember</v>
          </cell>
          <cell r="Q1457" t="str">
            <v>Mojopahit AC 01, Lingk. Gerdu RT.004/RW., Sempusari, Kaliwates</v>
          </cell>
          <cell r="R1457" t="str">
            <v>Jember</v>
          </cell>
          <cell r="S1457" t="str">
            <v>L Kota1</v>
          </cell>
          <cell r="T1457" t="str">
            <v>OTHERS</v>
          </cell>
          <cell r="U1457">
            <v>30</v>
          </cell>
        </row>
        <row r="1458">
          <cell r="E1458" t="str">
            <v>B25012330</v>
          </cell>
          <cell r="F1458"/>
          <cell r="G1458">
            <v>1000</v>
          </cell>
          <cell r="H1458" t="str">
            <v>Others</v>
          </cell>
          <cell r="I1458" t="str">
            <v>Exclusive</v>
          </cell>
          <cell r="J1458"/>
          <cell r="K1458" t="str">
            <v>KU</v>
          </cell>
          <cell r="L1458" t="str">
            <v>BINT31</v>
          </cell>
          <cell r="M1458" t="str">
            <v>Bintang Putri Karisma, CV</v>
          </cell>
          <cell r="N1458" t="str">
            <v>Bintang Putri Karisma, CV</v>
          </cell>
          <cell r="O1458" t="str">
            <v>Mojopahit AC 01, Lingk. Gerdu RT.004/RW., Sempusari, Kaliwates</v>
          </cell>
          <cell r="P1458" t="str">
            <v>Jember</v>
          </cell>
          <cell r="Q1458" t="str">
            <v>Mojopahit AC 01, Lingk. Gerdu RT.004/RW., Sempusari, Kaliwates</v>
          </cell>
          <cell r="R1458" t="str">
            <v>Jember</v>
          </cell>
          <cell r="S1458" t="str">
            <v>L Kota1</v>
          </cell>
          <cell r="T1458" t="str">
            <v>OTHERS</v>
          </cell>
          <cell r="U1458">
            <v>30</v>
          </cell>
        </row>
        <row r="1459">
          <cell r="E1459" t="str">
            <v>B25012350</v>
          </cell>
          <cell r="F1459"/>
          <cell r="G1459">
            <v>1000</v>
          </cell>
          <cell r="H1459" t="str">
            <v>Others</v>
          </cell>
          <cell r="I1459" t="str">
            <v>Exclusive</v>
          </cell>
          <cell r="J1459"/>
          <cell r="K1459" t="str">
            <v>KU</v>
          </cell>
          <cell r="L1459" t="str">
            <v>BINT31</v>
          </cell>
          <cell r="M1459" t="str">
            <v>Bintang Putri Karisma, CV</v>
          </cell>
          <cell r="N1459" t="str">
            <v>Bintang Putri Karisma, CV</v>
          </cell>
          <cell r="O1459" t="str">
            <v>Mojopahit AC 01, Lingk. Gerdu RT.004/RW., Sempusari, Kaliwates</v>
          </cell>
          <cell r="P1459" t="str">
            <v>Jember</v>
          </cell>
          <cell r="Q1459" t="str">
            <v>Mojopahit AC 01, Lingk. Gerdu RT.004/RW., Sempusari, Kaliwates</v>
          </cell>
          <cell r="R1459" t="str">
            <v>Jember</v>
          </cell>
          <cell r="S1459" t="str">
            <v>L Kota1</v>
          </cell>
          <cell r="T1459" t="str">
            <v>OTHERS</v>
          </cell>
          <cell r="U1459">
            <v>30</v>
          </cell>
        </row>
        <row r="1460">
          <cell r="E1460" t="str">
            <v>B25012372</v>
          </cell>
          <cell r="F1460"/>
          <cell r="G1460">
            <v>1000</v>
          </cell>
          <cell r="H1460" t="str">
            <v>Others</v>
          </cell>
          <cell r="I1460" t="str">
            <v>Exclusive</v>
          </cell>
          <cell r="J1460"/>
          <cell r="K1460" t="str">
            <v>KU</v>
          </cell>
          <cell r="L1460" t="str">
            <v>BINT31</v>
          </cell>
          <cell r="M1460" t="str">
            <v>Bintang Putri Karisma, CV</v>
          </cell>
          <cell r="N1460" t="str">
            <v>Bintang Putri Karisma, CV</v>
          </cell>
          <cell r="O1460" t="str">
            <v>Mojopahit AC 01, Lingk. Gerdu RT.004/RW., Sempusari, Kaliwates</v>
          </cell>
          <cell r="P1460" t="str">
            <v>Jember</v>
          </cell>
          <cell r="Q1460" t="str">
            <v>Mojopahit AC 01, Lingk. Gerdu RT.004/RW., Sempusari, Kaliwates</v>
          </cell>
          <cell r="R1460" t="str">
            <v>Jember</v>
          </cell>
          <cell r="S1460" t="str">
            <v>L Kota1</v>
          </cell>
          <cell r="T1460" t="str">
            <v>OTHERS</v>
          </cell>
          <cell r="U1460">
            <v>0</v>
          </cell>
        </row>
        <row r="1461">
          <cell r="E1461" t="str">
            <v>D25014652</v>
          </cell>
          <cell r="F1461"/>
          <cell r="G1461">
            <v>1000</v>
          </cell>
          <cell r="H1461" t="str">
            <v>Others</v>
          </cell>
          <cell r="I1461" t="str">
            <v>Exclusive</v>
          </cell>
          <cell r="J1461"/>
          <cell r="K1461" t="str">
            <v>KU</v>
          </cell>
          <cell r="L1461" t="str">
            <v>BINT31</v>
          </cell>
          <cell r="M1461" t="str">
            <v>Bintang Putri Karisma, CV</v>
          </cell>
          <cell r="N1461" t="str">
            <v>Bintang Putri Karisma, CV</v>
          </cell>
          <cell r="O1461" t="str">
            <v>Mojopahit AC 01, Lingk. Gerdu RT.004/RW., Sempusari, Kaliwates</v>
          </cell>
          <cell r="P1461" t="str">
            <v>Jember</v>
          </cell>
          <cell r="Q1461" t="str">
            <v>Mojopahit AC 01, Lingk. Gerdu RT.004/RW., Sempusari, Kaliwates</v>
          </cell>
          <cell r="R1461" t="str">
            <v>Jember</v>
          </cell>
          <cell r="S1461" t="str">
            <v>L Kota1</v>
          </cell>
          <cell r="T1461" t="str">
            <v>OTHERS</v>
          </cell>
          <cell r="U1461">
            <v>30</v>
          </cell>
        </row>
        <row r="1462">
          <cell r="E1462" t="str">
            <v>D25014655</v>
          </cell>
          <cell r="F1462"/>
          <cell r="G1462">
            <v>1000</v>
          </cell>
          <cell r="H1462" t="str">
            <v>Others</v>
          </cell>
          <cell r="I1462" t="str">
            <v>Exclusive</v>
          </cell>
          <cell r="J1462"/>
          <cell r="K1462" t="str">
            <v>KU</v>
          </cell>
          <cell r="L1462" t="str">
            <v>BINT31</v>
          </cell>
          <cell r="M1462" t="str">
            <v>Bintang Putri Karisma, CV</v>
          </cell>
          <cell r="N1462" t="str">
            <v>Bintang Putri Karisma, CV</v>
          </cell>
          <cell r="O1462" t="str">
            <v>Mojopahit AC 01, Lingk. Gerdu RT.004/RW., Sempusari, Kaliwates</v>
          </cell>
          <cell r="P1462" t="str">
            <v>Jember</v>
          </cell>
          <cell r="Q1462" t="str">
            <v>Mojopahit AC 01, Lingk. Gerdu RT.004/RW., Sempusari, Kaliwates</v>
          </cell>
          <cell r="R1462" t="str">
            <v>Jember</v>
          </cell>
          <cell r="S1462" t="str">
            <v>L Kota1</v>
          </cell>
          <cell r="T1462" t="str">
            <v>OTHERS</v>
          </cell>
          <cell r="U1462">
            <v>30</v>
          </cell>
        </row>
        <row r="1463">
          <cell r="E1463" t="str">
            <v>D25014664</v>
          </cell>
          <cell r="F1463"/>
          <cell r="G1463">
            <v>1000</v>
          </cell>
          <cell r="H1463" t="str">
            <v>Others</v>
          </cell>
          <cell r="I1463" t="str">
            <v>Exclusive</v>
          </cell>
          <cell r="J1463"/>
          <cell r="K1463" t="str">
            <v>KU</v>
          </cell>
          <cell r="L1463" t="str">
            <v>BINT31</v>
          </cell>
          <cell r="M1463" t="str">
            <v>Bintang Putri Karisma, CV</v>
          </cell>
          <cell r="N1463" t="str">
            <v>Bintang Putri Karisma, CV</v>
          </cell>
          <cell r="O1463" t="str">
            <v>Mojopahit AC 01, Lingk. Gerdu RT.004/RW., Sempusari, Kaliwates</v>
          </cell>
          <cell r="P1463" t="str">
            <v>Jember</v>
          </cell>
          <cell r="Q1463" t="str">
            <v>Mojopahit AC 01, Lingk. Gerdu RT.004/RW., Sempusari, Kaliwates</v>
          </cell>
          <cell r="R1463" t="str">
            <v>Jember</v>
          </cell>
          <cell r="S1463" t="str">
            <v>L Kota1</v>
          </cell>
          <cell r="T1463" t="str">
            <v>OTHERS</v>
          </cell>
          <cell r="U1463">
            <v>30</v>
          </cell>
        </row>
        <row r="1464">
          <cell r="E1464" t="str">
            <v>B25012456</v>
          </cell>
          <cell r="F1464"/>
          <cell r="G1464">
            <v>1000</v>
          </cell>
          <cell r="H1464" t="str">
            <v>Others</v>
          </cell>
          <cell r="I1464" t="str">
            <v>Exclusive</v>
          </cell>
          <cell r="J1464"/>
          <cell r="K1464" t="str">
            <v>KU</v>
          </cell>
          <cell r="L1464" t="str">
            <v>BINT31</v>
          </cell>
          <cell r="M1464" t="str">
            <v>Bintang Putri Karisma, CV</v>
          </cell>
          <cell r="N1464" t="str">
            <v>Bintang Putri Karisma, CV</v>
          </cell>
          <cell r="O1464" t="str">
            <v>Mojopahit AC 01, Lingk. Gerdu RT.004/RW., Sempusari, Kaliwates</v>
          </cell>
          <cell r="P1464" t="str">
            <v>Jember</v>
          </cell>
          <cell r="Q1464" t="str">
            <v>Mojopahit AC 01, Lingk. Gerdu RT.004/RW., Sempusari, Kaliwates</v>
          </cell>
          <cell r="R1464" t="str">
            <v>Jember</v>
          </cell>
          <cell r="S1464" t="str">
            <v>L Kota1</v>
          </cell>
          <cell r="T1464" t="str">
            <v>OTHERS</v>
          </cell>
          <cell r="U1464">
            <v>30</v>
          </cell>
        </row>
        <row r="1465">
          <cell r="E1465" t="str">
            <v>D25014791</v>
          </cell>
          <cell r="F1465"/>
          <cell r="G1465">
            <v>1000</v>
          </cell>
          <cell r="H1465" t="str">
            <v>Others</v>
          </cell>
          <cell r="I1465" t="str">
            <v>Exclusive</v>
          </cell>
          <cell r="J1465"/>
          <cell r="K1465" t="str">
            <v>KU</v>
          </cell>
          <cell r="L1465" t="str">
            <v>BINT31</v>
          </cell>
          <cell r="M1465" t="str">
            <v>Bintang Putri Karisma, CV</v>
          </cell>
          <cell r="N1465" t="str">
            <v>Bintang Putri Karisma, CV</v>
          </cell>
          <cell r="O1465" t="str">
            <v>Mojopahit AC 01, Lingk. Gerdu RT.004/RW., Sempusari, Kaliwates</v>
          </cell>
          <cell r="P1465" t="str">
            <v>Jember</v>
          </cell>
          <cell r="Q1465" t="str">
            <v>Mojopahit AC 01, Lingk. Gerdu RT.004/RW., Sempusari, Kaliwates</v>
          </cell>
          <cell r="R1465" t="str">
            <v>Jember</v>
          </cell>
          <cell r="S1465" t="str">
            <v>L Kota1</v>
          </cell>
          <cell r="T1465" t="str">
            <v>OTHERS</v>
          </cell>
          <cell r="U1465">
            <v>30</v>
          </cell>
        </row>
        <row r="1466">
          <cell r="E1466" t="str">
            <v>B25012585</v>
          </cell>
          <cell r="F1466"/>
          <cell r="G1466">
            <v>1000</v>
          </cell>
          <cell r="H1466" t="str">
            <v>Others</v>
          </cell>
          <cell r="I1466" t="str">
            <v>Exclusive</v>
          </cell>
          <cell r="J1466"/>
          <cell r="K1466" t="str">
            <v>KU</v>
          </cell>
          <cell r="L1466" t="str">
            <v>BINT31</v>
          </cell>
          <cell r="M1466" t="str">
            <v>Bintang Putri Karisma, CV</v>
          </cell>
          <cell r="N1466" t="str">
            <v>Bintang Putri Karisma, CV</v>
          </cell>
          <cell r="O1466" t="str">
            <v>Mojopahit AC 01, Lingk. Gerdu RT.004/RW., Sempusari, Kaliwates</v>
          </cell>
          <cell r="P1466" t="str">
            <v>Jember</v>
          </cell>
          <cell r="Q1466" t="str">
            <v>Mojopahit AC 01, Lingk. Gerdu RT.004/RW., Sempusari, Kaliwates</v>
          </cell>
          <cell r="R1466" t="str">
            <v>Jember</v>
          </cell>
          <cell r="S1466" t="str">
            <v>L Kota1</v>
          </cell>
          <cell r="T1466" t="str">
            <v>OTHERS</v>
          </cell>
          <cell r="U1466">
            <v>30</v>
          </cell>
        </row>
        <row r="1467">
          <cell r="E1467" t="str">
            <v>B25012597</v>
          </cell>
          <cell r="F1467"/>
          <cell r="G1467">
            <v>1000</v>
          </cell>
          <cell r="H1467" t="str">
            <v>Others</v>
          </cell>
          <cell r="I1467" t="str">
            <v>Exclusive</v>
          </cell>
          <cell r="J1467"/>
          <cell r="K1467" t="str">
            <v>KU</v>
          </cell>
          <cell r="L1467" t="str">
            <v>BINT31</v>
          </cell>
          <cell r="M1467" t="str">
            <v>Bintang Putri Karisma, CV</v>
          </cell>
          <cell r="N1467" t="str">
            <v>Bintang Putri Karisma, CV</v>
          </cell>
          <cell r="O1467" t="str">
            <v>Mojopahit AC 01, Lingk. Gerdu RT.004/RW., Sempusari, Kaliwates</v>
          </cell>
          <cell r="P1467" t="str">
            <v>Jember</v>
          </cell>
          <cell r="Q1467" t="str">
            <v>Mojopahit AC 01, Lingk. Gerdu RT.004/RW., Sempusari, Kaliwates</v>
          </cell>
          <cell r="R1467" t="str">
            <v>Jember</v>
          </cell>
          <cell r="S1467" t="str">
            <v>L Kota1</v>
          </cell>
          <cell r="T1467" t="str">
            <v>OTHERS</v>
          </cell>
          <cell r="U1467">
            <v>30</v>
          </cell>
        </row>
        <row r="1468">
          <cell r="E1468" t="str">
            <v>B25012598</v>
          </cell>
          <cell r="F1468"/>
          <cell r="G1468">
            <v>1000</v>
          </cell>
          <cell r="H1468" t="str">
            <v>Others</v>
          </cell>
          <cell r="I1468" t="str">
            <v>Exclusive</v>
          </cell>
          <cell r="J1468"/>
          <cell r="K1468" t="str">
            <v>KU</v>
          </cell>
          <cell r="L1468" t="str">
            <v>BINT31</v>
          </cell>
          <cell r="M1468" t="str">
            <v>Bintang Putri Karisma, CV</v>
          </cell>
          <cell r="N1468" t="str">
            <v>Bintang Putri Karisma, CV</v>
          </cell>
          <cell r="O1468" t="str">
            <v>Mojopahit AC 01, Lingk. Gerdu RT.004/RW., Sempusari, Kaliwates</v>
          </cell>
          <cell r="P1468" t="str">
            <v>Jember</v>
          </cell>
          <cell r="Q1468" t="str">
            <v>Mojopahit AC 01, Lingk. Gerdu RT.004/RW., Sempusari, Kaliwates</v>
          </cell>
          <cell r="R1468" t="str">
            <v>Jember</v>
          </cell>
          <cell r="S1468" t="str">
            <v>L Kota1</v>
          </cell>
          <cell r="T1468" t="str">
            <v>OTHERS</v>
          </cell>
          <cell r="U1468">
            <v>60</v>
          </cell>
        </row>
        <row r="1469">
          <cell r="E1469" t="str">
            <v>B25012648</v>
          </cell>
          <cell r="F1469"/>
          <cell r="G1469">
            <v>1000</v>
          </cell>
          <cell r="H1469" t="str">
            <v>Others</v>
          </cell>
          <cell r="I1469" t="str">
            <v>Exclusive</v>
          </cell>
          <cell r="J1469"/>
          <cell r="K1469" t="str">
            <v>KU</v>
          </cell>
          <cell r="L1469" t="str">
            <v>BINT31</v>
          </cell>
          <cell r="M1469" t="str">
            <v>Bintang Putri Karisma, CV</v>
          </cell>
          <cell r="N1469" t="str">
            <v>Bintang Putri Karisma, CV</v>
          </cell>
          <cell r="O1469" t="str">
            <v>Mojopahit AC 01, Lingk. Gerdu RT.004/RW., Sempusari, Kaliwates</v>
          </cell>
          <cell r="P1469" t="str">
            <v>Jember</v>
          </cell>
          <cell r="Q1469" t="str">
            <v>Mojopahit AC 01, Lingk. Gerdu RT.004/RW., Sempusari, Kaliwates</v>
          </cell>
          <cell r="R1469" t="str">
            <v>Jember</v>
          </cell>
          <cell r="S1469" t="str">
            <v>L Kota1</v>
          </cell>
          <cell r="T1469" t="str">
            <v>OTHERS</v>
          </cell>
          <cell r="U1469">
            <v>30</v>
          </cell>
        </row>
        <row r="1470">
          <cell r="E1470" t="str">
            <v>D25014963</v>
          </cell>
          <cell r="F1470"/>
          <cell r="G1470">
            <v>1000</v>
          </cell>
          <cell r="H1470" t="str">
            <v>Others</v>
          </cell>
          <cell r="I1470" t="str">
            <v>Exclusive</v>
          </cell>
          <cell r="J1470"/>
          <cell r="K1470" t="str">
            <v>KU</v>
          </cell>
          <cell r="L1470" t="str">
            <v>BINT31</v>
          </cell>
          <cell r="M1470" t="str">
            <v>Bintang Putri Karisma, CV</v>
          </cell>
          <cell r="N1470" t="str">
            <v>Bintang Putri Karisma, CV</v>
          </cell>
          <cell r="O1470" t="str">
            <v>Mojopahit AC 01, Lingk. Gerdu RT.004/RW., Sempusari, Kaliwates</v>
          </cell>
          <cell r="P1470" t="str">
            <v>Jember</v>
          </cell>
          <cell r="Q1470" t="str">
            <v>Mojopahit AC 01, Lingk. Gerdu RT.004/RW., Sempusari, Kaliwates</v>
          </cell>
          <cell r="R1470" t="str">
            <v>Jember</v>
          </cell>
          <cell r="S1470" t="str">
            <v>L Kota1</v>
          </cell>
          <cell r="T1470" t="str">
            <v>OTHERS</v>
          </cell>
          <cell r="U1470">
            <v>30</v>
          </cell>
        </row>
        <row r="1471">
          <cell r="E1471" t="str">
            <v>B25012710</v>
          </cell>
          <cell r="F1471"/>
          <cell r="G1471">
            <v>1000</v>
          </cell>
          <cell r="H1471" t="str">
            <v>Others</v>
          </cell>
          <cell r="I1471" t="str">
            <v>Exclusive</v>
          </cell>
          <cell r="J1471"/>
          <cell r="K1471" t="str">
            <v>KU</v>
          </cell>
          <cell r="L1471" t="str">
            <v>BINT31</v>
          </cell>
          <cell r="M1471" t="str">
            <v>Bintang Putri Karisma, CV</v>
          </cell>
          <cell r="N1471" t="str">
            <v>Bintang Putri Karisma, CV</v>
          </cell>
          <cell r="O1471" t="str">
            <v>Mojopahit AC 01, Lingk. Gerdu RT.004/RW., Sempusari, Kaliwates</v>
          </cell>
          <cell r="P1471" t="str">
            <v>Jember</v>
          </cell>
          <cell r="Q1471" t="str">
            <v>Mojopahit AC 01, Lingk. Gerdu RT.004/RW., Sempusari, Kaliwates</v>
          </cell>
          <cell r="R1471" t="str">
            <v>Jember</v>
          </cell>
          <cell r="S1471" t="str">
            <v>L Kota1</v>
          </cell>
          <cell r="T1471" t="str">
            <v>OTHERS</v>
          </cell>
          <cell r="U1471">
            <v>30</v>
          </cell>
        </row>
        <row r="1472">
          <cell r="E1472" t="str">
            <v>B25012731</v>
          </cell>
          <cell r="F1472"/>
          <cell r="G1472">
            <v>1000</v>
          </cell>
          <cell r="H1472" t="str">
            <v>Others</v>
          </cell>
          <cell r="I1472" t="str">
            <v>Exclusive</v>
          </cell>
          <cell r="J1472"/>
          <cell r="K1472" t="str">
            <v>KU</v>
          </cell>
          <cell r="L1472" t="str">
            <v>BINT31</v>
          </cell>
          <cell r="M1472" t="str">
            <v>Bintang Putri Karisma, CV</v>
          </cell>
          <cell r="N1472" t="str">
            <v>Bintang Putri Karisma, CV</v>
          </cell>
          <cell r="O1472" t="str">
            <v>Mojopahit AC 01, Lingk. Gerdu RT.004/RW., Sempusari, Kaliwates</v>
          </cell>
          <cell r="P1472" t="str">
            <v>Jember</v>
          </cell>
          <cell r="Q1472" t="str">
            <v>Mojopahit AC 01, Lingk. Gerdu RT.004/RW., Sempusari, Kaliwates</v>
          </cell>
          <cell r="R1472" t="str">
            <v>Jember</v>
          </cell>
          <cell r="S1472" t="str">
            <v>L Kota1</v>
          </cell>
          <cell r="T1472" t="str">
            <v>OTHERS</v>
          </cell>
          <cell r="U1472">
            <v>30</v>
          </cell>
        </row>
        <row r="1473">
          <cell r="E1473" t="str">
            <v>B25012826</v>
          </cell>
          <cell r="F1473"/>
          <cell r="G1473">
            <v>1000</v>
          </cell>
          <cell r="H1473" t="str">
            <v>Others</v>
          </cell>
          <cell r="I1473" t="str">
            <v>Exclusive</v>
          </cell>
          <cell r="J1473"/>
          <cell r="K1473" t="str">
            <v>KU</v>
          </cell>
          <cell r="L1473" t="str">
            <v>BINT31</v>
          </cell>
          <cell r="M1473" t="str">
            <v>Bintang Putri Karisma, CV</v>
          </cell>
          <cell r="N1473" t="str">
            <v>Bintang Putri Karisma, CV</v>
          </cell>
          <cell r="O1473" t="str">
            <v>Mojopahit AC 01, Lingk. Gerdu RT.004/RW., Sempusari, Kaliwates</v>
          </cell>
          <cell r="P1473" t="str">
            <v>Jember</v>
          </cell>
          <cell r="Q1473" t="str">
            <v>Mojopahit AC 01, Lingk. Gerdu RT.004/RW., Sempusari, Kaliwates</v>
          </cell>
          <cell r="R1473" t="str">
            <v>Jember</v>
          </cell>
          <cell r="S1473" t="str">
            <v>L Kota1</v>
          </cell>
          <cell r="T1473" t="str">
            <v>OTHERS</v>
          </cell>
          <cell r="U1473">
            <v>30</v>
          </cell>
        </row>
        <row r="1474">
          <cell r="E1474" t="str">
            <v>B25012837</v>
          </cell>
          <cell r="F1474"/>
          <cell r="G1474">
            <v>1000</v>
          </cell>
          <cell r="H1474" t="str">
            <v>Others</v>
          </cell>
          <cell r="I1474" t="str">
            <v>Exclusive</v>
          </cell>
          <cell r="J1474"/>
          <cell r="K1474" t="str">
            <v>KU</v>
          </cell>
          <cell r="L1474" t="str">
            <v>BINT31</v>
          </cell>
          <cell r="M1474" t="str">
            <v>Bintang Putri Karisma, CV</v>
          </cell>
          <cell r="N1474" t="str">
            <v>Bintang Putri Karisma, CV</v>
          </cell>
          <cell r="O1474" t="str">
            <v>Mojopahit AC 01, Lingk. Gerdu RT.004/RW., Sempusari, Kaliwates</v>
          </cell>
          <cell r="P1474" t="str">
            <v>Jember</v>
          </cell>
          <cell r="Q1474" t="str">
            <v>Mojopahit AC 01, Lingk. Gerdu RT.004/RW., Sempusari, Kaliwates</v>
          </cell>
          <cell r="R1474" t="str">
            <v>Jember</v>
          </cell>
          <cell r="S1474" t="str">
            <v>L Kota1</v>
          </cell>
          <cell r="T1474" t="str">
            <v>OTHERS</v>
          </cell>
          <cell r="U1474">
            <v>30</v>
          </cell>
        </row>
        <row r="1475">
          <cell r="E1475" t="str">
            <v>D25015127</v>
          </cell>
          <cell r="F1475"/>
          <cell r="G1475">
            <v>1000</v>
          </cell>
          <cell r="H1475" t="str">
            <v>Others</v>
          </cell>
          <cell r="I1475" t="str">
            <v>Exclusive</v>
          </cell>
          <cell r="J1475"/>
          <cell r="K1475" t="str">
            <v>KU</v>
          </cell>
          <cell r="L1475" t="str">
            <v>BINT31</v>
          </cell>
          <cell r="M1475" t="str">
            <v>Bintang Putri Karisma, CV</v>
          </cell>
          <cell r="N1475" t="str">
            <v>Bintang Putri Karisma, CV</v>
          </cell>
          <cell r="O1475" t="str">
            <v>Mojopahit AC 01, Lingk. Gerdu RT.004/RW., Sempusari, Kaliwates</v>
          </cell>
          <cell r="P1475" t="str">
            <v>Jember</v>
          </cell>
          <cell r="Q1475" t="str">
            <v>Mojopahit AC 01, Lingk. Gerdu RT.004/RW., Sempusari, Kaliwates</v>
          </cell>
          <cell r="R1475" t="str">
            <v>Jember</v>
          </cell>
          <cell r="S1475" t="str">
            <v>L Kota1</v>
          </cell>
          <cell r="T1475" t="str">
            <v>OTHERS</v>
          </cell>
          <cell r="U1475">
            <v>30</v>
          </cell>
        </row>
        <row r="1476">
          <cell r="E1476" t="str">
            <v>D25015133</v>
          </cell>
          <cell r="F1476"/>
          <cell r="G1476">
            <v>1000</v>
          </cell>
          <cell r="H1476" t="str">
            <v>Others</v>
          </cell>
          <cell r="I1476" t="str">
            <v>Exclusive</v>
          </cell>
          <cell r="J1476"/>
          <cell r="K1476" t="str">
            <v>KU</v>
          </cell>
          <cell r="L1476" t="str">
            <v>BINT31</v>
          </cell>
          <cell r="M1476" t="str">
            <v>Bintang Putri Karisma, CV</v>
          </cell>
          <cell r="N1476" t="str">
            <v>Bintang Putri Karisma, CV</v>
          </cell>
          <cell r="O1476" t="str">
            <v>Mojopahit AC 01, Lingk. Gerdu RT.004/RW., Sempusari, Kaliwates</v>
          </cell>
          <cell r="P1476" t="str">
            <v>Jember</v>
          </cell>
          <cell r="Q1476" t="str">
            <v>Mojopahit AC 01, Lingk. Gerdu RT.004/RW., Sempusari, Kaliwates</v>
          </cell>
          <cell r="R1476" t="str">
            <v>Jember</v>
          </cell>
          <cell r="S1476" t="str">
            <v>L Kota1</v>
          </cell>
          <cell r="T1476" t="str">
            <v>OTHERS</v>
          </cell>
          <cell r="U1476">
            <v>0</v>
          </cell>
        </row>
        <row r="1477">
          <cell r="E1477" t="str">
            <v>B25012891</v>
          </cell>
          <cell r="F1477"/>
          <cell r="G1477">
            <v>1000</v>
          </cell>
          <cell r="H1477" t="str">
            <v>Others</v>
          </cell>
          <cell r="I1477" t="str">
            <v>Exclusive</v>
          </cell>
          <cell r="J1477"/>
          <cell r="K1477" t="str">
            <v>KU</v>
          </cell>
          <cell r="L1477" t="str">
            <v>BINT31</v>
          </cell>
          <cell r="M1477" t="str">
            <v>Bintang Putri Karisma, CV</v>
          </cell>
          <cell r="N1477" t="str">
            <v>Bintang Putri Karisma, CV</v>
          </cell>
          <cell r="O1477" t="str">
            <v>Mojopahit AC 01, Lingk. Gerdu RT.004/RW., Sempusari, Kaliwates</v>
          </cell>
          <cell r="P1477" t="str">
            <v>Jember</v>
          </cell>
          <cell r="Q1477" t="str">
            <v>Mojopahit AC 01, Lingk. Gerdu RT.004/RW., Sempusari, Kaliwates</v>
          </cell>
          <cell r="R1477" t="str">
            <v>Jember</v>
          </cell>
          <cell r="S1477" t="str">
            <v>L Kota1</v>
          </cell>
          <cell r="T1477" t="str">
            <v>OTHERS</v>
          </cell>
          <cell r="U1477">
            <v>30</v>
          </cell>
        </row>
        <row r="1478">
          <cell r="E1478" t="str">
            <v>D25015161</v>
          </cell>
          <cell r="F1478"/>
          <cell r="G1478">
            <v>1000</v>
          </cell>
          <cell r="H1478" t="str">
            <v>Others</v>
          </cell>
          <cell r="I1478" t="str">
            <v>Exclusive</v>
          </cell>
          <cell r="J1478"/>
          <cell r="K1478" t="str">
            <v>KU</v>
          </cell>
          <cell r="L1478" t="str">
            <v>BINT31</v>
          </cell>
          <cell r="M1478" t="str">
            <v>Bintang Putri Karisma, CV</v>
          </cell>
          <cell r="N1478" t="str">
            <v>Bintang Putri Karisma, CV</v>
          </cell>
          <cell r="O1478" t="str">
            <v>Mojopahit AC 01, Lingk. Gerdu RT.004/RW., Sempusari, Kaliwates</v>
          </cell>
          <cell r="P1478" t="str">
            <v>Jember</v>
          </cell>
          <cell r="Q1478" t="str">
            <v>Mojopahit AC 01, Lingk. Gerdu RT.004/RW., Sempusari, Kaliwates</v>
          </cell>
          <cell r="R1478" t="str">
            <v>Jember</v>
          </cell>
          <cell r="S1478" t="str">
            <v>L Kota1</v>
          </cell>
          <cell r="T1478" t="str">
            <v>OTHERS</v>
          </cell>
          <cell r="U1478">
            <v>30</v>
          </cell>
        </row>
        <row r="1479">
          <cell r="E1479" t="str">
            <v>B25012959</v>
          </cell>
          <cell r="F1479"/>
          <cell r="G1479">
            <v>1000</v>
          </cell>
          <cell r="H1479" t="str">
            <v>Others</v>
          </cell>
          <cell r="I1479" t="str">
            <v>Exclusive</v>
          </cell>
          <cell r="J1479"/>
          <cell r="K1479" t="str">
            <v>KU</v>
          </cell>
          <cell r="L1479" t="str">
            <v>BINT31</v>
          </cell>
          <cell r="M1479" t="str">
            <v>Bintang Putri Karisma, CV</v>
          </cell>
          <cell r="N1479" t="str">
            <v>Bintang Putri Karisma, CV</v>
          </cell>
          <cell r="O1479" t="str">
            <v>Mojopahit AC 01, Lingk. Gerdu RT.004/RW., Sempusari, Kaliwates</v>
          </cell>
          <cell r="P1479" t="str">
            <v>Jember</v>
          </cell>
          <cell r="Q1479" t="str">
            <v>Mojopahit AC 01, Lingk. Gerdu RT.004/RW., Sempusari, Kaliwates</v>
          </cell>
          <cell r="R1479" t="str">
            <v>Jember</v>
          </cell>
          <cell r="S1479" t="str">
            <v>L Kota1</v>
          </cell>
          <cell r="T1479" t="str">
            <v>OTHERS</v>
          </cell>
          <cell r="U1479">
            <v>0</v>
          </cell>
        </row>
        <row r="1480">
          <cell r="E1480" t="str">
            <v>B25013076</v>
          </cell>
          <cell r="F1480"/>
          <cell r="G1480">
            <v>1000</v>
          </cell>
          <cell r="H1480" t="str">
            <v>Others</v>
          </cell>
          <cell r="I1480" t="str">
            <v>Exclusive</v>
          </cell>
          <cell r="J1480"/>
          <cell r="K1480" t="str">
            <v>KU</v>
          </cell>
          <cell r="L1480" t="str">
            <v>BINT31</v>
          </cell>
          <cell r="M1480" t="str">
            <v>Bintang Putri Karisma, CV</v>
          </cell>
          <cell r="N1480" t="str">
            <v>Bintang Putri Karisma, CV</v>
          </cell>
          <cell r="O1480" t="str">
            <v>Mojopahit AC 01, Lingk. Gerdu RT.004/RW., Sempusari, Kaliwates</v>
          </cell>
          <cell r="P1480" t="str">
            <v>Jember</v>
          </cell>
          <cell r="Q1480" t="str">
            <v>Mojopahit AC 01, Lingk. Gerdu RT.004/RW., Sempusari, Kaliwates</v>
          </cell>
          <cell r="R1480" t="str">
            <v>Jember</v>
          </cell>
          <cell r="S1480" t="str">
            <v>L Kota1</v>
          </cell>
          <cell r="T1480" t="str">
            <v>OTHERS</v>
          </cell>
          <cell r="U1480">
            <v>30</v>
          </cell>
        </row>
        <row r="1481">
          <cell r="E1481" t="str">
            <v>B25013077</v>
          </cell>
          <cell r="F1481"/>
          <cell r="G1481">
            <v>1000</v>
          </cell>
          <cell r="H1481" t="str">
            <v>Others</v>
          </cell>
          <cell r="I1481" t="str">
            <v>Exclusive</v>
          </cell>
          <cell r="J1481"/>
          <cell r="K1481" t="str">
            <v>KU</v>
          </cell>
          <cell r="L1481" t="str">
            <v>BINT31</v>
          </cell>
          <cell r="M1481" t="str">
            <v>Bintang Putri Karisma, CV</v>
          </cell>
          <cell r="N1481" t="str">
            <v>Bintang Putri Karisma, CV</v>
          </cell>
          <cell r="O1481" t="str">
            <v>Mojopahit AC 01, Lingk. Gerdu RT.004/RW., Sempusari, Kaliwates</v>
          </cell>
          <cell r="P1481" t="str">
            <v>Jember</v>
          </cell>
          <cell r="Q1481" t="str">
            <v>Mojopahit AC 01, Lingk. Gerdu RT.004/RW., Sempusari, Kaliwates</v>
          </cell>
          <cell r="R1481" t="str">
            <v>Jember</v>
          </cell>
          <cell r="S1481" t="str">
            <v>L Kota1</v>
          </cell>
          <cell r="T1481" t="str">
            <v>OTHERS</v>
          </cell>
          <cell r="U1481">
            <v>30</v>
          </cell>
        </row>
        <row r="1482">
          <cell r="E1482" t="str">
            <v>B25013125</v>
          </cell>
          <cell r="F1482"/>
          <cell r="G1482">
            <v>1000</v>
          </cell>
          <cell r="H1482" t="str">
            <v>Others</v>
          </cell>
          <cell r="I1482" t="str">
            <v>Exclusive</v>
          </cell>
          <cell r="J1482"/>
          <cell r="K1482" t="str">
            <v>KU</v>
          </cell>
          <cell r="L1482" t="str">
            <v>BINT31</v>
          </cell>
          <cell r="M1482" t="str">
            <v>Bintang Putri Karisma, CV</v>
          </cell>
          <cell r="N1482" t="str">
            <v>Bintang Putri Karisma, CV</v>
          </cell>
          <cell r="O1482" t="str">
            <v>Mojopahit AC 01, Lingk. Gerdu RT.004/RW., Sempusari, Kaliwates</v>
          </cell>
          <cell r="P1482" t="str">
            <v>Jember</v>
          </cell>
          <cell r="Q1482" t="str">
            <v>Mojopahit AC 01, Lingk. Gerdu RT.004/RW., Sempusari, Kaliwates</v>
          </cell>
          <cell r="R1482" t="str">
            <v>Jember</v>
          </cell>
          <cell r="S1482" t="str">
            <v>L Kota1</v>
          </cell>
          <cell r="T1482" t="str">
            <v>OTHERS</v>
          </cell>
          <cell r="U1482">
            <v>30</v>
          </cell>
        </row>
        <row r="1483">
          <cell r="E1483" t="str">
            <v>B25013168</v>
          </cell>
          <cell r="F1483"/>
          <cell r="G1483">
            <v>1000</v>
          </cell>
          <cell r="H1483" t="str">
            <v>Others</v>
          </cell>
          <cell r="I1483" t="str">
            <v>Exclusive</v>
          </cell>
          <cell r="J1483"/>
          <cell r="K1483" t="str">
            <v>KU</v>
          </cell>
          <cell r="L1483" t="str">
            <v>BINT31</v>
          </cell>
          <cell r="M1483" t="str">
            <v>Bintang Putri Karisma, CV</v>
          </cell>
          <cell r="N1483" t="str">
            <v>Bintang Putri Karisma, CV</v>
          </cell>
          <cell r="O1483" t="str">
            <v>Mojopahit AC 01, Lingk. Gerdu RT.004/RW., Sempusari, Kaliwates</v>
          </cell>
          <cell r="P1483" t="str">
            <v>Jember</v>
          </cell>
          <cell r="Q1483" t="str">
            <v>Mojopahit AC 01, Lingk. Gerdu RT.004/RW., Sempusari, Kaliwates</v>
          </cell>
          <cell r="R1483" t="str">
            <v>Jember</v>
          </cell>
          <cell r="S1483" t="str">
            <v>L Kota1</v>
          </cell>
          <cell r="T1483" t="str">
            <v>OTHERS</v>
          </cell>
          <cell r="U1483">
            <v>30</v>
          </cell>
        </row>
        <row r="1484">
          <cell r="E1484" t="str">
            <v>D25015470</v>
          </cell>
          <cell r="F1484"/>
          <cell r="G1484">
            <v>1000</v>
          </cell>
          <cell r="H1484" t="str">
            <v>Others</v>
          </cell>
          <cell r="I1484" t="str">
            <v>Exclusive</v>
          </cell>
          <cell r="J1484"/>
          <cell r="K1484" t="str">
            <v>KU</v>
          </cell>
          <cell r="L1484" t="str">
            <v>BINT31</v>
          </cell>
          <cell r="M1484" t="str">
            <v>Bintang Putri Karisma, CV</v>
          </cell>
          <cell r="N1484" t="str">
            <v>Bintang Putri Karisma, CV</v>
          </cell>
          <cell r="O1484" t="str">
            <v>Mojopahit AC 01, Lingk. Gerdu RT.004/RW., Sempusari, Kaliwates</v>
          </cell>
          <cell r="P1484" t="str">
            <v>Jember</v>
          </cell>
          <cell r="Q1484" t="str">
            <v>Mojopahit AC 01, Lingk. Gerdu RT.004/RW., Sempusari, Kaliwates</v>
          </cell>
          <cell r="R1484" t="str">
            <v>Jember</v>
          </cell>
          <cell r="S1484" t="str">
            <v>L Kota1</v>
          </cell>
          <cell r="T1484" t="str">
            <v>OTHERS</v>
          </cell>
          <cell r="U1484">
            <v>0</v>
          </cell>
        </row>
        <row r="1485">
          <cell r="E1485" t="str">
            <v>B25013201</v>
          </cell>
          <cell r="F1485"/>
          <cell r="G1485">
            <v>1000</v>
          </cell>
          <cell r="H1485" t="str">
            <v>Others</v>
          </cell>
          <cell r="I1485" t="str">
            <v>Exclusive</v>
          </cell>
          <cell r="J1485"/>
          <cell r="K1485" t="str">
            <v>KU</v>
          </cell>
          <cell r="L1485" t="str">
            <v>BINT31</v>
          </cell>
          <cell r="M1485" t="str">
            <v>Bintang Putri Karisma, CV</v>
          </cell>
          <cell r="N1485" t="str">
            <v>Bintang Putri Karisma, CV</v>
          </cell>
          <cell r="O1485" t="str">
            <v>Mojopahit AC 01, Lingk. Gerdu RT.004/RW., Sempusari, Kaliwates</v>
          </cell>
          <cell r="P1485" t="str">
            <v>Jember</v>
          </cell>
          <cell r="Q1485" t="str">
            <v>Mojopahit AC 01, Lingk. Gerdu RT.004/RW., Sempusari, Kaliwates</v>
          </cell>
          <cell r="R1485" t="str">
            <v>Jember</v>
          </cell>
          <cell r="S1485" t="str">
            <v>L Kota1</v>
          </cell>
          <cell r="T1485" t="str">
            <v>OTHERS</v>
          </cell>
          <cell r="U1485">
            <v>30</v>
          </cell>
        </row>
        <row r="1486">
          <cell r="E1486" t="str">
            <v>D25015683</v>
          </cell>
          <cell r="F1486"/>
          <cell r="G1486">
            <v>1000</v>
          </cell>
          <cell r="H1486" t="str">
            <v>Others</v>
          </cell>
          <cell r="I1486" t="str">
            <v>Exclusive</v>
          </cell>
          <cell r="J1486"/>
          <cell r="K1486" t="str">
            <v>KU</v>
          </cell>
          <cell r="L1486" t="str">
            <v>BINT31</v>
          </cell>
          <cell r="M1486" t="str">
            <v>Bintang Putri Karisma, CV</v>
          </cell>
          <cell r="N1486" t="str">
            <v>Bintang Putri Karisma, CV</v>
          </cell>
          <cell r="O1486" t="str">
            <v>Mojopahit AC 01, Lingk. Gerdu RT.004/RW., Sempusari, Kaliwates</v>
          </cell>
          <cell r="P1486" t="str">
            <v>Jember</v>
          </cell>
          <cell r="Q1486" t="str">
            <v>Mojopahit AC 01, Lingk. Gerdu RT.004/RW., Sempusari, Kaliwates</v>
          </cell>
          <cell r="R1486" t="str">
            <v>Jember</v>
          </cell>
          <cell r="S1486" t="str">
            <v>L Kota1</v>
          </cell>
          <cell r="T1486" t="str">
            <v>OTHERS</v>
          </cell>
          <cell r="U1486">
            <v>30</v>
          </cell>
        </row>
        <row r="1487">
          <cell r="E1487" t="str">
            <v>B25013485</v>
          </cell>
          <cell r="F1487"/>
          <cell r="G1487">
            <v>1000</v>
          </cell>
          <cell r="H1487" t="str">
            <v>Others</v>
          </cell>
          <cell r="I1487" t="str">
            <v>Exclusive</v>
          </cell>
          <cell r="J1487"/>
          <cell r="K1487" t="str">
            <v>KU</v>
          </cell>
          <cell r="L1487" t="str">
            <v>BINT31</v>
          </cell>
          <cell r="M1487" t="str">
            <v>Bintang Putri Karisma, CV</v>
          </cell>
          <cell r="N1487" t="str">
            <v>Bintang Putri Karisma, CV</v>
          </cell>
          <cell r="O1487" t="str">
            <v>Mojopahit AC 01, Lingk. Gerdu RT.004/RW., Sempusari, Kaliwates</v>
          </cell>
          <cell r="P1487" t="str">
            <v>Jember</v>
          </cell>
          <cell r="Q1487" t="str">
            <v>Mojopahit AC 01, Lingk. Gerdu RT.004/RW., Sempusari, Kaliwates</v>
          </cell>
          <cell r="R1487" t="str">
            <v>Jember</v>
          </cell>
          <cell r="S1487" t="str">
            <v>L Kota1</v>
          </cell>
          <cell r="T1487" t="str">
            <v>OTHERS</v>
          </cell>
          <cell r="U1487">
            <v>30</v>
          </cell>
        </row>
        <row r="1488">
          <cell r="E1488" t="str">
            <v>D25015770</v>
          </cell>
          <cell r="F1488"/>
          <cell r="G1488">
            <v>1000</v>
          </cell>
          <cell r="H1488" t="str">
            <v>Others</v>
          </cell>
          <cell r="I1488" t="str">
            <v>Exclusive</v>
          </cell>
          <cell r="J1488"/>
          <cell r="K1488" t="str">
            <v>KU</v>
          </cell>
          <cell r="L1488" t="str">
            <v>BINT31</v>
          </cell>
          <cell r="M1488" t="str">
            <v>Bintang Putri Karisma, CV</v>
          </cell>
          <cell r="N1488" t="str">
            <v>Bintang Putri Karisma, CV</v>
          </cell>
          <cell r="O1488" t="str">
            <v>Mojopahit AC 01, Lingk. Gerdu RT.004/RW., Sempusari, Kaliwates</v>
          </cell>
          <cell r="P1488" t="str">
            <v>Jember</v>
          </cell>
          <cell r="Q1488" t="str">
            <v>Mojopahit AC 01, Lingk. Gerdu RT.004/RW., Sempusari, Kaliwates</v>
          </cell>
          <cell r="R1488" t="str">
            <v>Jember</v>
          </cell>
          <cell r="S1488" t="str">
            <v>L Kota1</v>
          </cell>
          <cell r="T1488" t="str">
            <v>OTHERS</v>
          </cell>
          <cell r="U1488">
            <v>30</v>
          </cell>
        </row>
        <row r="1489">
          <cell r="E1489" t="str">
            <v>B25013587</v>
          </cell>
          <cell r="F1489"/>
          <cell r="G1489">
            <v>1000</v>
          </cell>
          <cell r="H1489" t="str">
            <v>Others</v>
          </cell>
          <cell r="I1489" t="str">
            <v>Exclusive</v>
          </cell>
          <cell r="J1489"/>
          <cell r="K1489" t="str">
            <v>KU</v>
          </cell>
          <cell r="L1489" t="str">
            <v>BINT31</v>
          </cell>
          <cell r="M1489" t="str">
            <v>Bintang Putri Karisma, CV</v>
          </cell>
          <cell r="N1489" t="str">
            <v>Bintang Putri Karisma, CV</v>
          </cell>
          <cell r="O1489" t="str">
            <v>Mojopahit AC 01, Lingk. Gerdu RT.004/RW., Sempusari, Kaliwates</v>
          </cell>
          <cell r="P1489" t="str">
            <v>Jember</v>
          </cell>
          <cell r="Q1489" t="str">
            <v>Mojopahit AC 01, Lingk. Gerdu RT.004/RW., Sempusari, Kaliwates</v>
          </cell>
          <cell r="R1489" t="str">
            <v>Jember</v>
          </cell>
          <cell r="S1489" t="str">
            <v>L Kota1</v>
          </cell>
          <cell r="T1489" t="str">
            <v>OTHERS</v>
          </cell>
          <cell r="U1489">
            <v>0</v>
          </cell>
        </row>
        <row r="1490">
          <cell r="E1490" t="str">
            <v>D25015870</v>
          </cell>
          <cell r="F1490"/>
          <cell r="G1490">
            <v>1000</v>
          </cell>
          <cell r="H1490" t="str">
            <v>Others</v>
          </cell>
          <cell r="I1490" t="str">
            <v>Exclusive</v>
          </cell>
          <cell r="J1490"/>
          <cell r="K1490" t="str">
            <v>KU</v>
          </cell>
          <cell r="L1490" t="str">
            <v>BINT31</v>
          </cell>
          <cell r="M1490" t="str">
            <v>Bintang Putri Karisma, CV</v>
          </cell>
          <cell r="N1490" t="str">
            <v>Bintang Putri Karisma, CV</v>
          </cell>
          <cell r="O1490" t="str">
            <v>Mojopahit AC 01, Lingk. Gerdu RT.004/RW., Sempusari, Kaliwates</v>
          </cell>
          <cell r="P1490" t="str">
            <v>Jember</v>
          </cell>
          <cell r="Q1490" t="str">
            <v>Mojopahit AC 01, Lingk. Gerdu RT.004/RW., Sempusari, Kaliwates</v>
          </cell>
          <cell r="R1490" t="str">
            <v>Jember</v>
          </cell>
          <cell r="S1490" t="str">
            <v>L Kota1</v>
          </cell>
          <cell r="T1490" t="str">
            <v>OTHERS</v>
          </cell>
          <cell r="U1490">
            <v>30</v>
          </cell>
        </row>
        <row r="1491">
          <cell r="E1491" t="str">
            <v>D25015883</v>
          </cell>
          <cell r="F1491"/>
          <cell r="G1491">
            <v>1000</v>
          </cell>
          <cell r="H1491" t="str">
            <v>Others</v>
          </cell>
          <cell r="I1491" t="str">
            <v>Exclusive</v>
          </cell>
          <cell r="J1491"/>
          <cell r="K1491" t="str">
            <v>KU</v>
          </cell>
          <cell r="L1491" t="str">
            <v>BINT31</v>
          </cell>
          <cell r="M1491" t="str">
            <v>Bintang Putri Karisma, CV</v>
          </cell>
          <cell r="N1491" t="str">
            <v>Bintang Putri Karisma, CV</v>
          </cell>
          <cell r="O1491" t="str">
            <v>Mojopahit AC 01, Lingk. Gerdu RT.004/RW., Sempusari, Kaliwates</v>
          </cell>
          <cell r="P1491" t="str">
            <v>Jember</v>
          </cell>
          <cell r="Q1491" t="str">
            <v>Mojopahit AC 01, Lingk. Gerdu RT.004/RW., Sempusari, Kaliwates</v>
          </cell>
          <cell r="R1491" t="str">
            <v>Jember</v>
          </cell>
          <cell r="S1491" t="str">
            <v>L Kota1</v>
          </cell>
          <cell r="T1491" t="str">
            <v>OTHERS</v>
          </cell>
          <cell r="U1491">
            <v>30</v>
          </cell>
        </row>
        <row r="1492">
          <cell r="E1492" t="str">
            <v>D25015884</v>
          </cell>
          <cell r="F1492"/>
          <cell r="G1492">
            <v>1000</v>
          </cell>
          <cell r="H1492" t="str">
            <v>Others</v>
          </cell>
          <cell r="I1492" t="str">
            <v>Exclusive</v>
          </cell>
          <cell r="J1492"/>
          <cell r="K1492" t="str">
            <v>KU</v>
          </cell>
          <cell r="L1492" t="str">
            <v>BINT31</v>
          </cell>
          <cell r="M1492" t="str">
            <v>Bintang Putri Karisma, CV</v>
          </cell>
          <cell r="N1492" t="str">
            <v>Bintang Putri Karisma, CV</v>
          </cell>
          <cell r="O1492" t="str">
            <v>Mojopahit AC 01, Lingk. Gerdu RT.004/RW., Sempusari, Kaliwates</v>
          </cell>
          <cell r="P1492" t="str">
            <v>Jember</v>
          </cell>
          <cell r="Q1492" t="str">
            <v>Mojopahit AC 01, Lingk. Gerdu RT.004/RW., Sempusari, Kaliwates</v>
          </cell>
          <cell r="R1492" t="str">
            <v>Jember</v>
          </cell>
          <cell r="S1492" t="str">
            <v>L Kota1</v>
          </cell>
          <cell r="T1492" t="str">
            <v>OTHERS</v>
          </cell>
          <cell r="U1492">
            <v>0</v>
          </cell>
        </row>
        <row r="1493">
          <cell r="E1493" t="str">
            <v>B25013675</v>
          </cell>
          <cell r="F1493"/>
          <cell r="G1493">
            <v>1000</v>
          </cell>
          <cell r="H1493" t="str">
            <v>Others</v>
          </cell>
          <cell r="I1493" t="str">
            <v>Exclusive</v>
          </cell>
          <cell r="J1493"/>
          <cell r="K1493" t="str">
            <v>KU</v>
          </cell>
          <cell r="L1493" t="str">
            <v>BINT31</v>
          </cell>
          <cell r="M1493" t="str">
            <v>Bintang Putri Karisma, CV</v>
          </cell>
          <cell r="N1493" t="str">
            <v>Bintang Putri Karisma, CV</v>
          </cell>
          <cell r="O1493" t="str">
            <v>Mojopahit AC 01, Lingk. Gerdu RT.004/RW., Sempusari, Kaliwates</v>
          </cell>
          <cell r="P1493" t="str">
            <v>Jember</v>
          </cell>
          <cell r="Q1493" t="str">
            <v>Mojopahit AC 01, Lingk. Gerdu RT.004/RW., Sempusari, Kaliwates</v>
          </cell>
          <cell r="R1493" t="str">
            <v>Jember</v>
          </cell>
          <cell r="S1493" t="str">
            <v>L Kota1</v>
          </cell>
          <cell r="T1493" t="str">
            <v>OTHERS</v>
          </cell>
          <cell r="U1493">
            <v>30</v>
          </cell>
        </row>
        <row r="1494">
          <cell r="E1494" t="str">
            <v>B25013697</v>
          </cell>
          <cell r="F1494"/>
          <cell r="G1494">
            <v>1000</v>
          </cell>
          <cell r="H1494" t="str">
            <v>Others</v>
          </cell>
          <cell r="I1494" t="str">
            <v>Exclusive</v>
          </cell>
          <cell r="J1494"/>
          <cell r="K1494" t="str">
            <v>KU</v>
          </cell>
          <cell r="L1494" t="str">
            <v>BINT31</v>
          </cell>
          <cell r="M1494" t="str">
            <v>Bintang Putri Karisma, CV</v>
          </cell>
          <cell r="N1494" t="str">
            <v>Bintang Putri Karisma, CV</v>
          </cell>
          <cell r="O1494" t="str">
            <v>Mojopahit AC 01, Lingk. Gerdu RT.004/RW., Sempusari, Kaliwates</v>
          </cell>
          <cell r="P1494" t="str">
            <v>Jember</v>
          </cell>
          <cell r="Q1494" t="str">
            <v>Mojopahit AC 01, Lingk. Gerdu RT.004/RW., Sempusari, Kaliwates</v>
          </cell>
          <cell r="R1494" t="str">
            <v>Jember</v>
          </cell>
          <cell r="S1494" t="str">
            <v>L Kota1</v>
          </cell>
          <cell r="T1494" t="str">
            <v>OTHERS</v>
          </cell>
          <cell r="U1494">
            <v>30</v>
          </cell>
        </row>
        <row r="1495">
          <cell r="E1495" t="str">
            <v>B25013711</v>
          </cell>
          <cell r="F1495"/>
          <cell r="G1495">
            <v>1000</v>
          </cell>
          <cell r="H1495" t="str">
            <v>Others</v>
          </cell>
          <cell r="I1495" t="str">
            <v>Exclusive</v>
          </cell>
          <cell r="J1495"/>
          <cell r="K1495" t="str">
            <v>KU</v>
          </cell>
          <cell r="L1495" t="str">
            <v>BINT31</v>
          </cell>
          <cell r="M1495" t="str">
            <v>Bintang Putri Karisma, CV</v>
          </cell>
          <cell r="N1495" t="str">
            <v>Bintang Putri Karisma, CV</v>
          </cell>
          <cell r="O1495" t="str">
            <v>Mojopahit AC 01, Lingk. Gerdu RT.004/RW., Sempusari, Kaliwates</v>
          </cell>
          <cell r="P1495" t="str">
            <v>Jember</v>
          </cell>
          <cell r="Q1495" t="str">
            <v>Mojopahit AC 01, Lingk. Gerdu RT.004/RW., Sempusari, Kaliwates</v>
          </cell>
          <cell r="R1495" t="str">
            <v>Jember</v>
          </cell>
          <cell r="S1495" t="str">
            <v>L Kota1</v>
          </cell>
          <cell r="T1495" t="str">
            <v>OTHERS</v>
          </cell>
          <cell r="U1495">
            <v>30</v>
          </cell>
        </row>
        <row r="1496">
          <cell r="E1496" t="str">
            <v>B25013766</v>
          </cell>
          <cell r="F1496"/>
          <cell r="G1496">
            <v>1000</v>
          </cell>
          <cell r="H1496" t="str">
            <v>Others</v>
          </cell>
          <cell r="I1496" t="str">
            <v>Exclusive</v>
          </cell>
          <cell r="J1496"/>
          <cell r="K1496" t="str">
            <v>KU</v>
          </cell>
          <cell r="L1496" t="str">
            <v>BINT31</v>
          </cell>
          <cell r="M1496" t="str">
            <v>Bintang Putri Karisma, CV</v>
          </cell>
          <cell r="N1496" t="str">
            <v>Bintang Putri Karisma, CV</v>
          </cell>
          <cell r="O1496" t="str">
            <v>Mojopahit AC 01, Lingk. Gerdu RT.004/RW., Sempusari, Kaliwates</v>
          </cell>
          <cell r="P1496" t="str">
            <v>Jember</v>
          </cell>
          <cell r="Q1496" t="str">
            <v>Mojopahit AC 01, Lingk. Gerdu RT.004/RW., Sempusari, Kaliwates</v>
          </cell>
          <cell r="R1496" t="str">
            <v>Jember</v>
          </cell>
          <cell r="S1496" t="str">
            <v>L Kota1</v>
          </cell>
          <cell r="T1496" t="str">
            <v>OTHERS</v>
          </cell>
          <cell r="U1496">
            <v>0</v>
          </cell>
        </row>
        <row r="1497">
          <cell r="E1497" t="str">
            <v>B25013785</v>
          </cell>
          <cell r="F1497"/>
          <cell r="G1497">
            <v>1000</v>
          </cell>
          <cell r="H1497" t="str">
            <v>Others</v>
          </cell>
          <cell r="I1497" t="str">
            <v>Exclusive</v>
          </cell>
          <cell r="J1497"/>
          <cell r="K1497" t="str">
            <v>KU</v>
          </cell>
          <cell r="L1497" t="str">
            <v>BINT31</v>
          </cell>
          <cell r="M1497" t="str">
            <v>Bintang Putri Karisma, CV</v>
          </cell>
          <cell r="N1497" t="str">
            <v>Bintang Putri Karisma, CV</v>
          </cell>
          <cell r="O1497" t="str">
            <v>Mojopahit AC 01, Lingk. Gerdu RT.004/RW., Sempusari, Kaliwates</v>
          </cell>
          <cell r="P1497" t="str">
            <v>Jember</v>
          </cell>
          <cell r="Q1497" t="str">
            <v>Mojopahit AC 01, Lingk. Gerdu RT.004/RW., Sempusari, Kaliwates</v>
          </cell>
          <cell r="R1497" t="str">
            <v>Jember</v>
          </cell>
          <cell r="S1497" t="str">
            <v>L Kota1</v>
          </cell>
          <cell r="T1497" t="str">
            <v>OTHERS</v>
          </cell>
          <cell r="U1497">
            <v>30</v>
          </cell>
        </row>
        <row r="1498">
          <cell r="E1498" t="str">
            <v>B25013786</v>
          </cell>
          <cell r="F1498"/>
          <cell r="G1498">
            <v>1000</v>
          </cell>
          <cell r="H1498" t="str">
            <v>Others</v>
          </cell>
          <cell r="I1498" t="str">
            <v>Exclusive</v>
          </cell>
          <cell r="J1498"/>
          <cell r="K1498" t="str">
            <v>KU</v>
          </cell>
          <cell r="L1498" t="str">
            <v>BINT31</v>
          </cell>
          <cell r="M1498" t="str">
            <v>Bintang Putri Karisma, CV</v>
          </cell>
          <cell r="N1498" t="str">
            <v>Bintang Putri Karisma, CV</v>
          </cell>
          <cell r="O1498" t="str">
            <v>Mojopahit AC 01, Lingk. Gerdu RT.004/RW., Sempusari, Kaliwates</v>
          </cell>
          <cell r="P1498" t="str">
            <v>Jember</v>
          </cell>
          <cell r="Q1498" t="str">
            <v>Mojopahit AC 01, Lingk. Gerdu RT.004/RW., Sempusari, Kaliwates</v>
          </cell>
          <cell r="R1498" t="str">
            <v>Jember</v>
          </cell>
          <cell r="S1498" t="str">
            <v>L Kota1</v>
          </cell>
          <cell r="T1498" t="str">
            <v>OTHERS</v>
          </cell>
          <cell r="U1498">
            <v>30</v>
          </cell>
        </row>
        <row r="1499">
          <cell r="E1499" t="str">
            <v>B25013790</v>
          </cell>
          <cell r="F1499"/>
          <cell r="G1499">
            <v>1000</v>
          </cell>
          <cell r="H1499" t="str">
            <v>Others</v>
          </cell>
          <cell r="I1499" t="str">
            <v>Exclusive</v>
          </cell>
          <cell r="J1499"/>
          <cell r="K1499" t="str">
            <v>KU</v>
          </cell>
          <cell r="L1499" t="str">
            <v>BINT31</v>
          </cell>
          <cell r="M1499" t="str">
            <v>Bintang Putri Karisma, CV</v>
          </cell>
          <cell r="N1499" t="str">
            <v>Bintang Putri Karisma, CV</v>
          </cell>
          <cell r="O1499" t="str">
            <v>Mojopahit AC 01, Lingk. Gerdu RT.004/RW., Sempusari, Kaliwates</v>
          </cell>
          <cell r="P1499" t="str">
            <v>Jember</v>
          </cell>
          <cell r="Q1499" t="str">
            <v>Mojopahit AC 01, Lingk. Gerdu RT.004/RW., Sempusari, Kaliwates</v>
          </cell>
          <cell r="R1499" t="str">
            <v>Jember</v>
          </cell>
          <cell r="S1499" t="str">
            <v>L Kota1</v>
          </cell>
          <cell r="T1499" t="str">
            <v>OTHERS</v>
          </cell>
          <cell r="U1499">
            <v>30</v>
          </cell>
        </row>
        <row r="1500">
          <cell r="E1500" t="str">
            <v>B25013791</v>
          </cell>
          <cell r="F1500"/>
          <cell r="G1500">
            <v>1000</v>
          </cell>
          <cell r="H1500" t="str">
            <v>Others</v>
          </cell>
          <cell r="I1500" t="str">
            <v>Exclusive</v>
          </cell>
          <cell r="J1500"/>
          <cell r="K1500" t="str">
            <v>KU</v>
          </cell>
          <cell r="L1500" t="str">
            <v>BINT31</v>
          </cell>
          <cell r="M1500" t="str">
            <v>Bintang Putri Karisma, CV</v>
          </cell>
          <cell r="N1500" t="str">
            <v>Bintang Putri Karisma, CV</v>
          </cell>
          <cell r="O1500" t="str">
            <v>Mojopahit AC 01, Lingk. Gerdu RT.004/RW., Sempusari, Kaliwates</v>
          </cell>
          <cell r="P1500" t="str">
            <v>Jember</v>
          </cell>
          <cell r="Q1500" t="str">
            <v>Mojopahit AC 01, Lingk. Gerdu RT.004/RW., Sempusari, Kaliwates</v>
          </cell>
          <cell r="R1500" t="str">
            <v>Jember</v>
          </cell>
          <cell r="S1500" t="str">
            <v>L Kota1</v>
          </cell>
          <cell r="T1500" t="str">
            <v>OTHERS</v>
          </cell>
          <cell r="U1500">
            <v>30</v>
          </cell>
        </row>
        <row r="1501">
          <cell r="E1501" t="str">
            <v>B25013817</v>
          </cell>
          <cell r="F1501"/>
          <cell r="G1501">
            <v>1000</v>
          </cell>
          <cell r="H1501" t="str">
            <v>Others</v>
          </cell>
          <cell r="I1501" t="str">
            <v>Exclusive</v>
          </cell>
          <cell r="J1501"/>
          <cell r="K1501" t="str">
            <v>KU</v>
          </cell>
          <cell r="L1501" t="str">
            <v>BINT31</v>
          </cell>
          <cell r="M1501" t="str">
            <v>Bintang Putri Karisma, CV</v>
          </cell>
          <cell r="N1501" t="str">
            <v>Bintang Putri Karisma, CV</v>
          </cell>
          <cell r="O1501" t="str">
            <v>Mojopahit AC 01, Lingk. Gerdu RT.004/RW., Sempusari, Kaliwates</v>
          </cell>
          <cell r="P1501" t="str">
            <v>Jember</v>
          </cell>
          <cell r="Q1501" t="str">
            <v>Mojopahit AC 01, Lingk. Gerdu RT.004/RW., Sempusari, Kaliwates</v>
          </cell>
          <cell r="R1501" t="str">
            <v>Jember</v>
          </cell>
          <cell r="S1501" t="str">
            <v>L Kota1</v>
          </cell>
          <cell r="T1501" t="str">
            <v>OTHERS</v>
          </cell>
          <cell r="U1501">
            <v>30</v>
          </cell>
        </row>
        <row r="1502">
          <cell r="E1502" t="str">
            <v>B25013830</v>
          </cell>
          <cell r="F1502"/>
          <cell r="G1502">
            <v>1000</v>
          </cell>
          <cell r="H1502" t="str">
            <v>Others</v>
          </cell>
          <cell r="I1502" t="str">
            <v>Exclusive</v>
          </cell>
          <cell r="J1502"/>
          <cell r="K1502" t="str">
            <v>KU</v>
          </cell>
          <cell r="L1502" t="str">
            <v>BINT31</v>
          </cell>
          <cell r="M1502" t="str">
            <v>Bintang Putri Karisma, CV</v>
          </cell>
          <cell r="N1502" t="str">
            <v>Bintang Putri Karisma, CV</v>
          </cell>
          <cell r="O1502" t="str">
            <v>Mojopahit AC 01, Lingk. Gerdu RT.004/RW., Sempusari, Kaliwates</v>
          </cell>
          <cell r="P1502" t="str">
            <v>Jember</v>
          </cell>
          <cell r="Q1502" t="str">
            <v>Mojopahit AC 01, Lingk. Gerdu RT.004/RW., Sempusari, Kaliwates</v>
          </cell>
          <cell r="R1502" t="str">
            <v>Jember</v>
          </cell>
          <cell r="S1502" t="str">
            <v>L Kota1</v>
          </cell>
          <cell r="T1502" t="str">
            <v>OTHERS</v>
          </cell>
          <cell r="U1502">
            <v>30</v>
          </cell>
        </row>
        <row r="1503">
          <cell r="E1503" t="str">
            <v>B25013877</v>
          </cell>
          <cell r="F1503"/>
          <cell r="G1503">
            <v>1000</v>
          </cell>
          <cell r="H1503" t="str">
            <v>Others</v>
          </cell>
          <cell r="I1503" t="str">
            <v>Exclusive</v>
          </cell>
          <cell r="J1503"/>
          <cell r="K1503" t="str">
            <v>KU</v>
          </cell>
          <cell r="L1503" t="str">
            <v>BINT31</v>
          </cell>
          <cell r="M1503" t="str">
            <v>Bintang Putri Karisma, CV</v>
          </cell>
          <cell r="N1503" t="str">
            <v>Bintang Putri Karisma, CV</v>
          </cell>
          <cell r="O1503" t="str">
            <v>Mojopahit AC 01, Lingk. Gerdu RT.004/RW., Sempusari, Kaliwates</v>
          </cell>
          <cell r="P1503" t="str">
            <v>Jember</v>
          </cell>
          <cell r="Q1503" t="str">
            <v>Mojopahit AC 01, Lingk. Gerdu RT.004/RW., Sempusari, Kaliwates</v>
          </cell>
          <cell r="R1503" t="str">
            <v>Jember</v>
          </cell>
          <cell r="S1503" t="str">
            <v>L Kota1</v>
          </cell>
          <cell r="T1503" t="str">
            <v>OTHERS</v>
          </cell>
          <cell r="U1503">
            <v>30</v>
          </cell>
        </row>
        <row r="1504">
          <cell r="E1504" t="str">
            <v>D25016187</v>
          </cell>
          <cell r="F1504"/>
          <cell r="G1504">
            <v>1000</v>
          </cell>
          <cell r="H1504" t="str">
            <v>Others</v>
          </cell>
          <cell r="I1504" t="str">
            <v>Exclusive</v>
          </cell>
          <cell r="J1504"/>
          <cell r="K1504" t="str">
            <v>KU</v>
          </cell>
          <cell r="L1504" t="str">
            <v>BINT31</v>
          </cell>
          <cell r="M1504" t="str">
            <v>Bintang Putri Karisma, CV</v>
          </cell>
          <cell r="N1504" t="str">
            <v>Bintang Putri Karisma, CV</v>
          </cell>
          <cell r="O1504" t="str">
            <v>Mojopahit AC 01, Lingk. Gerdu RT.004/RW., Sempusari, Kaliwates</v>
          </cell>
          <cell r="P1504" t="str">
            <v>Jember</v>
          </cell>
          <cell r="Q1504" t="str">
            <v>Mojopahit AC 01, Lingk. Gerdu RT.004/RW., Sempusari, Kaliwates</v>
          </cell>
          <cell r="R1504" t="str">
            <v>Jember</v>
          </cell>
          <cell r="S1504" t="str">
            <v>L Kota1</v>
          </cell>
          <cell r="T1504" t="str">
            <v>OTHERS</v>
          </cell>
          <cell r="U1504">
            <v>0</v>
          </cell>
        </row>
        <row r="1505">
          <cell r="E1505" t="str">
            <v>D25016188</v>
          </cell>
          <cell r="F1505"/>
          <cell r="G1505">
            <v>1000</v>
          </cell>
          <cell r="H1505" t="str">
            <v>Others</v>
          </cell>
          <cell r="I1505" t="str">
            <v>Exclusive</v>
          </cell>
          <cell r="J1505"/>
          <cell r="K1505" t="str">
            <v>KU</v>
          </cell>
          <cell r="L1505" t="str">
            <v>BINT31</v>
          </cell>
          <cell r="M1505" t="str">
            <v>Bintang Putri Karisma, CV</v>
          </cell>
          <cell r="N1505" t="str">
            <v>Bintang Putri Karisma, CV</v>
          </cell>
          <cell r="O1505" t="str">
            <v>Mojopahit AC 01, Lingk. Gerdu RT.004/RW., Sempusari, Kaliwates</v>
          </cell>
          <cell r="P1505" t="str">
            <v>Jember</v>
          </cell>
          <cell r="Q1505" t="str">
            <v>Mojopahit AC 01, Lingk. Gerdu RT.004/RW., Sempusari, Kaliwates</v>
          </cell>
          <cell r="R1505" t="str">
            <v>Jember</v>
          </cell>
          <cell r="S1505" t="str">
            <v>L Kota1</v>
          </cell>
          <cell r="T1505" t="str">
            <v>OTHERS</v>
          </cell>
          <cell r="U1505">
            <v>7</v>
          </cell>
        </row>
        <row r="1506">
          <cell r="E1506" t="str">
            <v>D25016206</v>
          </cell>
          <cell r="F1506"/>
          <cell r="G1506">
            <v>1000</v>
          </cell>
          <cell r="H1506" t="str">
            <v>Others</v>
          </cell>
          <cell r="I1506" t="str">
            <v>Exclusive</v>
          </cell>
          <cell r="J1506"/>
          <cell r="K1506" t="str">
            <v>KU</v>
          </cell>
          <cell r="L1506" t="str">
            <v>BINT31</v>
          </cell>
          <cell r="M1506" t="str">
            <v>Bintang Putri Karisma, CV</v>
          </cell>
          <cell r="N1506" t="str">
            <v>Bintang Putri Karisma, CV</v>
          </cell>
          <cell r="O1506" t="str">
            <v>Mojopahit AC 01, Lingk. Gerdu RT.004/RW., Sempusari, Kaliwates</v>
          </cell>
          <cell r="P1506" t="str">
            <v>Jember</v>
          </cell>
          <cell r="Q1506" t="str">
            <v>Mojopahit AC 01, Lingk. Gerdu RT.004/RW., Sempusari, Kaliwates</v>
          </cell>
          <cell r="R1506" t="str">
            <v>Jember</v>
          </cell>
          <cell r="S1506" t="str">
            <v>L Kota1</v>
          </cell>
          <cell r="T1506" t="str">
            <v>OTHERS</v>
          </cell>
          <cell r="U1506">
            <v>30</v>
          </cell>
        </row>
        <row r="1507">
          <cell r="E1507" t="str">
            <v>D25016237</v>
          </cell>
          <cell r="F1507"/>
          <cell r="G1507">
            <v>1000</v>
          </cell>
          <cell r="H1507" t="str">
            <v>Others</v>
          </cell>
          <cell r="I1507" t="str">
            <v>Exclusive</v>
          </cell>
          <cell r="J1507"/>
          <cell r="K1507" t="str">
            <v>KU</v>
          </cell>
          <cell r="L1507" t="str">
            <v>BINT31</v>
          </cell>
          <cell r="M1507" t="str">
            <v>Bintang Putri Karisma, CV</v>
          </cell>
          <cell r="N1507" t="str">
            <v>Bintang Putri Karisma, CV</v>
          </cell>
          <cell r="O1507" t="str">
            <v>Mojopahit AC 01, Lingk. Gerdu RT.004/RW., Sempusari, Kaliwates</v>
          </cell>
          <cell r="P1507" t="str">
            <v>Jember</v>
          </cell>
          <cell r="Q1507" t="str">
            <v>Mojopahit AC 01, Lingk. Gerdu RT.004/RW., Sempusari, Kaliwates</v>
          </cell>
          <cell r="R1507" t="str">
            <v>Jember</v>
          </cell>
          <cell r="S1507" t="str">
            <v>L Kota1</v>
          </cell>
          <cell r="T1507" t="str">
            <v>OTHERS</v>
          </cell>
          <cell r="U1507">
            <v>0</v>
          </cell>
        </row>
        <row r="1508">
          <cell r="E1508" t="str">
            <v>B25013949</v>
          </cell>
          <cell r="F1508"/>
          <cell r="G1508">
            <v>1000</v>
          </cell>
          <cell r="H1508" t="str">
            <v>Others</v>
          </cell>
          <cell r="I1508" t="str">
            <v>Exclusive</v>
          </cell>
          <cell r="J1508"/>
          <cell r="K1508" t="str">
            <v>KU</v>
          </cell>
          <cell r="L1508" t="str">
            <v>BINT31</v>
          </cell>
          <cell r="M1508" t="str">
            <v>Bintang Putri Karisma, CV</v>
          </cell>
          <cell r="N1508" t="str">
            <v>Bintang Putri Karisma, CV</v>
          </cell>
          <cell r="O1508" t="str">
            <v>Mojopahit AC 01, Lingk. Gerdu RT.004/RW., Sempusari, Kaliwates</v>
          </cell>
          <cell r="P1508" t="str">
            <v>Jember</v>
          </cell>
          <cell r="Q1508" t="str">
            <v>Mojopahit AC 01, Lingk. Gerdu RT.004/RW., Sempusari, Kaliwates</v>
          </cell>
          <cell r="R1508" t="str">
            <v>Jember</v>
          </cell>
          <cell r="S1508" t="str">
            <v>L Kota1</v>
          </cell>
          <cell r="T1508" t="str">
            <v>OTHERS</v>
          </cell>
          <cell r="U1508">
            <v>0</v>
          </cell>
        </row>
        <row r="1509">
          <cell r="E1509" t="str">
            <v>D25016281</v>
          </cell>
          <cell r="F1509"/>
          <cell r="G1509">
            <v>1000</v>
          </cell>
          <cell r="H1509" t="str">
            <v>Others</v>
          </cell>
          <cell r="I1509" t="str">
            <v>Exclusive</v>
          </cell>
          <cell r="J1509"/>
          <cell r="K1509" t="str">
            <v>KU</v>
          </cell>
          <cell r="L1509" t="str">
            <v>BINT31</v>
          </cell>
          <cell r="M1509" t="str">
            <v>Bintang Putri Karisma, CV</v>
          </cell>
          <cell r="N1509" t="str">
            <v>Bintang Putri Karisma, CV</v>
          </cell>
          <cell r="O1509" t="str">
            <v>Mojopahit AC 01, Lingk. Gerdu RT.004/RW., Sempusari, Kaliwates</v>
          </cell>
          <cell r="P1509" t="str">
            <v>Jember</v>
          </cell>
          <cell r="Q1509" t="str">
            <v>Mojopahit AC 01, Lingk. Gerdu RT.004/RW., Sempusari, Kaliwates</v>
          </cell>
          <cell r="R1509" t="str">
            <v>Jember</v>
          </cell>
          <cell r="S1509" t="str">
            <v>L Kota1</v>
          </cell>
          <cell r="T1509" t="str">
            <v>OTHERS</v>
          </cell>
          <cell r="U1509">
            <v>30</v>
          </cell>
        </row>
        <row r="1510">
          <cell r="E1510" t="str">
            <v>D25016285</v>
          </cell>
          <cell r="F1510"/>
          <cell r="G1510">
            <v>1000</v>
          </cell>
          <cell r="H1510" t="str">
            <v>Others</v>
          </cell>
          <cell r="I1510" t="str">
            <v>Exclusive</v>
          </cell>
          <cell r="J1510"/>
          <cell r="K1510" t="str">
            <v>KU</v>
          </cell>
          <cell r="L1510" t="str">
            <v>BINT31</v>
          </cell>
          <cell r="M1510" t="str">
            <v>Bintang Putri Karisma, CV</v>
          </cell>
          <cell r="N1510" t="str">
            <v>Bintang Putri Karisma, CV</v>
          </cell>
          <cell r="O1510" t="str">
            <v>Mojopahit AC 01, Lingk. Gerdu RT.004/RW., Sempusari, Kaliwates</v>
          </cell>
          <cell r="P1510" t="str">
            <v>Jember</v>
          </cell>
          <cell r="Q1510" t="str">
            <v>Mojopahit AC 01, Lingk. Gerdu RT.004/RW., Sempusari, Kaliwates</v>
          </cell>
          <cell r="R1510" t="str">
            <v>Jember</v>
          </cell>
          <cell r="S1510" t="str">
            <v>L Kota1</v>
          </cell>
          <cell r="T1510" t="str">
            <v>OTHERS</v>
          </cell>
          <cell r="U1510">
            <v>0</v>
          </cell>
        </row>
        <row r="1511">
          <cell r="E1511" t="str">
            <v>B25014021</v>
          </cell>
          <cell r="F1511"/>
          <cell r="G1511">
            <v>1000</v>
          </cell>
          <cell r="H1511" t="str">
            <v>Others</v>
          </cell>
          <cell r="I1511" t="str">
            <v>Exclusive</v>
          </cell>
          <cell r="J1511"/>
          <cell r="K1511" t="str">
            <v>KU</v>
          </cell>
          <cell r="L1511" t="str">
            <v>BINT31</v>
          </cell>
          <cell r="M1511" t="str">
            <v>Bintang Putri Karisma, CV</v>
          </cell>
          <cell r="N1511" t="str">
            <v>Bintang Putri Karisma, CV</v>
          </cell>
          <cell r="O1511" t="str">
            <v>Mojopahit AC 01, Lingk. Gerdu RT.004/RW., Sempusari, Kaliwates</v>
          </cell>
          <cell r="P1511" t="str">
            <v>Jember</v>
          </cell>
          <cell r="Q1511" t="str">
            <v>Mojopahit AC 01, Lingk. Gerdu RT.004/RW., Sempusari, Kaliwates</v>
          </cell>
          <cell r="R1511" t="str">
            <v>Jember</v>
          </cell>
          <cell r="S1511" t="str">
            <v>L Kota1</v>
          </cell>
          <cell r="T1511" t="str">
            <v>OTHERS</v>
          </cell>
          <cell r="U1511">
            <v>30</v>
          </cell>
        </row>
        <row r="1512">
          <cell r="E1512" t="str">
            <v>B25014050</v>
          </cell>
          <cell r="F1512"/>
          <cell r="G1512">
            <v>1000</v>
          </cell>
          <cell r="H1512" t="str">
            <v>Others</v>
          </cell>
          <cell r="I1512" t="str">
            <v>Exclusive</v>
          </cell>
          <cell r="J1512"/>
          <cell r="K1512" t="str">
            <v>KU</v>
          </cell>
          <cell r="L1512" t="str">
            <v>BINT31</v>
          </cell>
          <cell r="M1512" t="str">
            <v>Bintang Putri Karisma, CV</v>
          </cell>
          <cell r="N1512" t="str">
            <v>Bintang Putri Karisma, CV</v>
          </cell>
          <cell r="O1512" t="str">
            <v>Mojopahit AC 01, Lingk. Gerdu RT.004/RW., Sempusari, Kaliwates</v>
          </cell>
          <cell r="P1512" t="str">
            <v>Jember</v>
          </cell>
          <cell r="Q1512" t="str">
            <v>Mojopahit AC 01, Lingk. Gerdu RT.004/RW., Sempusari, Kaliwates</v>
          </cell>
          <cell r="R1512" t="str">
            <v>Jember</v>
          </cell>
          <cell r="S1512" t="str">
            <v>L Kota1</v>
          </cell>
          <cell r="T1512" t="str">
            <v>OTHERS</v>
          </cell>
          <cell r="U1512">
            <v>0</v>
          </cell>
        </row>
        <row r="1513">
          <cell r="E1513" t="str">
            <v>B25014058</v>
          </cell>
          <cell r="F1513"/>
          <cell r="G1513">
            <v>1000</v>
          </cell>
          <cell r="H1513" t="str">
            <v>Others</v>
          </cell>
          <cell r="I1513" t="str">
            <v>Exclusive</v>
          </cell>
          <cell r="J1513"/>
          <cell r="K1513" t="str">
            <v>KU</v>
          </cell>
          <cell r="L1513" t="str">
            <v>BINT31</v>
          </cell>
          <cell r="M1513" t="str">
            <v>Bintang Putri Karisma, CV</v>
          </cell>
          <cell r="N1513" t="str">
            <v>Bintang Putri Karisma, CV</v>
          </cell>
          <cell r="O1513" t="str">
            <v>Mojopahit AC 01, Lingk. Gerdu RT.004/RW., Sempusari, Kaliwates</v>
          </cell>
          <cell r="P1513" t="str">
            <v>Jember</v>
          </cell>
          <cell r="Q1513" t="str">
            <v>Mojopahit AC 01, Lingk. Gerdu RT.004/RW., Sempusari, Kaliwates</v>
          </cell>
          <cell r="R1513" t="str">
            <v>Jember</v>
          </cell>
          <cell r="S1513" t="str">
            <v>L Kota1</v>
          </cell>
          <cell r="T1513" t="str">
            <v>OTHERS</v>
          </cell>
          <cell r="U1513">
            <v>30</v>
          </cell>
        </row>
        <row r="1514">
          <cell r="E1514" t="str">
            <v>T25001131</v>
          </cell>
          <cell r="F1514"/>
          <cell r="G1514">
            <v>150000000</v>
          </cell>
          <cell r="H1514" t="str">
            <v>Yuyun</v>
          </cell>
          <cell r="I1514" t="str">
            <v>Farida</v>
          </cell>
          <cell r="J1514"/>
          <cell r="K1514" t="str">
            <v>KU</v>
          </cell>
          <cell r="L1514" t="str">
            <v>BINT07</v>
          </cell>
          <cell r="M1514" t="str">
            <v>Bintang Sejahtera</v>
          </cell>
          <cell r="N1514" t="str">
            <v>Bambang Irawan</v>
          </cell>
          <cell r="O1514" t="str">
            <v>Dusun Plampang RT.002/RW.001, Kel. Cumedak, Kec. Sumberjambe</v>
          </cell>
          <cell r="P1514" t="str">
            <v>Jember</v>
          </cell>
          <cell r="Q1514" t="str">
            <v>Jl. Pb. Sudirman 93 RT.02/RW.02, Cumedak, Sumberjambe</v>
          </cell>
          <cell r="R1514" t="str">
            <v>Jember</v>
          </cell>
          <cell r="S1514" t="str">
            <v>N Bdw Stb</v>
          </cell>
          <cell r="T1514" t="str">
            <v>Wira</v>
          </cell>
          <cell r="U1514">
            <v>60</v>
          </cell>
        </row>
        <row r="1515">
          <cell r="E1515" t="str">
            <v>B25010537</v>
          </cell>
          <cell r="F1515"/>
          <cell r="G1515">
            <v>150000000</v>
          </cell>
          <cell r="H1515" t="str">
            <v>Yuyun</v>
          </cell>
          <cell r="I1515" t="str">
            <v>Farida</v>
          </cell>
          <cell r="J1515"/>
          <cell r="K1515" t="str">
            <v>KU</v>
          </cell>
          <cell r="L1515" t="str">
            <v>BINT07</v>
          </cell>
          <cell r="M1515" t="str">
            <v>Bintang Sejahtera</v>
          </cell>
          <cell r="N1515" t="str">
            <v>Bambang Irawan</v>
          </cell>
          <cell r="O1515" t="str">
            <v>Dusun Plampang RT.002/RW.001, Kel. Cumedak, Kec. Sumberjambe</v>
          </cell>
          <cell r="P1515" t="str">
            <v>Jember</v>
          </cell>
          <cell r="Q1515" t="str">
            <v>Jl. Pb. Sudirman 93 RT.02/RW.02, Cumedak, Sumberjambe</v>
          </cell>
          <cell r="R1515" t="str">
            <v>Jember</v>
          </cell>
          <cell r="S1515" t="str">
            <v>N Bdw Stb</v>
          </cell>
          <cell r="T1515" t="str">
            <v>Wira</v>
          </cell>
          <cell r="U1515">
            <v>30</v>
          </cell>
        </row>
        <row r="1516">
          <cell r="E1516" t="str">
            <v>D25012648</v>
          </cell>
          <cell r="F1516"/>
          <cell r="G1516">
            <v>150000000</v>
          </cell>
          <cell r="H1516" t="str">
            <v>Yuyun</v>
          </cell>
          <cell r="I1516" t="str">
            <v>Farida</v>
          </cell>
          <cell r="J1516"/>
          <cell r="K1516" t="str">
            <v>KU</v>
          </cell>
          <cell r="L1516" t="str">
            <v>BINT07</v>
          </cell>
          <cell r="M1516" t="str">
            <v>Bintang Sejahtera</v>
          </cell>
          <cell r="N1516" t="str">
            <v>Bambang Irawan</v>
          </cell>
          <cell r="O1516" t="str">
            <v>Dusun Plampang RT.002/RW.001, Kel. Cumedak, Kec. Sumberjambe</v>
          </cell>
          <cell r="P1516" t="str">
            <v>Jember</v>
          </cell>
          <cell r="Q1516" t="str">
            <v>Jl. Pb. Sudirman 93 RT.02/RW.02, Cumedak, Sumberjambe</v>
          </cell>
          <cell r="R1516" t="str">
            <v>Jember</v>
          </cell>
          <cell r="S1516" t="str">
            <v>N Bdw Stb</v>
          </cell>
          <cell r="T1516" t="str">
            <v>Wira</v>
          </cell>
          <cell r="U1516">
            <v>30</v>
          </cell>
        </row>
        <row r="1517">
          <cell r="E1517" t="str">
            <v>D25012806</v>
          </cell>
          <cell r="F1517"/>
          <cell r="G1517">
            <v>150000000</v>
          </cell>
          <cell r="H1517" t="str">
            <v>Yuyun</v>
          </cell>
          <cell r="I1517" t="str">
            <v>Farida</v>
          </cell>
          <cell r="J1517"/>
          <cell r="K1517" t="str">
            <v>KU</v>
          </cell>
          <cell r="L1517" t="str">
            <v>BINT07</v>
          </cell>
          <cell r="M1517" t="str">
            <v>Bintang Sejahtera</v>
          </cell>
          <cell r="N1517" t="str">
            <v>Bambang Irawan</v>
          </cell>
          <cell r="O1517" t="str">
            <v>Dusun Plampang RT.002/RW.001, Kel. Cumedak, Kec. Sumberjambe</v>
          </cell>
          <cell r="P1517" t="str">
            <v>Jember</v>
          </cell>
          <cell r="Q1517" t="str">
            <v>Jl. Pb. Sudirman 93 RT.02/RW.02, Cumedak, Sumberjambe</v>
          </cell>
          <cell r="R1517" t="str">
            <v>Jember</v>
          </cell>
          <cell r="S1517" t="str">
            <v>N Bdw Stb</v>
          </cell>
          <cell r="T1517" t="str">
            <v>Wira</v>
          </cell>
          <cell r="U1517">
            <v>30</v>
          </cell>
        </row>
        <row r="1518">
          <cell r="E1518" t="str">
            <v>T25001302</v>
          </cell>
          <cell r="F1518"/>
          <cell r="G1518">
            <v>150000000</v>
          </cell>
          <cell r="H1518" t="str">
            <v>Yuyun</v>
          </cell>
          <cell r="I1518" t="str">
            <v>Farida</v>
          </cell>
          <cell r="J1518"/>
          <cell r="K1518" t="str">
            <v>KU</v>
          </cell>
          <cell r="L1518" t="str">
            <v>BINT07</v>
          </cell>
          <cell r="M1518" t="str">
            <v>Bintang Sejahtera</v>
          </cell>
          <cell r="N1518" t="str">
            <v>Bambang Irawan</v>
          </cell>
          <cell r="O1518" t="str">
            <v>Dusun Plampang RT.002/RW.001, Kel. Cumedak, Kec. Sumberjambe</v>
          </cell>
          <cell r="P1518" t="str">
            <v>Jember</v>
          </cell>
          <cell r="Q1518" t="str">
            <v>Jl. Pb. Sudirman 93 RT.02/RW.02, Cumedak, Sumberjambe</v>
          </cell>
          <cell r="R1518" t="str">
            <v>Jember</v>
          </cell>
          <cell r="S1518" t="str">
            <v>N Bdw Stb</v>
          </cell>
          <cell r="T1518" t="str">
            <v>Wira</v>
          </cell>
          <cell r="U1518">
            <v>60</v>
          </cell>
        </row>
        <row r="1519">
          <cell r="E1519" t="str">
            <v>B25011121</v>
          </cell>
          <cell r="F1519"/>
          <cell r="G1519">
            <v>150000000</v>
          </cell>
          <cell r="H1519" t="str">
            <v>Yuyun</v>
          </cell>
          <cell r="I1519" t="str">
            <v>Farida</v>
          </cell>
          <cell r="J1519"/>
          <cell r="K1519" t="str">
            <v>KU</v>
          </cell>
          <cell r="L1519" t="str">
            <v>BINT07</v>
          </cell>
          <cell r="M1519" t="str">
            <v>Bintang Sejahtera</v>
          </cell>
          <cell r="N1519" t="str">
            <v>Bambang Irawan</v>
          </cell>
          <cell r="O1519" t="str">
            <v>Dusun Plampang RT.002/RW.001, Kel. Cumedak, Kec. Sumberjambe</v>
          </cell>
          <cell r="P1519" t="str">
            <v>Jember</v>
          </cell>
          <cell r="Q1519" t="str">
            <v>Jl. Pb. Sudirman 93 RT.02/RW.02, Cumedak, Sumberjambe</v>
          </cell>
          <cell r="R1519" t="str">
            <v>Jember</v>
          </cell>
          <cell r="S1519" t="str">
            <v>N Bdw Stb</v>
          </cell>
          <cell r="T1519" t="str">
            <v>Wira</v>
          </cell>
          <cell r="U1519">
            <v>30</v>
          </cell>
        </row>
        <row r="1520">
          <cell r="E1520" t="str">
            <v>D25013923</v>
          </cell>
          <cell r="F1520"/>
          <cell r="G1520">
            <v>150000000</v>
          </cell>
          <cell r="H1520" t="str">
            <v>Yuyun</v>
          </cell>
          <cell r="I1520" t="str">
            <v>Farida</v>
          </cell>
          <cell r="J1520"/>
          <cell r="K1520" t="str">
            <v>KU</v>
          </cell>
          <cell r="L1520" t="str">
            <v>BINT07</v>
          </cell>
          <cell r="M1520" t="str">
            <v>Bintang Sejahtera</v>
          </cell>
          <cell r="N1520" t="str">
            <v>Bambang Irawan</v>
          </cell>
          <cell r="O1520" t="str">
            <v>Dusun Plampang RT.002/RW.001, Kel. Cumedak, Kec. Sumberjambe</v>
          </cell>
          <cell r="P1520" t="str">
            <v>Jember</v>
          </cell>
          <cell r="Q1520" t="str">
            <v>Jl. Pb. Sudirman 93 RT.02/RW.02, Cumedak, Sumberjambe</v>
          </cell>
          <cell r="R1520" t="str">
            <v>Jember</v>
          </cell>
          <cell r="S1520" t="str">
            <v>N Bdw Stb</v>
          </cell>
          <cell r="T1520" t="str">
            <v>Wira</v>
          </cell>
          <cell r="U1520">
            <v>30</v>
          </cell>
        </row>
        <row r="1521">
          <cell r="E1521" t="str">
            <v>D25014017</v>
          </cell>
          <cell r="F1521"/>
          <cell r="G1521">
            <v>150000000</v>
          </cell>
          <cell r="H1521" t="str">
            <v>Yuyun</v>
          </cell>
          <cell r="I1521" t="str">
            <v>Farida</v>
          </cell>
          <cell r="J1521"/>
          <cell r="K1521" t="str">
            <v>KU</v>
          </cell>
          <cell r="L1521" t="str">
            <v>BINT07</v>
          </cell>
          <cell r="M1521" t="str">
            <v>Bintang Sejahtera</v>
          </cell>
          <cell r="N1521" t="str">
            <v>Bambang Irawan</v>
          </cell>
          <cell r="O1521" t="str">
            <v>Dusun Plampang RT.002/RW.001, Kel. Cumedak, Kec. Sumberjambe</v>
          </cell>
          <cell r="P1521" t="str">
            <v>Jember</v>
          </cell>
          <cell r="Q1521" t="str">
            <v>Jl. Pb. Sudirman 93 RT.02/RW.02, Cumedak, Sumberjambe</v>
          </cell>
          <cell r="R1521" t="str">
            <v>Jember</v>
          </cell>
          <cell r="S1521" t="str">
            <v>N Bdw Stb</v>
          </cell>
          <cell r="T1521" t="str">
            <v>Wira</v>
          </cell>
          <cell r="U1521">
            <v>60</v>
          </cell>
        </row>
        <row r="1522">
          <cell r="E1522" t="str">
            <v>D25014018</v>
          </cell>
          <cell r="F1522"/>
          <cell r="G1522">
            <v>150000000</v>
          </cell>
          <cell r="H1522" t="str">
            <v>Yuyun</v>
          </cell>
          <cell r="I1522" t="str">
            <v>Farida</v>
          </cell>
          <cell r="J1522"/>
          <cell r="K1522" t="str">
            <v>KU</v>
          </cell>
          <cell r="L1522" t="str">
            <v>BINT07</v>
          </cell>
          <cell r="M1522" t="str">
            <v>Bintang Sejahtera</v>
          </cell>
          <cell r="N1522" t="str">
            <v>Bambang Irawan</v>
          </cell>
          <cell r="O1522" t="str">
            <v>Dusun Plampang RT.002/RW.001, Kel. Cumedak, Kec. Sumberjambe</v>
          </cell>
          <cell r="P1522" t="str">
            <v>Jember</v>
          </cell>
          <cell r="Q1522" t="str">
            <v>Jl. Pb. Sudirman 93 RT.02/RW.02, Cumedak, Sumberjambe</v>
          </cell>
          <cell r="R1522" t="str">
            <v>Jember</v>
          </cell>
          <cell r="S1522" t="str">
            <v>N Bdw Stb</v>
          </cell>
          <cell r="T1522" t="str">
            <v>Wira</v>
          </cell>
          <cell r="U1522">
            <v>30</v>
          </cell>
        </row>
        <row r="1523">
          <cell r="E1523" t="str">
            <v>D25014513</v>
          </cell>
          <cell r="F1523"/>
          <cell r="G1523">
            <v>150000000</v>
          </cell>
          <cell r="H1523" t="str">
            <v>Yuyun</v>
          </cell>
          <cell r="I1523" t="str">
            <v>Farida</v>
          </cell>
          <cell r="J1523"/>
          <cell r="K1523" t="str">
            <v>KU</v>
          </cell>
          <cell r="L1523" t="str">
            <v>BINT07</v>
          </cell>
          <cell r="M1523" t="str">
            <v>Bintang Sejahtera</v>
          </cell>
          <cell r="N1523" t="str">
            <v>Bambang Irawan</v>
          </cell>
          <cell r="O1523" t="str">
            <v>Dusun Plampang RT.002/RW.001, Kel. Cumedak, Kec. Sumberjambe</v>
          </cell>
          <cell r="P1523" t="str">
            <v>Jember</v>
          </cell>
          <cell r="Q1523" t="str">
            <v>Jl. Pb. Sudirman 93 RT.02/RW.02, Cumedak, Sumberjambe</v>
          </cell>
          <cell r="R1523" t="str">
            <v>Jember</v>
          </cell>
          <cell r="S1523" t="str">
            <v>N Bdw Stb</v>
          </cell>
          <cell r="T1523" t="str">
            <v>Wira</v>
          </cell>
          <cell r="U1523">
            <v>30</v>
          </cell>
        </row>
        <row r="1524">
          <cell r="E1524" t="str">
            <v>B25012301</v>
          </cell>
          <cell r="F1524"/>
          <cell r="G1524">
            <v>150000000</v>
          </cell>
          <cell r="H1524" t="str">
            <v>Yuyun</v>
          </cell>
          <cell r="I1524" t="str">
            <v>Farida</v>
          </cell>
          <cell r="J1524"/>
          <cell r="K1524" t="str">
            <v>KU</v>
          </cell>
          <cell r="L1524" t="str">
            <v>BINT07</v>
          </cell>
          <cell r="M1524" t="str">
            <v>Bintang Sejahtera</v>
          </cell>
          <cell r="N1524" t="str">
            <v>Bambang Irawan</v>
          </cell>
          <cell r="O1524" t="str">
            <v>Dusun Plampang RT.002/RW.001, Kel. Cumedak, Kec. Sumberjambe</v>
          </cell>
          <cell r="P1524" t="str">
            <v>Jember</v>
          </cell>
          <cell r="Q1524" t="str">
            <v>Jl. Pb. Sudirman 93 RT.02/RW.02, Cumedak, Sumberjambe</v>
          </cell>
          <cell r="R1524" t="str">
            <v>Jember</v>
          </cell>
          <cell r="S1524" t="str">
            <v>N Bdw Stb</v>
          </cell>
          <cell r="T1524" t="str">
            <v>Wira</v>
          </cell>
          <cell r="U1524">
            <v>30</v>
          </cell>
        </row>
        <row r="1525">
          <cell r="E1525" t="str">
            <v>D25014733</v>
          </cell>
          <cell r="F1525"/>
          <cell r="G1525">
            <v>150000000</v>
          </cell>
          <cell r="H1525" t="str">
            <v>Yuyun</v>
          </cell>
          <cell r="I1525" t="str">
            <v>Farida</v>
          </cell>
          <cell r="J1525"/>
          <cell r="K1525" t="str">
            <v>KU</v>
          </cell>
          <cell r="L1525" t="str">
            <v>BINT07</v>
          </cell>
          <cell r="M1525" t="str">
            <v>Bintang Sejahtera</v>
          </cell>
          <cell r="N1525" t="str">
            <v>Bambang Irawan</v>
          </cell>
          <cell r="O1525" t="str">
            <v>Dusun Plampang RT.002/RW.001, Kel. Cumedak, Kec. Sumberjambe</v>
          </cell>
          <cell r="P1525" t="str">
            <v>Jember</v>
          </cell>
          <cell r="Q1525" t="str">
            <v>Jl. Pb. Sudirman 93 RT.02/RW.02, Cumedak, Sumberjambe</v>
          </cell>
          <cell r="R1525" t="str">
            <v>Jember</v>
          </cell>
          <cell r="S1525" t="str">
            <v>N Bdw Stb</v>
          </cell>
          <cell r="T1525" t="str">
            <v>Wira</v>
          </cell>
          <cell r="U1525">
            <v>30</v>
          </cell>
        </row>
        <row r="1526">
          <cell r="E1526" t="str">
            <v>B25012578</v>
          </cell>
          <cell r="F1526"/>
          <cell r="G1526">
            <v>150000000</v>
          </cell>
          <cell r="H1526" t="str">
            <v>Yuyun</v>
          </cell>
          <cell r="I1526" t="str">
            <v>Farida</v>
          </cell>
          <cell r="J1526"/>
          <cell r="K1526" t="str">
            <v>KU</v>
          </cell>
          <cell r="L1526" t="str">
            <v>BINT07</v>
          </cell>
          <cell r="M1526" t="str">
            <v>Bintang Sejahtera</v>
          </cell>
          <cell r="N1526" t="str">
            <v>Bambang Irawan</v>
          </cell>
          <cell r="O1526" t="str">
            <v>Dusun Plampang RT.002/RW.001, Kel. Cumedak, Kec. Sumberjambe</v>
          </cell>
          <cell r="P1526" t="str">
            <v>Jember</v>
          </cell>
          <cell r="Q1526" t="str">
            <v>Jl. Pb. Sudirman 93 RT.02/RW.02, Cumedak, Sumberjambe</v>
          </cell>
          <cell r="R1526" t="str">
            <v>Jember</v>
          </cell>
          <cell r="S1526" t="str">
            <v>N Bdw Stb</v>
          </cell>
          <cell r="T1526" t="str">
            <v>Wira</v>
          </cell>
          <cell r="U1526">
            <v>30</v>
          </cell>
        </row>
        <row r="1527">
          <cell r="E1527" t="str">
            <v>D25014996</v>
          </cell>
          <cell r="F1527"/>
          <cell r="G1527">
            <v>150000000</v>
          </cell>
          <cell r="H1527" t="str">
            <v>Yuyun</v>
          </cell>
          <cell r="I1527" t="str">
            <v>Farida</v>
          </cell>
          <cell r="J1527"/>
          <cell r="K1527" t="str">
            <v>KU</v>
          </cell>
          <cell r="L1527" t="str">
            <v>BINT07</v>
          </cell>
          <cell r="M1527" t="str">
            <v>Bintang Sejahtera</v>
          </cell>
          <cell r="N1527" t="str">
            <v>Bambang Irawan</v>
          </cell>
          <cell r="O1527" t="str">
            <v>Dusun Plampang RT.002/RW.001, Kel. Cumedak, Kec. Sumberjambe</v>
          </cell>
          <cell r="P1527" t="str">
            <v>Jember</v>
          </cell>
          <cell r="Q1527" t="str">
            <v>Jl. Pb. Sudirman 93 RT.02/RW.02, Cumedak, Sumberjambe</v>
          </cell>
          <cell r="R1527" t="str">
            <v>Jember</v>
          </cell>
          <cell r="S1527" t="str">
            <v>N Bdw Stb</v>
          </cell>
          <cell r="T1527" t="str">
            <v>Wira</v>
          </cell>
          <cell r="U1527">
            <v>30</v>
          </cell>
        </row>
        <row r="1528">
          <cell r="E1528" t="str">
            <v>D25015597</v>
          </cell>
          <cell r="F1528"/>
          <cell r="G1528">
            <v>150000000</v>
          </cell>
          <cell r="H1528" t="str">
            <v>Yuyun</v>
          </cell>
          <cell r="I1528" t="str">
            <v>Farida</v>
          </cell>
          <cell r="J1528"/>
          <cell r="K1528" t="str">
            <v>KU</v>
          </cell>
          <cell r="L1528" t="str">
            <v>BINT07</v>
          </cell>
          <cell r="M1528" t="str">
            <v>Bintang Sejahtera</v>
          </cell>
          <cell r="N1528" t="str">
            <v>Bambang Irawan</v>
          </cell>
          <cell r="O1528" t="str">
            <v>Dusun Plampang RT.002/RW.001, Kel. Cumedak, Kec. Sumberjambe</v>
          </cell>
          <cell r="P1528" t="str">
            <v>Jember</v>
          </cell>
          <cell r="Q1528" t="str">
            <v>Jl. Pb. Sudirman 93 RT.02/RW.02, Cumedak, Sumberjambe</v>
          </cell>
          <cell r="R1528" t="str">
            <v>Jember</v>
          </cell>
          <cell r="S1528" t="str">
            <v>N Bdw Stb</v>
          </cell>
          <cell r="T1528" t="str">
            <v>Wira</v>
          </cell>
          <cell r="U1528">
            <v>30</v>
          </cell>
        </row>
        <row r="1529">
          <cell r="E1529" t="str">
            <v>D25015598</v>
          </cell>
          <cell r="F1529"/>
          <cell r="G1529">
            <v>150000000</v>
          </cell>
          <cell r="H1529" t="str">
            <v>Yuyun</v>
          </cell>
          <cell r="I1529" t="str">
            <v>Farida</v>
          </cell>
          <cell r="J1529"/>
          <cell r="K1529" t="str">
            <v>KU</v>
          </cell>
          <cell r="L1529" t="str">
            <v>BINT07</v>
          </cell>
          <cell r="M1529" t="str">
            <v>Bintang Sejahtera</v>
          </cell>
          <cell r="N1529" t="str">
            <v>Bambang Irawan</v>
          </cell>
          <cell r="O1529" t="str">
            <v>Dusun Plampang RT.002/RW.001, Kel. Cumedak, Kec. Sumberjambe</v>
          </cell>
          <cell r="P1529" t="str">
            <v>Jember</v>
          </cell>
          <cell r="Q1529" t="str">
            <v>Jl. Pb. Sudirman 93 RT.02/RW.02, Cumedak, Sumberjambe</v>
          </cell>
          <cell r="R1529" t="str">
            <v>Jember</v>
          </cell>
          <cell r="S1529" t="str">
            <v>N Bdw Stb</v>
          </cell>
          <cell r="T1529" t="str">
            <v>Wira</v>
          </cell>
          <cell r="U1529">
            <v>30</v>
          </cell>
        </row>
        <row r="1530">
          <cell r="E1530" t="str">
            <v>D25015599</v>
          </cell>
          <cell r="F1530"/>
          <cell r="G1530">
            <v>150000000</v>
          </cell>
          <cell r="H1530" t="str">
            <v>Yuyun</v>
          </cell>
          <cell r="I1530" t="str">
            <v>Farida</v>
          </cell>
          <cell r="J1530"/>
          <cell r="K1530" t="str">
            <v>KU</v>
          </cell>
          <cell r="L1530" t="str">
            <v>BINT07</v>
          </cell>
          <cell r="M1530" t="str">
            <v>Bintang Sejahtera</v>
          </cell>
          <cell r="N1530" t="str">
            <v>Bambang Irawan</v>
          </cell>
          <cell r="O1530" t="str">
            <v>Dusun Plampang RT.002/RW.001, Kel. Cumedak, Kec. Sumberjambe</v>
          </cell>
          <cell r="P1530" t="str">
            <v>Jember</v>
          </cell>
          <cell r="Q1530" t="str">
            <v>Jl. Pb. Sudirman 93 RT.02/RW.02, Cumedak, Sumberjambe</v>
          </cell>
          <cell r="R1530" t="str">
            <v>Jember</v>
          </cell>
          <cell r="S1530" t="str">
            <v>N Bdw Stb</v>
          </cell>
          <cell r="T1530" t="str">
            <v>Wira</v>
          </cell>
          <cell r="U1530">
            <v>30</v>
          </cell>
        </row>
        <row r="1531">
          <cell r="E1531" t="str">
            <v>D25015604</v>
          </cell>
          <cell r="F1531"/>
          <cell r="G1531">
            <v>150000000</v>
          </cell>
          <cell r="H1531" t="str">
            <v>Yuyun</v>
          </cell>
          <cell r="I1531" t="str">
            <v>Farida</v>
          </cell>
          <cell r="J1531"/>
          <cell r="K1531" t="str">
            <v>KU</v>
          </cell>
          <cell r="L1531" t="str">
            <v>BINT07</v>
          </cell>
          <cell r="M1531" t="str">
            <v>Bintang Sejahtera</v>
          </cell>
          <cell r="N1531" t="str">
            <v>Bambang Irawan</v>
          </cell>
          <cell r="O1531" t="str">
            <v>Dusun Plampang RT.002/RW.001, Kel. Cumedak, Kec. Sumberjambe</v>
          </cell>
          <cell r="P1531" t="str">
            <v>Jember</v>
          </cell>
          <cell r="Q1531" t="str">
            <v>Jl. Pb. Sudirman 93 RT.02/RW.02, Cumedak, Sumberjambe</v>
          </cell>
          <cell r="R1531" t="str">
            <v>Jember</v>
          </cell>
          <cell r="S1531" t="str">
            <v>N Bdw Stb</v>
          </cell>
          <cell r="T1531" t="str">
            <v>Wira</v>
          </cell>
          <cell r="U1531">
            <v>30</v>
          </cell>
        </row>
        <row r="1532">
          <cell r="E1532" t="str">
            <v>D25015790</v>
          </cell>
          <cell r="F1532"/>
          <cell r="G1532">
            <v>150000000</v>
          </cell>
          <cell r="H1532" t="str">
            <v>Yuyun</v>
          </cell>
          <cell r="I1532" t="str">
            <v>Farida</v>
          </cell>
          <cell r="J1532"/>
          <cell r="K1532" t="str">
            <v>KU</v>
          </cell>
          <cell r="L1532" t="str">
            <v>BINT07</v>
          </cell>
          <cell r="M1532" t="str">
            <v>Bintang Sejahtera</v>
          </cell>
          <cell r="N1532" t="str">
            <v>Bambang Irawan</v>
          </cell>
          <cell r="O1532" t="str">
            <v>Dusun Plampang RT.002/RW.001, Kel. Cumedak, Kec. Sumberjambe</v>
          </cell>
          <cell r="P1532" t="str">
            <v>Jember</v>
          </cell>
          <cell r="Q1532" t="str">
            <v>Jl. Pb. Sudirman 93 RT.02/RW.02, Cumedak, Sumberjambe</v>
          </cell>
          <cell r="R1532" t="str">
            <v>Jember</v>
          </cell>
          <cell r="S1532" t="str">
            <v>N Bdw Stb</v>
          </cell>
          <cell r="T1532" t="str">
            <v>Wira</v>
          </cell>
          <cell r="U1532">
            <v>30</v>
          </cell>
        </row>
        <row r="1533">
          <cell r="E1533" t="str">
            <v>D25015795</v>
          </cell>
          <cell r="F1533"/>
          <cell r="G1533">
            <v>150000000</v>
          </cell>
          <cell r="H1533" t="str">
            <v>Yuyun</v>
          </cell>
          <cell r="I1533" t="str">
            <v>Farida</v>
          </cell>
          <cell r="J1533"/>
          <cell r="K1533" t="str">
            <v>KU</v>
          </cell>
          <cell r="L1533" t="str">
            <v>BINT07</v>
          </cell>
          <cell r="M1533" t="str">
            <v>Bintang Sejahtera</v>
          </cell>
          <cell r="N1533" t="str">
            <v>Bambang Irawan</v>
          </cell>
          <cell r="O1533" t="str">
            <v>Dusun Plampang RT.002/RW.001, Kel. Cumedak, Kec. Sumberjambe</v>
          </cell>
          <cell r="P1533" t="str">
            <v>Jember</v>
          </cell>
          <cell r="Q1533" t="str">
            <v>Jl. Pb. Sudirman 93 RT.02/RW.02, Cumedak, Sumberjambe</v>
          </cell>
          <cell r="R1533" t="str">
            <v>Jember</v>
          </cell>
          <cell r="S1533" t="str">
            <v>N Bdw Stb</v>
          </cell>
          <cell r="T1533" t="str">
            <v>Wira</v>
          </cell>
          <cell r="U1533">
            <v>30</v>
          </cell>
        </row>
        <row r="1534">
          <cell r="E1534" t="str">
            <v>D25015998</v>
          </cell>
          <cell r="F1534"/>
          <cell r="G1534">
            <v>150000000</v>
          </cell>
          <cell r="H1534" t="str">
            <v>Yuyun</v>
          </cell>
          <cell r="I1534" t="str">
            <v>Farida</v>
          </cell>
          <cell r="J1534"/>
          <cell r="K1534" t="str">
            <v>KU</v>
          </cell>
          <cell r="L1534" t="str">
            <v>BINT07</v>
          </cell>
          <cell r="M1534" t="str">
            <v>Bintang Sejahtera</v>
          </cell>
          <cell r="N1534" t="str">
            <v>Bambang Irawan</v>
          </cell>
          <cell r="O1534" t="str">
            <v>Dusun Plampang RT.002/RW.001, Kel. Cumedak, Kec. Sumberjambe</v>
          </cell>
          <cell r="P1534" t="str">
            <v>Jember</v>
          </cell>
          <cell r="Q1534" t="str">
            <v>Jl. Pb. Sudirman 93 RT.02/RW.02, Cumedak, Sumberjambe</v>
          </cell>
          <cell r="R1534" t="str">
            <v>Jember</v>
          </cell>
          <cell r="S1534" t="str">
            <v>N Bdw Stb</v>
          </cell>
          <cell r="T1534" t="str">
            <v>Wira</v>
          </cell>
          <cell r="U1534">
            <v>30</v>
          </cell>
        </row>
        <row r="1535">
          <cell r="E1535" t="str">
            <v>D25015999</v>
          </cell>
          <cell r="F1535"/>
          <cell r="G1535">
            <v>150000000</v>
          </cell>
          <cell r="H1535" t="str">
            <v>Yuyun</v>
          </cell>
          <cell r="I1535" t="str">
            <v>Farida</v>
          </cell>
          <cell r="J1535"/>
          <cell r="K1535" t="str">
            <v>KU</v>
          </cell>
          <cell r="L1535" t="str">
            <v>BINT07</v>
          </cell>
          <cell r="M1535" t="str">
            <v>Bintang Sejahtera</v>
          </cell>
          <cell r="N1535" t="str">
            <v>Bambang Irawan</v>
          </cell>
          <cell r="O1535" t="str">
            <v>Dusun Plampang RT.002/RW.001, Kel. Cumedak, Kec. Sumberjambe</v>
          </cell>
          <cell r="P1535" t="str">
            <v>Jember</v>
          </cell>
          <cell r="Q1535" t="str">
            <v>Jl. Pb. Sudirman 93 RT.02/RW.02, Cumedak, Sumberjambe</v>
          </cell>
          <cell r="R1535" t="str">
            <v>Jember</v>
          </cell>
          <cell r="S1535" t="str">
            <v>N Bdw Stb</v>
          </cell>
          <cell r="T1535" t="str">
            <v>Wira</v>
          </cell>
          <cell r="U1535">
            <v>30</v>
          </cell>
        </row>
        <row r="1536">
          <cell r="E1536" t="str">
            <v>B25013926</v>
          </cell>
          <cell r="F1536"/>
          <cell r="G1536">
            <v>150000000</v>
          </cell>
          <cell r="H1536" t="str">
            <v>Yuyun</v>
          </cell>
          <cell r="I1536" t="str">
            <v>Farida</v>
          </cell>
          <cell r="J1536"/>
          <cell r="K1536" t="str">
            <v>KU</v>
          </cell>
          <cell r="L1536" t="str">
            <v>BINT07</v>
          </cell>
          <cell r="M1536" t="str">
            <v>Bintang Sejahtera</v>
          </cell>
          <cell r="N1536" t="str">
            <v>Bambang Irawan</v>
          </cell>
          <cell r="O1536" t="str">
            <v>Dusun Plampang RT.002/RW.001, Kel. Cumedak, Kec. Sumberjambe</v>
          </cell>
          <cell r="P1536" t="str">
            <v>Jember</v>
          </cell>
          <cell r="Q1536" t="str">
            <v>Jl. Pb. Sudirman 93 RT.02/RW.02, Cumedak, Sumberjambe</v>
          </cell>
          <cell r="R1536" t="str">
            <v>Jember</v>
          </cell>
          <cell r="S1536" t="str">
            <v>N Bdw Stb</v>
          </cell>
          <cell r="T1536" t="str">
            <v>Wira</v>
          </cell>
          <cell r="U1536">
            <v>30</v>
          </cell>
        </row>
        <row r="1537">
          <cell r="E1537" t="str">
            <v>D25012457</v>
          </cell>
          <cell r="F1537"/>
          <cell r="G1537">
            <v>8000000000</v>
          </cell>
          <cell r="H1537" t="str">
            <v>Hendra</v>
          </cell>
          <cell r="I1537" t="str">
            <v>Tiya</v>
          </cell>
          <cell r="J1537"/>
          <cell r="K1537" t="str">
            <v>KU</v>
          </cell>
          <cell r="L1537" t="str">
            <v>APRA01</v>
          </cell>
          <cell r="M1537" t="str">
            <v>Bintang Sejahtera/Aprianto</v>
          </cell>
          <cell r="N1537" t="str">
            <v>Bintang Nazima Indoagro, PT</v>
          </cell>
          <cell r="O1537" t="str">
            <v>Jl. Gajah Mada No.88 Alahan Panjang Lembah Gumanti Kab. Solok, Sumatra Barat</v>
          </cell>
          <cell r="P1537" t="str">
            <v>Sumatra Barat</v>
          </cell>
          <cell r="Q1537" t="str">
            <v>Jorong Tanjung Balit, Salimpat Lembah Gumanti Kab. Solok</v>
          </cell>
          <cell r="R1537" t="str">
            <v>Sumatra Barat</v>
          </cell>
          <cell r="S1537" t="str">
            <v>E Luar Pulau1</v>
          </cell>
          <cell r="T1537" t="str">
            <v>Non SE &amp; JSE</v>
          </cell>
          <cell r="U1537">
            <v>45</v>
          </cell>
        </row>
        <row r="1538">
          <cell r="E1538" t="str">
            <v>D25012459</v>
          </cell>
          <cell r="F1538"/>
          <cell r="G1538">
            <v>8000000000</v>
          </cell>
          <cell r="H1538" t="str">
            <v>Hendra</v>
          </cell>
          <cell r="I1538" t="str">
            <v>Tiya</v>
          </cell>
          <cell r="J1538"/>
          <cell r="K1538" t="str">
            <v>KU</v>
          </cell>
          <cell r="L1538" t="str">
            <v>APRA01</v>
          </cell>
          <cell r="M1538" t="str">
            <v>Bintang Sejahtera/Aprianto</v>
          </cell>
          <cell r="N1538" t="str">
            <v>Bintang Nazima Indoagro, PT</v>
          </cell>
          <cell r="O1538" t="str">
            <v>Jl. Gajah Mada No.88 Alahan Panjang Lembah Gumanti Kab. Solok, Sumatra Barat</v>
          </cell>
          <cell r="P1538" t="str">
            <v>Sumatra Barat</v>
          </cell>
          <cell r="Q1538" t="str">
            <v>Jorong Tanjung Balit, Salimpat Lembah Gumanti Kab. Solok</v>
          </cell>
          <cell r="R1538" t="str">
            <v>Sumatra Barat</v>
          </cell>
          <cell r="S1538" t="str">
            <v>E Luar Pulau1</v>
          </cell>
          <cell r="T1538" t="str">
            <v>Non SE &amp; JSE</v>
          </cell>
          <cell r="U1538">
            <v>45</v>
          </cell>
        </row>
        <row r="1539">
          <cell r="E1539" t="str">
            <v>D25014039</v>
          </cell>
          <cell r="F1539"/>
          <cell r="G1539">
            <v>8000000000</v>
          </cell>
          <cell r="H1539" t="str">
            <v>Hendra</v>
          </cell>
          <cell r="I1539" t="str">
            <v>Tiya</v>
          </cell>
          <cell r="J1539"/>
          <cell r="K1539" t="str">
            <v>KU</v>
          </cell>
          <cell r="L1539" t="str">
            <v>APRA01</v>
          </cell>
          <cell r="M1539" t="str">
            <v>Bintang Sejahtera/Aprianto</v>
          </cell>
          <cell r="N1539" t="str">
            <v>Bintang Nazima Indoagro, PT</v>
          </cell>
          <cell r="O1539" t="str">
            <v>Jl. Gajah Mada No.88 Alahan Panjang Lembah Gumanti Kab. Solok, Sumatra Barat</v>
          </cell>
          <cell r="P1539" t="str">
            <v>Sumatra Barat</v>
          </cell>
          <cell r="Q1539" t="str">
            <v>Jorong Tanjung Balit, Salimpat Lembah Gumanti Kab. Solok</v>
          </cell>
          <cell r="R1539" t="str">
            <v>Sumatra Barat</v>
          </cell>
          <cell r="S1539" t="str">
            <v>E Luar Pulau1</v>
          </cell>
          <cell r="T1539" t="str">
            <v>Non SE &amp; JSE</v>
          </cell>
          <cell r="U1539">
            <v>45</v>
          </cell>
        </row>
        <row r="1540">
          <cell r="E1540" t="str">
            <v>B25011126</v>
          </cell>
          <cell r="F1540"/>
          <cell r="G1540">
            <v>10000000</v>
          </cell>
          <cell r="H1540" t="str">
            <v>Yuyun</v>
          </cell>
          <cell r="I1540" t="str">
            <v>Farida</v>
          </cell>
          <cell r="J1540" t="str">
            <v>New 25/07/24</v>
          </cell>
          <cell r="K1540" t="str">
            <v>KU</v>
          </cell>
          <cell r="L1540" t="str">
            <v>BINT35</v>
          </cell>
          <cell r="M1540" t="str">
            <v>Bintang Tani Sejahterah/Anisatul</v>
          </cell>
          <cell r="N1540" t="str">
            <v>Anisatul Firdaus</v>
          </cell>
          <cell r="O1540" t="str">
            <v>Jl. Andongsari Dusun Badean Kulon RT.006/RW.015, Kel. Serut, Kec. Panti</v>
          </cell>
          <cell r="P1540" t="str">
            <v>Jember</v>
          </cell>
          <cell r="Q1540" t="str">
            <v>Serut, Panti</v>
          </cell>
          <cell r="R1540" t="str">
            <v>Jember</v>
          </cell>
          <cell r="S1540" t="str">
            <v>L Kota1</v>
          </cell>
          <cell r="T1540" t="str">
            <v>Wira</v>
          </cell>
          <cell r="U1540">
            <v>30</v>
          </cell>
        </row>
        <row r="1541">
          <cell r="E1541" t="str">
            <v>T25001411</v>
          </cell>
          <cell r="F1541"/>
          <cell r="G1541">
            <v>10000000</v>
          </cell>
          <cell r="H1541" t="str">
            <v>Yuyun</v>
          </cell>
          <cell r="I1541" t="str">
            <v>Farida</v>
          </cell>
          <cell r="J1541" t="str">
            <v>New 25/07/24</v>
          </cell>
          <cell r="K1541" t="str">
            <v>KU</v>
          </cell>
          <cell r="L1541" t="str">
            <v>BINT35</v>
          </cell>
          <cell r="M1541" t="str">
            <v>Bintang Tani Sejahterah/Anisatul</v>
          </cell>
          <cell r="N1541" t="str">
            <v>Anisatul Firdaus</v>
          </cell>
          <cell r="O1541" t="str">
            <v>Jl. Andongsari Dusun Badean Kulon RT.006/RW.015, Kel. Serut, Kec. Panti</v>
          </cell>
          <cell r="P1541" t="str">
            <v>Jember</v>
          </cell>
          <cell r="Q1541" t="str">
            <v>Serut, Panti</v>
          </cell>
          <cell r="R1541" t="str">
            <v>Jember</v>
          </cell>
          <cell r="S1541" t="str">
            <v>L Kota1</v>
          </cell>
          <cell r="T1541" t="str">
            <v>Wira</v>
          </cell>
          <cell r="U1541">
            <v>60</v>
          </cell>
        </row>
        <row r="1542">
          <cell r="E1542" t="str">
            <v>C25000918</v>
          </cell>
          <cell r="F1542"/>
          <cell r="G1542">
            <v>10000000</v>
          </cell>
          <cell r="H1542" t="str">
            <v>Yuyun</v>
          </cell>
          <cell r="I1542" t="str">
            <v>Farida</v>
          </cell>
          <cell r="J1542" t="str">
            <v>New 25/07/24</v>
          </cell>
          <cell r="K1542" t="str">
            <v>KU</v>
          </cell>
          <cell r="L1542" t="str">
            <v>BINT35</v>
          </cell>
          <cell r="M1542" t="str">
            <v>Bintang Tani Sejahterah/Anisatul</v>
          </cell>
          <cell r="N1542" t="str">
            <v>Anisatul Firdaus</v>
          </cell>
          <cell r="O1542" t="str">
            <v>Jl. Andongsari Dusun Badean Kulon RT.006/RW.015, Kel. Serut, Kec. Panti</v>
          </cell>
          <cell r="P1542" t="str">
            <v>Jember</v>
          </cell>
          <cell r="Q1542" t="str">
            <v>Serut, Panti</v>
          </cell>
          <cell r="R1542" t="str">
            <v>Jember</v>
          </cell>
          <cell r="S1542" t="str">
            <v>L Kota1</v>
          </cell>
          <cell r="T1542" t="str">
            <v>Wira</v>
          </cell>
          <cell r="U1542">
            <v>0</v>
          </cell>
        </row>
        <row r="1543">
          <cell r="E1543" t="str">
            <v>D25016360</v>
          </cell>
          <cell r="F1543"/>
          <cell r="G1543">
            <v>10000000</v>
          </cell>
          <cell r="H1543" t="str">
            <v>Yuyun</v>
          </cell>
          <cell r="I1543" t="str">
            <v>Farida</v>
          </cell>
          <cell r="J1543" t="str">
            <v>New 25/07/24</v>
          </cell>
          <cell r="K1543" t="str">
            <v>KU</v>
          </cell>
          <cell r="L1543" t="str">
            <v>BINT35</v>
          </cell>
          <cell r="M1543" t="str">
            <v>Bintang Tani Sejahterah/Anisatul</v>
          </cell>
          <cell r="N1543" t="str">
            <v>Anisatul Firdaus</v>
          </cell>
          <cell r="O1543" t="str">
            <v>Jl. Andongsari Dusun Badean Kulon RT.006/RW.015, Kel. Serut, Kec. Panti</v>
          </cell>
          <cell r="P1543" t="str">
            <v>Jember</v>
          </cell>
          <cell r="Q1543" t="str">
            <v>Serut, Panti</v>
          </cell>
          <cell r="R1543" t="str">
            <v>Jember</v>
          </cell>
          <cell r="S1543" t="str">
            <v>L Kota1</v>
          </cell>
          <cell r="T1543" t="str">
            <v>Wira</v>
          </cell>
          <cell r="U1543">
            <v>30</v>
          </cell>
        </row>
        <row r="1544">
          <cell r="E1544" t="str">
            <v>D25014985</v>
          </cell>
          <cell r="F1544"/>
          <cell r="G1544">
            <v>1000</v>
          </cell>
          <cell r="H1544" t="str">
            <v>Zakia</v>
          </cell>
          <cell r="I1544" t="str">
            <v>Tiya</v>
          </cell>
          <cell r="J1544" t="str">
            <v>New 03/10/25</v>
          </cell>
          <cell r="K1544" t="str">
            <v>KU</v>
          </cell>
          <cell r="L1544" t="str">
            <v>BINT40</v>
          </cell>
          <cell r="M1544" t="str">
            <v>Bintang Tani/Dini Arsif</v>
          </cell>
          <cell r="N1544" t="str">
            <v>Dini Arsif Ismail</v>
          </cell>
          <cell r="O1544" t="str">
            <v>Dsn Setonorejo RT.003/RW,002, Kel. Setonorejo, Kec. Kras</v>
          </cell>
          <cell r="P1544" t="str">
            <v>Kediri</v>
          </cell>
          <cell r="Q1544" t="str">
            <v>Binangun, Kec. Binangun</v>
          </cell>
          <cell r="R1544" t="str">
            <v>Blitar</v>
          </cell>
          <cell r="S1544" t="str">
            <v>D Barat1</v>
          </cell>
          <cell r="T1544" t="str">
            <v>Tomi</v>
          </cell>
          <cell r="U1544">
            <v>0</v>
          </cell>
        </row>
        <row r="1545">
          <cell r="E1545" t="str">
            <v>D25014986</v>
          </cell>
          <cell r="F1545"/>
          <cell r="G1545">
            <v>1000</v>
          </cell>
          <cell r="H1545" t="str">
            <v>Zakia</v>
          </cell>
          <cell r="I1545" t="str">
            <v>Tiya</v>
          </cell>
          <cell r="J1545" t="str">
            <v>New 03/10/25</v>
          </cell>
          <cell r="K1545" t="str">
            <v>KU</v>
          </cell>
          <cell r="L1545" t="str">
            <v>BINT40</v>
          </cell>
          <cell r="M1545" t="str">
            <v>Bintang Tani/Dini Arsif</v>
          </cell>
          <cell r="N1545" t="str">
            <v>Dini Arsif Ismail</v>
          </cell>
          <cell r="O1545" t="str">
            <v>Dsn Setonorejo RT.003/RW,002, Kel. Setonorejo, Kec. Kras</v>
          </cell>
          <cell r="P1545" t="str">
            <v>Kediri</v>
          </cell>
          <cell r="Q1545" t="str">
            <v>Binangun, Kec. Binangun</v>
          </cell>
          <cell r="R1545" t="str">
            <v>Blitar</v>
          </cell>
          <cell r="S1545" t="str">
            <v>D Barat1</v>
          </cell>
          <cell r="T1545" t="str">
            <v>Tomi</v>
          </cell>
          <cell r="U1545">
            <v>0</v>
          </cell>
        </row>
        <row r="1546">
          <cell r="E1546" t="str">
            <v>T25001494</v>
          </cell>
          <cell r="F1546"/>
          <cell r="G1546">
            <v>1000</v>
          </cell>
          <cell r="H1546" t="str">
            <v>Zakia</v>
          </cell>
          <cell r="I1546" t="str">
            <v>Tiya</v>
          </cell>
          <cell r="J1546" t="str">
            <v>New 03/10/25</v>
          </cell>
          <cell r="K1546" t="str">
            <v>KU</v>
          </cell>
          <cell r="L1546" t="str">
            <v>BINT40</v>
          </cell>
          <cell r="M1546" t="str">
            <v>Bintang Tani/Dini Arsif</v>
          </cell>
          <cell r="N1546" t="str">
            <v>Dini Arsif Ismail</v>
          </cell>
          <cell r="O1546" t="str">
            <v>Dsn Setonorejo RT.003/RW,002, Kel. Setonorejo, Kec. Kras</v>
          </cell>
          <cell r="P1546" t="str">
            <v>Kediri</v>
          </cell>
          <cell r="Q1546" t="str">
            <v>Binangun, Kec. Binangun</v>
          </cell>
          <cell r="R1546" t="str">
            <v>Blitar</v>
          </cell>
          <cell r="S1546" t="str">
            <v>D Barat1</v>
          </cell>
          <cell r="T1546" t="str">
            <v>Tomi</v>
          </cell>
          <cell r="U1546">
            <v>0</v>
          </cell>
        </row>
        <row r="1547">
          <cell r="E1547" t="str">
            <v>T25001494</v>
          </cell>
          <cell r="F1547"/>
          <cell r="G1547">
            <v>1000</v>
          </cell>
          <cell r="H1547" t="str">
            <v>Zakia</v>
          </cell>
          <cell r="I1547" t="str">
            <v>Tiya</v>
          </cell>
          <cell r="J1547" t="str">
            <v>New 03/10/25</v>
          </cell>
          <cell r="K1547" t="str">
            <v>KU</v>
          </cell>
          <cell r="L1547" t="str">
            <v>BINT40</v>
          </cell>
          <cell r="M1547" t="str">
            <v>Bintang Tani/Dini Arsif</v>
          </cell>
          <cell r="N1547" t="str">
            <v>Dini Arsif Ismail</v>
          </cell>
          <cell r="O1547" t="str">
            <v>Dsn Setonorejo RT.003/RW,002, Kel. Setonorejo, Kec. Kras</v>
          </cell>
          <cell r="P1547" t="str">
            <v>Kediri</v>
          </cell>
          <cell r="Q1547" t="str">
            <v>Binangun, Kec. Binangun</v>
          </cell>
          <cell r="R1547" t="str">
            <v>Blitar</v>
          </cell>
          <cell r="S1547" t="str">
            <v>D Barat1</v>
          </cell>
          <cell r="T1547" t="str">
            <v>Tomi</v>
          </cell>
          <cell r="U1547">
            <v>0</v>
          </cell>
        </row>
        <row r="1548">
          <cell r="E1548" t="str">
            <v>D25010883</v>
          </cell>
          <cell r="F1548"/>
          <cell r="G1548">
            <v>150000000</v>
          </cell>
          <cell r="H1548" t="str">
            <v>Faris</v>
          </cell>
          <cell r="I1548" t="str">
            <v>Syahra</v>
          </cell>
          <cell r="J1548"/>
          <cell r="K1548" t="str">
            <v>Tunai</v>
          </cell>
          <cell r="L1548" t="str">
            <v>BINT08</v>
          </cell>
          <cell r="M1548" t="str">
            <v>Bintang Tani/Kabul</v>
          </cell>
          <cell r="N1548" t="str">
            <v>Eko Suryani</v>
          </cell>
          <cell r="O1548" t="str">
            <v>Dsn. Sumberjoyo RT.003/RW.004, Kel. Kumendung, Kec. Muncar</v>
          </cell>
          <cell r="P1548" t="str">
            <v>Banyuwangi</v>
          </cell>
          <cell r="Q1548" t="str">
            <v>Kemendung - Muncar</v>
          </cell>
          <cell r="R1548" t="str">
            <v>Banyuwangi</v>
          </cell>
          <cell r="S1548" t="str">
            <v>H Bwi2</v>
          </cell>
          <cell r="T1548" t="str">
            <v>Hafid</v>
          </cell>
          <cell r="U1548">
            <v>30</v>
          </cell>
        </row>
        <row r="1549">
          <cell r="E1549" t="str">
            <v>B25009171</v>
          </cell>
          <cell r="F1549"/>
          <cell r="G1549">
            <v>150000000</v>
          </cell>
          <cell r="H1549" t="str">
            <v>Faris</v>
          </cell>
          <cell r="I1549" t="str">
            <v>Syahra</v>
          </cell>
          <cell r="J1549"/>
          <cell r="K1549" t="str">
            <v>Tunai</v>
          </cell>
          <cell r="L1549" t="str">
            <v>BINT08</v>
          </cell>
          <cell r="M1549" t="str">
            <v>Bintang Tani/Kabul</v>
          </cell>
          <cell r="N1549" t="str">
            <v>Eko Suryani</v>
          </cell>
          <cell r="O1549" t="str">
            <v>Dsn. Sumberjoyo RT.003/RW.004, Kel. Kumendung, Kec. Muncar</v>
          </cell>
          <cell r="P1549" t="str">
            <v>Banyuwangi</v>
          </cell>
          <cell r="Q1549" t="str">
            <v>Kemendung - Muncar</v>
          </cell>
          <cell r="R1549" t="str">
            <v>Banyuwangi</v>
          </cell>
          <cell r="S1549" t="str">
            <v>H Bwi2</v>
          </cell>
          <cell r="T1549" t="str">
            <v>Hafid</v>
          </cell>
          <cell r="U1549">
            <v>30</v>
          </cell>
        </row>
        <row r="1550">
          <cell r="E1550" t="str">
            <v>D25011528</v>
          </cell>
          <cell r="F1550"/>
          <cell r="G1550">
            <v>150000000</v>
          </cell>
          <cell r="H1550" t="str">
            <v>Faris</v>
          </cell>
          <cell r="I1550" t="str">
            <v>Syahra</v>
          </cell>
          <cell r="J1550"/>
          <cell r="K1550" t="str">
            <v>Tunai</v>
          </cell>
          <cell r="L1550" t="str">
            <v>BINT08</v>
          </cell>
          <cell r="M1550" t="str">
            <v>Bintang Tani/Kabul</v>
          </cell>
          <cell r="N1550" t="str">
            <v>Eko Suryani</v>
          </cell>
          <cell r="O1550" t="str">
            <v>Dsn. Sumberjoyo RT.003/RW.004, Kel. Kumendung, Kec. Muncar</v>
          </cell>
          <cell r="P1550" t="str">
            <v>Banyuwangi</v>
          </cell>
          <cell r="Q1550" t="str">
            <v>Kemendung - Muncar</v>
          </cell>
          <cell r="R1550" t="str">
            <v>Banyuwangi</v>
          </cell>
          <cell r="S1550" t="str">
            <v>H Bwi2</v>
          </cell>
          <cell r="T1550" t="str">
            <v>Hafid</v>
          </cell>
          <cell r="U1550">
            <v>60</v>
          </cell>
        </row>
        <row r="1551">
          <cell r="E1551" t="str">
            <v>D25011688</v>
          </cell>
          <cell r="F1551"/>
          <cell r="G1551">
            <v>150000000</v>
          </cell>
          <cell r="H1551" t="str">
            <v>Faris</v>
          </cell>
          <cell r="I1551" t="str">
            <v>Syahra</v>
          </cell>
          <cell r="J1551"/>
          <cell r="K1551" t="str">
            <v>Tunai</v>
          </cell>
          <cell r="L1551" t="str">
            <v>BINT08</v>
          </cell>
          <cell r="M1551" t="str">
            <v>Bintang Tani/Kabul</v>
          </cell>
          <cell r="N1551" t="str">
            <v>Eko Suryani</v>
          </cell>
          <cell r="O1551" t="str">
            <v>Dsn. Sumberjoyo RT.003/RW.004, Kel. Kumendung, Kec. Muncar</v>
          </cell>
          <cell r="P1551" t="str">
            <v>Banyuwangi</v>
          </cell>
          <cell r="Q1551" t="str">
            <v>Kemendung - Muncar</v>
          </cell>
          <cell r="R1551" t="str">
            <v>Banyuwangi</v>
          </cell>
          <cell r="S1551" t="str">
            <v>H Bwi2</v>
          </cell>
          <cell r="T1551" t="str">
            <v>Hafid</v>
          </cell>
          <cell r="U1551">
            <v>30</v>
          </cell>
        </row>
        <row r="1552">
          <cell r="E1552" t="str">
            <v>D25011689</v>
          </cell>
          <cell r="F1552"/>
          <cell r="G1552">
            <v>150000000</v>
          </cell>
          <cell r="H1552" t="str">
            <v>Faris</v>
          </cell>
          <cell r="I1552" t="str">
            <v>Syahra</v>
          </cell>
          <cell r="J1552"/>
          <cell r="K1552" t="str">
            <v>Tunai</v>
          </cell>
          <cell r="L1552" t="str">
            <v>BINT08</v>
          </cell>
          <cell r="M1552" t="str">
            <v>Bintang Tani/Kabul</v>
          </cell>
          <cell r="N1552" t="str">
            <v>Eko Suryani</v>
          </cell>
          <cell r="O1552" t="str">
            <v>Dsn. Sumberjoyo RT.003/RW.004, Kel. Kumendung, Kec. Muncar</v>
          </cell>
          <cell r="P1552" t="str">
            <v>Banyuwangi</v>
          </cell>
          <cell r="Q1552" t="str">
            <v>Kemendung - Muncar</v>
          </cell>
          <cell r="R1552" t="str">
            <v>Banyuwangi</v>
          </cell>
          <cell r="S1552" t="str">
            <v>H Bwi2</v>
          </cell>
          <cell r="T1552" t="str">
            <v>Hafid</v>
          </cell>
          <cell r="U1552">
            <v>30</v>
          </cell>
        </row>
        <row r="1553">
          <cell r="E1553" t="str">
            <v>D25011721</v>
          </cell>
          <cell r="F1553"/>
          <cell r="G1553">
            <v>150000000</v>
          </cell>
          <cell r="H1553" t="str">
            <v>Faris</v>
          </cell>
          <cell r="I1553" t="str">
            <v>Syahra</v>
          </cell>
          <cell r="J1553"/>
          <cell r="K1553" t="str">
            <v>Tunai</v>
          </cell>
          <cell r="L1553" t="str">
            <v>BINT08</v>
          </cell>
          <cell r="M1553" t="str">
            <v>Bintang Tani/Kabul</v>
          </cell>
          <cell r="N1553" t="str">
            <v>Eko Suryani</v>
          </cell>
          <cell r="O1553" t="str">
            <v>Dsn. Sumberjoyo RT.003/RW.004, Kel. Kumendung, Kec. Muncar</v>
          </cell>
          <cell r="P1553" t="str">
            <v>Banyuwangi</v>
          </cell>
          <cell r="Q1553" t="str">
            <v>Kemendung - Muncar</v>
          </cell>
          <cell r="R1553" t="str">
            <v>Banyuwangi</v>
          </cell>
          <cell r="S1553" t="str">
            <v>H Bwi2</v>
          </cell>
          <cell r="T1553" t="str">
            <v>Hafid</v>
          </cell>
          <cell r="U1553">
            <v>30</v>
          </cell>
        </row>
        <row r="1554">
          <cell r="E1554" t="str">
            <v>D25011727</v>
          </cell>
          <cell r="F1554"/>
          <cell r="G1554">
            <v>150000000</v>
          </cell>
          <cell r="H1554" t="str">
            <v>Faris</v>
          </cell>
          <cell r="I1554" t="str">
            <v>Syahra</v>
          </cell>
          <cell r="J1554"/>
          <cell r="K1554" t="str">
            <v>Tunai</v>
          </cell>
          <cell r="L1554" t="str">
            <v>BINT08</v>
          </cell>
          <cell r="M1554" t="str">
            <v>Bintang Tani/Kabul</v>
          </cell>
          <cell r="N1554" t="str">
            <v>Eko Suryani</v>
          </cell>
          <cell r="O1554" t="str">
            <v>Dsn. Sumberjoyo RT.003/RW.004, Kel. Kumendung, Kec. Muncar</v>
          </cell>
          <cell r="P1554" t="str">
            <v>Banyuwangi</v>
          </cell>
          <cell r="Q1554" t="str">
            <v>Kemendung - Muncar</v>
          </cell>
          <cell r="R1554" t="str">
            <v>Banyuwangi</v>
          </cell>
          <cell r="S1554" t="str">
            <v>H Bwi2</v>
          </cell>
          <cell r="T1554" t="str">
            <v>Hafid</v>
          </cell>
          <cell r="U1554">
            <v>60</v>
          </cell>
        </row>
        <row r="1555">
          <cell r="E1555" t="str">
            <v>B25010670</v>
          </cell>
          <cell r="F1555"/>
          <cell r="G1555">
            <v>150000000</v>
          </cell>
          <cell r="H1555" t="str">
            <v>Faris</v>
          </cell>
          <cell r="I1555" t="str">
            <v>Syahra</v>
          </cell>
          <cell r="J1555"/>
          <cell r="K1555" t="str">
            <v>Tunai</v>
          </cell>
          <cell r="L1555" t="str">
            <v>BINT08</v>
          </cell>
          <cell r="M1555" t="str">
            <v>Bintang Tani/Kabul</v>
          </cell>
          <cell r="N1555" t="str">
            <v>Eko Suryani</v>
          </cell>
          <cell r="O1555" t="str">
            <v>Dsn. Sumberjoyo RT.003/RW.004, Kel. Kumendung, Kec. Muncar</v>
          </cell>
          <cell r="P1555" t="str">
            <v>Banyuwangi</v>
          </cell>
          <cell r="Q1555" t="str">
            <v>Kemendung - Muncar</v>
          </cell>
          <cell r="R1555" t="str">
            <v>Banyuwangi</v>
          </cell>
          <cell r="S1555" t="str">
            <v>H Bwi2</v>
          </cell>
          <cell r="T1555" t="str">
            <v>Hafid</v>
          </cell>
          <cell r="U1555">
            <v>60</v>
          </cell>
        </row>
        <row r="1556">
          <cell r="E1556" t="str">
            <v>D25012975</v>
          </cell>
          <cell r="F1556"/>
          <cell r="G1556">
            <v>150000000</v>
          </cell>
          <cell r="H1556" t="str">
            <v>Faris</v>
          </cell>
          <cell r="I1556" t="str">
            <v>Syahra</v>
          </cell>
          <cell r="J1556"/>
          <cell r="K1556" t="str">
            <v>Tunai</v>
          </cell>
          <cell r="L1556" t="str">
            <v>BINT08</v>
          </cell>
          <cell r="M1556" t="str">
            <v>Bintang Tani/Kabul</v>
          </cell>
          <cell r="N1556" t="str">
            <v>Eko Suryani</v>
          </cell>
          <cell r="O1556" t="str">
            <v>Dsn. Sumberjoyo RT.003/RW.004, Kel. Kumendung, Kec. Muncar</v>
          </cell>
          <cell r="P1556" t="str">
            <v>Banyuwangi</v>
          </cell>
          <cell r="Q1556" t="str">
            <v>Kemendung - Muncar</v>
          </cell>
          <cell r="R1556" t="str">
            <v>Banyuwangi</v>
          </cell>
          <cell r="S1556" t="str">
            <v>H Bwi2</v>
          </cell>
          <cell r="T1556" t="str">
            <v>Hafid</v>
          </cell>
          <cell r="U1556">
            <v>60</v>
          </cell>
        </row>
        <row r="1557">
          <cell r="E1557" t="str">
            <v>D25012988</v>
          </cell>
          <cell r="F1557"/>
          <cell r="G1557">
            <v>150000000</v>
          </cell>
          <cell r="H1557" t="str">
            <v>Faris</v>
          </cell>
          <cell r="I1557" t="str">
            <v>Syahra</v>
          </cell>
          <cell r="J1557"/>
          <cell r="K1557" t="str">
            <v>Tunai</v>
          </cell>
          <cell r="L1557" t="str">
            <v>BINT08</v>
          </cell>
          <cell r="M1557" t="str">
            <v>Bintang Tani/Kabul</v>
          </cell>
          <cell r="N1557" t="str">
            <v>Eko Suryani</v>
          </cell>
          <cell r="O1557" t="str">
            <v>Dsn. Sumberjoyo RT.003/RW.004, Kel. Kumendung, Kec. Muncar</v>
          </cell>
          <cell r="P1557" t="str">
            <v>Banyuwangi</v>
          </cell>
          <cell r="Q1557" t="str">
            <v>Kemendung - Muncar</v>
          </cell>
          <cell r="R1557" t="str">
            <v>Banyuwangi</v>
          </cell>
          <cell r="S1557" t="str">
            <v>H Bwi2</v>
          </cell>
          <cell r="T1557" t="str">
            <v>Hafid</v>
          </cell>
          <cell r="U1557">
            <v>30</v>
          </cell>
        </row>
        <row r="1558">
          <cell r="E1558" t="str">
            <v>D25013028</v>
          </cell>
          <cell r="F1558"/>
          <cell r="G1558">
            <v>150000000</v>
          </cell>
          <cell r="H1558" t="str">
            <v>Faris</v>
          </cell>
          <cell r="I1558" t="str">
            <v>Syahra</v>
          </cell>
          <cell r="J1558"/>
          <cell r="K1558" t="str">
            <v>Tunai</v>
          </cell>
          <cell r="L1558" t="str">
            <v>BINT08</v>
          </cell>
          <cell r="M1558" t="str">
            <v>Bintang Tani/Kabul</v>
          </cell>
          <cell r="N1558" t="str">
            <v>Eko Suryani</v>
          </cell>
          <cell r="O1558" t="str">
            <v>Dsn. Sumberjoyo RT.003/RW.004, Kel. Kumendung, Kec. Muncar</v>
          </cell>
          <cell r="P1558" t="str">
            <v>Banyuwangi</v>
          </cell>
          <cell r="Q1558" t="str">
            <v>Kemendung - Muncar</v>
          </cell>
          <cell r="R1558" t="str">
            <v>Banyuwangi</v>
          </cell>
          <cell r="S1558" t="str">
            <v>H Bwi2</v>
          </cell>
          <cell r="T1558" t="str">
            <v>Hafid</v>
          </cell>
          <cell r="U1558">
            <v>60</v>
          </cell>
        </row>
        <row r="1559">
          <cell r="E1559" t="str">
            <v>D25013140</v>
          </cell>
          <cell r="F1559"/>
          <cell r="G1559">
            <v>150000000</v>
          </cell>
          <cell r="H1559" t="str">
            <v>Faris</v>
          </cell>
          <cell r="I1559" t="str">
            <v>Syahra</v>
          </cell>
          <cell r="J1559"/>
          <cell r="K1559" t="str">
            <v>Tunai</v>
          </cell>
          <cell r="L1559" t="str">
            <v>BINT08</v>
          </cell>
          <cell r="M1559" t="str">
            <v>Bintang Tani/Kabul</v>
          </cell>
          <cell r="N1559" t="str">
            <v>Eko Suryani</v>
          </cell>
          <cell r="O1559" t="str">
            <v>Dsn. Sumberjoyo RT.003/RW.004, Kel. Kumendung, Kec. Muncar</v>
          </cell>
          <cell r="P1559" t="str">
            <v>Banyuwangi</v>
          </cell>
          <cell r="Q1559" t="str">
            <v>Kemendung - Muncar</v>
          </cell>
          <cell r="R1559" t="str">
            <v>Banyuwangi</v>
          </cell>
          <cell r="S1559" t="str">
            <v>H Bwi2</v>
          </cell>
          <cell r="T1559" t="str">
            <v>Hafid</v>
          </cell>
          <cell r="U1559">
            <v>30</v>
          </cell>
        </row>
        <row r="1560">
          <cell r="E1560" t="str">
            <v>D25013516</v>
          </cell>
          <cell r="F1560"/>
          <cell r="G1560">
            <v>150000000</v>
          </cell>
          <cell r="H1560" t="str">
            <v>Faris</v>
          </cell>
          <cell r="I1560" t="str">
            <v>Syahra</v>
          </cell>
          <cell r="J1560"/>
          <cell r="K1560" t="str">
            <v>Tunai</v>
          </cell>
          <cell r="L1560" t="str">
            <v>BINT08</v>
          </cell>
          <cell r="M1560" t="str">
            <v>Bintang Tani/Kabul</v>
          </cell>
          <cell r="N1560" t="str">
            <v>Eko Suryani</v>
          </cell>
          <cell r="O1560" t="str">
            <v>Dsn. Sumberjoyo RT.003/RW.004, Kel. Kumendung, Kec. Muncar</v>
          </cell>
          <cell r="P1560" t="str">
            <v>Banyuwangi</v>
          </cell>
          <cell r="Q1560" t="str">
            <v>Kemendung - Muncar</v>
          </cell>
          <cell r="R1560" t="str">
            <v>Banyuwangi</v>
          </cell>
          <cell r="S1560" t="str">
            <v>H Bwi2</v>
          </cell>
          <cell r="T1560" t="str">
            <v>Hafid</v>
          </cell>
          <cell r="U1560">
            <v>30</v>
          </cell>
        </row>
        <row r="1561">
          <cell r="E1561" t="str">
            <v>D25013561</v>
          </cell>
          <cell r="F1561"/>
          <cell r="G1561">
            <v>150000000</v>
          </cell>
          <cell r="H1561" t="str">
            <v>Faris</v>
          </cell>
          <cell r="I1561" t="str">
            <v>Syahra</v>
          </cell>
          <cell r="J1561"/>
          <cell r="K1561" t="str">
            <v>Tunai</v>
          </cell>
          <cell r="L1561" t="str">
            <v>BINT08</v>
          </cell>
          <cell r="M1561" t="str">
            <v>Bintang Tani/Kabul</v>
          </cell>
          <cell r="N1561" t="str">
            <v>Eko Suryani</v>
          </cell>
          <cell r="O1561" t="str">
            <v>Dsn. Sumberjoyo RT.003/RW.004, Kel. Kumendung, Kec. Muncar</v>
          </cell>
          <cell r="P1561" t="str">
            <v>Banyuwangi</v>
          </cell>
          <cell r="Q1561" t="str">
            <v>Kemendung - Muncar</v>
          </cell>
          <cell r="R1561" t="str">
            <v>Banyuwangi</v>
          </cell>
          <cell r="S1561" t="str">
            <v>H Bwi2</v>
          </cell>
          <cell r="T1561" t="str">
            <v>Hafid</v>
          </cell>
          <cell r="U1561">
            <v>60</v>
          </cell>
        </row>
        <row r="1562">
          <cell r="E1562" t="str">
            <v>D25013672</v>
          </cell>
          <cell r="F1562"/>
          <cell r="G1562">
            <v>150000000</v>
          </cell>
          <cell r="H1562" t="str">
            <v>Faris</v>
          </cell>
          <cell r="I1562" t="str">
            <v>Syahra</v>
          </cell>
          <cell r="J1562"/>
          <cell r="K1562" t="str">
            <v>Tunai</v>
          </cell>
          <cell r="L1562" t="str">
            <v>BINT08</v>
          </cell>
          <cell r="M1562" t="str">
            <v>Bintang Tani/Kabul</v>
          </cell>
          <cell r="N1562" t="str">
            <v>Eko Suryani</v>
          </cell>
          <cell r="O1562" t="str">
            <v>Dsn. Sumberjoyo RT.003/RW.004, Kel. Kumendung, Kec. Muncar</v>
          </cell>
          <cell r="P1562" t="str">
            <v>Banyuwangi</v>
          </cell>
          <cell r="Q1562" t="str">
            <v>Kemendung - Muncar</v>
          </cell>
          <cell r="R1562" t="str">
            <v>Banyuwangi</v>
          </cell>
          <cell r="S1562" t="str">
            <v>H Bwi2</v>
          </cell>
          <cell r="T1562" t="str">
            <v>Hafid</v>
          </cell>
          <cell r="U1562">
            <v>30</v>
          </cell>
        </row>
        <row r="1563">
          <cell r="E1563" t="str">
            <v>D25013696</v>
          </cell>
          <cell r="F1563"/>
          <cell r="G1563">
            <v>150000000</v>
          </cell>
          <cell r="H1563" t="str">
            <v>Faris</v>
          </cell>
          <cell r="I1563" t="str">
            <v>Syahra</v>
          </cell>
          <cell r="J1563"/>
          <cell r="K1563" t="str">
            <v>Tunai</v>
          </cell>
          <cell r="L1563" t="str">
            <v>BINT08</v>
          </cell>
          <cell r="M1563" t="str">
            <v>Bintang Tani/Kabul</v>
          </cell>
          <cell r="N1563" t="str">
            <v>Eko Suryani</v>
          </cell>
          <cell r="O1563" t="str">
            <v>Dsn. Sumberjoyo RT.003/RW.004, Kel. Kumendung, Kec. Muncar</v>
          </cell>
          <cell r="P1563" t="str">
            <v>Banyuwangi</v>
          </cell>
          <cell r="Q1563" t="str">
            <v>Kemendung - Muncar</v>
          </cell>
          <cell r="R1563" t="str">
            <v>Banyuwangi</v>
          </cell>
          <cell r="S1563" t="str">
            <v>H Bwi2</v>
          </cell>
          <cell r="T1563" t="str">
            <v>Hafid</v>
          </cell>
          <cell r="U1563">
            <v>60</v>
          </cell>
        </row>
        <row r="1564">
          <cell r="E1564" t="str">
            <v>D25013799</v>
          </cell>
          <cell r="F1564"/>
          <cell r="G1564">
            <v>150000000</v>
          </cell>
          <cell r="H1564" t="str">
            <v>Faris</v>
          </cell>
          <cell r="I1564" t="str">
            <v>Syahra</v>
          </cell>
          <cell r="J1564"/>
          <cell r="K1564" t="str">
            <v>Tunai</v>
          </cell>
          <cell r="L1564" t="str">
            <v>BINT08</v>
          </cell>
          <cell r="M1564" t="str">
            <v>Bintang Tani/Kabul</v>
          </cell>
          <cell r="N1564" t="str">
            <v>Eko Suryani</v>
          </cell>
          <cell r="O1564" t="str">
            <v>Dsn. Sumberjoyo RT.003/RW.004, Kel. Kumendung, Kec. Muncar</v>
          </cell>
          <cell r="P1564" t="str">
            <v>Banyuwangi</v>
          </cell>
          <cell r="Q1564" t="str">
            <v>Kemendung - Muncar</v>
          </cell>
          <cell r="R1564" t="str">
            <v>Banyuwangi</v>
          </cell>
          <cell r="S1564" t="str">
            <v>H Bwi2</v>
          </cell>
          <cell r="T1564" t="str">
            <v>Hafid</v>
          </cell>
          <cell r="U1564">
            <v>30</v>
          </cell>
        </row>
        <row r="1565">
          <cell r="E1565" t="str">
            <v>D25013880</v>
          </cell>
          <cell r="F1565"/>
          <cell r="G1565">
            <v>150000000</v>
          </cell>
          <cell r="H1565" t="str">
            <v>Faris</v>
          </cell>
          <cell r="I1565" t="str">
            <v>Syahra</v>
          </cell>
          <cell r="J1565"/>
          <cell r="K1565" t="str">
            <v>Tunai</v>
          </cell>
          <cell r="L1565" t="str">
            <v>BINT08</v>
          </cell>
          <cell r="M1565" t="str">
            <v>Bintang Tani/Kabul</v>
          </cell>
          <cell r="N1565" t="str">
            <v>Eko Suryani</v>
          </cell>
          <cell r="O1565" t="str">
            <v>Dsn. Sumberjoyo RT.003/RW.004, Kel. Kumendung, Kec. Muncar</v>
          </cell>
          <cell r="P1565" t="str">
            <v>Banyuwangi</v>
          </cell>
          <cell r="Q1565" t="str">
            <v>Kemendung - Muncar</v>
          </cell>
          <cell r="R1565" t="str">
            <v>Banyuwangi</v>
          </cell>
          <cell r="S1565" t="str">
            <v>H Bwi2</v>
          </cell>
          <cell r="T1565" t="str">
            <v>Hafid</v>
          </cell>
          <cell r="U1565">
            <v>30</v>
          </cell>
        </row>
        <row r="1566">
          <cell r="E1566" t="str">
            <v>D25014180</v>
          </cell>
          <cell r="F1566"/>
          <cell r="G1566">
            <v>150000000</v>
          </cell>
          <cell r="H1566" t="str">
            <v>Faris</v>
          </cell>
          <cell r="I1566" t="str">
            <v>Syahra</v>
          </cell>
          <cell r="J1566"/>
          <cell r="K1566" t="str">
            <v>Tunai</v>
          </cell>
          <cell r="L1566" t="str">
            <v>BINT08</v>
          </cell>
          <cell r="M1566" t="str">
            <v>Bintang Tani/Kabul</v>
          </cell>
          <cell r="N1566" t="str">
            <v>Eko Suryani</v>
          </cell>
          <cell r="O1566" t="str">
            <v>Dsn. Sumberjoyo RT.003/RW.004, Kel. Kumendung, Kec. Muncar</v>
          </cell>
          <cell r="P1566" t="str">
            <v>Banyuwangi</v>
          </cell>
          <cell r="Q1566" t="str">
            <v>Kemendung - Muncar</v>
          </cell>
          <cell r="R1566" t="str">
            <v>Banyuwangi</v>
          </cell>
          <cell r="S1566" t="str">
            <v>H Bwi2</v>
          </cell>
          <cell r="T1566" t="str">
            <v>Hafid</v>
          </cell>
          <cell r="U1566">
            <v>30</v>
          </cell>
        </row>
        <row r="1567">
          <cell r="E1567" t="str">
            <v>B25012182</v>
          </cell>
          <cell r="F1567"/>
          <cell r="G1567">
            <v>150000000</v>
          </cell>
          <cell r="H1567" t="str">
            <v>Faris</v>
          </cell>
          <cell r="I1567" t="str">
            <v>Syahra</v>
          </cell>
          <cell r="J1567"/>
          <cell r="K1567" t="str">
            <v>Tunai</v>
          </cell>
          <cell r="L1567" t="str">
            <v>BINT08</v>
          </cell>
          <cell r="M1567" t="str">
            <v>Bintang Tani/Kabul</v>
          </cell>
          <cell r="N1567" t="str">
            <v>Eko Suryani</v>
          </cell>
          <cell r="O1567" t="str">
            <v>Dsn. Sumberjoyo RT.003/RW.004, Kel. Kumendung, Kec. Muncar</v>
          </cell>
          <cell r="P1567" t="str">
            <v>Banyuwangi</v>
          </cell>
          <cell r="Q1567" t="str">
            <v>Kemendung - Muncar</v>
          </cell>
          <cell r="R1567" t="str">
            <v>Banyuwangi</v>
          </cell>
          <cell r="S1567" t="str">
            <v>H Bwi2</v>
          </cell>
          <cell r="T1567" t="str">
            <v>Hafid</v>
          </cell>
          <cell r="U1567">
            <v>30</v>
          </cell>
        </row>
        <row r="1568">
          <cell r="E1568" t="str">
            <v>B25012381</v>
          </cell>
          <cell r="F1568"/>
          <cell r="G1568">
            <v>150000000</v>
          </cell>
          <cell r="H1568" t="str">
            <v>Faris</v>
          </cell>
          <cell r="I1568" t="str">
            <v>Syahra</v>
          </cell>
          <cell r="J1568"/>
          <cell r="K1568" t="str">
            <v>Tunai</v>
          </cell>
          <cell r="L1568" t="str">
            <v>BINT08</v>
          </cell>
          <cell r="M1568" t="str">
            <v>Bintang Tani/Kabul</v>
          </cell>
          <cell r="N1568" t="str">
            <v>Eko Suryani</v>
          </cell>
          <cell r="O1568" t="str">
            <v>Dsn. Sumberjoyo RT.003/RW.004, Kel. Kumendung, Kec. Muncar</v>
          </cell>
          <cell r="P1568" t="str">
            <v>Banyuwangi</v>
          </cell>
          <cell r="Q1568" t="str">
            <v>Kemendung - Muncar</v>
          </cell>
          <cell r="R1568" t="str">
            <v>Banyuwangi</v>
          </cell>
          <cell r="S1568" t="str">
            <v>H Bwi2</v>
          </cell>
          <cell r="T1568" t="str">
            <v>Hafid</v>
          </cell>
          <cell r="U1568">
            <v>30</v>
          </cell>
        </row>
        <row r="1569">
          <cell r="E1569" t="str">
            <v>D25015166</v>
          </cell>
          <cell r="F1569"/>
          <cell r="G1569">
            <v>150000000</v>
          </cell>
          <cell r="H1569" t="str">
            <v>Faris</v>
          </cell>
          <cell r="I1569" t="str">
            <v>Syahra</v>
          </cell>
          <cell r="J1569"/>
          <cell r="K1569" t="str">
            <v>Tunai</v>
          </cell>
          <cell r="L1569" t="str">
            <v>BINT08</v>
          </cell>
          <cell r="M1569" t="str">
            <v>Bintang Tani/Kabul</v>
          </cell>
          <cell r="N1569" t="str">
            <v>Eko Suryani</v>
          </cell>
          <cell r="O1569" t="str">
            <v>Dsn. Sumberjoyo RT.003/RW.004, Kel. Kumendung, Kec. Muncar</v>
          </cell>
          <cell r="P1569" t="str">
            <v>Banyuwangi</v>
          </cell>
          <cell r="Q1569" t="str">
            <v>Kemendung - Muncar</v>
          </cell>
          <cell r="R1569" t="str">
            <v>Banyuwangi</v>
          </cell>
          <cell r="S1569" t="str">
            <v>H Bwi2</v>
          </cell>
          <cell r="T1569" t="str">
            <v>Hafid</v>
          </cell>
          <cell r="U1569">
            <v>30</v>
          </cell>
        </row>
        <row r="1570">
          <cell r="E1570" t="str">
            <v>T25001508</v>
          </cell>
          <cell r="F1570"/>
          <cell r="G1570">
            <v>150000000</v>
          </cell>
          <cell r="H1570" t="str">
            <v>Faris</v>
          </cell>
          <cell r="I1570" t="str">
            <v>Syahra</v>
          </cell>
          <cell r="J1570"/>
          <cell r="K1570" t="str">
            <v>Tunai</v>
          </cell>
          <cell r="L1570" t="str">
            <v>BINT08</v>
          </cell>
          <cell r="M1570" t="str">
            <v>Bintang Tani/Kabul</v>
          </cell>
          <cell r="N1570" t="str">
            <v>Eko Suryani</v>
          </cell>
          <cell r="O1570" t="str">
            <v>Dsn. Sumberjoyo RT.003/RW.004, Kel. Kumendung, Kec. Muncar</v>
          </cell>
          <cell r="P1570" t="str">
            <v>Banyuwangi</v>
          </cell>
          <cell r="Q1570" t="str">
            <v>Kemendung - Muncar</v>
          </cell>
          <cell r="R1570" t="str">
            <v>Banyuwangi</v>
          </cell>
          <cell r="S1570" t="str">
            <v>H Bwi2</v>
          </cell>
          <cell r="T1570" t="str">
            <v>Hafid</v>
          </cell>
          <cell r="U1570">
            <v>60</v>
          </cell>
        </row>
        <row r="1571">
          <cell r="E1571">
            <v>250156</v>
          </cell>
          <cell r="F1571"/>
          <cell r="G1571">
            <v>150000000</v>
          </cell>
          <cell r="H1571" t="str">
            <v>Faris</v>
          </cell>
          <cell r="I1571" t="str">
            <v>Syahra</v>
          </cell>
          <cell r="J1571"/>
          <cell r="K1571" t="str">
            <v>Tunai</v>
          </cell>
          <cell r="L1571" t="str">
            <v>BINT08</v>
          </cell>
          <cell r="M1571" t="str">
            <v>Bintang Tani/Kabul</v>
          </cell>
          <cell r="N1571" t="str">
            <v>Eko Suryani</v>
          </cell>
          <cell r="O1571" t="str">
            <v>Dsn. Sumberjoyo RT.003/RW.004, Kel. Kumendung, Kec. Muncar</v>
          </cell>
          <cell r="P1571" t="str">
            <v>Banyuwangi</v>
          </cell>
          <cell r="Q1571" t="str">
            <v>Kemendung - Muncar</v>
          </cell>
          <cell r="R1571" t="str">
            <v>Banyuwangi</v>
          </cell>
          <cell r="S1571" t="str">
            <v>H Bwi2</v>
          </cell>
          <cell r="T1571" t="str">
            <v>Hafid</v>
          </cell>
          <cell r="U1571">
            <v>30</v>
          </cell>
        </row>
        <row r="1572">
          <cell r="E1572" t="str">
            <v>B25014055</v>
          </cell>
          <cell r="F1572"/>
          <cell r="G1572">
            <v>150000000</v>
          </cell>
          <cell r="H1572" t="str">
            <v>Faris</v>
          </cell>
          <cell r="I1572" t="str">
            <v>Syahra</v>
          </cell>
          <cell r="J1572"/>
          <cell r="K1572" t="str">
            <v>Tunai</v>
          </cell>
          <cell r="L1572" t="str">
            <v>BINT08</v>
          </cell>
          <cell r="M1572" t="str">
            <v>Bintang Tani/Kabul</v>
          </cell>
          <cell r="N1572" t="str">
            <v>Eko Suryani</v>
          </cell>
          <cell r="O1572" t="str">
            <v>Dsn. Sumberjoyo RT.003/RW.004, Kel. Kumendung, Kec. Muncar</v>
          </cell>
          <cell r="P1572" t="str">
            <v>Banyuwangi</v>
          </cell>
          <cell r="Q1572" t="str">
            <v>Kemendung - Muncar</v>
          </cell>
          <cell r="R1572" t="str">
            <v>Banyuwangi</v>
          </cell>
          <cell r="S1572" t="str">
            <v>H Bwi2</v>
          </cell>
          <cell r="T1572" t="str">
            <v>Hafid</v>
          </cell>
          <cell r="U1572">
            <v>60</v>
          </cell>
        </row>
        <row r="1573">
          <cell r="E1573" t="str">
            <v>B25014056</v>
          </cell>
          <cell r="F1573"/>
          <cell r="G1573">
            <v>150000000</v>
          </cell>
          <cell r="H1573" t="str">
            <v>Faris</v>
          </cell>
          <cell r="I1573" t="str">
            <v>Syahra</v>
          </cell>
          <cell r="J1573"/>
          <cell r="K1573" t="str">
            <v>Tunai</v>
          </cell>
          <cell r="L1573" t="str">
            <v>BINT08</v>
          </cell>
          <cell r="M1573" t="str">
            <v>Bintang Tani/Kabul</v>
          </cell>
          <cell r="N1573" t="str">
            <v>Eko Suryani</v>
          </cell>
          <cell r="O1573" t="str">
            <v>Dsn. Sumberjoyo RT.003/RW.004, Kel. Kumendung, Kec. Muncar</v>
          </cell>
          <cell r="P1573" t="str">
            <v>Banyuwangi</v>
          </cell>
          <cell r="Q1573" t="str">
            <v>Kemendung - Muncar</v>
          </cell>
          <cell r="R1573" t="str">
            <v>Banyuwangi</v>
          </cell>
          <cell r="S1573" t="str">
            <v>H Bwi2</v>
          </cell>
          <cell r="T1573" t="str">
            <v>Hafid</v>
          </cell>
          <cell r="U1573">
            <v>0</v>
          </cell>
        </row>
        <row r="1574">
          <cell r="E1574" t="str">
            <v>B25014057</v>
          </cell>
          <cell r="F1574"/>
          <cell r="G1574">
            <v>150000000</v>
          </cell>
          <cell r="H1574" t="str">
            <v>Faris</v>
          </cell>
          <cell r="I1574" t="str">
            <v>Syahra</v>
          </cell>
          <cell r="J1574"/>
          <cell r="K1574" t="str">
            <v>Tunai</v>
          </cell>
          <cell r="L1574" t="str">
            <v>BINT08</v>
          </cell>
          <cell r="M1574" t="str">
            <v>Bintang Tani/Kabul</v>
          </cell>
          <cell r="N1574" t="str">
            <v>Eko Suryani</v>
          </cell>
          <cell r="O1574" t="str">
            <v>Dsn. Sumberjoyo RT.003/RW.004, Kel. Kumendung, Kec. Muncar</v>
          </cell>
          <cell r="P1574" t="str">
            <v>Banyuwangi</v>
          </cell>
          <cell r="Q1574" t="str">
            <v>Kemendung - Muncar</v>
          </cell>
          <cell r="R1574" t="str">
            <v>Banyuwangi</v>
          </cell>
          <cell r="S1574" t="str">
            <v>H Bwi2</v>
          </cell>
          <cell r="T1574" t="str">
            <v>Hafid</v>
          </cell>
          <cell r="U1574">
            <v>30</v>
          </cell>
        </row>
        <row r="1575">
          <cell r="E1575" t="str">
            <v>D25015174</v>
          </cell>
          <cell r="F1575"/>
          <cell r="G1575">
            <v>1000</v>
          </cell>
          <cell r="H1575" t="str">
            <v>Faris</v>
          </cell>
          <cell r="I1575" t="str">
            <v>Syahra</v>
          </cell>
          <cell r="J1575"/>
          <cell r="K1575" t="str">
            <v>KU</v>
          </cell>
          <cell r="L1575" t="str">
            <v>BIOT01</v>
          </cell>
          <cell r="M1575" t="str">
            <v>Bio Tani/Budi</v>
          </cell>
          <cell r="N1575" t="str">
            <v>Sasli Mardianto</v>
          </cell>
          <cell r="O1575" t="str">
            <v>Ds. Tlogosari No.05, RT.10/RW.003, Tlogosari</v>
          </cell>
          <cell r="P1575" t="str">
            <v>Bondowoso</v>
          </cell>
          <cell r="Q1575" t="str">
            <v>Desa Mengok, Kec. Pujer (Pasar Kreongan), Toko Pertanian Biotani</v>
          </cell>
          <cell r="R1575" t="str">
            <v>Bondowoso</v>
          </cell>
          <cell r="S1575" t="str">
            <v>N Bdw Stb</v>
          </cell>
          <cell r="T1575" t="str">
            <v>Wira</v>
          </cell>
          <cell r="U1575">
            <v>0</v>
          </cell>
        </row>
        <row r="1576">
          <cell r="E1576" t="str">
            <v>D25015280</v>
          </cell>
          <cell r="F1576"/>
          <cell r="G1576">
            <v>1000</v>
          </cell>
          <cell r="H1576" t="str">
            <v>Faris</v>
          </cell>
          <cell r="I1576" t="str">
            <v>Syahra</v>
          </cell>
          <cell r="J1576"/>
          <cell r="K1576" t="str">
            <v>KU</v>
          </cell>
          <cell r="L1576" t="str">
            <v>BIOT01</v>
          </cell>
          <cell r="M1576" t="str">
            <v>Bio Tani/Budi</v>
          </cell>
          <cell r="N1576" t="str">
            <v>Sasli Mardianto</v>
          </cell>
          <cell r="O1576" t="str">
            <v>Ds. Tlogosari No.05, RT.10/RW.003, Tlogosari</v>
          </cell>
          <cell r="P1576" t="str">
            <v>Bondowoso</v>
          </cell>
          <cell r="Q1576" t="str">
            <v>Desa Mengok, Kec. Pujer (Pasar Kreongan), Toko Pertanian Biotani</v>
          </cell>
          <cell r="R1576" t="str">
            <v>Bondowoso</v>
          </cell>
          <cell r="S1576" t="str">
            <v>N Bdw Stb</v>
          </cell>
          <cell r="T1576" t="str">
            <v>Wira</v>
          </cell>
          <cell r="U1576">
            <v>0</v>
          </cell>
        </row>
        <row r="1577">
          <cell r="E1577" t="str">
            <v>B25013339</v>
          </cell>
          <cell r="F1577"/>
          <cell r="G1577">
            <v>1000</v>
          </cell>
          <cell r="H1577" t="str">
            <v>Faris</v>
          </cell>
          <cell r="I1577" t="str">
            <v>Syahra</v>
          </cell>
          <cell r="J1577"/>
          <cell r="K1577" t="str">
            <v>KU</v>
          </cell>
          <cell r="L1577" t="str">
            <v>BIOT01</v>
          </cell>
          <cell r="M1577" t="str">
            <v>Bio Tani/Budi</v>
          </cell>
          <cell r="N1577" t="str">
            <v>Sasli Mardianto</v>
          </cell>
          <cell r="O1577" t="str">
            <v>Ds. Tlogosari No.05, RT.10/RW.003, Tlogosari</v>
          </cell>
          <cell r="P1577" t="str">
            <v>Bondowoso</v>
          </cell>
          <cell r="Q1577" t="str">
            <v>Desa Mengok, Kec. Pujer (Pasar Kreongan), Toko Pertanian Biotani</v>
          </cell>
          <cell r="R1577" t="str">
            <v>Bondowoso</v>
          </cell>
          <cell r="S1577" t="str">
            <v>N Bdw Stb</v>
          </cell>
          <cell r="T1577" t="str">
            <v>Wira</v>
          </cell>
          <cell r="U1577">
            <v>0</v>
          </cell>
        </row>
        <row r="1578">
          <cell r="E1578" t="str">
            <v>T25001563K</v>
          </cell>
          <cell r="F1578"/>
          <cell r="G1578">
            <v>1000</v>
          </cell>
          <cell r="H1578" t="str">
            <v>Faris</v>
          </cell>
          <cell r="I1578" t="str">
            <v>Syahra</v>
          </cell>
          <cell r="J1578"/>
          <cell r="K1578" t="str">
            <v>KU</v>
          </cell>
          <cell r="L1578" t="str">
            <v>BIOT01</v>
          </cell>
          <cell r="M1578" t="str">
            <v>Bio Tani/Budi</v>
          </cell>
          <cell r="N1578" t="str">
            <v>Sasli Mardianto</v>
          </cell>
          <cell r="O1578" t="str">
            <v>Ds. Tlogosari No.05, RT.10/RW.003, Tlogosari</v>
          </cell>
          <cell r="P1578" t="str">
            <v>Bondowoso</v>
          </cell>
          <cell r="Q1578" t="str">
            <v>Desa Mengok, Kec. Pujer (Pasar Kreongan), Toko Pertanian Biotani</v>
          </cell>
          <cell r="R1578" t="str">
            <v>Bondowoso</v>
          </cell>
          <cell r="S1578" t="str">
            <v>N Bdw Stb</v>
          </cell>
          <cell r="T1578" t="str">
            <v>Wira</v>
          </cell>
          <cell r="U1578">
            <v>120</v>
          </cell>
        </row>
        <row r="1579">
          <cell r="E1579" t="str">
            <v>D25016226</v>
          </cell>
          <cell r="F1579"/>
          <cell r="G1579">
            <v>1000</v>
          </cell>
          <cell r="H1579" t="str">
            <v>Faris</v>
          </cell>
          <cell r="I1579" t="str">
            <v>Syahra</v>
          </cell>
          <cell r="J1579"/>
          <cell r="K1579" t="str">
            <v>KU</v>
          </cell>
          <cell r="L1579" t="str">
            <v>BIOT01</v>
          </cell>
          <cell r="M1579" t="str">
            <v>Bio Tani/Budi</v>
          </cell>
          <cell r="N1579" t="str">
            <v>Sasli Mardianto</v>
          </cell>
          <cell r="O1579" t="str">
            <v>Ds. Tlogosari No.05, RT.10/RW.003, Tlogosari</v>
          </cell>
          <cell r="P1579" t="str">
            <v>Bondowoso</v>
          </cell>
          <cell r="Q1579" t="str">
            <v>Desa Mengok, Kec. Pujer (Pasar Kreongan), Toko Pertanian Biotani</v>
          </cell>
          <cell r="R1579" t="str">
            <v>Bondowoso</v>
          </cell>
          <cell r="S1579" t="str">
            <v>N Bdw Stb</v>
          </cell>
          <cell r="T1579" t="str">
            <v>Wira</v>
          </cell>
          <cell r="U1579">
            <v>0</v>
          </cell>
        </row>
        <row r="1580">
          <cell r="E1580" t="str">
            <v>D25016233</v>
          </cell>
          <cell r="F1580"/>
          <cell r="G1580">
            <v>1000</v>
          </cell>
          <cell r="H1580" t="str">
            <v>Faris</v>
          </cell>
          <cell r="I1580" t="str">
            <v>Syahra</v>
          </cell>
          <cell r="J1580"/>
          <cell r="K1580" t="str">
            <v>KU</v>
          </cell>
          <cell r="L1580" t="str">
            <v>BIOT01</v>
          </cell>
          <cell r="M1580" t="str">
            <v>Bio Tani/Budi</v>
          </cell>
          <cell r="N1580" t="str">
            <v>Sasli Mardianto</v>
          </cell>
          <cell r="O1580" t="str">
            <v>Ds. Tlogosari No.05, RT.10/RW.003, Tlogosari</v>
          </cell>
          <cell r="P1580" t="str">
            <v>Bondowoso</v>
          </cell>
          <cell r="Q1580" t="str">
            <v>Desa Mengok, Kec. Pujer (Pasar Kreongan), Toko Pertanian Biotani</v>
          </cell>
          <cell r="R1580" t="str">
            <v>Bondowoso</v>
          </cell>
          <cell r="S1580" t="str">
            <v>N Bdw Stb</v>
          </cell>
          <cell r="T1580" t="str">
            <v>Wira</v>
          </cell>
          <cell r="U1580">
            <v>0</v>
          </cell>
        </row>
        <row r="1581">
          <cell r="E1581" t="str">
            <v>R25000107</v>
          </cell>
          <cell r="F1581"/>
          <cell r="G1581">
            <v>1000</v>
          </cell>
          <cell r="H1581" t="str">
            <v>Others</v>
          </cell>
          <cell r="I1581" t="str">
            <v>Exclusive</v>
          </cell>
          <cell r="J1581" t="str">
            <v>New 09/03/24</v>
          </cell>
          <cell r="K1581" t="str">
            <v>KU</v>
          </cell>
          <cell r="L1581" t="str">
            <v>BISI01</v>
          </cell>
          <cell r="M1581" t="str">
            <v>Bisi Internasional, PT</v>
          </cell>
          <cell r="N1581" t="str">
            <v>Bisi Internasional, PT</v>
          </cell>
          <cell r="O1581" t="str">
            <v>Jl. Surabaya - Mojokerto KM. 19, Beringinbendo</v>
          </cell>
          <cell r="P1581" t="str">
            <v>Sidoarjo</v>
          </cell>
          <cell r="Q1581" t="str">
            <v>Jl. Surabaya - Mojokerto KM. 19, Beringinbendo</v>
          </cell>
          <cell r="R1581" t="str">
            <v>Sidoarjo</v>
          </cell>
          <cell r="S1581" t="str">
            <v>F Utara1</v>
          </cell>
          <cell r="T1581" t="str">
            <v>Tomi</v>
          </cell>
          <cell r="U1581">
            <v>0</v>
          </cell>
        </row>
        <row r="1582">
          <cell r="E1582" t="str">
            <v>R25000108</v>
          </cell>
          <cell r="F1582"/>
          <cell r="G1582">
            <v>1000</v>
          </cell>
          <cell r="H1582" t="str">
            <v>Others</v>
          </cell>
          <cell r="I1582" t="str">
            <v>Exclusive</v>
          </cell>
          <cell r="J1582" t="str">
            <v>New 09/03/24</v>
          </cell>
          <cell r="K1582" t="str">
            <v>KU</v>
          </cell>
          <cell r="L1582" t="str">
            <v>BISI01</v>
          </cell>
          <cell r="M1582" t="str">
            <v>Bisi Internasional, PT</v>
          </cell>
          <cell r="N1582" t="str">
            <v>Bisi Internasional, PT</v>
          </cell>
          <cell r="O1582" t="str">
            <v>Jl. Surabaya - Mojokerto KM. 19, Beringinbendo</v>
          </cell>
          <cell r="P1582" t="str">
            <v>Sidoarjo</v>
          </cell>
          <cell r="Q1582" t="str">
            <v>Jl. Surabaya - Mojokerto KM. 19, Beringinbendo</v>
          </cell>
          <cell r="R1582" t="str">
            <v>Sidoarjo</v>
          </cell>
          <cell r="S1582" t="str">
            <v>F Utara1</v>
          </cell>
          <cell r="T1582" t="str">
            <v>Tomi</v>
          </cell>
          <cell r="U1582">
            <v>0</v>
          </cell>
        </row>
        <row r="1583">
          <cell r="E1583" t="str">
            <v>R25000109</v>
          </cell>
          <cell r="F1583"/>
          <cell r="G1583">
            <v>1000</v>
          </cell>
          <cell r="H1583" t="str">
            <v>Others</v>
          </cell>
          <cell r="I1583" t="str">
            <v>Exclusive</v>
          </cell>
          <cell r="J1583" t="str">
            <v>New 09/03/24</v>
          </cell>
          <cell r="K1583" t="str">
            <v>KU</v>
          </cell>
          <cell r="L1583" t="str">
            <v>BISI01</v>
          </cell>
          <cell r="M1583" t="str">
            <v>Bisi Internasional, PT</v>
          </cell>
          <cell r="N1583" t="str">
            <v>Bisi Internasional, PT</v>
          </cell>
          <cell r="O1583" t="str">
            <v>Jl. Surabaya - Mojokerto KM. 19, Beringinbendo</v>
          </cell>
          <cell r="P1583" t="str">
            <v>Sidoarjo</v>
          </cell>
          <cell r="Q1583" t="str">
            <v>Jl. Surabaya - Mojokerto KM. 19, Beringinbendo</v>
          </cell>
          <cell r="R1583" t="str">
            <v>Sidoarjo</v>
          </cell>
          <cell r="S1583" t="str">
            <v>F Utara1</v>
          </cell>
          <cell r="T1583" t="str">
            <v>Tomi</v>
          </cell>
          <cell r="U1583">
            <v>0</v>
          </cell>
        </row>
        <row r="1584">
          <cell r="E1584" t="str">
            <v>T25001183K</v>
          </cell>
          <cell r="F1584"/>
          <cell r="G1584">
            <v>10000000</v>
          </cell>
          <cell r="H1584" t="str">
            <v>Reni</v>
          </cell>
          <cell r="I1584" t="str">
            <v>Farida</v>
          </cell>
          <cell r="J1584" t="str">
            <v>New 29/01/24</v>
          </cell>
          <cell r="K1584" t="str">
            <v>COD</v>
          </cell>
          <cell r="L1584" t="str">
            <v>BISO01</v>
          </cell>
          <cell r="M1584" t="str">
            <v>Biso Tani/Supriadi</v>
          </cell>
          <cell r="N1584" t="str">
            <v>Supriadi</v>
          </cell>
          <cell r="O1584" t="str">
            <v>Ds. Bagorkulon RT.006/RW.002, Kel. Bagor Kulon, Kec. bagor</v>
          </cell>
          <cell r="P1584" t="str">
            <v>Nganjuk</v>
          </cell>
          <cell r="Q1584" t="str">
            <v>Bagorkajan, Kel. Bagor Kulon, Kec. Bagor</v>
          </cell>
          <cell r="R1584" t="str">
            <v>Nganjuk</v>
          </cell>
          <cell r="S1584" t="str">
            <v>D Barat1</v>
          </cell>
          <cell r="T1584" t="str">
            <v>Dian</v>
          </cell>
          <cell r="U1584">
            <v>120</v>
          </cell>
        </row>
        <row r="1585">
          <cell r="E1585" t="str">
            <v>T25001368k</v>
          </cell>
          <cell r="F1585"/>
          <cell r="G1585">
            <v>10000000</v>
          </cell>
          <cell r="H1585" t="str">
            <v>Reni</v>
          </cell>
          <cell r="I1585" t="str">
            <v>Farida</v>
          </cell>
          <cell r="J1585" t="str">
            <v>New 29/01/24</v>
          </cell>
          <cell r="K1585" t="str">
            <v>COD</v>
          </cell>
          <cell r="L1585" t="str">
            <v>BISO01</v>
          </cell>
          <cell r="M1585" t="str">
            <v>Biso Tani/Supriadi</v>
          </cell>
          <cell r="N1585" t="str">
            <v>Supriadi</v>
          </cell>
          <cell r="O1585" t="str">
            <v>Ds. Bagorkulon RT.006/RW.002, Kel. Bagor Kulon, Kec. bagor</v>
          </cell>
          <cell r="P1585" t="str">
            <v>Nganjuk</v>
          </cell>
          <cell r="Q1585" t="str">
            <v>Bagorkajan, Kel. Bagor Kulon, Kec. Bagor</v>
          </cell>
          <cell r="R1585" t="str">
            <v>Nganjuk</v>
          </cell>
          <cell r="S1585" t="str">
            <v>D Barat1</v>
          </cell>
          <cell r="T1585" t="str">
            <v>Dian</v>
          </cell>
          <cell r="U1585">
            <v>120</v>
          </cell>
        </row>
        <row r="1586">
          <cell r="E1586" t="str">
            <v>D25014226</v>
          </cell>
          <cell r="F1586"/>
          <cell r="G1586">
            <v>1000</v>
          </cell>
          <cell r="H1586" t="str">
            <v>Reni</v>
          </cell>
          <cell r="I1586" t="str">
            <v>Farida</v>
          </cell>
          <cell r="J1586"/>
          <cell r="K1586" t="str">
            <v>KU</v>
          </cell>
          <cell r="L1586" t="str">
            <v>BOLO01</v>
          </cell>
          <cell r="M1586" t="str">
            <v>Bolo Dewe</v>
          </cell>
          <cell r="N1586" t="str">
            <v>Moh. Sudarmanto</v>
          </cell>
          <cell r="O1586" t="str">
            <v>Dkh. Dawuhan, RT.010/RW.002 Kel. Dawuhan, Kec. Poncokusumo</v>
          </cell>
          <cell r="P1586" t="str">
            <v>Malang</v>
          </cell>
          <cell r="Q1586" t="str">
            <v>Nongko Sewu Wajak</v>
          </cell>
          <cell r="R1586" t="str">
            <v>Malang</v>
          </cell>
          <cell r="S1586" t="str">
            <v>F Utara1</v>
          </cell>
          <cell r="T1586" t="str">
            <v>Tomi</v>
          </cell>
          <cell r="U1586">
            <v>0</v>
          </cell>
        </row>
        <row r="1587">
          <cell r="E1587" t="str">
            <v>D25015079</v>
          </cell>
          <cell r="F1587"/>
          <cell r="G1587">
            <v>1000</v>
          </cell>
          <cell r="H1587" t="str">
            <v>Reni</v>
          </cell>
          <cell r="I1587" t="str">
            <v>Farida</v>
          </cell>
          <cell r="J1587"/>
          <cell r="K1587" t="str">
            <v>KU</v>
          </cell>
          <cell r="L1587" t="str">
            <v>BOLO01</v>
          </cell>
          <cell r="M1587" t="str">
            <v>Bolo Dewe</v>
          </cell>
          <cell r="N1587" t="str">
            <v>Moh. Sudarmanto</v>
          </cell>
          <cell r="O1587" t="str">
            <v>Dkh. Dawuhan, RT.010/RW.002 Kel. Dawuhan, Kec. Poncokusumo</v>
          </cell>
          <cell r="P1587" t="str">
            <v>Malang</v>
          </cell>
          <cell r="Q1587" t="str">
            <v>Nongko Sewu Wajak</v>
          </cell>
          <cell r="R1587" t="str">
            <v>Malang</v>
          </cell>
          <cell r="S1587" t="str">
            <v>F Utara1</v>
          </cell>
          <cell r="T1587" t="str">
            <v>Tomi</v>
          </cell>
          <cell r="U1587">
            <v>0</v>
          </cell>
        </row>
        <row r="1588">
          <cell r="E1588" t="str">
            <v>D25012046</v>
          </cell>
          <cell r="F1588"/>
          <cell r="G1588">
            <v>350000000</v>
          </cell>
          <cell r="H1588" t="str">
            <v>Zakia</v>
          </cell>
          <cell r="I1588" t="str">
            <v>Tiya</v>
          </cell>
          <cell r="J1588"/>
          <cell r="K1588" t="str">
            <v>BG</v>
          </cell>
          <cell r="L1588" t="str">
            <v>BOTA01</v>
          </cell>
          <cell r="M1588" t="str">
            <v>Botani, UD</v>
          </cell>
          <cell r="N1588" t="str">
            <v>I Made Mulyadi</v>
          </cell>
          <cell r="O1588" t="str">
            <v>A. Yani No. 445 Denpasar</v>
          </cell>
          <cell r="P1588" t="str">
            <v>Bali</v>
          </cell>
          <cell r="Q1588" t="str">
            <v>A. Yani No. 445 Denpasar</v>
          </cell>
          <cell r="R1588" t="str">
            <v>Bali</v>
          </cell>
          <cell r="S1588" t="str">
            <v>S Bali3</v>
          </cell>
          <cell r="T1588" t="str">
            <v>Wira</v>
          </cell>
          <cell r="U1588">
            <v>30</v>
          </cell>
        </row>
        <row r="1589">
          <cell r="E1589" t="str">
            <v>B25010463</v>
          </cell>
          <cell r="F1589"/>
          <cell r="G1589">
            <v>350000000</v>
          </cell>
          <cell r="H1589" t="str">
            <v>Zakia</v>
          </cell>
          <cell r="I1589" t="str">
            <v>Tiya</v>
          </cell>
          <cell r="J1589"/>
          <cell r="K1589" t="str">
            <v>BG</v>
          </cell>
          <cell r="L1589" t="str">
            <v>BOTA01</v>
          </cell>
          <cell r="M1589" t="str">
            <v>Botani, UD</v>
          </cell>
          <cell r="N1589" t="str">
            <v>I Made Mulyadi</v>
          </cell>
          <cell r="O1589" t="str">
            <v>A. Yani No. 445 Denpasar</v>
          </cell>
          <cell r="P1589" t="str">
            <v>Bali</v>
          </cell>
          <cell r="Q1589" t="str">
            <v>A. Yani No. 445 Denpasar</v>
          </cell>
          <cell r="R1589" t="str">
            <v>Bali</v>
          </cell>
          <cell r="S1589" t="str">
            <v>S Bali3</v>
          </cell>
          <cell r="T1589" t="str">
            <v>Wira</v>
          </cell>
          <cell r="U1589">
            <v>30</v>
          </cell>
        </row>
        <row r="1590">
          <cell r="E1590" t="str">
            <v>D25013081</v>
          </cell>
          <cell r="F1590"/>
          <cell r="G1590">
            <v>350000000</v>
          </cell>
          <cell r="H1590" t="str">
            <v>Zakia</v>
          </cell>
          <cell r="I1590" t="str">
            <v>Tiya</v>
          </cell>
          <cell r="J1590"/>
          <cell r="K1590" t="str">
            <v>BG</v>
          </cell>
          <cell r="L1590" t="str">
            <v>BOTA01</v>
          </cell>
          <cell r="M1590" t="str">
            <v>Botani, UD</v>
          </cell>
          <cell r="N1590" t="str">
            <v>I Made Mulyadi</v>
          </cell>
          <cell r="O1590" t="str">
            <v>A. Yani No. 445 Denpasar</v>
          </cell>
          <cell r="P1590" t="str">
            <v>Bali</v>
          </cell>
          <cell r="Q1590" t="str">
            <v>A. Yani No. 445 Denpasar</v>
          </cell>
          <cell r="R1590" t="str">
            <v>Bali</v>
          </cell>
          <cell r="S1590" t="str">
            <v>S Bali3</v>
          </cell>
          <cell r="T1590" t="str">
            <v>Wira</v>
          </cell>
          <cell r="U1590">
            <v>30</v>
          </cell>
        </row>
        <row r="1591">
          <cell r="E1591" t="str">
            <v>D25013761</v>
          </cell>
          <cell r="F1591"/>
          <cell r="G1591">
            <v>350000000</v>
          </cell>
          <cell r="H1591" t="str">
            <v>Zakia</v>
          </cell>
          <cell r="I1591" t="str">
            <v>Tiya</v>
          </cell>
          <cell r="J1591"/>
          <cell r="K1591" t="str">
            <v>BG</v>
          </cell>
          <cell r="L1591" t="str">
            <v>BOTA01</v>
          </cell>
          <cell r="M1591" t="str">
            <v>Botani, UD</v>
          </cell>
          <cell r="N1591" t="str">
            <v>I Made Mulyadi</v>
          </cell>
          <cell r="O1591" t="str">
            <v>A. Yani No. 445 Denpasar</v>
          </cell>
          <cell r="P1591" t="str">
            <v>Bali</v>
          </cell>
          <cell r="Q1591" t="str">
            <v>A. Yani No. 445 Denpasar</v>
          </cell>
          <cell r="R1591" t="str">
            <v>Bali</v>
          </cell>
          <cell r="S1591" t="str">
            <v>S Bali3</v>
          </cell>
          <cell r="T1591" t="str">
            <v>Wira</v>
          </cell>
          <cell r="U1591">
            <v>30</v>
          </cell>
        </row>
        <row r="1592">
          <cell r="E1592" t="str">
            <v>D25013762</v>
          </cell>
          <cell r="F1592"/>
          <cell r="G1592">
            <v>350000000</v>
          </cell>
          <cell r="H1592" t="str">
            <v>Zakia</v>
          </cell>
          <cell r="I1592" t="str">
            <v>Tiya</v>
          </cell>
          <cell r="J1592"/>
          <cell r="K1592" t="str">
            <v>BG</v>
          </cell>
          <cell r="L1592" t="str">
            <v>BOTA01</v>
          </cell>
          <cell r="M1592" t="str">
            <v>Botani, UD</v>
          </cell>
          <cell r="N1592" t="str">
            <v>I Made Mulyadi</v>
          </cell>
          <cell r="O1592" t="str">
            <v>A. Yani No. 445 Denpasar</v>
          </cell>
          <cell r="P1592" t="str">
            <v>Bali</v>
          </cell>
          <cell r="Q1592" t="str">
            <v>A. Yani No. 445 Denpasar</v>
          </cell>
          <cell r="R1592" t="str">
            <v>Bali</v>
          </cell>
          <cell r="S1592" t="str">
            <v>S Bali3</v>
          </cell>
          <cell r="T1592" t="str">
            <v>Wira</v>
          </cell>
          <cell r="U1592">
            <v>30</v>
          </cell>
        </row>
        <row r="1593">
          <cell r="E1593" t="str">
            <v>B25012134</v>
          </cell>
          <cell r="F1593"/>
          <cell r="G1593">
            <v>350000000</v>
          </cell>
          <cell r="H1593" t="str">
            <v>Zakia</v>
          </cell>
          <cell r="I1593" t="str">
            <v>Tiya</v>
          </cell>
          <cell r="J1593"/>
          <cell r="K1593" t="str">
            <v>BG</v>
          </cell>
          <cell r="L1593" t="str">
            <v>BOTA01</v>
          </cell>
          <cell r="M1593" t="str">
            <v>Botani, UD</v>
          </cell>
          <cell r="N1593" t="str">
            <v>I Made Mulyadi</v>
          </cell>
          <cell r="O1593" t="str">
            <v>A. Yani No. 445 Denpasar</v>
          </cell>
          <cell r="P1593" t="str">
            <v>Bali</v>
          </cell>
          <cell r="Q1593" t="str">
            <v>A. Yani No. 445 Denpasar</v>
          </cell>
          <cell r="R1593" t="str">
            <v>Bali</v>
          </cell>
          <cell r="S1593" t="str">
            <v>S Bali3</v>
          </cell>
          <cell r="T1593" t="str">
            <v>Wira</v>
          </cell>
          <cell r="U1593">
            <v>30</v>
          </cell>
        </row>
        <row r="1594">
          <cell r="E1594" t="str">
            <v>D25014672</v>
          </cell>
          <cell r="F1594"/>
          <cell r="G1594">
            <v>350000000</v>
          </cell>
          <cell r="H1594" t="str">
            <v>Zakia</v>
          </cell>
          <cell r="I1594" t="str">
            <v>Tiya</v>
          </cell>
          <cell r="J1594"/>
          <cell r="K1594" t="str">
            <v>BG</v>
          </cell>
          <cell r="L1594" t="str">
            <v>BOTA01</v>
          </cell>
          <cell r="M1594" t="str">
            <v>Botani, UD</v>
          </cell>
          <cell r="N1594" t="str">
            <v>I Made Mulyadi</v>
          </cell>
          <cell r="O1594" t="str">
            <v>A. Yani No. 445 Denpasar</v>
          </cell>
          <cell r="P1594" t="str">
            <v>Bali</v>
          </cell>
          <cell r="Q1594" t="str">
            <v>A. Yani No. 445 Denpasar</v>
          </cell>
          <cell r="R1594" t="str">
            <v>Bali</v>
          </cell>
          <cell r="S1594" t="str">
            <v>S Bali3</v>
          </cell>
          <cell r="T1594" t="str">
            <v>Wira</v>
          </cell>
          <cell r="U1594">
            <v>30</v>
          </cell>
        </row>
        <row r="1595">
          <cell r="E1595" t="str">
            <v>D25014692</v>
          </cell>
          <cell r="F1595"/>
          <cell r="G1595">
            <v>350000000</v>
          </cell>
          <cell r="H1595" t="str">
            <v>Zakia</v>
          </cell>
          <cell r="I1595" t="str">
            <v>Tiya</v>
          </cell>
          <cell r="J1595"/>
          <cell r="K1595" t="str">
            <v>BG</v>
          </cell>
          <cell r="L1595" t="str">
            <v>BOTA01</v>
          </cell>
          <cell r="M1595" t="str">
            <v>Botani, UD</v>
          </cell>
          <cell r="N1595" t="str">
            <v>I Made Mulyadi</v>
          </cell>
          <cell r="O1595" t="str">
            <v>A. Yani No. 445 Denpasar</v>
          </cell>
          <cell r="P1595" t="str">
            <v>Bali</v>
          </cell>
          <cell r="Q1595" t="str">
            <v>A. Yani No. 445 Denpasar</v>
          </cell>
          <cell r="R1595" t="str">
            <v>Bali</v>
          </cell>
          <cell r="S1595" t="str">
            <v>S Bali3</v>
          </cell>
          <cell r="T1595" t="str">
            <v>Wira</v>
          </cell>
          <cell r="U1595">
            <v>30</v>
          </cell>
        </row>
        <row r="1596">
          <cell r="E1596" t="str">
            <v>B25012620</v>
          </cell>
          <cell r="F1596"/>
          <cell r="G1596">
            <v>350000000</v>
          </cell>
          <cell r="H1596" t="str">
            <v>Zakia</v>
          </cell>
          <cell r="I1596" t="str">
            <v>Tiya</v>
          </cell>
          <cell r="J1596"/>
          <cell r="K1596" t="str">
            <v>BG</v>
          </cell>
          <cell r="L1596" t="str">
            <v>BOTA01</v>
          </cell>
          <cell r="M1596" t="str">
            <v>Botani, UD</v>
          </cell>
          <cell r="N1596" t="str">
            <v>I Made Mulyadi</v>
          </cell>
          <cell r="O1596" t="str">
            <v>A. Yani No. 445 Denpasar</v>
          </cell>
          <cell r="P1596" t="str">
            <v>Bali</v>
          </cell>
          <cell r="Q1596" t="str">
            <v>A. Yani No. 445 Denpasar</v>
          </cell>
          <cell r="R1596" t="str">
            <v>Bali</v>
          </cell>
          <cell r="S1596" t="str">
            <v>S Bali3</v>
          </cell>
          <cell r="T1596" t="str">
            <v>Wira</v>
          </cell>
          <cell r="U1596">
            <v>30</v>
          </cell>
        </row>
        <row r="1597">
          <cell r="E1597" t="str">
            <v>D25015187</v>
          </cell>
          <cell r="F1597"/>
          <cell r="G1597">
            <v>350000000</v>
          </cell>
          <cell r="H1597" t="str">
            <v>Zakia</v>
          </cell>
          <cell r="I1597" t="str">
            <v>Tiya</v>
          </cell>
          <cell r="J1597"/>
          <cell r="K1597" t="str">
            <v>BG</v>
          </cell>
          <cell r="L1597" t="str">
            <v>BOTA01</v>
          </cell>
          <cell r="M1597" t="str">
            <v>Botani, UD</v>
          </cell>
          <cell r="N1597" t="str">
            <v>I Made Mulyadi</v>
          </cell>
          <cell r="O1597" t="str">
            <v>A. Yani No. 445 Denpasar</v>
          </cell>
          <cell r="P1597" t="str">
            <v>Bali</v>
          </cell>
          <cell r="Q1597" t="str">
            <v>A. Yani No. 445 Denpasar</v>
          </cell>
          <cell r="R1597" t="str">
            <v>Bali</v>
          </cell>
          <cell r="S1597" t="str">
            <v>S Bali3</v>
          </cell>
          <cell r="T1597" t="str">
            <v>Wira</v>
          </cell>
          <cell r="U1597">
            <v>30</v>
          </cell>
        </row>
        <row r="1598">
          <cell r="E1598" t="str">
            <v>B25013338</v>
          </cell>
          <cell r="F1598"/>
          <cell r="G1598">
            <v>350000000</v>
          </cell>
          <cell r="H1598" t="str">
            <v>Zakia</v>
          </cell>
          <cell r="I1598" t="str">
            <v>Tiya</v>
          </cell>
          <cell r="J1598"/>
          <cell r="K1598" t="str">
            <v>BG</v>
          </cell>
          <cell r="L1598" t="str">
            <v>BOTA01</v>
          </cell>
          <cell r="M1598" t="str">
            <v>Botani, UD</v>
          </cell>
          <cell r="N1598" t="str">
            <v>I Made Mulyadi</v>
          </cell>
          <cell r="O1598" t="str">
            <v>A. Yani No. 445 Denpasar</v>
          </cell>
          <cell r="P1598" t="str">
            <v>Bali</v>
          </cell>
          <cell r="Q1598" t="str">
            <v>A. Yani No. 445 Denpasar</v>
          </cell>
          <cell r="R1598" t="str">
            <v>Bali</v>
          </cell>
          <cell r="S1598" t="str">
            <v>S Bali3</v>
          </cell>
          <cell r="T1598" t="str">
            <v>Wira</v>
          </cell>
          <cell r="U1598">
            <v>30</v>
          </cell>
        </row>
        <row r="1599">
          <cell r="E1599" t="str">
            <v>B25012686</v>
          </cell>
          <cell r="F1599"/>
          <cell r="G1599">
            <v>1000</v>
          </cell>
          <cell r="H1599" t="str">
            <v>Yuyun</v>
          </cell>
          <cell r="I1599" t="str">
            <v>Farida</v>
          </cell>
          <cell r="J1599" t="str">
            <v>New 03/10/25</v>
          </cell>
          <cell r="K1599" t="str">
            <v>KU</v>
          </cell>
          <cell r="L1599" t="str">
            <v>BOTA02</v>
          </cell>
          <cell r="M1599" t="str">
            <v>Botanica Gama Agrinusa, CV</v>
          </cell>
          <cell r="N1599" t="str">
            <v>Botanica Gama Agrinusa, CV</v>
          </cell>
          <cell r="O1599" t="str">
            <v>Central Business Distric (CBD) No 09, Gotalamo, Morotai Selatan, Kab. Pulau Morotai</v>
          </cell>
          <cell r="P1599" t="str">
            <v>Maluku Utara</v>
          </cell>
          <cell r="Q1599" t="str">
            <v>Central Business Distric (CBD) No 09, Gotalamo, Morotai Selatan, Kab. Pulau Morotai</v>
          </cell>
          <cell r="R1599" t="str">
            <v>Maluku Utara</v>
          </cell>
          <cell r="S1599" t="str">
            <v>E Luar Pulau2</v>
          </cell>
          <cell r="T1599" t="str">
            <v>Non SE &amp; JSE</v>
          </cell>
          <cell r="U1599">
            <v>15</v>
          </cell>
        </row>
        <row r="1600">
          <cell r="E1600" t="str">
            <v>B25012686</v>
          </cell>
          <cell r="F1600"/>
          <cell r="G1600">
            <v>1000</v>
          </cell>
          <cell r="H1600" t="str">
            <v>Yuyun</v>
          </cell>
          <cell r="I1600" t="str">
            <v>Farida</v>
          </cell>
          <cell r="J1600" t="str">
            <v>New 03/10/25</v>
          </cell>
          <cell r="K1600" t="str">
            <v>KU</v>
          </cell>
          <cell r="L1600" t="str">
            <v>BOTA02</v>
          </cell>
          <cell r="M1600" t="str">
            <v>Botanica Gama Agrinusa, CV</v>
          </cell>
          <cell r="N1600" t="str">
            <v>Botanica Gama Agrinusa, CV</v>
          </cell>
          <cell r="O1600" t="str">
            <v>Central Business Distric (CBD) No 09, Gotalamo, Morotai Selatan, Kab. Pulau Morotai</v>
          </cell>
          <cell r="P1600" t="str">
            <v>Maluku Utara</v>
          </cell>
          <cell r="Q1600" t="str">
            <v>Central Business Distric (CBD) No 09, Gotalamo, Morotai Selatan, Kab. Pulau Morotai</v>
          </cell>
          <cell r="R1600" t="str">
            <v>Maluku Utara</v>
          </cell>
          <cell r="S1600" t="str">
            <v>E Luar Pulau2</v>
          </cell>
          <cell r="T1600" t="str">
            <v>Non SE &amp; JSE</v>
          </cell>
          <cell r="U1600">
            <v>15</v>
          </cell>
        </row>
        <row r="1601">
          <cell r="E1601" t="str">
            <v>B25012686</v>
          </cell>
          <cell r="F1601"/>
          <cell r="G1601">
            <v>1000</v>
          </cell>
          <cell r="H1601" t="str">
            <v>Yuyun</v>
          </cell>
          <cell r="I1601" t="str">
            <v>Farida</v>
          </cell>
          <cell r="J1601" t="str">
            <v>New 03/10/25</v>
          </cell>
          <cell r="K1601" t="str">
            <v>KU</v>
          </cell>
          <cell r="L1601" t="str">
            <v>BOTA02</v>
          </cell>
          <cell r="M1601" t="str">
            <v>Botanica Gama Agrinusa, CV</v>
          </cell>
          <cell r="N1601" t="str">
            <v>Botanica Gama Agrinusa, CV</v>
          </cell>
          <cell r="O1601" t="str">
            <v>Central Business Distric (CBD) No 09, Gotalamo, Morotai Selatan, Kab. Pulau Morotai</v>
          </cell>
          <cell r="P1601" t="str">
            <v>Maluku Utara</v>
          </cell>
          <cell r="Q1601" t="str">
            <v>Central Business Distric (CBD) No 09, Gotalamo, Morotai Selatan, Kab. Pulau Morotai</v>
          </cell>
          <cell r="R1601" t="str">
            <v>Maluku Utara</v>
          </cell>
          <cell r="S1601" t="str">
            <v>E Luar Pulau2</v>
          </cell>
          <cell r="T1601" t="str">
            <v>Non SE &amp; JSE</v>
          </cell>
          <cell r="U1601">
            <v>15</v>
          </cell>
        </row>
        <row r="1602">
          <cell r="E1602" t="str">
            <v>T25001491</v>
          </cell>
          <cell r="F1602"/>
          <cell r="G1602">
            <v>1000</v>
          </cell>
          <cell r="H1602" t="str">
            <v>Yuyun</v>
          </cell>
          <cell r="I1602" t="str">
            <v>Farida</v>
          </cell>
          <cell r="J1602" t="str">
            <v>New 03/10/25</v>
          </cell>
          <cell r="K1602" t="str">
            <v>KU</v>
          </cell>
          <cell r="L1602" t="str">
            <v>BOTA02</v>
          </cell>
          <cell r="M1602" t="str">
            <v>Botanica Gama Agrinusa, CV</v>
          </cell>
          <cell r="N1602" t="str">
            <v>Botanica Gama Agrinusa, CV</v>
          </cell>
          <cell r="O1602" t="str">
            <v>Central Business Distric (CBD) No 09, Gotalamo, Morotai Selatan, Kab. Pulau Morotai</v>
          </cell>
          <cell r="P1602" t="str">
            <v>Maluku Utara</v>
          </cell>
          <cell r="Q1602" t="str">
            <v>Central Business Distric (CBD) No 09, Gotalamo, Morotai Selatan, Kab. Pulau Morotai</v>
          </cell>
          <cell r="R1602" t="str">
            <v>Maluku Utara</v>
          </cell>
          <cell r="S1602" t="str">
            <v>E Luar Pulau2</v>
          </cell>
          <cell r="T1602" t="str">
            <v>Non SE &amp; JSE</v>
          </cell>
          <cell r="U1602">
            <v>15</v>
          </cell>
        </row>
        <row r="1603">
          <cell r="E1603" t="str">
            <v>T25001491</v>
          </cell>
          <cell r="F1603"/>
          <cell r="G1603">
            <v>1000</v>
          </cell>
          <cell r="H1603" t="str">
            <v>Yuyun</v>
          </cell>
          <cell r="I1603" t="str">
            <v>Farida</v>
          </cell>
          <cell r="J1603" t="str">
            <v>New 03/10/25</v>
          </cell>
          <cell r="K1603" t="str">
            <v>KU</v>
          </cell>
          <cell r="L1603" t="str">
            <v>BOTA02</v>
          </cell>
          <cell r="M1603" t="str">
            <v>Botanica Gama Agrinusa, CV</v>
          </cell>
          <cell r="N1603" t="str">
            <v>Botanica Gama Agrinusa, CV</v>
          </cell>
          <cell r="O1603" t="str">
            <v>Central Business Distric (CBD) No 09, Gotalamo, Morotai Selatan, Kab. Pulau Morotai</v>
          </cell>
          <cell r="P1603" t="str">
            <v>Maluku Utara</v>
          </cell>
          <cell r="Q1603" t="str">
            <v>Central Business Distric (CBD) No 09, Gotalamo, Morotai Selatan, Kab. Pulau Morotai</v>
          </cell>
          <cell r="R1603" t="str">
            <v>Maluku Utara</v>
          </cell>
          <cell r="S1603" t="str">
            <v>E Luar Pulau2</v>
          </cell>
          <cell r="T1603" t="str">
            <v>Non SE &amp; JSE</v>
          </cell>
          <cell r="U1603">
            <v>15</v>
          </cell>
        </row>
        <row r="1604">
          <cell r="E1604" t="str">
            <v>T25001495</v>
          </cell>
          <cell r="F1604"/>
          <cell r="G1604">
            <v>1000</v>
          </cell>
          <cell r="H1604" t="str">
            <v>Yuyun</v>
          </cell>
          <cell r="I1604" t="str">
            <v>Farida</v>
          </cell>
          <cell r="J1604" t="str">
            <v>New 03/10/25</v>
          </cell>
          <cell r="K1604" t="str">
            <v>KU</v>
          </cell>
          <cell r="L1604" t="str">
            <v>BOTA02</v>
          </cell>
          <cell r="M1604" t="str">
            <v>Botanica Gama Agrinusa, CV</v>
          </cell>
          <cell r="N1604" t="str">
            <v>Botanica Gama Agrinusa, CV</v>
          </cell>
          <cell r="O1604" t="str">
            <v>Central Business Distric (CBD) No 09, Gotalamo, Morotai Selatan, Kab. Pulau Morotai</v>
          </cell>
          <cell r="P1604" t="str">
            <v>Maluku Utara</v>
          </cell>
          <cell r="Q1604" t="str">
            <v>Central Business Distric (CBD) No 09, Gotalamo, Morotai Selatan, Kab. Pulau Morotai</v>
          </cell>
          <cell r="R1604" t="str">
            <v>Maluku Utara</v>
          </cell>
          <cell r="S1604" t="str">
            <v>E Luar Pulau2</v>
          </cell>
          <cell r="T1604" t="str">
            <v>Non SE &amp; JSE</v>
          </cell>
          <cell r="U1604">
            <v>15</v>
          </cell>
        </row>
        <row r="1605">
          <cell r="E1605" t="str">
            <v>T25001495</v>
          </cell>
          <cell r="F1605"/>
          <cell r="G1605">
            <v>1000</v>
          </cell>
          <cell r="H1605" t="str">
            <v>Yuyun</v>
          </cell>
          <cell r="I1605" t="str">
            <v>Farida</v>
          </cell>
          <cell r="J1605" t="str">
            <v>New 03/10/25</v>
          </cell>
          <cell r="K1605" t="str">
            <v>KU</v>
          </cell>
          <cell r="L1605" t="str">
            <v>BOTA02</v>
          </cell>
          <cell r="M1605" t="str">
            <v>Botanica Gama Agrinusa, CV</v>
          </cell>
          <cell r="N1605" t="str">
            <v>Botanica Gama Agrinusa, CV</v>
          </cell>
          <cell r="O1605" t="str">
            <v>Central Business Distric (CBD) No 09, Gotalamo, Morotai Selatan, Kab. Pulau Morotai</v>
          </cell>
          <cell r="P1605" t="str">
            <v>Maluku Utara</v>
          </cell>
          <cell r="Q1605" t="str">
            <v>Central Business Distric (CBD) No 09, Gotalamo, Morotai Selatan, Kab. Pulau Morotai</v>
          </cell>
          <cell r="R1605" t="str">
            <v>Maluku Utara</v>
          </cell>
          <cell r="S1605" t="str">
            <v>E Luar Pulau2</v>
          </cell>
          <cell r="T1605" t="str">
            <v>Non SE &amp; JSE</v>
          </cell>
          <cell r="U1605">
            <v>15</v>
          </cell>
        </row>
        <row r="1606">
          <cell r="E1606" t="str">
            <v>B25012962</v>
          </cell>
          <cell r="F1606"/>
          <cell r="G1606">
            <v>1000</v>
          </cell>
          <cell r="H1606" t="str">
            <v>Sheila</v>
          </cell>
          <cell r="I1606" t="str">
            <v>Exclusive</v>
          </cell>
          <cell r="J1606" t="str">
            <v>New 01/12/23</v>
          </cell>
          <cell r="K1606" t="str">
            <v>KU</v>
          </cell>
          <cell r="L1606" t="str">
            <v>PUJI10</v>
          </cell>
          <cell r="M1606" t="str">
            <v>Bpk Puji/Anugerah Sumber Tani</v>
          </cell>
          <cell r="N1606" t="str">
            <v>Pujiono</v>
          </cell>
          <cell r="O1606" t="str">
            <v>Dusun Krajan Kidul RT.003/RW.004 , Kel. Tuko Kec. Pulokulon</v>
          </cell>
          <cell r="P1606" t="str">
            <v>Grobogan</v>
          </cell>
          <cell r="Q1606" t="str">
            <v>Dusun Krajan Kidul RT.003/RW.004 , Kel. Tuko Kec. Pulokulon</v>
          </cell>
          <cell r="R1606" t="str">
            <v>Grobogan</v>
          </cell>
          <cell r="S1606" t="str">
            <v>I Jabar Jateng</v>
          </cell>
          <cell r="T1606" t="str">
            <v>Non SE &amp; JSE</v>
          </cell>
          <cell r="U1606">
            <v>15</v>
          </cell>
        </row>
        <row r="1607">
          <cell r="E1607" t="str">
            <v>B25012962</v>
          </cell>
          <cell r="F1607"/>
          <cell r="G1607">
            <v>1000</v>
          </cell>
          <cell r="H1607" t="str">
            <v>Sheila</v>
          </cell>
          <cell r="I1607" t="str">
            <v>Exclusive</v>
          </cell>
          <cell r="J1607" t="str">
            <v>New 01/12/23</v>
          </cell>
          <cell r="K1607" t="str">
            <v>KU</v>
          </cell>
          <cell r="L1607" t="str">
            <v>PUJI10</v>
          </cell>
          <cell r="M1607" t="str">
            <v>Bpk Puji/Anugerah Sumber Tani</v>
          </cell>
          <cell r="N1607" t="str">
            <v>Pujiono</v>
          </cell>
          <cell r="O1607" t="str">
            <v>Dusun Krajan Kidul RT.003/RW.004 , Kel. Tuko Kec. Pulokulon</v>
          </cell>
          <cell r="P1607" t="str">
            <v>Grobogan</v>
          </cell>
          <cell r="Q1607" t="str">
            <v>Dusun Krajan Kidul RT.003/RW.004 , Kel. Tuko Kec. Pulokulon</v>
          </cell>
          <cell r="R1607" t="str">
            <v>Grobogan</v>
          </cell>
          <cell r="S1607" t="str">
            <v>I Jabar Jateng</v>
          </cell>
          <cell r="T1607" t="str">
            <v>Non SE &amp; JSE</v>
          </cell>
          <cell r="U1607">
            <v>15</v>
          </cell>
        </row>
        <row r="1608">
          <cell r="E1608" t="str">
            <v>D25015118</v>
          </cell>
          <cell r="F1608"/>
          <cell r="G1608">
            <v>1000</v>
          </cell>
          <cell r="H1608" t="str">
            <v>Reni</v>
          </cell>
          <cell r="I1608" t="str">
            <v>Fira</v>
          </cell>
          <cell r="J1608" t="str">
            <v>New 07/03/24</v>
          </cell>
          <cell r="K1608" t="str">
            <v>CBD</v>
          </cell>
          <cell r="L1608" t="str">
            <v>BUAN02</v>
          </cell>
          <cell r="M1608" t="str">
            <v>Buana Tani/Prawito</v>
          </cell>
          <cell r="N1608" t="str">
            <v>Prawito</v>
          </cell>
          <cell r="O1608" t="str">
            <v>Dusun Bapangan RT.004/RW.002, Kel. Mendenrejo, Kec. Kradenan</v>
          </cell>
          <cell r="P1608" t="str">
            <v>Blora</v>
          </cell>
          <cell r="Q1608" t="str">
            <v>Dusun Bapangan RT.004/RW.002, Kel. Mendenrejo, Kec. Kradenan</v>
          </cell>
          <cell r="R1608" t="str">
            <v>Blora</v>
          </cell>
          <cell r="S1608" t="str">
            <v>I Jabar Jateng</v>
          </cell>
          <cell r="T1608" t="str">
            <v>Non SE &amp; JSE</v>
          </cell>
          <cell r="U1608">
            <v>15</v>
          </cell>
        </row>
        <row r="1609">
          <cell r="E1609" t="str">
            <v>B25012877</v>
          </cell>
          <cell r="F1609"/>
          <cell r="G1609">
            <v>1000</v>
          </cell>
          <cell r="H1609" t="str">
            <v>Reni</v>
          </cell>
          <cell r="I1609" t="str">
            <v>Fira</v>
          </cell>
          <cell r="J1609" t="str">
            <v>New 07/03/24</v>
          </cell>
          <cell r="K1609" t="str">
            <v>CBD</v>
          </cell>
          <cell r="L1609" t="str">
            <v>BUAN02</v>
          </cell>
          <cell r="M1609" t="str">
            <v>Buana Tani/Prawito</v>
          </cell>
          <cell r="N1609" t="str">
            <v>Prawito</v>
          </cell>
          <cell r="O1609" t="str">
            <v>Dusun Bapangan RT.004/RW.002, Kel. Mendenrejo, Kec. Kradenan</v>
          </cell>
          <cell r="P1609" t="str">
            <v>Blora</v>
          </cell>
          <cell r="Q1609" t="str">
            <v>Dusun Bapangan RT.004/RW.002, Kel. Mendenrejo, Kec. Kradenan</v>
          </cell>
          <cell r="R1609" t="str">
            <v>Blora</v>
          </cell>
          <cell r="S1609" t="str">
            <v>I Jabar Jateng</v>
          </cell>
          <cell r="T1609" t="str">
            <v>Non SE &amp; JSE</v>
          </cell>
          <cell r="U1609">
            <v>15</v>
          </cell>
        </row>
        <row r="1610">
          <cell r="E1610" t="str">
            <v>B25012919</v>
          </cell>
          <cell r="F1610"/>
          <cell r="G1610">
            <v>1000</v>
          </cell>
          <cell r="H1610" t="str">
            <v>Reni</v>
          </cell>
          <cell r="I1610" t="str">
            <v>Fira</v>
          </cell>
          <cell r="J1610" t="str">
            <v>New 07/03/24</v>
          </cell>
          <cell r="K1610" t="str">
            <v>CBD</v>
          </cell>
          <cell r="L1610" t="str">
            <v>BUAN02</v>
          </cell>
          <cell r="M1610" t="str">
            <v>Buana Tani/Prawito</v>
          </cell>
          <cell r="N1610" t="str">
            <v>Prawito</v>
          </cell>
          <cell r="O1610" t="str">
            <v>Dusun Bapangan RT.004/RW.002, Kel. Mendenrejo, Kec. Kradenan</v>
          </cell>
          <cell r="P1610" t="str">
            <v>Blora</v>
          </cell>
          <cell r="Q1610" t="str">
            <v>Dusun Bapangan RT.004/RW.002, Kel. Mendenrejo, Kec. Kradenan</v>
          </cell>
          <cell r="R1610" t="str">
            <v>Blora</v>
          </cell>
          <cell r="S1610" t="str">
            <v>I Jabar Jateng</v>
          </cell>
          <cell r="T1610" t="str">
            <v>Non SE &amp; JSE</v>
          </cell>
          <cell r="U1610">
            <v>15</v>
          </cell>
        </row>
        <row r="1611">
          <cell r="E1611" t="str">
            <v>D25015483</v>
          </cell>
          <cell r="F1611"/>
          <cell r="G1611">
            <v>1000</v>
          </cell>
          <cell r="H1611" t="str">
            <v>Reni</v>
          </cell>
          <cell r="I1611" t="str">
            <v>Fira</v>
          </cell>
          <cell r="J1611" t="str">
            <v>New 07/03/24</v>
          </cell>
          <cell r="K1611" t="str">
            <v>CBD</v>
          </cell>
          <cell r="L1611" t="str">
            <v>BUAN02</v>
          </cell>
          <cell r="M1611" t="str">
            <v>Buana Tani/Prawito</v>
          </cell>
          <cell r="N1611" t="str">
            <v>Prawito</v>
          </cell>
          <cell r="O1611" t="str">
            <v>Dusun Bapangan RT.004/RW.002, Kel. Mendenrejo, Kec. Kradenan</v>
          </cell>
          <cell r="P1611" t="str">
            <v>Blora</v>
          </cell>
          <cell r="Q1611" t="str">
            <v>Dusun Bapangan RT.004/RW.002, Kel. Mendenrejo, Kec. Kradenan</v>
          </cell>
          <cell r="R1611" t="str">
            <v>Blora</v>
          </cell>
          <cell r="S1611" t="str">
            <v>I Jabar Jateng</v>
          </cell>
          <cell r="T1611" t="str">
            <v>Non SE &amp; JSE</v>
          </cell>
          <cell r="U1611">
            <v>15</v>
          </cell>
        </row>
        <row r="1612">
          <cell r="E1612" t="str">
            <v>B25008135</v>
          </cell>
          <cell r="F1612"/>
          <cell r="G1612">
            <v>300000000</v>
          </cell>
          <cell r="H1612" t="str">
            <v>Hendra</v>
          </cell>
          <cell r="I1612" t="str">
            <v>Tiya</v>
          </cell>
          <cell r="J1612"/>
          <cell r="K1612" t="str">
            <v>KU</v>
          </cell>
          <cell r="L1612" t="str">
            <v>BUDI01</v>
          </cell>
          <cell r="M1612" t="str">
            <v>Budi Berkah/H. Syahran</v>
          </cell>
          <cell r="N1612" t="str">
            <v>Nor Aidy</v>
          </cell>
          <cell r="O1612" t="str">
            <v>Jl. Seth Adji No.69, RT.001/RW.013 Panarung, Pahandut</v>
          </cell>
          <cell r="P1612" t="str">
            <v>Palang Karaya - Kalteng</v>
          </cell>
          <cell r="Q1612" t="str">
            <v>Jl. Seth Adji No.69, RT.001/RW.013 Panarung, Pahandut</v>
          </cell>
          <cell r="R1612" t="str">
            <v>Palang Karaya - Kalteng</v>
          </cell>
          <cell r="S1612" t="str">
            <v>E Luar Pulau1</v>
          </cell>
          <cell r="T1612" t="str">
            <v>Non SE &amp; JSE</v>
          </cell>
          <cell r="U1612">
            <v>45</v>
          </cell>
        </row>
        <row r="1613">
          <cell r="E1613" t="str">
            <v>D25013836</v>
          </cell>
          <cell r="F1613"/>
          <cell r="G1613">
            <v>300000000</v>
          </cell>
          <cell r="H1613" t="str">
            <v>Hendra</v>
          </cell>
          <cell r="I1613" t="str">
            <v>Tiya</v>
          </cell>
          <cell r="J1613"/>
          <cell r="K1613" t="str">
            <v>KU</v>
          </cell>
          <cell r="L1613" t="str">
            <v>BUDI01</v>
          </cell>
          <cell r="M1613" t="str">
            <v>Budi Berkah/H. Syahran</v>
          </cell>
          <cell r="N1613" t="str">
            <v>Nor Aidy</v>
          </cell>
          <cell r="O1613" t="str">
            <v>Jl. Seth Adji No.69, RT.001/RW.013 Panarung, Pahandut</v>
          </cell>
          <cell r="P1613" t="str">
            <v>Palang Karaya - Kalteng</v>
          </cell>
          <cell r="Q1613" t="str">
            <v>Jl. Seth Adji No.69, RT.001/RW.013 Panarung, Pahandut</v>
          </cell>
          <cell r="R1613" t="str">
            <v>Palang Karaya - Kalteng</v>
          </cell>
          <cell r="S1613" t="str">
            <v>E Luar Pulau1</v>
          </cell>
          <cell r="T1613" t="str">
            <v>Non SE &amp; JSE</v>
          </cell>
          <cell r="U1613">
            <v>45</v>
          </cell>
        </row>
        <row r="1614">
          <cell r="E1614" t="str">
            <v>B25012787</v>
          </cell>
          <cell r="F1614"/>
          <cell r="G1614">
            <v>300000000</v>
          </cell>
          <cell r="H1614" t="str">
            <v>Hendra</v>
          </cell>
          <cell r="I1614" t="str">
            <v>Tiya</v>
          </cell>
          <cell r="J1614"/>
          <cell r="K1614" t="str">
            <v>KU</v>
          </cell>
          <cell r="L1614" t="str">
            <v>BUDI01</v>
          </cell>
          <cell r="M1614" t="str">
            <v>Budi Berkah/H. Syahran</v>
          </cell>
          <cell r="N1614" t="str">
            <v>Nor Aidy</v>
          </cell>
          <cell r="O1614" t="str">
            <v>Jl. Seth Adji No.69, RT.001/RW.013 Panarung, Pahandut</v>
          </cell>
          <cell r="P1614" t="str">
            <v>Palang Karaya - Kalteng</v>
          </cell>
          <cell r="Q1614" t="str">
            <v>Jl. Seth Adji No.69, RT.001/RW.013 Panarung, Pahandut</v>
          </cell>
          <cell r="R1614" t="str">
            <v>Palang Karaya - Kalteng</v>
          </cell>
          <cell r="S1614" t="str">
            <v>E Luar Pulau1</v>
          </cell>
          <cell r="T1614" t="str">
            <v>Non SE &amp; JSE</v>
          </cell>
          <cell r="U1614">
            <v>45</v>
          </cell>
        </row>
        <row r="1615">
          <cell r="E1615" t="str">
            <v>B25012792</v>
          </cell>
          <cell r="F1615"/>
          <cell r="G1615">
            <v>300000000</v>
          </cell>
          <cell r="H1615" t="str">
            <v>Hendra</v>
          </cell>
          <cell r="I1615" t="str">
            <v>Tiya</v>
          </cell>
          <cell r="J1615"/>
          <cell r="K1615" t="str">
            <v>KU</v>
          </cell>
          <cell r="L1615" t="str">
            <v>BUDI01</v>
          </cell>
          <cell r="M1615" t="str">
            <v>Budi Berkah/H. Syahran</v>
          </cell>
          <cell r="N1615" t="str">
            <v>Nor Aidy</v>
          </cell>
          <cell r="O1615" t="str">
            <v>Jl. Seth Adji No.69, RT.001/RW.013 Panarung, Pahandut</v>
          </cell>
          <cell r="P1615" t="str">
            <v>Palang Karaya - Kalteng</v>
          </cell>
          <cell r="Q1615" t="str">
            <v>Jl. Seth Adji No.69, RT.001/RW.013 Panarung, Pahandut</v>
          </cell>
          <cell r="R1615" t="str">
            <v>Palang Karaya - Kalteng</v>
          </cell>
          <cell r="S1615" t="str">
            <v>E Luar Pulau1</v>
          </cell>
          <cell r="T1615" t="str">
            <v>Non SE &amp; JSE</v>
          </cell>
          <cell r="U1615">
            <v>45</v>
          </cell>
        </row>
        <row r="1616">
          <cell r="E1616" t="str">
            <v>B25013401</v>
          </cell>
          <cell r="F1616"/>
          <cell r="G1616">
            <v>1000</v>
          </cell>
          <cell r="H1616" t="str">
            <v>Sheila</v>
          </cell>
          <cell r="I1616" t="str">
            <v>Exclusive</v>
          </cell>
          <cell r="J1616"/>
          <cell r="K1616" t="str">
            <v>KU</v>
          </cell>
          <cell r="L1616" t="str">
            <v>WAKH01</v>
          </cell>
          <cell r="M1616" t="str">
            <v>Budi Hartanto</v>
          </cell>
          <cell r="N1616" t="str">
            <v>Budi Hartanto</v>
          </cell>
          <cell r="O1616" t="str">
            <v>Joko Pati RT.001/RW.005, Kel. Tawangsari, Kec. Tembarak</v>
          </cell>
          <cell r="P1616" t="str">
            <v>Temanggung</v>
          </cell>
          <cell r="Q1616" t="str">
            <v>Durenan Tembarak RT.002/RW.003, Tembarak</v>
          </cell>
          <cell r="R1616" t="str">
            <v>Temanggung</v>
          </cell>
          <cell r="S1616" t="str">
            <v>I Jabar Jateng</v>
          </cell>
          <cell r="T1616" t="str">
            <v>Non SE &amp; JSE</v>
          </cell>
          <cell r="U1616">
            <v>15</v>
          </cell>
        </row>
        <row r="1617">
          <cell r="E1617" t="str">
            <v>D25014830</v>
          </cell>
          <cell r="F1617"/>
          <cell r="G1617">
            <v>1000</v>
          </cell>
          <cell r="H1617" t="str">
            <v>Faris</v>
          </cell>
          <cell r="I1617" t="str">
            <v>Syahra</v>
          </cell>
          <cell r="J1617" t="str">
            <v>New 03/08/23</v>
          </cell>
          <cell r="K1617" t="str">
            <v>KU</v>
          </cell>
          <cell r="L1617" t="str">
            <v>BUDI23</v>
          </cell>
          <cell r="M1617" t="str">
            <v>Budi Jaya/Budi</v>
          </cell>
          <cell r="N1617" t="str">
            <v>Budi Santoso</v>
          </cell>
          <cell r="O1617" t="str">
            <v>Dusun Possumur RT.004/RW.005, Kel. Bengkak, Kec. Wongsorejo</v>
          </cell>
          <cell r="P1617" t="str">
            <v>Banyuwangi</v>
          </cell>
          <cell r="Q1617" t="str">
            <v>Dusun Possumur RT.004/RW.005 , Kel. Bengkak, Kec. Wongsorejo (Jl Raya Banyuwangi Situbondo)</v>
          </cell>
          <cell r="R1617" t="str">
            <v>Banyuwangi</v>
          </cell>
          <cell r="S1617" t="str">
            <v>H Bwi5</v>
          </cell>
          <cell r="T1617" t="str">
            <v>Hafid</v>
          </cell>
          <cell r="U1617">
            <v>0</v>
          </cell>
        </row>
        <row r="1618">
          <cell r="E1618" t="str">
            <v>D25014831</v>
          </cell>
          <cell r="F1618"/>
          <cell r="G1618">
            <v>1000</v>
          </cell>
          <cell r="H1618" t="str">
            <v>Faris</v>
          </cell>
          <cell r="I1618" t="str">
            <v>Syahra</v>
          </cell>
          <cell r="J1618" t="str">
            <v>New 03/08/23</v>
          </cell>
          <cell r="K1618" t="str">
            <v>KU</v>
          </cell>
          <cell r="L1618" t="str">
            <v>BUDI23</v>
          </cell>
          <cell r="M1618" t="str">
            <v>Budi Jaya/Budi</v>
          </cell>
          <cell r="N1618" t="str">
            <v>Budi Santoso</v>
          </cell>
          <cell r="O1618" t="str">
            <v>Dusun Possumur RT.004/RW.005, Kel. Bengkak, Kec. Wongsorejo</v>
          </cell>
          <cell r="P1618" t="str">
            <v>Banyuwangi</v>
          </cell>
          <cell r="Q1618" t="str">
            <v>Dusun Possumur RT.004/RW.005 , Kel. Bengkak, Kec. Wongsorejo (Jl Raya Banyuwangi Situbondo)</v>
          </cell>
          <cell r="R1618" t="str">
            <v>Banyuwangi</v>
          </cell>
          <cell r="S1618" t="str">
            <v>H Bwi5</v>
          </cell>
          <cell r="T1618" t="str">
            <v>Hafid</v>
          </cell>
          <cell r="U1618">
            <v>0</v>
          </cell>
        </row>
        <row r="1619">
          <cell r="E1619" t="str">
            <v>D25014832</v>
          </cell>
          <cell r="F1619"/>
          <cell r="G1619">
            <v>1000</v>
          </cell>
          <cell r="H1619" t="str">
            <v>Faris</v>
          </cell>
          <cell r="I1619" t="str">
            <v>Syahra</v>
          </cell>
          <cell r="J1619" t="str">
            <v>New 03/08/23</v>
          </cell>
          <cell r="K1619" t="str">
            <v>KU</v>
          </cell>
          <cell r="L1619" t="str">
            <v>BUDI23</v>
          </cell>
          <cell r="M1619" t="str">
            <v>Budi Jaya/Budi</v>
          </cell>
          <cell r="N1619" t="str">
            <v>Budi Santoso</v>
          </cell>
          <cell r="O1619" t="str">
            <v>Dusun Possumur RT.004/RW.005, Kel. Bengkak, Kec. Wongsorejo</v>
          </cell>
          <cell r="P1619" t="str">
            <v>Banyuwangi</v>
          </cell>
          <cell r="Q1619" t="str">
            <v>Dusun Possumur RT.004/RW.005 , Kel. Bengkak, Kec. Wongsorejo (Jl Raya Banyuwangi Situbondo)</v>
          </cell>
          <cell r="R1619" t="str">
            <v>Banyuwangi</v>
          </cell>
          <cell r="S1619" t="str">
            <v>H Bwi5</v>
          </cell>
          <cell r="T1619" t="str">
            <v>Hafid</v>
          </cell>
          <cell r="U1619">
            <v>0</v>
          </cell>
        </row>
        <row r="1620">
          <cell r="E1620" t="str">
            <v>D25015529</v>
          </cell>
          <cell r="F1620"/>
          <cell r="G1620">
            <v>1000</v>
          </cell>
          <cell r="H1620" t="str">
            <v>Faris</v>
          </cell>
          <cell r="I1620" t="str">
            <v>Syahra</v>
          </cell>
          <cell r="J1620" t="str">
            <v>New 03/08/23</v>
          </cell>
          <cell r="K1620" t="str">
            <v>KU</v>
          </cell>
          <cell r="L1620" t="str">
            <v>BUDI23</v>
          </cell>
          <cell r="M1620" t="str">
            <v>Budi Jaya/Budi</v>
          </cell>
          <cell r="N1620" t="str">
            <v>Budi Santoso</v>
          </cell>
          <cell r="O1620" t="str">
            <v>Dusun Possumur RT.004/RW.005, Kel. Bengkak, Kec. Wongsorejo</v>
          </cell>
          <cell r="P1620" t="str">
            <v>Banyuwangi</v>
          </cell>
          <cell r="Q1620" t="str">
            <v>Dusun Possumur RT.004/RW.005 , Kel. Bengkak, Kec. Wongsorejo (Jl Raya Banyuwangi Situbondo)</v>
          </cell>
          <cell r="R1620" t="str">
            <v>Banyuwangi</v>
          </cell>
          <cell r="S1620" t="str">
            <v>H Bwi5</v>
          </cell>
          <cell r="T1620" t="str">
            <v>Hafid</v>
          </cell>
          <cell r="U1620">
            <v>0</v>
          </cell>
        </row>
        <row r="1621">
          <cell r="E1621" t="str">
            <v>B25013599</v>
          </cell>
          <cell r="F1621"/>
          <cell r="G1621">
            <v>1000</v>
          </cell>
          <cell r="H1621" t="str">
            <v>Faris</v>
          </cell>
          <cell r="I1621" t="str">
            <v>Syahra</v>
          </cell>
          <cell r="J1621" t="str">
            <v>New 03/08/23</v>
          </cell>
          <cell r="K1621" t="str">
            <v>KU</v>
          </cell>
          <cell r="L1621" t="str">
            <v>BUDI23</v>
          </cell>
          <cell r="M1621" t="str">
            <v>Budi Jaya/Budi</v>
          </cell>
          <cell r="N1621" t="str">
            <v>Budi Santoso</v>
          </cell>
          <cell r="O1621" t="str">
            <v>Dusun Possumur RT.004/RW.005, Kel. Bengkak, Kec. Wongsorejo</v>
          </cell>
          <cell r="P1621" t="str">
            <v>Banyuwangi</v>
          </cell>
          <cell r="Q1621" t="str">
            <v>Dusun Possumur RT.004/RW.005 , Kel. Bengkak, Kec. Wongsorejo (Jl Raya Banyuwangi Situbondo)</v>
          </cell>
          <cell r="R1621" t="str">
            <v>Banyuwangi</v>
          </cell>
          <cell r="S1621" t="str">
            <v>H Bwi5</v>
          </cell>
          <cell r="T1621" t="str">
            <v>Hafid</v>
          </cell>
          <cell r="U1621">
            <v>0</v>
          </cell>
        </row>
        <row r="1622">
          <cell r="E1622" t="str">
            <v>B25013600</v>
          </cell>
          <cell r="F1622"/>
          <cell r="G1622">
            <v>1000</v>
          </cell>
          <cell r="H1622" t="str">
            <v>Faris</v>
          </cell>
          <cell r="I1622" t="str">
            <v>Syahra</v>
          </cell>
          <cell r="J1622" t="str">
            <v>New 03/08/23</v>
          </cell>
          <cell r="K1622" t="str">
            <v>KU</v>
          </cell>
          <cell r="L1622" t="str">
            <v>BUDI23</v>
          </cell>
          <cell r="M1622" t="str">
            <v>Budi Jaya/Budi</v>
          </cell>
          <cell r="N1622" t="str">
            <v>Budi Santoso</v>
          </cell>
          <cell r="O1622" t="str">
            <v>Dusun Possumur RT.004/RW.005, Kel. Bengkak, Kec. Wongsorejo</v>
          </cell>
          <cell r="P1622" t="str">
            <v>Banyuwangi</v>
          </cell>
          <cell r="Q1622" t="str">
            <v>Dusun Possumur RT.004/RW.005 , Kel. Bengkak, Kec. Wongsorejo (Jl Raya Banyuwangi Situbondo)</v>
          </cell>
          <cell r="R1622" t="str">
            <v>Banyuwangi</v>
          </cell>
          <cell r="S1622" t="str">
            <v>H Bwi5</v>
          </cell>
          <cell r="T1622" t="str">
            <v>Hafid</v>
          </cell>
          <cell r="U1622">
            <v>0</v>
          </cell>
        </row>
        <row r="1623">
          <cell r="E1623" t="str">
            <v>B25013798</v>
          </cell>
          <cell r="F1623"/>
          <cell r="G1623">
            <v>1000</v>
          </cell>
          <cell r="H1623" t="str">
            <v>Faris</v>
          </cell>
          <cell r="I1623" t="str">
            <v>Syahra</v>
          </cell>
          <cell r="J1623" t="str">
            <v>New 03/08/23</v>
          </cell>
          <cell r="K1623" t="str">
            <v>KU</v>
          </cell>
          <cell r="L1623" t="str">
            <v>BUDI23</v>
          </cell>
          <cell r="M1623" t="str">
            <v>Budi Jaya/Budi</v>
          </cell>
          <cell r="N1623" t="str">
            <v>Budi Santoso</v>
          </cell>
          <cell r="O1623" t="str">
            <v>Dusun Possumur RT.004/RW.005, Kel. Bengkak, Kec. Wongsorejo</v>
          </cell>
          <cell r="P1623" t="str">
            <v>Banyuwangi</v>
          </cell>
          <cell r="Q1623" t="str">
            <v>Dusun Possumur RT.004/RW.005 , Kel. Bengkak, Kec. Wongsorejo (Jl Raya Banyuwangi Situbondo)</v>
          </cell>
          <cell r="R1623" t="str">
            <v>Banyuwangi</v>
          </cell>
          <cell r="S1623" t="str">
            <v>H Bwi5</v>
          </cell>
          <cell r="T1623" t="str">
            <v>Hafid</v>
          </cell>
          <cell r="U1623">
            <v>0</v>
          </cell>
        </row>
        <row r="1624">
          <cell r="E1624" t="str">
            <v>B25013851</v>
          </cell>
          <cell r="F1624"/>
          <cell r="G1624">
            <v>1000</v>
          </cell>
          <cell r="H1624" t="str">
            <v>Faris</v>
          </cell>
          <cell r="I1624" t="str">
            <v>Syahra</v>
          </cell>
          <cell r="J1624" t="str">
            <v>New 03/08/23</v>
          </cell>
          <cell r="K1624" t="str">
            <v>KU</v>
          </cell>
          <cell r="L1624" t="str">
            <v>BUDI23</v>
          </cell>
          <cell r="M1624" t="str">
            <v>Budi Jaya/Budi</v>
          </cell>
          <cell r="N1624" t="str">
            <v>Budi Santoso</v>
          </cell>
          <cell r="O1624" t="str">
            <v>Dusun Possumur RT.004/RW.005, Kel. Bengkak, Kec. Wongsorejo</v>
          </cell>
          <cell r="P1624" t="str">
            <v>Banyuwangi</v>
          </cell>
          <cell r="Q1624" t="str">
            <v>Dusun Possumur RT.004/RW.005 , Kel. Bengkak, Kec. Wongsorejo (Jl Raya Banyuwangi Situbondo)</v>
          </cell>
          <cell r="R1624" t="str">
            <v>Banyuwangi</v>
          </cell>
          <cell r="S1624" t="str">
            <v>H Bwi5</v>
          </cell>
          <cell r="T1624" t="str">
            <v>Hafid</v>
          </cell>
          <cell r="U1624">
            <v>0</v>
          </cell>
        </row>
        <row r="1625">
          <cell r="E1625" t="str">
            <v>T25000898</v>
          </cell>
          <cell r="F1625"/>
          <cell r="G1625">
            <v>20000000</v>
          </cell>
          <cell r="H1625" t="str">
            <v>Reni</v>
          </cell>
          <cell r="I1625" t="str">
            <v>Farida</v>
          </cell>
          <cell r="J1625"/>
          <cell r="K1625" t="str">
            <v>KU</v>
          </cell>
          <cell r="L1625" t="str">
            <v>BUDI14</v>
          </cell>
          <cell r="M1625" t="str">
            <v>Budi Karya Tani</v>
          </cell>
          <cell r="N1625" t="str">
            <v>Imron Samsudin</v>
          </cell>
          <cell r="O1625" t="str">
            <v>Jl. Sandang Pangan, RT.005/RW.002 Kel. Bangunsari, Kec. Dolopo</v>
          </cell>
          <cell r="P1625" t="str">
            <v>Madiun</v>
          </cell>
          <cell r="Q1625" t="str">
            <v>Jl. Adil Makmur No.07 Bangunsari Dolopo</v>
          </cell>
          <cell r="R1625" t="str">
            <v>Madiun</v>
          </cell>
          <cell r="S1625" t="str">
            <v>D Barat1</v>
          </cell>
          <cell r="T1625" t="str">
            <v>Dian</v>
          </cell>
          <cell r="U1625">
            <v>60</v>
          </cell>
        </row>
        <row r="1626">
          <cell r="E1626" t="str">
            <v>D25010529</v>
          </cell>
          <cell r="F1626"/>
          <cell r="G1626">
            <v>20000000</v>
          </cell>
          <cell r="H1626" t="str">
            <v>Reni</v>
          </cell>
          <cell r="I1626" t="str">
            <v>Farida</v>
          </cell>
          <cell r="J1626"/>
          <cell r="K1626" t="str">
            <v>KU</v>
          </cell>
          <cell r="L1626" t="str">
            <v>BUDI14</v>
          </cell>
          <cell r="M1626" t="str">
            <v>Budi Karya Tani</v>
          </cell>
          <cell r="N1626" t="str">
            <v>Imron Samsudin</v>
          </cell>
          <cell r="O1626" t="str">
            <v>Jl. Sandang Pangan, RT.005/RW.002 Kel. Bangunsari, Kec. Dolopo</v>
          </cell>
          <cell r="P1626" t="str">
            <v>Madiun</v>
          </cell>
          <cell r="Q1626" t="str">
            <v>Jl. Adil Makmur No.07 Bangunsari Dolopo</v>
          </cell>
          <cell r="R1626" t="str">
            <v>Madiun</v>
          </cell>
          <cell r="S1626" t="str">
            <v>D Barat1</v>
          </cell>
          <cell r="T1626" t="str">
            <v>Dian</v>
          </cell>
          <cell r="U1626">
            <v>60</v>
          </cell>
        </row>
        <row r="1627">
          <cell r="E1627" t="str">
            <v>B25008773</v>
          </cell>
          <cell r="F1627"/>
          <cell r="G1627">
            <v>20000000</v>
          </cell>
          <cell r="H1627" t="str">
            <v>Reni</v>
          </cell>
          <cell r="I1627" t="str">
            <v>Farida</v>
          </cell>
          <cell r="J1627"/>
          <cell r="K1627" t="str">
            <v>KU</v>
          </cell>
          <cell r="L1627" t="str">
            <v>BUDI14</v>
          </cell>
          <cell r="M1627" t="str">
            <v>Budi Karya Tani</v>
          </cell>
          <cell r="N1627" t="str">
            <v>Imron Samsudin</v>
          </cell>
          <cell r="O1627" t="str">
            <v>Jl. Sandang Pangan, RT.005/RW.002 Kel. Bangunsari, Kec. Dolopo</v>
          </cell>
          <cell r="P1627" t="str">
            <v>Madiun</v>
          </cell>
          <cell r="Q1627" t="str">
            <v>Jl. Adil Makmur No.07 Bangunsari Dolopo</v>
          </cell>
          <cell r="R1627" t="str">
            <v>Madiun</v>
          </cell>
          <cell r="S1627" t="str">
            <v>D Barat1</v>
          </cell>
          <cell r="T1627" t="str">
            <v>Dian</v>
          </cell>
          <cell r="U1627">
            <v>60</v>
          </cell>
        </row>
        <row r="1628">
          <cell r="E1628" t="str">
            <v>D25011068</v>
          </cell>
          <cell r="F1628"/>
          <cell r="G1628">
            <v>20000000</v>
          </cell>
          <cell r="H1628" t="str">
            <v>Reni</v>
          </cell>
          <cell r="I1628" t="str">
            <v>Farida</v>
          </cell>
          <cell r="J1628"/>
          <cell r="K1628" t="str">
            <v>KU</v>
          </cell>
          <cell r="L1628" t="str">
            <v>BUDI14</v>
          </cell>
          <cell r="M1628" t="str">
            <v>Budi Karya Tani</v>
          </cell>
          <cell r="N1628" t="str">
            <v>Imron Samsudin</v>
          </cell>
          <cell r="O1628" t="str">
            <v>Jl. Sandang Pangan, RT.005/RW.002 Kel. Bangunsari, Kec. Dolopo</v>
          </cell>
          <cell r="P1628" t="str">
            <v>Madiun</v>
          </cell>
          <cell r="Q1628" t="str">
            <v>Jl. Adil Makmur No.07 Bangunsari Dolopo</v>
          </cell>
          <cell r="R1628" t="str">
            <v>Madiun</v>
          </cell>
          <cell r="S1628" t="str">
            <v>D Barat1</v>
          </cell>
          <cell r="T1628" t="str">
            <v>Dian</v>
          </cell>
          <cell r="U1628">
            <v>60</v>
          </cell>
        </row>
        <row r="1629">
          <cell r="E1629" t="str">
            <v>D25010744</v>
          </cell>
          <cell r="F1629"/>
          <cell r="G1629">
            <v>50000000</v>
          </cell>
          <cell r="H1629" t="str">
            <v>Ariyani</v>
          </cell>
          <cell r="I1629" t="str">
            <v>Fira</v>
          </cell>
          <cell r="J1629" t="str">
            <v>New 21/09/20</v>
          </cell>
          <cell r="K1629" t="str">
            <v>KU</v>
          </cell>
          <cell r="L1629" t="str">
            <v>BUDI15</v>
          </cell>
          <cell r="M1629" t="str">
            <v>Budidaya Hasil Tani/Sanhaji</v>
          </cell>
          <cell r="N1629" t="str">
            <v>Sanhaji</v>
          </cell>
          <cell r="O1629" t="str">
            <v>Dusun Krajan, RT.004/RW.002, Kel. Tarokan, Kec. Banyu Anyar</v>
          </cell>
          <cell r="P1629" t="str">
            <v>Probolinggo</v>
          </cell>
          <cell r="Q1629" t="str">
            <v>Dusun Krajan, RT.004/RW.002, Kel. Tarokan, Kec. Banyu Anyar</v>
          </cell>
          <cell r="R1629" t="str">
            <v>Probolinggo</v>
          </cell>
          <cell r="S1629" t="str">
            <v>G Prob1</v>
          </cell>
          <cell r="T1629" t="str">
            <v>Wira</v>
          </cell>
          <cell r="U1629">
            <v>30</v>
          </cell>
        </row>
        <row r="1630">
          <cell r="E1630">
            <v>250055</v>
          </cell>
          <cell r="F1630"/>
          <cell r="G1630">
            <v>1200000000</v>
          </cell>
          <cell r="H1630" t="str">
            <v>Zakia</v>
          </cell>
          <cell r="I1630" t="str">
            <v>Tiya</v>
          </cell>
          <cell r="J1630"/>
          <cell r="K1630" t="str">
            <v>KU</v>
          </cell>
          <cell r="L1630" t="str">
            <v>BUKI01</v>
          </cell>
          <cell r="M1630" t="str">
            <v>Bukit Subur, UD</v>
          </cell>
          <cell r="N1630" t="str">
            <v>Putu Didik Purna</v>
          </cell>
          <cell r="O1630" t="str">
            <v>Banjar Dinas Sekar, RT.007/RW.000 Kel. Banjar, Kec. Banjar</v>
          </cell>
          <cell r="P1630" t="str">
            <v>Bali</v>
          </cell>
          <cell r="Q1630" t="str">
            <v>Ds. Banjar Seririt</v>
          </cell>
          <cell r="R1630" t="str">
            <v>Bali</v>
          </cell>
          <cell r="S1630" t="str">
            <v>S Bali1</v>
          </cell>
          <cell r="T1630" t="str">
            <v>Wira</v>
          </cell>
          <cell r="U1630">
            <v>30</v>
          </cell>
        </row>
        <row r="1631">
          <cell r="E1631" t="str">
            <v>D25012167</v>
          </cell>
          <cell r="F1631"/>
          <cell r="G1631">
            <v>1200000000</v>
          </cell>
          <cell r="H1631" t="str">
            <v>Zakia</v>
          </cell>
          <cell r="I1631" t="str">
            <v>Tiya</v>
          </cell>
          <cell r="J1631"/>
          <cell r="K1631" t="str">
            <v>KU</v>
          </cell>
          <cell r="L1631" t="str">
            <v>BUKI01</v>
          </cell>
          <cell r="M1631" t="str">
            <v>Bukit Subur, UD</v>
          </cell>
          <cell r="N1631" t="str">
            <v>Putu Didik Purna</v>
          </cell>
          <cell r="O1631" t="str">
            <v>Banjar Dinas Sekar, RT.007/RW.000 Kel. Banjar, Kec. Banjar</v>
          </cell>
          <cell r="P1631" t="str">
            <v>Bali</v>
          </cell>
          <cell r="Q1631" t="str">
            <v>Ds. Banjar Seririt</v>
          </cell>
          <cell r="R1631" t="str">
            <v>Bali</v>
          </cell>
          <cell r="S1631" t="str">
            <v>S Bali1</v>
          </cell>
          <cell r="T1631" t="str">
            <v>Wira</v>
          </cell>
          <cell r="U1631">
            <v>30</v>
          </cell>
        </row>
        <row r="1632">
          <cell r="E1632" t="str">
            <v>D25012460</v>
          </cell>
          <cell r="F1632"/>
          <cell r="G1632">
            <v>1200000000</v>
          </cell>
          <cell r="H1632" t="str">
            <v>Zakia</v>
          </cell>
          <cell r="I1632" t="str">
            <v>Tiya</v>
          </cell>
          <cell r="J1632"/>
          <cell r="K1632" t="str">
            <v>KU</v>
          </cell>
          <cell r="L1632" t="str">
            <v>BUKI01</v>
          </cell>
          <cell r="M1632" t="str">
            <v>Bukit Subur, UD</v>
          </cell>
          <cell r="N1632" t="str">
            <v>Putu Didik Purna</v>
          </cell>
          <cell r="O1632" t="str">
            <v>Banjar Dinas Sekar, RT.007/RW.000 Kel. Banjar, Kec. Banjar</v>
          </cell>
          <cell r="P1632" t="str">
            <v>Bali</v>
          </cell>
          <cell r="Q1632" t="str">
            <v>Ds. Banjar Seririt</v>
          </cell>
          <cell r="R1632" t="str">
            <v>Bali</v>
          </cell>
          <cell r="S1632" t="str">
            <v>S Bali1</v>
          </cell>
          <cell r="T1632" t="str">
            <v>Wira</v>
          </cell>
          <cell r="U1632">
            <v>30</v>
          </cell>
        </row>
        <row r="1633">
          <cell r="E1633" t="str">
            <v>D25012556</v>
          </cell>
          <cell r="F1633"/>
          <cell r="G1633">
            <v>1200000000</v>
          </cell>
          <cell r="H1633" t="str">
            <v>Zakia</v>
          </cell>
          <cell r="I1633" t="str">
            <v>Tiya</v>
          </cell>
          <cell r="J1633"/>
          <cell r="K1633" t="str">
            <v>KU</v>
          </cell>
          <cell r="L1633" t="str">
            <v>BUKI01</v>
          </cell>
          <cell r="M1633" t="str">
            <v>Bukit Subur, UD</v>
          </cell>
          <cell r="N1633" t="str">
            <v>Putu Didik Purna</v>
          </cell>
          <cell r="O1633" t="str">
            <v>Banjar Dinas Sekar, RT.007/RW.000 Kel. Banjar, Kec. Banjar</v>
          </cell>
          <cell r="P1633" t="str">
            <v>Bali</v>
          </cell>
          <cell r="Q1633" t="str">
            <v>Ds. Banjar Seririt</v>
          </cell>
          <cell r="R1633" t="str">
            <v>Bali</v>
          </cell>
          <cell r="S1633" t="str">
            <v>S Bali1</v>
          </cell>
          <cell r="T1633" t="str">
            <v>Wira</v>
          </cell>
          <cell r="U1633">
            <v>30</v>
          </cell>
        </row>
        <row r="1634">
          <cell r="E1634" t="str">
            <v>B25010749</v>
          </cell>
          <cell r="F1634"/>
          <cell r="G1634">
            <v>1200000000</v>
          </cell>
          <cell r="H1634" t="str">
            <v>Zakia</v>
          </cell>
          <cell r="I1634" t="str">
            <v>Tiya</v>
          </cell>
          <cell r="J1634"/>
          <cell r="K1634" t="str">
            <v>KU</v>
          </cell>
          <cell r="L1634" t="str">
            <v>BUKI01</v>
          </cell>
          <cell r="M1634" t="str">
            <v>Bukit Subur, UD</v>
          </cell>
          <cell r="N1634" t="str">
            <v>Putu Didik Purna</v>
          </cell>
          <cell r="O1634" t="str">
            <v>Banjar Dinas Sekar, RT.007/RW.000 Kel. Banjar, Kec. Banjar</v>
          </cell>
          <cell r="P1634" t="str">
            <v>Bali</v>
          </cell>
          <cell r="Q1634" t="str">
            <v>Ds. Banjar Seririt</v>
          </cell>
          <cell r="R1634" t="str">
            <v>Bali</v>
          </cell>
          <cell r="S1634" t="str">
            <v>S Bali1</v>
          </cell>
          <cell r="T1634" t="str">
            <v>Wira</v>
          </cell>
          <cell r="U1634">
            <v>30</v>
          </cell>
        </row>
        <row r="1635">
          <cell r="E1635" t="str">
            <v>D25012758</v>
          </cell>
          <cell r="F1635"/>
          <cell r="G1635">
            <v>1200000000</v>
          </cell>
          <cell r="H1635" t="str">
            <v>Zakia</v>
          </cell>
          <cell r="I1635" t="str">
            <v>Tiya</v>
          </cell>
          <cell r="J1635"/>
          <cell r="K1635" t="str">
            <v>KU</v>
          </cell>
          <cell r="L1635" t="str">
            <v>BUKI01</v>
          </cell>
          <cell r="M1635" t="str">
            <v>Bukit Subur, UD</v>
          </cell>
          <cell r="N1635" t="str">
            <v>Putu Didik Purna</v>
          </cell>
          <cell r="O1635" t="str">
            <v>Banjar Dinas Sekar, RT.007/RW.000 Kel. Banjar, Kec. Banjar</v>
          </cell>
          <cell r="P1635" t="str">
            <v>Bali</v>
          </cell>
          <cell r="Q1635" t="str">
            <v>Ds. Banjar Seririt</v>
          </cell>
          <cell r="R1635" t="str">
            <v>Bali</v>
          </cell>
          <cell r="S1635" t="str">
            <v>S Bali1</v>
          </cell>
          <cell r="T1635" t="str">
            <v>Wira</v>
          </cell>
          <cell r="U1635">
            <v>30</v>
          </cell>
        </row>
        <row r="1636">
          <cell r="E1636" t="str">
            <v>B25010984</v>
          </cell>
          <cell r="F1636"/>
          <cell r="G1636">
            <v>1200000000</v>
          </cell>
          <cell r="H1636" t="str">
            <v>Zakia</v>
          </cell>
          <cell r="I1636" t="str">
            <v>Tiya</v>
          </cell>
          <cell r="J1636"/>
          <cell r="K1636" t="str">
            <v>KU</v>
          </cell>
          <cell r="L1636" t="str">
            <v>BUKI01</v>
          </cell>
          <cell r="M1636" t="str">
            <v>Bukit Subur, UD</v>
          </cell>
          <cell r="N1636" t="str">
            <v>Putu Didik Purna</v>
          </cell>
          <cell r="O1636" t="str">
            <v>Banjar Dinas Sekar, RT.007/RW.000 Kel. Banjar, Kec. Banjar</v>
          </cell>
          <cell r="P1636" t="str">
            <v>Bali</v>
          </cell>
          <cell r="Q1636" t="str">
            <v>Ds. Banjar Seririt</v>
          </cell>
          <cell r="R1636" t="str">
            <v>Bali</v>
          </cell>
          <cell r="S1636" t="str">
            <v>S Bali1</v>
          </cell>
          <cell r="T1636" t="str">
            <v>Wira</v>
          </cell>
          <cell r="U1636">
            <v>30</v>
          </cell>
        </row>
        <row r="1637">
          <cell r="E1637" t="str">
            <v>D25013210</v>
          </cell>
          <cell r="F1637"/>
          <cell r="G1637">
            <v>1200000000</v>
          </cell>
          <cell r="H1637" t="str">
            <v>Zakia</v>
          </cell>
          <cell r="I1637" t="str">
            <v>Tiya</v>
          </cell>
          <cell r="J1637"/>
          <cell r="K1637" t="str">
            <v>KU</v>
          </cell>
          <cell r="L1637" t="str">
            <v>BUKI01</v>
          </cell>
          <cell r="M1637" t="str">
            <v>Bukit Subur, UD</v>
          </cell>
          <cell r="N1637" t="str">
            <v>Putu Didik Purna</v>
          </cell>
          <cell r="O1637" t="str">
            <v>Banjar Dinas Sekar, RT.007/RW.000 Kel. Banjar, Kec. Banjar</v>
          </cell>
          <cell r="P1637" t="str">
            <v>Bali</v>
          </cell>
          <cell r="Q1637" t="str">
            <v>Ds. Banjar Seririt</v>
          </cell>
          <cell r="R1637" t="str">
            <v>Bali</v>
          </cell>
          <cell r="S1637" t="str">
            <v>S Bali1</v>
          </cell>
          <cell r="T1637" t="str">
            <v>Wira</v>
          </cell>
          <cell r="U1637">
            <v>30</v>
          </cell>
        </row>
        <row r="1638">
          <cell r="E1638" t="str">
            <v>B25011595</v>
          </cell>
          <cell r="F1638"/>
          <cell r="G1638">
            <v>1200000000</v>
          </cell>
          <cell r="H1638" t="str">
            <v>Zakia</v>
          </cell>
          <cell r="I1638" t="str">
            <v>Tiya</v>
          </cell>
          <cell r="J1638"/>
          <cell r="K1638" t="str">
            <v>KU</v>
          </cell>
          <cell r="L1638" t="str">
            <v>BUKI01</v>
          </cell>
          <cell r="M1638" t="str">
            <v>Bukit Subur, UD</v>
          </cell>
          <cell r="N1638" t="str">
            <v>Putu Didik Purna</v>
          </cell>
          <cell r="O1638" t="str">
            <v>Banjar Dinas Sekar, RT.007/RW.000 Kel. Banjar, Kec. Banjar</v>
          </cell>
          <cell r="P1638" t="str">
            <v>Bali</v>
          </cell>
          <cell r="Q1638" t="str">
            <v>Ds. Banjar Seririt</v>
          </cell>
          <cell r="R1638" t="str">
            <v>Bali</v>
          </cell>
          <cell r="S1638" t="str">
            <v>S Bali1</v>
          </cell>
          <cell r="T1638" t="str">
            <v>Wira</v>
          </cell>
          <cell r="U1638">
            <v>30</v>
          </cell>
        </row>
        <row r="1639">
          <cell r="E1639" t="str">
            <v>D25013906</v>
          </cell>
          <cell r="F1639"/>
          <cell r="G1639">
            <v>1200000000</v>
          </cell>
          <cell r="H1639" t="str">
            <v>Zakia</v>
          </cell>
          <cell r="I1639" t="str">
            <v>Tiya</v>
          </cell>
          <cell r="J1639"/>
          <cell r="K1639" t="str">
            <v>KU</v>
          </cell>
          <cell r="L1639" t="str">
            <v>BUKI01</v>
          </cell>
          <cell r="M1639" t="str">
            <v>Bukit Subur, UD</v>
          </cell>
          <cell r="N1639" t="str">
            <v>Putu Didik Purna</v>
          </cell>
          <cell r="O1639" t="str">
            <v>Banjar Dinas Sekar, RT.007/RW.000 Kel. Banjar, Kec. Banjar</v>
          </cell>
          <cell r="P1639" t="str">
            <v>Bali</v>
          </cell>
          <cell r="Q1639" t="str">
            <v>Ds. Banjar Seririt</v>
          </cell>
          <cell r="R1639" t="str">
            <v>Bali</v>
          </cell>
          <cell r="S1639" t="str">
            <v>S Bali1</v>
          </cell>
          <cell r="T1639" t="str">
            <v>Wira</v>
          </cell>
          <cell r="U1639">
            <v>30</v>
          </cell>
        </row>
        <row r="1640">
          <cell r="E1640" t="str">
            <v>B25011792</v>
          </cell>
          <cell r="F1640"/>
          <cell r="G1640">
            <v>1200000000</v>
          </cell>
          <cell r="H1640" t="str">
            <v>Zakia</v>
          </cell>
          <cell r="I1640" t="str">
            <v>Tiya</v>
          </cell>
          <cell r="J1640"/>
          <cell r="K1640" t="str">
            <v>KU</v>
          </cell>
          <cell r="L1640" t="str">
            <v>BUKI01</v>
          </cell>
          <cell r="M1640" t="str">
            <v>Bukit Subur, UD</v>
          </cell>
          <cell r="N1640" t="str">
            <v>Putu Didik Purna</v>
          </cell>
          <cell r="O1640" t="str">
            <v>Banjar Dinas Sekar, RT.007/RW.000 Kel. Banjar, Kec. Banjar</v>
          </cell>
          <cell r="P1640" t="str">
            <v>Bali</v>
          </cell>
          <cell r="Q1640" t="str">
            <v>Ds. Banjar Seririt</v>
          </cell>
          <cell r="R1640" t="str">
            <v>Bali</v>
          </cell>
          <cell r="S1640" t="str">
            <v>S Bali1</v>
          </cell>
          <cell r="T1640" t="str">
            <v>Wira</v>
          </cell>
          <cell r="U1640">
            <v>30</v>
          </cell>
        </row>
        <row r="1641">
          <cell r="E1641" t="str">
            <v>D25014016</v>
          </cell>
          <cell r="F1641"/>
          <cell r="G1641">
            <v>1200000000</v>
          </cell>
          <cell r="H1641" t="str">
            <v>Zakia</v>
          </cell>
          <cell r="I1641" t="str">
            <v>Tiya</v>
          </cell>
          <cell r="J1641"/>
          <cell r="K1641" t="str">
            <v>KU</v>
          </cell>
          <cell r="L1641" t="str">
            <v>BUKI01</v>
          </cell>
          <cell r="M1641" t="str">
            <v>Bukit Subur, UD</v>
          </cell>
          <cell r="N1641" t="str">
            <v>Putu Didik Purna</v>
          </cell>
          <cell r="O1641" t="str">
            <v>Banjar Dinas Sekar, RT.007/RW.000 Kel. Banjar, Kec. Banjar</v>
          </cell>
          <cell r="P1641" t="str">
            <v>Bali</v>
          </cell>
          <cell r="Q1641" t="str">
            <v>Ds. Banjar Seririt</v>
          </cell>
          <cell r="R1641" t="str">
            <v>Bali</v>
          </cell>
          <cell r="S1641" t="str">
            <v>S Bali1</v>
          </cell>
          <cell r="T1641" t="str">
            <v>Wira</v>
          </cell>
          <cell r="U1641">
            <v>30</v>
          </cell>
        </row>
        <row r="1642">
          <cell r="E1642" t="str">
            <v>T25001391</v>
          </cell>
          <cell r="F1642"/>
          <cell r="G1642">
            <v>1200000000</v>
          </cell>
          <cell r="H1642" t="str">
            <v>Zakia</v>
          </cell>
          <cell r="I1642" t="str">
            <v>Tiya</v>
          </cell>
          <cell r="J1642"/>
          <cell r="K1642" t="str">
            <v>KU</v>
          </cell>
          <cell r="L1642" t="str">
            <v>BUKI01</v>
          </cell>
          <cell r="M1642" t="str">
            <v>Bukit Subur, UD</v>
          </cell>
          <cell r="N1642" t="str">
            <v>Putu Didik Purna</v>
          </cell>
          <cell r="O1642" t="str">
            <v>Banjar Dinas Sekar, RT.007/RW.000 Kel. Banjar, Kec. Banjar</v>
          </cell>
          <cell r="P1642" t="str">
            <v>Bali</v>
          </cell>
          <cell r="Q1642" t="str">
            <v>Ds. Banjar Seririt</v>
          </cell>
          <cell r="R1642" t="str">
            <v>Bali</v>
          </cell>
          <cell r="S1642" t="str">
            <v>S Bali1</v>
          </cell>
          <cell r="T1642" t="str">
            <v>Wira</v>
          </cell>
          <cell r="U1642">
            <v>60</v>
          </cell>
        </row>
        <row r="1643">
          <cell r="E1643" t="str">
            <v>D25014550</v>
          </cell>
          <cell r="F1643"/>
          <cell r="G1643">
            <v>1200000000</v>
          </cell>
          <cell r="H1643" t="str">
            <v>Zakia</v>
          </cell>
          <cell r="I1643" t="str">
            <v>Tiya</v>
          </cell>
          <cell r="J1643"/>
          <cell r="K1643" t="str">
            <v>KU</v>
          </cell>
          <cell r="L1643" t="str">
            <v>BUKI01</v>
          </cell>
          <cell r="M1643" t="str">
            <v>Bukit Subur, UD</v>
          </cell>
          <cell r="N1643" t="str">
            <v>Putu Didik Purna</v>
          </cell>
          <cell r="O1643" t="str">
            <v>Banjar Dinas Sekar, RT.007/RW.000 Kel. Banjar, Kec. Banjar</v>
          </cell>
          <cell r="P1643" t="str">
            <v>Bali</v>
          </cell>
          <cell r="Q1643" t="str">
            <v>Ds. Banjar Seririt</v>
          </cell>
          <cell r="R1643" t="str">
            <v>Bali</v>
          </cell>
          <cell r="S1643" t="str">
            <v>S Bali1</v>
          </cell>
          <cell r="T1643" t="str">
            <v>Wira</v>
          </cell>
          <cell r="U1643">
            <v>30</v>
          </cell>
        </row>
        <row r="1644">
          <cell r="E1644" t="str">
            <v>D25014657</v>
          </cell>
          <cell r="F1644"/>
          <cell r="G1644">
            <v>1200000000</v>
          </cell>
          <cell r="H1644" t="str">
            <v>Zakia</v>
          </cell>
          <cell r="I1644" t="str">
            <v>Tiya</v>
          </cell>
          <cell r="J1644"/>
          <cell r="K1644" t="str">
            <v>KU</v>
          </cell>
          <cell r="L1644" t="str">
            <v>BUKI01</v>
          </cell>
          <cell r="M1644" t="str">
            <v>Bukit Subur, UD</v>
          </cell>
          <cell r="N1644" t="str">
            <v>Putu Didik Purna</v>
          </cell>
          <cell r="O1644" t="str">
            <v>Banjar Dinas Sekar, RT.007/RW.000 Kel. Banjar, Kec. Banjar</v>
          </cell>
          <cell r="P1644" t="str">
            <v>Bali</v>
          </cell>
          <cell r="Q1644" t="str">
            <v>Ds. Banjar Seririt</v>
          </cell>
          <cell r="R1644" t="str">
            <v>Bali</v>
          </cell>
          <cell r="S1644" t="str">
            <v>S Bali1</v>
          </cell>
          <cell r="T1644" t="str">
            <v>Wira</v>
          </cell>
          <cell r="U1644">
            <v>30</v>
          </cell>
        </row>
        <row r="1645">
          <cell r="E1645" t="str">
            <v>D25014658</v>
          </cell>
          <cell r="F1645"/>
          <cell r="G1645">
            <v>1200000000</v>
          </cell>
          <cell r="H1645" t="str">
            <v>Zakia</v>
          </cell>
          <cell r="I1645" t="str">
            <v>Tiya</v>
          </cell>
          <cell r="J1645"/>
          <cell r="K1645" t="str">
            <v>KU</v>
          </cell>
          <cell r="L1645" t="str">
            <v>BUKI01</v>
          </cell>
          <cell r="M1645" t="str">
            <v>Bukit Subur, UD</v>
          </cell>
          <cell r="N1645" t="str">
            <v>Putu Didik Purna</v>
          </cell>
          <cell r="O1645" t="str">
            <v>Banjar Dinas Sekar, RT.007/RW.000 Kel. Banjar, Kec. Banjar</v>
          </cell>
          <cell r="P1645" t="str">
            <v>Bali</v>
          </cell>
          <cell r="Q1645" t="str">
            <v>Ds. Banjar Seririt</v>
          </cell>
          <cell r="R1645" t="str">
            <v>Bali</v>
          </cell>
          <cell r="S1645" t="str">
            <v>S Bali1</v>
          </cell>
          <cell r="T1645" t="str">
            <v>Wira</v>
          </cell>
          <cell r="U1645">
            <v>30</v>
          </cell>
        </row>
        <row r="1646">
          <cell r="E1646" t="str">
            <v>D25014740</v>
          </cell>
          <cell r="F1646"/>
          <cell r="G1646">
            <v>1200000000</v>
          </cell>
          <cell r="H1646" t="str">
            <v>Zakia</v>
          </cell>
          <cell r="I1646" t="str">
            <v>Tiya</v>
          </cell>
          <cell r="J1646"/>
          <cell r="K1646" t="str">
            <v>KU</v>
          </cell>
          <cell r="L1646" t="str">
            <v>BUKI01</v>
          </cell>
          <cell r="M1646" t="str">
            <v>Bukit Subur, UD</v>
          </cell>
          <cell r="N1646" t="str">
            <v>Putu Didik Purna</v>
          </cell>
          <cell r="O1646" t="str">
            <v>Banjar Dinas Sekar, RT.007/RW.000 Kel. Banjar, Kec. Banjar</v>
          </cell>
          <cell r="P1646" t="str">
            <v>Bali</v>
          </cell>
          <cell r="Q1646" t="str">
            <v>Ds. Banjar Seririt</v>
          </cell>
          <cell r="R1646" t="str">
            <v>Bali</v>
          </cell>
          <cell r="S1646" t="str">
            <v>S Bali1</v>
          </cell>
          <cell r="T1646" t="str">
            <v>Wira</v>
          </cell>
          <cell r="U1646">
            <v>30</v>
          </cell>
        </row>
        <row r="1647">
          <cell r="E1647" t="str">
            <v>B25012627</v>
          </cell>
          <cell r="F1647"/>
          <cell r="G1647">
            <v>1200000000</v>
          </cell>
          <cell r="H1647" t="str">
            <v>Zakia</v>
          </cell>
          <cell r="I1647" t="str">
            <v>Tiya</v>
          </cell>
          <cell r="J1647"/>
          <cell r="K1647" t="str">
            <v>KU</v>
          </cell>
          <cell r="L1647" t="str">
            <v>BUKI01</v>
          </cell>
          <cell r="M1647" t="str">
            <v>Bukit Subur, UD</v>
          </cell>
          <cell r="N1647" t="str">
            <v>Putu Didik Purna</v>
          </cell>
          <cell r="O1647" t="str">
            <v>Banjar Dinas Sekar, RT.007/RW.000 Kel. Banjar, Kec. Banjar</v>
          </cell>
          <cell r="P1647" t="str">
            <v>Bali</v>
          </cell>
          <cell r="Q1647" t="str">
            <v>Ds. Banjar Seririt</v>
          </cell>
          <cell r="R1647" t="str">
            <v>Bali</v>
          </cell>
          <cell r="S1647" t="str">
            <v>S Bali1</v>
          </cell>
          <cell r="T1647" t="str">
            <v>Wira</v>
          </cell>
          <cell r="U1647">
            <v>30</v>
          </cell>
        </row>
        <row r="1648">
          <cell r="E1648" t="str">
            <v>B25012664</v>
          </cell>
          <cell r="F1648"/>
          <cell r="G1648">
            <v>1200000000</v>
          </cell>
          <cell r="H1648" t="str">
            <v>Zakia</v>
          </cell>
          <cell r="I1648" t="str">
            <v>Tiya</v>
          </cell>
          <cell r="J1648"/>
          <cell r="K1648" t="str">
            <v>KU</v>
          </cell>
          <cell r="L1648" t="str">
            <v>BUKI01</v>
          </cell>
          <cell r="M1648" t="str">
            <v>Bukit Subur, UD</v>
          </cell>
          <cell r="N1648" t="str">
            <v>Putu Didik Purna</v>
          </cell>
          <cell r="O1648" t="str">
            <v>Banjar Dinas Sekar, RT.007/RW.000 Kel. Banjar, Kec. Banjar</v>
          </cell>
          <cell r="P1648" t="str">
            <v>Bali</v>
          </cell>
          <cell r="Q1648" t="str">
            <v>Ds. Banjar Seririt</v>
          </cell>
          <cell r="R1648" t="str">
            <v>Bali</v>
          </cell>
          <cell r="S1648" t="str">
            <v>S Bali1</v>
          </cell>
          <cell r="T1648" t="str">
            <v>Wira</v>
          </cell>
          <cell r="U1648">
            <v>30</v>
          </cell>
        </row>
        <row r="1649">
          <cell r="E1649" t="str">
            <v>B25012974</v>
          </cell>
          <cell r="F1649"/>
          <cell r="G1649">
            <v>1200000000</v>
          </cell>
          <cell r="H1649" t="str">
            <v>Zakia</v>
          </cell>
          <cell r="I1649" t="str">
            <v>Tiya</v>
          </cell>
          <cell r="J1649"/>
          <cell r="K1649" t="str">
            <v>KU</v>
          </cell>
          <cell r="L1649" t="str">
            <v>BUKI01</v>
          </cell>
          <cell r="M1649" t="str">
            <v>Bukit Subur, UD</v>
          </cell>
          <cell r="N1649" t="str">
            <v>Putu Didik Purna</v>
          </cell>
          <cell r="O1649" t="str">
            <v>Banjar Dinas Sekar, RT.007/RW.000 Kel. Banjar, Kec. Banjar</v>
          </cell>
          <cell r="P1649" t="str">
            <v>Bali</v>
          </cell>
          <cell r="Q1649" t="str">
            <v>Ds. Banjar Seririt</v>
          </cell>
          <cell r="R1649" t="str">
            <v>Bali</v>
          </cell>
          <cell r="S1649" t="str">
            <v>S Bali1</v>
          </cell>
          <cell r="T1649" t="str">
            <v>Wira</v>
          </cell>
          <cell r="U1649">
            <v>30</v>
          </cell>
        </row>
        <row r="1650">
          <cell r="E1650" t="str">
            <v>D25015298</v>
          </cell>
          <cell r="F1650"/>
          <cell r="G1650">
            <v>1200000000</v>
          </cell>
          <cell r="H1650" t="str">
            <v>Zakia</v>
          </cell>
          <cell r="I1650" t="str">
            <v>Tiya</v>
          </cell>
          <cell r="J1650"/>
          <cell r="K1650" t="str">
            <v>KU</v>
          </cell>
          <cell r="L1650" t="str">
            <v>BUKI01</v>
          </cell>
          <cell r="M1650" t="str">
            <v>Bukit Subur, UD</v>
          </cell>
          <cell r="N1650" t="str">
            <v>Putu Didik Purna</v>
          </cell>
          <cell r="O1650" t="str">
            <v>Banjar Dinas Sekar, RT.007/RW.000 Kel. Banjar, Kec. Banjar</v>
          </cell>
          <cell r="P1650" t="str">
            <v>Bali</v>
          </cell>
          <cell r="Q1650" t="str">
            <v>Ds. Banjar Seririt</v>
          </cell>
          <cell r="R1650" t="str">
            <v>Bali</v>
          </cell>
          <cell r="S1650" t="str">
            <v>S Bali1</v>
          </cell>
          <cell r="T1650" t="str">
            <v>Wira</v>
          </cell>
          <cell r="U1650">
            <v>30</v>
          </cell>
        </row>
        <row r="1651">
          <cell r="E1651" t="str">
            <v>D25015357</v>
          </cell>
          <cell r="F1651"/>
          <cell r="G1651">
            <v>1200000000</v>
          </cell>
          <cell r="H1651" t="str">
            <v>Zakia</v>
          </cell>
          <cell r="I1651" t="str">
            <v>Tiya</v>
          </cell>
          <cell r="J1651"/>
          <cell r="K1651" t="str">
            <v>KU</v>
          </cell>
          <cell r="L1651" t="str">
            <v>BUKI01</v>
          </cell>
          <cell r="M1651" t="str">
            <v>Bukit Subur, UD</v>
          </cell>
          <cell r="N1651" t="str">
            <v>Putu Didik Purna</v>
          </cell>
          <cell r="O1651" t="str">
            <v>Banjar Dinas Sekar, RT.007/RW.000 Kel. Banjar, Kec. Banjar</v>
          </cell>
          <cell r="P1651" t="str">
            <v>Bali</v>
          </cell>
          <cell r="Q1651" t="str">
            <v>Ds. Banjar Seririt</v>
          </cell>
          <cell r="R1651" t="str">
            <v>Bali</v>
          </cell>
          <cell r="S1651" t="str">
            <v>S Bali1</v>
          </cell>
          <cell r="T1651" t="str">
            <v>Wira</v>
          </cell>
          <cell r="U1651">
            <v>30</v>
          </cell>
        </row>
        <row r="1652">
          <cell r="E1652" t="str">
            <v>B25013231</v>
          </cell>
          <cell r="F1652"/>
          <cell r="G1652">
            <v>1200000000</v>
          </cell>
          <cell r="H1652" t="str">
            <v>Zakia</v>
          </cell>
          <cell r="I1652" t="str">
            <v>Tiya</v>
          </cell>
          <cell r="J1652"/>
          <cell r="K1652" t="str">
            <v>KU</v>
          </cell>
          <cell r="L1652" t="str">
            <v>BUKI01</v>
          </cell>
          <cell r="M1652" t="str">
            <v>Bukit Subur, UD</v>
          </cell>
          <cell r="N1652" t="str">
            <v>Putu Didik Purna</v>
          </cell>
          <cell r="O1652" t="str">
            <v>Banjar Dinas Sekar, RT.007/RW.000 Kel. Banjar, Kec. Banjar</v>
          </cell>
          <cell r="P1652" t="str">
            <v>Bali</v>
          </cell>
          <cell r="Q1652" t="str">
            <v>Ds. Banjar Seririt</v>
          </cell>
          <cell r="R1652" t="str">
            <v>Bali</v>
          </cell>
          <cell r="S1652" t="str">
            <v>S Bali1</v>
          </cell>
          <cell r="T1652" t="str">
            <v>Wira</v>
          </cell>
          <cell r="U1652">
            <v>30</v>
          </cell>
        </row>
        <row r="1653">
          <cell r="E1653" t="str">
            <v>D25015927</v>
          </cell>
          <cell r="F1653"/>
          <cell r="G1653">
            <v>1200000000</v>
          </cell>
          <cell r="H1653" t="str">
            <v>Zakia</v>
          </cell>
          <cell r="I1653" t="str">
            <v>Tiya</v>
          </cell>
          <cell r="J1653"/>
          <cell r="K1653" t="str">
            <v>KU</v>
          </cell>
          <cell r="L1653" t="str">
            <v>BUKI01</v>
          </cell>
          <cell r="M1653" t="str">
            <v>Bukit Subur, UD</v>
          </cell>
          <cell r="N1653" t="str">
            <v>Putu Didik Purna</v>
          </cell>
          <cell r="O1653" t="str">
            <v>Banjar Dinas Sekar, RT.007/RW.000 Kel. Banjar, Kec. Banjar</v>
          </cell>
          <cell r="P1653" t="str">
            <v>Bali</v>
          </cell>
          <cell r="Q1653" t="str">
            <v>Ds. Banjar Seririt</v>
          </cell>
          <cell r="R1653" t="str">
            <v>Bali</v>
          </cell>
          <cell r="S1653" t="str">
            <v>S Bali1</v>
          </cell>
          <cell r="T1653" t="str">
            <v>Wira</v>
          </cell>
          <cell r="U1653">
            <v>30</v>
          </cell>
        </row>
        <row r="1654">
          <cell r="E1654" t="str">
            <v>B25013712</v>
          </cell>
          <cell r="F1654"/>
          <cell r="G1654">
            <v>1200000000</v>
          </cell>
          <cell r="H1654" t="str">
            <v>Zakia</v>
          </cell>
          <cell r="I1654" t="str">
            <v>Tiya</v>
          </cell>
          <cell r="J1654"/>
          <cell r="K1654" t="str">
            <v>KU</v>
          </cell>
          <cell r="L1654" t="str">
            <v>BUKI01</v>
          </cell>
          <cell r="M1654" t="str">
            <v>Bukit Subur, UD</v>
          </cell>
          <cell r="N1654" t="str">
            <v>Putu Didik Purna</v>
          </cell>
          <cell r="O1654" t="str">
            <v>Banjar Dinas Sekar, RT.007/RW.000 Kel. Banjar, Kec. Banjar</v>
          </cell>
          <cell r="P1654" t="str">
            <v>Bali</v>
          </cell>
          <cell r="Q1654" t="str">
            <v>Ds. Banjar Seririt</v>
          </cell>
          <cell r="R1654" t="str">
            <v>Bali</v>
          </cell>
          <cell r="S1654" t="str">
            <v>S Bali1</v>
          </cell>
          <cell r="T1654" t="str">
            <v>Wira</v>
          </cell>
          <cell r="U1654">
            <v>30</v>
          </cell>
        </row>
        <row r="1655">
          <cell r="E1655" t="str">
            <v>B25013713</v>
          </cell>
          <cell r="F1655"/>
          <cell r="G1655">
            <v>1200000000</v>
          </cell>
          <cell r="H1655" t="str">
            <v>Zakia</v>
          </cell>
          <cell r="I1655" t="str">
            <v>Tiya</v>
          </cell>
          <cell r="J1655"/>
          <cell r="K1655" t="str">
            <v>KU</v>
          </cell>
          <cell r="L1655" t="str">
            <v>BUKI01</v>
          </cell>
          <cell r="M1655" t="str">
            <v>Bukit Subur, UD</v>
          </cell>
          <cell r="N1655" t="str">
            <v>Putu Didik Purna</v>
          </cell>
          <cell r="O1655" t="str">
            <v>Banjar Dinas Sekar, RT.007/RW.000 Kel. Banjar, Kec. Banjar</v>
          </cell>
          <cell r="P1655" t="str">
            <v>Bali</v>
          </cell>
          <cell r="Q1655" t="str">
            <v>Ds. Banjar Seririt</v>
          </cell>
          <cell r="R1655" t="str">
            <v>Bali</v>
          </cell>
          <cell r="S1655" t="str">
            <v>S Bali1</v>
          </cell>
          <cell r="T1655" t="str">
            <v>Wira</v>
          </cell>
          <cell r="U1655">
            <v>30</v>
          </cell>
        </row>
        <row r="1656">
          <cell r="E1656" t="str">
            <v>B25013931</v>
          </cell>
          <cell r="F1656"/>
          <cell r="G1656">
            <v>1200000000</v>
          </cell>
          <cell r="H1656" t="str">
            <v>Zakia</v>
          </cell>
          <cell r="I1656" t="str">
            <v>Tiya</v>
          </cell>
          <cell r="J1656"/>
          <cell r="K1656" t="str">
            <v>KU</v>
          </cell>
          <cell r="L1656" t="str">
            <v>BUKI01</v>
          </cell>
          <cell r="M1656" t="str">
            <v>Bukit Subur, UD</v>
          </cell>
          <cell r="N1656" t="str">
            <v>Putu Didik Purna</v>
          </cell>
          <cell r="O1656" t="str">
            <v>Banjar Dinas Sekar, RT.007/RW.000 Kel. Banjar, Kec. Banjar</v>
          </cell>
          <cell r="P1656" t="str">
            <v>Bali</v>
          </cell>
          <cell r="Q1656" t="str">
            <v>Ds. Banjar Seririt</v>
          </cell>
          <cell r="R1656" t="str">
            <v>Bali</v>
          </cell>
          <cell r="S1656" t="str">
            <v>S Bali1</v>
          </cell>
          <cell r="T1656" t="str">
            <v>Wira</v>
          </cell>
          <cell r="U1656">
            <v>30</v>
          </cell>
        </row>
        <row r="1657">
          <cell r="E1657" t="str">
            <v>D25012329</v>
          </cell>
          <cell r="F1657"/>
          <cell r="G1657">
            <v>1000</v>
          </cell>
          <cell r="H1657" t="str">
            <v>Zakia</v>
          </cell>
          <cell r="I1657" t="str">
            <v>Tiya</v>
          </cell>
          <cell r="J1657" t="str">
            <v>New 14/10/24</v>
          </cell>
          <cell r="K1657" t="str">
            <v>KU</v>
          </cell>
          <cell r="L1657" t="str">
            <v>BUKI02</v>
          </cell>
          <cell r="M1657" t="str">
            <v>Bukit Subur, UD II</v>
          </cell>
          <cell r="N1657" t="str">
            <v>Komang Reni Trianingsih</v>
          </cell>
          <cell r="O1657" t="str">
            <v>Banjar Dinas Sekar, RT.007/RW.000 Kel. Banjar, Kec. Banjar, Kab. Buleleng</v>
          </cell>
          <cell r="P1657" t="str">
            <v>Bali</v>
          </cell>
          <cell r="Q1657" t="str">
            <v>Ds. Banjar Seririt</v>
          </cell>
          <cell r="R1657" t="str">
            <v>Bali</v>
          </cell>
          <cell r="S1657" t="str">
            <v>S Bali1</v>
          </cell>
          <cell r="T1657" t="str">
            <v>Wira</v>
          </cell>
          <cell r="U1657">
            <v>30</v>
          </cell>
        </row>
        <row r="1658">
          <cell r="E1658" t="str">
            <v>D25012500</v>
          </cell>
          <cell r="F1658"/>
          <cell r="G1658">
            <v>1000</v>
          </cell>
          <cell r="H1658" t="str">
            <v>Zakia</v>
          </cell>
          <cell r="I1658" t="str">
            <v>Tiya</v>
          </cell>
          <cell r="J1658" t="str">
            <v>New 14/10/24</v>
          </cell>
          <cell r="K1658" t="str">
            <v>KU</v>
          </cell>
          <cell r="L1658" t="str">
            <v>BUKI02</v>
          </cell>
          <cell r="M1658" t="str">
            <v>Bukit Subur, UD II</v>
          </cell>
          <cell r="N1658" t="str">
            <v>Komang Reni Trianingsih</v>
          </cell>
          <cell r="O1658" t="str">
            <v>Banjar Dinas Sekar, RT.007/RW.000 Kel. Banjar, Kec. Banjar, Kab. Buleleng</v>
          </cell>
          <cell r="P1658" t="str">
            <v>Bali</v>
          </cell>
          <cell r="Q1658" t="str">
            <v>Ds. Banjar Seririt</v>
          </cell>
          <cell r="R1658" t="str">
            <v>Bali</v>
          </cell>
          <cell r="S1658" t="str">
            <v>S Bali1</v>
          </cell>
          <cell r="T1658" t="str">
            <v>Wira</v>
          </cell>
          <cell r="U1658">
            <v>30</v>
          </cell>
        </row>
        <row r="1659">
          <cell r="E1659" t="str">
            <v>D25013529</v>
          </cell>
          <cell r="F1659"/>
          <cell r="G1659">
            <v>1000</v>
          </cell>
          <cell r="H1659" t="str">
            <v>Zakia</v>
          </cell>
          <cell r="I1659" t="str">
            <v>Tiya</v>
          </cell>
          <cell r="J1659" t="str">
            <v>New 14/10/24</v>
          </cell>
          <cell r="K1659" t="str">
            <v>KU</v>
          </cell>
          <cell r="L1659" t="str">
            <v>BUKI02</v>
          </cell>
          <cell r="M1659" t="str">
            <v>Bukit Subur, UD II</v>
          </cell>
          <cell r="N1659" t="str">
            <v>Komang Reni Trianingsih</v>
          </cell>
          <cell r="O1659" t="str">
            <v>Banjar Dinas Sekar, RT.007/RW.000 Kel. Banjar, Kec. Banjar, Kab. Buleleng</v>
          </cell>
          <cell r="P1659" t="str">
            <v>Bali</v>
          </cell>
          <cell r="Q1659" t="str">
            <v>Ds. Banjar Seririt</v>
          </cell>
          <cell r="R1659" t="str">
            <v>Bali</v>
          </cell>
          <cell r="S1659" t="str">
            <v>S Bali1</v>
          </cell>
          <cell r="T1659" t="str">
            <v>Wira</v>
          </cell>
          <cell r="U1659">
            <v>30</v>
          </cell>
        </row>
        <row r="1660">
          <cell r="E1660" t="str">
            <v>D25013837</v>
          </cell>
          <cell r="F1660"/>
          <cell r="G1660">
            <v>1000</v>
          </cell>
          <cell r="H1660" t="str">
            <v>Zakia</v>
          </cell>
          <cell r="I1660" t="str">
            <v>Tiya</v>
          </cell>
          <cell r="J1660" t="str">
            <v>New 14/10/24</v>
          </cell>
          <cell r="K1660" t="str">
            <v>KU</v>
          </cell>
          <cell r="L1660" t="str">
            <v>BUKI02</v>
          </cell>
          <cell r="M1660" t="str">
            <v>Bukit Subur, UD II</v>
          </cell>
          <cell r="N1660" t="str">
            <v>Komang Reni Trianingsih</v>
          </cell>
          <cell r="O1660" t="str">
            <v>Banjar Dinas Sekar, RT.007/RW.000 Kel. Banjar, Kec. Banjar, Kab. Buleleng</v>
          </cell>
          <cell r="P1660" t="str">
            <v>Bali</v>
          </cell>
          <cell r="Q1660" t="str">
            <v>Ds. Banjar Seririt</v>
          </cell>
          <cell r="R1660" t="str">
            <v>Bali</v>
          </cell>
          <cell r="S1660" t="str">
            <v>S Bali1</v>
          </cell>
          <cell r="T1660" t="str">
            <v>Wira</v>
          </cell>
          <cell r="U1660">
            <v>30</v>
          </cell>
        </row>
        <row r="1661">
          <cell r="E1661" t="str">
            <v>D25014784</v>
          </cell>
          <cell r="F1661"/>
          <cell r="G1661">
            <v>1000</v>
          </cell>
          <cell r="H1661" t="str">
            <v>Zakia</v>
          </cell>
          <cell r="I1661" t="str">
            <v>Tiya</v>
          </cell>
          <cell r="J1661" t="str">
            <v>New 14/10/24</v>
          </cell>
          <cell r="K1661" t="str">
            <v>KU</v>
          </cell>
          <cell r="L1661" t="str">
            <v>BUKI02</v>
          </cell>
          <cell r="M1661" t="str">
            <v>Bukit Subur, UD II</v>
          </cell>
          <cell r="N1661" t="str">
            <v>Komang Reni Trianingsih</v>
          </cell>
          <cell r="O1661" t="str">
            <v>Banjar Dinas Sekar, RT.007/RW.000 Kel. Banjar, Kec. Banjar, Kab. Buleleng</v>
          </cell>
          <cell r="P1661" t="str">
            <v>Bali</v>
          </cell>
          <cell r="Q1661" t="str">
            <v>Ds. Banjar Seririt</v>
          </cell>
          <cell r="R1661" t="str">
            <v>Bali</v>
          </cell>
          <cell r="S1661" t="str">
            <v>S Bali1</v>
          </cell>
          <cell r="T1661" t="str">
            <v>Wira</v>
          </cell>
          <cell r="U1661">
            <v>30</v>
          </cell>
        </row>
        <row r="1662">
          <cell r="E1662" t="str">
            <v>D25015054</v>
          </cell>
          <cell r="F1662"/>
          <cell r="G1662">
            <v>1000</v>
          </cell>
          <cell r="H1662" t="str">
            <v>Zakia</v>
          </cell>
          <cell r="I1662" t="str">
            <v>Tiya</v>
          </cell>
          <cell r="J1662" t="str">
            <v>New 14/10/24</v>
          </cell>
          <cell r="K1662" t="str">
            <v>KU</v>
          </cell>
          <cell r="L1662" t="str">
            <v>BUKI02</v>
          </cell>
          <cell r="M1662" t="str">
            <v>Bukit Subur, UD II</v>
          </cell>
          <cell r="N1662" t="str">
            <v>Komang Reni Trianingsih</v>
          </cell>
          <cell r="O1662" t="str">
            <v>Banjar Dinas Sekar, RT.007/RW.000 Kel. Banjar, Kec. Banjar, Kab. Buleleng</v>
          </cell>
          <cell r="P1662" t="str">
            <v>Bali</v>
          </cell>
          <cell r="Q1662" t="str">
            <v>Ds. Banjar Seririt</v>
          </cell>
          <cell r="R1662" t="str">
            <v>Bali</v>
          </cell>
          <cell r="S1662" t="str">
            <v>S Bali1</v>
          </cell>
          <cell r="T1662" t="str">
            <v>Wira</v>
          </cell>
          <cell r="U1662">
            <v>60</v>
          </cell>
        </row>
        <row r="1663">
          <cell r="E1663" t="str">
            <v>B25013328</v>
          </cell>
          <cell r="F1663"/>
          <cell r="G1663">
            <v>1000</v>
          </cell>
          <cell r="H1663" t="str">
            <v>Zakia</v>
          </cell>
          <cell r="I1663" t="str">
            <v>Tiya</v>
          </cell>
          <cell r="J1663" t="str">
            <v>New 14/10/24</v>
          </cell>
          <cell r="K1663" t="str">
            <v>KU</v>
          </cell>
          <cell r="L1663" t="str">
            <v>BUKI02</v>
          </cell>
          <cell r="M1663" t="str">
            <v>Bukit Subur, UD II</v>
          </cell>
          <cell r="N1663" t="str">
            <v>Komang Reni Trianingsih</v>
          </cell>
          <cell r="O1663" t="str">
            <v>Banjar Dinas Sekar, RT.007/RW.000 Kel. Banjar, Kec. Banjar, Kab. Buleleng</v>
          </cell>
          <cell r="P1663" t="str">
            <v>Bali</v>
          </cell>
          <cell r="Q1663" t="str">
            <v>Ds. Banjar Seririt</v>
          </cell>
          <cell r="R1663" t="str">
            <v>Bali</v>
          </cell>
          <cell r="S1663" t="str">
            <v>S Bali1</v>
          </cell>
          <cell r="T1663" t="str">
            <v>Wira</v>
          </cell>
          <cell r="U1663">
            <v>30</v>
          </cell>
        </row>
        <row r="1664">
          <cell r="E1664" t="str">
            <v>B25013741</v>
          </cell>
          <cell r="F1664"/>
          <cell r="G1664">
            <v>1000</v>
          </cell>
          <cell r="H1664" t="str">
            <v>Zakia</v>
          </cell>
          <cell r="I1664" t="str">
            <v>Tiya</v>
          </cell>
          <cell r="J1664" t="str">
            <v>New 14/10/24</v>
          </cell>
          <cell r="K1664" t="str">
            <v>KU</v>
          </cell>
          <cell r="L1664" t="str">
            <v>BUKI02</v>
          </cell>
          <cell r="M1664" t="str">
            <v>Bukit Subur, UD II</v>
          </cell>
          <cell r="N1664" t="str">
            <v>Komang Reni Trianingsih</v>
          </cell>
          <cell r="O1664" t="str">
            <v>Banjar Dinas Sekar, RT.007/RW.000 Kel. Banjar, Kec. Banjar, Kab. Buleleng</v>
          </cell>
          <cell r="P1664" t="str">
            <v>Bali</v>
          </cell>
          <cell r="Q1664" t="str">
            <v>Ds. Banjar Seririt</v>
          </cell>
          <cell r="R1664" t="str">
            <v>Bali</v>
          </cell>
          <cell r="S1664" t="str">
            <v>S Bali1</v>
          </cell>
          <cell r="T1664" t="str">
            <v>Wira</v>
          </cell>
          <cell r="U1664">
            <v>30</v>
          </cell>
        </row>
        <row r="1665">
          <cell r="E1665" t="str">
            <v>D25016212</v>
          </cell>
          <cell r="F1665"/>
          <cell r="G1665">
            <v>1000</v>
          </cell>
          <cell r="H1665" t="str">
            <v>Zakia</v>
          </cell>
          <cell r="I1665" t="str">
            <v>Tiya</v>
          </cell>
          <cell r="J1665" t="str">
            <v>New 14/10/24</v>
          </cell>
          <cell r="K1665" t="str">
            <v>KU</v>
          </cell>
          <cell r="L1665" t="str">
            <v>BUKI02</v>
          </cell>
          <cell r="M1665" t="str">
            <v>Bukit Subur, UD II</v>
          </cell>
          <cell r="N1665" t="str">
            <v>Komang Reni Trianingsih</v>
          </cell>
          <cell r="O1665" t="str">
            <v>Banjar Dinas Sekar, RT.007/RW.000 Kel. Banjar, Kec. Banjar, Kab. Buleleng</v>
          </cell>
          <cell r="P1665" t="str">
            <v>Bali</v>
          </cell>
          <cell r="Q1665" t="str">
            <v>Ds. Banjar Seririt</v>
          </cell>
          <cell r="R1665" t="str">
            <v>Bali</v>
          </cell>
          <cell r="S1665" t="str">
            <v>S Bali1</v>
          </cell>
          <cell r="T1665" t="str">
            <v>Wira</v>
          </cell>
          <cell r="U1665">
            <v>30</v>
          </cell>
        </row>
        <row r="1666">
          <cell r="E1666" t="str">
            <v>D25012664</v>
          </cell>
          <cell r="F1666"/>
          <cell r="G1666">
            <v>5000000000</v>
          </cell>
          <cell r="H1666" t="str">
            <v>Ariyani</v>
          </cell>
          <cell r="I1666" t="str">
            <v>Fira</v>
          </cell>
          <cell r="J1666"/>
          <cell r="K1666" t="str">
            <v>KU</v>
          </cell>
          <cell r="L1666" t="str">
            <v>BUMI01</v>
          </cell>
          <cell r="M1666" t="str">
            <v>Bumi Asih, UD/Hasan</v>
          </cell>
          <cell r="N1666" t="str">
            <v>Hasan</v>
          </cell>
          <cell r="O1666" t="str">
            <v>Jl. Argopuro XI No.16, RT.004/RW.004 Ketapang Kademangan</v>
          </cell>
          <cell r="P1666" t="str">
            <v>Probolinggo</v>
          </cell>
          <cell r="Q1666" t="str">
            <v>Jl. Argopuro XI No.16, RT.004/RW.004 Ketapang Kademangan</v>
          </cell>
          <cell r="R1666" t="str">
            <v>Probolinggo</v>
          </cell>
          <cell r="S1666" t="str">
            <v>G Prob1</v>
          </cell>
          <cell r="T1666" t="str">
            <v>Wira</v>
          </cell>
          <cell r="U1666">
            <v>30</v>
          </cell>
        </row>
        <row r="1667">
          <cell r="E1667" t="str">
            <v>B25010904</v>
          </cell>
          <cell r="F1667"/>
          <cell r="G1667">
            <v>5000000000</v>
          </cell>
          <cell r="H1667" t="str">
            <v>Ariyani</v>
          </cell>
          <cell r="I1667" t="str">
            <v>Fira</v>
          </cell>
          <cell r="J1667"/>
          <cell r="K1667" t="str">
            <v>KU</v>
          </cell>
          <cell r="L1667" t="str">
            <v>BUMI01</v>
          </cell>
          <cell r="M1667" t="str">
            <v>Bumi Asih, UD/Hasan</v>
          </cell>
          <cell r="N1667" t="str">
            <v>Hasan</v>
          </cell>
          <cell r="O1667" t="str">
            <v>Jl. Argopuro XI No.16, RT.004/RW.004 Ketapang Kademangan</v>
          </cell>
          <cell r="P1667" t="str">
            <v>Probolinggo</v>
          </cell>
          <cell r="Q1667" t="str">
            <v>Jl. Argopuro XI No.16, RT.004/RW.004 Ketapang Kademangan</v>
          </cell>
          <cell r="R1667" t="str">
            <v>Probolinggo</v>
          </cell>
          <cell r="S1667" t="str">
            <v>G Prob1</v>
          </cell>
          <cell r="T1667" t="str">
            <v>Wira</v>
          </cell>
          <cell r="U1667">
            <v>30</v>
          </cell>
        </row>
        <row r="1668">
          <cell r="E1668" t="str">
            <v>B25010904</v>
          </cell>
          <cell r="F1668"/>
          <cell r="G1668">
            <v>5000000000</v>
          </cell>
          <cell r="H1668" t="str">
            <v>Ariyani</v>
          </cell>
          <cell r="I1668" t="str">
            <v>Fira</v>
          </cell>
          <cell r="J1668"/>
          <cell r="K1668" t="str">
            <v>KU</v>
          </cell>
          <cell r="L1668" t="str">
            <v>BUMI01</v>
          </cell>
          <cell r="M1668" t="str">
            <v>Bumi Asih, UD/Hasan</v>
          </cell>
          <cell r="N1668" t="str">
            <v>Hasan</v>
          </cell>
          <cell r="O1668" t="str">
            <v>Jl. Argopuro XI No.16, RT.004/RW.004 Ketapang Kademangan</v>
          </cell>
          <cell r="P1668" t="str">
            <v>Probolinggo</v>
          </cell>
          <cell r="Q1668" t="str">
            <v>Jl. Argopuro XI No.16, RT.004/RW.004 Ketapang Kademangan</v>
          </cell>
          <cell r="R1668" t="str">
            <v>Probolinggo</v>
          </cell>
          <cell r="S1668" t="str">
            <v>G Prob1</v>
          </cell>
          <cell r="T1668" t="str">
            <v>Wira</v>
          </cell>
          <cell r="U1668">
            <v>30</v>
          </cell>
        </row>
        <row r="1669">
          <cell r="E1669" t="str">
            <v>B25010989</v>
          </cell>
          <cell r="F1669"/>
          <cell r="G1669">
            <v>5000000000</v>
          </cell>
          <cell r="H1669" t="str">
            <v>Ariyani</v>
          </cell>
          <cell r="I1669" t="str">
            <v>Fira</v>
          </cell>
          <cell r="J1669"/>
          <cell r="K1669" t="str">
            <v>KU</v>
          </cell>
          <cell r="L1669" t="str">
            <v>BUMI01</v>
          </cell>
          <cell r="M1669" t="str">
            <v>Bumi Asih, UD/Hasan</v>
          </cell>
          <cell r="N1669" t="str">
            <v>Hasan</v>
          </cell>
          <cell r="O1669" t="str">
            <v>Jl. Argopuro XI No.16, RT.004/RW.004 Ketapang Kademangan</v>
          </cell>
          <cell r="P1669" t="str">
            <v>Probolinggo</v>
          </cell>
          <cell r="Q1669" t="str">
            <v>Jl. Argopuro XI No.16, RT.004/RW.004 Ketapang Kademangan</v>
          </cell>
          <cell r="R1669" t="str">
            <v>Probolinggo</v>
          </cell>
          <cell r="S1669" t="str">
            <v>G Prob1</v>
          </cell>
          <cell r="T1669" t="str">
            <v>Wira</v>
          </cell>
          <cell r="U1669">
            <v>30</v>
          </cell>
        </row>
        <row r="1670">
          <cell r="E1670" t="str">
            <v>D25013298</v>
          </cell>
          <cell r="F1670"/>
          <cell r="G1670">
            <v>5000000000</v>
          </cell>
          <cell r="H1670" t="str">
            <v>Ariyani</v>
          </cell>
          <cell r="I1670" t="str">
            <v>Fira</v>
          </cell>
          <cell r="J1670"/>
          <cell r="K1670" t="str">
            <v>KU</v>
          </cell>
          <cell r="L1670" t="str">
            <v>BUMI01</v>
          </cell>
          <cell r="M1670" t="str">
            <v>Bumi Asih, UD/Hasan</v>
          </cell>
          <cell r="N1670" t="str">
            <v>Hasan</v>
          </cell>
          <cell r="O1670" t="str">
            <v>Jl. Argopuro XI No.16, RT.004/RW.004 Ketapang Kademangan</v>
          </cell>
          <cell r="P1670" t="str">
            <v>Probolinggo</v>
          </cell>
          <cell r="Q1670" t="str">
            <v>Jl. Argopuro XI No.16, RT.004/RW.004 Ketapang Kademangan</v>
          </cell>
          <cell r="R1670" t="str">
            <v>Probolinggo</v>
          </cell>
          <cell r="S1670" t="str">
            <v>G Prob1</v>
          </cell>
          <cell r="T1670" t="str">
            <v>Wira</v>
          </cell>
          <cell r="U1670">
            <v>30</v>
          </cell>
        </row>
        <row r="1671">
          <cell r="E1671" t="str">
            <v>B25011197</v>
          </cell>
          <cell r="F1671"/>
          <cell r="G1671">
            <v>5000000000</v>
          </cell>
          <cell r="H1671" t="str">
            <v>Ariyani</v>
          </cell>
          <cell r="I1671" t="str">
            <v>Fira</v>
          </cell>
          <cell r="J1671"/>
          <cell r="K1671" t="str">
            <v>KU</v>
          </cell>
          <cell r="L1671" t="str">
            <v>BUMI01</v>
          </cell>
          <cell r="M1671" t="str">
            <v>Bumi Asih, UD/Hasan</v>
          </cell>
          <cell r="N1671" t="str">
            <v>Hasan</v>
          </cell>
          <cell r="O1671" t="str">
            <v>Jl. Argopuro XI No.16, RT.004/RW.004 Ketapang Kademangan</v>
          </cell>
          <cell r="P1671" t="str">
            <v>Probolinggo</v>
          </cell>
          <cell r="Q1671" t="str">
            <v>Jl. Argopuro XI No.16, RT.004/RW.004 Ketapang Kademangan</v>
          </cell>
          <cell r="R1671" t="str">
            <v>Probolinggo</v>
          </cell>
          <cell r="S1671" t="str">
            <v>G Prob1</v>
          </cell>
          <cell r="T1671" t="str">
            <v>Wira</v>
          </cell>
          <cell r="U1671">
            <v>30</v>
          </cell>
        </row>
        <row r="1672">
          <cell r="E1672" t="str">
            <v>D25013505</v>
          </cell>
          <cell r="F1672"/>
          <cell r="G1672">
            <v>5000000000</v>
          </cell>
          <cell r="H1672" t="str">
            <v>Ariyani</v>
          </cell>
          <cell r="I1672" t="str">
            <v>Fira</v>
          </cell>
          <cell r="J1672"/>
          <cell r="K1672" t="str">
            <v>KU</v>
          </cell>
          <cell r="L1672" t="str">
            <v>BUMI01</v>
          </cell>
          <cell r="M1672" t="str">
            <v>Bumi Asih, UD/Hasan</v>
          </cell>
          <cell r="N1672" t="str">
            <v>Hasan</v>
          </cell>
          <cell r="O1672" t="str">
            <v>Jl. Argopuro XI No.16, RT.004/RW.004 Ketapang Kademangan</v>
          </cell>
          <cell r="P1672" t="str">
            <v>Probolinggo</v>
          </cell>
          <cell r="Q1672" t="str">
            <v>Jl. Argopuro XI No.16, RT.004/RW.004 Ketapang Kademangan</v>
          </cell>
          <cell r="R1672" t="str">
            <v>Probolinggo</v>
          </cell>
          <cell r="S1672" t="str">
            <v>G Prob1</v>
          </cell>
          <cell r="T1672" t="str">
            <v>Wira</v>
          </cell>
          <cell r="U1672">
            <v>30</v>
          </cell>
        </row>
        <row r="1673">
          <cell r="E1673" t="str">
            <v>B25011506</v>
          </cell>
          <cell r="F1673"/>
          <cell r="G1673">
            <v>5000000000</v>
          </cell>
          <cell r="H1673" t="str">
            <v>Ariyani</v>
          </cell>
          <cell r="I1673" t="str">
            <v>Fira</v>
          </cell>
          <cell r="J1673"/>
          <cell r="K1673" t="str">
            <v>KU</v>
          </cell>
          <cell r="L1673" t="str">
            <v>BUMI01</v>
          </cell>
          <cell r="M1673" t="str">
            <v>Bumi Asih, UD/Hasan</v>
          </cell>
          <cell r="N1673" t="str">
            <v>Hasan</v>
          </cell>
          <cell r="O1673" t="str">
            <v>Jl. Argopuro XI No.16, RT.004/RW.004 Ketapang Kademangan</v>
          </cell>
          <cell r="P1673" t="str">
            <v>Probolinggo</v>
          </cell>
          <cell r="Q1673" t="str">
            <v>Jl. Argopuro XI No.16, RT.004/RW.004 Ketapang Kademangan</v>
          </cell>
          <cell r="R1673" t="str">
            <v>Probolinggo</v>
          </cell>
          <cell r="S1673" t="str">
            <v>G Prob1</v>
          </cell>
          <cell r="T1673" t="str">
            <v>Wira</v>
          </cell>
          <cell r="U1673">
            <v>30</v>
          </cell>
        </row>
        <row r="1674">
          <cell r="E1674" t="str">
            <v>B25011507</v>
          </cell>
          <cell r="F1674"/>
          <cell r="G1674">
            <v>5000000000</v>
          </cell>
          <cell r="H1674" t="str">
            <v>Ariyani</v>
          </cell>
          <cell r="I1674" t="str">
            <v>Fira</v>
          </cell>
          <cell r="J1674"/>
          <cell r="K1674" t="str">
            <v>KU</v>
          </cell>
          <cell r="L1674" t="str">
            <v>BUMI01</v>
          </cell>
          <cell r="M1674" t="str">
            <v>Bumi Asih, UD/Hasan</v>
          </cell>
          <cell r="N1674" t="str">
            <v>Hasan</v>
          </cell>
          <cell r="O1674" t="str">
            <v>Jl. Argopuro XI No.16, RT.004/RW.004 Ketapang Kademangan</v>
          </cell>
          <cell r="P1674" t="str">
            <v>Probolinggo</v>
          </cell>
          <cell r="Q1674" t="str">
            <v>Jl. Argopuro XI No.16, RT.004/RW.004 Ketapang Kademangan</v>
          </cell>
          <cell r="R1674" t="str">
            <v>Probolinggo</v>
          </cell>
          <cell r="S1674" t="str">
            <v>G Prob1</v>
          </cell>
          <cell r="T1674" t="str">
            <v>Wira</v>
          </cell>
          <cell r="U1674">
            <v>30</v>
          </cell>
        </row>
        <row r="1675">
          <cell r="E1675" t="str">
            <v>B25011530</v>
          </cell>
          <cell r="F1675"/>
          <cell r="G1675">
            <v>5000000000</v>
          </cell>
          <cell r="H1675" t="str">
            <v>Ariyani</v>
          </cell>
          <cell r="I1675" t="str">
            <v>Fira</v>
          </cell>
          <cell r="J1675"/>
          <cell r="K1675" t="str">
            <v>KU</v>
          </cell>
          <cell r="L1675" t="str">
            <v>BUMI01</v>
          </cell>
          <cell r="M1675" t="str">
            <v>Bumi Asih, UD/Hasan</v>
          </cell>
          <cell r="N1675" t="str">
            <v>Hasan</v>
          </cell>
          <cell r="O1675" t="str">
            <v>Jl. Argopuro XI No.16, RT.004/RW.004 Ketapang Kademangan</v>
          </cell>
          <cell r="P1675" t="str">
            <v>Probolinggo</v>
          </cell>
          <cell r="Q1675" t="str">
            <v>Jl. Argopuro XI No.16, RT.004/RW.004 Ketapang Kademangan</v>
          </cell>
          <cell r="R1675" t="str">
            <v>Probolinggo</v>
          </cell>
          <cell r="S1675" t="str">
            <v>G Prob1</v>
          </cell>
          <cell r="T1675" t="str">
            <v>Wira</v>
          </cell>
          <cell r="U1675">
            <v>30</v>
          </cell>
        </row>
        <row r="1676">
          <cell r="E1676" t="str">
            <v>B25011743</v>
          </cell>
          <cell r="F1676"/>
          <cell r="G1676">
            <v>5000000000</v>
          </cell>
          <cell r="H1676" t="str">
            <v>Ariyani</v>
          </cell>
          <cell r="I1676" t="str">
            <v>Fira</v>
          </cell>
          <cell r="J1676"/>
          <cell r="K1676" t="str">
            <v>KU</v>
          </cell>
          <cell r="L1676" t="str">
            <v>BUMI01</v>
          </cell>
          <cell r="M1676" t="str">
            <v>Bumi Asih, UD/Hasan</v>
          </cell>
          <cell r="N1676" t="str">
            <v>Hasan</v>
          </cell>
          <cell r="O1676" t="str">
            <v>Jl. Argopuro XI No.16, RT.004/RW.004 Ketapang Kademangan</v>
          </cell>
          <cell r="P1676" t="str">
            <v>Probolinggo</v>
          </cell>
          <cell r="Q1676" t="str">
            <v>Jl. Argopuro XI No.16, RT.004/RW.004 Ketapang Kademangan</v>
          </cell>
          <cell r="R1676" t="str">
            <v>Probolinggo</v>
          </cell>
          <cell r="S1676" t="str">
            <v>G Prob1</v>
          </cell>
          <cell r="T1676" t="str">
            <v>Wira</v>
          </cell>
          <cell r="U1676">
            <v>30</v>
          </cell>
        </row>
        <row r="1677">
          <cell r="E1677" t="str">
            <v>D25014182</v>
          </cell>
          <cell r="F1677"/>
          <cell r="G1677">
            <v>5000000000</v>
          </cell>
          <cell r="H1677" t="str">
            <v>Ariyani</v>
          </cell>
          <cell r="I1677" t="str">
            <v>Fira</v>
          </cell>
          <cell r="J1677"/>
          <cell r="K1677" t="str">
            <v>KU</v>
          </cell>
          <cell r="L1677" t="str">
            <v>BUMI01</v>
          </cell>
          <cell r="M1677" t="str">
            <v>Bumi Asih, UD/Hasan</v>
          </cell>
          <cell r="N1677" t="str">
            <v>Hasan</v>
          </cell>
          <cell r="O1677" t="str">
            <v>Jl. Argopuro XI No.16, RT.004/RW.004 Ketapang Kademangan</v>
          </cell>
          <cell r="P1677" t="str">
            <v>Probolinggo</v>
          </cell>
          <cell r="Q1677" t="str">
            <v>Jl. Argopuro XI No.16, RT.004/RW.004 Ketapang Kademangan</v>
          </cell>
          <cell r="R1677" t="str">
            <v>Probolinggo</v>
          </cell>
          <cell r="S1677" t="str">
            <v>G Prob1</v>
          </cell>
          <cell r="T1677" t="str">
            <v>Wira</v>
          </cell>
          <cell r="U1677">
            <v>30</v>
          </cell>
        </row>
        <row r="1678">
          <cell r="E1678" t="str">
            <v>D25014207</v>
          </cell>
          <cell r="F1678"/>
          <cell r="G1678">
            <v>5000000000</v>
          </cell>
          <cell r="H1678" t="str">
            <v>Ariyani</v>
          </cell>
          <cell r="I1678" t="str">
            <v>Fira</v>
          </cell>
          <cell r="J1678"/>
          <cell r="K1678" t="str">
            <v>KU</v>
          </cell>
          <cell r="L1678" t="str">
            <v>BUMI01</v>
          </cell>
          <cell r="M1678" t="str">
            <v>Bumi Asih, UD/Hasan</v>
          </cell>
          <cell r="N1678" t="str">
            <v>Hasan</v>
          </cell>
          <cell r="O1678" t="str">
            <v>Jl. Argopuro XI No.16, RT.004/RW.004 Ketapang Kademangan</v>
          </cell>
          <cell r="P1678" t="str">
            <v>Probolinggo</v>
          </cell>
          <cell r="Q1678" t="str">
            <v>Jl. Argopuro XI No.16, RT.004/RW.004 Ketapang Kademangan</v>
          </cell>
          <cell r="R1678" t="str">
            <v>Probolinggo</v>
          </cell>
          <cell r="S1678" t="str">
            <v>G Prob1</v>
          </cell>
          <cell r="T1678" t="str">
            <v>Wira</v>
          </cell>
          <cell r="U1678">
            <v>30</v>
          </cell>
        </row>
        <row r="1679">
          <cell r="E1679" t="str">
            <v>B25012256</v>
          </cell>
          <cell r="F1679"/>
          <cell r="G1679">
            <v>5000000000</v>
          </cell>
          <cell r="H1679" t="str">
            <v>Ariyani</v>
          </cell>
          <cell r="I1679" t="str">
            <v>Fira</v>
          </cell>
          <cell r="J1679"/>
          <cell r="K1679" t="str">
            <v>KU</v>
          </cell>
          <cell r="L1679" t="str">
            <v>BUMI01</v>
          </cell>
          <cell r="M1679" t="str">
            <v>Bumi Asih, UD/Hasan</v>
          </cell>
          <cell r="N1679" t="str">
            <v>Hasan</v>
          </cell>
          <cell r="O1679" t="str">
            <v>Jl. Argopuro XI No.16, RT.004/RW.004 Ketapang Kademangan</v>
          </cell>
          <cell r="P1679" t="str">
            <v>Probolinggo</v>
          </cell>
          <cell r="Q1679" t="str">
            <v>Jl. Argopuro XI No.16, RT.004/RW.004 Ketapang Kademangan</v>
          </cell>
          <cell r="R1679" t="str">
            <v>Probolinggo</v>
          </cell>
          <cell r="S1679" t="str">
            <v>G Prob1</v>
          </cell>
          <cell r="T1679" t="str">
            <v>Wira</v>
          </cell>
          <cell r="U1679">
            <v>30</v>
          </cell>
        </row>
        <row r="1680">
          <cell r="E1680" t="str">
            <v>B25012266</v>
          </cell>
          <cell r="F1680"/>
          <cell r="G1680">
            <v>5000000000</v>
          </cell>
          <cell r="H1680" t="str">
            <v>Ariyani</v>
          </cell>
          <cell r="I1680" t="str">
            <v>Fira</v>
          </cell>
          <cell r="J1680"/>
          <cell r="K1680" t="str">
            <v>KU</v>
          </cell>
          <cell r="L1680" t="str">
            <v>BUMI01</v>
          </cell>
          <cell r="M1680" t="str">
            <v>Bumi Asih, UD/Hasan</v>
          </cell>
          <cell r="N1680" t="str">
            <v>Hasan</v>
          </cell>
          <cell r="O1680" t="str">
            <v>Jl. Argopuro XI No.16, RT.004/RW.004 Ketapang Kademangan</v>
          </cell>
          <cell r="P1680" t="str">
            <v>Probolinggo</v>
          </cell>
          <cell r="Q1680" t="str">
            <v>Jl. Argopuro XI No.16, RT.004/RW.004 Ketapang Kademangan</v>
          </cell>
          <cell r="R1680" t="str">
            <v>Probolinggo</v>
          </cell>
          <cell r="S1680" t="str">
            <v>G Prob1</v>
          </cell>
          <cell r="T1680" t="str">
            <v>Wira</v>
          </cell>
          <cell r="U1680">
            <v>30</v>
          </cell>
        </row>
        <row r="1681">
          <cell r="E1681" t="str">
            <v>B25012284</v>
          </cell>
          <cell r="F1681"/>
          <cell r="G1681">
            <v>5000000000</v>
          </cell>
          <cell r="H1681" t="str">
            <v>Ariyani</v>
          </cell>
          <cell r="I1681" t="str">
            <v>Fira</v>
          </cell>
          <cell r="J1681"/>
          <cell r="K1681" t="str">
            <v>KU</v>
          </cell>
          <cell r="L1681" t="str">
            <v>BUMI01</v>
          </cell>
          <cell r="M1681" t="str">
            <v>Bumi Asih, UD/Hasan</v>
          </cell>
          <cell r="N1681" t="str">
            <v>Hasan</v>
          </cell>
          <cell r="O1681" t="str">
            <v>Jl. Argopuro XI No.16, RT.004/RW.004 Ketapang Kademangan</v>
          </cell>
          <cell r="P1681" t="str">
            <v>Probolinggo</v>
          </cell>
          <cell r="Q1681" t="str">
            <v>Jl. Argopuro XI No.16, RT.004/RW.004 Ketapang Kademangan</v>
          </cell>
          <cell r="R1681" t="str">
            <v>Probolinggo</v>
          </cell>
          <cell r="S1681" t="str">
            <v>G Prob1</v>
          </cell>
          <cell r="T1681" t="str">
            <v>Wira</v>
          </cell>
          <cell r="U1681">
            <v>30</v>
          </cell>
        </row>
        <row r="1682">
          <cell r="E1682" t="str">
            <v>B25012348</v>
          </cell>
          <cell r="F1682"/>
          <cell r="G1682">
            <v>5000000000</v>
          </cell>
          <cell r="H1682" t="str">
            <v>Ariyani</v>
          </cell>
          <cell r="I1682" t="str">
            <v>Fira</v>
          </cell>
          <cell r="J1682"/>
          <cell r="K1682" t="str">
            <v>KU</v>
          </cell>
          <cell r="L1682" t="str">
            <v>BUMI01</v>
          </cell>
          <cell r="M1682" t="str">
            <v>Bumi Asih, UD/Hasan</v>
          </cell>
          <cell r="N1682" t="str">
            <v>Hasan</v>
          </cell>
          <cell r="O1682" t="str">
            <v>Jl. Argopuro XI No.16, RT.004/RW.004 Ketapang Kademangan</v>
          </cell>
          <cell r="P1682" t="str">
            <v>Probolinggo</v>
          </cell>
          <cell r="Q1682" t="str">
            <v>Jl. Argopuro XI No.16, RT.004/RW.004 Ketapang Kademangan</v>
          </cell>
          <cell r="R1682" t="str">
            <v>Probolinggo</v>
          </cell>
          <cell r="S1682" t="str">
            <v>G Prob1</v>
          </cell>
          <cell r="T1682" t="str">
            <v>Wira</v>
          </cell>
          <cell r="U1682">
            <v>30</v>
          </cell>
        </row>
        <row r="1683">
          <cell r="E1683" t="str">
            <v>D25014582</v>
          </cell>
          <cell r="F1683"/>
          <cell r="G1683">
            <v>5000000000</v>
          </cell>
          <cell r="H1683" t="str">
            <v>Ariyani</v>
          </cell>
          <cell r="I1683" t="str">
            <v>Fira</v>
          </cell>
          <cell r="J1683"/>
          <cell r="K1683" t="str">
            <v>KU</v>
          </cell>
          <cell r="L1683" t="str">
            <v>BUMI01</v>
          </cell>
          <cell r="M1683" t="str">
            <v>Bumi Asih, UD/Hasan</v>
          </cell>
          <cell r="N1683" t="str">
            <v>Hasan</v>
          </cell>
          <cell r="O1683" t="str">
            <v>Jl. Argopuro XI No.16, RT.004/RW.004 Ketapang Kademangan</v>
          </cell>
          <cell r="P1683" t="str">
            <v>Probolinggo</v>
          </cell>
          <cell r="Q1683" t="str">
            <v>Jl. Argopuro XI No.16, RT.004/RW.004 Ketapang Kademangan</v>
          </cell>
          <cell r="R1683" t="str">
            <v>Probolinggo</v>
          </cell>
          <cell r="S1683" t="str">
            <v>G Prob1</v>
          </cell>
          <cell r="T1683" t="str">
            <v>Wira</v>
          </cell>
          <cell r="U1683">
            <v>0</v>
          </cell>
        </row>
        <row r="1684">
          <cell r="E1684" t="str">
            <v>D25014583</v>
          </cell>
          <cell r="F1684"/>
          <cell r="G1684">
            <v>5000000000</v>
          </cell>
          <cell r="H1684" t="str">
            <v>Ariyani</v>
          </cell>
          <cell r="I1684" t="str">
            <v>Fira</v>
          </cell>
          <cell r="J1684"/>
          <cell r="K1684" t="str">
            <v>KU</v>
          </cell>
          <cell r="L1684" t="str">
            <v>BUMI01</v>
          </cell>
          <cell r="M1684" t="str">
            <v>Bumi Asih, UD/Hasan</v>
          </cell>
          <cell r="N1684" t="str">
            <v>Hasan</v>
          </cell>
          <cell r="O1684" t="str">
            <v>Jl. Argopuro XI No.16, RT.004/RW.004 Ketapang Kademangan</v>
          </cell>
          <cell r="P1684" t="str">
            <v>Probolinggo</v>
          </cell>
          <cell r="Q1684" t="str">
            <v>Jl. Argopuro XI No.16, RT.004/RW.004 Ketapang Kademangan</v>
          </cell>
          <cell r="R1684" t="str">
            <v>Probolinggo</v>
          </cell>
          <cell r="S1684" t="str">
            <v>G Prob1</v>
          </cell>
          <cell r="T1684" t="str">
            <v>Wira</v>
          </cell>
          <cell r="U1684">
            <v>0</v>
          </cell>
        </row>
        <row r="1685">
          <cell r="E1685" t="str">
            <v>D25014583</v>
          </cell>
          <cell r="F1685"/>
          <cell r="G1685">
            <v>5000000000</v>
          </cell>
          <cell r="H1685" t="str">
            <v>Ariyani</v>
          </cell>
          <cell r="I1685" t="str">
            <v>Fira</v>
          </cell>
          <cell r="J1685"/>
          <cell r="K1685" t="str">
            <v>KU</v>
          </cell>
          <cell r="L1685" t="str">
            <v>BUMI01</v>
          </cell>
          <cell r="M1685" t="str">
            <v>Bumi Asih, UD/Hasan</v>
          </cell>
          <cell r="N1685" t="str">
            <v>Hasan</v>
          </cell>
          <cell r="O1685" t="str">
            <v>Jl. Argopuro XI No.16, RT.004/RW.004 Ketapang Kademangan</v>
          </cell>
          <cell r="P1685" t="str">
            <v>Probolinggo</v>
          </cell>
          <cell r="Q1685" t="str">
            <v>Jl. Argopuro XI No.16, RT.004/RW.004 Ketapang Kademangan</v>
          </cell>
          <cell r="R1685" t="str">
            <v>Probolinggo</v>
          </cell>
          <cell r="S1685" t="str">
            <v>G Prob1</v>
          </cell>
          <cell r="T1685" t="str">
            <v>Wira</v>
          </cell>
          <cell r="U1685">
            <v>0</v>
          </cell>
        </row>
        <row r="1686">
          <cell r="E1686" t="str">
            <v>B25012600</v>
          </cell>
          <cell r="F1686"/>
          <cell r="G1686">
            <v>5000000000</v>
          </cell>
          <cell r="H1686" t="str">
            <v>Ariyani</v>
          </cell>
          <cell r="I1686" t="str">
            <v>Fira</v>
          </cell>
          <cell r="J1686"/>
          <cell r="K1686" t="str">
            <v>KU</v>
          </cell>
          <cell r="L1686" t="str">
            <v>BUMI01</v>
          </cell>
          <cell r="M1686" t="str">
            <v>Bumi Asih, UD/Hasan</v>
          </cell>
          <cell r="N1686" t="str">
            <v>Hasan</v>
          </cell>
          <cell r="O1686" t="str">
            <v>Jl. Argopuro XI No.16, RT.004/RW.004 Ketapang Kademangan</v>
          </cell>
          <cell r="P1686" t="str">
            <v>Probolinggo</v>
          </cell>
          <cell r="Q1686" t="str">
            <v>Jl. Argopuro XI No.16, RT.004/RW.004 Ketapang Kademangan</v>
          </cell>
          <cell r="R1686" t="str">
            <v>Probolinggo</v>
          </cell>
          <cell r="S1686" t="str">
            <v>G Prob1</v>
          </cell>
          <cell r="T1686" t="str">
            <v>Wira</v>
          </cell>
          <cell r="U1686">
            <v>0</v>
          </cell>
        </row>
        <row r="1687">
          <cell r="E1687" t="str">
            <v>Z25002521</v>
          </cell>
          <cell r="F1687"/>
          <cell r="G1687">
            <v>5000000000</v>
          </cell>
          <cell r="H1687" t="str">
            <v>Ariyani</v>
          </cell>
          <cell r="I1687" t="str">
            <v>Fira</v>
          </cell>
          <cell r="J1687"/>
          <cell r="K1687" t="str">
            <v>KU</v>
          </cell>
          <cell r="L1687" t="str">
            <v>BUMI01</v>
          </cell>
          <cell r="M1687" t="str">
            <v>Bumi Asih, UD/Hasan</v>
          </cell>
          <cell r="N1687" t="str">
            <v>Hasan</v>
          </cell>
          <cell r="O1687" t="str">
            <v>Jl. Argopuro XI No.16, RT.004/RW.004 Ketapang Kademangan</v>
          </cell>
          <cell r="P1687" t="str">
            <v>Probolinggo</v>
          </cell>
          <cell r="Q1687" t="str">
            <v>Jl. Argopuro XI No.16, RT.004/RW.004 Ketapang Kademangan</v>
          </cell>
          <cell r="R1687" t="str">
            <v>Probolinggo</v>
          </cell>
          <cell r="S1687" t="str">
            <v>G Prob1</v>
          </cell>
          <cell r="T1687" t="str">
            <v>Wira</v>
          </cell>
          <cell r="U1687">
            <v>30</v>
          </cell>
        </row>
        <row r="1688">
          <cell r="E1688" t="str">
            <v>B25012744</v>
          </cell>
          <cell r="F1688"/>
          <cell r="G1688">
            <v>5000000000</v>
          </cell>
          <cell r="H1688" t="str">
            <v>Ariyani</v>
          </cell>
          <cell r="I1688" t="str">
            <v>Fira</v>
          </cell>
          <cell r="J1688"/>
          <cell r="K1688" t="str">
            <v>KU</v>
          </cell>
          <cell r="L1688" t="str">
            <v>BUMI01</v>
          </cell>
          <cell r="M1688" t="str">
            <v>Bumi Asih, UD/Hasan</v>
          </cell>
          <cell r="N1688" t="str">
            <v>Hasan</v>
          </cell>
          <cell r="O1688" t="str">
            <v>Jl. Argopuro XI No.16, RT.004/RW.004 Ketapang Kademangan</v>
          </cell>
          <cell r="P1688" t="str">
            <v>Probolinggo</v>
          </cell>
          <cell r="Q1688" t="str">
            <v>Jl. Argopuro XI No.16, RT.004/RW.004 Ketapang Kademangan</v>
          </cell>
          <cell r="R1688" t="str">
            <v>Probolinggo</v>
          </cell>
          <cell r="S1688" t="str">
            <v>G Prob1</v>
          </cell>
          <cell r="T1688" t="str">
            <v>Wira</v>
          </cell>
          <cell r="U1688">
            <v>30</v>
          </cell>
        </row>
        <row r="1689">
          <cell r="E1689" t="str">
            <v>B25012767</v>
          </cell>
          <cell r="F1689"/>
          <cell r="G1689">
            <v>5000000000</v>
          </cell>
          <cell r="H1689" t="str">
            <v>Ariyani</v>
          </cell>
          <cell r="I1689" t="str">
            <v>Fira</v>
          </cell>
          <cell r="J1689"/>
          <cell r="K1689" t="str">
            <v>KU</v>
          </cell>
          <cell r="L1689" t="str">
            <v>BUMI01</v>
          </cell>
          <cell r="M1689" t="str">
            <v>Bumi Asih, UD/Hasan</v>
          </cell>
          <cell r="N1689" t="str">
            <v>Hasan</v>
          </cell>
          <cell r="O1689" t="str">
            <v>Jl. Argopuro XI No.16, RT.004/RW.004 Ketapang Kademangan</v>
          </cell>
          <cell r="P1689" t="str">
            <v>Probolinggo</v>
          </cell>
          <cell r="Q1689" t="str">
            <v>Jl. Argopuro XI No.16, RT.004/RW.004 Ketapang Kademangan</v>
          </cell>
          <cell r="R1689" t="str">
            <v>Probolinggo</v>
          </cell>
          <cell r="S1689" t="str">
            <v>G Prob1</v>
          </cell>
          <cell r="T1689" t="str">
            <v>Wira</v>
          </cell>
          <cell r="U1689">
            <v>30</v>
          </cell>
        </row>
        <row r="1690">
          <cell r="E1690" t="str">
            <v>B25012812</v>
          </cell>
          <cell r="F1690"/>
          <cell r="G1690">
            <v>5000000000</v>
          </cell>
          <cell r="H1690" t="str">
            <v>Ariyani</v>
          </cell>
          <cell r="I1690" t="str">
            <v>Fira</v>
          </cell>
          <cell r="J1690"/>
          <cell r="K1690" t="str">
            <v>KU</v>
          </cell>
          <cell r="L1690" t="str">
            <v>BUMI01</v>
          </cell>
          <cell r="M1690" t="str">
            <v>Bumi Asih, UD/Hasan</v>
          </cell>
          <cell r="N1690" t="str">
            <v>Hasan</v>
          </cell>
          <cell r="O1690" t="str">
            <v>Jl. Argopuro XI No.16, RT.004/RW.004 Ketapang Kademangan</v>
          </cell>
          <cell r="P1690" t="str">
            <v>Probolinggo</v>
          </cell>
          <cell r="Q1690" t="str">
            <v>Jl. Argopuro XI No.16, RT.004/RW.004 Ketapang Kademangan</v>
          </cell>
          <cell r="R1690" t="str">
            <v>Probolinggo</v>
          </cell>
          <cell r="S1690" t="str">
            <v>G Prob1</v>
          </cell>
          <cell r="T1690" t="str">
            <v>Wira</v>
          </cell>
          <cell r="U1690">
            <v>30</v>
          </cell>
        </row>
        <row r="1691">
          <cell r="E1691" t="str">
            <v>D25015067</v>
          </cell>
          <cell r="F1691"/>
          <cell r="G1691">
            <v>5000000000</v>
          </cell>
          <cell r="H1691" t="str">
            <v>Ariyani</v>
          </cell>
          <cell r="I1691" t="str">
            <v>Fira</v>
          </cell>
          <cell r="J1691"/>
          <cell r="K1691" t="str">
            <v>KU</v>
          </cell>
          <cell r="L1691" t="str">
            <v>BUMI01</v>
          </cell>
          <cell r="M1691" t="str">
            <v>Bumi Asih, UD/Hasan</v>
          </cell>
          <cell r="N1691" t="str">
            <v>Hasan</v>
          </cell>
          <cell r="O1691" t="str">
            <v>Jl. Argopuro XI No.16, RT.004/RW.004 Ketapang Kademangan</v>
          </cell>
          <cell r="P1691" t="str">
            <v>Probolinggo</v>
          </cell>
          <cell r="Q1691" t="str">
            <v>Jl. Argopuro XI No.16, RT.004/RW.004 Ketapang Kademangan</v>
          </cell>
          <cell r="R1691" t="str">
            <v>Probolinggo</v>
          </cell>
          <cell r="S1691" t="str">
            <v>G Prob1</v>
          </cell>
          <cell r="T1691" t="str">
            <v>Wira</v>
          </cell>
          <cell r="U1691">
            <v>30</v>
          </cell>
        </row>
        <row r="1692">
          <cell r="E1692" t="str">
            <v>Z25002573</v>
          </cell>
          <cell r="F1692"/>
          <cell r="G1692">
            <v>5000000000</v>
          </cell>
          <cell r="H1692" t="str">
            <v>Ariyani</v>
          </cell>
          <cell r="I1692" t="str">
            <v>Fira</v>
          </cell>
          <cell r="J1692"/>
          <cell r="K1692" t="str">
            <v>KU</v>
          </cell>
          <cell r="L1692" t="str">
            <v>BUMI01</v>
          </cell>
          <cell r="M1692" t="str">
            <v>Bumi Asih, UD/Hasan</v>
          </cell>
          <cell r="N1692" t="str">
            <v>Hasan</v>
          </cell>
          <cell r="O1692" t="str">
            <v>Jl. Argopuro XI No.16, RT.004/RW.004 Ketapang Kademangan</v>
          </cell>
          <cell r="P1692" t="str">
            <v>Probolinggo</v>
          </cell>
          <cell r="Q1692" t="str">
            <v>Jl. Argopuro XI No.16, RT.004/RW.004 Ketapang Kademangan</v>
          </cell>
          <cell r="R1692" t="str">
            <v>Probolinggo</v>
          </cell>
          <cell r="S1692" t="str">
            <v>G Prob1</v>
          </cell>
          <cell r="T1692" t="str">
            <v>Wira</v>
          </cell>
          <cell r="U1692">
            <v>30</v>
          </cell>
        </row>
        <row r="1693">
          <cell r="E1693" t="str">
            <v>B25012888</v>
          </cell>
          <cell r="F1693"/>
          <cell r="G1693">
            <v>5000000000</v>
          </cell>
          <cell r="H1693" t="str">
            <v>Ariyani</v>
          </cell>
          <cell r="I1693" t="str">
            <v>Fira</v>
          </cell>
          <cell r="J1693"/>
          <cell r="K1693" t="str">
            <v>KU</v>
          </cell>
          <cell r="L1693" t="str">
            <v>BUMI01</v>
          </cell>
          <cell r="M1693" t="str">
            <v>Bumi Asih, UD/Hasan</v>
          </cell>
          <cell r="N1693" t="str">
            <v>Hasan</v>
          </cell>
          <cell r="O1693" t="str">
            <v>Jl. Argopuro XI No.16, RT.004/RW.004 Ketapang Kademangan</v>
          </cell>
          <cell r="P1693" t="str">
            <v>Probolinggo</v>
          </cell>
          <cell r="Q1693" t="str">
            <v>Jl. Argopuro XI No.16, RT.004/RW.004 Ketapang Kademangan</v>
          </cell>
          <cell r="R1693" t="str">
            <v>Probolinggo</v>
          </cell>
          <cell r="S1693" t="str">
            <v>G Prob1</v>
          </cell>
          <cell r="T1693" t="str">
            <v>Wira</v>
          </cell>
          <cell r="U1693">
            <v>0</v>
          </cell>
        </row>
        <row r="1694">
          <cell r="E1694" t="str">
            <v>B25012888</v>
          </cell>
          <cell r="F1694"/>
          <cell r="G1694">
            <v>5000000000</v>
          </cell>
          <cell r="H1694" t="str">
            <v>Ariyani</v>
          </cell>
          <cell r="I1694" t="str">
            <v>Fira</v>
          </cell>
          <cell r="J1694"/>
          <cell r="K1694" t="str">
            <v>KU</v>
          </cell>
          <cell r="L1694" t="str">
            <v>BUMI01</v>
          </cell>
          <cell r="M1694" t="str">
            <v>Bumi Asih, UD/Hasan</v>
          </cell>
          <cell r="N1694" t="str">
            <v>Hasan</v>
          </cell>
          <cell r="O1694" t="str">
            <v>Jl. Argopuro XI No.16, RT.004/RW.004 Ketapang Kademangan</v>
          </cell>
          <cell r="P1694" t="str">
            <v>Probolinggo</v>
          </cell>
          <cell r="Q1694" t="str">
            <v>Jl. Argopuro XI No.16, RT.004/RW.004 Ketapang Kademangan</v>
          </cell>
          <cell r="R1694" t="str">
            <v>Probolinggo</v>
          </cell>
          <cell r="S1694" t="str">
            <v>G Prob1</v>
          </cell>
          <cell r="T1694" t="str">
            <v>Wira</v>
          </cell>
          <cell r="U1694">
            <v>0</v>
          </cell>
        </row>
        <row r="1695">
          <cell r="E1695" t="str">
            <v>B25012888</v>
          </cell>
          <cell r="F1695"/>
          <cell r="G1695">
            <v>5000000000</v>
          </cell>
          <cell r="H1695" t="str">
            <v>Ariyani</v>
          </cell>
          <cell r="I1695" t="str">
            <v>Fira</v>
          </cell>
          <cell r="J1695"/>
          <cell r="K1695" t="str">
            <v>KU</v>
          </cell>
          <cell r="L1695" t="str">
            <v>BUMI01</v>
          </cell>
          <cell r="M1695" t="str">
            <v>Bumi Asih, UD/Hasan</v>
          </cell>
          <cell r="N1695" t="str">
            <v>Hasan</v>
          </cell>
          <cell r="O1695" t="str">
            <v>Jl. Argopuro XI No.16, RT.004/RW.004 Ketapang Kademangan</v>
          </cell>
          <cell r="P1695" t="str">
            <v>Probolinggo</v>
          </cell>
          <cell r="Q1695" t="str">
            <v>Jl. Argopuro XI No.16, RT.004/RW.004 Ketapang Kademangan</v>
          </cell>
          <cell r="R1695" t="str">
            <v>Probolinggo</v>
          </cell>
          <cell r="S1695" t="str">
            <v>G Prob1</v>
          </cell>
          <cell r="T1695" t="str">
            <v>Wira</v>
          </cell>
          <cell r="U1695">
            <v>0</v>
          </cell>
        </row>
        <row r="1696">
          <cell r="E1696" t="str">
            <v>D25015223</v>
          </cell>
          <cell r="F1696"/>
          <cell r="G1696">
            <v>5000000000</v>
          </cell>
          <cell r="H1696" t="str">
            <v>Ariyani</v>
          </cell>
          <cell r="I1696" t="str">
            <v>Fira</v>
          </cell>
          <cell r="J1696"/>
          <cell r="K1696" t="str">
            <v>KU</v>
          </cell>
          <cell r="L1696" t="str">
            <v>BUMI01</v>
          </cell>
          <cell r="M1696" t="str">
            <v>Bumi Asih, UD/Hasan</v>
          </cell>
          <cell r="N1696" t="str">
            <v>Hasan</v>
          </cell>
          <cell r="O1696" t="str">
            <v>Jl. Argopuro XI No.16, RT.004/RW.004 Ketapang Kademangan</v>
          </cell>
          <cell r="P1696" t="str">
            <v>Probolinggo</v>
          </cell>
          <cell r="Q1696" t="str">
            <v>Jl. Argopuro XI No.16, RT.004/RW.004 Ketapang Kademangan</v>
          </cell>
          <cell r="R1696" t="str">
            <v>Probolinggo</v>
          </cell>
          <cell r="S1696" t="str">
            <v>G Prob1</v>
          </cell>
          <cell r="T1696" t="str">
            <v>Wira</v>
          </cell>
          <cell r="U1696">
            <v>30</v>
          </cell>
        </row>
        <row r="1697">
          <cell r="E1697" t="str">
            <v>D25015224</v>
          </cell>
          <cell r="F1697"/>
          <cell r="G1697">
            <v>5000000000</v>
          </cell>
          <cell r="H1697" t="str">
            <v>Ariyani</v>
          </cell>
          <cell r="I1697" t="str">
            <v>Fira</v>
          </cell>
          <cell r="J1697"/>
          <cell r="K1697" t="str">
            <v>KU</v>
          </cell>
          <cell r="L1697" t="str">
            <v>BUMI01</v>
          </cell>
          <cell r="M1697" t="str">
            <v>Bumi Asih, UD/Hasan</v>
          </cell>
          <cell r="N1697" t="str">
            <v>Hasan</v>
          </cell>
          <cell r="O1697" t="str">
            <v>Jl. Argopuro XI No.16, RT.004/RW.004 Ketapang Kademangan</v>
          </cell>
          <cell r="P1697" t="str">
            <v>Probolinggo</v>
          </cell>
          <cell r="Q1697" t="str">
            <v>Jl. Argopuro XI No.16, RT.004/RW.004 Ketapang Kademangan</v>
          </cell>
          <cell r="R1697" t="str">
            <v>Probolinggo</v>
          </cell>
          <cell r="S1697" t="str">
            <v>G Prob1</v>
          </cell>
          <cell r="T1697" t="str">
            <v>Wira</v>
          </cell>
          <cell r="U1697">
            <v>30</v>
          </cell>
        </row>
        <row r="1698">
          <cell r="E1698" t="str">
            <v>D25015226</v>
          </cell>
          <cell r="F1698"/>
          <cell r="G1698">
            <v>5000000000</v>
          </cell>
          <cell r="H1698" t="str">
            <v>Ariyani</v>
          </cell>
          <cell r="I1698" t="str">
            <v>Fira</v>
          </cell>
          <cell r="J1698"/>
          <cell r="K1698" t="str">
            <v>KU</v>
          </cell>
          <cell r="L1698" t="str">
            <v>BUMI01</v>
          </cell>
          <cell r="M1698" t="str">
            <v>Bumi Asih, UD/Hasan</v>
          </cell>
          <cell r="N1698" t="str">
            <v>Hasan</v>
          </cell>
          <cell r="O1698" t="str">
            <v>Jl. Argopuro XI No.16, RT.004/RW.004 Ketapang Kademangan</v>
          </cell>
          <cell r="P1698" t="str">
            <v>Probolinggo</v>
          </cell>
          <cell r="Q1698" t="str">
            <v>Jl. Argopuro XI No.16, RT.004/RW.004 Ketapang Kademangan</v>
          </cell>
          <cell r="R1698" t="str">
            <v>Probolinggo</v>
          </cell>
          <cell r="S1698" t="str">
            <v>G Prob1</v>
          </cell>
          <cell r="T1698" t="str">
            <v>Wira</v>
          </cell>
          <cell r="U1698">
            <v>30</v>
          </cell>
        </row>
        <row r="1699">
          <cell r="E1699" t="str">
            <v>D25015271</v>
          </cell>
          <cell r="F1699"/>
          <cell r="G1699">
            <v>5000000000</v>
          </cell>
          <cell r="H1699" t="str">
            <v>Ariyani</v>
          </cell>
          <cell r="I1699" t="str">
            <v>Fira</v>
          </cell>
          <cell r="J1699"/>
          <cell r="K1699" t="str">
            <v>KU</v>
          </cell>
          <cell r="L1699" t="str">
            <v>BUMI01</v>
          </cell>
          <cell r="M1699" t="str">
            <v>Bumi Asih, UD/Hasan</v>
          </cell>
          <cell r="N1699" t="str">
            <v>Hasan</v>
          </cell>
          <cell r="O1699" t="str">
            <v>Jl. Argopuro XI No.16, RT.004/RW.004 Ketapang Kademangan</v>
          </cell>
          <cell r="P1699" t="str">
            <v>Probolinggo</v>
          </cell>
          <cell r="Q1699" t="str">
            <v>Jl. Argopuro XI No.16, RT.004/RW.004 Ketapang Kademangan</v>
          </cell>
          <cell r="R1699" t="str">
            <v>Probolinggo</v>
          </cell>
          <cell r="S1699" t="str">
            <v>G Prob1</v>
          </cell>
          <cell r="T1699" t="str">
            <v>Wira</v>
          </cell>
          <cell r="U1699">
            <v>30</v>
          </cell>
        </row>
        <row r="1700">
          <cell r="E1700" t="str">
            <v>D25015358</v>
          </cell>
          <cell r="F1700"/>
          <cell r="G1700">
            <v>5000000000</v>
          </cell>
          <cell r="H1700" t="str">
            <v>Ariyani</v>
          </cell>
          <cell r="I1700" t="str">
            <v>Fira</v>
          </cell>
          <cell r="J1700"/>
          <cell r="K1700" t="str">
            <v>KU</v>
          </cell>
          <cell r="L1700" t="str">
            <v>BUMI01</v>
          </cell>
          <cell r="M1700" t="str">
            <v>Bumi Asih, UD/Hasan</v>
          </cell>
          <cell r="N1700" t="str">
            <v>Hasan</v>
          </cell>
          <cell r="O1700" t="str">
            <v>Jl. Argopuro XI No.16, RT.004/RW.004 Ketapang Kademangan</v>
          </cell>
          <cell r="P1700" t="str">
            <v>Probolinggo</v>
          </cell>
          <cell r="Q1700" t="str">
            <v>Jl. Argopuro XI No.16, RT.004/RW.004 Ketapang Kademangan</v>
          </cell>
          <cell r="R1700" t="str">
            <v>Probolinggo</v>
          </cell>
          <cell r="S1700" t="str">
            <v>G Prob1</v>
          </cell>
          <cell r="T1700" t="str">
            <v>Wira</v>
          </cell>
          <cell r="U1700">
            <v>30</v>
          </cell>
        </row>
        <row r="1701">
          <cell r="E1701" t="str">
            <v>D25015426</v>
          </cell>
          <cell r="F1701"/>
          <cell r="G1701">
            <v>5000000000</v>
          </cell>
          <cell r="H1701" t="str">
            <v>Ariyani</v>
          </cell>
          <cell r="I1701" t="str">
            <v>Fira</v>
          </cell>
          <cell r="J1701"/>
          <cell r="K1701" t="str">
            <v>KU</v>
          </cell>
          <cell r="L1701" t="str">
            <v>BUMI01</v>
          </cell>
          <cell r="M1701" t="str">
            <v>Bumi Asih, UD/Hasan</v>
          </cell>
          <cell r="N1701" t="str">
            <v>Hasan</v>
          </cell>
          <cell r="O1701" t="str">
            <v>Jl. Argopuro XI No.16, RT.004/RW.004 Ketapang Kademangan</v>
          </cell>
          <cell r="P1701" t="str">
            <v>Probolinggo</v>
          </cell>
          <cell r="Q1701" t="str">
            <v>Jl. Argopuro XI No.16, RT.004/RW.004 Ketapang Kademangan</v>
          </cell>
          <cell r="R1701" t="str">
            <v>Probolinggo</v>
          </cell>
          <cell r="S1701" t="str">
            <v>G Prob1</v>
          </cell>
          <cell r="T1701" t="str">
            <v>Wira</v>
          </cell>
          <cell r="U1701">
            <v>0</v>
          </cell>
        </row>
        <row r="1702">
          <cell r="E1702" t="str">
            <v>B25013316</v>
          </cell>
          <cell r="F1702"/>
          <cell r="G1702">
            <v>5000000000</v>
          </cell>
          <cell r="H1702" t="str">
            <v>Ariyani</v>
          </cell>
          <cell r="I1702" t="str">
            <v>Fira</v>
          </cell>
          <cell r="J1702"/>
          <cell r="K1702" t="str">
            <v>KU</v>
          </cell>
          <cell r="L1702" t="str">
            <v>BUMI01</v>
          </cell>
          <cell r="M1702" t="str">
            <v>Bumi Asih, UD/Hasan</v>
          </cell>
          <cell r="N1702" t="str">
            <v>Hasan</v>
          </cell>
          <cell r="O1702" t="str">
            <v>Jl. Argopuro XI No.16, RT.004/RW.004 Ketapang Kademangan</v>
          </cell>
          <cell r="P1702" t="str">
            <v>Probolinggo</v>
          </cell>
          <cell r="Q1702" t="str">
            <v>Jl. Argopuro XI No.16, RT.004/RW.004 Ketapang Kademangan</v>
          </cell>
          <cell r="R1702" t="str">
            <v>Probolinggo</v>
          </cell>
          <cell r="S1702" t="str">
            <v>G Prob1</v>
          </cell>
          <cell r="T1702" t="str">
            <v>Wira</v>
          </cell>
          <cell r="U1702">
            <v>30</v>
          </cell>
        </row>
        <row r="1703">
          <cell r="E1703" t="str">
            <v>D25015562</v>
          </cell>
          <cell r="F1703"/>
          <cell r="G1703">
            <v>5000000000</v>
          </cell>
          <cell r="H1703" t="str">
            <v>Ariyani</v>
          </cell>
          <cell r="I1703" t="str">
            <v>Fira</v>
          </cell>
          <cell r="J1703"/>
          <cell r="K1703" t="str">
            <v>KU</v>
          </cell>
          <cell r="L1703" t="str">
            <v>BUMI01</v>
          </cell>
          <cell r="M1703" t="str">
            <v>Bumi Asih, UD/Hasan</v>
          </cell>
          <cell r="N1703" t="str">
            <v>Hasan</v>
          </cell>
          <cell r="O1703" t="str">
            <v>Jl. Argopuro XI No.16, RT.004/RW.004 Ketapang Kademangan</v>
          </cell>
          <cell r="P1703" t="str">
            <v>Probolinggo</v>
          </cell>
          <cell r="Q1703" t="str">
            <v>Jl. Argopuro XI No.16, RT.004/RW.004 Ketapang Kademangan</v>
          </cell>
          <cell r="R1703" t="str">
            <v>Probolinggo</v>
          </cell>
          <cell r="S1703" t="str">
            <v>G Prob1</v>
          </cell>
          <cell r="T1703" t="str">
            <v>Wira</v>
          </cell>
          <cell r="U1703">
            <v>30</v>
          </cell>
        </row>
        <row r="1704">
          <cell r="E1704" t="str">
            <v>D25015563</v>
          </cell>
          <cell r="F1704"/>
          <cell r="G1704">
            <v>5000000000</v>
          </cell>
          <cell r="H1704" t="str">
            <v>Ariyani</v>
          </cell>
          <cell r="I1704" t="str">
            <v>Fira</v>
          </cell>
          <cell r="J1704"/>
          <cell r="K1704" t="str">
            <v>KU</v>
          </cell>
          <cell r="L1704" t="str">
            <v>BUMI01</v>
          </cell>
          <cell r="M1704" t="str">
            <v>Bumi Asih, UD/Hasan</v>
          </cell>
          <cell r="N1704" t="str">
            <v>Hasan</v>
          </cell>
          <cell r="O1704" t="str">
            <v>Jl. Argopuro XI No.16, RT.004/RW.004 Ketapang Kademangan</v>
          </cell>
          <cell r="P1704" t="str">
            <v>Probolinggo</v>
          </cell>
          <cell r="Q1704" t="str">
            <v>Jl. Argopuro XI No.16, RT.004/RW.004 Ketapang Kademangan</v>
          </cell>
          <cell r="R1704" t="str">
            <v>Probolinggo</v>
          </cell>
          <cell r="S1704" t="str">
            <v>G Prob1</v>
          </cell>
          <cell r="T1704" t="str">
            <v>Wira</v>
          </cell>
          <cell r="U1704">
            <v>30</v>
          </cell>
        </row>
        <row r="1705">
          <cell r="E1705" t="str">
            <v>D25015567</v>
          </cell>
          <cell r="F1705"/>
          <cell r="G1705">
            <v>5000000000</v>
          </cell>
          <cell r="H1705" t="str">
            <v>Ariyani</v>
          </cell>
          <cell r="I1705" t="str">
            <v>Fira</v>
          </cell>
          <cell r="J1705"/>
          <cell r="K1705" t="str">
            <v>KU</v>
          </cell>
          <cell r="L1705" t="str">
            <v>BUMI01</v>
          </cell>
          <cell r="M1705" t="str">
            <v>Bumi Asih, UD/Hasan</v>
          </cell>
          <cell r="N1705" t="str">
            <v>Hasan</v>
          </cell>
          <cell r="O1705" t="str">
            <v>Jl. Argopuro XI No.16, RT.004/RW.004 Ketapang Kademangan</v>
          </cell>
          <cell r="P1705" t="str">
            <v>Probolinggo</v>
          </cell>
          <cell r="Q1705" t="str">
            <v>Jl. Argopuro XI No.16, RT.004/RW.004 Ketapang Kademangan</v>
          </cell>
          <cell r="R1705" t="str">
            <v>Probolinggo</v>
          </cell>
          <cell r="S1705" t="str">
            <v>G Prob1</v>
          </cell>
          <cell r="T1705" t="str">
            <v>Wira</v>
          </cell>
          <cell r="U1705">
            <v>30</v>
          </cell>
        </row>
        <row r="1706">
          <cell r="E1706" t="str">
            <v>B25013344</v>
          </cell>
          <cell r="F1706"/>
          <cell r="G1706">
            <v>5000000000</v>
          </cell>
          <cell r="H1706" t="str">
            <v>Ariyani</v>
          </cell>
          <cell r="I1706" t="str">
            <v>Fira</v>
          </cell>
          <cell r="J1706"/>
          <cell r="K1706" t="str">
            <v>KU</v>
          </cell>
          <cell r="L1706" t="str">
            <v>BUMI01</v>
          </cell>
          <cell r="M1706" t="str">
            <v>Bumi Asih, UD/Hasan</v>
          </cell>
          <cell r="N1706" t="str">
            <v>Hasan</v>
          </cell>
          <cell r="O1706" t="str">
            <v>Jl. Argopuro XI No.16, RT.004/RW.004 Ketapang Kademangan</v>
          </cell>
          <cell r="P1706" t="str">
            <v>Probolinggo</v>
          </cell>
          <cell r="Q1706" t="str">
            <v>Jl. Argopuro XI No.16, RT.004/RW.004 Ketapang Kademangan</v>
          </cell>
          <cell r="R1706" t="str">
            <v>Probolinggo</v>
          </cell>
          <cell r="S1706" t="str">
            <v>G Prob1</v>
          </cell>
          <cell r="T1706" t="str">
            <v>Wira</v>
          </cell>
          <cell r="U1706">
            <v>30</v>
          </cell>
        </row>
        <row r="1707">
          <cell r="E1707" t="str">
            <v>B25013386</v>
          </cell>
          <cell r="F1707"/>
          <cell r="G1707">
            <v>5000000000</v>
          </cell>
          <cell r="H1707" t="str">
            <v>Ariyani</v>
          </cell>
          <cell r="I1707" t="str">
            <v>Fira</v>
          </cell>
          <cell r="J1707"/>
          <cell r="K1707" t="str">
            <v>KU</v>
          </cell>
          <cell r="L1707" t="str">
            <v>BUMI01</v>
          </cell>
          <cell r="M1707" t="str">
            <v>Bumi Asih, UD/Hasan</v>
          </cell>
          <cell r="N1707" t="str">
            <v>Hasan</v>
          </cell>
          <cell r="O1707" t="str">
            <v>Jl. Argopuro XI No.16, RT.004/RW.004 Ketapang Kademangan</v>
          </cell>
          <cell r="P1707" t="str">
            <v>Probolinggo</v>
          </cell>
          <cell r="Q1707" t="str">
            <v>Jl. Argopuro XI No.16, RT.004/RW.004 Ketapang Kademangan</v>
          </cell>
          <cell r="R1707" t="str">
            <v>Probolinggo</v>
          </cell>
          <cell r="S1707" t="str">
            <v>G Prob1</v>
          </cell>
          <cell r="T1707" t="str">
            <v>Wira</v>
          </cell>
          <cell r="U1707">
            <v>0</v>
          </cell>
        </row>
        <row r="1708">
          <cell r="E1708" t="str">
            <v>B25013395</v>
          </cell>
          <cell r="F1708"/>
          <cell r="G1708">
            <v>5000000000</v>
          </cell>
          <cell r="H1708" t="str">
            <v>Ariyani</v>
          </cell>
          <cell r="I1708" t="str">
            <v>Fira</v>
          </cell>
          <cell r="J1708"/>
          <cell r="K1708" t="str">
            <v>KU</v>
          </cell>
          <cell r="L1708" t="str">
            <v>BUMI01</v>
          </cell>
          <cell r="M1708" t="str">
            <v>Bumi Asih, UD/Hasan</v>
          </cell>
          <cell r="N1708" t="str">
            <v>Hasan</v>
          </cell>
          <cell r="O1708" t="str">
            <v>Jl. Argopuro XI No.16, RT.004/RW.004 Ketapang Kademangan</v>
          </cell>
          <cell r="P1708" t="str">
            <v>Probolinggo</v>
          </cell>
          <cell r="Q1708" t="str">
            <v>Jl. Argopuro XI No.16, RT.004/RW.004 Ketapang Kademangan</v>
          </cell>
          <cell r="R1708" t="str">
            <v>Probolinggo</v>
          </cell>
          <cell r="S1708" t="str">
            <v>G Prob1</v>
          </cell>
          <cell r="T1708" t="str">
            <v>Wira</v>
          </cell>
          <cell r="U1708">
            <v>30</v>
          </cell>
        </row>
        <row r="1709">
          <cell r="E1709" t="str">
            <v>B25013407</v>
          </cell>
          <cell r="F1709"/>
          <cell r="G1709">
            <v>5000000000</v>
          </cell>
          <cell r="H1709" t="str">
            <v>Ariyani</v>
          </cell>
          <cell r="I1709" t="str">
            <v>Fira</v>
          </cell>
          <cell r="J1709"/>
          <cell r="K1709" t="str">
            <v>KU</v>
          </cell>
          <cell r="L1709" t="str">
            <v>BUMI01</v>
          </cell>
          <cell r="M1709" t="str">
            <v>Bumi Asih, UD/Hasan</v>
          </cell>
          <cell r="N1709" t="str">
            <v>Hasan</v>
          </cell>
          <cell r="O1709" t="str">
            <v>Jl. Argopuro XI No.16, RT.004/RW.004 Ketapang Kademangan</v>
          </cell>
          <cell r="P1709" t="str">
            <v>Probolinggo</v>
          </cell>
          <cell r="Q1709" t="str">
            <v>Jl. Argopuro XI No.16, RT.004/RW.004 Ketapang Kademangan</v>
          </cell>
          <cell r="R1709" t="str">
            <v>Probolinggo</v>
          </cell>
          <cell r="S1709" t="str">
            <v>G Prob1</v>
          </cell>
          <cell r="T1709" t="str">
            <v>Wira</v>
          </cell>
          <cell r="U1709">
            <v>30</v>
          </cell>
        </row>
        <row r="1710">
          <cell r="E1710" t="str">
            <v>D25015625</v>
          </cell>
          <cell r="F1710"/>
          <cell r="G1710">
            <v>5000000000</v>
          </cell>
          <cell r="H1710" t="str">
            <v>Ariyani</v>
          </cell>
          <cell r="I1710" t="str">
            <v>Fira</v>
          </cell>
          <cell r="J1710"/>
          <cell r="K1710" t="str">
            <v>KU</v>
          </cell>
          <cell r="L1710" t="str">
            <v>BUMI01</v>
          </cell>
          <cell r="M1710" t="str">
            <v>Bumi Asih, UD/Hasan</v>
          </cell>
          <cell r="N1710" t="str">
            <v>Hasan</v>
          </cell>
          <cell r="O1710" t="str">
            <v>Jl. Argopuro XI No.16, RT.004/RW.004 Ketapang Kademangan</v>
          </cell>
          <cell r="P1710" t="str">
            <v>Probolinggo</v>
          </cell>
          <cell r="Q1710" t="str">
            <v>Jl. Argopuro XI No.16, RT.004/RW.004 Ketapang Kademangan</v>
          </cell>
          <cell r="R1710" t="str">
            <v>Probolinggo</v>
          </cell>
          <cell r="S1710" t="str">
            <v>G Prob1</v>
          </cell>
          <cell r="T1710" t="str">
            <v>Wira</v>
          </cell>
          <cell r="U1710">
            <v>0</v>
          </cell>
        </row>
        <row r="1711">
          <cell r="E1711" t="str">
            <v>B25013449</v>
          </cell>
          <cell r="F1711"/>
          <cell r="G1711">
            <v>5000000000</v>
          </cell>
          <cell r="H1711" t="str">
            <v>Ariyani</v>
          </cell>
          <cell r="I1711" t="str">
            <v>Fira</v>
          </cell>
          <cell r="J1711"/>
          <cell r="K1711" t="str">
            <v>KU</v>
          </cell>
          <cell r="L1711" t="str">
            <v>BUMI01</v>
          </cell>
          <cell r="M1711" t="str">
            <v>Bumi Asih, UD/Hasan</v>
          </cell>
          <cell r="N1711" t="str">
            <v>Hasan</v>
          </cell>
          <cell r="O1711" t="str">
            <v>Jl. Argopuro XI No.16, RT.004/RW.004 Ketapang Kademangan</v>
          </cell>
          <cell r="P1711" t="str">
            <v>Probolinggo</v>
          </cell>
          <cell r="Q1711" t="str">
            <v>Jl. Argopuro XI No.16, RT.004/RW.004 Ketapang Kademangan</v>
          </cell>
          <cell r="R1711" t="str">
            <v>Probolinggo</v>
          </cell>
          <cell r="S1711" t="str">
            <v>G Prob1</v>
          </cell>
          <cell r="T1711" t="str">
            <v>Wira</v>
          </cell>
          <cell r="U1711">
            <v>0</v>
          </cell>
        </row>
        <row r="1712">
          <cell r="E1712" t="str">
            <v>B25013449</v>
          </cell>
          <cell r="F1712"/>
          <cell r="G1712">
            <v>5000000000</v>
          </cell>
          <cell r="H1712" t="str">
            <v>Ariyani</v>
          </cell>
          <cell r="I1712" t="str">
            <v>Fira</v>
          </cell>
          <cell r="J1712"/>
          <cell r="K1712" t="str">
            <v>KU</v>
          </cell>
          <cell r="L1712" t="str">
            <v>BUMI01</v>
          </cell>
          <cell r="M1712" t="str">
            <v>Bumi Asih, UD/Hasan</v>
          </cell>
          <cell r="N1712" t="str">
            <v>Hasan</v>
          </cell>
          <cell r="O1712" t="str">
            <v>Jl. Argopuro XI No.16, RT.004/RW.004 Ketapang Kademangan</v>
          </cell>
          <cell r="P1712" t="str">
            <v>Probolinggo</v>
          </cell>
          <cell r="Q1712" t="str">
            <v>Jl. Argopuro XI No.16, RT.004/RW.004 Ketapang Kademangan</v>
          </cell>
          <cell r="R1712" t="str">
            <v>Probolinggo</v>
          </cell>
          <cell r="S1712" t="str">
            <v>G Prob1</v>
          </cell>
          <cell r="T1712" t="str">
            <v>Wira</v>
          </cell>
          <cell r="U1712">
            <v>0</v>
          </cell>
        </row>
        <row r="1713">
          <cell r="E1713" t="str">
            <v>B25013449</v>
          </cell>
          <cell r="F1713"/>
          <cell r="G1713">
            <v>5000000000</v>
          </cell>
          <cell r="H1713" t="str">
            <v>Ariyani</v>
          </cell>
          <cell r="I1713" t="str">
            <v>Fira</v>
          </cell>
          <cell r="J1713"/>
          <cell r="K1713" t="str">
            <v>KU</v>
          </cell>
          <cell r="L1713" t="str">
            <v>BUMI01</v>
          </cell>
          <cell r="M1713" t="str">
            <v>Bumi Asih, UD/Hasan</v>
          </cell>
          <cell r="N1713" t="str">
            <v>Hasan</v>
          </cell>
          <cell r="O1713" t="str">
            <v>Jl. Argopuro XI No.16, RT.004/RW.004 Ketapang Kademangan</v>
          </cell>
          <cell r="P1713" t="str">
            <v>Probolinggo</v>
          </cell>
          <cell r="Q1713" t="str">
            <v>Jl. Argopuro XI No.16, RT.004/RW.004 Ketapang Kademangan</v>
          </cell>
          <cell r="R1713" t="str">
            <v>Probolinggo</v>
          </cell>
          <cell r="S1713" t="str">
            <v>G Prob1</v>
          </cell>
          <cell r="T1713" t="str">
            <v>Wira</v>
          </cell>
          <cell r="U1713">
            <v>0</v>
          </cell>
        </row>
        <row r="1714">
          <cell r="E1714" t="str">
            <v>B25013452</v>
          </cell>
          <cell r="F1714"/>
          <cell r="G1714">
            <v>5000000000</v>
          </cell>
          <cell r="H1714" t="str">
            <v>Ariyani</v>
          </cell>
          <cell r="I1714" t="str">
            <v>Fira</v>
          </cell>
          <cell r="J1714"/>
          <cell r="K1714" t="str">
            <v>KU</v>
          </cell>
          <cell r="L1714" t="str">
            <v>BUMI01</v>
          </cell>
          <cell r="M1714" t="str">
            <v>Bumi Asih, UD/Hasan</v>
          </cell>
          <cell r="N1714" t="str">
            <v>Hasan</v>
          </cell>
          <cell r="O1714" t="str">
            <v>Jl. Argopuro XI No.16, RT.004/RW.004 Ketapang Kademangan</v>
          </cell>
          <cell r="P1714" t="str">
            <v>Probolinggo</v>
          </cell>
          <cell r="Q1714" t="str">
            <v>Jl. Argopuro XI No.16, RT.004/RW.004 Ketapang Kademangan</v>
          </cell>
          <cell r="R1714" t="str">
            <v>Probolinggo</v>
          </cell>
          <cell r="S1714" t="str">
            <v>G Prob1</v>
          </cell>
          <cell r="T1714" t="str">
            <v>Wira</v>
          </cell>
          <cell r="U1714">
            <v>30</v>
          </cell>
        </row>
        <row r="1715">
          <cell r="E1715" t="str">
            <v>B25013547</v>
          </cell>
          <cell r="F1715"/>
          <cell r="G1715">
            <v>5000000000</v>
          </cell>
          <cell r="H1715" t="str">
            <v>Ariyani</v>
          </cell>
          <cell r="I1715" t="str">
            <v>Fira</v>
          </cell>
          <cell r="J1715"/>
          <cell r="K1715" t="str">
            <v>KU</v>
          </cell>
          <cell r="L1715" t="str">
            <v>BUMI01</v>
          </cell>
          <cell r="M1715" t="str">
            <v>Bumi Asih, UD/Hasan</v>
          </cell>
          <cell r="N1715" t="str">
            <v>Hasan</v>
          </cell>
          <cell r="O1715" t="str">
            <v>Jl. Argopuro XI No.16, RT.004/RW.004 Ketapang Kademangan</v>
          </cell>
          <cell r="P1715" t="str">
            <v>Probolinggo</v>
          </cell>
          <cell r="Q1715" t="str">
            <v>Jl. Argopuro XI No.16, RT.004/RW.004 Ketapang Kademangan</v>
          </cell>
          <cell r="R1715" t="str">
            <v>Probolinggo</v>
          </cell>
          <cell r="S1715" t="str">
            <v>G Prob1</v>
          </cell>
          <cell r="T1715" t="str">
            <v>Wira</v>
          </cell>
          <cell r="U1715">
            <v>30</v>
          </cell>
        </row>
        <row r="1716">
          <cell r="E1716" t="str">
            <v>B25013614</v>
          </cell>
          <cell r="F1716"/>
          <cell r="G1716">
            <v>5000000000</v>
          </cell>
          <cell r="H1716" t="str">
            <v>Ariyani</v>
          </cell>
          <cell r="I1716" t="str">
            <v>Fira</v>
          </cell>
          <cell r="J1716"/>
          <cell r="K1716" t="str">
            <v>KU</v>
          </cell>
          <cell r="L1716" t="str">
            <v>BUMI01</v>
          </cell>
          <cell r="M1716" t="str">
            <v>Bumi Asih, UD/Hasan</v>
          </cell>
          <cell r="N1716" t="str">
            <v>Hasan</v>
          </cell>
          <cell r="O1716" t="str">
            <v>Jl. Argopuro XI No.16, RT.004/RW.004 Ketapang Kademangan</v>
          </cell>
          <cell r="P1716" t="str">
            <v>Probolinggo</v>
          </cell>
          <cell r="Q1716" t="str">
            <v>Jl. Argopuro XI No.16, RT.004/RW.004 Ketapang Kademangan</v>
          </cell>
          <cell r="R1716" t="str">
            <v>Probolinggo</v>
          </cell>
          <cell r="S1716" t="str">
            <v>G Prob1</v>
          </cell>
          <cell r="T1716" t="str">
            <v>Wira</v>
          </cell>
          <cell r="U1716">
            <v>0</v>
          </cell>
        </row>
        <row r="1717">
          <cell r="E1717" t="str">
            <v>D25015902</v>
          </cell>
          <cell r="F1717"/>
          <cell r="G1717">
            <v>5000000000</v>
          </cell>
          <cell r="H1717" t="str">
            <v>Ariyani</v>
          </cell>
          <cell r="I1717" t="str">
            <v>Fira</v>
          </cell>
          <cell r="J1717"/>
          <cell r="K1717" t="str">
            <v>KU</v>
          </cell>
          <cell r="L1717" t="str">
            <v>BUMI01</v>
          </cell>
          <cell r="M1717" t="str">
            <v>Bumi Asih, UD/Hasan</v>
          </cell>
          <cell r="N1717" t="str">
            <v>Hasan</v>
          </cell>
          <cell r="O1717" t="str">
            <v>Jl. Argopuro XI No.16, RT.004/RW.004 Ketapang Kademangan</v>
          </cell>
          <cell r="P1717" t="str">
            <v>Probolinggo</v>
          </cell>
          <cell r="Q1717" t="str">
            <v>Jl. Argopuro XI No.16, RT.004/RW.004 Ketapang Kademangan</v>
          </cell>
          <cell r="R1717" t="str">
            <v>Probolinggo</v>
          </cell>
          <cell r="S1717" t="str">
            <v>G Prob1</v>
          </cell>
          <cell r="T1717" t="str">
            <v>Wira</v>
          </cell>
          <cell r="U1717">
            <v>0</v>
          </cell>
        </row>
        <row r="1718">
          <cell r="E1718" t="str">
            <v>D25015902</v>
          </cell>
          <cell r="F1718"/>
          <cell r="G1718">
            <v>5000000000</v>
          </cell>
          <cell r="H1718" t="str">
            <v>Ariyani</v>
          </cell>
          <cell r="I1718" t="str">
            <v>Fira</v>
          </cell>
          <cell r="J1718"/>
          <cell r="K1718" t="str">
            <v>KU</v>
          </cell>
          <cell r="L1718" t="str">
            <v>BUMI01</v>
          </cell>
          <cell r="M1718" t="str">
            <v>Bumi Asih, UD/Hasan</v>
          </cell>
          <cell r="N1718" t="str">
            <v>Hasan</v>
          </cell>
          <cell r="O1718" t="str">
            <v>Jl. Argopuro XI No.16, RT.004/RW.004 Ketapang Kademangan</v>
          </cell>
          <cell r="P1718" t="str">
            <v>Probolinggo</v>
          </cell>
          <cell r="Q1718" t="str">
            <v>Jl. Argopuro XI No.16, RT.004/RW.004 Ketapang Kademangan</v>
          </cell>
          <cell r="R1718" t="str">
            <v>Probolinggo</v>
          </cell>
          <cell r="S1718" t="str">
            <v>G Prob1</v>
          </cell>
          <cell r="T1718" t="str">
            <v>Wira</v>
          </cell>
          <cell r="U1718">
            <v>0</v>
          </cell>
        </row>
        <row r="1719">
          <cell r="E1719" t="str">
            <v>B25013650</v>
          </cell>
          <cell r="F1719"/>
          <cell r="G1719">
            <v>5000000000</v>
          </cell>
          <cell r="H1719" t="str">
            <v>Ariyani</v>
          </cell>
          <cell r="I1719" t="str">
            <v>Fira</v>
          </cell>
          <cell r="J1719"/>
          <cell r="K1719" t="str">
            <v>KU</v>
          </cell>
          <cell r="L1719" t="str">
            <v>BUMI01</v>
          </cell>
          <cell r="M1719" t="str">
            <v>Bumi Asih, UD/Hasan</v>
          </cell>
          <cell r="N1719" t="str">
            <v>Hasan</v>
          </cell>
          <cell r="O1719" t="str">
            <v>Jl. Argopuro XI No.16, RT.004/RW.004 Ketapang Kademangan</v>
          </cell>
          <cell r="P1719" t="str">
            <v>Probolinggo</v>
          </cell>
          <cell r="Q1719" t="str">
            <v>Jl. Argopuro XI No.16, RT.004/RW.004 Ketapang Kademangan</v>
          </cell>
          <cell r="R1719" t="str">
            <v>Probolinggo</v>
          </cell>
          <cell r="S1719" t="str">
            <v>G Prob1</v>
          </cell>
          <cell r="T1719" t="str">
            <v>Wira</v>
          </cell>
          <cell r="U1719">
            <v>30</v>
          </cell>
        </row>
        <row r="1720">
          <cell r="E1720" t="str">
            <v>B25013664</v>
          </cell>
          <cell r="F1720"/>
          <cell r="G1720">
            <v>5000000000</v>
          </cell>
          <cell r="H1720" t="str">
            <v>Ariyani</v>
          </cell>
          <cell r="I1720" t="str">
            <v>Fira</v>
          </cell>
          <cell r="J1720"/>
          <cell r="K1720" t="str">
            <v>KU</v>
          </cell>
          <cell r="L1720" t="str">
            <v>BUMI01</v>
          </cell>
          <cell r="M1720" t="str">
            <v>Bumi Asih, UD/Hasan</v>
          </cell>
          <cell r="N1720" t="str">
            <v>Hasan</v>
          </cell>
          <cell r="O1720" t="str">
            <v>Jl. Argopuro XI No.16, RT.004/RW.004 Ketapang Kademangan</v>
          </cell>
          <cell r="P1720" t="str">
            <v>Probolinggo</v>
          </cell>
          <cell r="Q1720" t="str">
            <v>Jl. Argopuro XI No.16, RT.004/RW.004 Ketapang Kademangan</v>
          </cell>
          <cell r="R1720" t="str">
            <v>Probolinggo</v>
          </cell>
          <cell r="S1720" t="str">
            <v>G Prob1</v>
          </cell>
          <cell r="T1720" t="str">
            <v>Wira</v>
          </cell>
          <cell r="U1720">
            <v>30</v>
          </cell>
        </row>
        <row r="1721">
          <cell r="E1721" t="str">
            <v>B25013665</v>
          </cell>
          <cell r="F1721"/>
          <cell r="G1721">
            <v>5000000000</v>
          </cell>
          <cell r="H1721" t="str">
            <v>Ariyani</v>
          </cell>
          <cell r="I1721" t="str">
            <v>Fira</v>
          </cell>
          <cell r="J1721"/>
          <cell r="K1721" t="str">
            <v>KU</v>
          </cell>
          <cell r="L1721" t="str">
            <v>BUMI01</v>
          </cell>
          <cell r="M1721" t="str">
            <v>Bumi Asih, UD/Hasan</v>
          </cell>
          <cell r="N1721" t="str">
            <v>Hasan</v>
          </cell>
          <cell r="O1721" t="str">
            <v>Jl. Argopuro XI No.16, RT.004/RW.004 Ketapang Kademangan</v>
          </cell>
          <cell r="P1721" t="str">
            <v>Probolinggo</v>
          </cell>
          <cell r="Q1721" t="str">
            <v>Jl. Argopuro XI No.16, RT.004/RW.004 Ketapang Kademangan</v>
          </cell>
          <cell r="R1721" t="str">
            <v>Probolinggo</v>
          </cell>
          <cell r="S1721" t="str">
            <v>G Prob1</v>
          </cell>
          <cell r="T1721" t="str">
            <v>Wira</v>
          </cell>
          <cell r="U1721">
            <v>30</v>
          </cell>
        </row>
        <row r="1722">
          <cell r="E1722" t="str">
            <v>D25016051</v>
          </cell>
          <cell r="F1722"/>
          <cell r="G1722">
            <v>5000000000</v>
          </cell>
          <cell r="H1722" t="str">
            <v>Ariyani</v>
          </cell>
          <cell r="I1722" t="str">
            <v>Fira</v>
          </cell>
          <cell r="J1722"/>
          <cell r="K1722" t="str">
            <v>KU</v>
          </cell>
          <cell r="L1722" t="str">
            <v>BUMI01</v>
          </cell>
          <cell r="M1722" t="str">
            <v>Bumi Asih, UD/Hasan</v>
          </cell>
          <cell r="N1722" t="str">
            <v>Hasan</v>
          </cell>
          <cell r="O1722" t="str">
            <v>Jl. Argopuro XI No.16, RT.004/RW.004 Ketapang Kademangan</v>
          </cell>
          <cell r="P1722" t="str">
            <v>Probolinggo</v>
          </cell>
          <cell r="Q1722" t="str">
            <v>Jl. Argopuro XI No.16, RT.004/RW.004 Ketapang Kademangan</v>
          </cell>
          <cell r="R1722" t="str">
            <v>Probolinggo</v>
          </cell>
          <cell r="S1722" t="str">
            <v>G Prob1</v>
          </cell>
          <cell r="T1722" t="str">
            <v>Wira</v>
          </cell>
          <cell r="U1722">
            <v>30</v>
          </cell>
        </row>
        <row r="1723">
          <cell r="E1723" t="str">
            <v>D25016056</v>
          </cell>
          <cell r="F1723"/>
          <cell r="G1723">
            <v>5000000000</v>
          </cell>
          <cell r="H1723" t="str">
            <v>Ariyani</v>
          </cell>
          <cell r="I1723" t="str">
            <v>Fira</v>
          </cell>
          <cell r="J1723"/>
          <cell r="K1723" t="str">
            <v>KU</v>
          </cell>
          <cell r="L1723" t="str">
            <v>BUMI01</v>
          </cell>
          <cell r="M1723" t="str">
            <v>Bumi Asih, UD/Hasan</v>
          </cell>
          <cell r="N1723" t="str">
            <v>Hasan</v>
          </cell>
          <cell r="O1723" t="str">
            <v>Jl. Argopuro XI No.16, RT.004/RW.004 Ketapang Kademangan</v>
          </cell>
          <cell r="P1723" t="str">
            <v>Probolinggo</v>
          </cell>
          <cell r="Q1723" t="str">
            <v>Jl. Argopuro XI No.16, RT.004/RW.004 Ketapang Kademangan</v>
          </cell>
          <cell r="R1723" t="str">
            <v>Probolinggo</v>
          </cell>
          <cell r="S1723" t="str">
            <v>G Prob1</v>
          </cell>
          <cell r="T1723" t="str">
            <v>Wira</v>
          </cell>
          <cell r="U1723">
            <v>30</v>
          </cell>
        </row>
        <row r="1724">
          <cell r="E1724" t="str">
            <v>B25013787</v>
          </cell>
          <cell r="F1724"/>
          <cell r="G1724">
            <v>5000000000</v>
          </cell>
          <cell r="H1724" t="str">
            <v>Ariyani</v>
          </cell>
          <cell r="I1724" t="str">
            <v>Fira</v>
          </cell>
          <cell r="J1724"/>
          <cell r="K1724" t="str">
            <v>KU</v>
          </cell>
          <cell r="L1724" t="str">
            <v>BUMI01</v>
          </cell>
          <cell r="M1724" t="str">
            <v>Bumi Asih, UD/Hasan</v>
          </cell>
          <cell r="N1724" t="str">
            <v>Hasan</v>
          </cell>
          <cell r="O1724" t="str">
            <v>Jl. Argopuro XI No.16, RT.004/RW.004 Ketapang Kademangan</v>
          </cell>
          <cell r="P1724" t="str">
            <v>Probolinggo</v>
          </cell>
          <cell r="Q1724" t="str">
            <v>Jl. Argopuro XI No.16, RT.004/RW.004 Ketapang Kademangan</v>
          </cell>
          <cell r="R1724" t="str">
            <v>Probolinggo</v>
          </cell>
          <cell r="S1724" t="str">
            <v>G Prob1</v>
          </cell>
          <cell r="T1724" t="str">
            <v>Wira</v>
          </cell>
          <cell r="U1724">
            <v>30</v>
          </cell>
        </row>
        <row r="1725">
          <cell r="E1725" t="str">
            <v>B25013819</v>
          </cell>
          <cell r="F1725"/>
          <cell r="G1725">
            <v>5000000000</v>
          </cell>
          <cell r="H1725" t="str">
            <v>Ariyani</v>
          </cell>
          <cell r="I1725" t="str">
            <v>Fira</v>
          </cell>
          <cell r="J1725"/>
          <cell r="K1725" t="str">
            <v>KU</v>
          </cell>
          <cell r="L1725" t="str">
            <v>BUMI01</v>
          </cell>
          <cell r="M1725" t="str">
            <v>Bumi Asih, UD/Hasan</v>
          </cell>
          <cell r="N1725" t="str">
            <v>Hasan</v>
          </cell>
          <cell r="O1725" t="str">
            <v>Jl. Argopuro XI No.16, RT.004/RW.004 Ketapang Kademangan</v>
          </cell>
          <cell r="P1725" t="str">
            <v>Probolinggo</v>
          </cell>
          <cell r="Q1725" t="str">
            <v>Jl. Argopuro XI No.16, RT.004/RW.004 Ketapang Kademangan</v>
          </cell>
          <cell r="R1725" t="str">
            <v>Probolinggo</v>
          </cell>
          <cell r="S1725" t="str">
            <v>G Prob1</v>
          </cell>
          <cell r="T1725" t="str">
            <v>Wira</v>
          </cell>
          <cell r="U1725">
            <v>30</v>
          </cell>
        </row>
        <row r="1726">
          <cell r="E1726" t="str">
            <v>B25013844</v>
          </cell>
          <cell r="F1726"/>
          <cell r="G1726">
            <v>5000000000</v>
          </cell>
          <cell r="H1726" t="str">
            <v>Ariyani</v>
          </cell>
          <cell r="I1726" t="str">
            <v>Fira</v>
          </cell>
          <cell r="J1726"/>
          <cell r="K1726" t="str">
            <v>KU</v>
          </cell>
          <cell r="L1726" t="str">
            <v>BUMI01</v>
          </cell>
          <cell r="M1726" t="str">
            <v>Bumi Asih, UD/Hasan</v>
          </cell>
          <cell r="N1726" t="str">
            <v>Hasan</v>
          </cell>
          <cell r="O1726" t="str">
            <v>Jl. Argopuro XI No.16, RT.004/RW.004 Ketapang Kademangan</v>
          </cell>
          <cell r="P1726" t="str">
            <v>Probolinggo</v>
          </cell>
          <cell r="Q1726" t="str">
            <v>Jl. Argopuro XI No.16, RT.004/RW.004 Ketapang Kademangan</v>
          </cell>
          <cell r="R1726" t="str">
            <v>Probolinggo</v>
          </cell>
          <cell r="S1726" t="str">
            <v>G Prob1</v>
          </cell>
          <cell r="T1726" t="str">
            <v>Wira</v>
          </cell>
          <cell r="U1726">
            <v>0</v>
          </cell>
        </row>
        <row r="1727">
          <cell r="E1727" t="str">
            <v>B25013862</v>
          </cell>
          <cell r="F1727"/>
          <cell r="G1727">
            <v>5000000000</v>
          </cell>
          <cell r="H1727" t="str">
            <v>Ariyani</v>
          </cell>
          <cell r="I1727" t="str">
            <v>Fira</v>
          </cell>
          <cell r="J1727"/>
          <cell r="K1727" t="str">
            <v>KU</v>
          </cell>
          <cell r="L1727" t="str">
            <v>BUMI01</v>
          </cell>
          <cell r="M1727" t="str">
            <v>Bumi Asih, UD/Hasan</v>
          </cell>
          <cell r="N1727" t="str">
            <v>Hasan</v>
          </cell>
          <cell r="O1727" t="str">
            <v>Jl. Argopuro XI No.16, RT.004/RW.004 Ketapang Kademangan</v>
          </cell>
          <cell r="P1727" t="str">
            <v>Probolinggo</v>
          </cell>
          <cell r="Q1727" t="str">
            <v>Jl. Argopuro XI No.16, RT.004/RW.004 Ketapang Kademangan</v>
          </cell>
          <cell r="R1727" t="str">
            <v>Probolinggo</v>
          </cell>
          <cell r="S1727" t="str">
            <v>G Prob1</v>
          </cell>
          <cell r="T1727" t="str">
            <v>Wira</v>
          </cell>
          <cell r="U1727">
            <v>0</v>
          </cell>
        </row>
        <row r="1728">
          <cell r="E1728" t="str">
            <v>D25016192</v>
          </cell>
          <cell r="F1728"/>
          <cell r="G1728">
            <v>5000000000</v>
          </cell>
          <cell r="H1728" t="str">
            <v>Ariyani</v>
          </cell>
          <cell r="I1728" t="str">
            <v>Fira</v>
          </cell>
          <cell r="J1728"/>
          <cell r="K1728" t="str">
            <v>KU</v>
          </cell>
          <cell r="L1728" t="str">
            <v>BUMI01</v>
          </cell>
          <cell r="M1728" t="str">
            <v>Bumi Asih, UD/Hasan</v>
          </cell>
          <cell r="N1728" t="str">
            <v>Hasan</v>
          </cell>
          <cell r="O1728" t="str">
            <v>Jl. Argopuro XI No.16, RT.004/RW.004 Ketapang Kademangan</v>
          </cell>
          <cell r="P1728" t="str">
            <v>Probolinggo</v>
          </cell>
          <cell r="Q1728" t="str">
            <v>Jl. Argopuro XI No.16, RT.004/RW.004 Ketapang Kademangan</v>
          </cell>
          <cell r="R1728" t="str">
            <v>Probolinggo</v>
          </cell>
          <cell r="S1728" t="str">
            <v>G Prob1</v>
          </cell>
          <cell r="T1728" t="str">
            <v>Wira</v>
          </cell>
          <cell r="U1728">
            <v>0</v>
          </cell>
        </row>
        <row r="1729">
          <cell r="E1729" t="str">
            <v>B25014013</v>
          </cell>
          <cell r="F1729"/>
          <cell r="G1729">
            <v>5000000000</v>
          </cell>
          <cell r="H1729" t="str">
            <v>Ariyani</v>
          </cell>
          <cell r="I1729" t="str">
            <v>Fira</v>
          </cell>
          <cell r="J1729"/>
          <cell r="K1729" t="str">
            <v>KU</v>
          </cell>
          <cell r="L1729" t="str">
            <v>BUMI01</v>
          </cell>
          <cell r="M1729" t="str">
            <v>Bumi Asih, UD/Hasan</v>
          </cell>
          <cell r="N1729" t="str">
            <v>Hasan</v>
          </cell>
          <cell r="O1729" t="str">
            <v>Jl. Argopuro XI No.16, RT.004/RW.004 Ketapang Kademangan</v>
          </cell>
          <cell r="P1729" t="str">
            <v>Probolinggo</v>
          </cell>
          <cell r="Q1729" t="str">
            <v>Jl. Argopuro XI No.16, RT.004/RW.004 Ketapang Kademangan</v>
          </cell>
          <cell r="R1729" t="str">
            <v>Probolinggo</v>
          </cell>
          <cell r="S1729" t="str">
            <v>G Prob1</v>
          </cell>
          <cell r="T1729" t="str">
            <v>Wira</v>
          </cell>
          <cell r="U1729">
            <v>0</v>
          </cell>
        </row>
        <row r="1730">
          <cell r="E1730" t="str">
            <v>D25016364</v>
          </cell>
          <cell r="F1730"/>
          <cell r="G1730">
            <v>5000000000</v>
          </cell>
          <cell r="H1730" t="str">
            <v>Ariyani</v>
          </cell>
          <cell r="I1730" t="str">
            <v>Fira</v>
          </cell>
          <cell r="J1730"/>
          <cell r="K1730" t="str">
            <v>KU</v>
          </cell>
          <cell r="L1730" t="str">
            <v>BUMI01</v>
          </cell>
          <cell r="M1730" t="str">
            <v>Bumi Asih, UD/Hasan</v>
          </cell>
          <cell r="N1730" t="str">
            <v>Hasan</v>
          </cell>
          <cell r="O1730" t="str">
            <v>Jl. Argopuro XI No.16, RT.004/RW.004 Ketapang Kademangan</v>
          </cell>
          <cell r="P1730" t="str">
            <v>Probolinggo</v>
          </cell>
          <cell r="Q1730" t="str">
            <v>Jl. Argopuro XI No.16, RT.004/RW.004 Ketapang Kademangan</v>
          </cell>
          <cell r="R1730" t="str">
            <v>Probolinggo</v>
          </cell>
          <cell r="S1730" t="str">
            <v>G Prob1</v>
          </cell>
          <cell r="T1730" t="str">
            <v>Wira</v>
          </cell>
          <cell r="U1730">
            <v>30</v>
          </cell>
        </row>
        <row r="1731">
          <cell r="E1731" t="str">
            <v>D25016365</v>
          </cell>
          <cell r="F1731"/>
          <cell r="G1731">
            <v>5000000000</v>
          </cell>
          <cell r="H1731" t="str">
            <v>Ariyani</v>
          </cell>
          <cell r="I1731" t="str">
            <v>Fira</v>
          </cell>
          <cell r="J1731"/>
          <cell r="K1731" t="str">
            <v>KU</v>
          </cell>
          <cell r="L1731" t="str">
            <v>BUMI01</v>
          </cell>
          <cell r="M1731" t="str">
            <v>Bumi Asih, UD/Hasan</v>
          </cell>
          <cell r="N1731" t="str">
            <v>Hasan</v>
          </cell>
          <cell r="O1731" t="str">
            <v>Jl. Argopuro XI No.16, RT.004/RW.004 Ketapang Kademangan</v>
          </cell>
          <cell r="P1731" t="str">
            <v>Probolinggo</v>
          </cell>
          <cell r="Q1731" t="str">
            <v>Jl. Argopuro XI No.16, RT.004/RW.004 Ketapang Kademangan</v>
          </cell>
          <cell r="R1731" t="str">
            <v>Probolinggo</v>
          </cell>
          <cell r="S1731" t="str">
            <v>G Prob1</v>
          </cell>
          <cell r="T1731" t="str">
            <v>Wira</v>
          </cell>
          <cell r="U1731">
            <v>30</v>
          </cell>
        </row>
        <row r="1732">
          <cell r="E1732" t="str">
            <v>D25016384</v>
          </cell>
          <cell r="F1732"/>
          <cell r="G1732">
            <v>5000000000</v>
          </cell>
          <cell r="H1732" t="str">
            <v>Ariyani</v>
          </cell>
          <cell r="I1732" t="str">
            <v>Fira</v>
          </cell>
          <cell r="J1732"/>
          <cell r="K1732" t="str">
            <v>KU</v>
          </cell>
          <cell r="L1732" t="str">
            <v>BUMI01</v>
          </cell>
          <cell r="M1732" t="str">
            <v>Bumi Asih, UD/Hasan</v>
          </cell>
          <cell r="N1732" t="str">
            <v>Hasan</v>
          </cell>
          <cell r="O1732" t="str">
            <v>Jl. Argopuro XI No.16, RT.004/RW.004 Ketapang Kademangan</v>
          </cell>
          <cell r="P1732" t="str">
            <v>Probolinggo</v>
          </cell>
          <cell r="Q1732" t="str">
            <v>Jl. Argopuro XI No.16, RT.004/RW.004 Ketapang Kademangan</v>
          </cell>
          <cell r="R1732" t="str">
            <v>Probolinggo</v>
          </cell>
          <cell r="S1732" t="str">
            <v>G Prob1</v>
          </cell>
          <cell r="T1732" t="str">
            <v>Wira</v>
          </cell>
          <cell r="U1732">
            <v>30</v>
          </cell>
        </row>
        <row r="1733">
          <cell r="E1733" t="str">
            <v>B25012630</v>
          </cell>
          <cell r="F1733"/>
          <cell r="G1733">
            <v>1000</v>
          </cell>
          <cell r="H1733" t="str">
            <v>Ariyani</v>
          </cell>
          <cell r="I1733" t="str">
            <v>Fira</v>
          </cell>
          <cell r="J1733"/>
          <cell r="K1733" t="str">
            <v>KU, Tunai</v>
          </cell>
          <cell r="L1733" t="str">
            <v>BUMI02</v>
          </cell>
          <cell r="M1733" t="str">
            <v>Bumi Asih, UD/Rian</v>
          </cell>
          <cell r="N1733" t="str">
            <v>Rian Hidayat Ismail</v>
          </cell>
          <cell r="O1733" t="str">
            <v>Dsn. Pekalen, RT.008/RW.003, Kel. Maron Kidul, Kec. Maron</v>
          </cell>
          <cell r="P1733" t="str">
            <v>Probolinggo</v>
          </cell>
          <cell r="Q1733" t="str">
            <v>Maron</v>
          </cell>
          <cell r="R1733" t="str">
            <v>Probolinggo</v>
          </cell>
          <cell r="S1733" t="str">
            <v>G Prob2</v>
          </cell>
          <cell r="T1733" t="str">
            <v>Wira</v>
          </cell>
          <cell r="U1733">
            <v>0</v>
          </cell>
        </row>
        <row r="1734">
          <cell r="E1734" t="str">
            <v>B25009859</v>
          </cell>
          <cell r="F1734"/>
          <cell r="G1734">
            <v>750000000</v>
          </cell>
          <cell r="H1734" t="str">
            <v>Yuyun</v>
          </cell>
          <cell r="I1734" t="str">
            <v>Farida</v>
          </cell>
          <cell r="J1734"/>
          <cell r="K1734" t="str">
            <v>Tunai</v>
          </cell>
          <cell r="L1734" t="str">
            <v>BUMI04</v>
          </cell>
          <cell r="M1734" t="str">
            <v>Bumi Jaya, UD/Farida</v>
          </cell>
          <cell r="N1734" t="str">
            <v>M. Makki Husnan</v>
          </cell>
          <cell r="O1734" t="str">
            <v>Dsn. Krajan, RT.003/RW.001, Tanggul Kulon</v>
          </cell>
          <cell r="P1734" t="str">
            <v>Jember</v>
          </cell>
          <cell r="Q1734" t="str">
            <v>Dsn. Krajan, RT.003/RW.001, Tanggul Kulon</v>
          </cell>
          <cell r="R1734" t="str">
            <v>Jember</v>
          </cell>
          <cell r="S1734" t="str">
            <v>L Kota3</v>
          </cell>
          <cell r="T1734" t="str">
            <v>Wira</v>
          </cell>
          <cell r="U1734">
            <v>30</v>
          </cell>
        </row>
        <row r="1735">
          <cell r="E1735" t="str">
            <v>B25010227</v>
          </cell>
          <cell r="F1735"/>
          <cell r="G1735">
            <v>750000000</v>
          </cell>
          <cell r="H1735" t="str">
            <v>Yuyun</v>
          </cell>
          <cell r="I1735" t="str">
            <v>Farida</v>
          </cell>
          <cell r="J1735"/>
          <cell r="K1735" t="str">
            <v>Tunai</v>
          </cell>
          <cell r="L1735" t="str">
            <v>BUMI04</v>
          </cell>
          <cell r="M1735" t="str">
            <v>Bumi Jaya, UD/Farida</v>
          </cell>
          <cell r="N1735" t="str">
            <v>M. Makki Husnan</v>
          </cell>
          <cell r="O1735" t="str">
            <v>Dsn. Krajan, RT.003/RW.001, Tanggul Kulon</v>
          </cell>
          <cell r="P1735" t="str">
            <v>Jember</v>
          </cell>
          <cell r="Q1735" t="str">
            <v>Dsn. Krajan, RT.003/RW.001, Tanggul Kulon</v>
          </cell>
          <cell r="R1735" t="str">
            <v>Jember</v>
          </cell>
          <cell r="S1735" t="str">
            <v>L Kota3</v>
          </cell>
          <cell r="T1735" t="str">
            <v>Wira</v>
          </cell>
          <cell r="U1735">
            <v>30</v>
          </cell>
        </row>
        <row r="1736">
          <cell r="E1736" t="str">
            <v>B25010227</v>
          </cell>
          <cell r="F1736"/>
          <cell r="G1736">
            <v>750000000</v>
          </cell>
          <cell r="H1736" t="str">
            <v>Yuyun</v>
          </cell>
          <cell r="I1736" t="str">
            <v>Farida</v>
          </cell>
          <cell r="J1736"/>
          <cell r="K1736" t="str">
            <v>Tunai</v>
          </cell>
          <cell r="L1736" t="str">
            <v>BUMI04</v>
          </cell>
          <cell r="M1736" t="str">
            <v>Bumi Jaya, UD/Farida</v>
          </cell>
          <cell r="N1736" t="str">
            <v>M. Makki Husnan</v>
          </cell>
          <cell r="O1736" t="str">
            <v>Dsn. Krajan, RT.003/RW.001, Tanggul Kulon</v>
          </cell>
          <cell r="P1736" t="str">
            <v>Jember</v>
          </cell>
          <cell r="Q1736" t="str">
            <v>Dsn. Krajan, RT.003/RW.001, Tanggul Kulon</v>
          </cell>
          <cell r="R1736" t="str">
            <v>Jember</v>
          </cell>
          <cell r="S1736" t="str">
            <v>L Kota3</v>
          </cell>
          <cell r="T1736" t="str">
            <v>Wira</v>
          </cell>
          <cell r="U1736">
            <v>30</v>
          </cell>
        </row>
        <row r="1737">
          <cell r="E1737" t="str">
            <v>B25010227</v>
          </cell>
          <cell r="F1737"/>
          <cell r="G1737">
            <v>750000000</v>
          </cell>
          <cell r="H1737" t="str">
            <v>Yuyun</v>
          </cell>
          <cell r="I1737" t="str">
            <v>Farida</v>
          </cell>
          <cell r="J1737"/>
          <cell r="K1737" t="str">
            <v>Tunai</v>
          </cell>
          <cell r="L1737" t="str">
            <v>BUMI04</v>
          </cell>
          <cell r="M1737" t="str">
            <v>Bumi Jaya, UD/Farida</v>
          </cell>
          <cell r="N1737" t="str">
            <v>M. Makki Husnan</v>
          </cell>
          <cell r="O1737" t="str">
            <v>Dsn. Krajan, RT.003/RW.001, Tanggul Kulon</v>
          </cell>
          <cell r="P1737" t="str">
            <v>Jember</v>
          </cell>
          <cell r="Q1737" t="str">
            <v>Dsn. Krajan, RT.003/RW.001, Tanggul Kulon</v>
          </cell>
          <cell r="R1737" t="str">
            <v>Jember</v>
          </cell>
          <cell r="S1737" t="str">
            <v>L Kota3</v>
          </cell>
          <cell r="T1737" t="str">
            <v>Wira</v>
          </cell>
          <cell r="U1737">
            <v>30</v>
          </cell>
        </row>
        <row r="1738">
          <cell r="E1738" t="str">
            <v>D25012179</v>
          </cell>
          <cell r="F1738"/>
          <cell r="G1738">
            <v>750000000</v>
          </cell>
          <cell r="H1738" t="str">
            <v>Yuyun</v>
          </cell>
          <cell r="I1738" t="str">
            <v>Farida</v>
          </cell>
          <cell r="J1738"/>
          <cell r="K1738" t="str">
            <v>Tunai</v>
          </cell>
          <cell r="L1738" t="str">
            <v>BUMI04</v>
          </cell>
          <cell r="M1738" t="str">
            <v>Bumi Jaya, UD/Farida</v>
          </cell>
          <cell r="N1738" t="str">
            <v>M. Makki Husnan</v>
          </cell>
          <cell r="O1738" t="str">
            <v>Dsn. Krajan, RT.003/RW.001, Tanggul Kulon</v>
          </cell>
          <cell r="P1738" t="str">
            <v>Jember</v>
          </cell>
          <cell r="Q1738" t="str">
            <v>Dsn. Krajan, RT.003/RW.001, Tanggul Kulon</v>
          </cell>
          <cell r="R1738" t="str">
            <v>Jember</v>
          </cell>
          <cell r="S1738" t="str">
            <v>L Kota3</v>
          </cell>
          <cell r="T1738" t="str">
            <v>Wira</v>
          </cell>
          <cell r="U1738">
            <v>60</v>
          </cell>
        </row>
        <row r="1739">
          <cell r="E1739" t="str">
            <v>D25012333</v>
          </cell>
          <cell r="F1739"/>
          <cell r="G1739">
            <v>750000000</v>
          </cell>
          <cell r="H1739" t="str">
            <v>Yuyun</v>
          </cell>
          <cell r="I1739" t="str">
            <v>Farida</v>
          </cell>
          <cell r="J1739"/>
          <cell r="K1739" t="str">
            <v>Tunai</v>
          </cell>
          <cell r="L1739" t="str">
            <v>BUMI04</v>
          </cell>
          <cell r="M1739" t="str">
            <v>Bumi Jaya, UD/Farida</v>
          </cell>
          <cell r="N1739" t="str">
            <v>M. Makki Husnan</v>
          </cell>
          <cell r="O1739" t="str">
            <v>Dsn. Krajan, RT.003/RW.001, Tanggul Kulon</v>
          </cell>
          <cell r="P1739" t="str">
            <v>Jember</v>
          </cell>
          <cell r="Q1739" t="str">
            <v>Dsn. Krajan, RT.003/RW.001, Tanggul Kulon</v>
          </cell>
          <cell r="R1739" t="str">
            <v>Jember</v>
          </cell>
          <cell r="S1739" t="str">
            <v>L Kota3</v>
          </cell>
          <cell r="T1739" t="str">
            <v>Wira</v>
          </cell>
          <cell r="U1739">
            <v>30</v>
          </cell>
        </row>
        <row r="1740">
          <cell r="E1740" t="str">
            <v>D25012333</v>
          </cell>
          <cell r="F1740"/>
          <cell r="G1740">
            <v>750000000</v>
          </cell>
          <cell r="H1740" t="str">
            <v>Yuyun</v>
          </cell>
          <cell r="I1740" t="str">
            <v>Farida</v>
          </cell>
          <cell r="J1740"/>
          <cell r="K1740" t="str">
            <v>Tunai</v>
          </cell>
          <cell r="L1740" t="str">
            <v>BUMI04</v>
          </cell>
          <cell r="M1740" t="str">
            <v>Bumi Jaya, UD/Farida</v>
          </cell>
          <cell r="N1740" t="str">
            <v>M. Makki Husnan</v>
          </cell>
          <cell r="O1740" t="str">
            <v>Dsn. Krajan, RT.003/RW.001, Tanggul Kulon</v>
          </cell>
          <cell r="P1740" t="str">
            <v>Jember</v>
          </cell>
          <cell r="Q1740" t="str">
            <v>Dsn. Krajan, RT.003/RW.001, Tanggul Kulon</v>
          </cell>
          <cell r="R1740" t="str">
            <v>Jember</v>
          </cell>
          <cell r="S1740" t="str">
            <v>L Kota3</v>
          </cell>
          <cell r="T1740" t="str">
            <v>Wira</v>
          </cell>
          <cell r="U1740">
            <v>30</v>
          </cell>
        </row>
        <row r="1741">
          <cell r="E1741" t="str">
            <v>D25012372</v>
          </cell>
          <cell r="F1741"/>
          <cell r="G1741">
            <v>750000000</v>
          </cell>
          <cell r="H1741" t="str">
            <v>Yuyun</v>
          </cell>
          <cell r="I1741" t="str">
            <v>Farida</v>
          </cell>
          <cell r="J1741"/>
          <cell r="K1741" t="str">
            <v>Tunai</v>
          </cell>
          <cell r="L1741" t="str">
            <v>BUMI04</v>
          </cell>
          <cell r="M1741" t="str">
            <v>Bumi Jaya, UD/Farida</v>
          </cell>
          <cell r="N1741" t="str">
            <v>M. Makki Husnan</v>
          </cell>
          <cell r="O1741" t="str">
            <v>Dsn. Krajan, RT.003/RW.001, Tanggul Kulon</v>
          </cell>
          <cell r="P1741" t="str">
            <v>Jember</v>
          </cell>
          <cell r="Q1741" t="str">
            <v>Dsn. Krajan, RT.003/RW.001, Tanggul Kulon</v>
          </cell>
          <cell r="R1741" t="str">
            <v>Jember</v>
          </cell>
          <cell r="S1741" t="str">
            <v>L Kota3</v>
          </cell>
          <cell r="T1741" t="str">
            <v>Wira</v>
          </cell>
          <cell r="U1741">
            <v>30</v>
          </cell>
        </row>
        <row r="1742">
          <cell r="E1742" t="str">
            <v>D25012761</v>
          </cell>
          <cell r="F1742"/>
          <cell r="G1742">
            <v>750000000</v>
          </cell>
          <cell r="H1742" t="str">
            <v>Yuyun</v>
          </cell>
          <cell r="I1742" t="str">
            <v>Farida</v>
          </cell>
          <cell r="J1742"/>
          <cell r="K1742" t="str">
            <v>Tunai</v>
          </cell>
          <cell r="L1742" t="str">
            <v>BUMI04</v>
          </cell>
          <cell r="M1742" t="str">
            <v>Bumi Jaya, UD/Farida</v>
          </cell>
          <cell r="N1742" t="str">
            <v>M. Makki Husnan</v>
          </cell>
          <cell r="O1742" t="str">
            <v>Dsn. Krajan, RT.003/RW.001, Tanggul Kulon</v>
          </cell>
          <cell r="P1742" t="str">
            <v>Jember</v>
          </cell>
          <cell r="Q1742" t="str">
            <v>Dsn. Krajan, RT.003/RW.001, Tanggul Kulon</v>
          </cell>
          <cell r="R1742" t="str">
            <v>Jember</v>
          </cell>
          <cell r="S1742" t="str">
            <v>L Kota3</v>
          </cell>
          <cell r="T1742" t="str">
            <v>Wira</v>
          </cell>
          <cell r="U1742">
            <v>30</v>
          </cell>
        </row>
        <row r="1743">
          <cell r="E1743" t="str">
            <v>B25010834</v>
          </cell>
          <cell r="F1743"/>
          <cell r="G1743">
            <v>750000000</v>
          </cell>
          <cell r="H1743" t="str">
            <v>Yuyun</v>
          </cell>
          <cell r="I1743" t="str">
            <v>Farida</v>
          </cell>
          <cell r="J1743"/>
          <cell r="K1743" t="str">
            <v>Tunai</v>
          </cell>
          <cell r="L1743" t="str">
            <v>BUMI04</v>
          </cell>
          <cell r="M1743" t="str">
            <v>Bumi Jaya, UD/Farida</v>
          </cell>
          <cell r="N1743" t="str">
            <v>M. Makki Husnan</v>
          </cell>
          <cell r="O1743" t="str">
            <v>Dsn. Krajan, RT.003/RW.001, Tanggul Kulon</v>
          </cell>
          <cell r="P1743" t="str">
            <v>Jember</v>
          </cell>
          <cell r="Q1743" t="str">
            <v>Dsn. Krajan, RT.003/RW.001, Tanggul Kulon</v>
          </cell>
          <cell r="R1743" t="str">
            <v>Jember</v>
          </cell>
          <cell r="S1743" t="str">
            <v>L Kota3</v>
          </cell>
          <cell r="T1743" t="str">
            <v>Wira</v>
          </cell>
          <cell r="U1743">
            <v>30</v>
          </cell>
        </row>
        <row r="1744">
          <cell r="E1744" t="str">
            <v>B25010834</v>
          </cell>
          <cell r="F1744"/>
          <cell r="G1744">
            <v>750000000</v>
          </cell>
          <cell r="H1744" t="str">
            <v>Yuyun</v>
          </cell>
          <cell r="I1744" t="str">
            <v>Farida</v>
          </cell>
          <cell r="J1744"/>
          <cell r="K1744" t="str">
            <v>Tunai</v>
          </cell>
          <cell r="L1744" t="str">
            <v>BUMI04</v>
          </cell>
          <cell r="M1744" t="str">
            <v>Bumi Jaya, UD/Farida</v>
          </cell>
          <cell r="N1744" t="str">
            <v>M. Makki Husnan</v>
          </cell>
          <cell r="O1744" t="str">
            <v>Dsn. Krajan, RT.003/RW.001, Tanggul Kulon</v>
          </cell>
          <cell r="P1744" t="str">
            <v>Jember</v>
          </cell>
          <cell r="Q1744" t="str">
            <v>Dsn. Krajan, RT.003/RW.001, Tanggul Kulon</v>
          </cell>
          <cell r="R1744" t="str">
            <v>Jember</v>
          </cell>
          <cell r="S1744" t="str">
            <v>L Kota3</v>
          </cell>
          <cell r="T1744" t="str">
            <v>Wira</v>
          </cell>
          <cell r="U1744">
            <v>30</v>
          </cell>
        </row>
        <row r="1745">
          <cell r="E1745" t="str">
            <v>D25012824</v>
          </cell>
          <cell r="F1745"/>
          <cell r="G1745">
            <v>750000000</v>
          </cell>
          <cell r="H1745" t="str">
            <v>Yuyun</v>
          </cell>
          <cell r="I1745" t="str">
            <v>Farida</v>
          </cell>
          <cell r="J1745"/>
          <cell r="K1745" t="str">
            <v>Tunai</v>
          </cell>
          <cell r="L1745" t="str">
            <v>BUMI04</v>
          </cell>
          <cell r="M1745" t="str">
            <v>Bumi Jaya, UD/Farida</v>
          </cell>
          <cell r="N1745" t="str">
            <v>M. Makki Husnan</v>
          </cell>
          <cell r="O1745" t="str">
            <v>Dsn. Krajan, RT.003/RW.001, Tanggul Kulon</v>
          </cell>
          <cell r="P1745" t="str">
            <v>Jember</v>
          </cell>
          <cell r="Q1745" t="str">
            <v>Dsn. Krajan, RT.003/RW.001, Tanggul Kulon</v>
          </cell>
          <cell r="R1745" t="str">
            <v>Jember</v>
          </cell>
          <cell r="S1745" t="str">
            <v>L Kota3</v>
          </cell>
          <cell r="T1745" t="str">
            <v>Wira</v>
          </cell>
          <cell r="U1745">
            <v>30</v>
          </cell>
        </row>
        <row r="1746">
          <cell r="E1746" t="str">
            <v>D25012985</v>
          </cell>
          <cell r="F1746"/>
          <cell r="G1746">
            <v>750000000</v>
          </cell>
          <cell r="H1746" t="str">
            <v>Yuyun</v>
          </cell>
          <cell r="I1746" t="str">
            <v>Farida</v>
          </cell>
          <cell r="J1746"/>
          <cell r="K1746" t="str">
            <v>Tunai</v>
          </cell>
          <cell r="L1746" t="str">
            <v>BUMI04</v>
          </cell>
          <cell r="M1746" t="str">
            <v>Bumi Jaya, UD/Farida</v>
          </cell>
          <cell r="N1746" t="str">
            <v>M. Makki Husnan</v>
          </cell>
          <cell r="O1746" t="str">
            <v>Dsn. Krajan, RT.003/RW.001, Tanggul Kulon</v>
          </cell>
          <cell r="P1746" t="str">
            <v>Jember</v>
          </cell>
          <cell r="Q1746" t="str">
            <v>Dsn. Krajan, RT.003/RW.001, Tanggul Kulon</v>
          </cell>
          <cell r="R1746" t="str">
            <v>Jember</v>
          </cell>
          <cell r="S1746" t="str">
            <v>L Kota3</v>
          </cell>
          <cell r="T1746" t="str">
            <v>Wira</v>
          </cell>
          <cell r="U1746">
            <v>30</v>
          </cell>
        </row>
        <row r="1747">
          <cell r="E1747" t="str">
            <v>D25013086</v>
          </cell>
          <cell r="F1747"/>
          <cell r="G1747">
            <v>750000000</v>
          </cell>
          <cell r="H1747" t="str">
            <v>Yuyun</v>
          </cell>
          <cell r="I1747" t="str">
            <v>Farida</v>
          </cell>
          <cell r="J1747"/>
          <cell r="K1747" t="str">
            <v>Tunai</v>
          </cell>
          <cell r="L1747" t="str">
            <v>BUMI04</v>
          </cell>
          <cell r="M1747" t="str">
            <v>Bumi Jaya, UD/Farida</v>
          </cell>
          <cell r="N1747" t="str">
            <v>M. Makki Husnan</v>
          </cell>
          <cell r="O1747" t="str">
            <v>Dsn. Krajan, RT.003/RW.001, Tanggul Kulon</v>
          </cell>
          <cell r="P1747" t="str">
            <v>Jember</v>
          </cell>
          <cell r="Q1747" t="str">
            <v>Dsn. Krajan, RT.003/RW.001, Tanggul Kulon</v>
          </cell>
          <cell r="R1747" t="str">
            <v>Jember</v>
          </cell>
          <cell r="S1747" t="str">
            <v>L Kota3</v>
          </cell>
          <cell r="T1747" t="str">
            <v>Wira</v>
          </cell>
          <cell r="U1747">
            <v>30</v>
          </cell>
        </row>
        <row r="1748">
          <cell r="E1748" t="str">
            <v>D25013086</v>
          </cell>
          <cell r="F1748"/>
          <cell r="G1748">
            <v>750000000</v>
          </cell>
          <cell r="H1748" t="str">
            <v>Yuyun</v>
          </cell>
          <cell r="I1748" t="str">
            <v>Farida</v>
          </cell>
          <cell r="J1748"/>
          <cell r="K1748" t="str">
            <v>Tunai</v>
          </cell>
          <cell r="L1748" t="str">
            <v>BUMI04</v>
          </cell>
          <cell r="M1748" t="str">
            <v>Bumi Jaya, UD/Farida</v>
          </cell>
          <cell r="N1748" t="str">
            <v>M. Makki Husnan</v>
          </cell>
          <cell r="O1748" t="str">
            <v>Dsn. Krajan, RT.003/RW.001, Tanggul Kulon</v>
          </cell>
          <cell r="P1748" t="str">
            <v>Jember</v>
          </cell>
          <cell r="Q1748" t="str">
            <v>Dsn. Krajan, RT.003/RW.001, Tanggul Kulon</v>
          </cell>
          <cell r="R1748" t="str">
            <v>Jember</v>
          </cell>
          <cell r="S1748" t="str">
            <v>L Kota3</v>
          </cell>
          <cell r="T1748" t="str">
            <v>Wira</v>
          </cell>
          <cell r="U1748">
            <v>30</v>
          </cell>
        </row>
        <row r="1749">
          <cell r="E1749" t="str">
            <v>D25013102</v>
          </cell>
          <cell r="F1749"/>
          <cell r="G1749">
            <v>750000000</v>
          </cell>
          <cell r="H1749" t="str">
            <v>Yuyun</v>
          </cell>
          <cell r="I1749" t="str">
            <v>Farida</v>
          </cell>
          <cell r="J1749"/>
          <cell r="K1749" t="str">
            <v>Tunai</v>
          </cell>
          <cell r="L1749" t="str">
            <v>BUMI04</v>
          </cell>
          <cell r="M1749" t="str">
            <v>Bumi Jaya, UD/Farida</v>
          </cell>
          <cell r="N1749" t="str">
            <v>M. Makki Husnan</v>
          </cell>
          <cell r="O1749" t="str">
            <v>Dsn. Krajan, RT.003/RW.001, Tanggul Kulon</v>
          </cell>
          <cell r="P1749" t="str">
            <v>Jember</v>
          </cell>
          <cell r="Q1749" t="str">
            <v>Dsn. Krajan, RT.003/RW.001, Tanggul Kulon</v>
          </cell>
          <cell r="R1749" t="str">
            <v>Jember</v>
          </cell>
          <cell r="S1749" t="str">
            <v>L Kota3</v>
          </cell>
          <cell r="T1749" t="str">
            <v>Wira</v>
          </cell>
          <cell r="U1749">
            <v>30</v>
          </cell>
        </row>
        <row r="1750">
          <cell r="E1750" t="str">
            <v>D25013565</v>
          </cell>
          <cell r="F1750"/>
          <cell r="G1750">
            <v>750000000</v>
          </cell>
          <cell r="H1750" t="str">
            <v>Yuyun</v>
          </cell>
          <cell r="I1750" t="str">
            <v>Farida</v>
          </cell>
          <cell r="J1750"/>
          <cell r="K1750" t="str">
            <v>Tunai</v>
          </cell>
          <cell r="L1750" t="str">
            <v>BUMI04</v>
          </cell>
          <cell r="M1750" t="str">
            <v>Bumi Jaya, UD/Farida</v>
          </cell>
          <cell r="N1750" t="str">
            <v>M. Makki Husnan</v>
          </cell>
          <cell r="O1750" t="str">
            <v>Dsn. Krajan, RT.003/RW.001, Tanggul Kulon</v>
          </cell>
          <cell r="P1750" t="str">
            <v>Jember</v>
          </cell>
          <cell r="Q1750" t="str">
            <v>Dsn. Krajan, RT.003/RW.001, Tanggul Kulon</v>
          </cell>
          <cell r="R1750" t="str">
            <v>Jember</v>
          </cell>
          <cell r="S1750" t="str">
            <v>L Kota3</v>
          </cell>
          <cell r="T1750" t="str">
            <v>Wira</v>
          </cell>
          <cell r="U1750">
            <v>30</v>
          </cell>
        </row>
        <row r="1751">
          <cell r="E1751" t="str">
            <v>B25011446</v>
          </cell>
          <cell r="F1751"/>
          <cell r="G1751">
            <v>750000000</v>
          </cell>
          <cell r="H1751" t="str">
            <v>Yuyun</v>
          </cell>
          <cell r="I1751" t="str">
            <v>Farida</v>
          </cell>
          <cell r="J1751"/>
          <cell r="K1751" t="str">
            <v>Tunai</v>
          </cell>
          <cell r="L1751" t="str">
            <v>BUMI04</v>
          </cell>
          <cell r="M1751" t="str">
            <v>Bumi Jaya, UD/Farida</v>
          </cell>
          <cell r="N1751" t="str">
            <v>M. Makki Husnan</v>
          </cell>
          <cell r="O1751" t="str">
            <v>Dsn. Krajan, RT.003/RW.001, Tanggul Kulon</v>
          </cell>
          <cell r="P1751" t="str">
            <v>Jember</v>
          </cell>
          <cell r="Q1751" t="str">
            <v>Dsn. Krajan, RT.003/RW.001, Tanggul Kulon</v>
          </cell>
          <cell r="R1751" t="str">
            <v>Jember</v>
          </cell>
          <cell r="S1751" t="str">
            <v>L Kota3</v>
          </cell>
          <cell r="T1751" t="str">
            <v>Wira</v>
          </cell>
          <cell r="U1751">
            <v>30</v>
          </cell>
        </row>
        <row r="1752">
          <cell r="E1752" t="str">
            <v>D25013902</v>
          </cell>
          <cell r="F1752"/>
          <cell r="G1752">
            <v>750000000</v>
          </cell>
          <cell r="H1752" t="str">
            <v>Yuyun</v>
          </cell>
          <cell r="I1752" t="str">
            <v>Farida</v>
          </cell>
          <cell r="J1752"/>
          <cell r="K1752" t="str">
            <v>Tunai</v>
          </cell>
          <cell r="L1752" t="str">
            <v>BUMI04</v>
          </cell>
          <cell r="M1752" t="str">
            <v>Bumi Jaya, UD/Farida</v>
          </cell>
          <cell r="N1752" t="str">
            <v>M. Makki Husnan</v>
          </cell>
          <cell r="O1752" t="str">
            <v>Dsn. Krajan, RT.003/RW.001, Tanggul Kulon</v>
          </cell>
          <cell r="P1752" t="str">
            <v>Jember</v>
          </cell>
          <cell r="Q1752" t="str">
            <v>Dsn. Krajan, RT.003/RW.001, Tanggul Kulon</v>
          </cell>
          <cell r="R1752" t="str">
            <v>Jember</v>
          </cell>
          <cell r="S1752" t="str">
            <v>L Kota3</v>
          </cell>
          <cell r="T1752" t="str">
            <v>Wira</v>
          </cell>
          <cell r="U1752">
            <v>30</v>
          </cell>
        </row>
        <row r="1753">
          <cell r="E1753" t="str">
            <v>B25012004</v>
          </cell>
          <cell r="F1753"/>
          <cell r="G1753">
            <v>750000000</v>
          </cell>
          <cell r="H1753" t="str">
            <v>Yuyun</v>
          </cell>
          <cell r="I1753" t="str">
            <v>Farida</v>
          </cell>
          <cell r="J1753"/>
          <cell r="K1753" t="str">
            <v>Tunai</v>
          </cell>
          <cell r="L1753" t="str">
            <v>BUMI04</v>
          </cell>
          <cell r="M1753" t="str">
            <v>Bumi Jaya, UD/Farida</v>
          </cell>
          <cell r="N1753" t="str">
            <v>M. Makki Husnan</v>
          </cell>
          <cell r="O1753" t="str">
            <v>Dsn. Krajan, RT.003/RW.001, Tanggul Kulon</v>
          </cell>
          <cell r="P1753" t="str">
            <v>Jember</v>
          </cell>
          <cell r="Q1753" t="str">
            <v>Dsn. Krajan, RT.003/RW.001, Tanggul Kulon</v>
          </cell>
          <cell r="R1753" t="str">
            <v>Jember</v>
          </cell>
          <cell r="S1753" t="str">
            <v>L Kota3</v>
          </cell>
          <cell r="T1753" t="str">
            <v>Wira</v>
          </cell>
          <cell r="U1753">
            <v>30</v>
          </cell>
        </row>
        <row r="1754">
          <cell r="E1754" t="str">
            <v>D25014557</v>
          </cell>
          <cell r="F1754"/>
          <cell r="G1754">
            <v>750000000</v>
          </cell>
          <cell r="H1754" t="str">
            <v>Yuyun</v>
          </cell>
          <cell r="I1754" t="str">
            <v>Farida</v>
          </cell>
          <cell r="J1754"/>
          <cell r="K1754" t="str">
            <v>Tunai</v>
          </cell>
          <cell r="L1754" t="str">
            <v>BUMI04</v>
          </cell>
          <cell r="M1754" t="str">
            <v>Bumi Jaya, UD/Farida</v>
          </cell>
          <cell r="N1754" t="str">
            <v>M. Makki Husnan</v>
          </cell>
          <cell r="O1754" t="str">
            <v>Dsn. Krajan, RT.003/RW.001, Tanggul Kulon</v>
          </cell>
          <cell r="P1754" t="str">
            <v>Jember</v>
          </cell>
          <cell r="Q1754" t="str">
            <v>Dsn. Krajan, RT.003/RW.001, Tanggul Kulon</v>
          </cell>
          <cell r="R1754" t="str">
            <v>Jember</v>
          </cell>
          <cell r="S1754" t="str">
            <v>L Kota3</v>
          </cell>
          <cell r="T1754" t="str">
            <v>Wira</v>
          </cell>
          <cell r="U1754">
            <v>30</v>
          </cell>
        </row>
        <row r="1755">
          <cell r="E1755" t="str">
            <v>D25014814</v>
          </cell>
          <cell r="F1755"/>
          <cell r="G1755">
            <v>750000000</v>
          </cell>
          <cell r="H1755" t="str">
            <v>Yuyun</v>
          </cell>
          <cell r="I1755" t="str">
            <v>Farida</v>
          </cell>
          <cell r="J1755"/>
          <cell r="K1755" t="str">
            <v>Tunai</v>
          </cell>
          <cell r="L1755" t="str">
            <v>BUMI04</v>
          </cell>
          <cell r="M1755" t="str">
            <v>Bumi Jaya, UD/Farida</v>
          </cell>
          <cell r="N1755" t="str">
            <v>M. Makki Husnan</v>
          </cell>
          <cell r="O1755" t="str">
            <v>Dsn. Krajan, RT.003/RW.001, Tanggul Kulon</v>
          </cell>
          <cell r="P1755" t="str">
            <v>Jember</v>
          </cell>
          <cell r="Q1755" t="str">
            <v>Dsn. Krajan, RT.003/RW.001, Tanggul Kulon</v>
          </cell>
          <cell r="R1755" t="str">
            <v>Jember</v>
          </cell>
          <cell r="S1755" t="str">
            <v>L Kota3</v>
          </cell>
          <cell r="T1755" t="str">
            <v>Wira</v>
          </cell>
          <cell r="U1755">
            <v>0</v>
          </cell>
        </row>
        <row r="1756">
          <cell r="E1756" t="str">
            <v>D25014998</v>
          </cell>
          <cell r="F1756"/>
          <cell r="G1756">
            <v>750000000</v>
          </cell>
          <cell r="H1756" t="str">
            <v>Yuyun</v>
          </cell>
          <cell r="I1756" t="str">
            <v>Farida</v>
          </cell>
          <cell r="J1756"/>
          <cell r="K1756" t="str">
            <v>Tunai</v>
          </cell>
          <cell r="L1756" t="str">
            <v>BUMI04</v>
          </cell>
          <cell r="M1756" t="str">
            <v>Bumi Jaya, UD/Farida</v>
          </cell>
          <cell r="N1756" t="str">
            <v>M. Makki Husnan</v>
          </cell>
          <cell r="O1756" t="str">
            <v>Dsn. Krajan, RT.003/RW.001, Tanggul Kulon</v>
          </cell>
          <cell r="P1756" t="str">
            <v>Jember</v>
          </cell>
          <cell r="Q1756" t="str">
            <v>Dsn. Krajan, RT.003/RW.001, Tanggul Kulon</v>
          </cell>
          <cell r="R1756" t="str">
            <v>Jember</v>
          </cell>
          <cell r="S1756" t="str">
            <v>L Kota3</v>
          </cell>
          <cell r="T1756" t="str">
            <v>Wira</v>
          </cell>
          <cell r="U1756">
            <v>30</v>
          </cell>
        </row>
        <row r="1757">
          <cell r="E1757" t="str">
            <v>D25015007</v>
          </cell>
          <cell r="F1757"/>
          <cell r="G1757">
            <v>750000000</v>
          </cell>
          <cell r="H1757" t="str">
            <v>Yuyun</v>
          </cell>
          <cell r="I1757" t="str">
            <v>Farida</v>
          </cell>
          <cell r="J1757"/>
          <cell r="K1757" t="str">
            <v>Tunai</v>
          </cell>
          <cell r="L1757" t="str">
            <v>BUMI04</v>
          </cell>
          <cell r="M1757" t="str">
            <v>Bumi Jaya, UD/Farida</v>
          </cell>
          <cell r="N1757" t="str">
            <v>M. Makki Husnan</v>
          </cell>
          <cell r="O1757" t="str">
            <v>Dsn. Krajan, RT.003/RW.001, Tanggul Kulon</v>
          </cell>
          <cell r="P1757" t="str">
            <v>Jember</v>
          </cell>
          <cell r="Q1757" t="str">
            <v>Dsn. Krajan, RT.003/RW.001, Tanggul Kulon</v>
          </cell>
          <cell r="R1757" t="str">
            <v>Jember</v>
          </cell>
          <cell r="S1757" t="str">
            <v>L Kota3</v>
          </cell>
          <cell r="T1757" t="str">
            <v>Wira</v>
          </cell>
          <cell r="U1757">
            <v>0</v>
          </cell>
        </row>
        <row r="1758">
          <cell r="E1758" t="str">
            <v>B25012810</v>
          </cell>
          <cell r="F1758"/>
          <cell r="G1758">
            <v>750000000</v>
          </cell>
          <cell r="H1758" t="str">
            <v>Yuyun</v>
          </cell>
          <cell r="I1758" t="str">
            <v>Farida</v>
          </cell>
          <cell r="J1758"/>
          <cell r="K1758" t="str">
            <v>Tunai</v>
          </cell>
          <cell r="L1758" t="str">
            <v>BUMI04</v>
          </cell>
          <cell r="M1758" t="str">
            <v>Bumi Jaya, UD/Farida</v>
          </cell>
          <cell r="N1758" t="str">
            <v>M. Makki Husnan</v>
          </cell>
          <cell r="O1758" t="str">
            <v>Dsn. Krajan, RT.003/RW.001, Tanggul Kulon</v>
          </cell>
          <cell r="P1758" t="str">
            <v>Jember</v>
          </cell>
          <cell r="Q1758" t="str">
            <v>Dsn. Krajan, RT.003/RW.001, Tanggul Kulon</v>
          </cell>
          <cell r="R1758" t="str">
            <v>Jember</v>
          </cell>
          <cell r="S1758" t="str">
            <v>L Kota3</v>
          </cell>
          <cell r="T1758" t="str">
            <v>Wira</v>
          </cell>
          <cell r="U1758">
            <v>30</v>
          </cell>
        </row>
        <row r="1759">
          <cell r="E1759" t="str">
            <v>D25015045</v>
          </cell>
          <cell r="F1759"/>
          <cell r="G1759">
            <v>750000000</v>
          </cell>
          <cell r="H1759" t="str">
            <v>Yuyun</v>
          </cell>
          <cell r="I1759" t="str">
            <v>Farida</v>
          </cell>
          <cell r="J1759"/>
          <cell r="K1759" t="str">
            <v>Tunai</v>
          </cell>
          <cell r="L1759" t="str">
            <v>BUMI04</v>
          </cell>
          <cell r="M1759" t="str">
            <v>Bumi Jaya, UD/Farida</v>
          </cell>
          <cell r="N1759" t="str">
            <v>M. Makki Husnan</v>
          </cell>
          <cell r="O1759" t="str">
            <v>Dsn. Krajan, RT.003/RW.001, Tanggul Kulon</v>
          </cell>
          <cell r="P1759" t="str">
            <v>Jember</v>
          </cell>
          <cell r="Q1759" t="str">
            <v>Dsn. Krajan, RT.003/RW.001, Tanggul Kulon</v>
          </cell>
          <cell r="R1759" t="str">
            <v>Jember</v>
          </cell>
          <cell r="S1759" t="str">
            <v>L Kota3</v>
          </cell>
          <cell r="T1759" t="str">
            <v>Wira</v>
          </cell>
          <cell r="U1759">
            <v>30</v>
          </cell>
        </row>
        <row r="1760">
          <cell r="E1760" t="str">
            <v>D25015461</v>
          </cell>
          <cell r="F1760"/>
          <cell r="G1760">
            <v>750000000</v>
          </cell>
          <cell r="H1760" t="str">
            <v>Yuyun</v>
          </cell>
          <cell r="I1760" t="str">
            <v>Farida</v>
          </cell>
          <cell r="J1760"/>
          <cell r="K1760" t="str">
            <v>Tunai</v>
          </cell>
          <cell r="L1760" t="str">
            <v>BUMI04</v>
          </cell>
          <cell r="M1760" t="str">
            <v>Bumi Jaya, UD/Farida</v>
          </cell>
          <cell r="N1760" t="str">
            <v>M. Makki Husnan</v>
          </cell>
          <cell r="O1760" t="str">
            <v>Dsn. Krajan, RT.003/RW.001, Tanggul Kulon</v>
          </cell>
          <cell r="P1760" t="str">
            <v>Jember</v>
          </cell>
          <cell r="Q1760" t="str">
            <v>Dsn. Krajan, RT.003/RW.001, Tanggul Kulon</v>
          </cell>
          <cell r="R1760" t="str">
            <v>Jember</v>
          </cell>
          <cell r="S1760" t="str">
            <v>L Kota3</v>
          </cell>
          <cell r="T1760" t="str">
            <v>Wira</v>
          </cell>
          <cell r="U1760">
            <v>0</v>
          </cell>
        </row>
        <row r="1761">
          <cell r="E1761" t="str">
            <v>D25015462</v>
          </cell>
          <cell r="F1761"/>
          <cell r="G1761">
            <v>750000000</v>
          </cell>
          <cell r="H1761" t="str">
            <v>Yuyun</v>
          </cell>
          <cell r="I1761" t="str">
            <v>Farida</v>
          </cell>
          <cell r="J1761"/>
          <cell r="K1761" t="str">
            <v>Tunai</v>
          </cell>
          <cell r="L1761" t="str">
            <v>BUMI04</v>
          </cell>
          <cell r="M1761" t="str">
            <v>Bumi Jaya, UD/Farida</v>
          </cell>
          <cell r="N1761" t="str">
            <v>M. Makki Husnan</v>
          </cell>
          <cell r="O1761" t="str">
            <v>Dsn. Krajan, RT.003/RW.001, Tanggul Kulon</v>
          </cell>
          <cell r="P1761" t="str">
            <v>Jember</v>
          </cell>
          <cell r="Q1761" t="str">
            <v>Dsn. Krajan, RT.003/RW.001, Tanggul Kulon</v>
          </cell>
          <cell r="R1761" t="str">
            <v>Jember</v>
          </cell>
          <cell r="S1761" t="str">
            <v>L Kota3</v>
          </cell>
          <cell r="T1761" t="str">
            <v>Wira</v>
          </cell>
          <cell r="U1761">
            <v>30</v>
          </cell>
        </row>
        <row r="1762">
          <cell r="E1762" t="str">
            <v>B25013385</v>
          </cell>
          <cell r="F1762"/>
          <cell r="G1762">
            <v>750000000</v>
          </cell>
          <cell r="H1762" t="str">
            <v>Yuyun</v>
          </cell>
          <cell r="I1762" t="str">
            <v>Farida</v>
          </cell>
          <cell r="J1762"/>
          <cell r="K1762" t="str">
            <v>Tunai</v>
          </cell>
          <cell r="L1762" t="str">
            <v>BUMI04</v>
          </cell>
          <cell r="M1762" t="str">
            <v>Bumi Jaya, UD/Farida</v>
          </cell>
          <cell r="N1762" t="str">
            <v>M. Makki Husnan</v>
          </cell>
          <cell r="O1762" t="str">
            <v>Dsn. Krajan, RT.003/RW.001, Tanggul Kulon</v>
          </cell>
          <cell r="P1762" t="str">
            <v>Jember</v>
          </cell>
          <cell r="Q1762" t="str">
            <v>Dsn. Krajan, RT.003/RW.001, Tanggul Kulon</v>
          </cell>
          <cell r="R1762" t="str">
            <v>Jember</v>
          </cell>
          <cell r="S1762" t="str">
            <v>L Kota3</v>
          </cell>
          <cell r="T1762" t="str">
            <v>Wira</v>
          </cell>
          <cell r="U1762">
            <v>30</v>
          </cell>
        </row>
        <row r="1763">
          <cell r="E1763" t="str">
            <v>D25015850</v>
          </cell>
          <cell r="F1763"/>
          <cell r="G1763">
            <v>750000000</v>
          </cell>
          <cell r="H1763" t="str">
            <v>Yuyun</v>
          </cell>
          <cell r="I1763" t="str">
            <v>Farida</v>
          </cell>
          <cell r="J1763"/>
          <cell r="K1763" t="str">
            <v>Tunai</v>
          </cell>
          <cell r="L1763" t="str">
            <v>BUMI04</v>
          </cell>
          <cell r="M1763" t="str">
            <v>Bumi Jaya, UD/Farida</v>
          </cell>
          <cell r="N1763" t="str">
            <v>M. Makki Husnan</v>
          </cell>
          <cell r="O1763" t="str">
            <v>Dsn. Krajan, RT.003/RW.001, Tanggul Kulon</v>
          </cell>
          <cell r="P1763" t="str">
            <v>Jember</v>
          </cell>
          <cell r="Q1763" t="str">
            <v>Dsn. Krajan, RT.003/RW.001, Tanggul Kulon</v>
          </cell>
          <cell r="R1763" t="str">
            <v>Jember</v>
          </cell>
          <cell r="S1763" t="str">
            <v>L Kota3</v>
          </cell>
          <cell r="T1763" t="str">
            <v>Wira</v>
          </cell>
          <cell r="U1763">
            <v>30</v>
          </cell>
        </row>
        <row r="1764">
          <cell r="E1764" t="str">
            <v>B25013932</v>
          </cell>
          <cell r="F1764"/>
          <cell r="G1764">
            <v>750000000</v>
          </cell>
          <cell r="H1764" t="str">
            <v>Yuyun</v>
          </cell>
          <cell r="I1764" t="str">
            <v>Farida</v>
          </cell>
          <cell r="J1764"/>
          <cell r="K1764" t="str">
            <v>Tunai</v>
          </cell>
          <cell r="L1764" t="str">
            <v>BUMI04</v>
          </cell>
          <cell r="M1764" t="str">
            <v>Bumi Jaya, UD/Farida</v>
          </cell>
          <cell r="N1764" t="str">
            <v>M. Makki Husnan</v>
          </cell>
          <cell r="O1764" t="str">
            <v>Dsn. Krajan, RT.003/RW.001, Tanggul Kulon</v>
          </cell>
          <cell r="P1764" t="str">
            <v>Jember</v>
          </cell>
          <cell r="Q1764" t="str">
            <v>Dsn. Krajan, RT.003/RW.001, Tanggul Kulon</v>
          </cell>
          <cell r="R1764" t="str">
            <v>Jember</v>
          </cell>
          <cell r="S1764" t="str">
            <v>L Kota3</v>
          </cell>
          <cell r="T1764" t="str">
            <v>Wira</v>
          </cell>
          <cell r="U1764">
            <v>30</v>
          </cell>
        </row>
        <row r="1765">
          <cell r="E1765" t="str">
            <v>B25014026</v>
          </cell>
          <cell r="F1765"/>
          <cell r="G1765">
            <v>750000000</v>
          </cell>
          <cell r="H1765" t="str">
            <v>Yuyun</v>
          </cell>
          <cell r="I1765" t="str">
            <v>Farida</v>
          </cell>
          <cell r="J1765"/>
          <cell r="K1765" t="str">
            <v>Tunai</v>
          </cell>
          <cell r="L1765" t="str">
            <v>BUMI04</v>
          </cell>
          <cell r="M1765" t="str">
            <v>Bumi Jaya, UD/Farida</v>
          </cell>
          <cell r="N1765" t="str">
            <v>M. Makki Husnan</v>
          </cell>
          <cell r="O1765" t="str">
            <v>Dsn. Krajan, RT.003/RW.001, Tanggul Kulon</v>
          </cell>
          <cell r="P1765" t="str">
            <v>Jember</v>
          </cell>
          <cell r="Q1765" t="str">
            <v>Dsn. Krajan, RT.003/RW.001, Tanggul Kulon</v>
          </cell>
          <cell r="R1765" t="str">
            <v>Jember</v>
          </cell>
          <cell r="S1765" t="str">
            <v>L Kota3</v>
          </cell>
          <cell r="T1765" t="str">
            <v>Wira</v>
          </cell>
          <cell r="U1765">
            <v>30</v>
          </cell>
        </row>
        <row r="1766">
          <cell r="E1766" t="str">
            <v>B25014075</v>
          </cell>
          <cell r="F1766"/>
          <cell r="G1766">
            <v>750000000</v>
          </cell>
          <cell r="H1766" t="str">
            <v>Yuyun</v>
          </cell>
          <cell r="I1766" t="str">
            <v>Farida</v>
          </cell>
          <cell r="J1766"/>
          <cell r="K1766" t="str">
            <v>Tunai</v>
          </cell>
          <cell r="L1766" t="str">
            <v>BUMI04</v>
          </cell>
          <cell r="M1766" t="str">
            <v>Bumi Jaya, UD/Farida</v>
          </cell>
          <cell r="N1766" t="str">
            <v>M. Makki Husnan</v>
          </cell>
          <cell r="O1766" t="str">
            <v>Dsn. Krajan, RT.003/RW.001, Tanggul Kulon</v>
          </cell>
          <cell r="P1766" t="str">
            <v>Jember</v>
          </cell>
          <cell r="Q1766" t="str">
            <v>Dsn. Krajan, RT.003/RW.001, Tanggul Kulon</v>
          </cell>
          <cell r="R1766" t="str">
            <v>Jember</v>
          </cell>
          <cell r="S1766" t="str">
            <v>L Kota3</v>
          </cell>
          <cell r="T1766" t="str">
            <v>Wira</v>
          </cell>
          <cell r="U1766">
            <v>30</v>
          </cell>
        </row>
        <row r="1767">
          <cell r="E1767" t="str">
            <v>D25014525</v>
          </cell>
          <cell r="F1767"/>
          <cell r="G1767">
            <v>130000000</v>
          </cell>
          <cell r="H1767" t="str">
            <v>Zakia</v>
          </cell>
          <cell r="I1767" t="str">
            <v>Tiya</v>
          </cell>
          <cell r="J1767" t="str">
            <v>New 21/12/20</v>
          </cell>
          <cell r="K1767" t="str">
            <v>KU</v>
          </cell>
          <cell r="L1767" t="str">
            <v>BUMI05</v>
          </cell>
          <cell r="M1767" t="str">
            <v>Bumi Lestari, UD</v>
          </cell>
          <cell r="N1767" t="str">
            <v>Ni Nengah Werdi</v>
          </cell>
          <cell r="O1767" t="str">
            <v>BR. Dinas Bayunggede RT.000/RW.000, Kel. Bayung Gede, Kec. Kintamani, Bangli</v>
          </cell>
          <cell r="P1767" t="str">
            <v>Bali</v>
          </cell>
          <cell r="Q1767" t="str">
            <v>BR. Dinas Bayunggede RT.000/RW.000, Kel. Bayung Gede, Kec. Kintamani, Bangli</v>
          </cell>
          <cell r="R1767" t="str">
            <v>Bali</v>
          </cell>
          <cell r="S1767" t="str">
            <v>S Bali1</v>
          </cell>
          <cell r="T1767" t="str">
            <v>Wira</v>
          </cell>
          <cell r="U1767">
            <v>30</v>
          </cell>
        </row>
        <row r="1768">
          <cell r="E1768" t="str">
            <v>D25013329</v>
          </cell>
          <cell r="F1768"/>
          <cell r="G1768">
            <v>100000000</v>
          </cell>
          <cell r="H1768" t="str">
            <v>Yuyun</v>
          </cell>
          <cell r="I1768" t="str">
            <v>Farida</v>
          </cell>
          <cell r="J1768" t="str">
            <v>New 28/01/22</v>
          </cell>
          <cell r="K1768" t="str">
            <v>KU, Tunai</v>
          </cell>
          <cell r="L1768" t="str">
            <v>BUMI15</v>
          </cell>
          <cell r="M1768" t="str">
            <v>Bumi Tani 2/Hafid</v>
          </cell>
          <cell r="N1768" t="str">
            <v>Hafid Setyo Hadi</v>
          </cell>
          <cell r="O1768" t="str">
            <v>Dusun Demangan RT.002/RW.009, Kel. Kesilir, Kec. Wuluhan</v>
          </cell>
          <cell r="P1768" t="str">
            <v>Jember</v>
          </cell>
          <cell r="Q1768" t="str">
            <v>Gondosari, Tamansari - Wuluhan</v>
          </cell>
          <cell r="R1768" t="str">
            <v>Jember</v>
          </cell>
          <cell r="S1768" t="str">
            <v>L Kota2</v>
          </cell>
          <cell r="T1768" t="str">
            <v>Efendi</v>
          </cell>
          <cell r="U1768">
            <v>30</v>
          </cell>
        </row>
        <row r="1769">
          <cell r="E1769" t="str">
            <v>D25013908</v>
          </cell>
          <cell r="F1769"/>
          <cell r="G1769">
            <v>100000000</v>
          </cell>
          <cell r="H1769" t="str">
            <v>Yuyun</v>
          </cell>
          <cell r="I1769" t="str">
            <v>Farida</v>
          </cell>
          <cell r="J1769" t="str">
            <v>New 28/01/22</v>
          </cell>
          <cell r="K1769" t="str">
            <v>KU, Tunai</v>
          </cell>
          <cell r="L1769" t="str">
            <v>BUMI15</v>
          </cell>
          <cell r="M1769" t="str">
            <v>Bumi Tani 2/Hafid</v>
          </cell>
          <cell r="N1769" t="str">
            <v>Hafid Setyo Hadi</v>
          </cell>
          <cell r="O1769" t="str">
            <v>Dusun Demangan RT.002/RW.009, Kel. Kesilir, Kec. Wuluhan</v>
          </cell>
          <cell r="P1769" t="str">
            <v>Jember</v>
          </cell>
          <cell r="Q1769" t="str">
            <v>Gondosari, Tamansari - Wuluhan</v>
          </cell>
          <cell r="R1769" t="str">
            <v>Jember</v>
          </cell>
          <cell r="S1769" t="str">
            <v>L Kota2</v>
          </cell>
          <cell r="T1769" t="str">
            <v>Efendi</v>
          </cell>
          <cell r="U1769">
            <v>30</v>
          </cell>
        </row>
        <row r="1770">
          <cell r="E1770" t="str">
            <v>B25012816</v>
          </cell>
          <cell r="F1770"/>
          <cell r="G1770">
            <v>100000000</v>
          </cell>
          <cell r="H1770" t="str">
            <v>Yuyun</v>
          </cell>
          <cell r="I1770" t="str">
            <v>Farida</v>
          </cell>
          <cell r="J1770" t="str">
            <v>New 28/01/22</v>
          </cell>
          <cell r="K1770" t="str">
            <v>KU, Tunai</v>
          </cell>
          <cell r="L1770" t="str">
            <v>BUMI15</v>
          </cell>
          <cell r="M1770" t="str">
            <v>Bumi Tani 2/Hafid</v>
          </cell>
          <cell r="N1770" t="str">
            <v>Hafid Setyo Hadi</v>
          </cell>
          <cell r="O1770" t="str">
            <v>Dusun Demangan RT.002/RW.009, Kel. Kesilir, Kec. Wuluhan</v>
          </cell>
          <cell r="P1770" t="str">
            <v>Jember</v>
          </cell>
          <cell r="Q1770" t="str">
            <v>Gondosari, Tamansari - Wuluhan</v>
          </cell>
          <cell r="R1770" t="str">
            <v>Jember</v>
          </cell>
          <cell r="S1770" t="str">
            <v>L Kota2</v>
          </cell>
          <cell r="T1770" t="str">
            <v>Efendi</v>
          </cell>
          <cell r="U1770">
            <v>30</v>
          </cell>
        </row>
        <row r="1771">
          <cell r="E1771" t="str">
            <v>T25001478</v>
          </cell>
          <cell r="F1771"/>
          <cell r="G1771">
            <v>1000</v>
          </cell>
          <cell r="H1771" t="str">
            <v>Reni</v>
          </cell>
          <cell r="I1771" t="str">
            <v>Farida</v>
          </cell>
          <cell r="J1771"/>
          <cell r="K1771" t="str">
            <v>COD</v>
          </cell>
          <cell r="L1771" t="str">
            <v>BUMI16</v>
          </cell>
          <cell r="M1771" t="str">
            <v>Bumi Tani/Aji Santoso</v>
          </cell>
          <cell r="N1771" t="str">
            <v>Aji Santoso</v>
          </cell>
          <cell r="O1771" t="str">
            <v>Kejuron RT.013/RW.005, Kel. Bobol, Kec. Sekar</v>
          </cell>
          <cell r="P1771" t="str">
            <v>Bojonegoro</v>
          </cell>
          <cell r="Q1771" t="str">
            <v>Jl. Karangjati - Rejuno Ds. Ploso Lor, Kec. Karangjati</v>
          </cell>
          <cell r="R1771" t="str">
            <v>Ngawi</v>
          </cell>
          <cell r="S1771" t="str">
            <v>D Barat1</v>
          </cell>
          <cell r="T1771" t="str">
            <v>Dian</v>
          </cell>
          <cell r="U1771">
            <v>60</v>
          </cell>
        </row>
        <row r="1772">
          <cell r="E1772" t="str">
            <v>D25012976</v>
          </cell>
          <cell r="F1772"/>
          <cell r="G1772">
            <v>50000000</v>
          </cell>
          <cell r="H1772" t="str">
            <v>Ariyani</v>
          </cell>
          <cell r="I1772" t="str">
            <v>Fira</v>
          </cell>
          <cell r="J1772" t="str">
            <v>New 21/04/20</v>
          </cell>
          <cell r="K1772" t="str">
            <v>KU, Tunai</v>
          </cell>
          <cell r="L1772" t="str">
            <v>BUMI12</v>
          </cell>
          <cell r="M1772" t="str">
            <v>Bumi Tani/Andika</v>
          </cell>
          <cell r="N1772" t="str">
            <v>Andika Tri Setya Rahman</v>
          </cell>
          <cell r="O1772" t="str">
            <v>Dsn. Demangan, RT.002/RW.009 Kel. Keselir, Kec. Wuluhan</v>
          </cell>
          <cell r="P1772" t="str">
            <v>Jember</v>
          </cell>
          <cell r="Q1772" t="str">
            <v>Dsn. Demangan, RT.002/RW.009 Kel. Keselir, Kec. Wuluhan</v>
          </cell>
          <cell r="R1772" t="str">
            <v>Jember</v>
          </cell>
          <cell r="S1772" t="str">
            <v>L Kota2</v>
          </cell>
          <cell r="T1772" t="str">
            <v>Wira</v>
          </cell>
          <cell r="U1772">
            <v>30</v>
          </cell>
        </row>
        <row r="1773">
          <cell r="E1773" t="str">
            <v>D25011860</v>
          </cell>
          <cell r="F1773"/>
          <cell r="G1773">
            <v>150000000</v>
          </cell>
          <cell r="H1773" t="str">
            <v>Reni</v>
          </cell>
          <cell r="I1773" t="str">
            <v>Fira</v>
          </cell>
          <cell r="J1773"/>
          <cell r="K1773" t="str">
            <v>KU</v>
          </cell>
          <cell r="L1773" t="str">
            <v>BUNG01</v>
          </cell>
          <cell r="M1773" t="str">
            <v>Bunga Bertani, UD</v>
          </cell>
          <cell r="N1773" t="str">
            <v>Muqim Amrullah</v>
          </cell>
          <cell r="O1773" t="str">
            <v>Dsn. Krajan, RT.001/RW.005, Lerankulon, Palang</v>
          </cell>
          <cell r="P1773" t="str">
            <v>Tuban</v>
          </cell>
          <cell r="Q1773" t="str">
            <v>Dsn. Krajan, RT.001/RW.005, Lerankulon, Palang</v>
          </cell>
          <cell r="R1773" t="str">
            <v>Tuban</v>
          </cell>
          <cell r="S1773" t="str">
            <v>F Utara1</v>
          </cell>
          <cell r="T1773" t="str">
            <v>Dian</v>
          </cell>
          <cell r="U1773">
            <v>60</v>
          </cell>
        </row>
        <row r="1774">
          <cell r="E1774" t="str">
            <v>D25011860</v>
          </cell>
          <cell r="F1774"/>
          <cell r="G1774">
            <v>150000000</v>
          </cell>
          <cell r="H1774" t="str">
            <v>Reni</v>
          </cell>
          <cell r="I1774" t="str">
            <v>Fira</v>
          </cell>
          <cell r="J1774"/>
          <cell r="K1774" t="str">
            <v>KU</v>
          </cell>
          <cell r="L1774" t="str">
            <v>BUNG01</v>
          </cell>
          <cell r="M1774" t="str">
            <v>Bunga Bertani, UD</v>
          </cell>
          <cell r="N1774" t="str">
            <v>Muqim Amrullah</v>
          </cell>
          <cell r="O1774" t="str">
            <v>Dsn. Krajan, RT.001/RW.005, Lerankulon, Palang</v>
          </cell>
          <cell r="P1774" t="str">
            <v>Tuban</v>
          </cell>
          <cell r="Q1774" t="str">
            <v>Dsn. Krajan, RT.001/RW.005, Lerankulon, Palang</v>
          </cell>
          <cell r="R1774" t="str">
            <v>Tuban</v>
          </cell>
          <cell r="S1774" t="str">
            <v>F Utara1</v>
          </cell>
          <cell r="T1774" t="str">
            <v>Dian</v>
          </cell>
          <cell r="U1774">
            <v>60</v>
          </cell>
        </row>
        <row r="1775">
          <cell r="E1775" t="str">
            <v>B25010330</v>
          </cell>
          <cell r="F1775"/>
          <cell r="G1775">
            <v>150000000</v>
          </cell>
          <cell r="H1775" t="str">
            <v>Reni</v>
          </cell>
          <cell r="I1775" t="str">
            <v>Fira</v>
          </cell>
          <cell r="J1775"/>
          <cell r="K1775" t="str">
            <v>KU</v>
          </cell>
          <cell r="L1775" t="str">
            <v>BUNG01</v>
          </cell>
          <cell r="M1775" t="str">
            <v>Bunga Bertani, UD</v>
          </cell>
          <cell r="N1775" t="str">
            <v>Muqim Amrullah</v>
          </cell>
          <cell r="O1775" t="str">
            <v>Dsn. Krajan, RT.001/RW.005, Lerankulon, Palang</v>
          </cell>
          <cell r="P1775" t="str">
            <v>Tuban</v>
          </cell>
          <cell r="Q1775" t="str">
            <v>Dsn. Krajan, RT.001/RW.005, Lerankulon, Palang</v>
          </cell>
          <cell r="R1775" t="str">
            <v>Tuban</v>
          </cell>
          <cell r="S1775" t="str">
            <v>F Utara1</v>
          </cell>
          <cell r="T1775" t="str">
            <v>Dian</v>
          </cell>
          <cell r="U1775">
            <v>30</v>
          </cell>
        </row>
        <row r="1776">
          <cell r="E1776" t="str">
            <v>B25010330</v>
          </cell>
          <cell r="F1776"/>
          <cell r="G1776">
            <v>150000000</v>
          </cell>
          <cell r="H1776" t="str">
            <v>Reni</v>
          </cell>
          <cell r="I1776" t="str">
            <v>Fira</v>
          </cell>
          <cell r="J1776"/>
          <cell r="K1776" t="str">
            <v>KU</v>
          </cell>
          <cell r="L1776" t="str">
            <v>BUNG01</v>
          </cell>
          <cell r="M1776" t="str">
            <v>Bunga Bertani, UD</v>
          </cell>
          <cell r="N1776" t="str">
            <v>Muqim Amrullah</v>
          </cell>
          <cell r="O1776" t="str">
            <v>Dsn. Krajan, RT.001/RW.005, Lerankulon, Palang</v>
          </cell>
          <cell r="P1776" t="str">
            <v>Tuban</v>
          </cell>
          <cell r="Q1776" t="str">
            <v>Dsn. Krajan, RT.001/RW.005, Lerankulon, Palang</v>
          </cell>
          <cell r="R1776" t="str">
            <v>Tuban</v>
          </cell>
          <cell r="S1776" t="str">
            <v>F Utara1</v>
          </cell>
          <cell r="T1776" t="str">
            <v>Dian</v>
          </cell>
          <cell r="U1776">
            <v>30</v>
          </cell>
        </row>
        <row r="1777">
          <cell r="E1777" t="str">
            <v>B25010330</v>
          </cell>
          <cell r="F1777"/>
          <cell r="G1777">
            <v>150000000</v>
          </cell>
          <cell r="H1777" t="str">
            <v>Reni</v>
          </cell>
          <cell r="I1777" t="str">
            <v>Fira</v>
          </cell>
          <cell r="J1777"/>
          <cell r="K1777" t="str">
            <v>KU</v>
          </cell>
          <cell r="L1777" t="str">
            <v>BUNG01</v>
          </cell>
          <cell r="M1777" t="str">
            <v>Bunga Bertani, UD</v>
          </cell>
          <cell r="N1777" t="str">
            <v>Muqim Amrullah</v>
          </cell>
          <cell r="O1777" t="str">
            <v>Dsn. Krajan, RT.001/RW.005, Lerankulon, Palang</v>
          </cell>
          <cell r="P1777" t="str">
            <v>Tuban</v>
          </cell>
          <cell r="Q1777" t="str">
            <v>Dsn. Krajan, RT.001/RW.005, Lerankulon, Palang</v>
          </cell>
          <cell r="R1777" t="str">
            <v>Tuban</v>
          </cell>
          <cell r="S1777" t="str">
            <v>F Utara1</v>
          </cell>
          <cell r="T1777" t="str">
            <v>Dian</v>
          </cell>
          <cell r="U1777">
            <v>30</v>
          </cell>
        </row>
        <row r="1778">
          <cell r="E1778" t="str">
            <v>B25010330</v>
          </cell>
          <cell r="F1778"/>
          <cell r="G1778">
            <v>150000000</v>
          </cell>
          <cell r="H1778" t="str">
            <v>Reni</v>
          </cell>
          <cell r="I1778" t="str">
            <v>Fira</v>
          </cell>
          <cell r="J1778"/>
          <cell r="K1778" t="str">
            <v>KU</v>
          </cell>
          <cell r="L1778" t="str">
            <v>BUNG01</v>
          </cell>
          <cell r="M1778" t="str">
            <v>Bunga Bertani, UD</v>
          </cell>
          <cell r="N1778" t="str">
            <v>Muqim Amrullah</v>
          </cell>
          <cell r="O1778" t="str">
            <v>Dsn. Krajan, RT.001/RW.005, Lerankulon, Palang</v>
          </cell>
          <cell r="P1778" t="str">
            <v>Tuban</v>
          </cell>
          <cell r="Q1778" t="str">
            <v>Dsn. Krajan, RT.001/RW.005, Lerankulon, Palang</v>
          </cell>
          <cell r="R1778" t="str">
            <v>Tuban</v>
          </cell>
          <cell r="S1778" t="str">
            <v>F Utara1</v>
          </cell>
          <cell r="T1778" t="str">
            <v>Dian</v>
          </cell>
          <cell r="U1778">
            <v>30</v>
          </cell>
        </row>
        <row r="1779">
          <cell r="E1779" t="str">
            <v>B25011331</v>
          </cell>
          <cell r="F1779"/>
          <cell r="G1779">
            <v>150000000</v>
          </cell>
          <cell r="H1779" t="str">
            <v>Reni</v>
          </cell>
          <cell r="I1779" t="str">
            <v>Fira</v>
          </cell>
          <cell r="J1779"/>
          <cell r="K1779" t="str">
            <v>KU</v>
          </cell>
          <cell r="L1779" t="str">
            <v>BUNG01</v>
          </cell>
          <cell r="M1779" t="str">
            <v>Bunga Bertani, UD</v>
          </cell>
          <cell r="N1779" t="str">
            <v>Muqim Amrullah</v>
          </cell>
          <cell r="O1779" t="str">
            <v>Dsn. Krajan, RT.001/RW.005, Lerankulon, Palang</v>
          </cell>
          <cell r="P1779" t="str">
            <v>Tuban</v>
          </cell>
          <cell r="Q1779" t="str">
            <v>Dsn. Krajan, RT.001/RW.005, Lerankulon, Palang</v>
          </cell>
          <cell r="R1779" t="str">
            <v>Tuban</v>
          </cell>
          <cell r="S1779" t="str">
            <v>F Utara1</v>
          </cell>
          <cell r="T1779" t="str">
            <v>Dian</v>
          </cell>
          <cell r="U1779">
            <v>30</v>
          </cell>
        </row>
        <row r="1780">
          <cell r="E1780" t="str">
            <v>D25013785</v>
          </cell>
          <cell r="F1780"/>
          <cell r="G1780">
            <v>150000000</v>
          </cell>
          <cell r="H1780" t="str">
            <v>Reni</v>
          </cell>
          <cell r="I1780" t="str">
            <v>Fira</v>
          </cell>
          <cell r="J1780"/>
          <cell r="K1780" t="str">
            <v>KU</v>
          </cell>
          <cell r="L1780" t="str">
            <v>BUNG01</v>
          </cell>
          <cell r="M1780" t="str">
            <v>Bunga Bertani, UD</v>
          </cell>
          <cell r="N1780" t="str">
            <v>Muqim Amrullah</v>
          </cell>
          <cell r="O1780" t="str">
            <v>Dsn. Krajan, RT.001/RW.005, Lerankulon, Palang</v>
          </cell>
          <cell r="P1780" t="str">
            <v>Tuban</v>
          </cell>
          <cell r="Q1780" t="str">
            <v>Dsn. Krajan, RT.001/RW.005, Lerankulon, Palang</v>
          </cell>
          <cell r="R1780" t="str">
            <v>Tuban</v>
          </cell>
          <cell r="S1780" t="str">
            <v>F Utara1</v>
          </cell>
          <cell r="T1780" t="str">
            <v>Dian</v>
          </cell>
          <cell r="U1780">
            <v>60</v>
          </cell>
        </row>
        <row r="1781">
          <cell r="E1781" t="str">
            <v>D25013785</v>
          </cell>
          <cell r="F1781"/>
          <cell r="G1781">
            <v>150000000</v>
          </cell>
          <cell r="H1781" t="str">
            <v>Reni</v>
          </cell>
          <cell r="I1781" t="str">
            <v>Fira</v>
          </cell>
          <cell r="J1781"/>
          <cell r="K1781" t="str">
            <v>KU</v>
          </cell>
          <cell r="L1781" t="str">
            <v>BUNG01</v>
          </cell>
          <cell r="M1781" t="str">
            <v>Bunga Bertani, UD</v>
          </cell>
          <cell r="N1781" t="str">
            <v>Muqim Amrullah</v>
          </cell>
          <cell r="O1781" t="str">
            <v>Dsn. Krajan, RT.001/RW.005, Lerankulon, Palang</v>
          </cell>
          <cell r="P1781" t="str">
            <v>Tuban</v>
          </cell>
          <cell r="Q1781" t="str">
            <v>Dsn. Krajan, RT.001/RW.005, Lerankulon, Palang</v>
          </cell>
          <cell r="R1781" t="str">
            <v>Tuban</v>
          </cell>
          <cell r="S1781" t="str">
            <v>F Utara1</v>
          </cell>
          <cell r="T1781" t="str">
            <v>Dian</v>
          </cell>
          <cell r="U1781">
            <v>60</v>
          </cell>
        </row>
        <row r="1782">
          <cell r="E1782" t="str">
            <v>B25012208</v>
          </cell>
          <cell r="F1782"/>
          <cell r="G1782">
            <v>150000000</v>
          </cell>
          <cell r="H1782" t="str">
            <v>Reni</v>
          </cell>
          <cell r="I1782" t="str">
            <v>Fira</v>
          </cell>
          <cell r="J1782"/>
          <cell r="K1782" t="str">
            <v>KU</v>
          </cell>
          <cell r="L1782" t="str">
            <v>BUNG01</v>
          </cell>
          <cell r="M1782" t="str">
            <v>Bunga Bertani, UD</v>
          </cell>
          <cell r="N1782" t="str">
            <v>Muqim Amrullah</v>
          </cell>
          <cell r="O1782" t="str">
            <v>Dsn. Krajan, RT.001/RW.005, Lerankulon, Palang</v>
          </cell>
          <cell r="P1782" t="str">
            <v>Tuban</v>
          </cell>
          <cell r="Q1782" t="str">
            <v>Dsn. Krajan, RT.001/RW.005, Lerankulon, Palang</v>
          </cell>
          <cell r="R1782" t="str">
            <v>Tuban</v>
          </cell>
          <cell r="S1782" t="str">
            <v>F Utara1</v>
          </cell>
          <cell r="T1782" t="str">
            <v>Dian</v>
          </cell>
          <cell r="U1782">
            <v>60</v>
          </cell>
        </row>
        <row r="1783">
          <cell r="E1783" t="str">
            <v>B25012693</v>
          </cell>
          <cell r="F1783"/>
          <cell r="G1783">
            <v>150000000</v>
          </cell>
          <cell r="H1783" t="str">
            <v>Reni</v>
          </cell>
          <cell r="I1783" t="str">
            <v>Fira</v>
          </cell>
          <cell r="J1783"/>
          <cell r="K1783" t="str">
            <v>KU</v>
          </cell>
          <cell r="L1783" t="str">
            <v>BUNG01</v>
          </cell>
          <cell r="M1783" t="str">
            <v>Bunga Bertani, UD</v>
          </cell>
          <cell r="N1783" t="str">
            <v>Muqim Amrullah</v>
          </cell>
          <cell r="O1783" t="str">
            <v>Dsn. Krajan, RT.001/RW.005, Lerankulon, Palang</v>
          </cell>
          <cell r="P1783" t="str">
            <v>Tuban</v>
          </cell>
          <cell r="Q1783" t="str">
            <v>Dsn. Krajan, RT.001/RW.005, Lerankulon, Palang</v>
          </cell>
          <cell r="R1783" t="str">
            <v>Tuban</v>
          </cell>
          <cell r="S1783" t="str">
            <v>F Utara1</v>
          </cell>
          <cell r="T1783" t="str">
            <v>Dian</v>
          </cell>
          <cell r="U1783">
            <v>60</v>
          </cell>
        </row>
        <row r="1784">
          <cell r="E1784" t="str">
            <v>D25015763</v>
          </cell>
          <cell r="F1784"/>
          <cell r="G1784">
            <v>150000000</v>
          </cell>
          <cell r="H1784" t="str">
            <v>Reni</v>
          </cell>
          <cell r="I1784" t="str">
            <v>Fira</v>
          </cell>
          <cell r="J1784"/>
          <cell r="K1784" t="str">
            <v>KU</v>
          </cell>
          <cell r="L1784" t="str">
            <v>BUNG01</v>
          </cell>
          <cell r="M1784" t="str">
            <v>Bunga Bertani, UD</v>
          </cell>
          <cell r="N1784" t="str">
            <v>Muqim Amrullah</v>
          </cell>
          <cell r="O1784" t="str">
            <v>Dsn. Krajan, RT.001/RW.005, Lerankulon, Palang</v>
          </cell>
          <cell r="P1784" t="str">
            <v>Tuban</v>
          </cell>
          <cell r="Q1784" t="str">
            <v>Dsn. Krajan, RT.001/RW.005, Lerankulon, Palang</v>
          </cell>
          <cell r="R1784" t="str">
            <v>Tuban</v>
          </cell>
          <cell r="S1784" t="str">
            <v>F Utara1</v>
          </cell>
          <cell r="T1784" t="str">
            <v>Dian</v>
          </cell>
          <cell r="U1784">
            <v>60</v>
          </cell>
        </row>
        <row r="1785">
          <cell r="E1785" t="str">
            <v>B25013534</v>
          </cell>
          <cell r="F1785"/>
          <cell r="G1785">
            <v>150000000</v>
          </cell>
          <cell r="H1785" t="str">
            <v>Reni</v>
          </cell>
          <cell r="I1785" t="str">
            <v>Fira</v>
          </cell>
          <cell r="J1785"/>
          <cell r="K1785" t="str">
            <v>KU</v>
          </cell>
          <cell r="L1785" t="str">
            <v>BUNG01</v>
          </cell>
          <cell r="M1785" t="str">
            <v>Bunga Bertani, UD</v>
          </cell>
          <cell r="N1785" t="str">
            <v>Muqim Amrullah</v>
          </cell>
          <cell r="O1785" t="str">
            <v>Dsn. Krajan, RT.001/RW.005, Lerankulon, Palang</v>
          </cell>
          <cell r="P1785" t="str">
            <v>Tuban</v>
          </cell>
          <cell r="Q1785" t="str">
            <v>Dsn. Krajan, RT.001/RW.005, Lerankulon, Palang</v>
          </cell>
          <cell r="R1785" t="str">
            <v>Tuban</v>
          </cell>
          <cell r="S1785" t="str">
            <v>F Utara1</v>
          </cell>
          <cell r="T1785" t="str">
            <v>Dian</v>
          </cell>
          <cell r="U1785">
            <v>60</v>
          </cell>
        </row>
        <row r="1786">
          <cell r="E1786" t="str">
            <v>B25013761</v>
          </cell>
          <cell r="F1786"/>
          <cell r="G1786">
            <v>150000000</v>
          </cell>
          <cell r="H1786" t="str">
            <v>Reni</v>
          </cell>
          <cell r="I1786" t="str">
            <v>Fira</v>
          </cell>
          <cell r="J1786"/>
          <cell r="K1786" t="str">
            <v>KU</v>
          </cell>
          <cell r="L1786" t="str">
            <v>BUNG01</v>
          </cell>
          <cell r="M1786" t="str">
            <v>Bunga Bertani, UD</v>
          </cell>
          <cell r="N1786" t="str">
            <v>Muqim Amrullah</v>
          </cell>
          <cell r="O1786" t="str">
            <v>Dsn. Krajan, RT.001/RW.005, Lerankulon, Palang</v>
          </cell>
          <cell r="P1786" t="str">
            <v>Tuban</v>
          </cell>
          <cell r="Q1786" t="str">
            <v>Dsn. Krajan, RT.001/RW.005, Lerankulon, Palang</v>
          </cell>
          <cell r="R1786" t="str">
            <v>Tuban</v>
          </cell>
          <cell r="S1786" t="str">
            <v>F Utara1</v>
          </cell>
          <cell r="T1786" t="str">
            <v>Dian</v>
          </cell>
          <cell r="U1786">
            <v>0</v>
          </cell>
        </row>
        <row r="1787">
          <cell r="E1787" t="str">
            <v>B25013762</v>
          </cell>
          <cell r="F1787"/>
          <cell r="G1787">
            <v>150000000</v>
          </cell>
          <cell r="H1787" t="str">
            <v>Reni</v>
          </cell>
          <cell r="I1787" t="str">
            <v>Fira</v>
          </cell>
          <cell r="J1787"/>
          <cell r="K1787" t="str">
            <v>KU</v>
          </cell>
          <cell r="L1787" t="str">
            <v>BUNG01</v>
          </cell>
          <cell r="M1787" t="str">
            <v>Bunga Bertani, UD</v>
          </cell>
          <cell r="N1787" t="str">
            <v>Muqim Amrullah</v>
          </cell>
          <cell r="O1787" t="str">
            <v>Dsn. Krajan, RT.001/RW.005, Lerankulon, Palang</v>
          </cell>
          <cell r="P1787" t="str">
            <v>Tuban</v>
          </cell>
          <cell r="Q1787" t="str">
            <v>Dsn. Krajan, RT.001/RW.005, Lerankulon, Palang</v>
          </cell>
          <cell r="R1787" t="str">
            <v>Tuban</v>
          </cell>
          <cell r="S1787" t="str">
            <v>F Utara1</v>
          </cell>
          <cell r="T1787" t="str">
            <v>Dian</v>
          </cell>
          <cell r="U1787">
            <v>30</v>
          </cell>
        </row>
        <row r="1788">
          <cell r="E1788" t="str">
            <v>D25016131</v>
          </cell>
          <cell r="F1788"/>
          <cell r="G1788">
            <v>150000000</v>
          </cell>
          <cell r="H1788" t="str">
            <v>Reni</v>
          </cell>
          <cell r="I1788" t="str">
            <v>Fira</v>
          </cell>
          <cell r="J1788"/>
          <cell r="K1788" t="str">
            <v>KU</v>
          </cell>
          <cell r="L1788" t="str">
            <v>BUNG01</v>
          </cell>
          <cell r="M1788" t="str">
            <v>Bunga Bertani, UD</v>
          </cell>
          <cell r="N1788" t="str">
            <v>Muqim Amrullah</v>
          </cell>
          <cell r="O1788" t="str">
            <v>Dsn. Krajan, RT.001/RW.005, Lerankulon, Palang</v>
          </cell>
          <cell r="P1788" t="str">
            <v>Tuban</v>
          </cell>
          <cell r="Q1788" t="str">
            <v>Dsn. Krajan, RT.001/RW.005, Lerankulon, Palang</v>
          </cell>
          <cell r="R1788" t="str">
            <v>Tuban</v>
          </cell>
          <cell r="S1788" t="str">
            <v>F Utara1</v>
          </cell>
          <cell r="T1788" t="str">
            <v>Dian</v>
          </cell>
          <cell r="U1788">
            <v>60</v>
          </cell>
        </row>
        <row r="1789">
          <cell r="E1789" t="str">
            <v>D25011305</v>
          </cell>
          <cell r="F1789"/>
          <cell r="G1789">
            <v>150000000</v>
          </cell>
          <cell r="H1789" t="str">
            <v>Yuyun</v>
          </cell>
          <cell r="I1789" t="str">
            <v>Farida</v>
          </cell>
          <cell r="J1789" t="str">
            <v>New 20/05/20</v>
          </cell>
          <cell r="K1789" t="str">
            <v>KU</v>
          </cell>
          <cell r="L1789" t="str">
            <v>BURS01</v>
          </cell>
          <cell r="M1789" t="str">
            <v>Bursa Tani/Brian</v>
          </cell>
          <cell r="N1789" t="str">
            <v>Brian Agata Bagaskara</v>
          </cell>
          <cell r="O1789" t="str">
            <v>Jl. Branjangan Sebelah GG Merpati No 25, Beran</v>
          </cell>
          <cell r="P1789" t="str">
            <v>Ngawi</v>
          </cell>
          <cell r="Q1789" t="str">
            <v>Tempurejo</v>
          </cell>
          <cell r="R1789" t="str">
            <v>Jember</v>
          </cell>
          <cell r="S1789" t="str">
            <v>L Kota2</v>
          </cell>
          <cell r="T1789" t="str">
            <v>Wira</v>
          </cell>
          <cell r="U1789">
            <v>60</v>
          </cell>
        </row>
        <row r="1790">
          <cell r="E1790" t="str">
            <v>B25010712</v>
          </cell>
          <cell r="F1790"/>
          <cell r="G1790">
            <v>150000000</v>
          </cell>
          <cell r="H1790" t="str">
            <v>Yuyun</v>
          </cell>
          <cell r="I1790" t="str">
            <v>Farida</v>
          </cell>
          <cell r="J1790" t="str">
            <v>New 20/05/20</v>
          </cell>
          <cell r="K1790" t="str">
            <v>KU</v>
          </cell>
          <cell r="L1790" t="str">
            <v>BURS01</v>
          </cell>
          <cell r="M1790" t="str">
            <v>Bursa Tani/Brian</v>
          </cell>
          <cell r="N1790" t="str">
            <v>Brian Agata Bagaskara</v>
          </cell>
          <cell r="O1790" t="str">
            <v>Jl. Branjangan Sebelah GG Merpati No 25, Beran</v>
          </cell>
          <cell r="P1790" t="str">
            <v>Ngawi</v>
          </cell>
          <cell r="Q1790" t="str">
            <v>Tempurejo</v>
          </cell>
          <cell r="R1790" t="str">
            <v>Jember</v>
          </cell>
          <cell r="S1790" t="str">
            <v>L Kota2</v>
          </cell>
          <cell r="T1790" t="str">
            <v>Wira</v>
          </cell>
          <cell r="U1790">
            <v>30</v>
          </cell>
        </row>
        <row r="1791">
          <cell r="E1791" t="str">
            <v>D25013339</v>
          </cell>
          <cell r="F1791"/>
          <cell r="G1791">
            <v>150000000</v>
          </cell>
          <cell r="H1791" t="str">
            <v>Yuyun</v>
          </cell>
          <cell r="I1791" t="str">
            <v>Farida</v>
          </cell>
          <cell r="J1791" t="str">
            <v>New 20/05/20</v>
          </cell>
          <cell r="K1791" t="str">
            <v>KU</v>
          </cell>
          <cell r="L1791" t="str">
            <v>BURS01</v>
          </cell>
          <cell r="M1791" t="str">
            <v>Bursa Tani/Brian</v>
          </cell>
          <cell r="N1791" t="str">
            <v>Brian Agata Bagaskara</v>
          </cell>
          <cell r="O1791" t="str">
            <v>Jl. Branjangan Sebelah GG Merpati No 25, Beran</v>
          </cell>
          <cell r="P1791" t="str">
            <v>Ngawi</v>
          </cell>
          <cell r="Q1791" t="str">
            <v>Tempurejo</v>
          </cell>
          <cell r="R1791" t="str">
            <v>Jember</v>
          </cell>
          <cell r="S1791" t="str">
            <v>L Kota2</v>
          </cell>
          <cell r="T1791" t="str">
            <v>Wira</v>
          </cell>
          <cell r="U1791">
            <v>30</v>
          </cell>
        </row>
        <row r="1792">
          <cell r="E1792" t="str">
            <v>D25013597</v>
          </cell>
          <cell r="F1792"/>
          <cell r="G1792">
            <v>150000000</v>
          </cell>
          <cell r="H1792" t="str">
            <v>Yuyun</v>
          </cell>
          <cell r="I1792" t="str">
            <v>Farida</v>
          </cell>
          <cell r="J1792" t="str">
            <v>New 20/05/20</v>
          </cell>
          <cell r="K1792" t="str">
            <v>KU</v>
          </cell>
          <cell r="L1792" t="str">
            <v>BURS01</v>
          </cell>
          <cell r="M1792" t="str">
            <v>Bursa Tani/Brian</v>
          </cell>
          <cell r="N1792" t="str">
            <v>Brian Agata Bagaskara</v>
          </cell>
          <cell r="O1792" t="str">
            <v>Jl. Branjangan Sebelah GG Merpati No 25, Beran</v>
          </cell>
          <cell r="P1792" t="str">
            <v>Ngawi</v>
          </cell>
          <cell r="Q1792" t="str">
            <v>Tempurejo</v>
          </cell>
          <cell r="R1792" t="str">
            <v>Jember</v>
          </cell>
          <cell r="S1792" t="str">
            <v>L Kota2</v>
          </cell>
          <cell r="T1792" t="str">
            <v>Wira</v>
          </cell>
          <cell r="U1792">
            <v>30</v>
          </cell>
        </row>
        <row r="1793">
          <cell r="E1793" t="str">
            <v>D25013614</v>
          </cell>
          <cell r="F1793"/>
          <cell r="G1793">
            <v>150000000</v>
          </cell>
          <cell r="H1793" t="str">
            <v>Yuyun</v>
          </cell>
          <cell r="I1793" t="str">
            <v>Farida</v>
          </cell>
          <cell r="J1793" t="str">
            <v>New 20/05/20</v>
          </cell>
          <cell r="K1793" t="str">
            <v>KU</v>
          </cell>
          <cell r="L1793" t="str">
            <v>BURS01</v>
          </cell>
          <cell r="M1793" t="str">
            <v>Bursa Tani/Brian</v>
          </cell>
          <cell r="N1793" t="str">
            <v>Brian Agata Bagaskara</v>
          </cell>
          <cell r="O1793" t="str">
            <v>Jl. Branjangan Sebelah GG Merpati No 25, Beran</v>
          </cell>
          <cell r="P1793" t="str">
            <v>Ngawi</v>
          </cell>
          <cell r="Q1793" t="str">
            <v>Tempurejo</v>
          </cell>
          <cell r="R1793" t="str">
            <v>Jember</v>
          </cell>
          <cell r="S1793" t="str">
            <v>L Kota2</v>
          </cell>
          <cell r="T1793" t="str">
            <v>Wira</v>
          </cell>
          <cell r="U1793">
            <v>30</v>
          </cell>
        </row>
        <row r="1794">
          <cell r="E1794" t="str">
            <v>B25011733</v>
          </cell>
          <cell r="F1794"/>
          <cell r="G1794">
            <v>150000000</v>
          </cell>
          <cell r="H1794" t="str">
            <v>Yuyun</v>
          </cell>
          <cell r="I1794" t="str">
            <v>Farida</v>
          </cell>
          <cell r="J1794" t="str">
            <v>New 20/05/20</v>
          </cell>
          <cell r="K1794" t="str">
            <v>KU</v>
          </cell>
          <cell r="L1794" t="str">
            <v>BURS01</v>
          </cell>
          <cell r="M1794" t="str">
            <v>Bursa Tani/Brian</v>
          </cell>
          <cell r="N1794" t="str">
            <v>Brian Agata Bagaskara</v>
          </cell>
          <cell r="O1794" t="str">
            <v>Jl. Branjangan Sebelah GG Merpati No 25, Beran</v>
          </cell>
          <cell r="P1794" t="str">
            <v>Ngawi</v>
          </cell>
          <cell r="Q1794" t="str">
            <v>Tempurejo</v>
          </cell>
          <cell r="R1794" t="str">
            <v>Jember</v>
          </cell>
          <cell r="S1794" t="str">
            <v>L Kota2</v>
          </cell>
          <cell r="T1794" t="str">
            <v>Wira</v>
          </cell>
          <cell r="U1794">
            <v>30</v>
          </cell>
        </row>
        <row r="1795">
          <cell r="E1795" t="str">
            <v>B25012142</v>
          </cell>
          <cell r="F1795"/>
          <cell r="G1795">
            <v>150000000</v>
          </cell>
          <cell r="H1795" t="str">
            <v>Yuyun</v>
          </cell>
          <cell r="I1795" t="str">
            <v>Farida</v>
          </cell>
          <cell r="J1795" t="str">
            <v>New 20/05/20</v>
          </cell>
          <cell r="K1795" t="str">
            <v>KU</v>
          </cell>
          <cell r="L1795" t="str">
            <v>BURS01</v>
          </cell>
          <cell r="M1795" t="str">
            <v>Bursa Tani/Brian</v>
          </cell>
          <cell r="N1795" t="str">
            <v>Brian Agata Bagaskara</v>
          </cell>
          <cell r="O1795" t="str">
            <v>Jl. Branjangan Sebelah GG Merpati No 25, Beran</v>
          </cell>
          <cell r="P1795" t="str">
            <v>Ngawi</v>
          </cell>
          <cell r="Q1795" t="str">
            <v>Tempurejo</v>
          </cell>
          <cell r="R1795" t="str">
            <v>Jember</v>
          </cell>
          <cell r="S1795" t="str">
            <v>L Kota2</v>
          </cell>
          <cell r="T1795" t="str">
            <v>Wira</v>
          </cell>
          <cell r="U1795">
            <v>30</v>
          </cell>
        </row>
        <row r="1796">
          <cell r="E1796" t="str">
            <v>B25012199</v>
          </cell>
          <cell r="F1796"/>
          <cell r="G1796">
            <v>150000000</v>
          </cell>
          <cell r="H1796" t="str">
            <v>Yuyun</v>
          </cell>
          <cell r="I1796" t="str">
            <v>Farida</v>
          </cell>
          <cell r="J1796" t="str">
            <v>New 20/05/20</v>
          </cell>
          <cell r="K1796" t="str">
            <v>KU</v>
          </cell>
          <cell r="L1796" t="str">
            <v>BURS01</v>
          </cell>
          <cell r="M1796" t="str">
            <v>Bursa Tani/Brian</v>
          </cell>
          <cell r="N1796" t="str">
            <v>Brian Agata Bagaskara</v>
          </cell>
          <cell r="O1796" t="str">
            <v>Jl. Branjangan Sebelah GG Merpati No 25, Beran</v>
          </cell>
          <cell r="P1796" t="str">
            <v>Ngawi</v>
          </cell>
          <cell r="Q1796" t="str">
            <v>Tempurejo</v>
          </cell>
          <cell r="R1796" t="str">
            <v>Jember</v>
          </cell>
          <cell r="S1796" t="str">
            <v>L Kota2</v>
          </cell>
          <cell r="T1796" t="str">
            <v>Wira</v>
          </cell>
          <cell r="U1796">
            <v>30</v>
          </cell>
        </row>
        <row r="1797">
          <cell r="E1797" t="str">
            <v>B25012385</v>
          </cell>
          <cell r="F1797"/>
          <cell r="G1797">
            <v>150000000</v>
          </cell>
          <cell r="H1797" t="str">
            <v>Yuyun</v>
          </cell>
          <cell r="I1797" t="str">
            <v>Farida</v>
          </cell>
          <cell r="J1797" t="str">
            <v>New 20/05/20</v>
          </cell>
          <cell r="K1797" t="str">
            <v>KU</v>
          </cell>
          <cell r="L1797" t="str">
            <v>BURS01</v>
          </cell>
          <cell r="M1797" t="str">
            <v>Bursa Tani/Brian</v>
          </cell>
          <cell r="N1797" t="str">
            <v>Brian Agata Bagaskara</v>
          </cell>
          <cell r="O1797" t="str">
            <v>Jl. Branjangan Sebelah GG Merpati No 25, Beran</v>
          </cell>
          <cell r="P1797" t="str">
            <v>Ngawi</v>
          </cell>
          <cell r="Q1797" t="str">
            <v>Tempurejo</v>
          </cell>
          <cell r="R1797" t="str">
            <v>Jember</v>
          </cell>
          <cell r="S1797" t="str">
            <v>L Kota2</v>
          </cell>
          <cell r="T1797" t="str">
            <v>Wira</v>
          </cell>
          <cell r="U1797">
            <v>30</v>
          </cell>
        </row>
        <row r="1798">
          <cell r="E1798" t="str">
            <v>B25012449</v>
          </cell>
          <cell r="F1798"/>
          <cell r="G1798">
            <v>150000000</v>
          </cell>
          <cell r="H1798" t="str">
            <v>Yuyun</v>
          </cell>
          <cell r="I1798" t="str">
            <v>Farida</v>
          </cell>
          <cell r="J1798" t="str">
            <v>New 20/05/20</v>
          </cell>
          <cell r="K1798" t="str">
            <v>KU</v>
          </cell>
          <cell r="L1798" t="str">
            <v>BURS01</v>
          </cell>
          <cell r="M1798" t="str">
            <v>Bursa Tani/Brian</v>
          </cell>
          <cell r="N1798" t="str">
            <v>Brian Agata Bagaskara</v>
          </cell>
          <cell r="O1798" t="str">
            <v>Jl. Branjangan Sebelah GG Merpati No 25, Beran</v>
          </cell>
          <cell r="P1798" t="str">
            <v>Ngawi</v>
          </cell>
          <cell r="Q1798" t="str">
            <v>Tempurejo</v>
          </cell>
          <cell r="R1798" t="str">
            <v>Jember</v>
          </cell>
          <cell r="S1798" t="str">
            <v>L Kota2</v>
          </cell>
          <cell r="T1798" t="str">
            <v>Wira</v>
          </cell>
          <cell r="U1798">
            <v>30</v>
          </cell>
        </row>
        <row r="1799">
          <cell r="E1799" t="str">
            <v>B25012511</v>
          </cell>
          <cell r="F1799"/>
          <cell r="G1799">
            <v>150000000</v>
          </cell>
          <cell r="H1799" t="str">
            <v>Yuyun</v>
          </cell>
          <cell r="I1799" t="str">
            <v>Farida</v>
          </cell>
          <cell r="J1799" t="str">
            <v>New 20/05/20</v>
          </cell>
          <cell r="K1799" t="str">
            <v>KU</v>
          </cell>
          <cell r="L1799" t="str">
            <v>BURS01</v>
          </cell>
          <cell r="M1799" t="str">
            <v>Bursa Tani/Brian</v>
          </cell>
          <cell r="N1799" t="str">
            <v>Brian Agata Bagaskara</v>
          </cell>
          <cell r="O1799" t="str">
            <v>Jl. Branjangan Sebelah GG Merpati No 25, Beran</v>
          </cell>
          <cell r="P1799" t="str">
            <v>Ngawi</v>
          </cell>
          <cell r="Q1799" t="str">
            <v>Tempurejo</v>
          </cell>
          <cell r="R1799" t="str">
            <v>Jember</v>
          </cell>
          <cell r="S1799" t="str">
            <v>L Kota2</v>
          </cell>
          <cell r="T1799" t="str">
            <v>Wira</v>
          </cell>
          <cell r="U1799">
            <v>30</v>
          </cell>
        </row>
        <row r="1800">
          <cell r="E1800" t="str">
            <v>B25013099</v>
          </cell>
          <cell r="F1800"/>
          <cell r="G1800">
            <v>150000000</v>
          </cell>
          <cell r="H1800" t="str">
            <v>Yuyun</v>
          </cell>
          <cell r="I1800" t="str">
            <v>Farida</v>
          </cell>
          <cell r="J1800" t="str">
            <v>New 20/05/20</v>
          </cell>
          <cell r="K1800" t="str">
            <v>KU</v>
          </cell>
          <cell r="L1800" t="str">
            <v>BURS01</v>
          </cell>
          <cell r="M1800" t="str">
            <v>Bursa Tani/Brian</v>
          </cell>
          <cell r="N1800" t="str">
            <v>Brian Agata Bagaskara</v>
          </cell>
          <cell r="O1800" t="str">
            <v>Jl. Branjangan Sebelah GG Merpati No 25, Beran</v>
          </cell>
          <cell r="P1800" t="str">
            <v>Ngawi</v>
          </cell>
          <cell r="Q1800" t="str">
            <v>Tempurejo</v>
          </cell>
          <cell r="R1800" t="str">
            <v>Jember</v>
          </cell>
          <cell r="S1800" t="str">
            <v>L Kota2</v>
          </cell>
          <cell r="T1800" t="str">
            <v>Wira</v>
          </cell>
          <cell r="U1800">
            <v>0</v>
          </cell>
        </row>
        <row r="1801">
          <cell r="E1801" t="str">
            <v>B25013663</v>
          </cell>
          <cell r="F1801"/>
          <cell r="G1801">
            <v>150000000</v>
          </cell>
          <cell r="H1801" t="str">
            <v>Yuyun</v>
          </cell>
          <cell r="I1801" t="str">
            <v>Farida</v>
          </cell>
          <cell r="J1801" t="str">
            <v>New 20/05/20</v>
          </cell>
          <cell r="K1801" t="str">
            <v>KU</v>
          </cell>
          <cell r="L1801" t="str">
            <v>BURS01</v>
          </cell>
          <cell r="M1801" t="str">
            <v>Bursa Tani/Brian</v>
          </cell>
          <cell r="N1801" t="str">
            <v>Brian Agata Bagaskara</v>
          </cell>
          <cell r="O1801" t="str">
            <v>Jl. Branjangan Sebelah GG Merpati No 25, Beran</v>
          </cell>
          <cell r="P1801" t="str">
            <v>Ngawi</v>
          </cell>
          <cell r="Q1801" t="str">
            <v>Tempurejo</v>
          </cell>
          <cell r="R1801" t="str">
            <v>Jember</v>
          </cell>
          <cell r="S1801" t="str">
            <v>L Kota2</v>
          </cell>
          <cell r="T1801" t="str">
            <v>Wira</v>
          </cell>
          <cell r="U1801">
            <v>30</v>
          </cell>
        </row>
        <row r="1802">
          <cell r="E1802" t="str">
            <v>B25011313</v>
          </cell>
          <cell r="F1802"/>
          <cell r="G1802">
            <v>650000000</v>
          </cell>
          <cell r="H1802" t="str">
            <v>Faris</v>
          </cell>
          <cell r="I1802" t="str">
            <v>Syahra</v>
          </cell>
          <cell r="J1802"/>
          <cell r="K1802" t="str">
            <v>KU</v>
          </cell>
          <cell r="L1802" t="str">
            <v>CAHA01</v>
          </cell>
          <cell r="M1802" t="str">
            <v>Cahaya Mulya</v>
          </cell>
          <cell r="N1802" t="str">
            <v>Achmad Mustain</v>
          </cell>
          <cell r="O1802" t="str">
            <v>Jenisari Genteng</v>
          </cell>
          <cell r="P1802" t="str">
            <v>Banyuwangi</v>
          </cell>
          <cell r="Q1802" t="str">
            <v>Jenisari Genteng</v>
          </cell>
          <cell r="R1802" t="str">
            <v>Banyuwangi</v>
          </cell>
          <cell r="S1802" t="str">
            <v>H Bwi1</v>
          </cell>
          <cell r="T1802" t="str">
            <v>Hafid</v>
          </cell>
          <cell r="U1802">
            <v>30</v>
          </cell>
        </row>
        <row r="1803">
          <cell r="E1803" t="str">
            <v>B25011433</v>
          </cell>
          <cell r="F1803"/>
          <cell r="G1803">
            <v>650000000</v>
          </cell>
          <cell r="H1803" t="str">
            <v>Faris</v>
          </cell>
          <cell r="I1803" t="str">
            <v>Syahra</v>
          </cell>
          <cell r="J1803"/>
          <cell r="K1803" t="str">
            <v>KU</v>
          </cell>
          <cell r="L1803" t="str">
            <v>CAHA01</v>
          </cell>
          <cell r="M1803" t="str">
            <v>Cahaya Mulya</v>
          </cell>
          <cell r="N1803" t="str">
            <v>Achmad Mustain</v>
          </cell>
          <cell r="O1803" t="str">
            <v>Jenisari Genteng</v>
          </cell>
          <cell r="P1803" t="str">
            <v>Banyuwangi</v>
          </cell>
          <cell r="Q1803" t="str">
            <v>Jenisari Genteng</v>
          </cell>
          <cell r="R1803" t="str">
            <v>Banyuwangi</v>
          </cell>
          <cell r="S1803" t="str">
            <v>H Bwi1</v>
          </cell>
          <cell r="T1803" t="str">
            <v>Hafid</v>
          </cell>
          <cell r="U1803">
            <v>30</v>
          </cell>
        </row>
        <row r="1804">
          <cell r="E1804" t="str">
            <v>D25013636</v>
          </cell>
          <cell r="F1804"/>
          <cell r="G1804">
            <v>650000000</v>
          </cell>
          <cell r="H1804" t="str">
            <v>Faris</v>
          </cell>
          <cell r="I1804" t="str">
            <v>Syahra</v>
          </cell>
          <cell r="J1804"/>
          <cell r="K1804" t="str">
            <v>KU</v>
          </cell>
          <cell r="L1804" t="str">
            <v>CAHA01</v>
          </cell>
          <cell r="M1804" t="str">
            <v>Cahaya Mulya</v>
          </cell>
          <cell r="N1804" t="str">
            <v>Achmad Mustain</v>
          </cell>
          <cell r="O1804" t="str">
            <v>Jenisari Genteng</v>
          </cell>
          <cell r="P1804" t="str">
            <v>Banyuwangi</v>
          </cell>
          <cell r="Q1804" t="str">
            <v>Jenisari Genteng</v>
          </cell>
          <cell r="R1804" t="str">
            <v>Banyuwangi</v>
          </cell>
          <cell r="S1804" t="str">
            <v>H Bwi1</v>
          </cell>
          <cell r="T1804" t="str">
            <v>Hafid</v>
          </cell>
          <cell r="U1804">
            <v>30</v>
          </cell>
        </row>
        <row r="1805">
          <cell r="E1805" t="str">
            <v>B25011582</v>
          </cell>
          <cell r="F1805"/>
          <cell r="G1805">
            <v>650000000</v>
          </cell>
          <cell r="H1805" t="str">
            <v>Faris</v>
          </cell>
          <cell r="I1805" t="str">
            <v>Syahra</v>
          </cell>
          <cell r="J1805"/>
          <cell r="K1805" t="str">
            <v>KU</v>
          </cell>
          <cell r="L1805" t="str">
            <v>CAHA01</v>
          </cell>
          <cell r="M1805" t="str">
            <v>Cahaya Mulya</v>
          </cell>
          <cell r="N1805" t="str">
            <v>Achmad Mustain</v>
          </cell>
          <cell r="O1805" t="str">
            <v>Jenisari Genteng</v>
          </cell>
          <cell r="P1805" t="str">
            <v>Banyuwangi</v>
          </cell>
          <cell r="Q1805" t="str">
            <v>Jenisari Genteng</v>
          </cell>
          <cell r="R1805" t="str">
            <v>Banyuwangi</v>
          </cell>
          <cell r="S1805" t="str">
            <v>H Bwi1</v>
          </cell>
          <cell r="T1805" t="str">
            <v>Hafid</v>
          </cell>
          <cell r="U1805">
            <v>30</v>
          </cell>
        </row>
        <row r="1806">
          <cell r="E1806" t="str">
            <v>D25013932</v>
          </cell>
          <cell r="F1806"/>
          <cell r="G1806">
            <v>650000000</v>
          </cell>
          <cell r="H1806" t="str">
            <v>Faris</v>
          </cell>
          <cell r="I1806" t="str">
            <v>Syahra</v>
          </cell>
          <cell r="J1806"/>
          <cell r="K1806" t="str">
            <v>KU</v>
          </cell>
          <cell r="L1806" t="str">
            <v>CAHA01</v>
          </cell>
          <cell r="M1806" t="str">
            <v>Cahaya Mulya</v>
          </cell>
          <cell r="N1806" t="str">
            <v>Achmad Mustain</v>
          </cell>
          <cell r="O1806" t="str">
            <v>Jenisari Genteng</v>
          </cell>
          <cell r="P1806" t="str">
            <v>Banyuwangi</v>
          </cell>
          <cell r="Q1806" t="str">
            <v>Jenisari Genteng</v>
          </cell>
          <cell r="R1806" t="str">
            <v>Banyuwangi</v>
          </cell>
          <cell r="S1806" t="str">
            <v>H Bwi1</v>
          </cell>
          <cell r="T1806" t="str">
            <v>Hafid</v>
          </cell>
          <cell r="U1806">
            <v>30</v>
          </cell>
        </row>
        <row r="1807">
          <cell r="E1807" t="str">
            <v>D25014261</v>
          </cell>
          <cell r="F1807"/>
          <cell r="G1807">
            <v>650000000</v>
          </cell>
          <cell r="H1807" t="str">
            <v>Faris</v>
          </cell>
          <cell r="I1807" t="str">
            <v>Syahra</v>
          </cell>
          <cell r="J1807"/>
          <cell r="K1807" t="str">
            <v>KU</v>
          </cell>
          <cell r="L1807" t="str">
            <v>CAHA01</v>
          </cell>
          <cell r="M1807" t="str">
            <v>Cahaya Mulya</v>
          </cell>
          <cell r="N1807" t="str">
            <v>Achmad Mustain</v>
          </cell>
          <cell r="O1807" t="str">
            <v>Jenisari Genteng</v>
          </cell>
          <cell r="P1807" t="str">
            <v>Banyuwangi</v>
          </cell>
          <cell r="Q1807" t="str">
            <v>Jenisari Genteng</v>
          </cell>
          <cell r="R1807" t="str">
            <v>Banyuwangi</v>
          </cell>
          <cell r="S1807" t="str">
            <v>H Bwi1</v>
          </cell>
          <cell r="T1807" t="str">
            <v>Hafid</v>
          </cell>
          <cell r="U1807">
            <v>30</v>
          </cell>
        </row>
        <row r="1808">
          <cell r="E1808" t="str">
            <v>D25014295</v>
          </cell>
          <cell r="F1808"/>
          <cell r="G1808">
            <v>650000000</v>
          </cell>
          <cell r="H1808" t="str">
            <v>Faris</v>
          </cell>
          <cell r="I1808" t="str">
            <v>Syahra</v>
          </cell>
          <cell r="J1808"/>
          <cell r="K1808" t="str">
            <v>KU</v>
          </cell>
          <cell r="L1808" t="str">
            <v>CAHA01</v>
          </cell>
          <cell r="M1808" t="str">
            <v>Cahaya Mulya</v>
          </cell>
          <cell r="N1808" t="str">
            <v>Achmad Mustain</v>
          </cell>
          <cell r="O1808" t="str">
            <v>Jenisari Genteng</v>
          </cell>
          <cell r="P1808" t="str">
            <v>Banyuwangi</v>
          </cell>
          <cell r="Q1808" t="str">
            <v>Jenisari Genteng</v>
          </cell>
          <cell r="R1808" t="str">
            <v>Banyuwangi</v>
          </cell>
          <cell r="S1808" t="str">
            <v>H Bwi1</v>
          </cell>
          <cell r="T1808" t="str">
            <v>Hafid</v>
          </cell>
          <cell r="U1808">
            <v>30</v>
          </cell>
        </row>
        <row r="1809">
          <cell r="E1809" t="str">
            <v>D25014471</v>
          </cell>
          <cell r="F1809"/>
          <cell r="G1809">
            <v>650000000</v>
          </cell>
          <cell r="H1809" t="str">
            <v>Faris</v>
          </cell>
          <cell r="I1809" t="str">
            <v>Syahra</v>
          </cell>
          <cell r="J1809"/>
          <cell r="K1809" t="str">
            <v>KU</v>
          </cell>
          <cell r="L1809" t="str">
            <v>CAHA01</v>
          </cell>
          <cell r="M1809" t="str">
            <v>Cahaya Mulya</v>
          </cell>
          <cell r="N1809" t="str">
            <v>Achmad Mustain</v>
          </cell>
          <cell r="O1809" t="str">
            <v>Jenisari Genteng</v>
          </cell>
          <cell r="P1809" t="str">
            <v>Banyuwangi</v>
          </cell>
          <cell r="Q1809" t="str">
            <v>Jenisari Genteng</v>
          </cell>
          <cell r="R1809" t="str">
            <v>Banyuwangi</v>
          </cell>
          <cell r="S1809" t="str">
            <v>H Bwi1</v>
          </cell>
          <cell r="T1809" t="str">
            <v>Hafid</v>
          </cell>
          <cell r="U1809">
            <v>30</v>
          </cell>
        </row>
        <row r="1810">
          <cell r="E1810" t="str">
            <v>D25014472</v>
          </cell>
          <cell r="F1810"/>
          <cell r="G1810">
            <v>650000000</v>
          </cell>
          <cell r="H1810" t="str">
            <v>Faris</v>
          </cell>
          <cell r="I1810" t="str">
            <v>Syahra</v>
          </cell>
          <cell r="J1810"/>
          <cell r="K1810" t="str">
            <v>KU</v>
          </cell>
          <cell r="L1810" t="str">
            <v>CAHA01</v>
          </cell>
          <cell r="M1810" t="str">
            <v>Cahaya Mulya</v>
          </cell>
          <cell r="N1810" t="str">
            <v>Achmad Mustain</v>
          </cell>
          <cell r="O1810" t="str">
            <v>Jenisari Genteng</v>
          </cell>
          <cell r="P1810" t="str">
            <v>Banyuwangi</v>
          </cell>
          <cell r="Q1810" t="str">
            <v>Jenisari Genteng</v>
          </cell>
          <cell r="R1810" t="str">
            <v>Banyuwangi</v>
          </cell>
          <cell r="S1810" t="str">
            <v>H Bwi1</v>
          </cell>
          <cell r="T1810" t="str">
            <v>Hafid</v>
          </cell>
          <cell r="U1810">
            <v>30</v>
          </cell>
        </row>
        <row r="1811">
          <cell r="E1811" t="str">
            <v>D25014585</v>
          </cell>
          <cell r="F1811"/>
          <cell r="G1811">
            <v>650000000</v>
          </cell>
          <cell r="H1811" t="str">
            <v>Faris</v>
          </cell>
          <cell r="I1811" t="str">
            <v>Syahra</v>
          </cell>
          <cell r="J1811"/>
          <cell r="K1811" t="str">
            <v>KU</v>
          </cell>
          <cell r="L1811" t="str">
            <v>CAHA01</v>
          </cell>
          <cell r="M1811" t="str">
            <v>Cahaya Mulya</v>
          </cell>
          <cell r="N1811" t="str">
            <v>Achmad Mustain</v>
          </cell>
          <cell r="O1811" t="str">
            <v>Jenisari Genteng</v>
          </cell>
          <cell r="P1811" t="str">
            <v>Banyuwangi</v>
          </cell>
          <cell r="Q1811" t="str">
            <v>Jenisari Genteng</v>
          </cell>
          <cell r="R1811" t="str">
            <v>Banyuwangi</v>
          </cell>
          <cell r="S1811" t="str">
            <v>H Bwi1</v>
          </cell>
          <cell r="T1811" t="str">
            <v>Hafid</v>
          </cell>
          <cell r="U1811">
            <v>30</v>
          </cell>
        </row>
        <row r="1812">
          <cell r="E1812" t="str">
            <v>D25015209</v>
          </cell>
          <cell r="F1812"/>
          <cell r="G1812">
            <v>650000000</v>
          </cell>
          <cell r="H1812" t="str">
            <v>Faris</v>
          </cell>
          <cell r="I1812" t="str">
            <v>Syahra</v>
          </cell>
          <cell r="J1812"/>
          <cell r="K1812" t="str">
            <v>KU</v>
          </cell>
          <cell r="L1812" t="str">
            <v>CAHA01</v>
          </cell>
          <cell r="M1812" t="str">
            <v>Cahaya Mulya</v>
          </cell>
          <cell r="N1812" t="str">
            <v>Achmad Mustain</v>
          </cell>
          <cell r="O1812" t="str">
            <v>Jenisari Genteng</v>
          </cell>
          <cell r="P1812" t="str">
            <v>Banyuwangi</v>
          </cell>
          <cell r="Q1812" t="str">
            <v>Jenisari Genteng</v>
          </cell>
          <cell r="R1812" t="str">
            <v>Banyuwangi</v>
          </cell>
          <cell r="S1812" t="str">
            <v>H Bwi1</v>
          </cell>
          <cell r="T1812" t="str">
            <v>Hafid</v>
          </cell>
          <cell r="U1812">
            <v>30</v>
          </cell>
        </row>
        <row r="1813">
          <cell r="E1813" t="str">
            <v>D25015210</v>
          </cell>
          <cell r="F1813"/>
          <cell r="G1813">
            <v>650000000</v>
          </cell>
          <cell r="H1813" t="str">
            <v>Faris</v>
          </cell>
          <cell r="I1813" t="str">
            <v>Syahra</v>
          </cell>
          <cell r="J1813"/>
          <cell r="K1813" t="str">
            <v>KU</v>
          </cell>
          <cell r="L1813" t="str">
            <v>CAHA01</v>
          </cell>
          <cell r="M1813" t="str">
            <v>Cahaya Mulya</v>
          </cell>
          <cell r="N1813" t="str">
            <v>Achmad Mustain</v>
          </cell>
          <cell r="O1813" t="str">
            <v>Jenisari Genteng</v>
          </cell>
          <cell r="P1813" t="str">
            <v>Banyuwangi</v>
          </cell>
          <cell r="Q1813" t="str">
            <v>Jenisari Genteng</v>
          </cell>
          <cell r="R1813" t="str">
            <v>Banyuwangi</v>
          </cell>
          <cell r="S1813" t="str">
            <v>H Bwi1</v>
          </cell>
          <cell r="T1813" t="str">
            <v>Hafid</v>
          </cell>
          <cell r="U1813">
            <v>30</v>
          </cell>
        </row>
        <row r="1814">
          <cell r="E1814" t="str">
            <v>D25015225</v>
          </cell>
          <cell r="F1814"/>
          <cell r="G1814">
            <v>650000000</v>
          </cell>
          <cell r="H1814" t="str">
            <v>Faris</v>
          </cell>
          <cell r="I1814" t="str">
            <v>Syahra</v>
          </cell>
          <cell r="J1814"/>
          <cell r="K1814" t="str">
            <v>KU</v>
          </cell>
          <cell r="L1814" t="str">
            <v>CAHA01</v>
          </cell>
          <cell r="M1814" t="str">
            <v>Cahaya Mulya</v>
          </cell>
          <cell r="N1814" t="str">
            <v>Achmad Mustain</v>
          </cell>
          <cell r="O1814" t="str">
            <v>Jenisari Genteng</v>
          </cell>
          <cell r="P1814" t="str">
            <v>Banyuwangi</v>
          </cell>
          <cell r="Q1814" t="str">
            <v>Jenisari Genteng</v>
          </cell>
          <cell r="R1814" t="str">
            <v>Banyuwangi</v>
          </cell>
          <cell r="S1814" t="str">
            <v>H Bwi1</v>
          </cell>
          <cell r="T1814" t="str">
            <v>Hafid</v>
          </cell>
          <cell r="U1814">
            <v>30</v>
          </cell>
        </row>
        <row r="1815">
          <cell r="E1815" t="str">
            <v>B25013370</v>
          </cell>
          <cell r="F1815"/>
          <cell r="G1815">
            <v>650000000</v>
          </cell>
          <cell r="H1815" t="str">
            <v>Faris</v>
          </cell>
          <cell r="I1815" t="str">
            <v>Syahra</v>
          </cell>
          <cell r="J1815"/>
          <cell r="K1815" t="str">
            <v>KU</v>
          </cell>
          <cell r="L1815" t="str">
            <v>CAHA01</v>
          </cell>
          <cell r="M1815" t="str">
            <v>Cahaya Mulya</v>
          </cell>
          <cell r="N1815" t="str">
            <v>Achmad Mustain</v>
          </cell>
          <cell r="O1815" t="str">
            <v>Jenisari Genteng</v>
          </cell>
          <cell r="P1815" t="str">
            <v>Banyuwangi</v>
          </cell>
          <cell r="Q1815" t="str">
            <v>Jenisari Genteng</v>
          </cell>
          <cell r="R1815" t="str">
            <v>Banyuwangi</v>
          </cell>
          <cell r="S1815" t="str">
            <v>H Bwi1</v>
          </cell>
          <cell r="T1815" t="str">
            <v>Hafid</v>
          </cell>
          <cell r="U1815">
            <v>0</v>
          </cell>
        </row>
        <row r="1816">
          <cell r="E1816" t="str">
            <v>B25013371</v>
          </cell>
          <cell r="F1816"/>
          <cell r="G1816">
            <v>650000000</v>
          </cell>
          <cell r="H1816" t="str">
            <v>Faris</v>
          </cell>
          <cell r="I1816" t="str">
            <v>Syahra</v>
          </cell>
          <cell r="J1816"/>
          <cell r="K1816" t="str">
            <v>KU</v>
          </cell>
          <cell r="L1816" t="str">
            <v>CAHA01</v>
          </cell>
          <cell r="M1816" t="str">
            <v>Cahaya Mulya</v>
          </cell>
          <cell r="N1816" t="str">
            <v>Achmad Mustain</v>
          </cell>
          <cell r="O1816" t="str">
            <v>Jenisari Genteng</v>
          </cell>
          <cell r="P1816" t="str">
            <v>Banyuwangi</v>
          </cell>
          <cell r="Q1816" t="str">
            <v>Jenisari Genteng</v>
          </cell>
          <cell r="R1816" t="str">
            <v>Banyuwangi</v>
          </cell>
          <cell r="S1816" t="str">
            <v>H Bwi1</v>
          </cell>
          <cell r="T1816" t="str">
            <v>Hafid</v>
          </cell>
          <cell r="U1816">
            <v>30</v>
          </cell>
        </row>
        <row r="1817">
          <cell r="E1817" t="str">
            <v>D25015600</v>
          </cell>
          <cell r="F1817"/>
          <cell r="G1817">
            <v>650000000</v>
          </cell>
          <cell r="H1817" t="str">
            <v>Faris</v>
          </cell>
          <cell r="I1817" t="str">
            <v>Syahra</v>
          </cell>
          <cell r="J1817"/>
          <cell r="K1817" t="str">
            <v>KU</v>
          </cell>
          <cell r="L1817" t="str">
            <v>CAHA01</v>
          </cell>
          <cell r="M1817" t="str">
            <v>Cahaya Mulya</v>
          </cell>
          <cell r="N1817" t="str">
            <v>Achmad Mustain</v>
          </cell>
          <cell r="O1817" t="str">
            <v>Jenisari Genteng</v>
          </cell>
          <cell r="P1817" t="str">
            <v>Banyuwangi</v>
          </cell>
          <cell r="Q1817" t="str">
            <v>Jenisari Genteng</v>
          </cell>
          <cell r="R1817" t="str">
            <v>Banyuwangi</v>
          </cell>
          <cell r="S1817" t="str">
            <v>H Bwi1</v>
          </cell>
          <cell r="T1817" t="str">
            <v>Hafid</v>
          </cell>
          <cell r="U1817">
            <v>30</v>
          </cell>
        </row>
        <row r="1818">
          <cell r="E1818" t="str">
            <v>D25015601</v>
          </cell>
          <cell r="F1818"/>
          <cell r="G1818">
            <v>650000000</v>
          </cell>
          <cell r="H1818" t="str">
            <v>Faris</v>
          </cell>
          <cell r="I1818" t="str">
            <v>Syahra</v>
          </cell>
          <cell r="J1818"/>
          <cell r="K1818" t="str">
            <v>KU</v>
          </cell>
          <cell r="L1818" t="str">
            <v>CAHA01</v>
          </cell>
          <cell r="M1818" t="str">
            <v>Cahaya Mulya</v>
          </cell>
          <cell r="N1818" t="str">
            <v>Achmad Mustain</v>
          </cell>
          <cell r="O1818" t="str">
            <v>Jenisari Genteng</v>
          </cell>
          <cell r="P1818" t="str">
            <v>Banyuwangi</v>
          </cell>
          <cell r="Q1818" t="str">
            <v>Jenisari Genteng</v>
          </cell>
          <cell r="R1818" t="str">
            <v>Banyuwangi</v>
          </cell>
          <cell r="S1818" t="str">
            <v>H Bwi1</v>
          </cell>
          <cell r="T1818" t="str">
            <v>Hafid</v>
          </cell>
          <cell r="U1818">
            <v>30</v>
          </cell>
        </row>
        <row r="1819">
          <cell r="E1819" t="str">
            <v>B25013657</v>
          </cell>
          <cell r="F1819"/>
          <cell r="G1819">
            <v>650000000</v>
          </cell>
          <cell r="H1819" t="str">
            <v>Faris</v>
          </cell>
          <cell r="I1819" t="str">
            <v>Syahra</v>
          </cell>
          <cell r="J1819"/>
          <cell r="K1819" t="str">
            <v>KU</v>
          </cell>
          <cell r="L1819" t="str">
            <v>CAHA01</v>
          </cell>
          <cell r="M1819" t="str">
            <v>Cahaya Mulya</v>
          </cell>
          <cell r="N1819" t="str">
            <v>Achmad Mustain</v>
          </cell>
          <cell r="O1819" t="str">
            <v>Jenisari Genteng</v>
          </cell>
          <cell r="P1819" t="str">
            <v>Banyuwangi</v>
          </cell>
          <cell r="Q1819" t="str">
            <v>Jenisari Genteng</v>
          </cell>
          <cell r="R1819" t="str">
            <v>Banyuwangi</v>
          </cell>
          <cell r="S1819" t="str">
            <v>H Bwi1</v>
          </cell>
          <cell r="T1819" t="str">
            <v>Hafid</v>
          </cell>
          <cell r="U1819">
            <v>30</v>
          </cell>
        </row>
        <row r="1820">
          <cell r="E1820" t="str">
            <v>B25013919</v>
          </cell>
          <cell r="F1820"/>
          <cell r="G1820">
            <v>650000000</v>
          </cell>
          <cell r="H1820" t="str">
            <v>Faris</v>
          </cell>
          <cell r="I1820" t="str">
            <v>Syahra</v>
          </cell>
          <cell r="J1820"/>
          <cell r="K1820" t="str">
            <v>KU</v>
          </cell>
          <cell r="L1820" t="str">
            <v>CAHA01</v>
          </cell>
          <cell r="M1820" t="str">
            <v>Cahaya Mulya</v>
          </cell>
          <cell r="N1820" t="str">
            <v>Achmad Mustain</v>
          </cell>
          <cell r="O1820" t="str">
            <v>Jenisari Genteng</v>
          </cell>
          <cell r="P1820" t="str">
            <v>Banyuwangi</v>
          </cell>
          <cell r="Q1820" t="str">
            <v>Jenisari Genteng</v>
          </cell>
          <cell r="R1820" t="str">
            <v>Banyuwangi</v>
          </cell>
          <cell r="S1820" t="str">
            <v>H Bwi1</v>
          </cell>
          <cell r="T1820" t="str">
            <v>Hafid</v>
          </cell>
          <cell r="U1820">
            <v>30</v>
          </cell>
        </row>
        <row r="1821">
          <cell r="E1821" t="str">
            <v>D25016320</v>
          </cell>
          <cell r="F1821"/>
          <cell r="G1821">
            <v>650000000</v>
          </cell>
          <cell r="H1821" t="str">
            <v>Faris</v>
          </cell>
          <cell r="I1821" t="str">
            <v>Syahra</v>
          </cell>
          <cell r="J1821"/>
          <cell r="K1821" t="str">
            <v>KU</v>
          </cell>
          <cell r="L1821" t="str">
            <v>CAHA01</v>
          </cell>
          <cell r="M1821" t="str">
            <v>Cahaya Mulya</v>
          </cell>
          <cell r="N1821" t="str">
            <v>Achmad Mustain</v>
          </cell>
          <cell r="O1821" t="str">
            <v>Jenisari Genteng</v>
          </cell>
          <cell r="P1821" t="str">
            <v>Banyuwangi</v>
          </cell>
          <cell r="Q1821" t="str">
            <v>Jenisari Genteng</v>
          </cell>
          <cell r="R1821" t="str">
            <v>Banyuwangi</v>
          </cell>
          <cell r="S1821" t="str">
            <v>H Bwi1</v>
          </cell>
          <cell r="T1821" t="str">
            <v>Hafid</v>
          </cell>
          <cell r="U1821">
            <v>30</v>
          </cell>
        </row>
        <row r="1822">
          <cell r="E1822" t="str">
            <v>D24017630</v>
          </cell>
          <cell r="F1822"/>
          <cell r="G1822">
            <v>50000000</v>
          </cell>
          <cell r="H1822" t="str">
            <v>Hendra</v>
          </cell>
          <cell r="I1822" t="str">
            <v>Tiya</v>
          </cell>
          <cell r="J1822" t="str">
            <v>New 22/11/19</v>
          </cell>
          <cell r="K1822" t="str">
            <v>KU</v>
          </cell>
          <cell r="L1822" t="str">
            <v>CAHA21</v>
          </cell>
          <cell r="M1822" t="str">
            <v>Cahaya Putri, UD</v>
          </cell>
          <cell r="N1822" t="str">
            <v>Saimah</v>
          </cell>
          <cell r="O1822" t="str">
            <v>Dsn. Kara RT. 002/RW - Kel. Lanci Jaya Kec. Manggelewa - Dompu</v>
          </cell>
          <cell r="P1822" t="str">
            <v>NTB</v>
          </cell>
          <cell r="Q1822" t="str">
            <v>Dsn. Kara RT. 002/RW - Kel. Lanci Jaya Kec. Manggelewa - Dompu</v>
          </cell>
          <cell r="R1822" t="str">
            <v>NTB</v>
          </cell>
          <cell r="S1822" t="str">
            <v>E Luar Pulau1</v>
          </cell>
          <cell r="T1822" t="str">
            <v>Muhlisin</v>
          </cell>
          <cell r="U1822">
            <v>365</v>
          </cell>
        </row>
        <row r="1823">
          <cell r="E1823" t="str">
            <v>B25007248</v>
          </cell>
          <cell r="F1823"/>
          <cell r="G1823">
            <v>500000000</v>
          </cell>
          <cell r="H1823" t="str">
            <v>Hendra</v>
          </cell>
          <cell r="I1823" t="str">
            <v>Tiya</v>
          </cell>
          <cell r="J1823"/>
          <cell r="K1823" t="str">
            <v>KU</v>
          </cell>
          <cell r="L1823" t="str">
            <v>CAHA11</v>
          </cell>
          <cell r="M1823" t="str">
            <v>Cahaya Tani, CV/Nurrohman</v>
          </cell>
          <cell r="N1823" t="str">
            <v>Cahaya Tani, CV</v>
          </cell>
          <cell r="O1823" t="str">
            <v>Jl. Puring KM 2 ,RT.00/RW.00 Kel. Kalitengah, Kec. Gombong</v>
          </cell>
          <cell r="P1823" t="str">
            <v>Kebumen</v>
          </cell>
          <cell r="Q1823" t="str">
            <v>Jl. Puring KM 2 ,RT.00/RW.00 Kel. Kalitengah, Kec. Gombong</v>
          </cell>
          <cell r="R1823" t="str">
            <v>Kebumen</v>
          </cell>
          <cell r="S1823" t="str">
            <v>I Jabar Jateng</v>
          </cell>
          <cell r="T1823" t="str">
            <v>Non SE &amp; JSE</v>
          </cell>
          <cell r="U1823">
            <v>227</v>
          </cell>
        </row>
        <row r="1824">
          <cell r="E1824" t="str">
            <v>B25007248</v>
          </cell>
          <cell r="F1824"/>
          <cell r="G1824">
            <v>500000000</v>
          </cell>
          <cell r="H1824" t="str">
            <v>Hendra</v>
          </cell>
          <cell r="I1824" t="str">
            <v>Tiya</v>
          </cell>
          <cell r="J1824"/>
          <cell r="K1824" t="str">
            <v>KU</v>
          </cell>
          <cell r="L1824" t="str">
            <v>CAHA11</v>
          </cell>
          <cell r="M1824" t="str">
            <v>Cahaya Tani, CV/Nurrohman</v>
          </cell>
          <cell r="N1824" t="str">
            <v>Cahaya Tani, CV</v>
          </cell>
          <cell r="O1824" t="str">
            <v>Jl. Puring KM 2 ,RT.00/RW.00 Kel. Kalitengah, Kec. Gombong</v>
          </cell>
          <cell r="P1824" t="str">
            <v>Kebumen</v>
          </cell>
          <cell r="Q1824" t="str">
            <v>Jl. Puring KM 2 ,RT.00/RW.00 Kel. Kalitengah, Kec. Gombong</v>
          </cell>
          <cell r="R1824" t="str">
            <v>Kebumen</v>
          </cell>
          <cell r="S1824" t="str">
            <v>I Jabar Jateng</v>
          </cell>
          <cell r="T1824" t="str">
            <v>Non SE &amp; JSE</v>
          </cell>
          <cell r="U1824">
            <v>227</v>
          </cell>
        </row>
        <row r="1825">
          <cell r="E1825" t="str">
            <v>B25007248</v>
          </cell>
          <cell r="F1825"/>
          <cell r="G1825">
            <v>500000000</v>
          </cell>
          <cell r="H1825" t="str">
            <v>Hendra</v>
          </cell>
          <cell r="I1825" t="str">
            <v>Tiya</v>
          </cell>
          <cell r="J1825"/>
          <cell r="K1825" t="str">
            <v>KU</v>
          </cell>
          <cell r="L1825" t="str">
            <v>CAHA11</v>
          </cell>
          <cell r="M1825" t="str">
            <v>Cahaya Tani, CV/Nurrohman</v>
          </cell>
          <cell r="N1825" t="str">
            <v>Cahaya Tani, CV</v>
          </cell>
          <cell r="O1825" t="str">
            <v>Jl. Puring KM 2 ,RT.00/RW.00 Kel. Kalitengah, Kec. Gombong</v>
          </cell>
          <cell r="P1825" t="str">
            <v>Kebumen</v>
          </cell>
          <cell r="Q1825" t="str">
            <v>Jl. Puring KM 2 ,RT.00/RW.00 Kel. Kalitengah, Kec. Gombong</v>
          </cell>
          <cell r="R1825" t="str">
            <v>Kebumen</v>
          </cell>
          <cell r="S1825" t="str">
            <v>I Jabar Jateng</v>
          </cell>
          <cell r="T1825" t="str">
            <v>Non SE &amp; JSE</v>
          </cell>
          <cell r="U1825">
            <v>227</v>
          </cell>
        </row>
        <row r="1826">
          <cell r="E1826" t="str">
            <v>B25007248</v>
          </cell>
          <cell r="F1826"/>
          <cell r="G1826">
            <v>500000000</v>
          </cell>
          <cell r="H1826" t="str">
            <v>Hendra</v>
          </cell>
          <cell r="I1826" t="str">
            <v>Tiya</v>
          </cell>
          <cell r="J1826"/>
          <cell r="K1826" t="str">
            <v>KU</v>
          </cell>
          <cell r="L1826" t="str">
            <v>CAHA11</v>
          </cell>
          <cell r="M1826" t="str">
            <v>Cahaya Tani, CV/Nurrohman</v>
          </cell>
          <cell r="N1826" t="str">
            <v>Cahaya Tani, CV</v>
          </cell>
          <cell r="O1826" t="str">
            <v>Jl. Puring KM 2 ,RT.00/RW.00 Kel. Kalitengah, Kec. Gombong</v>
          </cell>
          <cell r="P1826" t="str">
            <v>Kebumen</v>
          </cell>
          <cell r="Q1826" t="str">
            <v>Jl. Puring KM 2 ,RT.00/RW.00 Kel. Kalitengah, Kec. Gombong</v>
          </cell>
          <cell r="R1826" t="str">
            <v>Kebumen</v>
          </cell>
          <cell r="S1826" t="str">
            <v>I Jabar Jateng</v>
          </cell>
          <cell r="T1826" t="str">
            <v>Non SE &amp; JSE</v>
          </cell>
          <cell r="U1826">
            <v>227</v>
          </cell>
        </row>
        <row r="1827">
          <cell r="E1827" t="str">
            <v>D25009772</v>
          </cell>
          <cell r="F1827"/>
          <cell r="G1827">
            <v>500000000</v>
          </cell>
          <cell r="H1827" t="str">
            <v>Hendra</v>
          </cell>
          <cell r="I1827" t="str">
            <v>Tiya</v>
          </cell>
          <cell r="J1827"/>
          <cell r="K1827" t="str">
            <v>KU</v>
          </cell>
          <cell r="L1827" t="str">
            <v>CAHA11</v>
          </cell>
          <cell r="M1827" t="str">
            <v>Cahaya Tani, CV/Nurrohman</v>
          </cell>
          <cell r="N1827" t="str">
            <v>Cahaya Tani, CV</v>
          </cell>
          <cell r="O1827" t="str">
            <v>Jl. Puring KM 2 ,RT.00/RW.00 Kel. Kalitengah, Kec. Gombong</v>
          </cell>
          <cell r="P1827" t="str">
            <v>Kebumen</v>
          </cell>
          <cell r="Q1827" t="str">
            <v>Jl. Puring KM 2 ,RT.00/RW.00 Kel. Kalitengah, Kec. Gombong</v>
          </cell>
          <cell r="R1827" t="str">
            <v>Kebumen</v>
          </cell>
          <cell r="S1827" t="str">
            <v>I Jabar Jateng</v>
          </cell>
          <cell r="T1827" t="str">
            <v>Non SE &amp; JSE</v>
          </cell>
          <cell r="U1827">
            <v>213</v>
          </cell>
        </row>
        <row r="1828">
          <cell r="E1828" t="str">
            <v>D25010491</v>
          </cell>
          <cell r="F1828"/>
          <cell r="G1828">
            <v>500000000</v>
          </cell>
          <cell r="H1828" t="str">
            <v>Hendra</v>
          </cell>
          <cell r="I1828" t="str">
            <v>Tiya</v>
          </cell>
          <cell r="J1828"/>
          <cell r="K1828" t="str">
            <v>KU</v>
          </cell>
          <cell r="L1828" t="str">
            <v>CAHA11</v>
          </cell>
          <cell r="M1828" t="str">
            <v>Cahaya Tani, CV/Nurrohman</v>
          </cell>
          <cell r="N1828" t="str">
            <v>Cahaya Tani, CV</v>
          </cell>
          <cell r="O1828" t="str">
            <v>Jl. Puring KM 2 ,RT.00/RW.00 Kel. Kalitengah, Kec. Gombong</v>
          </cell>
          <cell r="P1828" t="str">
            <v>Kebumen</v>
          </cell>
          <cell r="Q1828" t="str">
            <v>Jl. Puring KM 2 ,RT.00/RW.00 Kel. Kalitengah, Kec. Gombong</v>
          </cell>
          <cell r="R1828" t="str">
            <v>Kebumen</v>
          </cell>
          <cell r="S1828" t="str">
            <v>I Jabar Jateng</v>
          </cell>
          <cell r="T1828" t="str">
            <v>Non SE &amp; JSE</v>
          </cell>
          <cell r="U1828">
            <v>200</v>
          </cell>
        </row>
        <row r="1829">
          <cell r="E1829" t="str">
            <v>B25008866</v>
          </cell>
          <cell r="F1829"/>
          <cell r="G1829">
            <v>500000000</v>
          </cell>
          <cell r="H1829" t="str">
            <v>Hendra</v>
          </cell>
          <cell r="I1829" t="str">
            <v>Tiya</v>
          </cell>
          <cell r="J1829"/>
          <cell r="K1829" t="str">
            <v>KU</v>
          </cell>
          <cell r="L1829" t="str">
            <v>CAHA11</v>
          </cell>
          <cell r="M1829" t="str">
            <v>Cahaya Tani, CV/Nurrohman</v>
          </cell>
          <cell r="N1829" t="str">
            <v>Cahaya Tani, CV</v>
          </cell>
          <cell r="O1829" t="str">
            <v>Jl. Puring KM 2 ,RT.00/RW.00 Kel. Kalitengah, Kec. Gombong</v>
          </cell>
          <cell r="P1829" t="str">
            <v>Kebumen</v>
          </cell>
          <cell r="Q1829" t="str">
            <v>Jl. Puring KM 2 ,RT.00/RW.00 Kel. Kalitengah, Kec. Gombong</v>
          </cell>
          <cell r="R1829" t="str">
            <v>Kebumen</v>
          </cell>
          <cell r="S1829" t="str">
            <v>I Jabar Jateng</v>
          </cell>
          <cell r="T1829" t="str">
            <v>Non SE &amp; JSE</v>
          </cell>
          <cell r="U1829">
            <v>196</v>
          </cell>
        </row>
        <row r="1830">
          <cell r="E1830" t="str">
            <v>D25011387</v>
          </cell>
          <cell r="F1830"/>
          <cell r="G1830">
            <v>500000000</v>
          </cell>
          <cell r="H1830" t="str">
            <v>Hendra</v>
          </cell>
          <cell r="I1830" t="str">
            <v>Tiya</v>
          </cell>
          <cell r="J1830"/>
          <cell r="K1830" t="str">
            <v>KU</v>
          </cell>
          <cell r="L1830" t="str">
            <v>CAHA11</v>
          </cell>
          <cell r="M1830" t="str">
            <v>Cahaya Tani, CV/Nurrohman</v>
          </cell>
          <cell r="N1830" t="str">
            <v>Cahaya Tani, CV</v>
          </cell>
          <cell r="O1830" t="str">
            <v>Jl. Puring KM 2 ,RT.00/RW.00 Kel. Kalitengah, Kec. Gombong</v>
          </cell>
          <cell r="P1830" t="str">
            <v>Kebumen</v>
          </cell>
          <cell r="Q1830" t="str">
            <v>Jl. Puring KM 2 ,RT.00/RW.00 Kel. Kalitengah, Kec. Gombong</v>
          </cell>
          <cell r="R1830" t="str">
            <v>Kebumen</v>
          </cell>
          <cell r="S1830" t="str">
            <v>I Jabar Jateng</v>
          </cell>
          <cell r="T1830" t="str">
            <v>Non SE &amp; JSE</v>
          </cell>
          <cell r="U1830">
            <v>184</v>
          </cell>
        </row>
        <row r="1831">
          <cell r="E1831" t="str">
            <v>B25009852</v>
          </cell>
          <cell r="F1831"/>
          <cell r="G1831">
            <v>500000000</v>
          </cell>
          <cell r="H1831" t="str">
            <v>Hendra</v>
          </cell>
          <cell r="I1831" t="str">
            <v>Tiya</v>
          </cell>
          <cell r="J1831"/>
          <cell r="K1831" t="str">
            <v>KU</v>
          </cell>
          <cell r="L1831" t="str">
            <v>CAHA11</v>
          </cell>
          <cell r="M1831" t="str">
            <v>Cahaya Tani, CV/Nurrohman</v>
          </cell>
          <cell r="N1831" t="str">
            <v>Cahaya Tani, CV</v>
          </cell>
          <cell r="O1831" t="str">
            <v>Jl. Puring KM 2 ,RT.00/RW.00 Kel. Kalitengah, Kec. Gombong</v>
          </cell>
          <cell r="P1831" t="str">
            <v>Kebumen</v>
          </cell>
          <cell r="Q1831" t="str">
            <v>Jl. Puring KM 2 ,RT.00/RW.00 Kel. Kalitengah, Kec. Gombong</v>
          </cell>
          <cell r="R1831" t="str">
            <v>Kebumen</v>
          </cell>
          <cell r="S1831" t="str">
            <v>I Jabar Jateng</v>
          </cell>
          <cell r="T1831" t="str">
            <v>Non SE &amp; JSE</v>
          </cell>
          <cell r="U1831">
            <v>177</v>
          </cell>
        </row>
        <row r="1832">
          <cell r="E1832" t="str">
            <v>D25010353</v>
          </cell>
          <cell r="F1832"/>
          <cell r="G1832">
            <v>50000000</v>
          </cell>
          <cell r="H1832" t="str">
            <v>Zakia</v>
          </cell>
          <cell r="I1832" t="str">
            <v>Tiya</v>
          </cell>
          <cell r="J1832"/>
          <cell r="K1832" t="str">
            <v>KU</v>
          </cell>
          <cell r="L1832" t="str">
            <v>CAHA08</v>
          </cell>
          <cell r="M1832" t="str">
            <v>Cahaya Tani, UD/Muizzi</v>
          </cell>
          <cell r="N1832" t="str">
            <v>Mu'Izzi</v>
          </cell>
          <cell r="O1832" t="str">
            <v>Dsn. Mandala RT.015/RW.008, Ketawang Karay, Ganding</v>
          </cell>
          <cell r="P1832" t="str">
            <v>Sumenep</v>
          </cell>
          <cell r="Q1832" t="str">
            <v>Pasar Mandala Ketawang Karay, Kec. Ganding Kab. Sumenep</v>
          </cell>
          <cell r="R1832" t="str">
            <v>Sumenep</v>
          </cell>
          <cell r="S1832" t="str">
            <v>M Madura</v>
          </cell>
          <cell r="T1832" t="str">
            <v>Tomi</v>
          </cell>
          <cell r="U1832">
            <v>30</v>
          </cell>
        </row>
        <row r="1833">
          <cell r="E1833" t="str">
            <v>T25001193</v>
          </cell>
          <cell r="F1833"/>
          <cell r="G1833">
            <v>50000000</v>
          </cell>
          <cell r="H1833" t="str">
            <v>Zakia</v>
          </cell>
          <cell r="I1833" t="str">
            <v>Tiya</v>
          </cell>
          <cell r="J1833"/>
          <cell r="K1833" t="str">
            <v>KU</v>
          </cell>
          <cell r="L1833" t="str">
            <v>CAHA08</v>
          </cell>
          <cell r="M1833" t="str">
            <v>Cahaya Tani, UD/Muizzi</v>
          </cell>
          <cell r="N1833" t="str">
            <v>Mu'Izzi</v>
          </cell>
          <cell r="O1833" t="str">
            <v>Dsn. Mandala RT.015/RW.008, Ketawang Karay, Ganding</v>
          </cell>
          <cell r="P1833" t="str">
            <v>Sumenep</v>
          </cell>
          <cell r="Q1833" t="str">
            <v>Pasar Mandala Ketawang Karay, Kec. Ganding Kab. Sumenep</v>
          </cell>
          <cell r="R1833" t="str">
            <v>Sumenep</v>
          </cell>
          <cell r="S1833" t="str">
            <v>M Madura</v>
          </cell>
          <cell r="T1833" t="str">
            <v>Tomi</v>
          </cell>
          <cell r="U1833">
            <v>60</v>
          </cell>
        </row>
        <row r="1834">
          <cell r="E1834" t="str">
            <v>D25015757</v>
          </cell>
          <cell r="F1834"/>
          <cell r="G1834">
            <v>50000000</v>
          </cell>
          <cell r="H1834" t="str">
            <v>Zakia</v>
          </cell>
          <cell r="I1834" t="str">
            <v>Tiya</v>
          </cell>
          <cell r="J1834"/>
          <cell r="K1834" t="str">
            <v>KU</v>
          </cell>
          <cell r="L1834" t="str">
            <v>CAHA08</v>
          </cell>
          <cell r="M1834" t="str">
            <v>Cahaya Tani, UD/Muizzi</v>
          </cell>
          <cell r="N1834" t="str">
            <v>Mu'Izzi</v>
          </cell>
          <cell r="O1834" t="str">
            <v>Dsn. Mandala RT.015/RW.008, Ketawang Karay, Ganding</v>
          </cell>
          <cell r="P1834" t="str">
            <v>Sumenep</v>
          </cell>
          <cell r="Q1834" t="str">
            <v>Pasar Mandala Ketawang Karay, Kec. Ganding Kab. Sumenep</v>
          </cell>
          <cell r="R1834" t="str">
            <v>Sumenep</v>
          </cell>
          <cell r="S1834" t="str">
            <v>M Madura</v>
          </cell>
          <cell r="T1834" t="str">
            <v>Tomi</v>
          </cell>
          <cell r="U1834">
            <v>30</v>
          </cell>
        </row>
        <row r="1835">
          <cell r="E1835" t="str">
            <v>B25013530</v>
          </cell>
          <cell r="F1835"/>
          <cell r="G1835">
            <v>50000000</v>
          </cell>
          <cell r="H1835" t="str">
            <v>Zakia</v>
          </cell>
          <cell r="I1835" t="str">
            <v>Tiya</v>
          </cell>
          <cell r="J1835"/>
          <cell r="K1835" t="str">
            <v>KU</v>
          </cell>
          <cell r="L1835" t="str">
            <v>CAHA08</v>
          </cell>
          <cell r="M1835" t="str">
            <v>Cahaya Tani, UD/Muizzi</v>
          </cell>
          <cell r="N1835" t="str">
            <v>Mu'Izzi</v>
          </cell>
          <cell r="O1835" t="str">
            <v>Dsn. Mandala RT.015/RW.008, Ketawang Karay, Ganding</v>
          </cell>
          <cell r="P1835" t="str">
            <v>Sumenep</v>
          </cell>
          <cell r="Q1835" t="str">
            <v>Pasar Mandala Ketawang Karay, Kec. Ganding Kab. Sumenep</v>
          </cell>
          <cell r="R1835" t="str">
            <v>Sumenep</v>
          </cell>
          <cell r="S1835" t="str">
            <v>M Madura</v>
          </cell>
          <cell r="T1835" t="str">
            <v>Tomi</v>
          </cell>
          <cell r="U1835">
            <v>30</v>
          </cell>
        </row>
        <row r="1836">
          <cell r="E1836" t="str">
            <v>B25013531</v>
          </cell>
          <cell r="F1836"/>
          <cell r="G1836">
            <v>50000000</v>
          </cell>
          <cell r="H1836" t="str">
            <v>Zakia</v>
          </cell>
          <cell r="I1836" t="str">
            <v>Tiya</v>
          </cell>
          <cell r="J1836"/>
          <cell r="K1836" t="str">
            <v>KU</v>
          </cell>
          <cell r="L1836" t="str">
            <v>CAHA08</v>
          </cell>
          <cell r="M1836" t="str">
            <v>Cahaya Tani, UD/Muizzi</v>
          </cell>
          <cell r="N1836" t="str">
            <v>Mu'Izzi</v>
          </cell>
          <cell r="O1836" t="str">
            <v>Dsn. Mandala RT.015/RW.008, Ketawang Karay, Ganding</v>
          </cell>
          <cell r="P1836" t="str">
            <v>Sumenep</v>
          </cell>
          <cell r="Q1836" t="str">
            <v>Pasar Mandala Ketawang Karay, Kec. Ganding Kab. Sumenep</v>
          </cell>
          <cell r="R1836" t="str">
            <v>Sumenep</v>
          </cell>
          <cell r="S1836" t="str">
            <v>M Madura</v>
          </cell>
          <cell r="T1836" t="str">
            <v>Tomi</v>
          </cell>
          <cell r="U1836">
            <v>0</v>
          </cell>
        </row>
        <row r="1837">
          <cell r="E1837" t="str">
            <v>T25001590</v>
          </cell>
          <cell r="F1837"/>
          <cell r="G1837">
            <v>50000000</v>
          </cell>
          <cell r="H1837" t="str">
            <v>Zakia</v>
          </cell>
          <cell r="I1837" t="str">
            <v>Tiya</v>
          </cell>
          <cell r="J1837"/>
          <cell r="K1837" t="str">
            <v>KU</v>
          </cell>
          <cell r="L1837" t="str">
            <v>CAHA08</v>
          </cell>
          <cell r="M1837" t="str">
            <v>Cahaya Tani, UD/Muizzi</v>
          </cell>
          <cell r="N1837" t="str">
            <v>Mu'Izzi</v>
          </cell>
          <cell r="O1837" t="str">
            <v>Dsn. Mandala RT.015/RW.008, Ketawang Karay, Ganding</v>
          </cell>
          <cell r="P1837" t="str">
            <v>Sumenep</v>
          </cell>
          <cell r="Q1837" t="str">
            <v>Pasar Mandala Ketawang Karay, Kec. Ganding Kab. Sumenep</v>
          </cell>
          <cell r="R1837" t="str">
            <v>Sumenep</v>
          </cell>
          <cell r="S1837" t="str">
            <v>M Madura</v>
          </cell>
          <cell r="T1837" t="str">
            <v>Tomi</v>
          </cell>
          <cell r="U1837">
            <v>60</v>
          </cell>
        </row>
        <row r="1838">
          <cell r="E1838" t="str">
            <v>D25011788</v>
          </cell>
          <cell r="F1838"/>
          <cell r="G1838">
            <v>60000000</v>
          </cell>
          <cell r="H1838" t="str">
            <v>Reni</v>
          </cell>
          <cell r="I1838" t="str">
            <v>Farida</v>
          </cell>
          <cell r="J1838" t="str">
            <v>New 23/10/19</v>
          </cell>
          <cell r="K1838" t="str">
            <v>KU</v>
          </cell>
          <cell r="L1838" t="str">
            <v>CAHA20</v>
          </cell>
          <cell r="M1838" t="str">
            <v>Cahaya Tani/Damiyanto</v>
          </cell>
          <cell r="N1838" t="str">
            <v>Damiyanto, SPd</v>
          </cell>
          <cell r="O1838" t="str">
            <v>Jl. A. Yani Ds. Mlorah, RT.001/RW.005 Kel. Mlorah, Kec. Rejoso</v>
          </cell>
          <cell r="P1838" t="str">
            <v>Nganjuk</v>
          </cell>
          <cell r="Q1838" t="str">
            <v>Jl. A. Yani Ds. Mlorah, RT.001/RW.005 Kel. Mlorah, Kec. Rejoso</v>
          </cell>
          <cell r="R1838" t="str">
            <v>Nganjuk</v>
          </cell>
          <cell r="S1838" t="str">
            <v>D Barat1</v>
          </cell>
          <cell r="T1838" t="str">
            <v>Dian</v>
          </cell>
          <cell r="U1838">
            <v>60</v>
          </cell>
        </row>
        <row r="1839">
          <cell r="E1839" t="str">
            <v>D25012166</v>
          </cell>
          <cell r="F1839"/>
          <cell r="G1839">
            <v>60000000</v>
          </cell>
          <cell r="H1839" t="str">
            <v>Reni</v>
          </cell>
          <cell r="I1839" t="str">
            <v>Farida</v>
          </cell>
          <cell r="J1839" t="str">
            <v>New 23/10/19</v>
          </cell>
          <cell r="K1839" t="str">
            <v>KU</v>
          </cell>
          <cell r="L1839" t="str">
            <v>CAHA20</v>
          </cell>
          <cell r="M1839" t="str">
            <v>Cahaya Tani/Damiyanto</v>
          </cell>
          <cell r="N1839" t="str">
            <v>Damiyanto, SPd</v>
          </cell>
          <cell r="O1839" t="str">
            <v>Jl. A. Yani Ds. Mlorah, RT.001/RW.005 Kel. Mlorah, Kec. Rejoso</v>
          </cell>
          <cell r="P1839" t="str">
            <v>Nganjuk</v>
          </cell>
          <cell r="Q1839" t="str">
            <v>Jl. A. Yani Ds. Mlorah, RT.001/RW.005 Kel. Mlorah, Kec. Rejoso</v>
          </cell>
          <cell r="R1839" t="str">
            <v>Nganjuk</v>
          </cell>
          <cell r="S1839" t="str">
            <v>D Barat1</v>
          </cell>
          <cell r="T1839" t="str">
            <v>Dian</v>
          </cell>
          <cell r="U1839">
            <v>60</v>
          </cell>
        </row>
        <row r="1840">
          <cell r="E1840" t="str">
            <v>B25010315</v>
          </cell>
          <cell r="F1840"/>
          <cell r="G1840">
            <v>60000000</v>
          </cell>
          <cell r="H1840" t="str">
            <v>Reni</v>
          </cell>
          <cell r="I1840" t="str">
            <v>Farida</v>
          </cell>
          <cell r="J1840" t="str">
            <v>New 23/10/19</v>
          </cell>
          <cell r="K1840" t="str">
            <v>KU</v>
          </cell>
          <cell r="L1840" t="str">
            <v>CAHA20</v>
          </cell>
          <cell r="M1840" t="str">
            <v>Cahaya Tani/Damiyanto</v>
          </cell>
          <cell r="N1840" t="str">
            <v>Damiyanto, SPd</v>
          </cell>
          <cell r="O1840" t="str">
            <v>Jl. A. Yani Ds. Mlorah, RT.001/RW.005 Kel. Mlorah, Kec. Rejoso</v>
          </cell>
          <cell r="P1840" t="str">
            <v>Nganjuk</v>
          </cell>
          <cell r="Q1840" t="str">
            <v>Jl. A. Yani Ds. Mlorah, RT.001/RW.005 Kel. Mlorah, Kec. Rejoso</v>
          </cell>
          <cell r="R1840" t="str">
            <v>Nganjuk</v>
          </cell>
          <cell r="S1840" t="str">
            <v>D Barat1</v>
          </cell>
          <cell r="T1840" t="str">
            <v>Dian</v>
          </cell>
          <cell r="U1840">
            <v>60</v>
          </cell>
        </row>
        <row r="1841">
          <cell r="E1841" t="str">
            <v>B25010315</v>
          </cell>
          <cell r="F1841"/>
          <cell r="G1841">
            <v>60000000</v>
          </cell>
          <cell r="H1841" t="str">
            <v>Reni</v>
          </cell>
          <cell r="I1841" t="str">
            <v>Farida</v>
          </cell>
          <cell r="J1841" t="str">
            <v>New 23/10/19</v>
          </cell>
          <cell r="K1841" t="str">
            <v>KU</v>
          </cell>
          <cell r="L1841" t="str">
            <v>CAHA20</v>
          </cell>
          <cell r="M1841" t="str">
            <v>Cahaya Tani/Damiyanto</v>
          </cell>
          <cell r="N1841" t="str">
            <v>Damiyanto, SPd</v>
          </cell>
          <cell r="O1841" t="str">
            <v>Jl. A. Yani Ds. Mlorah, RT.001/RW.005 Kel. Mlorah, Kec. Rejoso</v>
          </cell>
          <cell r="P1841" t="str">
            <v>Nganjuk</v>
          </cell>
          <cell r="Q1841" t="str">
            <v>Jl. A. Yani Ds. Mlorah, RT.001/RW.005 Kel. Mlorah, Kec. Rejoso</v>
          </cell>
          <cell r="R1841" t="str">
            <v>Nganjuk</v>
          </cell>
          <cell r="S1841" t="str">
            <v>D Barat1</v>
          </cell>
          <cell r="T1841" t="str">
            <v>Dian</v>
          </cell>
          <cell r="U1841">
            <v>60</v>
          </cell>
        </row>
        <row r="1842">
          <cell r="E1842" t="str">
            <v>D25012894</v>
          </cell>
          <cell r="F1842"/>
          <cell r="G1842">
            <v>60000000</v>
          </cell>
          <cell r="H1842" t="str">
            <v>Reni</v>
          </cell>
          <cell r="I1842" t="str">
            <v>Farida</v>
          </cell>
          <cell r="J1842" t="str">
            <v>New 23/10/19</v>
          </cell>
          <cell r="K1842" t="str">
            <v>KU</v>
          </cell>
          <cell r="L1842" t="str">
            <v>CAHA20</v>
          </cell>
          <cell r="M1842" t="str">
            <v>Cahaya Tani/Damiyanto</v>
          </cell>
          <cell r="N1842" t="str">
            <v>Damiyanto, SPd</v>
          </cell>
          <cell r="O1842" t="str">
            <v>Jl. A. Yani Ds. Mlorah, RT.001/RW.005 Kel. Mlorah, Kec. Rejoso</v>
          </cell>
          <cell r="P1842" t="str">
            <v>Nganjuk</v>
          </cell>
          <cell r="Q1842" t="str">
            <v>Jl. A. Yani Ds. Mlorah, RT.001/RW.005 Kel. Mlorah, Kec. Rejoso</v>
          </cell>
          <cell r="R1842" t="str">
            <v>Nganjuk</v>
          </cell>
          <cell r="S1842" t="str">
            <v>D Barat1</v>
          </cell>
          <cell r="T1842" t="str">
            <v>Dian</v>
          </cell>
          <cell r="U1842">
            <v>60</v>
          </cell>
        </row>
        <row r="1843">
          <cell r="E1843" t="str">
            <v>D25012894</v>
          </cell>
          <cell r="F1843"/>
          <cell r="G1843">
            <v>60000000</v>
          </cell>
          <cell r="H1843" t="str">
            <v>Reni</v>
          </cell>
          <cell r="I1843" t="str">
            <v>Farida</v>
          </cell>
          <cell r="J1843" t="str">
            <v>New 23/10/19</v>
          </cell>
          <cell r="K1843" t="str">
            <v>KU</v>
          </cell>
          <cell r="L1843" t="str">
            <v>CAHA20</v>
          </cell>
          <cell r="M1843" t="str">
            <v>Cahaya Tani/Damiyanto</v>
          </cell>
          <cell r="N1843" t="str">
            <v>Damiyanto, SPd</v>
          </cell>
          <cell r="O1843" t="str">
            <v>Jl. A. Yani Ds. Mlorah, RT.001/RW.005 Kel. Mlorah, Kec. Rejoso</v>
          </cell>
          <cell r="P1843" t="str">
            <v>Nganjuk</v>
          </cell>
          <cell r="Q1843" t="str">
            <v>Jl. A. Yani Ds. Mlorah, RT.001/RW.005 Kel. Mlorah, Kec. Rejoso</v>
          </cell>
          <cell r="R1843" t="str">
            <v>Nganjuk</v>
          </cell>
          <cell r="S1843" t="str">
            <v>D Barat1</v>
          </cell>
          <cell r="T1843" t="str">
            <v>Dian</v>
          </cell>
          <cell r="U1843">
            <v>60</v>
          </cell>
        </row>
        <row r="1844">
          <cell r="E1844" t="str">
            <v>T25001303</v>
          </cell>
          <cell r="F1844"/>
          <cell r="G1844">
            <v>60000000</v>
          </cell>
          <cell r="H1844" t="str">
            <v>Reni</v>
          </cell>
          <cell r="I1844" t="str">
            <v>Farida</v>
          </cell>
          <cell r="J1844" t="str">
            <v>New 23/10/19</v>
          </cell>
          <cell r="K1844" t="str">
            <v>KU</v>
          </cell>
          <cell r="L1844" t="str">
            <v>CAHA20</v>
          </cell>
          <cell r="M1844" t="str">
            <v>Cahaya Tani/Damiyanto</v>
          </cell>
          <cell r="N1844" t="str">
            <v>Damiyanto, SPd</v>
          </cell>
          <cell r="O1844" t="str">
            <v>Jl. A. Yani Ds. Mlorah, RT.001/RW.005 Kel. Mlorah, Kec. Rejoso</v>
          </cell>
          <cell r="P1844" t="str">
            <v>Nganjuk</v>
          </cell>
          <cell r="Q1844" t="str">
            <v>Jl. A. Yani Ds. Mlorah, RT.001/RW.005 Kel. Mlorah, Kec. Rejoso</v>
          </cell>
          <cell r="R1844" t="str">
            <v>Nganjuk</v>
          </cell>
          <cell r="S1844" t="str">
            <v>D Barat1</v>
          </cell>
          <cell r="T1844" t="str">
            <v>Dian</v>
          </cell>
          <cell r="U1844">
            <v>60</v>
          </cell>
        </row>
        <row r="1845">
          <cell r="E1845" t="str">
            <v>D25013480</v>
          </cell>
          <cell r="F1845"/>
          <cell r="G1845">
            <v>60000000</v>
          </cell>
          <cell r="H1845" t="str">
            <v>Reni</v>
          </cell>
          <cell r="I1845" t="str">
            <v>Farida</v>
          </cell>
          <cell r="J1845" t="str">
            <v>New 23/10/19</v>
          </cell>
          <cell r="K1845" t="str">
            <v>KU</v>
          </cell>
          <cell r="L1845" t="str">
            <v>CAHA20</v>
          </cell>
          <cell r="M1845" t="str">
            <v>Cahaya Tani/Damiyanto</v>
          </cell>
          <cell r="N1845" t="str">
            <v>Damiyanto, SPd</v>
          </cell>
          <cell r="O1845" t="str">
            <v>Jl. A. Yani Ds. Mlorah, RT.001/RW.005 Kel. Mlorah, Kec. Rejoso</v>
          </cell>
          <cell r="P1845" t="str">
            <v>Nganjuk</v>
          </cell>
          <cell r="Q1845" t="str">
            <v>Jl. A. Yani Ds. Mlorah, RT.001/RW.005 Kel. Mlorah, Kec. Rejoso</v>
          </cell>
          <cell r="R1845" t="str">
            <v>Nganjuk</v>
          </cell>
          <cell r="S1845" t="str">
            <v>D Barat1</v>
          </cell>
          <cell r="T1845" t="str">
            <v>Dian</v>
          </cell>
          <cell r="U1845">
            <v>60</v>
          </cell>
        </row>
        <row r="1846">
          <cell r="E1846" t="str">
            <v>B25011816</v>
          </cell>
          <cell r="F1846"/>
          <cell r="G1846">
            <v>60000000</v>
          </cell>
          <cell r="H1846" t="str">
            <v>Reni</v>
          </cell>
          <cell r="I1846" t="str">
            <v>Farida</v>
          </cell>
          <cell r="J1846" t="str">
            <v>New 23/10/19</v>
          </cell>
          <cell r="K1846" t="str">
            <v>KU</v>
          </cell>
          <cell r="L1846" t="str">
            <v>CAHA20</v>
          </cell>
          <cell r="M1846" t="str">
            <v>Cahaya Tani/Damiyanto</v>
          </cell>
          <cell r="N1846" t="str">
            <v>Damiyanto, SPd</v>
          </cell>
          <cell r="O1846" t="str">
            <v>Jl. A. Yani Ds. Mlorah, RT.001/RW.005 Kel. Mlorah, Kec. Rejoso</v>
          </cell>
          <cell r="P1846" t="str">
            <v>Nganjuk</v>
          </cell>
          <cell r="Q1846" t="str">
            <v>Jl. A. Yani Ds. Mlorah, RT.001/RW.005 Kel. Mlorah, Kec. Rejoso</v>
          </cell>
          <cell r="R1846" t="str">
            <v>Nganjuk</v>
          </cell>
          <cell r="S1846" t="str">
            <v>D Barat1</v>
          </cell>
          <cell r="T1846" t="str">
            <v>Dian</v>
          </cell>
          <cell r="U1846">
            <v>60</v>
          </cell>
        </row>
        <row r="1847">
          <cell r="E1847" t="str">
            <v>D25014897</v>
          </cell>
          <cell r="F1847"/>
          <cell r="G1847">
            <v>60000000</v>
          </cell>
          <cell r="H1847" t="str">
            <v>Reni</v>
          </cell>
          <cell r="I1847" t="str">
            <v>Farida</v>
          </cell>
          <cell r="J1847" t="str">
            <v>New 23/10/19</v>
          </cell>
          <cell r="K1847" t="str">
            <v>KU</v>
          </cell>
          <cell r="L1847" t="str">
            <v>CAHA20</v>
          </cell>
          <cell r="M1847" t="str">
            <v>Cahaya Tani/Damiyanto</v>
          </cell>
          <cell r="N1847" t="str">
            <v>Damiyanto, SPd</v>
          </cell>
          <cell r="O1847" t="str">
            <v>Jl. A. Yani Ds. Mlorah, RT.001/RW.005 Kel. Mlorah, Kec. Rejoso</v>
          </cell>
          <cell r="P1847" t="str">
            <v>Nganjuk</v>
          </cell>
          <cell r="Q1847" t="str">
            <v>Jl. A. Yani Ds. Mlorah, RT.001/RW.005 Kel. Mlorah, Kec. Rejoso</v>
          </cell>
          <cell r="R1847" t="str">
            <v>Nganjuk</v>
          </cell>
          <cell r="S1847" t="str">
            <v>D Barat1</v>
          </cell>
          <cell r="T1847" t="str">
            <v>Dian</v>
          </cell>
          <cell r="U1847">
            <v>60</v>
          </cell>
        </row>
        <row r="1848">
          <cell r="E1848" t="str">
            <v>B25012898</v>
          </cell>
          <cell r="F1848"/>
          <cell r="G1848">
            <v>60000000</v>
          </cell>
          <cell r="H1848" t="str">
            <v>Reni</v>
          </cell>
          <cell r="I1848" t="str">
            <v>Farida</v>
          </cell>
          <cell r="J1848" t="str">
            <v>New 23/10/19</v>
          </cell>
          <cell r="K1848" t="str">
            <v>KU</v>
          </cell>
          <cell r="L1848" t="str">
            <v>CAHA20</v>
          </cell>
          <cell r="M1848" t="str">
            <v>Cahaya Tani/Damiyanto</v>
          </cell>
          <cell r="N1848" t="str">
            <v>Damiyanto, SPd</v>
          </cell>
          <cell r="O1848" t="str">
            <v>Jl. A. Yani Ds. Mlorah, RT.001/RW.005 Kel. Mlorah, Kec. Rejoso</v>
          </cell>
          <cell r="P1848" t="str">
            <v>Nganjuk</v>
          </cell>
          <cell r="Q1848" t="str">
            <v>Jl. A. Yani Ds. Mlorah, RT.001/RW.005 Kel. Mlorah, Kec. Rejoso</v>
          </cell>
          <cell r="R1848" t="str">
            <v>Nganjuk</v>
          </cell>
          <cell r="S1848" t="str">
            <v>D Barat1</v>
          </cell>
          <cell r="T1848" t="str">
            <v>Dian</v>
          </cell>
          <cell r="U1848">
            <v>60</v>
          </cell>
        </row>
        <row r="1849">
          <cell r="E1849" t="str">
            <v>T25001511</v>
          </cell>
          <cell r="F1849"/>
          <cell r="G1849">
            <v>60000000</v>
          </cell>
          <cell r="H1849" t="str">
            <v>Reni</v>
          </cell>
          <cell r="I1849" t="str">
            <v>Farida</v>
          </cell>
          <cell r="J1849" t="str">
            <v>New 23/10/19</v>
          </cell>
          <cell r="K1849" t="str">
            <v>KU</v>
          </cell>
          <cell r="L1849" t="str">
            <v>CAHA20</v>
          </cell>
          <cell r="M1849" t="str">
            <v>Cahaya Tani/Damiyanto</v>
          </cell>
          <cell r="N1849" t="str">
            <v>Damiyanto, SPd</v>
          </cell>
          <cell r="O1849" t="str">
            <v>Jl. A. Yani Ds. Mlorah, RT.001/RW.005 Kel. Mlorah, Kec. Rejoso</v>
          </cell>
          <cell r="P1849" t="str">
            <v>Nganjuk</v>
          </cell>
          <cell r="Q1849" t="str">
            <v>Jl. A. Yani Ds. Mlorah, RT.001/RW.005 Kel. Mlorah, Kec. Rejoso</v>
          </cell>
          <cell r="R1849" t="str">
            <v>Nganjuk</v>
          </cell>
          <cell r="S1849" t="str">
            <v>D Barat1</v>
          </cell>
          <cell r="T1849" t="str">
            <v>Dian</v>
          </cell>
          <cell r="U1849">
            <v>60</v>
          </cell>
        </row>
        <row r="1850">
          <cell r="E1850" t="str">
            <v>T25001534</v>
          </cell>
          <cell r="F1850"/>
          <cell r="G1850">
            <v>60000000</v>
          </cell>
          <cell r="H1850" t="str">
            <v>Reni</v>
          </cell>
          <cell r="I1850" t="str">
            <v>Farida</v>
          </cell>
          <cell r="J1850" t="str">
            <v>New 23/10/19</v>
          </cell>
          <cell r="K1850" t="str">
            <v>KU</v>
          </cell>
          <cell r="L1850" t="str">
            <v>CAHA20</v>
          </cell>
          <cell r="M1850" t="str">
            <v>Cahaya Tani/Damiyanto</v>
          </cell>
          <cell r="N1850" t="str">
            <v>Damiyanto, SPd</v>
          </cell>
          <cell r="O1850" t="str">
            <v>Jl. A. Yani Ds. Mlorah, RT.001/RW.005 Kel. Mlorah, Kec. Rejoso</v>
          </cell>
          <cell r="P1850" t="str">
            <v>Nganjuk</v>
          </cell>
          <cell r="Q1850" t="str">
            <v>Jl. A. Yani Ds. Mlorah, RT.001/RW.005 Kel. Mlorah, Kec. Rejoso</v>
          </cell>
          <cell r="R1850" t="str">
            <v>Nganjuk</v>
          </cell>
          <cell r="S1850" t="str">
            <v>D Barat1</v>
          </cell>
          <cell r="T1850" t="str">
            <v>Dian</v>
          </cell>
          <cell r="U1850">
            <v>60</v>
          </cell>
        </row>
        <row r="1851">
          <cell r="E1851" t="str">
            <v>T25001566</v>
          </cell>
          <cell r="F1851"/>
          <cell r="G1851">
            <v>60000000</v>
          </cell>
          <cell r="H1851" t="str">
            <v>Reni</v>
          </cell>
          <cell r="I1851" t="str">
            <v>Farida</v>
          </cell>
          <cell r="J1851" t="str">
            <v>New 23/10/19</v>
          </cell>
          <cell r="K1851" t="str">
            <v>KU</v>
          </cell>
          <cell r="L1851" t="str">
            <v>CAHA20</v>
          </cell>
          <cell r="M1851" t="str">
            <v>Cahaya Tani/Damiyanto</v>
          </cell>
          <cell r="N1851" t="str">
            <v>Damiyanto, SPd</v>
          </cell>
          <cell r="O1851" t="str">
            <v>Jl. A. Yani Ds. Mlorah, RT.001/RW.005 Kel. Mlorah, Kec. Rejoso</v>
          </cell>
          <cell r="P1851" t="str">
            <v>Nganjuk</v>
          </cell>
          <cell r="Q1851" t="str">
            <v>Jl. A. Yani Ds. Mlorah, RT.001/RW.005 Kel. Mlorah, Kec. Rejoso</v>
          </cell>
          <cell r="R1851" t="str">
            <v>Nganjuk</v>
          </cell>
          <cell r="S1851" t="str">
            <v>D Barat1</v>
          </cell>
          <cell r="T1851" t="str">
            <v>Dian</v>
          </cell>
          <cell r="U1851">
            <v>60</v>
          </cell>
        </row>
        <row r="1852">
          <cell r="E1852" t="str">
            <v>D25015857</v>
          </cell>
          <cell r="F1852"/>
          <cell r="G1852">
            <v>60000000</v>
          </cell>
          <cell r="H1852" t="str">
            <v>Reni</v>
          </cell>
          <cell r="I1852" t="str">
            <v>Farida</v>
          </cell>
          <cell r="J1852" t="str">
            <v>New 23/10/19</v>
          </cell>
          <cell r="K1852" t="str">
            <v>KU</v>
          </cell>
          <cell r="L1852" t="str">
            <v>CAHA20</v>
          </cell>
          <cell r="M1852" t="str">
            <v>Cahaya Tani/Damiyanto</v>
          </cell>
          <cell r="N1852" t="str">
            <v>Damiyanto, SPd</v>
          </cell>
          <cell r="O1852" t="str">
            <v>Jl. A. Yani Ds. Mlorah, RT.001/RW.005 Kel. Mlorah, Kec. Rejoso</v>
          </cell>
          <cell r="P1852" t="str">
            <v>Nganjuk</v>
          </cell>
          <cell r="Q1852" t="str">
            <v>Jl. A. Yani Ds. Mlorah, RT.001/RW.005 Kel. Mlorah, Kec. Rejoso</v>
          </cell>
          <cell r="R1852" t="str">
            <v>Nganjuk</v>
          </cell>
          <cell r="S1852" t="str">
            <v>D Barat1</v>
          </cell>
          <cell r="T1852" t="str">
            <v>Dian</v>
          </cell>
          <cell r="U1852">
            <v>60</v>
          </cell>
        </row>
        <row r="1853">
          <cell r="E1853" t="str">
            <v>B25013947</v>
          </cell>
          <cell r="F1853"/>
          <cell r="G1853">
            <v>1000</v>
          </cell>
          <cell r="H1853" t="str">
            <v>Yuyun</v>
          </cell>
          <cell r="I1853" t="str">
            <v>Farida</v>
          </cell>
          <cell r="J1853" t="str">
            <v>New 29/10/25</v>
          </cell>
          <cell r="K1853" t="str">
            <v>KU</v>
          </cell>
          <cell r="L1853" t="str">
            <v>CAHA29</v>
          </cell>
          <cell r="M1853" t="str">
            <v>Cahaya Tani/Fauzi</v>
          </cell>
          <cell r="N1853" t="str">
            <v>Ahmad Fauzi</v>
          </cell>
          <cell r="O1853" t="str">
            <v>Dusun Biting Pinggir RT.005/RW.001, Desa Biting, Kec. Arjasa</v>
          </cell>
          <cell r="P1853" t="str">
            <v>Jember</v>
          </cell>
          <cell r="Q1853" t="str">
            <v>Bataan, Desa Candijati, Kec. Arjasa</v>
          </cell>
          <cell r="R1853" t="str">
            <v>Jember</v>
          </cell>
          <cell r="S1853" t="str">
            <v>L Kota1</v>
          </cell>
          <cell r="T1853" t="str">
            <v>Wira</v>
          </cell>
          <cell r="U1853">
            <v>0</v>
          </cell>
        </row>
        <row r="1854">
          <cell r="E1854" t="str">
            <v>B25012758</v>
          </cell>
          <cell r="F1854"/>
          <cell r="G1854">
            <v>10000000</v>
          </cell>
          <cell r="H1854" t="str">
            <v>Reni</v>
          </cell>
          <cell r="I1854" t="str">
            <v>Farida</v>
          </cell>
          <cell r="J1854" t="str">
            <v>New 04/06/20</v>
          </cell>
          <cell r="K1854" t="str">
            <v>KU, Tunai</v>
          </cell>
          <cell r="L1854" t="str">
            <v>CAHA22</v>
          </cell>
          <cell r="M1854" t="str">
            <v>Cahaya Tani/Nurdin</v>
          </cell>
          <cell r="N1854" t="str">
            <v>M. Nurdin .W</v>
          </cell>
          <cell r="O1854" t="str">
            <v>Dusun Sempayang RT.004/RW.001 Kel. Jaan, Kec. Gondang</v>
          </cell>
          <cell r="P1854" t="str">
            <v>Nganjuk</v>
          </cell>
          <cell r="Q1854" t="str">
            <v>Dusun Sempayang RT.004/RW.001 Kel. Jaan, Kec. Gondang</v>
          </cell>
          <cell r="R1854" t="str">
            <v>Nganjuk</v>
          </cell>
          <cell r="S1854" t="str">
            <v>D Barat1</v>
          </cell>
          <cell r="T1854" t="str">
            <v>Dian</v>
          </cell>
          <cell r="U1854">
            <v>60</v>
          </cell>
        </row>
        <row r="1855">
          <cell r="E1855" t="str">
            <v>T25001019</v>
          </cell>
          <cell r="F1855"/>
          <cell r="G1855">
            <v>35000000</v>
          </cell>
          <cell r="H1855" t="str">
            <v>Yuyun</v>
          </cell>
          <cell r="I1855" t="str">
            <v>Farida</v>
          </cell>
          <cell r="J1855"/>
          <cell r="K1855" t="str">
            <v>KU</v>
          </cell>
          <cell r="L1855" t="str">
            <v>CAHA17</v>
          </cell>
          <cell r="M1855" t="str">
            <v>Cahaya Tani/Rudi</v>
          </cell>
          <cell r="N1855" t="str">
            <v>Faiqotus Sholeha</v>
          </cell>
          <cell r="O1855" t="str">
            <v>Dsn. Jambuan, RT.001/RW.017 Kel. Plalangan, Kec. Kalisat</v>
          </cell>
          <cell r="P1855" t="str">
            <v>Jember</v>
          </cell>
          <cell r="Q1855" t="str">
            <v>Dsn. Jambuan, RT.001/RW.017 Kel. Plalangan, Kec. Kalisat</v>
          </cell>
          <cell r="R1855" t="str">
            <v>Jember</v>
          </cell>
          <cell r="S1855" t="str">
            <v>N Bdw Stb</v>
          </cell>
          <cell r="T1855" t="str">
            <v>Wira</v>
          </cell>
          <cell r="U1855">
            <v>60</v>
          </cell>
        </row>
        <row r="1856">
          <cell r="E1856" t="str">
            <v>T25001068</v>
          </cell>
          <cell r="F1856"/>
          <cell r="G1856">
            <v>35000000</v>
          </cell>
          <cell r="H1856" t="str">
            <v>Yuyun</v>
          </cell>
          <cell r="I1856" t="str">
            <v>Farida</v>
          </cell>
          <cell r="J1856"/>
          <cell r="K1856" t="str">
            <v>KU</v>
          </cell>
          <cell r="L1856" t="str">
            <v>CAHA17</v>
          </cell>
          <cell r="M1856" t="str">
            <v>Cahaya Tani/Rudi</v>
          </cell>
          <cell r="N1856" t="str">
            <v>Faiqotus Sholeha</v>
          </cell>
          <cell r="O1856" t="str">
            <v>Dsn. Jambuan, RT.001/RW.017 Kel. Plalangan, Kec. Kalisat</v>
          </cell>
          <cell r="P1856" t="str">
            <v>Jember</v>
          </cell>
          <cell r="Q1856" t="str">
            <v>Dsn. Jambuan, RT.001/RW.017 Kel. Plalangan, Kec. Kalisat</v>
          </cell>
          <cell r="R1856" t="str">
            <v>Jember</v>
          </cell>
          <cell r="S1856" t="str">
            <v>N Bdw Stb</v>
          </cell>
          <cell r="T1856" t="str">
            <v>Wira</v>
          </cell>
          <cell r="U1856">
            <v>60</v>
          </cell>
        </row>
        <row r="1857">
          <cell r="E1857" t="str">
            <v>B25008791</v>
          </cell>
          <cell r="F1857"/>
          <cell r="G1857">
            <v>35000000</v>
          </cell>
          <cell r="H1857" t="str">
            <v>Yuyun</v>
          </cell>
          <cell r="I1857" t="str">
            <v>Farida</v>
          </cell>
          <cell r="J1857"/>
          <cell r="K1857" t="str">
            <v>KU</v>
          </cell>
          <cell r="L1857" t="str">
            <v>CAHA17</v>
          </cell>
          <cell r="M1857" t="str">
            <v>Cahaya Tani/Rudi</v>
          </cell>
          <cell r="N1857" t="str">
            <v>Faiqotus Sholeha</v>
          </cell>
          <cell r="O1857" t="str">
            <v>Dsn. Jambuan, RT.001/RW.017 Kel. Plalangan, Kec. Kalisat</v>
          </cell>
          <cell r="P1857" t="str">
            <v>Jember</v>
          </cell>
          <cell r="Q1857" t="str">
            <v>Dsn. Jambuan, RT.001/RW.017 Kel. Plalangan, Kec. Kalisat</v>
          </cell>
          <cell r="R1857" t="str">
            <v>Jember</v>
          </cell>
          <cell r="S1857" t="str">
            <v>N Bdw Stb</v>
          </cell>
          <cell r="T1857" t="str">
            <v>Wira</v>
          </cell>
          <cell r="U1857">
            <v>30</v>
          </cell>
        </row>
        <row r="1858">
          <cell r="E1858" t="str">
            <v>B25008791</v>
          </cell>
          <cell r="F1858"/>
          <cell r="G1858">
            <v>35000000</v>
          </cell>
          <cell r="H1858" t="str">
            <v>Yuyun</v>
          </cell>
          <cell r="I1858" t="str">
            <v>Farida</v>
          </cell>
          <cell r="J1858"/>
          <cell r="K1858" t="str">
            <v>KU</v>
          </cell>
          <cell r="L1858" t="str">
            <v>CAHA17</v>
          </cell>
          <cell r="M1858" t="str">
            <v>Cahaya Tani/Rudi</v>
          </cell>
          <cell r="N1858" t="str">
            <v>Faiqotus Sholeha</v>
          </cell>
          <cell r="O1858" t="str">
            <v>Dsn. Jambuan, RT.001/RW.017 Kel. Plalangan, Kec. Kalisat</v>
          </cell>
          <cell r="P1858" t="str">
            <v>Jember</v>
          </cell>
          <cell r="Q1858" t="str">
            <v>Dsn. Jambuan, RT.001/RW.017 Kel. Plalangan, Kec. Kalisat</v>
          </cell>
          <cell r="R1858" t="str">
            <v>Jember</v>
          </cell>
          <cell r="S1858" t="str">
            <v>N Bdw Stb</v>
          </cell>
          <cell r="T1858" t="str">
            <v>Wira</v>
          </cell>
          <cell r="U1858">
            <v>30</v>
          </cell>
        </row>
        <row r="1859">
          <cell r="E1859" t="str">
            <v>B25008804</v>
          </cell>
          <cell r="F1859"/>
          <cell r="G1859">
            <v>35000000</v>
          </cell>
          <cell r="H1859" t="str">
            <v>Yuyun</v>
          </cell>
          <cell r="I1859" t="str">
            <v>Farida</v>
          </cell>
          <cell r="J1859"/>
          <cell r="K1859" t="str">
            <v>KU</v>
          </cell>
          <cell r="L1859" t="str">
            <v>CAHA17</v>
          </cell>
          <cell r="M1859" t="str">
            <v>Cahaya Tani/Rudi</v>
          </cell>
          <cell r="N1859" t="str">
            <v>Faiqotus Sholeha</v>
          </cell>
          <cell r="O1859" t="str">
            <v>Dsn. Jambuan, RT.001/RW.017 Kel. Plalangan, Kec. Kalisat</v>
          </cell>
          <cell r="P1859" t="str">
            <v>Jember</v>
          </cell>
          <cell r="Q1859" t="str">
            <v>Dsn. Jambuan, RT.001/RW.017 Kel. Plalangan, Kec. Kalisat</v>
          </cell>
          <cell r="R1859" t="str">
            <v>Jember</v>
          </cell>
          <cell r="S1859" t="str">
            <v>N Bdw Stb</v>
          </cell>
          <cell r="T1859" t="str">
            <v>Wira</v>
          </cell>
          <cell r="U1859">
            <v>30</v>
          </cell>
        </row>
        <row r="1860">
          <cell r="E1860" t="str">
            <v>D25011851</v>
          </cell>
          <cell r="F1860"/>
          <cell r="G1860">
            <v>35000000</v>
          </cell>
          <cell r="H1860" t="str">
            <v>Yuyun</v>
          </cell>
          <cell r="I1860" t="str">
            <v>Farida</v>
          </cell>
          <cell r="J1860"/>
          <cell r="K1860" t="str">
            <v>KU</v>
          </cell>
          <cell r="L1860" t="str">
            <v>CAHA17</v>
          </cell>
          <cell r="M1860" t="str">
            <v>Cahaya Tani/Rudi</v>
          </cell>
          <cell r="N1860" t="str">
            <v>Faiqotus Sholeha</v>
          </cell>
          <cell r="O1860" t="str">
            <v>Dsn. Jambuan, RT.001/RW.017 Kel. Plalangan, Kec. Kalisat</v>
          </cell>
          <cell r="P1860" t="str">
            <v>Jember</v>
          </cell>
          <cell r="Q1860" t="str">
            <v>Dsn. Jambuan, RT.001/RW.017 Kel. Plalangan, Kec. Kalisat</v>
          </cell>
          <cell r="R1860" t="str">
            <v>Jember</v>
          </cell>
          <cell r="S1860" t="str">
            <v>N Bdw Stb</v>
          </cell>
          <cell r="T1860" t="str">
            <v>Wira</v>
          </cell>
          <cell r="U1860">
            <v>30</v>
          </cell>
        </row>
        <row r="1861">
          <cell r="E1861" t="str">
            <v>D25011851</v>
          </cell>
          <cell r="F1861"/>
          <cell r="G1861">
            <v>35000000</v>
          </cell>
          <cell r="H1861" t="str">
            <v>Yuyun</v>
          </cell>
          <cell r="I1861" t="str">
            <v>Farida</v>
          </cell>
          <cell r="J1861"/>
          <cell r="K1861" t="str">
            <v>KU</v>
          </cell>
          <cell r="L1861" t="str">
            <v>CAHA17</v>
          </cell>
          <cell r="M1861" t="str">
            <v>Cahaya Tani/Rudi</v>
          </cell>
          <cell r="N1861" t="str">
            <v>Faiqotus Sholeha</v>
          </cell>
          <cell r="O1861" t="str">
            <v>Dsn. Jambuan, RT.001/RW.017 Kel. Plalangan, Kec. Kalisat</v>
          </cell>
          <cell r="P1861" t="str">
            <v>Jember</v>
          </cell>
          <cell r="Q1861" t="str">
            <v>Dsn. Jambuan, RT.001/RW.017 Kel. Plalangan, Kec. Kalisat</v>
          </cell>
          <cell r="R1861" t="str">
            <v>Jember</v>
          </cell>
          <cell r="S1861" t="str">
            <v>N Bdw Stb</v>
          </cell>
          <cell r="T1861" t="str">
            <v>Wira</v>
          </cell>
          <cell r="U1861">
            <v>30</v>
          </cell>
        </row>
        <row r="1862">
          <cell r="E1862" t="str">
            <v>D25011852</v>
          </cell>
          <cell r="F1862"/>
          <cell r="G1862">
            <v>35000000</v>
          </cell>
          <cell r="H1862" t="str">
            <v>Yuyun</v>
          </cell>
          <cell r="I1862" t="str">
            <v>Farida</v>
          </cell>
          <cell r="J1862"/>
          <cell r="K1862" t="str">
            <v>KU</v>
          </cell>
          <cell r="L1862" t="str">
            <v>CAHA17</v>
          </cell>
          <cell r="M1862" t="str">
            <v>Cahaya Tani/Rudi</v>
          </cell>
          <cell r="N1862" t="str">
            <v>Faiqotus Sholeha</v>
          </cell>
          <cell r="O1862" t="str">
            <v>Dsn. Jambuan, RT.001/RW.017 Kel. Plalangan, Kec. Kalisat</v>
          </cell>
          <cell r="P1862" t="str">
            <v>Jember</v>
          </cell>
          <cell r="Q1862" t="str">
            <v>Dsn. Jambuan, RT.001/RW.017 Kel. Plalangan, Kec. Kalisat</v>
          </cell>
          <cell r="R1862" t="str">
            <v>Jember</v>
          </cell>
          <cell r="S1862" t="str">
            <v>N Bdw Stb</v>
          </cell>
          <cell r="T1862" t="str">
            <v>Wira</v>
          </cell>
          <cell r="U1862">
            <v>30</v>
          </cell>
        </row>
        <row r="1863">
          <cell r="E1863" t="str">
            <v>D25012977</v>
          </cell>
          <cell r="F1863"/>
          <cell r="G1863">
            <v>35000000</v>
          </cell>
          <cell r="H1863" t="str">
            <v>Yuyun</v>
          </cell>
          <cell r="I1863" t="str">
            <v>Farida</v>
          </cell>
          <cell r="J1863"/>
          <cell r="K1863" t="str">
            <v>KU</v>
          </cell>
          <cell r="L1863" t="str">
            <v>CAHA17</v>
          </cell>
          <cell r="M1863" t="str">
            <v>Cahaya Tani/Rudi</v>
          </cell>
          <cell r="N1863" t="str">
            <v>Faiqotus Sholeha</v>
          </cell>
          <cell r="O1863" t="str">
            <v>Dsn. Jambuan, RT.001/RW.017 Kel. Plalangan, Kec. Kalisat</v>
          </cell>
          <cell r="P1863" t="str">
            <v>Jember</v>
          </cell>
          <cell r="Q1863" t="str">
            <v>Dsn. Jambuan, RT.001/RW.017 Kel. Plalangan, Kec. Kalisat</v>
          </cell>
          <cell r="R1863" t="str">
            <v>Jember</v>
          </cell>
          <cell r="S1863" t="str">
            <v>N Bdw Stb</v>
          </cell>
          <cell r="T1863" t="str">
            <v>Wira</v>
          </cell>
          <cell r="U1863">
            <v>30</v>
          </cell>
        </row>
        <row r="1864">
          <cell r="E1864" t="str">
            <v>D25015149</v>
          </cell>
          <cell r="F1864"/>
          <cell r="G1864">
            <v>35000000</v>
          </cell>
          <cell r="H1864" t="str">
            <v>Yuyun</v>
          </cell>
          <cell r="I1864" t="str">
            <v>Farida</v>
          </cell>
          <cell r="J1864"/>
          <cell r="K1864" t="str">
            <v>KU</v>
          </cell>
          <cell r="L1864" t="str">
            <v>CAHA17</v>
          </cell>
          <cell r="M1864" t="str">
            <v>Cahaya Tani/Rudi</v>
          </cell>
          <cell r="N1864" t="str">
            <v>Faiqotus Sholeha</v>
          </cell>
          <cell r="O1864" t="str">
            <v>Dsn. Jambuan, RT.001/RW.017 Kel. Plalangan, Kec. Kalisat</v>
          </cell>
          <cell r="P1864" t="str">
            <v>Jember</v>
          </cell>
          <cell r="Q1864" t="str">
            <v>Dsn. Jambuan, RT.001/RW.017 Kel. Plalangan, Kec. Kalisat</v>
          </cell>
          <cell r="R1864" t="str">
            <v>Jember</v>
          </cell>
          <cell r="S1864" t="str">
            <v>N Bdw Stb</v>
          </cell>
          <cell r="T1864" t="str">
            <v>Wira</v>
          </cell>
          <cell r="U1864">
            <v>30</v>
          </cell>
        </row>
        <row r="1865">
          <cell r="E1865" t="str">
            <v>D25015791</v>
          </cell>
          <cell r="F1865"/>
          <cell r="G1865">
            <v>35000000</v>
          </cell>
          <cell r="H1865" t="str">
            <v>Yuyun</v>
          </cell>
          <cell r="I1865" t="str">
            <v>Farida</v>
          </cell>
          <cell r="J1865"/>
          <cell r="K1865" t="str">
            <v>KU</v>
          </cell>
          <cell r="L1865" t="str">
            <v>CAHA17</v>
          </cell>
          <cell r="M1865" t="str">
            <v>Cahaya Tani/Rudi</v>
          </cell>
          <cell r="N1865" t="str">
            <v>Faiqotus Sholeha</v>
          </cell>
          <cell r="O1865" t="str">
            <v>Dsn. Jambuan, RT.001/RW.017 Kel. Plalangan, Kec. Kalisat</v>
          </cell>
          <cell r="P1865" t="str">
            <v>Jember</v>
          </cell>
          <cell r="Q1865" t="str">
            <v>Dsn. Jambuan, RT.001/RW.017 Kel. Plalangan, Kec. Kalisat</v>
          </cell>
          <cell r="R1865" t="str">
            <v>Jember</v>
          </cell>
          <cell r="S1865" t="str">
            <v>N Bdw Stb</v>
          </cell>
          <cell r="T1865" t="str">
            <v>Wira</v>
          </cell>
          <cell r="U1865">
            <v>30</v>
          </cell>
        </row>
        <row r="1866">
          <cell r="E1866" t="str">
            <v>T25001564</v>
          </cell>
          <cell r="F1866"/>
          <cell r="G1866">
            <v>35000000</v>
          </cell>
          <cell r="H1866" t="str">
            <v>Yuyun</v>
          </cell>
          <cell r="I1866" t="str">
            <v>Farida</v>
          </cell>
          <cell r="J1866"/>
          <cell r="K1866" t="str">
            <v>KU</v>
          </cell>
          <cell r="L1866" t="str">
            <v>CAHA17</v>
          </cell>
          <cell r="M1866" t="str">
            <v>Cahaya Tani/Rudi</v>
          </cell>
          <cell r="N1866" t="str">
            <v>Faiqotus Sholeha</v>
          </cell>
          <cell r="O1866" t="str">
            <v>Dsn. Jambuan, RT.001/RW.017 Kel. Plalangan, Kec. Kalisat</v>
          </cell>
          <cell r="P1866" t="str">
            <v>Jember</v>
          </cell>
          <cell r="Q1866" t="str">
            <v>Dsn. Jambuan, RT.001/RW.017 Kel. Plalangan, Kec. Kalisat</v>
          </cell>
          <cell r="R1866" t="str">
            <v>Jember</v>
          </cell>
          <cell r="S1866" t="str">
            <v>N Bdw Stb</v>
          </cell>
          <cell r="T1866" t="str">
            <v>Wira</v>
          </cell>
          <cell r="U1866">
            <v>60</v>
          </cell>
        </row>
        <row r="1867">
          <cell r="E1867" t="str">
            <v>B25013893</v>
          </cell>
          <cell r="F1867"/>
          <cell r="G1867">
            <v>35000000</v>
          </cell>
          <cell r="H1867" t="str">
            <v>Yuyun</v>
          </cell>
          <cell r="I1867" t="str">
            <v>Farida</v>
          </cell>
          <cell r="J1867"/>
          <cell r="K1867" t="str">
            <v>KU</v>
          </cell>
          <cell r="L1867" t="str">
            <v>CAHA17</v>
          </cell>
          <cell r="M1867" t="str">
            <v>Cahaya Tani/Rudi</v>
          </cell>
          <cell r="N1867" t="str">
            <v>Faiqotus Sholeha</v>
          </cell>
          <cell r="O1867" t="str">
            <v>Dsn. Jambuan, RT.001/RW.017 Kel. Plalangan, Kec. Kalisat</v>
          </cell>
          <cell r="P1867" t="str">
            <v>Jember</v>
          </cell>
          <cell r="Q1867" t="str">
            <v>Dsn. Jambuan, RT.001/RW.017 Kel. Plalangan, Kec. Kalisat</v>
          </cell>
          <cell r="R1867" t="str">
            <v>Jember</v>
          </cell>
          <cell r="S1867" t="str">
            <v>N Bdw Stb</v>
          </cell>
          <cell r="T1867" t="str">
            <v>Wira</v>
          </cell>
          <cell r="U1867">
            <v>60</v>
          </cell>
        </row>
        <row r="1868">
          <cell r="E1868" t="str">
            <v>B25013900</v>
          </cell>
          <cell r="F1868"/>
          <cell r="G1868">
            <v>35000000</v>
          </cell>
          <cell r="H1868" t="str">
            <v>Yuyun</v>
          </cell>
          <cell r="I1868" t="str">
            <v>Farida</v>
          </cell>
          <cell r="J1868"/>
          <cell r="K1868" t="str">
            <v>KU</v>
          </cell>
          <cell r="L1868" t="str">
            <v>CAHA17</v>
          </cell>
          <cell r="M1868" t="str">
            <v>Cahaya Tani/Rudi</v>
          </cell>
          <cell r="N1868" t="str">
            <v>Faiqotus Sholeha</v>
          </cell>
          <cell r="O1868" t="str">
            <v>Dsn. Jambuan, RT.001/RW.017 Kel. Plalangan, Kec. Kalisat</v>
          </cell>
          <cell r="P1868" t="str">
            <v>Jember</v>
          </cell>
          <cell r="Q1868" t="str">
            <v>Dsn. Jambuan, RT.001/RW.017 Kel. Plalangan, Kec. Kalisat</v>
          </cell>
          <cell r="R1868" t="str">
            <v>Jember</v>
          </cell>
          <cell r="S1868" t="str">
            <v>N Bdw Stb</v>
          </cell>
          <cell r="T1868" t="str">
            <v>Wira</v>
          </cell>
          <cell r="U1868">
            <v>30</v>
          </cell>
        </row>
        <row r="1869">
          <cell r="E1869" t="str">
            <v>D25013913</v>
          </cell>
          <cell r="F1869"/>
          <cell r="G1869">
            <v>1300000000</v>
          </cell>
          <cell r="H1869" t="str">
            <v>Zakia</v>
          </cell>
          <cell r="I1869" t="str">
            <v>Tiya</v>
          </cell>
          <cell r="J1869"/>
          <cell r="K1869" t="str">
            <v>BG</v>
          </cell>
          <cell r="L1869" t="str">
            <v>CAHA05</v>
          </cell>
          <cell r="M1869" t="str">
            <v>Cahaya Tani/Yuda</v>
          </cell>
          <cell r="N1869" t="str">
            <v>Cahaya Tani, CV</v>
          </cell>
          <cell r="O1869" t="str">
            <v>Ling. Banjarjo, RT.002/RW.008 Kanigoro, Kab. Blitar</v>
          </cell>
          <cell r="P1869" t="str">
            <v>Blitar</v>
          </cell>
          <cell r="Q1869" t="str">
            <v>Ling. Banjarjo, RT.002/RW.008 Kanigoro, Kab. Blitar</v>
          </cell>
          <cell r="R1869" t="str">
            <v>Blitar</v>
          </cell>
          <cell r="S1869" t="str">
            <v>D Barat1</v>
          </cell>
          <cell r="T1869" t="str">
            <v>Tomi</v>
          </cell>
          <cell r="U1869">
            <v>30</v>
          </cell>
        </row>
        <row r="1870">
          <cell r="E1870" t="str">
            <v>B25012184</v>
          </cell>
          <cell r="F1870"/>
          <cell r="G1870">
            <v>1300000000</v>
          </cell>
          <cell r="H1870" t="str">
            <v>Zakia</v>
          </cell>
          <cell r="I1870" t="str">
            <v>Tiya</v>
          </cell>
          <cell r="J1870"/>
          <cell r="K1870" t="str">
            <v>BG</v>
          </cell>
          <cell r="L1870" t="str">
            <v>CAHA05</v>
          </cell>
          <cell r="M1870" t="str">
            <v>Cahaya Tani/Yuda</v>
          </cell>
          <cell r="N1870" t="str">
            <v>Cahaya Tani, CV</v>
          </cell>
          <cell r="O1870" t="str">
            <v>Ling. Banjarjo, RT.002/RW.008 Kanigoro, Kab. Blitar</v>
          </cell>
          <cell r="P1870" t="str">
            <v>Blitar</v>
          </cell>
          <cell r="Q1870" t="str">
            <v>Ling. Banjarjo, RT.002/RW.008 Kanigoro, Kab. Blitar</v>
          </cell>
          <cell r="R1870" t="str">
            <v>Blitar</v>
          </cell>
          <cell r="S1870" t="str">
            <v>D Barat1</v>
          </cell>
          <cell r="T1870" t="str">
            <v>Tomi</v>
          </cell>
          <cell r="U1870">
            <v>30</v>
          </cell>
        </row>
        <row r="1871">
          <cell r="E1871" t="str">
            <v>B25012540</v>
          </cell>
          <cell r="F1871"/>
          <cell r="G1871">
            <v>1300000000</v>
          </cell>
          <cell r="H1871" t="str">
            <v>Zakia</v>
          </cell>
          <cell r="I1871" t="str">
            <v>Tiya</v>
          </cell>
          <cell r="J1871"/>
          <cell r="K1871" t="str">
            <v>BG</v>
          </cell>
          <cell r="L1871" t="str">
            <v>CAHA05</v>
          </cell>
          <cell r="M1871" t="str">
            <v>Cahaya Tani/Yuda</v>
          </cell>
          <cell r="N1871" t="str">
            <v>Cahaya Tani, CV</v>
          </cell>
          <cell r="O1871" t="str">
            <v>Ling. Banjarjo, RT.002/RW.008 Kanigoro, Kab. Blitar</v>
          </cell>
          <cell r="P1871" t="str">
            <v>Blitar</v>
          </cell>
          <cell r="Q1871" t="str">
            <v>Ling. Banjarjo, RT.002/RW.008 Kanigoro, Kab. Blitar</v>
          </cell>
          <cell r="R1871" t="str">
            <v>Blitar</v>
          </cell>
          <cell r="S1871" t="str">
            <v>D Barat1</v>
          </cell>
          <cell r="T1871" t="str">
            <v>Tomi</v>
          </cell>
          <cell r="U1871">
            <v>0</v>
          </cell>
        </row>
        <row r="1872">
          <cell r="E1872" t="str">
            <v>D25015607</v>
          </cell>
          <cell r="F1872"/>
          <cell r="G1872">
            <v>1300000000</v>
          </cell>
          <cell r="H1872" t="str">
            <v>Zakia</v>
          </cell>
          <cell r="I1872" t="str">
            <v>Tiya</v>
          </cell>
          <cell r="J1872"/>
          <cell r="K1872" t="str">
            <v>BG</v>
          </cell>
          <cell r="L1872" t="str">
            <v>CAHA05</v>
          </cell>
          <cell r="M1872" t="str">
            <v>Cahaya Tani/Yuda</v>
          </cell>
          <cell r="N1872" t="str">
            <v>Cahaya Tani, CV</v>
          </cell>
          <cell r="O1872" t="str">
            <v>Ling. Banjarjo, RT.002/RW.008 Kanigoro, Kab. Blitar</v>
          </cell>
          <cell r="P1872" t="str">
            <v>Blitar</v>
          </cell>
          <cell r="Q1872" t="str">
            <v>Ling. Banjarjo, RT.002/RW.008 Kanigoro, Kab. Blitar</v>
          </cell>
          <cell r="R1872" t="str">
            <v>Blitar</v>
          </cell>
          <cell r="S1872" t="str">
            <v>D Barat1</v>
          </cell>
          <cell r="T1872" t="str">
            <v>Tomi</v>
          </cell>
          <cell r="U1872">
            <v>30</v>
          </cell>
        </row>
        <row r="1873">
          <cell r="E1873" t="str">
            <v>D25015669</v>
          </cell>
          <cell r="F1873"/>
          <cell r="G1873">
            <v>1300000000</v>
          </cell>
          <cell r="H1873" t="str">
            <v>Zakia</v>
          </cell>
          <cell r="I1873" t="str">
            <v>Tiya</v>
          </cell>
          <cell r="J1873"/>
          <cell r="K1873" t="str">
            <v>BG</v>
          </cell>
          <cell r="L1873" t="str">
            <v>CAHA05</v>
          </cell>
          <cell r="M1873" t="str">
            <v>Cahaya Tani/Yuda</v>
          </cell>
          <cell r="N1873" t="str">
            <v>Cahaya Tani, CV</v>
          </cell>
          <cell r="O1873" t="str">
            <v>Ling. Banjarjo, RT.002/RW.008 Kanigoro, Kab. Blitar</v>
          </cell>
          <cell r="P1873" t="str">
            <v>Blitar</v>
          </cell>
          <cell r="Q1873" t="str">
            <v>Ling. Banjarjo, RT.002/RW.008 Kanigoro, Kab. Blitar</v>
          </cell>
          <cell r="R1873" t="str">
            <v>Blitar</v>
          </cell>
          <cell r="S1873" t="str">
            <v>D Barat1</v>
          </cell>
          <cell r="T1873" t="str">
            <v>Tomi</v>
          </cell>
          <cell r="U1873">
            <v>0</v>
          </cell>
        </row>
        <row r="1874">
          <cell r="E1874" t="str">
            <v>B25013930</v>
          </cell>
          <cell r="F1874"/>
          <cell r="G1874">
            <v>1300000000</v>
          </cell>
          <cell r="H1874" t="str">
            <v>Zakia</v>
          </cell>
          <cell r="I1874" t="str">
            <v>Tiya</v>
          </cell>
          <cell r="J1874"/>
          <cell r="K1874" t="str">
            <v>BG</v>
          </cell>
          <cell r="L1874" t="str">
            <v>CAHA05</v>
          </cell>
          <cell r="M1874" t="str">
            <v>Cahaya Tani/Yuda</v>
          </cell>
          <cell r="N1874" t="str">
            <v>Cahaya Tani, CV</v>
          </cell>
          <cell r="O1874" t="str">
            <v>Ling. Banjarjo, RT.002/RW.008 Kanigoro, Kab. Blitar</v>
          </cell>
          <cell r="P1874" t="str">
            <v>Blitar</v>
          </cell>
          <cell r="Q1874" t="str">
            <v>Ling. Banjarjo, RT.002/RW.008 Kanigoro, Kab. Blitar</v>
          </cell>
          <cell r="R1874" t="str">
            <v>Blitar</v>
          </cell>
          <cell r="S1874" t="str">
            <v>D Barat1</v>
          </cell>
          <cell r="T1874" t="str">
            <v>Tomi</v>
          </cell>
          <cell r="U1874">
            <v>0</v>
          </cell>
        </row>
        <row r="1875">
          <cell r="E1875">
            <v>250095</v>
          </cell>
          <cell r="F1875"/>
          <cell r="G1875">
            <v>50000000</v>
          </cell>
          <cell r="H1875" t="str">
            <v>Faris</v>
          </cell>
          <cell r="I1875" t="str">
            <v>Syahra</v>
          </cell>
          <cell r="J1875"/>
          <cell r="K1875" t="str">
            <v>Tunai</v>
          </cell>
          <cell r="L1875" t="str">
            <v>CAHA06</v>
          </cell>
          <cell r="M1875" t="str">
            <v>Cahaya/Shohib</v>
          </cell>
          <cell r="N1875" t="str">
            <v>Siti Kalimah</v>
          </cell>
          <cell r="O1875" t="str">
            <v>Ds. Ringinmulyo, RT.001/RW.001, Kel. Ringintelu, Kec. Bangorejo</v>
          </cell>
          <cell r="P1875" t="str">
            <v>Banyuwangi</v>
          </cell>
          <cell r="Q1875" t="str">
            <v>Pedotan</v>
          </cell>
          <cell r="R1875" t="str">
            <v>Banyuwangi</v>
          </cell>
          <cell r="S1875" t="str">
            <v>H Bwi4</v>
          </cell>
          <cell r="T1875" t="str">
            <v>Hafid</v>
          </cell>
          <cell r="U1875">
            <v>30</v>
          </cell>
        </row>
        <row r="1876">
          <cell r="E1876" t="str">
            <v>B25011481</v>
          </cell>
          <cell r="F1876"/>
          <cell r="G1876">
            <v>50000000</v>
          </cell>
          <cell r="H1876" t="str">
            <v>Faris</v>
          </cell>
          <cell r="I1876" t="str">
            <v>Syahra</v>
          </cell>
          <cell r="J1876"/>
          <cell r="K1876" t="str">
            <v>Tunai</v>
          </cell>
          <cell r="L1876" t="str">
            <v>CAHA06</v>
          </cell>
          <cell r="M1876" t="str">
            <v>Cahaya/Shohib</v>
          </cell>
          <cell r="N1876" t="str">
            <v>Siti Kalimah</v>
          </cell>
          <cell r="O1876" t="str">
            <v>Ds. Ringinmulyo, RT.001/RW.001, Kel. Ringintelu, Kec. Bangorejo</v>
          </cell>
          <cell r="P1876" t="str">
            <v>Banyuwangi</v>
          </cell>
          <cell r="Q1876" t="str">
            <v>Pedotan</v>
          </cell>
          <cell r="R1876" t="str">
            <v>Banyuwangi</v>
          </cell>
          <cell r="S1876" t="str">
            <v>H Bwi4</v>
          </cell>
          <cell r="T1876" t="str">
            <v>Hafid</v>
          </cell>
          <cell r="U1876">
            <v>30</v>
          </cell>
        </row>
        <row r="1877">
          <cell r="E1877" t="str">
            <v>B25012028</v>
          </cell>
          <cell r="F1877"/>
          <cell r="G1877">
            <v>50000000</v>
          </cell>
          <cell r="H1877" t="str">
            <v>Faris</v>
          </cell>
          <cell r="I1877" t="str">
            <v>Syahra</v>
          </cell>
          <cell r="J1877"/>
          <cell r="K1877" t="str">
            <v>Tunai</v>
          </cell>
          <cell r="L1877" t="str">
            <v>CAHA06</v>
          </cell>
          <cell r="M1877" t="str">
            <v>Cahaya/Shohib</v>
          </cell>
          <cell r="N1877" t="str">
            <v>Siti Kalimah</v>
          </cell>
          <cell r="O1877" t="str">
            <v>Ds. Ringinmulyo, RT.001/RW.001, Kel. Ringintelu, Kec. Bangorejo</v>
          </cell>
          <cell r="P1877" t="str">
            <v>Banyuwangi</v>
          </cell>
          <cell r="Q1877" t="str">
            <v>Pedotan</v>
          </cell>
          <cell r="R1877" t="str">
            <v>Banyuwangi</v>
          </cell>
          <cell r="S1877" t="str">
            <v>H Bwi4</v>
          </cell>
          <cell r="T1877" t="str">
            <v>Hafid</v>
          </cell>
          <cell r="U1877">
            <v>30</v>
          </cell>
        </row>
        <row r="1878">
          <cell r="E1878" t="str">
            <v>T25001409</v>
          </cell>
          <cell r="F1878"/>
          <cell r="G1878">
            <v>50000000</v>
          </cell>
          <cell r="H1878" t="str">
            <v>Faris</v>
          </cell>
          <cell r="I1878" t="str">
            <v>Syahra</v>
          </cell>
          <cell r="J1878"/>
          <cell r="K1878" t="str">
            <v>Tunai</v>
          </cell>
          <cell r="L1878" t="str">
            <v>CAHA06</v>
          </cell>
          <cell r="M1878" t="str">
            <v>Cahaya/Shohib</v>
          </cell>
          <cell r="N1878" t="str">
            <v>Siti Kalimah</v>
          </cell>
          <cell r="O1878" t="str">
            <v>Ds. Ringinmulyo, RT.001/RW.001, Kel. Ringintelu, Kec. Bangorejo</v>
          </cell>
          <cell r="P1878" t="str">
            <v>Banyuwangi</v>
          </cell>
          <cell r="Q1878" t="str">
            <v>Pedotan</v>
          </cell>
          <cell r="R1878" t="str">
            <v>Banyuwangi</v>
          </cell>
          <cell r="S1878" t="str">
            <v>H Bwi4</v>
          </cell>
          <cell r="T1878" t="str">
            <v>Hafid</v>
          </cell>
          <cell r="U1878">
            <v>60</v>
          </cell>
        </row>
        <row r="1879">
          <cell r="E1879">
            <v>250125</v>
          </cell>
          <cell r="F1879"/>
          <cell r="G1879">
            <v>50000000</v>
          </cell>
          <cell r="H1879" t="str">
            <v>Faris</v>
          </cell>
          <cell r="I1879" t="str">
            <v>Syahra</v>
          </cell>
          <cell r="J1879"/>
          <cell r="K1879" t="str">
            <v>Tunai</v>
          </cell>
          <cell r="L1879" t="str">
            <v>CAHA06</v>
          </cell>
          <cell r="M1879" t="str">
            <v>Cahaya/Shohib</v>
          </cell>
          <cell r="N1879" t="str">
            <v>Siti Kalimah</v>
          </cell>
          <cell r="O1879" t="str">
            <v>Ds. Ringinmulyo, RT.001/RW.001, Kel. Ringintelu, Kec. Bangorejo</v>
          </cell>
          <cell r="P1879" t="str">
            <v>Banyuwangi</v>
          </cell>
          <cell r="Q1879" t="str">
            <v>Pedotan</v>
          </cell>
          <cell r="R1879" t="str">
            <v>Banyuwangi</v>
          </cell>
          <cell r="S1879" t="str">
            <v>H Bwi4</v>
          </cell>
          <cell r="T1879" t="str">
            <v>Hafid</v>
          </cell>
          <cell r="U1879">
            <v>30</v>
          </cell>
        </row>
        <row r="1880">
          <cell r="E1880" t="str">
            <v>B25012595</v>
          </cell>
          <cell r="F1880"/>
          <cell r="G1880">
            <v>50000000</v>
          </cell>
          <cell r="H1880" t="str">
            <v>Faris</v>
          </cell>
          <cell r="I1880" t="str">
            <v>Syahra</v>
          </cell>
          <cell r="J1880"/>
          <cell r="K1880" t="str">
            <v>Tunai</v>
          </cell>
          <cell r="L1880" t="str">
            <v>CAHA06</v>
          </cell>
          <cell r="M1880" t="str">
            <v>Cahaya/Shohib</v>
          </cell>
          <cell r="N1880" t="str">
            <v>Siti Kalimah</v>
          </cell>
          <cell r="O1880" t="str">
            <v>Ds. Ringinmulyo, RT.001/RW.001, Kel. Ringintelu, Kec. Bangorejo</v>
          </cell>
          <cell r="P1880" t="str">
            <v>Banyuwangi</v>
          </cell>
          <cell r="Q1880" t="str">
            <v>Pedotan</v>
          </cell>
          <cell r="R1880" t="str">
            <v>Banyuwangi</v>
          </cell>
          <cell r="S1880" t="str">
            <v>H Bwi4</v>
          </cell>
          <cell r="T1880" t="str">
            <v>Hafid</v>
          </cell>
          <cell r="U1880">
            <v>60</v>
          </cell>
        </row>
        <row r="1881">
          <cell r="E1881" t="str">
            <v>B25012596</v>
          </cell>
          <cell r="F1881"/>
          <cell r="G1881">
            <v>50000000</v>
          </cell>
          <cell r="H1881" t="str">
            <v>Faris</v>
          </cell>
          <cell r="I1881" t="str">
            <v>Syahra</v>
          </cell>
          <cell r="J1881"/>
          <cell r="K1881" t="str">
            <v>Tunai</v>
          </cell>
          <cell r="L1881" t="str">
            <v>CAHA06</v>
          </cell>
          <cell r="M1881" t="str">
            <v>Cahaya/Shohib</v>
          </cell>
          <cell r="N1881" t="str">
            <v>Siti Kalimah</v>
          </cell>
          <cell r="O1881" t="str">
            <v>Ds. Ringinmulyo, RT.001/RW.001, Kel. Ringintelu, Kec. Bangorejo</v>
          </cell>
          <cell r="P1881" t="str">
            <v>Banyuwangi</v>
          </cell>
          <cell r="Q1881" t="str">
            <v>Pedotan</v>
          </cell>
          <cell r="R1881" t="str">
            <v>Banyuwangi</v>
          </cell>
          <cell r="S1881" t="str">
            <v>H Bwi4</v>
          </cell>
          <cell r="T1881" t="str">
            <v>Hafid</v>
          </cell>
          <cell r="U1881">
            <v>60</v>
          </cell>
        </row>
        <row r="1882">
          <cell r="E1882" t="str">
            <v>B25013000</v>
          </cell>
          <cell r="F1882"/>
          <cell r="G1882">
            <v>50000000</v>
          </cell>
          <cell r="H1882" t="str">
            <v>Faris</v>
          </cell>
          <cell r="I1882" t="str">
            <v>Syahra</v>
          </cell>
          <cell r="J1882"/>
          <cell r="K1882" t="str">
            <v>Tunai</v>
          </cell>
          <cell r="L1882" t="str">
            <v>CAHA06</v>
          </cell>
          <cell r="M1882" t="str">
            <v>Cahaya/Shohib</v>
          </cell>
          <cell r="N1882" t="str">
            <v>Siti Kalimah</v>
          </cell>
          <cell r="O1882" t="str">
            <v>Ds. Ringinmulyo, RT.001/RW.001, Kel. Ringintelu, Kec. Bangorejo</v>
          </cell>
          <cell r="P1882" t="str">
            <v>Banyuwangi</v>
          </cell>
          <cell r="Q1882" t="str">
            <v>Pedotan</v>
          </cell>
          <cell r="R1882" t="str">
            <v>Banyuwangi</v>
          </cell>
          <cell r="S1882" t="str">
            <v>H Bwi4</v>
          </cell>
          <cell r="T1882" t="str">
            <v>Hafid</v>
          </cell>
          <cell r="U1882">
            <v>60</v>
          </cell>
        </row>
        <row r="1883">
          <cell r="E1883" t="str">
            <v>D25014853</v>
          </cell>
          <cell r="F1883"/>
          <cell r="G1883">
            <v>1000</v>
          </cell>
          <cell r="H1883" t="str">
            <v>Ariyani</v>
          </cell>
          <cell r="I1883" t="str">
            <v>Fira</v>
          </cell>
          <cell r="J1883" t="str">
            <v>New 28/07/25</v>
          </cell>
          <cell r="K1883" t="str">
            <v>COD</v>
          </cell>
          <cell r="L1883" t="str">
            <v>CAKI01</v>
          </cell>
          <cell r="M1883" t="str">
            <v>Cak Im</v>
          </cell>
          <cell r="N1883" t="str">
            <v>Imron Rosyadi</v>
          </cell>
          <cell r="O1883" t="str">
            <v>Sekar Putih RT.001/RW.007 , Kel. Muyorejo Kec. Kraton</v>
          </cell>
          <cell r="P1883" t="str">
            <v>Pasuruan</v>
          </cell>
          <cell r="Q1883" t="str">
            <v>Sekarpoteh, Mulyorejo , Kraton</v>
          </cell>
          <cell r="R1883" t="str">
            <v>Pasuruan</v>
          </cell>
          <cell r="S1883" t="str">
            <v>F Utara1</v>
          </cell>
          <cell r="T1883" t="str">
            <v>Tomi</v>
          </cell>
          <cell r="U1883">
            <v>0</v>
          </cell>
        </row>
        <row r="1884">
          <cell r="E1884" t="str">
            <v>B25013630</v>
          </cell>
          <cell r="F1884"/>
          <cell r="G1884">
            <v>1000</v>
          </cell>
          <cell r="H1884" t="str">
            <v>Ariyani</v>
          </cell>
          <cell r="I1884" t="str">
            <v>Fira</v>
          </cell>
          <cell r="J1884" t="str">
            <v>New 28/07/25</v>
          </cell>
          <cell r="K1884" t="str">
            <v>COD</v>
          </cell>
          <cell r="L1884" t="str">
            <v>CAKI01</v>
          </cell>
          <cell r="M1884" t="str">
            <v>Cak Im</v>
          </cell>
          <cell r="N1884" t="str">
            <v>Imron Rosyadi</v>
          </cell>
          <cell r="O1884" t="str">
            <v>Sekar Putih RT.001/RW.007 , Kel. Muyorejo Kec. Kraton</v>
          </cell>
          <cell r="P1884" t="str">
            <v>Pasuruan</v>
          </cell>
          <cell r="Q1884" t="str">
            <v>Sekarpoteh, Mulyorejo , Kraton</v>
          </cell>
          <cell r="R1884" t="str">
            <v>Pasuruan</v>
          </cell>
          <cell r="S1884" t="str">
            <v>F Utara1</v>
          </cell>
          <cell r="T1884" t="str">
            <v>Tomi</v>
          </cell>
          <cell r="U1884">
            <v>0</v>
          </cell>
        </row>
        <row r="1885">
          <cell r="E1885" t="str">
            <v>D25015890</v>
          </cell>
          <cell r="F1885"/>
          <cell r="G1885">
            <v>1000</v>
          </cell>
          <cell r="H1885" t="str">
            <v>Ariyani</v>
          </cell>
          <cell r="I1885" t="str">
            <v>Fira</v>
          </cell>
          <cell r="J1885" t="str">
            <v>New 28/07/25</v>
          </cell>
          <cell r="K1885" t="str">
            <v>COD</v>
          </cell>
          <cell r="L1885" t="str">
            <v>CAKI01</v>
          </cell>
          <cell r="M1885" t="str">
            <v>Cak Im</v>
          </cell>
          <cell r="N1885" t="str">
            <v>Imron Rosyadi</v>
          </cell>
          <cell r="O1885" t="str">
            <v>Sekar Putih RT.001/RW.007 , Kel. Muyorejo Kec. Kraton</v>
          </cell>
          <cell r="P1885" t="str">
            <v>Pasuruan</v>
          </cell>
          <cell r="Q1885" t="str">
            <v>Sekarpoteh, Mulyorejo , Kraton</v>
          </cell>
          <cell r="R1885" t="str">
            <v>Pasuruan</v>
          </cell>
          <cell r="S1885" t="str">
            <v>F Utara1</v>
          </cell>
          <cell r="T1885" t="str">
            <v>Tomi</v>
          </cell>
          <cell r="U1885">
            <v>0</v>
          </cell>
        </row>
        <row r="1886">
          <cell r="E1886" t="str">
            <v>R25000106</v>
          </cell>
          <cell r="F1886"/>
          <cell r="G1886">
            <v>1000</v>
          </cell>
          <cell r="H1886" t="str">
            <v>Others</v>
          </cell>
          <cell r="I1886" t="str">
            <v>Exclusive</v>
          </cell>
          <cell r="J1886" t="str">
            <v>New 13/12/24</v>
          </cell>
          <cell r="K1886" t="str">
            <v>KU</v>
          </cell>
          <cell r="L1886" t="str">
            <v>CATU04</v>
          </cell>
          <cell r="M1886" t="str">
            <v>Catur Agrodaya Mandiri, PT</v>
          </cell>
          <cell r="N1886" t="str">
            <v>Catur Agrodaya Mandiri, PT</v>
          </cell>
          <cell r="O1886" t="str">
            <v>Gedung AIA Central Lt. 27, Jend. Sudirman Kav. 48-A, Jakarta Selatan</v>
          </cell>
          <cell r="P1886" t="str">
            <v>Jakarta Selatan</v>
          </cell>
          <cell r="Q1886" t="str">
            <v>Jakarta Selatan</v>
          </cell>
          <cell r="R1886" t="str">
            <v>Jakarta Selatan</v>
          </cell>
          <cell r="S1886" t="str">
            <v>I Jabar Jateng</v>
          </cell>
          <cell r="T1886" t="str">
            <v>Non SE &amp; JSE</v>
          </cell>
          <cell r="U1886">
            <v>15</v>
          </cell>
        </row>
        <row r="1887">
          <cell r="E1887" t="str">
            <v>D25012677</v>
          </cell>
          <cell r="F1887"/>
          <cell r="G1887">
            <v>50000000</v>
          </cell>
          <cell r="H1887" t="str">
            <v>Zakia</v>
          </cell>
          <cell r="I1887" t="str">
            <v>Tiya</v>
          </cell>
          <cell r="J1887"/>
          <cell r="K1887" t="str">
            <v>KU, Tunai</v>
          </cell>
          <cell r="L1887" t="str">
            <v>CATU02</v>
          </cell>
          <cell r="M1887" t="str">
            <v>Catur Tani Mandiri, UD</v>
          </cell>
          <cell r="N1887" t="str">
            <v>I Made Sumerada</v>
          </cell>
          <cell r="O1887" t="str">
            <v>Banjar Catur, Kel. Catur, Kec. Kintamani</v>
          </cell>
          <cell r="P1887" t="str">
            <v>Bali</v>
          </cell>
          <cell r="Q1887" t="str">
            <v>Depan Pasar Catur Kintamani</v>
          </cell>
          <cell r="R1887" t="str">
            <v>Bali</v>
          </cell>
          <cell r="S1887" t="str">
            <v>S Bali1</v>
          </cell>
          <cell r="T1887" t="str">
            <v>Wira</v>
          </cell>
          <cell r="U1887">
            <v>30</v>
          </cell>
        </row>
        <row r="1888">
          <cell r="E1888" t="str">
            <v>D25013892</v>
          </cell>
          <cell r="F1888"/>
          <cell r="G1888">
            <v>50000000</v>
          </cell>
          <cell r="H1888" t="str">
            <v>Zakia</v>
          </cell>
          <cell r="I1888" t="str">
            <v>Tiya</v>
          </cell>
          <cell r="J1888"/>
          <cell r="K1888" t="str">
            <v>KU, Tunai</v>
          </cell>
          <cell r="L1888" t="str">
            <v>CATU02</v>
          </cell>
          <cell r="M1888" t="str">
            <v>Catur Tani Mandiri, UD</v>
          </cell>
          <cell r="N1888" t="str">
            <v>I Made Sumerada</v>
          </cell>
          <cell r="O1888" t="str">
            <v>Banjar Catur, Kel. Catur, Kec. Kintamani</v>
          </cell>
          <cell r="P1888" t="str">
            <v>Bali</v>
          </cell>
          <cell r="Q1888" t="str">
            <v>Depan Pasar Catur Kintamani</v>
          </cell>
          <cell r="R1888" t="str">
            <v>Bali</v>
          </cell>
          <cell r="S1888" t="str">
            <v>S Bali1</v>
          </cell>
          <cell r="T1888" t="str">
            <v>Wira</v>
          </cell>
          <cell r="U1888">
            <v>30</v>
          </cell>
        </row>
        <row r="1889">
          <cell r="E1889" t="str">
            <v>D25015307</v>
          </cell>
          <cell r="F1889"/>
          <cell r="G1889">
            <v>50000000</v>
          </cell>
          <cell r="H1889" t="str">
            <v>Zakia</v>
          </cell>
          <cell r="I1889" t="str">
            <v>Tiya</v>
          </cell>
          <cell r="J1889"/>
          <cell r="K1889" t="str">
            <v>KU, Tunai</v>
          </cell>
          <cell r="L1889" t="str">
            <v>CATU02</v>
          </cell>
          <cell r="M1889" t="str">
            <v>Catur Tani Mandiri, UD</v>
          </cell>
          <cell r="N1889" t="str">
            <v>I Made Sumerada</v>
          </cell>
          <cell r="O1889" t="str">
            <v>Banjar Catur, Kel. Catur, Kec. Kintamani</v>
          </cell>
          <cell r="P1889" t="str">
            <v>Bali</v>
          </cell>
          <cell r="Q1889" t="str">
            <v>Depan Pasar Catur Kintamani</v>
          </cell>
          <cell r="R1889" t="str">
            <v>Bali</v>
          </cell>
          <cell r="S1889" t="str">
            <v>S Bali1</v>
          </cell>
          <cell r="T1889" t="str">
            <v>Wira</v>
          </cell>
          <cell r="U1889">
            <v>30</v>
          </cell>
        </row>
        <row r="1890">
          <cell r="E1890" t="str">
            <v>B25013706</v>
          </cell>
          <cell r="F1890"/>
          <cell r="G1890">
            <v>50000000</v>
          </cell>
          <cell r="H1890" t="str">
            <v>Zakia</v>
          </cell>
          <cell r="I1890" t="str">
            <v>Tiya</v>
          </cell>
          <cell r="J1890"/>
          <cell r="K1890" t="str">
            <v>KU, Tunai</v>
          </cell>
          <cell r="L1890" t="str">
            <v>CATU02</v>
          </cell>
          <cell r="M1890" t="str">
            <v>Catur Tani Mandiri, UD</v>
          </cell>
          <cell r="N1890" t="str">
            <v>I Made Sumerada</v>
          </cell>
          <cell r="O1890" t="str">
            <v>Banjar Catur, Kel. Catur, Kec. Kintamani</v>
          </cell>
          <cell r="P1890" t="str">
            <v>Bali</v>
          </cell>
          <cell r="Q1890" t="str">
            <v>Depan Pasar Catur Kintamani</v>
          </cell>
          <cell r="R1890" t="str">
            <v>Bali</v>
          </cell>
          <cell r="S1890" t="str">
            <v>S Bali1</v>
          </cell>
          <cell r="T1890" t="str">
            <v>Wira</v>
          </cell>
          <cell r="U1890">
            <v>30</v>
          </cell>
        </row>
        <row r="1891">
          <cell r="E1891" t="str">
            <v>B25013747</v>
          </cell>
          <cell r="F1891"/>
          <cell r="G1891">
            <v>50000000</v>
          </cell>
          <cell r="H1891" t="str">
            <v>Zakia</v>
          </cell>
          <cell r="I1891" t="str">
            <v>Tiya</v>
          </cell>
          <cell r="J1891"/>
          <cell r="K1891" t="str">
            <v>KU, Tunai</v>
          </cell>
          <cell r="L1891" t="str">
            <v>CATU02</v>
          </cell>
          <cell r="M1891" t="str">
            <v>Catur Tani Mandiri, UD</v>
          </cell>
          <cell r="N1891" t="str">
            <v>I Made Sumerada</v>
          </cell>
          <cell r="O1891" t="str">
            <v>Banjar Catur, Kel. Catur, Kec. Kintamani</v>
          </cell>
          <cell r="P1891" t="str">
            <v>Bali</v>
          </cell>
          <cell r="Q1891" t="str">
            <v>Depan Pasar Catur Kintamani</v>
          </cell>
          <cell r="R1891" t="str">
            <v>Bali</v>
          </cell>
          <cell r="S1891" t="str">
            <v>S Bali1</v>
          </cell>
          <cell r="T1891" t="str">
            <v>Wira</v>
          </cell>
          <cell r="U1891">
            <v>30</v>
          </cell>
        </row>
        <row r="1892">
          <cell r="E1892" t="str">
            <v>D25016090</v>
          </cell>
          <cell r="F1892"/>
          <cell r="G1892">
            <v>50000000</v>
          </cell>
          <cell r="H1892" t="str">
            <v>Zakia</v>
          </cell>
          <cell r="I1892" t="str">
            <v>Tiya</v>
          </cell>
          <cell r="J1892"/>
          <cell r="K1892" t="str">
            <v>KU, Tunai</v>
          </cell>
          <cell r="L1892" t="str">
            <v>CATU02</v>
          </cell>
          <cell r="M1892" t="str">
            <v>Catur Tani Mandiri, UD</v>
          </cell>
          <cell r="N1892" t="str">
            <v>I Made Sumerada</v>
          </cell>
          <cell r="O1892" t="str">
            <v>Banjar Catur, Kel. Catur, Kec. Kintamani</v>
          </cell>
          <cell r="P1892" t="str">
            <v>Bali</v>
          </cell>
          <cell r="Q1892" t="str">
            <v>Depan Pasar Catur Kintamani</v>
          </cell>
          <cell r="R1892" t="str">
            <v>Bali</v>
          </cell>
          <cell r="S1892" t="str">
            <v>S Bali1</v>
          </cell>
          <cell r="T1892" t="str">
            <v>Wira</v>
          </cell>
          <cell r="U1892">
            <v>30</v>
          </cell>
        </row>
        <row r="1893">
          <cell r="E1893" t="str">
            <v>D25012037</v>
          </cell>
          <cell r="F1893"/>
          <cell r="G1893">
            <v>75000000</v>
          </cell>
          <cell r="H1893" t="str">
            <v>Yuyun</v>
          </cell>
          <cell r="I1893" t="str">
            <v>Syahra</v>
          </cell>
          <cell r="J1893"/>
          <cell r="K1893" t="str">
            <v>KU</v>
          </cell>
          <cell r="L1893" t="str">
            <v>CEPI01</v>
          </cell>
          <cell r="M1893" t="str">
            <v>Cepi BCA</v>
          </cell>
          <cell r="N1893" t="str">
            <v>Cepi Faisal Husaeni</v>
          </cell>
          <cell r="O1893" t="str">
            <v>Perum Graha Citra Mas Blok T No.8 Ling. GU, RT.004/RW.021, Kel. Tegal Besar, Kec. Kaliwates</v>
          </cell>
          <cell r="P1893" t="str">
            <v>Jember</v>
          </cell>
          <cell r="Q1893" t="str">
            <v>Jember</v>
          </cell>
          <cell r="R1893" t="str">
            <v>Jember</v>
          </cell>
          <cell r="S1893" t="str">
            <v>B Agronomis</v>
          </cell>
          <cell r="T1893" t="str">
            <v>Wira</v>
          </cell>
          <cell r="U1893">
            <v>30</v>
          </cell>
        </row>
        <row r="1894">
          <cell r="E1894" t="str">
            <v>D25013789</v>
          </cell>
          <cell r="F1894"/>
          <cell r="G1894">
            <v>75000000</v>
          </cell>
          <cell r="H1894" t="str">
            <v>Yuyun</v>
          </cell>
          <cell r="I1894" t="str">
            <v>Syahra</v>
          </cell>
          <cell r="J1894"/>
          <cell r="K1894" t="str">
            <v>KU</v>
          </cell>
          <cell r="L1894" t="str">
            <v>CEPI01</v>
          </cell>
          <cell r="M1894" t="str">
            <v>Cepi BCA</v>
          </cell>
          <cell r="N1894" t="str">
            <v>Cepi Faisal Husaeni</v>
          </cell>
          <cell r="O1894" t="str">
            <v>Perum Graha Citra Mas Blok T No.8 Ling. GU, RT.004/RW.021, Kel. Tegal Besar, Kec. Kaliwates</v>
          </cell>
          <cell r="P1894" t="str">
            <v>Jember</v>
          </cell>
          <cell r="Q1894" t="str">
            <v>Jember</v>
          </cell>
          <cell r="R1894" t="str">
            <v>Jember</v>
          </cell>
          <cell r="S1894" t="str">
            <v>B Agronomis</v>
          </cell>
          <cell r="T1894" t="str">
            <v>Wira</v>
          </cell>
          <cell r="U1894">
            <v>30</v>
          </cell>
        </row>
        <row r="1895">
          <cell r="E1895" t="str">
            <v>D25011134</v>
          </cell>
          <cell r="F1895"/>
          <cell r="G1895">
            <v>1500000000</v>
          </cell>
          <cell r="H1895" t="str">
            <v>Reni</v>
          </cell>
          <cell r="I1895" t="str">
            <v>Farida</v>
          </cell>
          <cell r="J1895"/>
          <cell r="K1895" t="str">
            <v>KU</v>
          </cell>
          <cell r="L1895" t="str">
            <v>CIPT01</v>
          </cell>
          <cell r="M1895" t="str">
            <v>Cipta Jaya Multifarm</v>
          </cell>
          <cell r="N1895" t="str">
            <v>Cipta Jaya, CV</v>
          </cell>
          <cell r="O1895" t="str">
            <v>Dsn. Pule RT.004/RW.002, Ngrambe, Kab. Ngawi</v>
          </cell>
          <cell r="P1895" t="str">
            <v>Ngawi</v>
          </cell>
          <cell r="Q1895" t="str">
            <v>Dsn. Pule RT.004/RW.002, Ngrambe, Kab. Ngawi</v>
          </cell>
          <cell r="R1895" t="str">
            <v>Ngawi</v>
          </cell>
          <cell r="S1895" t="str">
            <v>D Barat1</v>
          </cell>
          <cell r="T1895" t="str">
            <v>Dian</v>
          </cell>
          <cell r="U1895">
            <v>60</v>
          </cell>
        </row>
        <row r="1896">
          <cell r="E1896" t="str">
            <v>D25011287</v>
          </cell>
          <cell r="F1896"/>
          <cell r="G1896">
            <v>1500000000</v>
          </cell>
          <cell r="H1896" t="str">
            <v>Reni</v>
          </cell>
          <cell r="I1896" t="str">
            <v>Farida</v>
          </cell>
          <cell r="J1896"/>
          <cell r="K1896" t="str">
            <v>KU</v>
          </cell>
          <cell r="L1896" t="str">
            <v>CIPT01</v>
          </cell>
          <cell r="M1896" t="str">
            <v>Cipta Jaya Multifarm</v>
          </cell>
          <cell r="N1896" t="str">
            <v>Cipta Jaya, CV</v>
          </cell>
          <cell r="O1896" t="str">
            <v>Dsn. Pule RT.004/RW.002, Ngrambe, Kab. Ngawi</v>
          </cell>
          <cell r="P1896" t="str">
            <v>Ngawi</v>
          </cell>
          <cell r="Q1896" t="str">
            <v>Dsn. Pule RT.004/RW.002, Ngrambe, Kab. Ngawi</v>
          </cell>
          <cell r="R1896" t="str">
            <v>Ngawi</v>
          </cell>
          <cell r="S1896" t="str">
            <v>D Barat1</v>
          </cell>
          <cell r="T1896" t="str">
            <v>Dian</v>
          </cell>
          <cell r="U1896">
            <v>30</v>
          </cell>
        </row>
        <row r="1897">
          <cell r="E1897" t="str">
            <v>D25012707</v>
          </cell>
          <cell r="F1897"/>
          <cell r="G1897">
            <v>1500000000</v>
          </cell>
          <cell r="H1897" t="str">
            <v>Reni</v>
          </cell>
          <cell r="I1897" t="str">
            <v>Farida</v>
          </cell>
          <cell r="J1897"/>
          <cell r="K1897" t="str">
            <v>KU</v>
          </cell>
          <cell r="L1897" t="str">
            <v>CIPT01</v>
          </cell>
          <cell r="M1897" t="str">
            <v>Cipta Jaya Multifarm</v>
          </cell>
          <cell r="N1897" t="str">
            <v>Cipta Jaya, CV</v>
          </cell>
          <cell r="O1897" t="str">
            <v>Dsn. Pule RT.004/RW.002, Ngrambe, Kab. Ngawi</v>
          </cell>
          <cell r="P1897" t="str">
            <v>Ngawi</v>
          </cell>
          <cell r="Q1897" t="str">
            <v>Dsn. Pule RT.004/RW.002, Ngrambe, Kab. Ngawi</v>
          </cell>
          <cell r="R1897" t="str">
            <v>Ngawi</v>
          </cell>
          <cell r="S1897" t="str">
            <v>D Barat1</v>
          </cell>
          <cell r="T1897" t="str">
            <v>Dian</v>
          </cell>
          <cell r="U1897">
            <v>30</v>
          </cell>
        </row>
        <row r="1898">
          <cell r="E1898" t="str">
            <v>B25010820</v>
          </cell>
          <cell r="F1898"/>
          <cell r="G1898">
            <v>1500000000</v>
          </cell>
          <cell r="H1898" t="str">
            <v>Reni</v>
          </cell>
          <cell r="I1898" t="str">
            <v>Farida</v>
          </cell>
          <cell r="J1898"/>
          <cell r="K1898" t="str">
            <v>KU</v>
          </cell>
          <cell r="L1898" t="str">
            <v>CIPT01</v>
          </cell>
          <cell r="M1898" t="str">
            <v>Cipta Jaya Multifarm</v>
          </cell>
          <cell r="N1898" t="str">
            <v>Cipta Jaya, CV</v>
          </cell>
          <cell r="O1898" t="str">
            <v>Dsn. Pule RT.004/RW.002, Ngrambe, Kab. Ngawi</v>
          </cell>
          <cell r="P1898" t="str">
            <v>Ngawi</v>
          </cell>
          <cell r="Q1898" t="str">
            <v>Dsn. Pule RT.004/RW.002, Ngrambe, Kab. Ngawi</v>
          </cell>
          <cell r="R1898" t="str">
            <v>Ngawi</v>
          </cell>
          <cell r="S1898" t="str">
            <v>D Barat1</v>
          </cell>
          <cell r="T1898" t="str">
            <v>Dian</v>
          </cell>
          <cell r="U1898">
            <v>60</v>
          </cell>
        </row>
        <row r="1899">
          <cell r="E1899" t="str">
            <v>D25014237</v>
          </cell>
          <cell r="F1899"/>
          <cell r="G1899">
            <v>1500000000</v>
          </cell>
          <cell r="H1899" t="str">
            <v>Reni</v>
          </cell>
          <cell r="I1899" t="str">
            <v>Farida</v>
          </cell>
          <cell r="J1899"/>
          <cell r="K1899" t="str">
            <v>KU</v>
          </cell>
          <cell r="L1899" t="str">
            <v>CIPT01</v>
          </cell>
          <cell r="M1899" t="str">
            <v>Cipta Jaya Multifarm</v>
          </cell>
          <cell r="N1899" t="str">
            <v>Cipta Jaya, CV</v>
          </cell>
          <cell r="O1899" t="str">
            <v>Dsn. Pule RT.004/RW.002, Ngrambe, Kab. Ngawi</v>
          </cell>
          <cell r="P1899" t="str">
            <v>Ngawi</v>
          </cell>
          <cell r="Q1899" t="str">
            <v>Dsn. Pule RT.004/RW.002, Ngrambe, Kab. Ngawi</v>
          </cell>
          <cell r="R1899" t="str">
            <v>Ngawi</v>
          </cell>
          <cell r="S1899" t="str">
            <v>D Barat1</v>
          </cell>
          <cell r="T1899" t="str">
            <v>Dian</v>
          </cell>
          <cell r="U1899">
            <v>30</v>
          </cell>
        </row>
        <row r="1900">
          <cell r="E1900" t="str">
            <v>D25014281</v>
          </cell>
          <cell r="F1900"/>
          <cell r="G1900">
            <v>1500000000</v>
          </cell>
          <cell r="H1900" t="str">
            <v>Reni</v>
          </cell>
          <cell r="I1900" t="str">
            <v>Farida</v>
          </cell>
          <cell r="J1900"/>
          <cell r="K1900" t="str">
            <v>KU</v>
          </cell>
          <cell r="L1900" t="str">
            <v>CIPT01</v>
          </cell>
          <cell r="M1900" t="str">
            <v>Cipta Jaya Multifarm</v>
          </cell>
          <cell r="N1900" t="str">
            <v>Cipta Jaya, CV</v>
          </cell>
          <cell r="O1900" t="str">
            <v>Dsn. Pule RT.004/RW.002, Ngrambe, Kab. Ngawi</v>
          </cell>
          <cell r="P1900" t="str">
            <v>Ngawi</v>
          </cell>
          <cell r="Q1900" t="str">
            <v>Dsn. Pule RT.004/RW.002, Ngrambe, Kab. Ngawi</v>
          </cell>
          <cell r="R1900" t="str">
            <v>Ngawi</v>
          </cell>
          <cell r="S1900" t="str">
            <v>D Barat1</v>
          </cell>
          <cell r="T1900" t="str">
            <v>Dian</v>
          </cell>
          <cell r="U1900">
            <v>0</v>
          </cell>
        </row>
        <row r="1901">
          <cell r="E1901" t="str">
            <v>D25014281</v>
          </cell>
          <cell r="F1901"/>
          <cell r="G1901">
            <v>1500000000</v>
          </cell>
          <cell r="H1901" t="str">
            <v>Reni</v>
          </cell>
          <cell r="I1901" t="str">
            <v>Farida</v>
          </cell>
          <cell r="J1901"/>
          <cell r="K1901" t="str">
            <v>KU</v>
          </cell>
          <cell r="L1901" t="str">
            <v>CIPT01</v>
          </cell>
          <cell r="M1901" t="str">
            <v>Cipta Jaya Multifarm</v>
          </cell>
          <cell r="N1901" t="str">
            <v>Cipta Jaya, CV</v>
          </cell>
          <cell r="O1901" t="str">
            <v>Dsn. Pule RT.004/RW.002, Ngrambe, Kab. Ngawi</v>
          </cell>
          <cell r="P1901" t="str">
            <v>Ngawi</v>
          </cell>
          <cell r="Q1901" t="str">
            <v>Dsn. Pule RT.004/RW.002, Ngrambe, Kab. Ngawi</v>
          </cell>
          <cell r="R1901" t="str">
            <v>Ngawi</v>
          </cell>
          <cell r="S1901" t="str">
            <v>D Barat1</v>
          </cell>
          <cell r="T1901" t="str">
            <v>Dian</v>
          </cell>
          <cell r="U1901">
            <v>0</v>
          </cell>
        </row>
        <row r="1902">
          <cell r="E1902" t="str">
            <v>B25012211</v>
          </cell>
          <cell r="F1902"/>
          <cell r="G1902">
            <v>1500000000</v>
          </cell>
          <cell r="H1902" t="str">
            <v>Reni</v>
          </cell>
          <cell r="I1902" t="str">
            <v>Farida</v>
          </cell>
          <cell r="J1902"/>
          <cell r="K1902" t="str">
            <v>KU</v>
          </cell>
          <cell r="L1902" t="str">
            <v>CIPT01</v>
          </cell>
          <cell r="M1902" t="str">
            <v>Cipta Jaya Multifarm</v>
          </cell>
          <cell r="N1902" t="str">
            <v>Cipta Jaya, CV</v>
          </cell>
          <cell r="O1902" t="str">
            <v>Dsn. Pule RT.004/RW.002, Ngrambe, Kab. Ngawi</v>
          </cell>
          <cell r="P1902" t="str">
            <v>Ngawi</v>
          </cell>
          <cell r="Q1902" t="str">
            <v>Dsn. Pule RT.004/RW.002, Ngrambe, Kab. Ngawi</v>
          </cell>
          <cell r="R1902" t="str">
            <v>Ngawi</v>
          </cell>
          <cell r="S1902" t="str">
            <v>D Barat1</v>
          </cell>
          <cell r="T1902" t="str">
            <v>Dian</v>
          </cell>
          <cell r="U1902">
            <v>60</v>
          </cell>
        </row>
        <row r="1903">
          <cell r="E1903" t="str">
            <v>B25012212</v>
          </cell>
          <cell r="F1903"/>
          <cell r="G1903">
            <v>1500000000</v>
          </cell>
          <cell r="H1903" t="str">
            <v>Reni</v>
          </cell>
          <cell r="I1903" t="str">
            <v>Farida</v>
          </cell>
          <cell r="J1903"/>
          <cell r="K1903" t="str">
            <v>KU</v>
          </cell>
          <cell r="L1903" t="str">
            <v>CIPT01</v>
          </cell>
          <cell r="M1903" t="str">
            <v>Cipta Jaya Multifarm</v>
          </cell>
          <cell r="N1903" t="str">
            <v>Cipta Jaya, CV</v>
          </cell>
          <cell r="O1903" t="str">
            <v>Dsn. Pule RT.004/RW.002, Ngrambe, Kab. Ngawi</v>
          </cell>
          <cell r="P1903" t="str">
            <v>Ngawi</v>
          </cell>
          <cell r="Q1903" t="str">
            <v>Dsn. Pule RT.004/RW.002, Ngrambe, Kab. Ngawi</v>
          </cell>
          <cell r="R1903" t="str">
            <v>Ngawi</v>
          </cell>
          <cell r="S1903" t="str">
            <v>D Barat1</v>
          </cell>
          <cell r="T1903" t="str">
            <v>Dian</v>
          </cell>
          <cell r="U1903">
            <v>60</v>
          </cell>
        </row>
        <row r="1904">
          <cell r="E1904" t="str">
            <v>D25014790</v>
          </cell>
          <cell r="F1904"/>
          <cell r="G1904">
            <v>1500000000</v>
          </cell>
          <cell r="H1904" t="str">
            <v>Reni</v>
          </cell>
          <cell r="I1904" t="str">
            <v>Farida</v>
          </cell>
          <cell r="J1904"/>
          <cell r="K1904" t="str">
            <v>KU</v>
          </cell>
          <cell r="L1904" t="str">
            <v>CIPT01</v>
          </cell>
          <cell r="M1904" t="str">
            <v>Cipta Jaya Multifarm</v>
          </cell>
          <cell r="N1904" t="str">
            <v>Cipta Jaya, CV</v>
          </cell>
          <cell r="O1904" t="str">
            <v>Dsn. Pule RT.004/RW.002, Ngrambe, Kab. Ngawi</v>
          </cell>
          <cell r="P1904" t="str">
            <v>Ngawi</v>
          </cell>
          <cell r="Q1904" t="str">
            <v>Dsn. Pule RT.004/RW.002, Ngrambe, Kab. Ngawi</v>
          </cell>
          <cell r="R1904" t="str">
            <v>Ngawi</v>
          </cell>
          <cell r="S1904" t="str">
            <v>D Barat1</v>
          </cell>
          <cell r="T1904" t="str">
            <v>Dian</v>
          </cell>
          <cell r="U1904">
            <v>0</v>
          </cell>
        </row>
        <row r="1905">
          <cell r="E1905" t="str">
            <v>D25014790</v>
          </cell>
          <cell r="F1905"/>
          <cell r="G1905">
            <v>1500000000</v>
          </cell>
          <cell r="H1905" t="str">
            <v>Reni</v>
          </cell>
          <cell r="I1905" t="str">
            <v>Farida</v>
          </cell>
          <cell r="J1905"/>
          <cell r="K1905" t="str">
            <v>KU</v>
          </cell>
          <cell r="L1905" t="str">
            <v>CIPT01</v>
          </cell>
          <cell r="M1905" t="str">
            <v>Cipta Jaya Multifarm</v>
          </cell>
          <cell r="N1905" t="str">
            <v>Cipta Jaya, CV</v>
          </cell>
          <cell r="O1905" t="str">
            <v>Dsn. Pule RT.004/RW.002, Ngrambe, Kab. Ngawi</v>
          </cell>
          <cell r="P1905" t="str">
            <v>Ngawi</v>
          </cell>
          <cell r="Q1905" t="str">
            <v>Dsn. Pule RT.004/RW.002, Ngrambe, Kab. Ngawi</v>
          </cell>
          <cell r="R1905" t="str">
            <v>Ngawi</v>
          </cell>
          <cell r="S1905" t="str">
            <v>D Barat1</v>
          </cell>
          <cell r="T1905" t="str">
            <v>Dian</v>
          </cell>
          <cell r="U1905">
            <v>0</v>
          </cell>
        </row>
        <row r="1906">
          <cell r="E1906" t="str">
            <v>B25013863</v>
          </cell>
          <cell r="F1906"/>
          <cell r="G1906">
            <v>1500000000</v>
          </cell>
          <cell r="H1906" t="str">
            <v>Reni</v>
          </cell>
          <cell r="I1906" t="str">
            <v>Farida</v>
          </cell>
          <cell r="J1906"/>
          <cell r="K1906" t="str">
            <v>KU</v>
          </cell>
          <cell r="L1906" t="str">
            <v>CIPT01</v>
          </cell>
          <cell r="M1906" t="str">
            <v>Cipta Jaya Multifarm</v>
          </cell>
          <cell r="N1906" t="str">
            <v>Cipta Jaya, CV</v>
          </cell>
          <cell r="O1906" t="str">
            <v>Dsn. Pule RT.004/RW.002, Ngrambe, Kab. Ngawi</v>
          </cell>
          <cell r="P1906" t="str">
            <v>Ngawi</v>
          </cell>
          <cell r="Q1906" t="str">
            <v>Dsn. Pule RT.004/RW.002, Ngrambe, Kab. Ngawi</v>
          </cell>
          <cell r="R1906" t="str">
            <v>Ngawi</v>
          </cell>
          <cell r="S1906" t="str">
            <v>D Barat1</v>
          </cell>
          <cell r="T1906" t="str">
            <v>Dian</v>
          </cell>
          <cell r="U1906">
            <v>60</v>
          </cell>
        </row>
        <row r="1907">
          <cell r="E1907" t="str">
            <v>B25014067</v>
          </cell>
          <cell r="F1907"/>
          <cell r="G1907">
            <v>1500000000</v>
          </cell>
          <cell r="H1907" t="str">
            <v>Reni</v>
          </cell>
          <cell r="I1907" t="str">
            <v>Farida</v>
          </cell>
          <cell r="J1907"/>
          <cell r="K1907" t="str">
            <v>KU</v>
          </cell>
          <cell r="L1907" t="str">
            <v>CIPT01</v>
          </cell>
          <cell r="M1907" t="str">
            <v>Cipta Jaya Multifarm</v>
          </cell>
          <cell r="N1907" t="str">
            <v>Cipta Jaya, CV</v>
          </cell>
          <cell r="O1907" t="str">
            <v>Dsn. Pule RT.004/RW.002, Ngrambe, Kab. Ngawi</v>
          </cell>
          <cell r="P1907" t="str">
            <v>Ngawi</v>
          </cell>
          <cell r="Q1907" t="str">
            <v>Dsn. Pule RT.004/RW.002, Ngrambe, Kab. Ngawi</v>
          </cell>
          <cell r="R1907" t="str">
            <v>Ngawi</v>
          </cell>
          <cell r="S1907" t="str">
            <v>D Barat1</v>
          </cell>
          <cell r="T1907" t="str">
            <v>Dian</v>
          </cell>
          <cell r="U1907">
            <v>60</v>
          </cell>
        </row>
        <row r="1908">
          <cell r="E1908" t="str">
            <v>B25011549</v>
          </cell>
          <cell r="F1908"/>
          <cell r="G1908">
            <v>20000000</v>
          </cell>
          <cell r="H1908" t="str">
            <v>Yuyun</v>
          </cell>
          <cell r="I1908" t="str">
            <v>Farida</v>
          </cell>
          <cell r="J1908" t="str">
            <v>New 10/09/24</v>
          </cell>
          <cell r="K1908" t="str">
            <v>CBD</v>
          </cell>
          <cell r="L1908" t="str">
            <v>CIPT05</v>
          </cell>
          <cell r="M1908" t="str">
            <v>Cipta Tani/Mohammad Rohim</v>
          </cell>
          <cell r="N1908" t="str">
            <v>Mohammad Rohim</v>
          </cell>
          <cell r="O1908" t="str">
            <v>Dusun balung Kopi Krajan RT.003/RW.003, Kel. Balungkidul, Kec. Balung</v>
          </cell>
          <cell r="P1908" t="str">
            <v>Jember</v>
          </cell>
          <cell r="Q1908" t="str">
            <v>Balung Kopi Krajan</v>
          </cell>
          <cell r="R1908" t="str">
            <v>Jember</v>
          </cell>
          <cell r="S1908" t="str">
            <v>L Kota3</v>
          </cell>
          <cell r="T1908" t="str">
            <v>Efendi</v>
          </cell>
          <cell r="U1908">
            <v>60</v>
          </cell>
        </row>
        <row r="1909">
          <cell r="E1909" t="str">
            <v>D25014087</v>
          </cell>
          <cell r="F1909"/>
          <cell r="G1909">
            <v>20000000</v>
          </cell>
          <cell r="H1909" t="str">
            <v>Yuyun</v>
          </cell>
          <cell r="I1909" t="str">
            <v>Farida</v>
          </cell>
          <cell r="J1909" t="str">
            <v>New 10/09/24</v>
          </cell>
          <cell r="K1909" t="str">
            <v>CBD</v>
          </cell>
          <cell r="L1909" t="str">
            <v>CIPT05</v>
          </cell>
          <cell r="M1909" t="str">
            <v>Cipta Tani/Mohammad Rohim</v>
          </cell>
          <cell r="N1909" t="str">
            <v>Mohammad Rohim</v>
          </cell>
          <cell r="O1909" t="str">
            <v>Dusun balung Kopi Krajan RT.003/RW.003, Kel. Balungkidul, Kec. Balung</v>
          </cell>
          <cell r="P1909" t="str">
            <v>Jember</v>
          </cell>
          <cell r="Q1909" t="str">
            <v>Balung Kopi Krajan</v>
          </cell>
          <cell r="R1909" t="str">
            <v>Jember</v>
          </cell>
          <cell r="S1909" t="str">
            <v>L Kota3</v>
          </cell>
          <cell r="T1909" t="str">
            <v>Efendi</v>
          </cell>
          <cell r="U1909">
            <v>30</v>
          </cell>
        </row>
        <row r="1910">
          <cell r="E1910" t="str">
            <v>D25014087</v>
          </cell>
          <cell r="F1910"/>
          <cell r="G1910">
            <v>20000000</v>
          </cell>
          <cell r="H1910" t="str">
            <v>Yuyun</v>
          </cell>
          <cell r="I1910" t="str">
            <v>Farida</v>
          </cell>
          <cell r="J1910" t="str">
            <v>New 10/09/24</v>
          </cell>
          <cell r="K1910" t="str">
            <v>CBD</v>
          </cell>
          <cell r="L1910" t="str">
            <v>CIPT05</v>
          </cell>
          <cell r="M1910" t="str">
            <v>Cipta Tani/Mohammad Rohim</v>
          </cell>
          <cell r="N1910" t="str">
            <v>Mohammad Rohim</v>
          </cell>
          <cell r="O1910" t="str">
            <v>Dusun balung Kopi Krajan RT.003/RW.003, Kel. Balungkidul, Kec. Balung</v>
          </cell>
          <cell r="P1910" t="str">
            <v>Jember</v>
          </cell>
          <cell r="Q1910" t="str">
            <v>Balung Kopi Krajan</v>
          </cell>
          <cell r="R1910" t="str">
            <v>Jember</v>
          </cell>
          <cell r="S1910" t="str">
            <v>L Kota3</v>
          </cell>
          <cell r="T1910" t="str">
            <v>Efendi</v>
          </cell>
          <cell r="U1910">
            <v>30</v>
          </cell>
        </row>
        <row r="1911">
          <cell r="E1911" t="str">
            <v>B25012300</v>
          </cell>
          <cell r="F1911"/>
          <cell r="G1911">
            <v>20000000</v>
          </cell>
          <cell r="H1911" t="str">
            <v>Yuyun</v>
          </cell>
          <cell r="I1911" t="str">
            <v>Farida</v>
          </cell>
          <cell r="J1911" t="str">
            <v>New 10/09/24</v>
          </cell>
          <cell r="K1911" t="str">
            <v>CBD</v>
          </cell>
          <cell r="L1911" t="str">
            <v>CIPT05</v>
          </cell>
          <cell r="M1911" t="str">
            <v>Cipta Tani/Mohammad Rohim</v>
          </cell>
          <cell r="N1911" t="str">
            <v>Mohammad Rohim</v>
          </cell>
          <cell r="O1911" t="str">
            <v>Dusun balung Kopi Krajan RT.003/RW.003, Kel. Balungkidul, Kec. Balung</v>
          </cell>
          <cell r="P1911" t="str">
            <v>Jember</v>
          </cell>
          <cell r="Q1911" t="str">
            <v>Balung Kopi Krajan</v>
          </cell>
          <cell r="R1911" t="str">
            <v>Jember</v>
          </cell>
          <cell r="S1911" t="str">
            <v>L Kota3</v>
          </cell>
          <cell r="T1911" t="str">
            <v>Efendi</v>
          </cell>
          <cell r="U1911">
            <v>30</v>
          </cell>
        </row>
        <row r="1912">
          <cell r="E1912" t="str">
            <v>B25013250</v>
          </cell>
          <cell r="F1912"/>
          <cell r="G1912">
            <v>20000000</v>
          </cell>
          <cell r="H1912" t="str">
            <v>Yuyun</v>
          </cell>
          <cell r="I1912" t="str">
            <v>Farida</v>
          </cell>
          <cell r="J1912" t="str">
            <v>New 10/09/24</v>
          </cell>
          <cell r="K1912" t="str">
            <v>CBD</v>
          </cell>
          <cell r="L1912" t="str">
            <v>CIPT05</v>
          </cell>
          <cell r="M1912" t="str">
            <v>Cipta Tani/Mohammad Rohim</v>
          </cell>
          <cell r="N1912" t="str">
            <v>Mohammad Rohim</v>
          </cell>
          <cell r="O1912" t="str">
            <v>Dusun balung Kopi Krajan RT.003/RW.003, Kel. Balungkidul, Kec. Balung</v>
          </cell>
          <cell r="P1912" t="str">
            <v>Jember</v>
          </cell>
          <cell r="Q1912" t="str">
            <v>Balung Kopi Krajan</v>
          </cell>
          <cell r="R1912" t="str">
            <v>Jember</v>
          </cell>
          <cell r="S1912" t="str">
            <v>L Kota3</v>
          </cell>
          <cell r="T1912" t="str">
            <v>Efendi</v>
          </cell>
          <cell r="U1912">
            <v>30</v>
          </cell>
        </row>
        <row r="1913">
          <cell r="E1913" t="str">
            <v>D25016185</v>
          </cell>
          <cell r="F1913"/>
          <cell r="G1913">
            <v>20000000</v>
          </cell>
          <cell r="H1913" t="str">
            <v>Yuyun</v>
          </cell>
          <cell r="I1913" t="str">
            <v>Farida</v>
          </cell>
          <cell r="J1913" t="str">
            <v>New 10/09/24</v>
          </cell>
          <cell r="K1913" t="str">
            <v>CBD</v>
          </cell>
          <cell r="L1913" t="str">
            <v>CIPT05</v>
          </cell>
          <cell r="M1913" t="str">
            <v>Cipta Tani/Mohammad Rohim</v>
          </cell>
          <cell r="N1913" t="str">
            <v>Mohammad Rohim</v>
          </cell>
          <cell r="O1913" t="str">
            <v>Dusun balung Kopi Krajan RT.003/RW.003, Kel. Balungkidul, Kec. Balung</v>
          </cell>
          <cell r="P1913" t="str">
            <v>Jember</v>
          </cell>
          <cell r="Q1913" t="str">
            <v>Balung Kopi Krajan</v>
          </cell>
          <cell r="R1913" t="str">
            <v>Jember</v>
          </cell>
          <cell r="S1913" t="str">
            <v>L Kota3</v>
          </cell>
          <cell r="T1913" t="str">
            <v>Efendi</v>
          </cell>
          <cell r="U1913">
            <v>30</v>
          </cell>
        </row>
        <row r="1914">
          <cell r="E1914" t="str">
            <v>D25011577</v>
          </cell>
          <cell r="F1914"/>
          <cell r="G1914">
            <v>100000000</v>
          </cell>
          <cell r="H1914" t="str">
            <v>Zakia</v>
          </cell>
          <cell r="I1914" t="str">
            <v>Tiya</v>
          </cell>
          <cell r="J1914"/>
          <cell r="K1914" t="str">
            <v>KU</v>
          </cell>
          <cell r="L1914" t="str">
            <v>COKR01</v>
          </cell>
          <cell r="M1914" t="str">
            <v>Cokro Kembang</v>
          </cell>
          <cell r="N1914" t="str">
            <v>Hasni Junaidi Fadilah</v>
          </cell>
          <cell r="O1914" t="str">
            <v>Dsn. Kepuh, RT.001/RW.002, Kepuh, Papar, Kab. Kediri</v>
          </cell>
          <cell r="P1914" t="str">
            <v>Kediri</v>
          </cell>
          <cell r="Q1914" t="str">
            <v>Baturiti</v>
          </cell>
          <cell r="R1914" t="str">
            <v>Bali</v>
          </cell>
          <cell r="S1914" t="str">
            <v>S Bali2</v>
          </cell>
          <cell r="T1914" t="str">
            <v>Wira</v>
          </cell>
          <cell r="U1914">
            <v>30</v>
          </cell>
        </row>
        <row r="1915">
          <cell r="E1915" t="str">
            <v>D25012588</v>
          </cell>
          <cell r="F1915"/>
          <cell r="G1915">
            <v>100000000</v>
          </cell>
          <cell r="H1915" t="str">
            <v>Zakia</v>
          </cell>
          <cell r="I1915" t="str">
            <v>Tiya</v>
          </cell>
          <cell r="J1915"/>
          <cell r="K1915" t="str">
            <v>KU</v>
          </cell>
          <cell r="L1915" t="str">
            <v>COKR01</v>
          </cell>
          <cell r="M1915" t="str">
            <v>Cokro Kembang</v>
          </cell>
          <cell r="N1915" t="str">
            <v>Hasni Junaidi Fadilah</v>
          </cell>
          <cell r="O1915" t="str">
            <v>Dsn. Kepuh, RT.001/RW.002, Kepuh, Papar, Kab. Kediri</v>
          </cell>
          <cell r="P1915" t="str">
            <v>Kediri</v>
          </cell>
          <cell r="Q1915" t="str">
            <v>Baturiti</v>
          </cell>
          <cell r="R1915" t="str">
            <v>Bali</v>
          </cell>
          <cell r="S1915" t="str">
            <v>S Bali2</v>
          </cell>
          <cell r="T1915" t="str">
            <v>Wira</v>
          </cell>
          <cell r="U1915">
            <v>30</v>
          </cell>
        </row>
        <row r="1916">
          <cell r="E1916" t="str">
            <v>B25010607</v>
          </cell>
          <cell r="F1916"/>
          <cell r="G1916">
            <v>100000000</v>
          </cell>
          <cell r="H1916" t="str">
            <v>Zakia</v>
          </cell>
          <cell r="I1916" t="str">
            <v>Tiya</v>
          </cell>
          <cell r="J1916"/>
          <cell r="K1916" t="str">
            <v>KU</v>
          </cell>
          <cell r="L1916" t="str">
            <v>COKR01</v>
          </cell>
          <cell r="M1916" t="str">
            <v>Cokro Kembang</v>
          </cell>
          <cell r="N1916" t="str">
            <v>Hasni Junaidi Fadilah</v>
          </cell>
          <cell r="O1916" t="str">
            <v>Dsn. Kepuh, RT.001/RW.002, Kepuh, Papar, Kab. Kediri</v>
          </cell>
          <cell r="P1916" t="str">
            <v>Kediri</v>
          </cell>
          <cell r="Q1916" t="str">
            <v>Baturiti</v>
          </cell>
          <cell r="R1916" t="str">
            <v>Bali</v>
          </cell>
          <cell r="S1916" t="str">
            <v>S Bali2</v>
          </cell>
          <cell r="T1916" t="str">
            <v>Wira</v>
          </cell>
          <cell r="U1916">
            <v>30</v>
          </cell>
        </row>
        <row r="1917">
          <cell r="E1917" t="str">
            <v>B25010652</v>
          </cell>
          <cell r="F1917"/>
          <cell r="G1917">
            <v>100000000</v>
          </cell>
          <cell r="H1917" t="str">
            <v>Zakia</v>
          </cell>
          <cell r="I1917" t="str">
            <v>Tiya</v>
          </cell>
          <cell r="J1917"/>
          <cell r="K1917" t="str">
            <v>KU</v>
          </cell>
          <cell r="L1917" t="str">
            <v>COKR01</v>
          </cell>
          <cell r="M1917" t="str">
            <v>Cokro Kembang</v>
          </cell>
          <cell r="N1917" t="str">
            <v>Hasni Junaidi Fadilah</v>
          </cell>
          <cell r="O1917" t="str">
            <v>Dsn. Kepuh, RT.001/RW.002, Kepuh, Papar, Kab. Kediri</v>
          </cell>
          <cell r="P1917" t="str">
            <v>Kediri</v>
          </cell>
          <cell r="Q1917" t="str">
            <v>Baturiti</v>
          </cell>
          <cell r="R1917" t="str">
            <v>Bali</v>
          </cell>
          <cell r="S1917" t="str">
            <v>S Bali2</v>
          </cell>
          <cell r="T1917" t="str">
            <v>Wira</v>
          </cell>
          <cell r="U1917">
            <v>30</v>
          </cell>
        </row>
        <row r="1918">
          <cell r="E1918" t="str">
            <v>B25011583</v>
          </cell>
          <cell r="F1918"/>
          <cell r="G1918">
            <v>100000000</v>
          </cell>
          <cell r="H1918" t="str">
            <v>Zakia</v>
          </cell>
          <cell r="I1918" t="str">
            <v>Tiya</v>
          </cell>
          <cell r="J1918"/>
          <cell r="K1918" t="str">
            <v>KU</v>
          </cell>
          <cell r="L1918" t="str">
            <v>COKR01</v>
          </cell>
          <cell r="M1918" t="str">
            <v>Cokro Kembang</v>
          </cell>
          <cell r="N1918" t="str">
            <v>Hasni Junaidi Fadilah</v>
          </cell>
          <cell r="O1918" t="str">
            <v>Dsn. Kepuh, RT.001/RW.002, Kepuh, Papar, Kab. Kediri</v>
          </cell>
          <cell r="P1918" t="str">
            <v>Kediri</v>
          </cell>
          <cell r="Q1918" t="str">
            <v>Baturiti</v>
          </cell>
          <cell r="R1918" t="str">
            <v>Bali</v>
          </cell>
          <cell r="S1918" t="str">
            <v>S Bali2</v>
          </cell>
          <cell r="T1918" t="str">
            <v>Wira</v>
          </cell>
          <cell r="U1918">
            <v>30</v>
          </cell>
        </row>
        <row r="1919">
          <cell r="E1919" t="str">
            <v>D25014283</v>
          </cell>
          <cell r="F1919"/>
          <cell r="G1919">
            <v>100000000</v>
          </cell>
          <cell r="H1919" t="str">
            <v>Zakia</v>
          </cell>
          <cell r="I1919" t="str">
            <v>Tiya</v>
          </cell>
          <cell r="J1919"/>
          <cell r="K1919" t="str">
            <v>KU</v>
          </cell>
          <cell r="L1919" t="str">
            <v>COKR01</v>
          </cell>
          <cell r="M1919" t="str">
            <v>Cokro Kembang</v>
          </cell>
          <cell r="N1919" t="str">
            <v>Hasni Junaidi Fadilah</v>
          </cell>
          <cell r="O1919" t="str">
            <v>Dsn. Kepuh, RT.001/RW.002, Kepuh, Papar, Kab. Kediri</v>
          </cell>
          <cell r="P1919" t="str">
            <v>Kediri</v>
          </cell>
          <cell r="Q1919" t="str">
            <v>Baturiti</v>
          </cell>
          <cell r="R1919" t="str">
            <v>Bali</v>
          </cell>
          <cell r="S1919" t="str">
            <v>S Bali2</v>
          </cell>
          <cell r="T1919" t="str">
            <v>Wira</v>
          </cell>
          <cell r="U1919">
            <v>30</v>
          </cell>
        </row>
        <row r="1920">
          <cell r="E1920" t="str">
            <v>D25012208</v>
          </cell>
          <cell r="F1920"/>
          <cell r="G1920">
            <v>3000000000</v>
          </cell>
          <cell r="H1920" t="str">
            <v>Yuyun</v>
          </cell>
          <cell r="I1920" t="str">
            <v>Syahra</v>
          </cell>
          <cell r="J1920" t="str">
            <v xml:space="preserve"> new 18/09/2023</v>
          </cell>
          <cell r="K1920" t="str">
            <v>KU</v>
          </cell>
          <cell r="L1920" t="str">
            <v>FAST35</v>
          </cell>
          <cell r="M1920" t="str">
            <v>Crop Agrowealth Industries, CV</v>
          </cell>
          <cell r="N1920" t="str">
            <v>Crop Agrowealth Industries, CV</v>
          </cell>
          <cell r="O1920" t="str">
            <v>Jl. Ahmad Yani, Kel. Wonojati, Kec. Jenggawah</v>
          </cell>
          <cell r="P1920" t="str">
            <v>Jember</v>
          </cell>
          <cell r="Q1920" t="str">
            <v>Jl. Merak No. 88 RT.001/RW.005, Kel. Jubung, Kec. Sukorambi</v>
          </cell>
          <cell r="R1920" t="str">
            <v>Jember</v>
          </cell>
          <cell r="S1920" t="str">
            <v>J Group</v>
          </cell>
          <cell r="T1920" t="str">
            <v>Wira</v>
          </cell>
          <cell r="U1920">
            <v>30</v>
          </cell>
        </row>
        <row r="1921">
          <cell r="E1921" t="str">
            <v>B25010357</v>
          </cell>
          <cell r="F1921"/>
          <cell r="G1921">
            <v>3000000000</v>
          </cell>
          <cell r="H1921" t="str">
            <v>Yuyun</v>
          </cell>
          <cell r="I1921" t="str">
            <v>Syahra</v>
          </cell>
          <cell r="J1921" t="str">
            <v xml:space="preserve"> new 18/09/2023</v>
          </cell>
          <cell r="K1921" t="str">
            <v>KU</v>
          </cell>
          <cell r="L1921" t="str">
            <v>FAST35</v>
          </cell>
          <cell r="M1921" t="str">
            <v>Crop Agrowealth Industries, CV</v>
          </cell>
          <cell r="N1921" t="str">
            <v>Crop Agrowealth Industries, CV</v>
          </cell>
          <cell r="O1921" t="str">
            <v>Jl. Ahmad Yani, Kel. Wonojati, Kec. Jenggawah</v>
          </cell>
          <cell r="P1921" t="str">
            <v>Jember</v>
          </cell>
          <cell r="Q1921" t="str">
            <v>Jl. Merak No. 88 RT.001/RW.005, Kel. Jubung, Kec. Sukorambi</v>
          </cell>
          <cell r="R1921" t="str">
            <v>Jember</v>
          </cell>
          <cell r="S1921" t="str">
            <v>J Group</v>
          </cell>
          <cell r="T1921" t="str">
            <v>Wira</v>
          </cell>
          <cell r="U1921">
            <v>30</v>
          </cell>
        </row>
        <row r="1922">
          <cell r="E1922" t="str">
            <v>D25012349</v>
          </cell>
          <cell r="F1922"/>
          <cell r="G1922">
            <v>3000000000</v>
          </cell>
          <cell r="H1922" t="str">
            <v>Yuyun</v>
          </cell>
          <cell r="I1922" t="str">
            <v>Syahra</v>
          </cell>
          <cell r="J1922" t="str">
            <v xml:space="preserve"> new 18/09/2023</v>
          </cell>
          <cell r="K1922" t="str">
            <v>KU</v>
          </cell>
          <cell r="L1922" t="str">
            <v>FAST35</v>
          </cell>
          <cell r="M1922" t="str">
            <v>Crop Agrowealth Industries, CV</v>
          </cell>
          <cell r="N1922" t="str">
            <v>Crop Agrowealth Industries, CV</v>
          </cell>
          <cell r="O1922" t="str">
            <v>Jl. Ahmad Yani, Kel. Wonojati, Kec. Jenggawah</v>
          </cell>
          <cell r="P1922" t="str">
            <v>Jember</v>
          </cell>
          <cell r="Q1922" t="str">
            <v>Jl. Merak No. 88 RT.001/RW.005, Kel. Jubung, Kec. Sukorambi</v>
          </cell>
          <cell r="R1922" t="str">
            <v>Jember</v>
          </cell>
          <cell r="S1922" t="str">
            <v>J Group</v>
          </cell>
          <cell r="T1922" t="str">
            <v>Wira</v>
          </cell>
          <cell r="U1922">
            <v>30</v>
          </cell>
        </row>
        <row r="1923">
          <cell r="E1923" t="str">
            <v>B25010495</v>
          </cell>
          <cell r="F1923"/>
          <cell r="G1923">
            <v>3000000000</v>
          </cell>
          <cell r="H1923" t="str">
            <v>Yuyun</v>
          </cell>
          <cell r="I1923" t="str">
            <v>Syahra</v>
          </cell>
          <cell r="J1923" t="str">
            <v xml:space="preserve"> new 18/09/2023</v>
          </cell>
          <cell r="K1923" t="str">
            <v>KU</v>
          </cell>
          <cell r="L1923" t="str">
            <v>FAST35</v>
          </cell>
          <cell r="M1923" t="str">
            <v>Crop Agrowealth Industries, CV</v>
          </cell>
          <cell r="N1923" t="str">
            <v>Crop Agrowealth Industries, CV</v>
          </cell>
          <cell r="O1923" t="str">
            <v>Jl. Ahmad Yani, Kel. Wonojati, Kec. Jenggawah</v>
          </cell>
          <cell r="P1923" t="str">
            <v>Jember</v>
          </cell>
          <cell r="Q1923" t="str">
            <v>Jl. Merak No. 88 RT.001/RW.005, Kel. Jubung, Kec. Sukorambi</v>
          </cell>
          <cell r="R1923" t="str">
            <v>Jember</v>
          </cell>
          <cell r="S1923" t="str">
            <v>J Group</v>
          </cell>
          <cell r="T1923" t="str">
            <v>Wira</v>
          </cell>
          <cell r="U1923">
            <v>30</v>
          </cell>
        </row>
        <row r="1924">
          <cell r="E1924" t="str">
            <v>B25010505</v>
          </cell>
          <cell r="F1924"/>
          <cell r="G1924">
            <v>3000000000</v>
          </cell>
          <cell r="H1924" t="str">
            <v>Yuyun</v>
          </cell>
          <cell r="I1924" t="str">
            <v>Syahra</v>
          </cell>
          <cell r="J1924" t="str">
            <v xml:space="preserve"> new 18/09/2023</v>
          </cell>
          <cell r="K1924" t="str">
            <v>KU</v>
          </cell>
          <cell r="L1924" t="str">
            <v>FAST35</v>
          </cell>
          <cell r="M1924" t="str">
            <v>Crop Agrowealth Industries, CV</v>
          </cell>
          <cell r="N1924" t="str">
            <v>Crop Agrowealth Industries, CV</v>
          </cell>
          <cell r="O1924" t="str">
            <v>Jl. Ahmad Yani, Kel. Wonojati, Kec. Jenggawah</v>
          </cell>
          <cell r="P1924" t="str">
            <v>Jember</v>
          </cell>
          <cell r="Q1924" t="str">
            <v>Jl. Merak No. 88 RT.001/RW.005, Kel. Jubung, Kec. Sukorambi</v>
          </cell>
          <cell r="R1924" t="str">
            <v>Jember</v>
          </cell>
          <cell r="S1924" t="str">
            <v>J Group</v>
          </cell>
          <cell r="T1924" t="str">
            <v>Wira</v>
          </cell>
          <cell r="U1924">
            <v>30</v>
          </cell>
        </row>
        <row r="1925">
          <cell r="E1925" t="str">
            <v>B25010506</v>
          </cell>
          <cell r="F1925"/>
          <cell r="G1925">
            <v>3000000000</v>
          </cell>
          <cell r="H1925" t="str">
            <v>Yuyun</v>
          </cell>
          <cell r="I1925" t="str">
            <v>Syahra</v>
          </cell>
          <cell r="J1925" t="str">
            <v xml:space="preserve"> new 18/09/2023</v>
          </cell>
          <cell r="K1925" t="str">
            <v>KU</v>
          </cell>
          <cell r="L1925" t="str">
            <v>FAST35</v>
          </cell>
          <cell r="M1925" t="str">
            <v>Crop Agrowealth Industries, CV</v>
          </cell>
          <cell r="N1925" t="str">
            <v>Crop Agrowealth Industries, CV</v>
          </cell>
          <cell r="O1925" t="str">
            <v>Jl. Ahmad Yani, Kel. Wonojati, Kec. Jenggawah</v>
          </cell>
          <cell r="P1925" t="str">
            <v>Jember</v>
          </cell>
          <cell r="Q1925" t="str">
            <v>Jl. Merak No. 88 RT.001/RW.005, Kel. Jubung, Kec. Sukorambi</v>
          </cell>
          <cell r="R1925" t="str">
            <v>Jember</v>
          </cell>
          <cell r="S1925" t="str">
            <v>J Group</v>
          </cell>
          <cell r="T1925" t="str">
            <v>Wira</v>
          </cell>
          <cell r="U1925">
            <v>30</v>
          </cell>
        </row>
        <row r="1926">
          <cell r="E1926" t="str">
            <v>B25010506</v>
          </cell>
          <cell r="F1926"/>
          <cell r="G1926">
            <v>3000000000</v>
          </cell>
          <cell r="H1926" t="str">
            <v>Yuyun</v>
          </cell>
          <cell r="I1926" t="str">
            <v>Syahra</v>
          </cell>
          <cell r="J1926" t="str">
            <v xml:space="preserve"> new 18/09/2023</v>
          </cell>
          <cell r="K1926" t="str">
            <v>KU</v>
          </cell>
          <cell r="L1926" t="str">
            <v>FAST35</v>
          </cell>
          <cell r="M1926" t="str">
            <v>Crop Agrowealth Industries, CV</v>
          </cell>
          <cell r="N1926" t="str">
            <v>Crop Agrowealth Industries, CV</v>
          </cell>
          <cell r="O1926" t="str">
            <v>Jl. Ahmad Yani, Kel. Wonojati, Kec. Jenggawah</v>
          </cell>
          <cell r="P1926" t="str">
            <v>Jember</v>
          </cell>
          <cell r="Q1926" t="str">
            <v>Jl. Merak No. 88 RT.001/RW.005, Kel. Jubung, Kec. Sukorambi</v>
          </cell>
          <cell r="R1926" t="str">
            <v>Jember</v>
          </cell>
          <cell r="S1926" t="str">
            <v>J Group</v>
          </cell>
          <cell r="T1926" t="str">
            <v>Wira</v>
          </cell>
          <cell r="U1926">
            <v>30</v>
          </cell>
        </row>
        <row r="1927">
          <cell r="E1927" t="str">
            <v>D25013384</v>
          </cell>
          <cell r="F1927"/>
          <cell r="G1927">
            <v>3000000000</v>
          </cell>
          <cell r="H1927" t="str">
            <v>Yuyun</v>
          </cell>
          <cell r="I1927" t="str">
            <v>Syahra</v>
          </cell>
          <cell r="J1927" t="str">
            <v xml:space="preserve"> new 18/09/2023</v>
          </cell>
          <cell r="K1927" t="str">
            <v>KU</v>
          </cell>
          <cell r="L1927" t="str">
            <v>FAST35</v>
          </cell>
          <cell r="M1927" t="str">
            <v>Crop Agrowealth Industries, CV</v>
          </cell>
          <cell r="N1927" t="str">
            <v>Crop Agrowealth Industries, CV</v>
          </cell>
          <cell r="O1927" t="str">
            <v>Jl. Ahmad Yani, Kel. Wonojati, Kec. Jenggawah</v>
          </cell>
          <cell r="P1927" t="str">
            <v>Jember</v>
          </cell>
          <cell r="Q1927" t="str">
            <v>Jl. Merak No. 88 RT.001/RW.005, Kel. Jubung, Kec. Sukorambi</v>
          </cell>
          <cell r="R1927" t="str">
            <v>Jember</v>
          </cell>
          <cell r="S1927" t="str">
            <v>J Group</v>
          </cell>
          <cell r="T1927" t="str">
            <v>Wira</v>
          </cell>
          <cell r="U1927">
            <v>30</v>
          </cell>
        </row>
        <row r="1928">
          <cell r="E1928" t="str">
            <v>D25013385</v>
          </cell>
          <cell r="F1928"/>
          <cell r="G1928">
            <v>3000000000</v>
          </cell>
          <cell r="H1928" t="str">
            <v>Yuyun</v>
          </cell>
          <cell r="I1928" t="str">
            <v>Syahra</v>
          </cell>
          <cell r="J1928" t="str">
            <v xml:space="preserve"> new 18/09/2023</v>
          </cell>
          <cell r="K1928" t="str">
            <v>KU</v>
          </cell>
          <cell r="L1928" t="str">
            <v>FAST35</v>
          </cell>
          <cell r="M1928" t="str">
            <v>Crop Agrowealth Industries, CV</v>
          </cell>
          <cell r="N1928" t="str">
            <v>Crop Agrowealth Industries, CV</v>
          </cell>
          <cell r="O1928" t="str">
            <v>Jl. Ahmad Yani, Kel. Wonojati, Kec. Jenggawah</v>
          </cell>
          <cell r="P1928" t="str">
            <v>Jember</v>
          </cell>
          <cell r="Q1928" t="str">
            <v>Jl. Merak No. 88 RT.001/RW.005, Kel. Jubung, Kec. Sukorambi</v>
          </cell>
          <cell r="R1928" t="str">
            <v>Jember</v>
          </cell>
          <cell r="S1928" t="str">
            <v>J Group</v>
          </cell>
          <cell r="T1928" t="str">
            <v>Wira</v>
          </cell>
          <cell r="U1928">
            <v>30</v>
          </cell>
        </row>
        <row r="1929">
          <cell r="E1929" t="str">
            <v>D25013452</v>
          </cell>
          <cell r="F1929"/>
          <cell r="G1929">
            <v>3000000000</v>
          </cell>
          <cell r="H1929" t="str">
            <v>Yuyun</v>
          </cell>
          <cell r="I1929" t="str">
            <v>Syahra</v>
          </cell>
          <cell r="J1929" t="str">
            <v xml:space="preserve"> new 18/09/2023</v>
          </cell>
          <cell r="K1929" t="str">
            <v>KU</v>
          </cell>
          <cell r="L1929" t="str">
            <v>FAST35</v>
          </cell>
          <cell r="M1929" t="str">
            <v>Crop Agrowealth Industries, CV</v>
          </cell>
          <cell r="N1929" t="str">
            <v>Crop Agrowealth Industries, CV</v>
          </cell>
          <cell r="O1929" t="str">
            <v>Jl. Ahmad Yani, Kel. Wonojati, Kec. Jenggawah</v>
          </cell>
          <cell r="P1929" t="str">
            <v>Jember</v>
          </cell>
          <cell r="Q1929" t="str">
            <v>Jl. Merak No. 88 RT.001/RW.005, Kel. Jubung, Kec. Sukorambi</v>
          </cell>
          <cell r="R1929" t="str">
            <v>Jember</v>
          </cell>
          <cell r="S1929" t="str">
            <v>J Group</v>
          </cell>
          <cell r="T1929" t="str">
            <v>Wira</v>
          </cell>
          <cell r="U1929">
            <v>30</v>
          </cell>
        </row>
        <row r="1930">
          <cell r="E1930" t="str">
            <v>D25013546</v>
          </cell>
          <cell r="F1930"/>
          <cell r="G1930">
            <v>1000</v>
          </cell>
          <cell r="H1930" t="str">
            <v>Yuyun</v>
          </cell>
          <cell r="I1930" t="str">
            <v>Farida</v>
          </cell>
          <cell r="J1930" t="str">
            <v>New 30/08/25</v>
          </cell>
          <cell r="K1930" t="str">
            <v>KU</v>
          </cell>
          <cell r="L1930" t="str">
            <v>CULT01</v>
          </cell>
          <cell r="M1930" t="str">
            <v>Culture Agritech Interzona, CV</v>
          </cell>
          <cell r="N1930" t="str">
            <v>Culture Agritech Interzona, CV</v>
          </cell>
          <cell r="O1930" t="str">
            <v>Perumahan Purimas Jl. Legian Paradise, H-10,11, Gunung Anyar, Gunung Anyar</v>
          </cell>
          <cell r="P1930" t="str">
            <v>Surabaya</v>
          </cell>
          <cell r="Q1930" t="str">
            <v>Jl. Merak 88 Jubung Lor, Sukorambi</v>
          </cell>
          <cell r="R1930" t="str">
            <v>Jember</v>
          </cell>
          <cell r="S1930" t="str">
            <v>L Kota1</v>
          </cell>
          <cell r="T1930" t="str">
            <v>Wira</v>
          </cell>
          <cell r="U1930">
            <v>30</v>
          </cell>
        </row>
        <row r="1931">
          <cell r="E1931" t="str">
            <v>D25013909</v>
          </cell>
          <cell r="F1931"/>
          <cell r="G1931">
            <v>1000</v>
          </cell>
          <cell r="H1931" t="str">
            <v>Yuyun</v>
          </cell>
          <cell r="I1931" t="str">
            <v>Farida</v>
          </cell>
          <cell r="J1931" t="str">
            <v>New 30/08/25</v>
          </cell>
          <cell r="K1931" t="str">
            <v>KU</v>
          </cell>
          <cell r="L1931" t="str">
            <v>CULT01</v>
          </cell>
          <cell r="M1931" t="str">
            <v>Culture Agritech Interzona, CV</v>
          </cell>
          <cell r="N1931" t="str">
            <v>Culture Agritech Interzona, CV</v>
          </cell>
          <cell r="O1931" t="str">
            <v>Perumahan Purimas Jl. Legian Paradise, H-10,11, Gunung Anyar, Gunung Anyar</v>
          </cell>
          <cell r="P1931" t="str">
            <v>Surabaya</v>
          </cell>
          <cell r="Q1931" t="str">
            <v>Jl. Merak 88 Jubung Lor, Sukorambi</v>
          </cell>
          <cell r="R1931" t="str">
            <v>Jember</v>
          </cell>
          <cell r="S1931" t="str">
            <v>L Kota1</v>
          </cell>
          <cell r="T1931" t="str">
            <v>Wira</v>
          </cell>
          <cell r="U1931">
            <v>30</v>
          </cell>
        </row>
        <row r="1932">
          <cell r="E1932" t="str">
            <v>D24007843</v>
          </cell>
          <cell r="F1932"/>
          <cell r="G1932">
            <v>3500000000</v>
          </cell>
          <cell r="H1932" t="str">
            <v>Reni</v>
          </cell>
          <cell r="I1932" t="str">
            <v>Farida</v>
          </cell>
          <cell r="J1932"/>
          <cell r="K1932" t="str">
            <v>KU</v>
          </cell>
          <cell r="L1932" t="str">
            <v>SURY08</v>
          </cell>
          <cell r="M1932" t="str">
            <v>CV. Surya Agro Pradhana</v>
          </cell>
          <cell r="N1932" t="str">
            <v>Surya Agro Pradhana, CV</v>
          </cell>
          <cell r="O1932" t="str">
            <v>Jl. Raya Segodorejo, RT.001/RW.003 Segodorejo, Sumobito, Kab. Jombang</v>
          </cell>
          <cell r="P1932" t="str">
            <v>Jombang</v>
          </cell>
          <cell r="Q1932" t="str">
            <v>Dsn. Ingas Pendowo, RT.001/RW.003 Sumobito, Kab. Jombang</v>
          </cell>
          <cell r="R1932" t="str">
            <v>Jombang</v>
          </cell>
          <cell r="S1932" t="str">
            <v>D Barat2</v>
          </cell>
          <cell r="T1932" t="str">
            <v>Tomi</v>
          </cell>
          <cell r="U1932">
            <v>463</v>
          </cell>
        </row>
        <row r="1933">
          <cell r="E1933" t="str">
            <v>D24007843</v>
          </cell>
          <cell r="F1933"/>
          <cell r="G1933">
            <v>3500000000</v>
          </cell>
          <cell r="H1933" t="str">
            <v>Reni</v>
          </cell>
          <cell r="I1933" t="str">
            <v>Farida</v>
          </cell>
          <cell r="J1933"/>
          <cell r="K1933" t="str">
            <v>KU</v>
          </cell>
          <cell r="L1933" t="str">
            <v>SURY08</v>
          </cell>
          <cell r="M1933" t="str">
            <v>CV. Surya Agro Pradhana</v>
          </cell>
          <cell r="N1933" t="str">
            <v>Surya Agro Pradhana, CV</v>
          </cell>
          <cell r="O1933" t="str">
            <v>Jl. Raya Segodorejo, RT.001/RW.003 Segodorejo, Sumobito, Kab. Jombang</v>
          </cell>
          <cell r="P1933" t="str">
            <v>Jombang</v>
          </cell>
          <cell r="Q1933" t="str">
            <v>Dsn. Ingas Pendowo, RT.001/RW.003 Sumobito, Kab. Jombang</v>
          </cell>
          <cell r="R1933" t="str">
            <v>Jombang</v>
          </cell>
          <cell r="S1933" t="str">
            <v>D Barat2</v>
          </cell>
          <cell r="T1933" t="str">
            <v>Tomi</v>
          </cell>
          <cell r="U1933">
            <v>463</v>
          </cell>
        </row>
        <row r="1934">
          <cell r="E1934" t="str">
            <v>D24007843</v>
          </cell>
          <cell r="F1934"/>
          <cell r="G1934">
            <v>3500000000</v>
          </cell>
          <cell r="H1934" t="str">
            <v>Reni</v>
          </cell>
          <cell r="I1934" t="str">
            <v>Farida</v>
          </cell>
          <cell r="J1934"/>
          <cell r="K1934" t="str">
            <v>KU</v>
          </cell>
          <cell r="L1934" t="str">
            <v>SURY08</v>
          </cell>
          <cell r="M1934" t="str">
            <v>CV. Surya Agro Pradhana</v>
          </cell>
          <cell r="N1934" t="str">
            <v>Surya Agro Pradhana, CV</v>
          </cell>
          <cell r="O1934" t="str">
            <v>Jl. Raya Segodorejo, RT.001/RW.003 Segodorejo, Sumobito, Kab. Jombang</v>
          </cell>
          <cell r="P1934" t="str">
            <v>Jombang</v>
          </cell>
          <cell r="Q1934" t="str">
            <v>Dsn. Ingas Pendowo, RT.001/RW.003 Sumobito, Kab. Jombang</v>
          </cell>
          <cell r="R1934" t="str">
            <v>Jombang</v>
          </cell>
          <cell r="S1934" t="str">
            <v>D Barat2</v>
          </cell>
          <cell r="T1934" t="str">
            <v>Tomi</v>
          </cell>
          <cell r="U1934">
            <v>463</v>
          </cell>
        </row>
        <row r="1935">
          <cell r="E1935" t="str">
            <v>T24001625</v>
          </cell>
          <cell r="F1935"/>
          <cell r="G1935">
            <v>3500000000</v>
          </cell>
          <cell r="H1935" t="str">
            <v>Reni</v>
          </cell>
          <cell r="I1935" t="str">
            <v>Farida</v>
          </cell>
          <cell r="J1935"/>
          <cell r="K1935" t="str">
            <v>KU</v>
          </cell>
          <cell r="L1935" t="str">
            <v>SURY08</v>
          </cell>
          <cell r="M1935" t="str">
            <v>CV. Surya Agro Pradhana</v>
          </cell>
          <cell r="N1935" t="str">
            <v>Surya Agro Pradhana, CV</v>
          </cell>
          <cell r="O1935" t="str">
            <v>Jl. Raya Segodorejo, RT.001/RW.003 Segodorejo, Sumobito, Kab. Jombang</v>
          </cell>
          <cell r="P1935" t="str">
            <v>Jombang</v>
          </cell>
          <cell r="Q1935" t="str">
            <v>Dsn. Ingas Pendowo, RT.001/RW.003 Sumobito, Kab. Jombang</v>
          </cell>
          <cell r="R1935" t="str">
            <v>Jombang</v>
          </cell>
          <cell r="S1935" t="str">
            <v>D Barat2</v>
          </cell>
          <cell r="T1935" t="str">
            <v>Tomi</v>
          </cell>
          <cell r="U1935">
            <v>398</v>
          </cell>
        </row>
        <row r="1936">
          <cell r="E1936" t="str">
            <v>D24017664</v>
          </cell>
          <cell r="F1936"/>
          <cell r="G1936">
            <v>3500000000</v>
          </cell>
          <cell r="H1936" t="str">
            <v>Reni</v>
          </cell>
          <cell r="I1936" t="str">
            <v>Farida</v>
          </cell>
          <cell r="J1936"/>
          <cell r="K1936" t="str">
            <v>KU</v>
          </cell>
          <cell r="L1936" t="str">
            <v>SURY08</v>
          </cell>
          <cell r="M1936" t="str">
            <v>CV. Surya Agro Pradhana</v>
          </cell>
          <cell r="N1936" t="str">
            <v>Surya Agro Pradhana, CV</v>
          </cell>
          <cell r="O1936" t="str">
            <v>Jl. Raya Segodorejo, RT.001/RW.003 Segodorejo, Sumobito, Kab. Jombang</v>
          </cell>
          <cell r="P1936" t="str">
            <v>Jombang</v>
          </cell>
          <cell r="Q1936" t="str">
            <v>Dsn. Ingas Pendowo, RT.001/RW.003 Sumobito, Kab. Jombang</v>
          </cell>
          <cell r="R1936" t="str">
            <v>Jombang</v>
          </cell>
          <cell r="S1936" t="str">
            <v>D Barat2</v>
          </cell>
          <cell r="T1936" t="str">
            <v>Tomi</v>
          </cell>
          <cell r="U1936">
            <v>370</v>
          </cell>
        </row>
        <row r="1937">
          <cell r="E1937" t="str">
            <v>D25009892</v>
          </cell>
          <cell r="F1937"/>
          <cell r="G1937">
            <v>3500000000</v>
          </cell>
          <cell r="H1937" t="str">
            <v>Reni</v>
          </cell>
          <cell r="I1937" t="str">
            <v>Farida</v>
          </cell>
          <cell r="J1937"/>
          <cell r="K1937" t="str">
            <v>KU</v>
          </cell>
          <cell r="L1937" t="str">
            <v>SURY08</v>
          </cell>
          <cell r="M1937" t="str">
            <v>CV. Surya Agro Pradhana</v>
          </cell>
          <cell r="N1937" t="str">
            <v>Surya Agro Pradhana, CV</v>
          </cell>
          <cell r="O1937" t="str">
            <v>Jl. Raya Segodorejo, RT.001/RW.003 Segodorejo, Sumobito, Kab. Jombang</v>
          </cell>
          <cell r="P1937" t="str">
            <v>Jombang</v>
          </cell>
          <cell r="Q1937" t="str">
            <v>Dsn. Ingas Pendowo, RT.001/RW.003 Sumobito, Kab. Jombang</v>
          </cell>
          <cell r="R1937" t="str">
            <v>Jombang</v>
          </cell>
          <cell r="S1937" t="str">
            <v>D Barat2</v>
          </cell>
          <cell r="T1937" t="str">
            <v>Tomi</v>
          </cell>
          <cell r="U1937">
            <v>60</v>
          </cell>
        </row>
        <row r="1938">
          <cell r="E1938" t="str">
            <v>D25009892</v>
          </cell>
          <cell r="F1938"/>
          <cell r="G1938">
            <v>3500000000</v>
          </cell>
          <cell r="H1938" t="str">
            <v>Reni</v>
          </cell>
          <cell r="I1938" t="str">
            <v>Farida</v>
          </cell>
          <cell r="J1938"/>
          <cell r="K1938" t="str">
            <v>KU</v>
          </cell>
          <cell r="L1938" t="str">
            <v>SURY08</v>
          </cell>
          <cell r="M1938" t="str">
            <v>CV. Surya Agro Pradhana</v>
          </cell>
          <cell r="N1938" t="str">
            <v>Surya Agro Pradhana, CV</v>
          </cell>
          <cell r="O1938" t="str">
            <v>Jl. Raya Segodorejo, RT.001/RW.003 Segodorejo, Sumobito, Kab. Jombang</v>
          </cell>
          <cell r="P1938" t="str">
            <v>Jombang</v>
          </cell>
          <cell r="Q1938" t="str">
            <v>Dsn. Ingas Pendowo, RT.001/RW.003 Sumobito, Kab. Jombang</v>
          </cell>
          <cell r="R1938" t="str">
            <v>Jombang</v>
          </cell>
          <cell r="S1938" t="str">
            <v>D Barat2</v>
          </cell>
          <cell r="T1938" t="str">
            <v>Tomi</v>
          </cell>
          <cell r="U1938">
            <v>60</v>
          </cell>
        </row>
        <row r="1939">
          <cell r="E1939" t="str">
            <v>D25009892</v>
          </cell>
          <cell r="F1939"/>
          <cell r="G1939">
            <v>3500000000</v>
          </cell>
          <cell r="H1939" t="str">
            <v>Reni</v>
          </cell>
          <cell r="I1939" t="str">
            <v>Farida</v>
          </cell>
          <cell r="J1939"/>
          <cell r="K1939" t="str">
            <v>KU</v>
          </cell>
          <cell r="L1939" t="str">
            <v>SURY08</v>
          </cell>
          <cell r="M1939" t="str">
            <v>CV. Surya Agro Pradhana</v>
          </cell>
          <cell r="N1939" t="str">
            <v>Surya Agro Pradhana, CV</v>
          </cell>
          <cell r="O1939" t="str">
            <v>Jl. Raya Segodorejo, RT.001/RW.003 Segodorejo, Sumobito, Kab. Jombang</v>
          </cell>
          <cell r="P1939" t="str">
            <v>Jombang</v>
          </cell>
          <cell r="Q1939" t="str">
            <v>Dsn. Ingas Pendowo, RT.001/RW.003 Sumobito, Kab. Jombang</v>
          </cell>
          <cell r="R1939" t="str">
            <v>Jombang</v>
          </cell>
          <cell r="S1939" t="str">
            <v>D Barat2</v>
          </cell>
          <cell r="T1939" t="str">
            <v>Tomi</v>
          </cell>
          <cell r="U1939">
            <v>60</v>
          </cell>
        </row>
        <row r="1940">
          <cell r="E1940" t="str">
            <v>B25008426</v>
          </cell>
          <cell r="F1940"/>
          <cell r="G1940">
            <v>3500000000</v>
          </cell>
          <cell r="H1940" t="str">
            <v>Reni</v>
          </cell>
          <cell r="I1940" t="str">
            <v>Farida</v>
          </cell>
          <cell r="J1940"/>
          <cell r="K1940" t="str">
            <v>KU</v>
          </cell>
          <cell r="L1940" t="str">
            <v>SURY08</v>
          </cell>
          <cell r="M1940" t="str">
            <v>CV. Surya Agro Pradhana</v>
          </cell>
          <cell r="N1940" t="str">
            <v>Surya Agro Pradhana, CV</v>
          </cell>
          <cell r="O1940" t="str">
            <v>Jl. Raya Segodorejo, RT.001/RW.003 Segodorejo, Sumobito, Kab. Jombang</v>
          </cell>
          <cell r="P1940" t="str">
            <v>Jombang</v>
          </cell>
          <cell r="Q1940" t="str">
            <v>Dsn. Ingas Pendowo, RT.001/RW.003 Sumobito, Kab. Jombang</v>
          </cell>
          <cell r="R1940" t="str">
            <v>Jombang</v>
          </cell>
          <cell r="S1940" t="str">
            <v>D Barat2</v>
          </cell>
          <cell r="T1940" t="str">
            <v>Tomi</v>
          </cell>
          <cell r="U1940">
            <v>60</v>
          </cell>
        </row>
        <row r="1941">
          <cell r="E1941" t="str">
            <v>D25010730</v>
          </cell>
          <cell r="F1941"/>
          <cell r="G1941">
            <v>3500000000</v>
          </cell>
          <cell r="H1941" t="str">
            <v>Reni</v>
          </cell>
          <cell r="I1941" t="str">
            <v>Farida</v>
          </cell>
          <cell r="J1941"/>
          <cell r="K1941" t="str">
            <v>KU</v>
          </cell>
          <cell r="L1941" t="str">
            <v>SURY08</v>
          </cell>
          <cell r="M1941" t="str">
            <v>CV. Surya Agro Pradhana</v>
          </cell>
          <cell r="N1941" t="str">
            <v>Surya Agro Pradhana, CV</v>
          </cell>
          <cell r="O1941" t="str">
            <v>Jl. Raya Segodorejo, RT.001/RW.003 Segodorejo, Sumobito, Kab. Jombang</v>
          </cell>
          <cell r="P1941" t="str">
            <v>Jombang</v>
          </cell>
          <cell r="Q1941" t="str">
            <v>Dsn. Ingas Pendowo, RT.001/RW.003 Sumobito, Kab. Jombang</v>
          </cell>
          <cell r="R1941" t="str">
            <v>Jombang</v>
          </cell>
          <cell r="S1941" t="str">
            <v>D Barat2</v>
          </cell>
          <cell r="T1941" t="str">
            <v>Tomi</v>
          </cell>
          <cell r="U1941">
            <v>60</v>
          </cell>
        </row>
        <row r="1942">
          <cell r="E1942" t="str">
            <v>D25010845</v>
          </cell>
          <cell r="F1942"/>
          <cell r="G1942">
            <v>3500000000</v>
          </cell>
          <cell r="H1942" t="str">
            <v>Reni</v>
          </cell>
          <cell r="I1942" t="str">
            <v>Farida</v>
          </cell>
          <cell r="J1942"/>
          <cell r="K1942" t="str">
            <v>KU</v>
          </cell>
          <cell r="L1942" t="str">
            <v>SURY08</v>
          </cell>
          <cell r="M1942" t="str">
            <v>CV. Surya Agro Pradhana</v>
          </cell>
          <cell r="N1942" t="str">
            <v>Surya Agro Pradhana, CV</v>
          </cell>
          <cell r="O1942" t="str">
            <v>Jl. Raya Segodorejo, RT.001/RW.003 Segodorejo, Sumobito, Kab. Jombang</v>
          </cell>
          <cell r="P1942" t="str">
            <v>Jombang</v>
          </cell>
          <cell r="Q1942" t="str">
            <v>Dsn. Ingas Pendowo, RT.001/RW.003 Sumobito, Kab. Jombang</v>
          </cell>
          <cell r="R1942" t="str">
            <v>Jombang</v>
          </cell>
          <cell r="S1942" t="str">
            <v>D Barat2</v>
          </cell>
          <cell r="T1942" t="str">
            <v>Tomi</v>
          </cell>
          <cell r="U1942">
            <v>60</v>
          </cell>
        </row>
        <row r="1943">
          <cell r="E1943" t="str">
            <v>D25010845</v>
          </cell>
          <cell r="F1943"/>
          <cell r="G1943">
            <v>3500000000</v>
          </cell>
          <cell r="H1943" t="str">
            <v>Reni</v>
          </cell>
          <cell r="I1943" t="str">
            <v>Farida</v>
          </cell>
          <cell r="J1943"/>
          <cell r="K1943" t="str">
            <v>KU</v>
          </cell>
          <cell r="L1943" t="str">
            <v>SURY08</v>
          </cell>
          <cell r="M1943" t="str">
            <v>CV. Surya Agro Pradhana</v>
          </cell>
          <cell r="N1943" t="str">
            <v>Surya Agro Pradhana, CV</v>
          </cell>
          <cell r="O1943" t="str">
            <v>Jl. Raya Segodorejo, RT.001/RW.003 Segodorejo, Sumobito, Kab. Jombang</v>
          </cell>
          <cell r="P1943" t="str">
            <v>Jombang</v>
          </cell>
          <cell r="Q1943" t="str">
            <v>Dsn. Ingas Pendowo, RT.001/RW.003 Sumobito, Kab. Jombang</v>
          </cell>
          <cell r="R1943" t="str">
            <v>Jombang</v>
          </cell>
          <cell r="S1943" t="str">
            <v>D Barat2</v>
          </cell>
          <cell r="T1943" t="str">
            <v>Tomi</v>
          </cell>
          <cell r="U1943">
            <v>60</v>
          </cell>
        </row>
        <row r="1944">
          <cell r="E1944" t="str">
            <v>D25010845</v>
          </cell>
          <cell r="F1944"/>
          <cell r="G1944">
            <v>3500000000</v>
          </cell>
          <cell r="H1944" t="str">
            <v>Reni</v>
          </cell>
          <cell r="I1944" t="str">
            <v>Farida</v>
          </cell>
          <cell r="J1944"/>
          <cell r="K1944" t="str">
            <v>KU</v>
          </cell>
          <cell r="L1944" t="str">
            <v>SURY08</v>
          </cell>
          <cell r="M1944" t="str">
            <v>CV. Surya Agro Pradhana</v>
          </cell>
          <cell r="N1944" t="str">
            <v>Surya Agro Pradhana, CV</v>
          </cell>
          <cell r="O1944" t="str">
            <v>Jl. Raya Segodorejo, RT.001/RW.003 Segodorejo, Sumobito, Kab. Jombang</v>
          </cell>
          <cell r="P1944" t="str">
            <v>Jombang</v>
          </cell>
          <cell r="Q1944" t="str">
            <v>Dsn. Ingas Pendowo, RT.001/RW.003 Sumobito, Kab. Jombang</v>
          </cell>
          <cell r="R1944" t="str">
            <v>Jombang</v>
          </cell>
          <cell r="S1944" t="str">
            <v>D Barat2</v>
          </cell>
          <cell r="T1944" t="str">
            <v>Tomi</v>
          </cell>
          <cell r="U1944">
            <v>60</v>
          </cell>
        </row>
        <row r="1945">
          <cell r="E1945" t="str">
            <v>D25010903</v>
          </cell>
          <cell r="F1945"/>
          <cell r="G1945">
            <v>3500000000</v>
          </cell>
          <cell r="H1945" t="str">
            <v>Reni</v>
          </cell>
          <cell r="I1945" t="str">
            <v>Farida</v>
          </cell>
          <cell r="J1945"/>
          <cell r="K1945" t="str">
            <v>KU</v>
          </cell>
          <cell r="L1945" t="str">
            <v>SURY08</v>
          </cell>
          <cell r="M1945" t="str">
            <v>CV. Surya Agro Pradhana</v>
          </cell>
          <cell r="N1945" t="str">
            <v>Surya Agro Pradhana, CV</v>
          </cell>
          <cell r="O1945" t="str">
            <v>Jl. Raya Segodorejo, RT.001/RW.003 Segodorejo, Sumobito, Kab. Jombang</v>
          </cell>
          <cell r="P1945" t="str">
            <v>Jombang</v>
          </cell>
          <cell r="Q1945" t="str">
            <v>Dsn. Ingas Pendowo, RT.001/RW.003 Sumobito, Kab. Jombang</v>
          </cell>
          <cell r="R1945" t="str">
            <v>Jombang</v>
          </cell>
          <cell r="S1945" t="str">
            <v>D Barat2</v>
          </cell>
          <cell r="T1945" t="str">
            <v>Tomi</v>
          </cell>
          <cell r="U1945">
            <v>60</v>
          </cell>
        </row>
        <row r="1946">
          <cell r="E1946" t="str">
            <v>D25011036</v>
          </cell>
          <cell r="F1946"/>
          <cell r="G1946">
            <v>3500000000</v>
          </cell>
          <cell r="H1946" t="str">
            <v>Reni</v>
          </cell>
          <cell r="I1946" t="str">
            <v>Farida</v>
          </cell>
          <cell r="J1946"/>
          <cell r="K1946" t="str">
            <v>KU</v>
          </cell>
          <cell r="L1946" t="str">
            <v>SURY08</v>
          </cell>
          <cell r="M1946" t="str">
            <v>CV. Surya Agro Pradhana</v>
          </cell>
          <cell r="N1946" t="str">
            <v>Surya Agro Pradhana, CV</v>
          </cell>
          <cell r="O1946" t="str">
            <v>Jl. Raya Segodorejo, RT.001/RW.003 Segodorejo, Sumobito, Kab. Jombang</v>
          </cell>
          <cell r="P1946" t="str">
            <v>Jombang</v>
          </cell>
          <cell r="Q1946" t="str">
            <v>Dsn. Ingas Pendowo, RT.001/RW.003 Sumobito, Kab. Jombang</v>
          </cell>
          <cell r="R1946" t="str">
            <v>Jombang</v>
          </cell>
          <cell r="S1946" t="str">
            <v>D Barat2</v>
          </cell>
          <cell r="T1946" t="str">
            <v>Tomi</v>
          </cell>
          <cell r="U1946">
            <v>45</v>
          </cell>
        </row>
        <row r="1947">
          <cell r="E1947" t="str">
            <v>B25009209</v>
          </cell>
          <cell r="F1947"/>
          <cell r="G1947">
            <v>3500000000</v>
          </cell>
          <cell r="H1947" t="str">
            <v>Reni</v>
          </cell>
          <cell r="I1947" t="str">
            <v>Farida</v>
          </cell>
          <cell r="J1947"/>
          <cell r="K1947" t="str">
            <v>KU</v>
          </cell>
          <cell r="L1947" t="str">
            <v>SURY08</v>
          </cell>
          <cell r="M1947" t="str">
            <v>CV. Surya Agro Pradhana</v>
          </cell>
          <cell r="N1947" t="str">
            <v>Surya Agro Pradhana, CV</v>
          </cell>
          <cell r="O1947" t="str">
            <v>Jl. Raya Segodorejo, RT.001/RW.003 Segodorejo, Sumobito, Kab. Jombang</v>
          </cell>
          <cell r="P1947" t="str">
            <v>Jombang</v>
          </cell>
          <cell r="Q1947" t="str">
            <v>Dsn. Ingas Pendowo, RT.001/RW.003 Sumobito, Kab. Jombang</v>
          </cell>
          <cell r="R1947" t="str">
            <v>Jombang</v>
          </cell>
          <cell r="S1947" t="str">
            <v>D Barat2</v>
          </cell>
          <cell r="T1947" t="str">
            <v>Tomi</v>
          </cell>
          <cell r="U1947">
            <v>45</v>
          </cell>
        </row>
        <row r="1948">
          <cell r="E1948" t="str">
            <v>B25009209</v>
          </cell>
          <cell r="F1948"/>
          <cell r="G1948">
            <v>3500000000</v>
          </cell>
          <cell r="H1948" t="str">
            <v>Reni</v>
          </cell>
          <cell r="I1948" t="str">
            <v>Farida</v>
          </cell>
          <cell r="J1948"/>
          <cell r="K1948" t="str">
            <v>KU</v>
          </cell>
          <cell r="L1948" t="str">
            <v>SURY08</v>
          </cell>
          <cell r="M1948" t="str">
            <v>CV. Surya Agro Pradhana</v>
          </cell>
          <cell r="N1948" t="str">
            <v>Surya Agro Pradhana, CV</v>
          </cell>
          <cell r="O1948" t="str">
            <v>Jl. Raya Segodorejo, RT.001/RW.003 Segodorejo, Sumobito, Kab. Jombang</v>
          </cell>
          <cell r="P1948" t="str">
            <v>Jombang</v>
          </cell>
          <cell r="Q1948" t="str">
            <v>Dsn. Ingas Pendowo, RT.001/RW.003 Sumobito, Kab. Jombang</v>
          </cell>
          <cell r="R1948" t="str">
            <v>Jombang</v>
          </cell>
          <cell r="S1948" t="str">
            <v>D Barat2</v>
          </cell>
          <cell r="T1948" t="str">
            <v>Tomi</v>
          </cell>
          <cell r="U1948">
            <v>45</v>
          </cell>
        </row>
        <row r="1949">
          <cell r="E1949" t="str">
            <v>D25011159</v>
          </cell>
          <cell r="F1949"/>
          <cell r="G1949">
            <v>3500000000</v>
          </cell>
          <cell r="H1949" t="str">
            <v>Reni</v>
          </cell>
          <cell r="I1949" t="str">
            <v>Farida</v>
          </cell>
          <cell r="J1949"/>
          <cell r="K1949" t="str">
            <v>KU</v>
          </cell>
          <cell r="L1949" t="str">
            <v>SURY08</v>
          </cell>
          <cell r="M1949" t="str">
            <v>CV. Surya Agro Pradhana</v>
          </cell>
          <cell r="N1949" t="str">
            <v>Surya Agro Pradhana, CV</v>
          </cell>
          <cell r="O1949" t="str">
            <v>Jl. Raya Segodorejo, RT.001/RW.003 Segodorejo, Sumobito, Kab. Jombang</v>
          </cell>
          <cell r="P1949" t="str">
            <v>Jombang</v>
          </cell>
          <cell r="Q1949" t="str">
            <v>Dsn. Ingas Pendowo, RT.001/RW.003 Sumobito, Kab. Jombang</v>
          </cell>
          <cell r="R1949" t="str">
            <v>Jombang</v>
          </cell>
          <cell r="S1949" t="str">
            <v>D Barat2</v>
          </cell>
          <cell r="T1949" t="str">
            <v>Tomi</v>
          </cell>
          <cell r="U1949">
            <v>60</v>
          </cell>
        </row>
        <row r="1950">
          <cell r="E1950" t="str">
            <v>B25009323</v>
          </cell>
          <cell r="F1950"/>
          <cell r="G1950">
            <v>3500000000</v>
          </cell>
          <cell r="H1950" t="str">
            <v>Reni</v>
          </cell>
          <cell r="I1950" t="str">
            <v>Farida</v>
          </cell>
          <cell r="J1950"/>
          <cell r="K1950" t="str">
            <v>KU</v>
          </cell>
          <cell r="L1950" t="str">
            <v>SURY08</v>
          </cell>
          <cell r="M1950" t="str">
            <v>CV. Surya Agro Pradhana</v>
          </cell>
          <cell r="N1950" t="str">
            <v>Surya Agro Pradhana, CV</v>
          </cell>
          <cell r="O1950" t="str">
            <v>Jl. Raya Segodorejo, RT.001/RW.003 Segodorejo, Sumobito, Kab. Jombang</v>
          </cell>
          <cell r="P1950" t="str">
            <v>Jombang</v>
          </cell>
          <cell r="Q1950" t="str">
            <v>Dsn. Ingas Pendowo, RT.001/RW.003 Sumobito, Kab. Jombang</v>
          </cell>
          <cell r="R1950" t="str">
            <v>Jombang</v>
          </cell>
          <cell r="S1950" t="str">
            <v>D Barat2</v>
          </cell>
          <cell r="T1950" t="str">
            <v>Tomi</v>
          </cell>
          <cell r="U1950">
            <v>45</v>
          </cell>
        </row>
        <row r="1951">
          <cell r="E1951" t="str">
            <v>D25011210</v>
          </cell>
          <cell r="F1951"/>
          <cell r="G1951">
            <v>3500000000</v>
          </cell>
          <cell r="H1951" t="str">
            <v>Reni</v>
          </cell>
          <cell r="I1951" t="str">
            <v>Farida</v>
          </cell>
          <cell r="J1951"/>
          <cell r="K1951" t="str">
            <v>KU</v>
          </cell>
          <cell r="L1951" t="str">
            <v>SURY08</v>
          </cell>
          <cell r="M1951" t="str">
            <v>CV. Surya Agro Pradhana</v>
          </cell>
          <cell r="N1951" t="str">
            <v>Surya Agro Pradhana, CV</v>
          </cell>
          <cell r="O1951" t="str">
            <v>Jl. Raya Segodorejo, RT.001/RW.003 Segodorejo, Sumobito, Kab. Jombang</v>
          </cell>
          <cell r="P1951" t="str">
            <v>Jombang</v>
          </cell>
          <cell r="Q1951" t="str">
            <v>Dsn. Ingas Pendowo, RT.001/RW.003 Sumobito, Kab. Jombang</v>
          </cell>
          <cell r="R1951" t="str">
            <v>Jombang</v>
          </cell>
          <cell r="S1951" t="str">
            <v>D Barat2</v>
          </cell>
          <cell r="T1951" t="str">
            <v>Tomi</v>
          </cell>
          <cell r="U1951">
            <v>45</v>
          </cell>
        </row>
        <row r="1952">
          <cell r="E1952" t="str">
            <v>D25011424</v>
          </cell>
          <cell r="F1952"/>
          <cell r="G1952">
            <v>3500000000</v>
          </cell>
          <cell r="H1952" t="str">
            <v>Reni</v>
          </cell>
          <cell r="I1952" t="str">
            <v>Farida</v>
          </cell>
          <cell r="J1952"/>
          <cell r="K1952" t="str">
            <v>KU</v>
          </cell>
          <cell r="L1952" t="str">
            <v>SURY08</v>
          </cell>
          <cell r="M1952" t="str">
            <v>CV. Surya Agro Pradhana</v>
          </cell>
          <cell r="N1952" t="str">
            <v>Surya Agro Pradhana, CV</v>
          </cell>
          <cell r="O1952" t="str">
            <v>Jl. Raya Segodorejo, RT.001/RW.003 Segodorejo, Sumobito, Kab. Jombang</v>
          </cell>
          <cell r="P1952" t="str">
            <v>Jombang</v>
          </cell>
          <cell r="Q1952" t="str">
            <v>Dsn. Ingas Pendowo, RT.001/RW.003 Sumobito, Kab. Jombang</v>
          </cell>
          <cell r="R1952" t="str">
            <v>Jombang</v>
          </cell>
          <cell r="S1952" t="str">
            <v>D Barat2</v>
          </cell>
          <cell r="T1952" t="str">
            <v>Tomi</v>
          </cell>
          <cell r="U1952">
            <v>45</v>
          </cell>
        </row>
        <row r="1953">
          <cell r="E1953" t="str">
            <v>D25011424</v>
          </cell>
          <cell r="F1953"/>
          <cell r="G1953">
            <v>3500000000</v>
          </cell>
          <cell r="H1953" t="str">
            <v>Reni</v>
          </cell>
          <cell r="I1953" t="str">
            <v>Farida</v>
          </cell>
          <cell r="J1953"/>
          <cell r="K1953" t="str">
            <v>KU</v>
          </cell>
          <cell r="L1953" t="str">
            <v>SURY08</v>
          </cell>
          <cell r="M1953" t="str">
            <v>CV. Surya Agro Pradhana</v>
          </cell>
          <cell r="N1953" t="str">
            <v>Surya Agro Pradhana, CV</v>
          </cell>
          <cell r="O1953" t="str">
            <v>Jl. Raya Segodorejo, RT.001/RW.003 Segodorejo, Sumobito, Kab. Jombang</v>
          </cell>
          <cell r="P1953" t="str">
            <v>Jombang</v>
          </cell>
          <cell r="Q1953" t="str">
            <v>Dsn. Ingas Pendowo, RT.001/RW.003 Sumobito, Kab. Jombang</v>
          </cell>
          <cell r="R1953" t="str">
            <v>Jombang</v>
          </cell>
          <cell r="S1953" t="str">
            <v>D Barat2</v>
          </cell>
          <cell r="T1953" t="str">
            <v>Tomi</v>
          </cell>
          <cell r="U1953">
            <v>45</v>
          </cell>
        </row>
        <row r="1954">
          <cell r="E1954" t="str">
            <v>D25011602</v>
          </cell>
          <cell r="F1954"/>
          <cell r="G1954">
            <v>3500000000</v>
          </cell>
          <cell r="H1954" t="str">
            <v>Reni</v>
          </cell>
          <cell r="I1954" t="str">
            <v>Farida</v>
          </cell>
          <cell r="J1954"/>
          <cell r="K1954" t="str">
            <v>KU</v>
          </cell>
          <cell r="L1954" t="str">
            <v>SURY08</v>
          </cell>
          <cell r="M1954" t="str">
            <v>CV. Surya Agro Pradhana</v>
          </cell>
          <cell r="N1954" t="str">
            <v>Surya Agro Pradhana, CV</v>
          </cell>
          <cell r="O1954" t="str">
            <v>Jl. Raya Segodorejo, RT.001/RW.003 Segodorejo, Sumobito, Kab. Jombang</v>
          </cell>
          <cell r="P1954" t="str">
            <v>Jombang</v>
          </cell>
          <cell r="Q1954" t="str">
            <v>Dsn. Ingas Pendowo, RT.001/RW.003 Sumobito, Kab. Jombang</v>
          </cell>
          <cell r="R1954" t="str">
            <v>Jombang</v>
          </cell>
          <cell r="S1954" t="str">
            <v>D Barat2</v>
          </cell>
          <cell r="T1954" t="str">
            <v>Tomi</v>
          </cell>
          <cell r="U1954">
            <v>60</v>
          </cell>
        </row>
        <row r="1955">
          <cell r="E1955" t="str">
            <v>D25011604</v>
          </cell>
          <cell r="F1955"/>
          <cell r="G1955">
            <v>3500000000</v>
          </cell>
          <cell r="H1955" t="str">
            <v>Reni</v>
          </cell>
          <cell r="I1955" t="str">
            <v>Farida</v>
          </cell>
          <cell r="J1955"/>
          <cell r="K1955" t="str">
            <v>KU</v>
          </cell>
          <cell r="L1955" t="str">
            <v>SURY08</v>
          </cell>
          <cell r="M1955" t="str">
            <v>CV. Surya Agro Pradhana</v>
          </cell>
          <cell r="N1955" t="str">
            <v>Surya Agro Pradhana, CV</v>
          </cell>
          <cell r="O1955" t="str">
            <v>Jl. Raya Segodorejo, RT.001/RW.003 Segodorejo, Sumobito, Kab. Jombang</v>
          </cell>
          <cell r="P1955" t="str">
            <v>Jombang</v>
          </cell>
          <cell r="Q1955" t="str">
            <v>Dsn. Ingas Pendowo, RT.001/RW.003 Sumobito, Kab. Jombang</v>
          </cell>
          <cell r="R1955" t="str">
            <v>Jombang</v>
          </cell>
          <cell r="S1955" t="str">
            <v>D Barat2</v>
          </cell>
          <cell r="T1955" t="str">
            <v>Tomi</v>
          </cell>
          <cell r="U1955">
            <v>60</v>
          </cell>
        </row>
        <row r="1956">
          <cell r="E1956" t="str">
            <v>D25011782</v>
          </cell>
          <cell r="F1956"/>
          <cell r="G1956">
            <v>3500000000</v>
          </cell>
          <cell r="H1956" t="str">
            <v>Reni</v>
          </cell>
          <cell r="I1956" t="str">
            <v>Farida</v>
          </cell>
          <cell r="J1956"/>
          <cell r="K1956" t="str">
            <v>KU</v>
          </cell>
          <cell r="L1956" t="str">
            <v>SURY08</v>
          </cell>
          <cell r="M1956" t="str">
            <v>CV. Surya Agro Pradhana</v>
          </cell>
          <cell r="N1956" t="str">
            <v>Surya Agro Pradhana, CV</v>
          </cell>
          <cell r="O1956" t="str">
            <v>Jl. Raya Segodorejo, RT.001/RW.003 Segodorejo, Sumobito, Kab. Jombang</v>
          </cell>
          <cell r="P1956" t="str">
            <v>Jombang</v>
          </cell>
          <cell r="Q1956" t="str">
            <v>Dsn. Ingas Pendowo, RT.001/RW.003 Sumobito, Kab. Jombang</v>
          </cell>
          <cell r="R1956" t="str">
            <v>Jombang</v>
          </cell>
          <cell r="S1956" t="str">
            <v>D Barat2</v>
          </cell>
          <cell r="T1956" t="str">
            <v>Tomi</v>
          </cell>
          <cell r="U1956">
            <v>45</v>
          </cell>
        </row>
        <row r="1957">
          <cell r="E1957" t="str">
            <v>D25011782</v>
          </cell>
          <cell r="F1957"/>
          <cell r="G1957">
            <v>3500000000</v>
          </cell>
          <cell r="H1957" t="str">
            <v>Reni</v>
          </cell>
          <cell r="I1957" t="str">
            <v>Farida</v>
          </cell>
          <cell r="J1957"/>
          <cell r="K1957" t="str">
            <v>KU</v>
          </cell>
          <cell r="L1957" t="str">
            <v>SURY08</v>
          </cell>
          <cell r="M1957" t="str">
            <v>CV. Surya Agro Pradhana</v>
          </cell>
          <cell r="N1957" t="str">
            <v>Surya Agro Pradhana, CV</v>
          </cell>
          <cell r="O1957" t="str">
            <v>Jl. Raya Segodorejo, RT.001/RW.003 Segodorejo, Sumobito, Kab. Jombang</v>
          </cell>
          <cell r="P1957" t="str">
            <v>Jombang</v>
          </cell>
          <cell r="Q1957" t="str">
            <v>Dsn. Ingas Pendowo, RT.001/RW.003 Sumobito, Kab. Jombang</v>
          </cell>
          <cell r="R1957" t="str">
            <v>Jombang</v>
          </cell>
          <cell r="S1957" t="str">
            <v>D Barat2</v>
          </cell>
          <cell r="T1957" t="str">
            <v>Tomi</v>
          </cell>
          <cell r="U1957">
            <v>45</v>
          </cell>
        </row>
        <row r="1958">
          <cell r="E1958" t="str">
            <v>D25011816</v>
          </cell>
          <cell r="F1958"/>
          <cell r="G1958">
            <v>3500000000</v>
          </cell>
          <cell r="H1958" t="str">
            <v>Reni</v>
          </cell>
          <cell r="I1958" t="str">
            <v>Farida</v>
          </cell>
          <cell r="J1958"/>
          <cell r="K1958" t="str">
            <v>KU</v>
          </cell>
          <cell r="L1958" t="str">
            <v>SURY08</v>
          </cell>
          <cell r="M1958" t="str">
            <v>CV. Surya Agro Pradhana</v>
          </cell>
          <cell r="N1958" t="str">
            <v>Surya Agro Pradhana, CV</v>
          </cell>
          <cell r="O1958" t="str">
            <v>Jl. Raya Segodorejo, RT.001/RW.003 Segodorejo, Sumobito, Kab. Jombang</v>
          </cell>
          <cell r="P1958" t="str">
            <v>Jombang</v>
          </cell>
          <cell r="Q1958" t="str">
            <v>Dsn. Ingas Pendowo, RT.001/RW.003 Sumobito, Kab. Jombang</v>
          </cell>
          <cell r="R1958" t="str">
            <v>Jombang</v>
          </cell>
          <cell r="S1958" t="str">
            <v>D Barat2</v>
          </cell>
          <cell r="T1958" t="str">
            <v>Tomi</v>
          </cell>
          <cell r="U1958">
            <v>45</v>
          </cell>
        </row>
        <row r="1959">
          <cell r="E1959" t="str">
            <v>B25010102</v>
          </cell>
          <cell r="F1959"/>
          <cell r="G1959">
            <v>3500000000</v>
          </cell>
          <cell r="H1959" t="str">
            <v>Reni</v>
          </cell>
          <cell r="I1959" t="str">
            <v>Farida</v>
          </cell>
          <cell r="J1959"/>
          <cell r="K1959" t="str">
            <v>KU</v>
          </cell>
          <cell r="L1959" t="str">
            <v>SURY08</v>
          </cell>
          <cell r="M1959" t="str">
            <v>CV. Surya Agro Pradhana</v>
          </cell>
          <cell r="N1959" t="str">
            <v>Surya Agro Pradhana, CV</v>
          </cell>
          <cell r="O1959" t="str">
            <v>Jl. Raya Segodorejo, RT.001/RW.003 Segodorejo, Sumobito, Kab. Jombang</v>
          </cell>
          <cell r="P1959" t="str">
            <v>Jombang</v>
          </cell>
          <cell r="Q1959" t="str">
            <v>Dsn. Ingas Pendowo, RT.001/RW.003 Sumobito, Kab. Jombang</v>
          </cell>
          <cell r="R1959" t="str">
            <v>Jombang</v>
          </cell>
          <cell r="S1959" t="str">
            <v>D Barat2</v>
          </cell>
          <cell r="T1959" t="str">
            <v>Tomi</v>
          </cell>
          <cell r="U1959">
            <v>60</v>
          </cell>
        </row>
        <row r="1960">
          <cell r="E1960" t="str">
            <v>B25010133</v>
          </cell>
          <cell r="F1960"/>
          <cell r="G1960">
            <v>3500000000</v>
          </cell>
          <cell r="H1960" t="str">
            <v>Reni</v>
          </cell>
          <cell r="I1960" t="str">
            <v>Farida</v>
          </cell>
          <cell r="J1960"/>
          <cell r="K1960" t="str">
            <v>KU</v>
          </cell>
          <cell r="L1960" t="str">
            <v>SURY08</v>
          </cell>
          <cell r="M1960" t="str">
            <v>CV. Surya Agro Pradhana</v>
          </cell>
          <cell r="N1960" t="str">
            <v>Surya Agro Pradhana, CV</v>
          </cell>
          <cell r="O1960" t="str">
            <v>Jl. Raya Segodorejo, RT.001/RW.003 Segodorejo, Sumobito, Kab. Jombang</v>
          </cell>
          <cell r="P1960" t="str">
            <v>Jombang</v>
          </cell>
          <cell r="Q1960" t="str">
            <v>Dsn. Ingas Pendowo, RT.001/RW.003 Sumobito, Kab. Jombang</v>
          </cell>
          <cell r="R1960" t="str">
            <v>Jombang</v>
          </cell>
          <cell r="S1960" t="str">
            <v>D Barat2</v>
          </cell>
          <cell r="T1960" t="str">
            <v>Tomi</v>
          </cell>
          <cell r="U1960">
            <v>60</v>
          </cell>
        </row>
        <row r="1961">
          <cell r="E1961" t="str">
            <v>D25012068</v>
          </cell>
          <cell r="F1961"/>
          <cell r="G1961">
            <v>3500000000</v>
          </cell>
          <cell r="H1961" t="str">
            <v>Reni</v>
          </cell>
          <cell r="I1961" t="str">
            <v>Farida</v>
          </cell>
          <cell r="J1961"/>
          <cell r="K1961" t="str">
            <v>KU</v>
          </cell>
          <cell r="L1961" t="str">
            <v>SURY08</v>
          </cell>
          <cell r="M1961" t="str">
            <v>CV. Surya Agro Pradhana</v>
          </cell>
          <cell r="N1961" t="str">
            <v>Surya Agro Pradhana, CV</v>
          </cell>
          <cell r="O1961" t="str">
            <v>Jl. Raya Segodorejo, RT.001/RW.003 Segodorejo, Sumobito, Kab. Jombang</v>
          </cell>
          <cell r="P1961" t="str">
            <v>Jombang</v>
          </cell>
          <cell r="Q1961" t="str">
            <v>Dsn. Ingas Pendowo, RT.001/RW.003 Sumobito, Kab. Jombang</v>
          </cell>
          <cell r="R1961" t="str">
            <v>Jombang</v>
          </cell>
          <cell r="S1961" t="str">
            <v>D Barat2</v>
          </cell>
          <cell r="T1961" t="str">
            <v>Tomi</v>
          </cell>
          <cell r="U1961">
            <v>60</v>
          </cell>
        </row>
        <row r="1962">
          <cell r="E1962" t="str">
            <v>D25012186</v>
          </cell>
          <cell r="F1962"/>
          <cell r="G1962">
            <v>3500000000</v>
          </cell>
          <cell r="H1962" t="str">
            <v>Reni</v>
          </cell>
          <cell r="I1962" t="str">
            <v>Farida</v>
          </cell>
          <cell r="J1962"/>
          <cell r="K1962" t="str">
            <v>KU</v>
          </cell>
          <cell r="L1962" t="str">
            <v>SURY08</v>
          </cell>
          <cell r="M1962" t="str">
            <v>CV. Surya Agro Pradhana</v>
          </cell>
          <cell r="N1962" t="str">
            <v>Surya Agro Pradhana, CV</v>
          </cell>
          <cell r="O1962" t="str">
            <v>Jl. Raya Segodorejo, RT.001/RW.003 Segodorejo, Sumobito, Kab. Jombang</v>
          </cell>
          <cell r="P1962" t="str">
            <v>Jombang</v>
          </cell>
          <cell r="Q1962" t="str">
            <v>Dsn. Ingas Pendowo, RT.001/RW.003 Sumobito, Kab. Jombang</v>
          </cell>
          <cell r="R1962" t="str">
            <v>Jombang</v>
          </cell>
          <cell r="S1962" t="str">
            <v>D Barat2</v>
          </cell>
          <cell r="T1962" t="str">
            <v>Tomi</v>
          </cell>
          <cell r="U1962">
            <v>45</v>
          </cell>
        </row>
        <row r="1963">
          <cell r="E1963" t="str">
            <v>D25012222</v>
          </cell>
          <cell r="F1963"/>
          <cell r="G1963">
            <v>3500000000</v>
          </cell>
          <cell r="H1963" t="str">
            <v>Reni</v>
          </cell>
          <cell r="I1963" t="str">
            <v>Farida</v>
          </cell>
          <cell r="J1963"/>
          <cell r="K1963" t="str">
            <v>KU</v>
          </cell>
          <cell r="L1963" t="str">
            <v>SURY08</v>
          </cell>
          <cell r="M1963" t="str">
            <v>CV. Surya Agro Pradhana</v>
          </cell>
          <cell r="N1963" t="str">
            <v>Surya Agro Pradhana, CV</v>
          </cell>
          <cell r="O1963" t="str">
            <v>Jl. Raya Segodorejo, RT.001/RW.003 Segodorejo, Sumobito, Kab. Jombang</v>
          </cell>
          <cell r="P1963" t="str">
            <v>Jombang</v>
          </cell>
          <cell r="Q1963" t="str">
            <v>Dsn. Ingas Pendowo, RT.001/RW.003 Sumobito, Kab. Jombang</v>
          </cell>
          <cell r="R1963" t="str">
            <v>Jombang</v>
          </cell>
          <cell r="S1963" t="str">
            <v>D Barat2</v>
          </cell>
          <cell r="T1963" t="str">
            <v>Tomi</v>
          </cell>
          <cell r="U1963">
            <v>60</v>
          </cell>
        </row>
        <row r="1964">
          <cell r="E1964" t="str">
            <v>D25012283</v>
          </cell>
          <cell r="F1964"/>
          <cell r="G1964">
            <v>3500000000</v>
          </cell>
          <cell r="H1964" t="str">
            <v>Reni</v>
          </cell>
          <cell r="I1964" t="str">
            <v>Farida</v>
          </cell>
          <cell r="J1964"/>
          <cell r="K1964" t="str">
            <v>KU</v>
          </cell>
          <cell r="L1964" t="str">
            <v>SURY08</v>
          </cell>
          <cell r="M1964" t="str">
            <v>CV. Surya Agro Pradhana</v>
          </cell>
          <cell r="N1964" t="str">
            <v>Surya Agro Pradhana, CV</v>
          </cell>
          <cell r="O1964" t="str">
            <v>Jl. Raya Segodorejo, RT.001/RW.003 Segodorejo, Sumobito, Kab. Jombang</v>
          </cell>
          <cell r="P1964" t="str">
            <v>Jombang</v>
          </cell>
          <cell r="Q1964" t="str">
            <v>Dsn. Ingas Pendowo, RT.001/RW.003 Sumobito, Kab. Jombang</v>
          </cell>
          <cell r="R1964" t="str">
            <v>Jombang</v>
          </cell>
          <cell r="S1964" t="str">
            <v>D Barat2</v>
          </cell>
          <cell r="T1964" t="str">
            <v>Tomi</v>
          </cell>
          <cell r="U1964">
            <v>60</v>
          </cell>
        </row>
        <row r="1965">
          <cell r="E1965" t="str">
            <v>D25012303</v>
          </cell>
          <cell r="F1965"/>
          <cell r="G1965">
            <v>3500000000</v>
          </cell>
          <cell r="H1965" t="str">
            <v>Reni</v>
          </cell>
          <cell r="I1965" t="str">
            <v>Farida</v>
          </cell>
          <cell r="J1965"/>
          <cell r="K1965" t="str">
            <v>KU</v>
          </cell>
          <cell r="L1965" t="str">
            <v>SURY08</v>
          </cell>
          <cell r="M1965" t="str">
            <v>CV. Surya Agro Pradhana</v>
          </cell>
          <cell r="N1965" t="str">
            <v>Surya Agro Pradhana, CV</v>
          </cell>
          <cell r="O1965" t="str">
            <v>Jl. Raya Segodorejo, RT.001/RW.003 Segodorejo, Sumobito, Kab. Jombang</v>
          </cell>
          <cell r="P1965" t="str">
            <v>Jombang</v>
          </cell>
          <cell r="Q1965" t="str">
            <v>Dsn. Ingas Pendowo, RT.001/RW.003 Sumobito, Kab. Jombang</v>
          </cell>
          <cell r="R1965" t="str">
            <v>Jombang</v>
          </cell>
          <cell r="S1965" t="str">
            <v>D Barat2</v>
          </cell>
          <cell r="T1965" t="str">
            <v>Tomi</v>
          </cell>
          <cell r="U1965">
            <v>60</v>
          </cell>
        </row>
        <row r="1966">
          <cell r="E1966" t="str">
            <v>B25010603</v>
          </cell>
          <cell r="F1966"/>
          <cell r="G1966">
            <v>3500000000</v>
          </cell>
          <cell r="H1966" t="str">
            <v>Reni</v>
          </cell>
          <cell r="I1966" t="str">
            <v>Farida</v>
          </cell>
          <cell r="J1966"/>
          <cell r="K1966" t="str">
            <v>KU</v>
          </cell>
          <cell r="L1966" t="str">
            <v>SURY08</v>
          </cell>
          <cell r="M1966" t="str">
            <v>CV. Surya Agro Pradhana</v>
          </cell>
          <cell r="N1966" t="str">
            <v>Surya Agro Pradhana, CV</v>
          </cell>
          <cell r="O1966" t="str">
            <v>Jl. Raya Segodorejo, RT.001/RW.003 Segodorejo, Sumobito, Kab. Jombang</v>
          </cell>
          <cell r="P1966" t="str">
            <v>Jombang</v>
          </cell>
          <cell r="Q1966" t="str">
            <v>Dsn. Ingas Pendowo, RT.001/RW.003 Sumobito, Kab. Jombang</v>
          </cell>
          <cell r="R1966" t="str">
            <v>Jombang</v>
          </cell>
          <cell r="S1966" t="str">
            <v>D Barat2</v>
          </cell>
          <cell r="T1966" t="str">
            <v>Tomi</v>
          </cell>
          <cell r="U1966">
            <v>60</v>
          </cell>
        </row>
        <row r="1967">
          <cell r="E1967" t="str">
            <v>B25010828</v>
          </cell>
          <cell r="F1967"/>
          <cell r="G1967">
            <v>3500000000</v>
          </cell>
          <cell r="H1967" t="str">
            <v>Reni</v>
          </cell>
          <cell r="I1967" t="str">
            <v>Farida</v>
          </cell>
          <cell r="J1967"/>
          <cell r="K1967" t="str">
            <v>KU</v>
          </cell>
          <cell r="L1967" t="str">
            <v>SURY08</v>
          </cell>
          <cell r="M1967" t="str">
            <v>CV. Surya Agro Pradhana</v>
          </cell>
          <cell r="N1967" t="str">
            <v>Surya Agro Pradhana, CV</v>
          </cell>
          <cell r="O1967" t="str">
            <v>Jl. Raya Segodorejo, RT.001/RW.003 Segodorejo, Sumobito, Kab. Jombang</v>
          </cell>
          <cell r="P1967" t="str">
            <v>Jombang</v>
          </cell>
          <cell r="Q1967" t="str">
            <v>Dsn. Ingas Pendowo, RT.001/RW.003 Sumobito, Kab. Jombang</v>
          </cell>
          <cell r="R1967" t="str">
            <v>Jombang</v>
          </cell>
          <cell r="S1967" t="str">
            <v>D Barat2</v>
          </cell>
          <cell r="T1967" t="str">
            <v>Tomi</v>
          </cell>
          <cell r="U1967">
            <v>45</v>
          </cell>
        </row>
        <row r="1968">
          <cell r="E1968" t="str">
            <v>B25010870</v>
          </cell>
          <cell r="F1968"/>
          <cell r="G1968">
            <v>3500000000</v>
          </cell>
          <cell r="H1968" t="str">
            <v>Reni</v>
          </cell>
          <cell r="I1968" t="str">
            <v>Farida</v>
          </cell>
          <cell r="J1968"/>
          <cell r="K1968" t="str">
            <v>KU</v>
          </cell>
          <cell r="L1968" t="str">
            <v>SURY08</v>
          </cell>
          <cell r="M1968" t="str">
            <v>CV. Surya Agro Pradhana</v>
          </cell>
          <cell r="N1968" t="str">
            <v>Surya Agro Pradhana, CV</v>
          </cell>
          <cell r="O1968" t="str">
            <v>Jl. Raya Segodorejo, RT.001/RW.003 Segodorejo, Sumobito, Kab. Jombang</v>
          </cell>
          <cell r="P1968" t="str">
            <v>Jombang</v>
          </cell>
          <cell r="Q1968" t="str">
            <v>Dsn. Ingas Pendowo, RT.001/RW.003 Sumobito, Kab. Jombang</v>
          </cell>
          <cell r="R1968" t="str">
            <v>Jombang</v>
          </cell>
          <cell r="S1968" t="str">
            <v>D Barat2</v>
          </cell>
          <cell r="T1968" t="str">
            <v>Tomi</v>
          </cell>
          <cell r="U1968">
            <v>60</v>
          </cell>
        </row>
        <row r="1969">
          <cell r="E1969" t="str">
            <v>D25012895</v>
          </cell>
          <cell r="F1969"/>
          <cell r="G1969">
            <v>3500000000</v>
          </cell>
          <cell r="H1969" t="str">
            <v>Reni</v>
          </cell>
          <cell r="I1969" t="str">
            <v>Farida</v>
          </cell>
          <cell r="J1969"/>
          <cell r="K1969" t="str">
            <v>KU</v>
          </cell>
          <cell r="L1969" t="str">
            <v>SURY08</v>
          </cell>
          <cell r="M1969" t="str">
            <v>CV. Surya Agro Pradhana</v>
          </cell>
          <cell r="N1969" t="str">
            <v>Surya Agro Pradhana, CV</v>
          </cell>
          <cell r="O1969" t="str">
            <v>Jl. Raya Segodorejo, RT.001/RW.003 Segodorejo, Sumobito, Kab. Jombang</v>
          </cell>
          <cell r="P1969" t="str">
            <v>Jombang</v>
          </cell>
          <cell r="Q1969" t="str">
            <v>Dsn. Ingas Pendowo, RT.001/RW.003 Sumobito, Kab. Jombang</v>
          </cell>
          <cell r="R1969" t="str">
            <v>Jombang</v>
          </cell>
          <cell r="S1969" t="str">
            <v>D Barat2</v>
          </cell>
          <cell r="T1969" t="str">
            <v>Tomi</v>
          </cell>
          <cell r="U1969">
            <v>60</v>
          </cell>
        </row>
        <row r="1970">
          <cell r="E1970" t="str">
            <v>D25012913</v>
          </cell>
          <cell r="F1970"/>
          <cell r="G1970">
            <v>3500000000</v>
          </cell>
          <cell r="H1970" t="str">
            <v>Reni</v>
          </cell>
          <cell r="I1970" t="str">
            <v>Farida</v>
          </cell>
          <cell r="J1970"/>
          <cell r="K1970" t="str">
            <v>KU</v>
          </cell>
          <cell r="L1970" t="str">
            <v>SURY08</v>
          </cell>
          <cell r="M1970" t="str">
            <v>CV. Surya Agro Pradhana</v>
          </cell>
          <cell r="N1970" t="str">
            <v>Surya Agro Pradhana, CV</v>
          </cell>
          <cell r="O1970" t="str">
            <v>Jl. Raya Segodorejo, RT.001/RW.003 Segodorejo, Sumobito, Kab. Jombang</v>
          </cell>
          <cell r="P1970" t="str">
            <v>Jombang</v>
          </cell>
          <cell r="Q1970" t="str">
            <v>Dsn. Ingas Pendowo, RT.001/RW.003 Sumobito, Kab. Jombang</v>
          </cell>
          <cell r="R1970" t="str">
            <v>Jombang</v>
          </cell>
          <cell r="S1970" t="str">
            <v>D Barat2</v>
          </cell>
          <cell r="T1970" t="str">
            <v>Tomi</v>
          </cell>
          <cell r="U1970">
            <v>60</v>
          </cell>
        </row>
        <row r="1971">
          <cell r="E1971" t="str">
            <v>B25010876</v>
          </cell>
          <cell r="F1971"/>
          <cell r="G1971">
            <v>3500000000</v>
          </cell>
          <cell r="H1971" t="str">
            <v>Reni</v>
          </cell>
          <cell r="I1971" t="str">
            <v>Farida</v>
          </cell>
          <cell r="J1971"/>
          <cell r="K1971" t="str">
            <v>KU</v>
          </cell>
          <cell r="L1971" t="str">
            <v>SURY08</v>
          </cell>
          <cell r="M1971" t="str">
            <v>CV. Surya Agro Pradhana</v>
          </cell>
          <cell r="N1971" t="str">
            <v>Surya Agro Pradhana, CV</v>
          </cell>
          <cell r="O1971" t="str">
            <v>Jl. Raya Segodorejo, RT.001/RW.003 Segodorejo, Sumobito, Kab. Jombang</v>
          </cell>
          <cell r="P1971" t="str">
            <v>Jombang</v>
          </cell>
          <cell r="Q1971" t="str">
            <v>Dsn. Ingas Pendowo, RT.001/RW.003 Sumobito, Kab. Jombang</v>
          </cell>
          <cell r="R1971" t="str">
            <v>Jombang</v>
          </cell>
          <cell r="S1971" t="str">
            <v>D Barat2</v>
          </cell>
          <cell r="T1971" t="str">
            <v>Tomi</v>
          </cell>
          <cell r="U1971">
            <v>60</v>
          </cell>
        </row>
        <row r="1972">
          <cell r="E1972" t="str">
            <v>B25010945</v>
          </cell>
          <cell r="F1972"/>
          <cell r="G1972">
            <v>3500000000</v>
          </cell>
          <cell r="H1972" t="str">
            <v>Reni</v>
          </cell>
          <cell r="I1972" t="str">
            <v>Farida</v>
          </cell>
          <cell r="J1972"/>
          <cell r="K1972" t="str">
            <v>KU</v>
          </cell>
          <cell r="L1972" t="str">
            <v>SURY08</v>
          </cell>
          <cell r="M1972" t="str">
            <v>CV. Surya Agro Pradhana</v>
          </cell>
          <cell r="N1972" t="str">
            <v>Surya Agro Pradhana, CV</v>
          </cell>
          <cell r="O1972" t="str">
            <v>Jl. Raya Segodorejo, RT.001/RW.003 Segodorejo, Sumobito, Kab. Jombang</v>
          </cell>
          <cell r="P1972" t="str">
            <v>Jombang</v>
          </cell>
          <cell r="Q1972" t="str">
            <v>Dsn. Ingas Pendowo, RT.001/RW.003 Sumobito, Kab. Jombang</v>
          </cell>
          <cell r="R1972" t="str">
            <v>Jombang</v>
          </cell>
          <cell r="S1972" t="str">
            <v>D Barat2</v>
          </cell>
          <cell r="T1972" t="str">
            <v>Tomi</v>
          </cell>
          <cell r="U1972">
            <v>45</v>
          </cell>
        </row>
        <row r="1973">
          <cell r="E1973" t="str">
            <v>D25013066</v>
          </cell>
          <cell r="F1973"/>
          <cell r="G1973">
            <v>3500000000</v>
          </cell>
          <cell r="H1973" t="str">
            <v>Reni</v>
          </cell>
          <cell r="I1973" t="str">
            <v>Farida</v>
          </cell>
          <cell r="J1973"/>
          <cell r="K1973" t="str">
            <v>KU</v>
          </cell>
          <cell r="L1973" t="str">
            <v>SURY08</v>
          </cell>
          <cell r="M1973" t="str">
            <v>CV. Surya Agro Pradhana</v>
          </cell>
          <cell r="N1973" t="str">
            <v>Surya Agro Pradhana, CV</v>
          </cell>
          <cell r="O1973" t="str">
            <v>Jl. Raya Segodorejo, RT.001/RW.003 Segodorejo, Sumobito, Kab. Jombang</v>
          </cell>
          <cell r="P1973" t="str">
            <v>Jombang</v>
          </cell>
          <cell r="Q1973" t="str">
            <v>Dsn. Ingas Pendowo, RT.001/RW.003 Sumobito, Kab. Jombang</v>
          </cell>
          <cell r="R1973" t="str">
            <v>Jombang</v>
          </cell>
          <cell r="S1973" t="str">
            <v>D Barat2</v>
          </cell>
          <cell r="T1973" t="str">
            <v>Tomi</v>
          </cell>
          <cell r="U1973">
            <v>60</v>
          </cell>
        </row>
        <row r="1974">
          <cell r="E1974" t="str">
            <v>B25011130</v>
          </cell>
          <cell r="F1974"/>
          <cell r="G1974">
            <v>3500000000</v>
          </cell>
          <cell r="H1974" t="str">
            <v>Reni</v>
          </cell>
          <cell r="I1974" t="str">
            <v>Farida</v>
          </cell>
          <cell r="J1974"/>
          <cell r="K1974" t="str">
            <v>KU</v>
          </cell>
          <cell r="L1974" t="str">
            <v>SURY08</v>
          </cell>
          <cell r="M1974" t="str">
            <v>CV. Surya Agro Pradhana</v>
          </cell>
          <cell r="N1974" t="str">
            <v>Surya Agro Pradhana, CV</v>
          </cell>
          <cell r="O1974" t="str">
            <v>Jl. Raya Segodorejo, RT.001/RW.003 Segodorejo, Sumobito, Kab. Jombang</v>
          </cell>
          <cell r="P1974" t="str">
            <v>Jombang</v>
          </cell>
          <cell r="Q1974" t="str">
            <v>Dsn. Ingas Pendowo, RT.001/RW.003 Sumobito, Kab. Jombang</v>
          </cell>
          <cell r="R1974" t="str">
            <v>Jombang</v>
          </cell>
          <cell r="S1974" t="str">
            <v>D Barat2</v>
          </cell>
          <cell r="T1974" t="str">
            <v>Tomi</v>
          </cell>
          <cell r="U1974">
            <v>60</v>
          </cell>
        </row>
        <row r="1975">
          <cell r="E1975" t="str">
            <v>D25013497</v>
          </cell>
          <cell r="F1975"/>
          <cell r="G1975">
            <v>3500000000</v>
          </cell>
          <cell r="H1975" t="str">
            <v>Reni</v>
          </cell>
          <cell r="I1975" t="str">
            <v>Farida</v>
          </cell>
          <cell r="J1975"/>
          <cell r="K1975" t="str">
            <v>KU</v>
          </cell>
          <cell r="L1975" t="str">
            <v>SURY08</v>
          </cell>
          <cell r="M1975" t="str">
            <v>CV. Surya Agro Pradhana</v>
          </cell>
          <cell r="N1975" t="str">
            <v>Surya Agro Pradhana, CV</v>
          </cell>
          <cell r="O1975" t="str">
            <v>Jl. Raya Segodorejo, RT.001/RW.003 Segodorejo, Sumobito, Kab. Jombang</v>
          </cell>
          <cell r="P1975" t="str">
            <v>Jombang</v>
          </cell>
          <cell r="Q1975" t="str">
            <v>Dsn. Ingas Pendowo, RT.001/RW.003 Sumobito, Kab. Jombang</v>
          </cell>
          <cell r="R1975" t="str">
            <v>Jombang</v>
          </cell>
          <cell r="S1975" t="str">
            <v>D Barat2</v>
          </cell>
          <cell r="T1975" t="str">
            <v>Tomi</v>
          </cell>
          <cell r="U1975">
            <v>60</v>
          </cell>
        </row>
        <row r="1976">
          <cell r="E1976" t="str">
            <v>B25011474</v>
          </cell>
          <cell r="F1976"/>
          <cell r="G1976">
            <v>3500000000</v>
          </cell>
          <cell r="H1976" t="str">
            <v>Reni</v>
          </cell>
          <cell r="I1976" t="str">
            <v>Farida</v>
          </cell>
          <cell r="J1976"/>
          <cell r="K1976" t="str">
            <v>KU</v>
          </cell>
          <cell r="L1976" t="str">
            <v>SURY08</v>
          </cell>
          <cell r="M1976" t="str">
            <v>CV. Surya Agro Pradhana</v>
          </cell>
          <cell r="N1976" t="str">
            <v>Surya Agro Pradhana, CV</v>
          </cell>
          <cell r="O1976" t="str">
            <v>Jl. Raya Segodorejo, RT.001/RW.003 Segodorejo, Sumobito, Kab. Jombang</v>
          </cell>
          <cell r="P1976" t="str">
            <v>Jombang</v>
          </cell>
          <cell r="Q1976" t="str">
            <v>Dsn. Ingas Pendowo, RT.001/RW.003 Sumobito, Kab. Jombang</v>
          </cell>
          <cell r="R1976" t="str">
            <v>Jombang</v>
          </cell>
          <cell r="S1976" t="str">
            <v>D Barat2</v>
          </cell>
          <cell r="T1976" t="str">
            <v>Tomi</v>
          </cell>
          <cell r="U1976">
            <v>60</v>
          </cell>
        </row>
        <row r="1977">
          <cell r="E1977" t="str">
            <v>D25013804</v>
          </cell>
          <cell r="F1977"/>
          <cell r="G1977">
            <v>3500000000</v>
          </cell>
          <cell r="H1977" t="str">
            <v>Reni</v>
          </cell>
          <cell r="I1977" t="str">
            <v>Farida</v>
          </cell>
          <cell r="J1977"/>
          <cell r="K1977" t="str">
            <v>KU</v>
          </cell>
          <cell r="L1977" t="str">
            <v>SURY08</v>
          </cell>
          <cell r="M1977" t="str">
            <v>CV. Surya Agro Pradhana</v>
          </cell>
          <cell r="N1977" t="str">
            <v>Surya Agro Pradhana, CV</v>
          </cell>
          <cell r="O1977" t="str">
            <v>Jl. Raya Segodorejo, RT.001/RW.003 Segodorejo, Sumobito, Kab. Jombang</v>
          </cell>
          <cell r="P1977" t="str">
            <v>Jombang</v>
          </cell>
          <cell r="Q1977" t="str">
            <v>Dsn. Ingas Pendowo, RT.001/RW.003 Sumobito, Kab. Jombang</v>
          </cell>
          <cell r="R1977" t="str">
            <v>Jombang</v>
          </cell>
          <cell r="S1977" t="str">
            <v>D Barat2</v>
          </cell>
          <cell r="T1977" t="str">
            <v>Tomi</v>
          </cell>
          <cell r="U1977">
            <v>60</v>
          </cell>
        </row>
        <row r="1978">
          <cell r="E1978" t="str">
            <v>D25013963</v>
          </cell>
          <cell r="F1978"/>
          <cell r="G1978">
            <v>3500000000</v>
          </cell>
          <cell r="H1978" t="str">
            <v>Reni</v>
          </cell>
          <cell r="I1978" t="str">
            <v>Farida</v>
          </cell>
          <cell r="J1978"/>
          <cell r="K1978" t="str">
            <v>KU</v>
          </cell>
          <cell r="L1978" t="str">
            <v>SURY08</v>
          </cell>
          <cell r="M1978" t="str">
            <v>CV. Surya Agro Pradhana</v>
          </cell>
          <cell r="N1978" t="str">
            <v>Surya Agro Pradhana, CV</v>
          </cell>
          <cell r="O1978" t="str">
            <v>Jl. Raya Segodorejo, RT.001/RW.003 Segodorejo, Sumobito, Kab. Jombang</v>
          </cell>
          <cell r="P1978" t="str">
            <v>Jombang</v>
          </cell>
          <cell r="Q1978" t="str">
            <v>Dsn. Ingas Pendowo, RT.001/RW.003 Sumobito, Kab. Jombang</v>
          </cell>
          <cell r="R1978" t="str">
            <v>Jombang</v>
          </cell>
          <cell r="S1978" t="str">
            <v>D Barat2</v>
          </cell>
          <cell r="T1978" t="str">
            <v>Tomi</v>
          </cell>
          <cell r="U1978">
            <v>60</v>
          </cell>
        </row>
        <row r="1979">
          <cell r="E1979" t="str">
            <v>B25011791</v>
          </cell>
          <cell r="F1979"/>
          <cell r="G1979">
            <v>3500000000</v>
          </cell>
          <cell r="H1979" t="str">
            <v>Reni</v>
          </cell>
          <cell r="I1979" t="str">
            <v>Farida</v>
          </cell>
          <cell r="J1979"/>
          <cell r="K1979" t="str">
            <v>KU</v>
          </cell>
          <cell r="L1979" t="str">
            <v>SURY08</v>
          </cell>
          <cell r="M1979" t="str">
            <v>CV. Surya Agro Pradhana</v>
          </cell>
          <cell r="N1979" t="str">
            <v>Surya Agro Pradhana, CV</v>
          </cell>
          <cell r="O1979" t="str">
            <v>Jl. Raya Segodorejo, RT.001/RW.003 Segodorejo, Sumobito, Kab. Jombang</v>
          </cell>
          <cell r="P1979" t="str">
            <v>Jombang</v>
          </cell>
          <cell r="Q1979" t="str">
            <v>Dsn. Ingas Pendowo, RT.001/RW.003 Sumobito, Kab. Jombang</v>
          </cell>
          <cell r="R1979" t="str">
            <v>Jombang</v>
          </cell>
          <cell r="S1979" t="str">
            <v>D Barat2</v>
          </cell>
          <cell r="T1979" t="str">
            <v>Tomi</v>
          </cell>
          <cell r="U1979">
            <v>60</v>
          </cell>
        </row>
        <row r="1980">
          <cell r="E1980" t="str">
            <v>D25013994</v>
          </cell>
          <cell r="F1980"/>
          <cell r="G1980">
            <v>3500000000</v>
          </cell>
          <cell r="H1980" t="str">
            <v>Reni</v>
          </cell>
          <cell r="I1980" t="str">
            <v>Farida</v>
          </cell>
          <cell r="J1980"/>
          <cell r="K1980" t="str">
            <v>KU</v>
          </cell>
          <cell r="L1980" t="str">
            <v>SURY08</v>
          </cell>
          <cell r="M1980" t="str">
            <v>CV. Surya Agro Pradhana</v>
          </cell>
          <cell r="N1980" t="str">
            <v>Surya Agro Pradhana, CV</v>
          </cell>
          <cell r="O1980" t="str">
            <v>Jl. Raya Segodorejo, RT.001/RW.003 Segodorejo, Sumobito, Kab. Jombang</v>
          </cell>
          <cell r="P1980" t="str">
            <v>Jombang</v>
          </cell>
          <cell r="Q1980" t="str">
            <v>Dsn. Ingas Pendowo, RT.001/RW.003 Sumobito, Kab. Jombang</v>
          </cell>
          <cell r="R1980" t="str">
            <v>Jombang</v>
          </cell>
          <cell r="S1980" t="str">
            <v>D Barat2</v>
          </cell>
          <cell r="T1980" t="str">
            <v>Tomi</v>
          </cell>
          <cell r="U1980">
            <v>60</v>
          </cell>
        </row>
        <row r="1981">
          <cell r="E1981" t="str">
            <v>D25014353</v>
          </cell>
          <cell r="F1981"/>
          <cell r="G1981">
            <v>3500000000</v>
          </cell>
          <cell r="H1981" t="str">
            <v>Reni</v>
          </cell>
          <cell r="I1981" t="str">
            <v>Farida</v>
          </cell>
          <cell r="J1981"/>
          <cell r="K1981" t="str">
            <v>KU</v>
          </cell>
          <cell r="L1981" t="str">
            <v>SURY08</v>
          </cell>
          <cell r="M1981" t="str">
            <v>CV. Surya Agro Pradhana</v>
          </cell>
          <cell r="N1981" t="str">
            <v>Surya Agro Pradhana, CV</v>
          </cell>
          <cell r="O1981" t="str">
            <v>Jl. Raya Segodorejo, RT.001/RW.003 Segodorejo, Sumobito, Kab. Jombang</v>
          </cell>
          <cell r="P1981" t="str">
            <v>Jombang</v>
          </cell>
          <cell r="Q1981" t="str">
            <v>Dsn. Ingas Pendowo, RT.001/RW.003 Sumobito, Kab. Jombang</v>
          </cell>
          <cell r="R1981" t="str">
            <v>Jombang</v>
          </cell>
          <cell r="S1981" t="str">
            <v>D Barat2</v>
          </cell>
          <cell r="T1981" t="str">
            <v>Tomi</v>
          </cell>
          <cell r="U1981">
            <v>60</v>
          </cell>
        </row>
        <row r="1982">
          <cell r="E1982" t="str">
            <v>B25012275</v>
          </cell>
          <cell r="F1982"/>
          <cell r="G1982">
            <v>3500000000</v>
          </cell>
          <cell r="H1982" t="str">
            <v>Reni</v>
          </cell>
          <cell r="I1982" t="str">
            <v>Farida</v>
          </cell>
          <cell r="J1982"/>
          <cell r="K1982" t="str">
            <v>KU</v>
          </cell>
          <cell r="L1982" t="str">
            <v>SURY08</v>
          </cell>
          <cell r="M1982" t="str">
            <v>CV. Surya Agro Pradhana</v>
          </cell>
          <cell r="N1982" t="str">
            <v>Surya Agro Pradhana, CV</v>
          </cell>
          <cell r="O1982" t="str">
            <v>Jl. Raya Segodorejo, RT.001/RW.003 Segodorejo, Sumobito, Kab. Jombang</v>
          </cell>
          <cell r="P1982" t="str">
            <v>Jombang</v>
          </cell>
          <cell r="Q1982" t="str">
            <v>Dsn. Ingas Pendowo, RT.001/RW.003 Sumobito, Kab. Jombang</v>
          </cell>
          <cell r="R1982" t="str">
            <v>Jombang</v>
          </cell>
          <cell r="S1982" t="str">
            <v>D Barat2</v>
          </cell>
          <cell r="T1982" t="str">
            <v>Tomi</v>
          </cell>
          <cell r="U1982">
            <v>60</v>
          </cell>
        </row>
        <row r="1983">
          <cell r="E1983" t="str">
            <v>D25014569</v>
          </cell>
          <cell r="F1983"/>
          <cell r="G1983">
            <v>3500000000</v>
          </cell>
          <cell r="H1983" t="str">
            <v>Reni</v>
          </cell>
          <cell r="I1983" t="str">
            <v>Farida</v>
          </cell>
          <cell r="J1983"/>
          <cell r="K1983" t="str">
            <v>KU</v>
          </cell>
          <cell r="L1983" t="str">
            <v>SURY08</v>
          </cell>
          <cell r="M1983" t="str">
            <v>CV. Surya Agro Pradhana</v>
          </cell>
          <cell r="N1983" t="str">
            <v>Surya Agro Pradhana, CV</v>
          </cell>
          <cell r="O1983" t="str">
            <v>Jl. Raya Segodorejo, RT.001/RW.003 Segodorejo, Sumobito, Kab. Jombang</v>
          </cell>
          <cell r="P1983" t="str">
            <v>Jombang</v>
          </cell>
          <cell r="Q1983" t="str">
            <v>Dsn. Ingas Pendowo, RT.001/RW.003 Sumobito, Kab. Jombang</v>
          </cell>
          <cell r="R1983" t="str">
            <v>Jombang</v>
          </cell>
          <cell r="S1983" t="str">
            <v>D Barat2</v>
          </cell>
          <cell r="T1983" t="str">
            <v>Tomi</v>
          </cell>
          <cell r="U1983">
            <v>60</v>
          </cell>
        </row>
        <row r="1984">
          <cell r="E1984" t="str">
            <v>D25014570</v>
          </cell>
          <cell r="F1984"/>
          <cell r="G1984">
            <v>3500000000</v>
          </cell>
          <cell r="H1984" t="str">
            <v>Reni</v>
          </cell>
          <cell r="I1984" t="str">
            <v>Farida</v>
          </cell>
          <cell r="J1984"/>
          <cell r="K1984" t="str">
            <v>KU</v>
          </cell>
          <cell r="L1984" t="str">
            <v>SURY08</v>
          </cell>
          <cell r="M1984" t="str">
            <v>CV. Surya Agro Pradhana</v>
          </cell>
          <cell r="N1984" t="str">
            <v>Surya Agro Pradhana, CV</v>
          </cell>
          <cell r="O1984" t="str">
            <v>Jl. Raya Segodorejo, RT.001/RW.003 Segodorejo, Sumobito, Kab. Jombang</v>
          </cell>
          <cell r="P1984" t="str">
            <v>Jombang</v>
          </cell>
          <cell r="Q1984" t="str">
            <v>Dsn. Ingas Pendowo, RT.001/RW.003 Sumobito, Kab. Jombang</v>
          </cell>
          <cell r="R1984" t="str">
            <v>Jombang</v>
          </cell>
          <cell r="S1984" t="str">
            <v>D Barat2</v>
          </cell>
          <cell r="T1984" t="str">
            <v>Tomi</v>
          </cell>
          <cell r="U1984">
            <v>60</v>
          </cell>
        </row>
        <row r="1985">
          <cell r="E1985" t="str">
            <v>B25012473</v>
          </cell>
          <cell r="F1985"/>
          <cell r="G1985">
            <v>3500000000</v>
          </cell>
          <cell r="H1985" t="str">
            <v>Reni</v>
          </cell>
          <cell r="I1985" t="str">
            <v>Farida</v>
          </cell>
          <cell r="J1985"/>
          <cell r="K1985" t="str">
            <v>KU</v>
          </cell>
          <cell r="L1985" t="str">
            <v>SURY08</v>
          </cell>
          <cell r="M1985" t="str">
            <v>CV. Surya Agro Pradhana</v>
          </cell>
          <cell r="N1985" t="str">
            <v>Surya Agro Pradhana, CV</v>
          </cell>
          <cell r="O1985" t="str">
            <v>Jl. Raya Segodorejo, RT.001/RW.003 Segodorejo, Sumobito, Kab. Jombang</v>
          </cell>
          <cell r="P1985" t="str">
            <v>Jombang</v>
          </cell>
          <cell r="Q1985" t="str">
            <v>Dsn. Ingas Pendowo, RT.001/RW.003 Sumobito, Kab. Jombang</v>
          </cell>
          <cell r="R1985" t="str">
            <v>Jombang</v>
          </cell>
          <cell r="S1985" t="str">
            <v>D Barat2</v>
          </cell>
          <cell r="T1985" t="str">
            <v>Tomi</v>
          </cell>
          <cell r="U1985">
            <v>60</v>
          </cell>
        </row>
        <row r="1986">
          <cell r="E1986" t="str">
            <v>B25012495</v>
          </cell>
          <cell r="F1986"/>
          <cell r="G1986">
            <v>3500000000</v>
          </cell>
          <cell r="H1986" t="str">
            <v>Reni</v>
          </cell>
          <cell r="I1986" t="str">
            <v>Farida</v>
          </cell>
          <cell r="J1986"/>
          <cell r="K1986" t="str">
            <v>KU</v>
          </cell>
          <cell r="L1986" t="str">
            <v>SURY08</v>
          </cell>
          <cell r="M1986" t="str">
            <v>CV. Surya Agro Pradhana</v>
          </cell>
          <cell r="N1986" t="str">
            <v>Surya Agro Pradhana, CV</v>
          </cell>
          <cell r="O1986" t="str">
            <v>Jl. Raya Segodorejo, RT.001/RW.003 Segodorejo, Sumobito, Kab. Jombang</v>
          </cell>
          <cell r="P1986" t="str">
            <v>Jombang</v>
          </cell>
          <cell r="Q1986" t="str">
            <v>Dsn. Ingas Pendowo, RT.001/RW.003 Sumobito, Kab. Jombang</v>
          </cell>
          <cell r="R1986" t="str">
            <v>Jombang</v>
          </cell>
          <cell r="S1986" t="str">
            <v>D Barat2</v>
          </cell>
          <cell r="T1986" t="str">
            <v>Tomi</v>
          </cell>
          <cell r="U1986">
            <v>0</v>
          </cell>
        </row>
        <row r="1987">
          <cell r="E1987" t="str">
            <v>D25014728</v>
          </cell>
          <cell r="F1987"/>
          <cell r="G1987">
            <v>3500000000</v>
          </cell>
          <cell r="H1987" t="str">
            <v>Reni</v>
          </cell>
          <cell r="I1987" t="str">
            <v>Farida</v>
          </cell>
          <cell r="J1987"/>
          <cell r="K1987" t="str">
            <v>KU</v>
          </cell>
          <cell r="L1987" t="str">
            <v>SURY08</v>
          </cell>
          <cell r="M1987" t="str">
            <v>CV. Surya Agro Pradhana</v>
          </cell>
          <cell r="N1987" t="str">
            <v>Surya Agro Pradhana, CV</v>
          </cell>
          <cell r="O1987" t="str">
            <v>Jl. Raya Segodorejo, RT.001/RW.003 Segodorejo, Sumobito, Kab. Jombang</v>
          </cell>
          <cell r="P1987" t="str">
            <v>Jombang</v>
          </cell>
          <cell r="Q1987" t="str">
            <v>Dsn. Ingas Pendowo, RT.001/RW.003 Sumobito, Kab. Jombang</v>
          </cell>
          <cell r="R1987" t="str">
            <v>Jombang</v>
          </cell>
          <cell r="S1987" t="str">
            <v>D Barat2</v>
          </cell>
          <cell r="T1987" t="str">
            <v>Tomi</v>
          </cell>
          <cell r="U1987">
            <v>60</v>
          </cell>
        </row>
        <row r="1988">
          <cell r="E1988" t="str">
            <v>B25012522</v>
          </cell>
          <cell r="F1988"/>
          <cell r="G1988">
            <v>3500000000</v>
          </cell>
          <cell r="H1988" t="str">
            <v>Reni</v>
          </cell>
          <cell r="I1988" t="str">
            <v>Farida</v>
          </cell>
          <cell r="J1988"/>
          <cell r="K1988" t="str">
            <v>KU</v>
          </cell>
          <cell r="L1988" t="str">
            <v>SURY08</v>
          </cell>
          <cell r="M1988" t="str">
            <v>CV. Surya Agro Pradhana</v>
          </cell>
          <cell r="N1988" t="str">
            <v>Surya Agro Pradhana, CV</v>
          </cell>
          <cell r="O1988" t="str">
            <v>Jl. Raya Segodorejo, RT.001/RW.003 Segodorejo, Sumobito, Kab. Jombang</v>
          </cell>
          <cell r="P1988" t="str">
            <v>Jombang</v>
          </cell>
          <cell r="Q1988" t="str">
            <v>Dsn. Ingas Pendowo, RT.001/RW.003 Sumobito, Kab. Jombang</v>
          </cell>
          <cell r="R1988" t="str">
            <v>Jombang</v>
          </cell>
          <cell r="S1988" t="str">
            <v>D Barat2</v>
          </cell>
          <cell r="T1988" t="str">
            <v>Tomi</v>
          </cell>
          <cell r="U1988">
            <v>0</v>
          </cell>
        </row>
        <row r="1989">
          <cell r="E1989" t="str">
            <v>B25012551</v>
          </cell>
          <cell r="F1989"/>
          <cell r="G1989">
            <v>3500000000</v>
          </cell>
          <cell r="H1989" t="str">
            <v>Reni</v>
          </cell>
          <cell r="I1989" t="str">
            <v>Farida</v>
          </cell>
          <cell r="J1989"/>
          <cell r="K1989" t="str">
            <v>KU</v>
          </cell>
          <cell r="L1989" t="str">
            <v>SURY08</v>
          </cell>
          <cell r="M1989" t="str">
            <v>CV. Surya Agro Pradhana</v>
          </cell>
          <cell r="N1989" t="str">
            <v>Surya Agro Pradhana, CV</v>
          </cell>
          <cell r="O1989" t="str">
            <v>Jl. Raya Segodorejo, RT.001/RW.003 Segodorejo, Sumobito, Kab. Jombang</v>
          </cell>
          <cell r="P1989" t="str">
            <v>Jombang</v>
          </cell>
          <cell r="Q1989" t="str">
            <v>Dsn. Ingas Pendowo, RT.001/RW.003 Sumobito, Kab. Jombang</v>
          </cell>
          <cell r="R1989" t="str">
            <v>Jombang</v>
          </cell>
          <cell r="S1989" t="str">
            <v>D Barat2</v>
          </cell>
          <cell r="T1989" t="str">
            <v>Tomi</v>
          </cell>
          <cell r="U1989">
            <v>60</v>
          </cell>
        </row>
        <row r="1990">
          <cell r="E1990" t="str">
            <v>D25014922</v>
          </cell>
          <cell r="F1990"/>
          <cell r="G1990">
            <v>3500000000</v>
          </cell>
          <cell r="H1990" t="str">
            <v>Reni</v>
          </cell>
          <cell r="I1990" t="str">
            <v>Farida</v>
          </cell>
          <cell r="J1990"/>
          <cell r="K1990" t="str">
            <v>KU</v>
          </cell>
          <cell r="L1990" t="str">
            <v>SURY08</v>
          </cell>
          <cell r="M1990" t="str">
            <v>CV. Surya Agro Pradhana</v>
          </cell>
          <cell r="N1990" t="str">
            <v>Surya Agro Pradhana, CV</v>
          </cell>
          <cell r="O1990" t="str">
            <v>Jl. Raya Segodorejo, RT.001/RW.003 Segodorejo, Sumobito, Kab. Jombang</v>
          </cell>
          <cell r="P1990" t="str">
            <v>Jombang</v>
          </cell>
          <cell r="Q1990" t="str">
            <v>Dsn. Ingas Pendowo, RT.001/RW.003 Sumobito, Kab. Jombang</v>
          </cell>
          <cell r="R1990" t="str">
            <v>Jombang</v>
          </cell>
          <cell r="S1990" t="str">
            <v>D Barat2</v>
          </cell>
          <cell r="T1990" t="str">
            <v>Tomi</v>
          </cell>
          <cell r="U1990">
            <v>0</v>
          </cell>
        </row>
        <row r="1991">
          <cell r="E1991" t="str">
            <v>D25014922</v>
          </cell>
          <cell r="F1991"/>
          <cell r="G1991">
            <v>3500000000</v>
          </cell>
          <cell r="H1991" t="str">
            <v>Reni</v>
          </cell>
          <cell r="I1991" t="str">
            <v>Farida</v>
          </cell>
          <cell r="J1991"/>
          <cell r="K1991" t="str">
            <v>KU</v>
          </cell>
          <cell r="L1991" t="str">
            <v>SURY08</v>
          </cell>
          <cell r="M1991" t="str">
            <v>CV. Surya Agro Pradhana</v>
          </cell>
          <cell r="N1991" t="str">
            <v>Surya Agro Pradhana, CV</v>
          </cell>
          <cell r="O1991" t="str">
            <v>Jl. Raya Segodorejo, RT.001/RW.003 Segodorejo, Sumobito, Kab. Jombang</v>
          </cell>
          <cell r="P1991" t="str">
            <v>Jombang</v>
          </cell>
          <cell r="Q1991" t="str">
            <v>Dsn. Ingas Pendowo, RT.001/RW.003 Sumobito, Kab. Jombang</v>
          </cell>
          <cell r="R1991" t="str">
            <v>Jombang</v>
          </cell>
          <cell r="S1991" t="str">
            <v>D Barat2</v>
          </cell>
          <cell r="T1991" t="str">
            <v>Tomi</v>
          </cell>
          <cell r="U1991">
            <v>0</v>
          </cell>
        </row>
        <row r="1992">
          <cell r="E1992" t="str">
            <v>D25014922</v>
          </cell>
          <cell r="F1992"/>
          <cell r="G1992">
            <v>3500000000</v>
          </cell>
          <cell r="H1992" t="str">
            <v>Reni</v>
          </cell>
          <cell r="I1992" t="str">
            <v>Farida</v>
          </cell>
          <cell r="J1992"/>
          <cell r="K1992" t="str">
            <v>KU</v>
          </cell>
          <cell r="L1992" t="str">
            <v>SURY08</v>
          </cell>
          <cell r="M1992" t="str">
            <v>CV. Surya Agro Pradhana</v>
          </cell>
          <cell r="N1992" t="str">
            <v>Surya Agro Pradhana, CV</v>
          </cell>
          <cell r="O1992" t="str">
            <v>Jl. Raya Segodorejo, RT.001/RW.003 Segodorejo, Sumobito, Kab. Jombang</v>
          </cell>
          <cell r="P1992" t="str">
            <v>Jombang</v>
          </cell>
          <cell r="Q1992" t="str">
            <v>Dsn. Ingas Pendowo, RT.001/RW.003 Sumobito, Kab. Jombang</v>
          </cell>
          <cell r="R1992" t="str">
            <v>Jombang</v>
          </cell>
          <cell r="S1992" t="str">
            <v>D Barat2</v>
          </cell>
          <cell r="T1992" t="str">
            <v>Tomi</v>
          </cell>
          <cell r="U1992">
            <v>0</v>
          </cell>
        </row>
        <row r="1993">
          <cell r="E1993" t="str">
            <v>D25014943</v>
          </cell>
          <cell r="F1993"/>
          <cell r="G1993">
            <v>3500000000</v>
          </cell>
          <cell r="H1993" t="str">
            <v>Reni</v>
          </cell>
          <cell r="I1993" t="str">
            <v>Farida</v>
          </cell>
          <cell r="J1993"/>
          <cell r="K1993" t="str">
            <v>KU</v>
          </cell>
          <cell r="L1993" t="str">
            <v>SURY08</v>
          </cell>
          <cell r="M1993" t="str">
            <v>CV. Surya Agro Pradhana</v>
          </cell>
          <cell r="N1993" t="str">
            <v>Surya Agro Pradhana, CV</v>
          </cell>
          <cell r="O1993" t="str">
            <v>Jl. Raya Segodorejo, RT.001/RW.003 Segodorejo, Sumobito, Kab. Jombang</v>
          </cell>
          <cell r="P1993" t="str">
            <v>Jombang</v>
          </cell>
          <cell r="Q1993" t="str">
            <v>Dsn. Ingas Pendowo, RT.001/RW.003 Sumobito, Kab. Jombang</v>
          </cell>
          <cell r="R1993" t="str">
            <v>Jombang</v>
          </cell>
          <cell r="S1993" t="str">
            <v>D Barat2</v>
          </cell>
          <cell r="T1993" t="str">
            <v>Tomi</v>
          </cell>
          <cell r="U1993">
            <v>45</v>
          </cell>
        </row>
        <row r="1994">
          <cell r="E1994" t="str">
            <v>B25013191</v>
          </cell>
          <cell r="F1994"/>
          <cell r="G1994">
            <v>3500000000</v>
          </cell>
          <cell r="H1994" t="str">
            <v>Reni</v>
          </cell>
          <cell r="I1994" t="str">
            <v>Farida</v>
          </cell>
          <cell r="J1994"/>
          <cell r="K1994" t="str">
            <v>KU</v>
          </cell>
          <cell r="L1994" t="str">
            <v>SURY08</v>
          </cell>
          <cell r="M1994" t="str">
            <v>CV. Surya Agro Pradhana</v>
          </cell>
          <cell r="N1994" t="str">
            <v>Surya Agro Pradhana, CV</v>
          </cell>
          <cell r="O1994" t="str">
            <v>Jl. Raya Segodorejo, RT.001/RW.003 Segodorejo, Sumobito, Kab. Jombang</v>
          </cell>
          <cell r="P1994" t="str">
            <v>Jombang</v>
          </cell>
          <cell r="Q1994" t="str">
            <v>Dsn. Ingas Pendowo, RT.001/RW.003 Sumobito, Kab. Jombang</v>
          </cell>
          <cell r="R1994" t="str">
            <v>Jombang</v>
          </cell>
          <cell r="S1994" t="str">
            <v>D Barat2</v>
          </cell>
          <cell r="T1994" t="str">
            <v>Tomi</v>
          </cell>
          <cell r="U1994">
            <v>60</v>
          </cell>
        </row>
        <row r="1995">
          <cell r="E1995" t="str">
            <v>B25013750</v>
          </cell>
          <cell r="F1995"/>
          <cell r="G1995">
            <v>3500000000</v>
          </cell>
          <cell r="H1995" t="str">
            <v>Reni</v>
          </cell>
          <cell r="I1995" t="str">
            <v>Farida</v>
          </cell>
          <cell r="J1995"/>
          <cell r="K1995" t="str">
            <v>KU</v>
          </cell>
          <cell r="L1995" t="str">
            <v>SURY08</v>
          </cell>
          <cell r="M1995" t="str">
            <v>CV. Surya Agro Pradhana</v>
          </cell>
          <cell r="N1995" t="str">
            <v>Surya Agro Pradhana, CV</v>
          </cell>
          <cell r="O1995" t="str">
            <v>Jl. Raya Segodorejo, RT.001/RW.003 Segodorejo, Sumobito, Kab. Jombang</v>
          </cell>
          <cell r="P1995" t="str">
            <v>Jombang</v>
          </cell>
          <cell r="Q1995" t="str">
            <v>Dsn. Ingas Pendowo, RT.001/RW.003 Sumobito, Kab. Jombang</v>
          </cell>
          <cell r="R1995" t="str">
            <v>Jombang</v>
          </cell>
          <cell r="S1995" t="str">
            <v>D Barat2</v>
          </cell>
          <cell r="T1995" t="str">
            <v>Tomi</v>
          </cell>
          <cell r="U1995">
            <v>0</v>
          </cell>
        </row>
        <row r="1996">
          <cell r="E1996" t="str">
            <v>D25016251</v>
          </cell>
          <cell r="F1996"/>
          <cell r="G1996">
            <v>3500000000</v>
          </cell>
          <cell r="H1996" t="str">
            <v>Reni</v>
          </cell>
          <cell r="I1996" t="str">
            <v>Farida</v>
          </cell>
          <cell r="J1996"/>
          <cell r="K1996" t="str">
            <v>KU</v>
          </cell>
          <cell r="L1996" t="str">
            <v>SURY08</v>
          </cell>
          <cell r="M1996" t="str">
            <v>CV. Surya Agro Pradhana</v>
          </cell>
          <cell r="N1996" t="str">
            <v>Surya Agro Pradhana, CV</v>
          </cell>
          <cell r="O1996" t="str">
            <v>Jl. Raya Segodorejo, RT.001/RW.003 Segodorejo, Sumobito, Kab. Jombang</v>
          </cell>
          <cell r="P1996" t="str">
            <v>Jombang</v>
          </cell>
          <cell r="Q1996" t="str">
            <v>Dsn. Ingas Pendowo, RT.001/RW.003 Sumobito, Kab. Jombang</v>
          </cell>
          <cell r="R1996" t="str">
            <v>Jombang</v>
          </cell>
          <cell r="S1996" t="str">
            <v>D Barat2</v>
          </cell>
          <cell r="T1996" t="str">
            <v>Tomi</v>
          </cell>
          <cell r="U1996">
            <v>45</v>
          </cell>
        </row>
        <row r="1997">
          <cell r="E1997" t="str">
            <v>B25011111</v>
          </cell>
          <cell r="F1997"/>
          <cell r="G1997">
            <v>80000000</v>
          </cell>
          <cell r="H1997" t="str">
            <v>Reni</v>
          </cell>
          <cell r="I1997" t="str">
            <v>Farida</v>
          </cell>
          <cell r="J1997" t="str">
            <v>New 03/07/21</v>
          </cell>
          <cell r="K1997" t="str">
            <v>KU</v>
          </cell>
          <cell r="L1997" t="str">
            <v>DLIV01</v>
          </cell>
          <cell r="M1997" t="str">
            <v>D Live Tani</v>
          </cell>
          <cell r="N1997" t="str">
            <v>Zeni Alfianto</v>
          </cell>
          <cell r="O1997" t="str">
            <v>Bedali, RT.023/RW.008, Kel. Dalisodo, Kec. Wagir</v>
          </cell>
          <cell r="P1997" t="str">
            <v>Malang</v>
          </cell>
          <cell r="Q1997" t="str">
            <v>Bedali, RT.023/RW.008, Kel. Dalisodo, Kec. Wagir</v>
          </cell>
          <cell r="R1997" t="str">
            <v>Malang</v>
          </cell>
          <cell r="S1997" t="str">
            <v>F Utara1</v>
          </cell>
          <cell r="T1997" t="str">
            <v>Tomi</v>
          </cell>
          <cell r="U1997">
            <v>60</v>
          </cell>
        </row>
        <row r="1998">
          <cell r="E1998" t="str">
            <v>B25011111</v>
          </cell>
          <cell r="F1998"/>
          <cell r="G1998">
            <v>80000000</v>
          </cell>
          <cell r="H1998" t="str">
            <v>Reni</v>
          </cell>
          <cell r="I1998" t="str">
            <v>Farida</v>
          </cell>
          <cell r="J1998" t="str">
            <v>New 03/07/21</v>
          </cell>
          <cell r="K1998" t="str">
            <v>KU</v>
          </cell>
          <cell r="L1998" t="str">
            <v>DLIV01</v>
          </cell>
          <cell r="M1998" t="str">
            <v>D Live Tani</v>
          </cell>
          <cell r="N1998" t="str">
            <v>Zeni Alfianto</v>
          </cell>
          <cell r="O1998" t="str">
            <v>Bedali, RT.023/RW.008, Kel. Dalisodo, Kec. Wagir</v>
          </cell>
          <cell r="P1998" t="str">
            <v>Malang</v>
          </cell>
          <cell r="Q1998" t="str">
            <v>Bedali, RT.023/RW.008, Kel. Dalisodo, Kec. Wagir</v>
          </cell>
          <cell r="R1998" t="str">
            <v>Malang</v>
          </cell>
          <cell r="S1998" t="str">
            <v>F Utara1</v>
          </cell>
          <cell r="T1998" t="str">
            <v>Tomi</v>
          </cell>
          <cell r="U1998">
            <v>60</v>
          </cell>
        </row>
        <row r="1999">
          <cell r="E1999" t="str">
            <v>D25014302</v>
          </cell>
          <cell r="F1999"/>
          <cell r="G1999">
            <v>80000000</v>
          </cell>
          <cell r="H1999" t="str">
            <v>Reni</v>
          </cell>
          <cell r="I1999" t="str">
            <v>Farida</v>
          </cell>
          <cell r="J1999" t="str">
            <v>New 03/07/21</v>
          </cell>
          <cell r="K1999" t="str">
            <v>KU</v>
          </cell>
          <cell r="L1999" t="str">
            <v>DLIV01</v>
          </cell>
          <cell r="M1999" t="str">
            <v>D Live Tani</v>
          </cell>
          <cell r="N1999" t="str">
            <v>Zeni Alfianto</v>
          </cell>
          <cell r="O1999" t="str">
            <v>Bedali, RT.023/RW.008, Kel. Dalisodo, Kec. Wagir</v>
          </cell>
          <cell r="P1999" t="str">
            <v>Malang</v>
          </cell>
          <cell r="Q1999" t="str">
            <v>Bedali, RT.023/RW.008, Kel. Dalisodo, Kec. Wagir</v>
          </cell>
          <cell r="R1999" t="str">
            <v>Malang</v>
          </cell>
          <cell r="S1999" t="str">
            <v>F Utara1</v>
          </cell>
          <cell r="T1999" t="str">
            <v>Tomi</v>
          </cell>
          <cell r="U1999">
            <v>60</v>
          </cell>
        </row>
        <row r="2000">
          <cell r="E2000" t="str">
            <v>B25012514</v>
          </cell>
          <cell r="F2000"/>
          <cell r="G2000">
            <v>80000000</v>
          </cell>
          <cell r="H2000" t="str">
            <v>Reni</v>
          </cell>
          <cell r="I2000" t="str">
            <v>Farida</v>
          </cell>
          <cell r="J2000" t="str">
            <v>New 03/07/21</v>
          </cell>
          <cell r="K2000" t="str">
            <v>KU</v>
          </cell>
          <cell r="L2000" t="str">
            <v>DLIV01</v>
          </cell>
          <cell r="M2000" t="str">
            <v>D Live Tani</v>
          </cell>
          <cell r="N2000" t="str">
            <v>Zeni Alfianto</v>
          </cell>
          <cell r="O2000" t="str">
            <v>Bedali, RT.023/RW.008, Kel. Dalisodo, Kec. Wagir</v>
          </cell>
          <cell r="P2000" t="str">
            <v>Malang</v>
          </cell>
          <cell r="Q2000" t="str">
            <v>Bedali, RT.023/RW.008, Kel. Dalisodo, Kec. Wagir</v>
          </cell>
          <cell r="R2000" t="str">
            <v>Malang</v>
          </cell>
          <cell r="S2000" t="str">
            <v>F Utara1</v>
          </cell>
          <cell r="T2000" t="str">
            <v>Tomi</v>
          </cell>
          <cell r="U2000">
            <v>60</v>
          </cell>
        </row>
        <row r="2001">
          <cell r="E2001" t="str">
            <v>D25014629</v>
          </cell>
          <cell r="F2001"/>
          <cell r="G2001">
            <v>1000</v>
          </cell>
          <cell r="H2001" t="str">
            <v>Faris</v>
          </cell>
          <cell r="I2001" t="str">
            <v>Syahra</v>
          </cell>
          <cell r="J2001" t="str">
            <v>New 27/07/23</v>
          </cell>
          <cell r="K2001" t="str">
            <v>KU</v>
          </cell>
          <cell r="L2001" t="str">
            <v>DAEN01</v>
          </cell>
          <cell r="M2001" t="str">
            <v>Daeng Tani/Rahmat Hidayah</v>
          </cell>
          <cell r="N2001" t="str">
            <v>Rahmat Hidayah Haeruddin</v>
          </cell>
          <cell r="O2001" t="str">
            <v>Dusun Krajan RT.001/RW.003, Kel. Sidorejo, Kec. Purwoharjo</v>
          </cell>
          <cell r="P2001" t="str">
            <v>Banyuwangi</v>
          </cell>
          <cell r="Q2001" t="str">
            <v>Dusun Krajan RT.001/RW.003, Kel. Sidorejo, Kec. Purwoharjo</v>
          </cell>
          <cell r="R2001" t="str">
            <v>Banyuwangi</v>
          </cell>
          <cell r="S2001" t="str">
            <v>H Bwi2</v>
          </cell>
          <cell r="T2001" t="str">
            <v>Hafid</v>
          </cell>
          <cell r="U2001">
            <v>0</v>
          </cell>
        </row>
        <row r="2002">
          <cell r="E2002" t="str">
            <v>B25012991</v>
          </cell>
          <cell r="F2002"/>
          <cell r="G2002">
            <v>1000</v>
          </cell>
          <cell r="H2002" t="str">
            <v>Faris</v>
          </cell>
          <cell r="I2002" t="str">
            <v>Syahra</v>
          </cell>
          <cell r="J2002" t="str">
            <v>New 27/07/23</v>
          </cell>
          <cell r="K2002" t="str">
            <v>KU</v>
          </cell>
          <cell r="L2002" t="str">
            <v>DAEN01</v>
          </cell>
          <cell r="M2002" t="str">
            <v>Daeng Tani/Rahmat Hidayah</v>
          </cell>
          <cell r="N2002" t="str">
            <v>Rahmat Hidayah Haeruddin</v>
          </cell>
          <cell r="O2002" t="str">
            <v>Dusun Krajan RT.001/RW.003, Kel. Sidorejo, Kec. Purwoharjo</v>
          </cell>
          <cell r="P2002" t="str">
            <v>Banyuwangi</v>
          </cell>
          <cell r="Q2002" t="str">
            <v>Dusun Krajan RT.001/RW.003, Kel. Sidorejo, Kec. Purwoharjo</v>
          </cell>
          <cell r="R2002" t="str">
            <v>Banyuwangi</v>
          </cell>
          <cell r="S2002" t="str">
            <v>H Bwi2</v>
          </cell>
          <cell r="T2002" t="str">
            <v>Hafid</v>
          </cell>
          <cell r="U2002">
            <v>0</v>
          </cell>
        </row>
        <row r="2003">
          <cell r="E2003" t="str">
            <v>B25013702</v>
          </cell>
          <cell r="F2003"/>
          <cell r="G2003">
            <v>1000</v>
          </cell>
          <cell r="H2003" t="str">
            <v>Faris</v>
          </cell>
          <cell r="I2003" t="str">
            <v>Syahra</v>
          </cell>
          <cell r="J2003" t="str">
            <v>New 27/07/23</v>
          </cell>
          <cell r="K2003" t="str">
            <v>KU</v>
          </cell>
          <cell r="L2003" t="str">
            <v>DAEN01</v>
          </cell>
          <cell r="M2003" t="str">
            <v>Daeng Tani/Rahmat Hidayah</v>
          </cell>
          <cell r="N2003" t="str">
            <v>Rahmat Hidayah Haeruddin</v>
          </cell>
          <cell r="O2003" t="str">
            <v>Dusun Krajan RT.001/RW.003, Kel. Sidorejo, Kec. Purwoharjo</v>
          </cell>
          <cell r="P2003" t="str">
            <v>Banyuwangi</v>
          </cell>
          <cell r="Q2003" t="str">
            <v>Dusun Krajan RT.001/RW.003, Kel. Sidorejo, Kec. Purwoharjo</v>
          </cell>
          <cell r="R2003" t="str">
            <v>Banyuwangi</v>
          </cell>
          <cell r="S2003" t="str">
            <v>H Bwi2</v>
          </cell>
          <cell r="T2003" t="str">
            <v>Hafid</v>
          </cell>
          <cell r="U2003">
            <v>0</v>
          </cell>
        </row>
        <row r="2004">
          <cell r="E2004" t="str">
            <v>B25012153</v>
          </cell>
          <cell r="F2004"/>
          <cell r="G2004">
            <v>100000000</v>
          </cell>
          <cell r="H2004" t="str">
            <v>Reni</v>
          </cell>
          <cell r="I2004" t="str">
            <v>Fira</v>
          </cell>
          <cell r="J2004"/>
          <cell r="K2004" t="str">
            <v>KU</v>
          </cell>
          <cell r="L2004" t="str">
            <v>DAKO01</v>
          </cell>
          <cell r="M2004" t="str">
            <v>Dakon Permai</v>
          </cell>
          <cell r="N2004" t="str">
            <v>Darmanto</v>
          </cell>
          <cell r="O2004" t="str">
            <v>Ngraseh, RT.015/RW.001, Kel. Ngraseh, Kec. Dander</v>
          </cell>
          <cell r="P2004" t="str">
            <v>Bojonegoro</v>
          </cell>
          <cell r="Q2004" t="str">
            <v>Ngraseh, RT.015/RW.001, Kel. Ngraseh, Kec. Dander</v>
          </cell>
          <cell r="R2004" t="str">
            <v>Bojonegoro</v>
          </cell>
          <cell r="S2004" t="str">
            <v>F Utara1</v>
          </cell>
          <cell r="T2004" t="str">
            <v>Dian</v>
          </cell>
          <cell r="U2004">
            <v>0</v>
          </cell>
        </row>
        <row r="2005">
          <cell r="E2005" t="str">
            <v>D25012625</v>
          </cell>
          <cell r="F2005"/>
          <cell r="G2005">
            <v>10000000</v>
          </cell>
          <cell r="H2005" t="str">
            <v>Yuyun</v>
          </cell>
          <cell r="I2005" t="str">
            <v>Syahra</v>
          </cell>
          <cell r="J2005"/>
          <cell r="K2005" t="str">
            <v>KU</v>
          </cell>
          <cell r="L2005" t="str">
            <v>DALT01</v>
          </cell>
          <cell r="M2005" t="str">
            <v>Daltry/Java Carlos</v>
          </cell>
          <cell r="N2005" t="str">
            <v>Daltry Presly Wellem</v>
          </cell>
          <cell r="O2005" t="str">
            <v>Kr. Klumprik Utara TT No.21, RT.010/RW.006 Balas Klumprik, Wiyung</v>
          </cell>
          <cell r="P2005" t="str">
            <v>Surabaya</v>
          </cell>
          <cell r="Q2005" t="str">
            <v>Jember</v>
          </cell>
          <cell r="R2005" t="str">
            <v>Jember</v>
          </cell>
          <cell r="S2005" t="str">
            <v>B Agronomis</v>
          </cell>
          <cell r="T2005" t="str">
            <v>Wira</v>
          </cell>
          <cell r="U2005">
            <v>90</v>
          </cell>
        </row>
        <row r="2006">
          <cell r="E2006" t="str">
            <v>D25014027</v>
          </cell>
          <cell r="F2006"/>
          <cell r="G2006">
            <v>10000000</v>
          </cell>
          <cell r="H2006" t="str">
            <v>Yuyun</v>
          </cell>
          <cell r="I2006" t="str">
            <v>Syahra</v>
          </cell>
          <cell r="J2006"/>
          <cell r="K2006" t="str">
            <v>KU</v>
          </cell>
          <cell r="L2006" t="str">
            <v>DALT01</v>
          </cell>
          <cell r="M2006" t="str">
            <v>Daltry/Java Carlos</v>
          </cell>
          <cell r="N2006" t="str">
            <v>Daltry Presly Wellem</v>
          </cell>
          <cell r="O2006" t="str">
            <v>Kr. Klumprik Utara TT No.21, RT.010/RW.006 Balas Klumprik, Wiyung</v>
          </cell>
          <cell r="P2006" t="str">
            <v>Surabaya</v>
          </cell>
          <cell r="Q2006" t="str">
            <v>Jember</v>
          </cell>
          <cell r="R2006" t="str">
            <v>Jember</v>
          </cell>
          <cell r="S2006" t="str">
            <v>B Agronomis</v>
          </cell>
          <cell r="T2006" t="str">
            <v>Wira</v>
          </cell>
          <cell r="U2006">
            <v>90</v>
          </cell>
        </row>
        <row r="2007">
          <cell r="E2007" t="str">
            <v>B25012458</v>
          </cell>
          <cell r="F2007"/>
          <cell r="G2007">
            <v>10000000</v>
          </cell>
          <cell r="H2007" t="str">
            <v>Yuyun</v>
          </cell>
          <cell r="I2007" t="str">
            <v>Syahra</v>
          </cell>
          <cell r="J2007"/>
          <cell r="K2007" t="str">
            <v>KU</v>
          </cell>
          <cell r="L2007" t="str">
            <v>DALT01</v>
          </cell>
          <cell r="M2007" t="str">
            <v>Daltry/Java Carlos</v>
          </cell>
          <cell r="N2007" t="str">
            <v>Daltry Presly Wellem</v>
          </cell>
          <cell r="O2007" t="str">
            <v>Kr. Klumprik Utara TT No.21, RT.010/RW.006 Balas Klumprik, Wiyung</v>
          </cell>
          <cell r="P2007" t="str">
            <v>Surabaya</v>
          </cell>
          <cell r="Q2007" t="str">
            <v>Jember</v>
          </cell>
          <cell r="R2007" t="str">
            <v>Jember</v>
          </cell>
          <cell r="S2007" t="str">
            <v>B Agronomis</v>
          </cell>
          <cell r="T2007" t="str">
            <v>Wira</v>
          </cell>
          <cell r="U2007">
            <v>90</v>
          </cell>
        </row>
        <row r="2008">
          <cell r="E2008" t="str">
            <v>B25010656</v>
          </cell>
          <cell r="F2008"/>
          <cell r="G2008">
            <v>75000000</v>
          </cell>
          <cell r="H2008" t="str">
            <v>Ariyani</v>
          </cell>
          <cell r="I2008" t="str">
            <v>Fira</v>
          </cell>
          <cell r="J2008"/>
          <cell r="K2008" t="str">
            <v>KU</v>
          </cell>
          <cell r="L2008" t="str">
            <v>DAMA04</v>
          </cell>
          <cell r="M2008" t="str">
            <v>Damai Tani/Samsuri, H</v>
          </cell>
          <cell r="N2008" t="str">
            <v>Syamsuri</v>
          </cell>
          <cell r="O2008" t="str">
            <v>Ds. Kadamean, RT.005/RW.002, Kadamean</v>
          </cell>
          <cell r="P2008" t="str">
            <v>Gresik</v>
          </cell>
          <cell r="Q2008" t="str">
            <v>Ds. Kadamean, RT.005/RW.002, Kadamean</v>
          </cell>
          <cell r="R2008" t="str">
            <v>Gresik</v>
          </cell>
          <cell r="S2008" t="str">
            <v>F Utara1</v>
          </cell>
          <cell r="T2008" t="str">
            <v>Tomi</v>
          </cell>
          <cell r="U2008">
            <v>30</v>
          </cell>
        </row>
        <row r="2009">
          <cell r="E2009" t="str">
            <v>B25010890</v>
          </cell>
          <cell r="F2009"/>
          <cell r="G2009">
            <v>75000000</v>
          </cell>
          <cell r="H2009" t="str">
            <v>Ariyani</v>
          </cell>
          <cell r="I2009" t="str">
            <v>Fira</v>
          </cell>
          <cell r="J2009"/>
          <cell r="K2009" t="str">
            <v>KU</v>
          </cell>
          <cell r="L2009" t="str">
            <v>DAMA04</v>
          </cell>
          <cell r="M2009" t="str">
            <v>Damai Tani/Samsuri, H</v>
          </cell>
          <cell r="N2009" t="str">
            <v>Syamsuri</v>
          </cell>
          <cell r="O2009" t="str">
            <v>Ds. Kadamean, RT.005/RW.002, Kadamean</v>
          </cell>
          <cell r="P2009" t="str">
            <v>Gresik</v>
          </cell>
          <cell r="Q2009" t="str">
            <v>Ds. Kadamean, RT.005/RW.002, Kadamean</v>
          </cell>
          <cell r="R2009" t="str">
            <v>Gresik</v>
          </cell>
          <cell r="S2009" t="str">
            <v>F Utara1</v>
          </cell>
          <cell r="T2009" t="str">
            <v>Tomi</v>
          </cell>
          <cell r="U2009">
            <v>30</v>
          </cell>
        </row>
        <row r="2010">
          <cell r="E2010" t="str">
            <v>B25010907</v>
          </cell>
          <cell r="F2010"/>
          <cell r="G2010">
            <v>75000000</v>
          </cell>
          <cell r="H2010" t="str">
            <v>Ariyani</v>
          </cell>
          <cell r="I2010" t="str">
            <v>Fira</v>
          </cell>
          <cell r="J2010"/>
          <cell r="K2010" t="str">
            <v>KU</v>
          </cell>
          <cell r="L2010" t="str">
            <v>DAMA04</v>
          </cell>
          <cell r="M2010" t="str">
            <v>Damai Tani/Samsuri, H</v>
          </cell>
          <cell r="N2010" t="str">
            <v>Syamsuri</v>
          </cell>
          <cell r="O2010" t="str">
            <v>Ds. Kadamean, RT.005/RW.002, Kadamean</v>
          </cell>
          <cell r="P2010" t="str">
            <v>Gresik</v>
          </cell>
          <cell r="Q2010" t="str">
            <v>Ds. Kadamean, RT.005/RW.002, Kadamean</v>
          </cell>
          <cell r="R2010" t="str">
            <v>Gresik</v>
          </cell>
          <cell r="S2010" t="str">
            <v>F Utara1</v>
          </cell>
          <cell r="T2010" t="str">
            <v>Tomi</v>
          </cell>
          <cell r="U2010">
            <v>30</v>
          </cell>
        </row>
        <row r="2011">
          <cell r="E2011" t="str">
            <v>B25011114</v>
          </cell>
          <cell r="F2011"/>
          <cell r="G2011">
            <v>75000000</v>
          </cell>
          <cell r="H2011" t="str">
            <v>Ariyani</v>
          </cell>
          <cell r="I2011" t="str">
            <v>Fira</v>
          </cell>
          <cell r="J2011"/>
          <cell r="K2011" t="str">
            <v>KU</v>
          </cell>
          <cell r="L2011" t="str">
            <v>DAMA04</v>
          </cell>
          <cell r="M2011" t="str">
            <v>Damai Tani/Samsuri, H</v>
          </cell>
          <cell r="N2011" t="str">
            <v>Syamsuri</v>
          </cell>
          <cell r="O2011" t="str">
            <v>Ds. Kadamean, RT.005/RW.002, Kadamean</v>
          </cell>
          <cell r="P2011" t="str">
            <v>Gresik</v>
          </cell>
          <cell r="Q2011" t="str">
            <v>Ds. Kadamean, RT.005/RW.002, Kadamean</v>
          </cell>
          <cell r="R2011" t="str">
            <v>Gresik</v>
          </cell>
          <cell r="S2011" t="str">
            <v>F Utara1</v>
          </cell>
          <cell r="T2011" t="str">
            <v>Tomi</v>
          </cell>
          <cell r="U2011">
            <v>30</v>
          </cell>
        </row>
        <row r="2012">
          <cell r="E2012" t="str">
            <v>B25011400</v>
          </cell>
          <cell r="F2012"/>
          <cell r="G2012">
            <v>75000000</v>
          </cell>
          <cell r="H2012" t="str">
            <v>Ariyani</v>
          </cell>
          <cell r="I2012" t="str">
            <v>Fira</v>
          </cell>
          <cell r="J2012"/>
          <cell r="K2012" t="str">
            <v>KU</v>
          </cell>
          <cell r="L2012" t="str">
            <v>DAMA04</v>
          </cell>
          <cell r="M2012" t="str">
            <v>Damai Tani/Samsuri, H</v>
          </cell>
          <cell r="N2012" t="str">
            <v>Syamsuri</v>
          </cell>
          <cell r="O2012" t="str">
            <v>Ds. Kadamean, RT.005/RW.002, Kadamean</v>
          </cell>
          <cell r="P2012" t="str">
            <v>Gresik</v>
          </cell>
          <cell r="Q2012" t="str">
            <v>Ds. Kadamean, RT.005/RW.002, Kadamean</v>
          </cell>
          <cell r="R2012" t="str">
            <v>Gresik</v>
          </cell>
          <cell r="S2012" t="str">
            <v>F Utara1</v>
          </cell>
          <cell r="T2012" t="str">
            <v>Tomi</v>
          </cell>
          <cell r="U2012">
            <v>30</v>
          </cell>
        </row>
        <row r="2013">
          <cell r="E2013" t="str">
            <v>D25013506</v>
          </cell>
          <cell r="F2013"/>
          <cell r="G2013">
            <v>75000000</v>
          </cell>
          <cell r="H2013" t="str">
            <v>Ariyani</v>
          </cell>
          <cell r="I2013" t="str">
            <v>Fira</v>
          </cell>
          <cell r="J2013"/>
          <cell r="K2013" t="str">
            <v>KU</v>
          </cell>
          <cell r="L2013" t="str">
            <v>DAMA04</v>
          </cell>
          <cell r="M2013" t="str">
            <v>Damai Tani/Samsuri, H</v>
          </cell>
          <cell r="N2013" t="str">
            <v>Syamsuri</v>
          </cell>
          <cell r="O2013" t="str">
            <v>Ds. Kadamean, RT.005/RW.002, Kadamean</v>
          </cell>
          <cell r="P2013" t="str">
            <v>Gresik</v>
          </cell>
          <cell r="Q2013" t="str">
            <v>Ds. Kadamean, RT.005/RW.002, Kadamean</v>
          </cell>
          <cell r="R2013" t="str">
            <v>Gresik</v>
          </cell>
          <cell r="S2013" t="str">
            <v>F Utara1</v>
          </cell>
          <cell r="T2013" t="str">
            <v>Tomi</v>
          </cell>
          <cell r="U2013">
            <v>30</v>
          </cell>
        </row>
        <row r="2014">
          <cell r="E2014" t="str">
            <v>D25013647</v>
          </cell>
          <cell r="F2014"/>
          <cell r="G2014">
            <v>75000000</v>
          </cell>
          <cell r="H2014" t="str">
            <v>Ariyani</v>
          </cell>
          <cell r="I2014" t="str">
            <v>Fira</v>
          </cell>
          <cell r="J2014"/>
          <cell r="K2014" t="str">
            <v>KU</v>
          </cell>
          <cell r="L2014" t="str">
            <v>DAMA04</v>
          </cell>
          <cell r="M2014" t="str">
            <v>Damai Tani/Samsuri, H</v>
          </cell>
          <cell r="N2014" t="str">
            <v>Syamsuri</v>
          </cell>
          <cell r="O2014" t="str">
            <v>Ds. Kadamean, RT.005/RW.002, Kadamean</v>
          </cell>
          <cell r="P2014" t="str">
            <v>Gresik</v>
          </cell>
          <cell r="Q2014" t="str">
            <v>Ds. Kadamean, RT.005/RW.002, Kadamean</v>
          </cell>
          <cell r="R2014" t="str">
            <v>Gresik</v>
          </cell>
          <cell r="S2014" t="str">
            <v>F Utara1</v>
          </cell>
          <cell r="T2014" t="str">
            <v>Tomi</v>
          </cell>
          <cell r="U2014">
            <v>30</v>
          </cell>
        </row>
        <row r="2015">
          <cell r="E2015" t="str">
            <v>B25011962</v>
          </cell>
          <cell r="F2015"/>
          <cell r="G2015">
            <v>75000000</v>
          </cell>
          <cell r="H2015" t="str">
            <v>Ariyani</v>
          </cell>
          <cell r="I2015" t="str">
            <v>Fira</v>
          </cell>
          <cell r="J2015"/>
          <cell r="K2015" t="str">
            <v>KU</v>
          </cell>
          <cell r="L2015" t="str">
            <v>DAMA04</v>
          </cell>
          <cell r="M2015" t="str">
            <v>Damai Tani/Samsuri, H</v>
          </cell>
          <cell r="N2015" t="str">
            <v>Syamsuri</v>
          </cell>
          <cell r="O2015" t="str">
            <v>Ds. Kadamean, RT.005/RW.002, Kadamean</v>
          </cell>
          <cell r="P2015" t="str">
            <v>Gresik</v>
          </cell>
          <cell r="Q2015" t="str">
            <v>Ds. Kadamean, RT.005/RW.002, Kadamean</v>
          </cell>
          <cell r="R2015" t="str">
            <v>Gresik</v>
          </cell>
          <cell r="S2015" t="str">
            <v>F Utara1</v>
          </cell>
          <cell r="T2015" t="str">
            <v>Tomi</v>
          </cell>
          <cell r="U2015">
            <v>30</v>
          </cell>
        </row>
        <row r="2016">
          <cell r="E2016" t="str">
            <v>B25012136</v>
          </cell>
          <cell r="F2016"/>
          <cell r="G2016">
            <v>75000000</v>
          </cell>
          <cell r="H2016" t="str">
            <v>Ariyani</v>
          </cell>
          <cell r="I2016" t="str">
            <v>Fira</v>
          </cell>
          <cell r="J2016"/>
          <cell r="K2016" t="str">
            <v>KU</v>
          </cell>
          <cell r="L2016" t="str">
            <v>DAMA04</v>
          </cell>
          <cell r="M2016" t="str">
            <v>Damai Tani/Samsuri, H</v>
          </cell>
          <cell r="N2016" t="str">
            <v>Syamsuri</v>
          </cell>
          <cell r="O2016" t="str">
            <v>Ds. Kadamean, RT.005/RW.002, Kadamean</v>
          </cell>
          <cell r="P2016" t="str">
            <v>Gresik</v>
          </cell>
          <cell r="Q2016" t="str">
            <v>Ds. Kadamean, RT.005/RW.002, Kadamean</v>
          </cell>
          <cell r="R2016" t="str">
            <v>Gresik</v>
          </cell>
          <cell r="S2016" t="str">
            <v>F Utara1</v>
          </cell>
          <cell r="T2016" t="str">
            <v>Tomi</v>
          </cell>
          <cell r="U2016">
            <v>30</v>
          </cell>
        </row>
        <row r="2017">
          <cell r="E2017" t="str">
            <v>B25012708</v>
          </cell>
          <cell r="F2017"/>
          <cell r="G2017">
            <v>75000000</v>
          </cell>
          <cell r="H2017" t="str">
            <v>Ariyani</v>
          </cell>
          <cell r="I2017" t="str">
            <v>Fira</v>
          </cell>
          <cell r="J2017"/>
          <cell r="K2017" t="str">
            <v>KU</v>
          </cell>
          <cell r="L2017" t="str">
            <v>DAMA04</v>
          </cell>
          <cell r="M2017" t="str">
            <v>Damai Tani/Samsuri, H</v>
          </cell>
          <cell r="N2017" t="str">
            <v>Syamsuri</v>
          </cell>
          <cell r="O2017" t="str">
            <v>Ds. Kadamean, RT.005/RW.002, Kadamean</v>
          </cell>
          <cell r="P2017" t="str">
            <v>Gresik</v>
          </cell>
          <cell r="Q2017" t="str">
            <v>Ds. Kadamean, RT.005/RW.002, Kadamean</v>
          </cell>
          <cell r="R2017" t="str">
            <v>Gresik</v>
          </cell>
          <cell r="S2017" t="str">
            <v>F Utara1</v>
          </cell>
          <cell r="T2017" t="str">
            <v>Tomi</v>
          </cell>
          <cell r="U2017">
            <v>30</v>
          </cell>
        </row>
        <row r="2018">
          <cell r="E2018" t="str">
            <v>B25012921</v>
          </cell>
          <cell r="F2018"/>
          <cell r="G2018">
            <v>75000000</v>
          </cell>
          <cell r="H2018" t="str">
            <v>Ariyani</v>
          </cell>
          <cell r="I2018" t="str">
            <v>Fira</v>
          </cell>
          <cell r="J2018"/>
          <cell r="K2018" t="str">
            <v>KU</v>
          </cell>
          <cell r="L2018" t="str">
            <v>DAMA04</v>
          </cell>
          <cell r="M2018" t="str">
            <v>Damai Tani/Samsuri, H</v>
          </cell>
          <cell r="N2018" t="str">
            <v>Syamsuri</v>
          </cell>
          <cell r="O2018" t="str">
            <v>Ds. Kadamean, RT.005/RW.002, Kadamean</v>
          </cell>
          <cell r="P2018" t="str">
            <v>Gresik</v>
          </cell>
          <cell r="Q2018" t="str">
            <v>Ds. Kadamean, RT.005/RW.002, Kadamean</v>
          </cell>
          <cell r="R2018" t="str">
            <v>Gresik</v>
          </cell>
          <cell r="S2018" t="str">
            <v>F Utara1</v>
          </cell>
          <cell r="T2018" t="str">
            <v>Tomi</v>
          </cell>
          <cell r="U2018">
            <v>30</v>
          </cell>
        </row>
        <row r="2019">
          <cell r="E2019" t="str">
            <v>D25015951</v>
          </cell>
          <cell r="F2019"/>
          <cell r="G2019">
            <v>75000000</v>
          </cell>
          <cell r="H2019" t="str">
            <v>Ariyani</v>
          </cell>
          <cell r="I2019" t="str">
            <v>Fira</v>
          </cell>
          <cell r="J2019"/>
          <cell r="K2019" t="str">
            <v>KU</v>
          </cell>
          <cell r="L2019" t="str">
            <v>DAMA04</v>
          </cell>
          <cell r="M2019" t="str">
            <v>Damai Tani/Samsuri, H</v>
          </cell>
          <cell r="N2019" t="str">
            <v>Syamsuri</v>
          </cell>
          <cell r="O2019" t="str">
            <v>Ds. Kadamean, RT.005/RW.002, Kadamean</v>
          </cell>
          <cell r="P2019" t="str">
            <v>Gresik</v>
          </cell>
          <cell r="Q2019" t="str">
            <v>Ds. Kadamean, RT.005/RW.002, Kadamean</v>
          </cell>
          <cell r="R2019" t="str">
            <v>Gresik</v>
          </cell>
          <cell r="S2019" t="str">
            <v>F Utara1</v>
          </cell>
          <cell r="T2019" t="str">
            <v>Tomi</v>
          </cell>
          <cell r="U2019">
            <v>0</v>
          </cell>
        </row>
        <row r="2020">
          <cell r="E2020" t="str">
            <v>B25013828</v>
          </cell>
          <cell r="F2020"/>
          <cell r="G2020">
            <v>75000000</v>
          </cell>
          <cell r="H2020" t="str">
            <v>Ariyani</v>
          </cell>
          <cell r="I2020" t="str">
            <v>Fira</v>
          </cell>
          <cell r="J2020"/>
          <cell r="K2020" t="str">
            <v>KU</v>
          </cell>
          <cell r="L2020" t="str">
            <v>DAMA04</v>
          </cell>
          <cell r="M2020" t="str">
            <v>Damai Tani/Samsuri, H</v>
          </cell>
          <cell r="N2020" t="str">
            <v>Syamsuri</v>
          </cell>
          <cell r="O2020" t="str">
            <v>Ds. Kadamean, RT.005/RW.002, Kadamean</v>
          </cell>
          <cell r="P2020" t="str">
            <v>Gresik</v>
          </cell>
          <cell r="Q2020" t="str">
            <v>Ds. Kadamean, RT.005/RW.002, Kadamean</v>
          </cell>
          <cell r="R2020" t="str">
            <v>Gresik</v>
          </cell>
          <cell r="S2020" t="str">
            <v>F Utara1</v>
          </cell>
          <cell r="T2020" t="str">
            <v>Tomi</v>
          </cell>
          <cell r="U2020">
            <v>0</v>
          </cell>
        </row>
        <row r="2021">
          <cell r="E2021" t="str">
            <v>B25014036</v>
          </cell>
          <cell r="F2021"/>
          <cell r="G2021">
            <v>75000000</v>
          </cell>
          <cell r="H2021" t="str">
            <v>Ariyani</v>
          </cell>
          <cell r="I2021" t="str">
            <v>Fira</v>
          </cell>
          <cell r="J2021"/>
          <cell r="K2021" t="str">
            <v>KU</v>
          </cell>
          <cell r="L2021" t="str">
            <v>DAMA04</v>
          </cell>
          <cell r="M2021" t="str">
            <v>Damai Tani/Samsuri, H</v>
          </cell>
          <cell r="N2021" t="str">
            <v>Syamsuri</v>
          </cell>
          <cell r="O2021" t="str">
            <v>Ds. Kadamean, RT.005/RW.002, Kadamean</v>
          </cell>
          <cell r="P2021" t="str">
            <v>Gresik</v>
          </cell>
          <cell r="Q2021" t="str">
            <v>Ds. Kadamean, RT.005/RW.002, Kadamean</v>
          </cell>
          <cell r="R2021" t="str">
            <v>Gresik</v>
          </cell>
          <cell r="S2021" t="str">
            <v>F Utara1</v>
          </cell>
          <cell r="T2021" t="str">
            <v>Tomi</v>
          </cell>
          <cell r="U2021">
            <v>30</v>
          </cell>
        </row>
        <row r="2022">
          <cell r="E2022" t="str">
            <v>B25014041</v>
          </cell>
          <cell r="F2022"/>
          <cell r="G2022">
            <v>75000000</v>
          </cell>
          <cell r="H2022" t="str">
            <v>Ariyani</v>
          </cell>
          <cell r="I2022" t="str">
            <v>Fira</v>
          </cell>
          <cell r="J2022"/>
          <cell r="K2022" t="str">
            <v>KU</v>
          </cell>
          <cell r="L2022" t="str">
            <v>DAMA04</v>
          </cell>
          <cell r="M2022" t="str">
            <v>Damai Tani/Samsuri, H</v>
          </cell>
          <cell r="N2022" t="str">
            <v>Syamsuri</v>
          </cell>
          <cell r="O2022" t="str">
            <v>Ds. Kadamean, RT.005/RW.002, Kadamean</v>
          </cell>
          <cell r="P2022" t="str">
            <v>Gresik</v>
          </cell>
          <cell r="Q2022" t="str">
            <v>Ds. Kadamean, RT.005/RW.002, Kadamean</v>
          </cell>
          <cell r="R2022" t="str">
            <v>Gresik</v>
          </cell>
          <cell r="S2022" t="str">
            <v>F Utara1</v>
          </cell>
          <cell r="T2022" t="str">
            <v>Tomi</v>
          </cell>
          <cell r="U2022">
            <v>0</v>
          </cell>
        </row>
        <row r="2023">
          <cell r="E2023" t="str">
            <v>Z25001411</v>
          </cell>
          <cell r="F2023"/>
          <cell r="G2023">
            <v>2000000000</v>
          </cell>
          <cell r="H2023" t="str">
            <v>Yuyun</v>
          </cell>
          <cell r="I2023" t="str">
            <v>Farida</v>
          </cell>
          <cell r="J2023" t="str">
            <v>New 06/01/20</v>
          </cell>
          <cell r="K2023" t="str">
            <v>KU, Tunai</v>
          </cell>
          <cell r="L2023" t="str">
            <v>ENGG02</v>
          </cell>
          <cell r="M2023" t="str">
            <v>Damar Batur Nusantara</v>
          </cell>
          <cell r="N2023" t="str">
            <v>Damar Batur Nusantara</v>
          </cell>
          <cell r="O2023" t="str">
            <v>Dusun Krajan , Desa Kasiyan, Kec. Puger</v>
          </cell>
          <cell r="P2023" t="str">
            <v>Jember</v>
          </cell>
          <cell r="Q2023" t="str">
            <v>Dsn. Purwosari, RT.001/RW.011 Kel. Tanjungsari, Kec. Umbulsari</v>
          </cell>
          <cell r="R2023" t="str">
            <v>Jember</v>
          </cell>
          <cell r="S2023" t="str">
            <v>L Kota3</v>
          </cell>
          <cell r="T2023" t="str">
            <v>Wira</v>
          </cell>
          <cell r="U2023">
            <v>60</v>
          </cell>
        </row>
        <row r="2024">
          <cell r="E2024" t="str">
            <v>Z25001411</v>
          </cell>
          <cell r="F2024"/>
          <cell r="G2024">
            <v>2000000000</v>
          </cell>
          <cell r="H2024" t="str">
            <v>Yuyun</v>
          </cell>
          <cell r="I2024" t="str">
            <v>Farida</v>
          </cell>
          <cell r="J2024" t="str">
            <v>New 06/01/20</v>
          </cell>
          <cell r="K2024" t="str">
            <v>KU, Tunai</v>
          </cell>
          <cell r="L2024" t="str">
            <v>ENGG02</v>
          </cell>
          <cell r="M2024" t="str">
            <v>Damar Batur Nusantara</v>
          </cell>
          <cell r="N2024" t="str">
            <v>Damar Batur Nusantara</v>
          </cell>
          <cell r="O2024" t="str">
            <v>Dusun Krajan , Desa Kasiyan, Kec. Puger</v>
          </cell>
          <cell r="P2024" t="str">
            <v>Jember</v>
          </cell>
          <cell r="Q2024" t="str">
            <v>Dsn. Purwosari, RT.001/RW.011 Kel. Tanjungsari, Kec. Umbulsari</v>
          </cell>
          <cell r="R2024" t="str">
            <v>Jember</v>
          </cell>
          <cell r="S2024" t="str">
            <v>L Kota3</v>
          </cell>
          <cell r="T2024" t="str">
            <v>Wira</v>
          </cell>
          <cell r="U2024">
            <v>60</v>
          </cell>
        </row>
        <row r="2025">
          <cell r="E2025" t="str">
            <v>Z25001452</v>
          </cell>
          <cell r="F2025"/>
          <cell r="G2025">
            <v>2000000000</v>
          </cell>
          <cell r="H2025" t="str">
            <v>Yuyun</v>
          </cell>
          <cell r="I2025" t="str">
            <v>Farida</v>
          </cell>
          <cell r="J2025" t="str">
            <v>New 06/01/20</v>
          </cell>
          <cell r="K2025" t="str">
            <v>KU, Tunai</v>
          </cell>
          <cell r="L2025" t="str">
            <v>ENGG02</v>
          </cell>
          <cell r="M2025" t="str">
            <v>Damar Batur Nusantara</v>
          </cell>
          <cell r="N2025" t="str">
            <v>Damar Batur Nusantara</v>
          </cell>
          <cell r="O2025" t="str">
            <v>Dusun Krajan , Desa Kasiyan, Kec. Puger</v>
          </cell>
          <cell r="P2025" t="str">
            <v>Jember</v>
          </cell>
          <cell r="Q2025" t="str">
            <v>Dsn. Purwosari, RT.001/RW.011 Kel. Tanjungsari, Kec. Umbulsari</v>
          </cell>
          <cell r="R2025" t="str">
            <v>Jember</v>
          </cell>
          <cell r="S2025" t="str">
            <v>L Kota3</v>
          </cell>
          <cell r="T2025" t="str">
            <v>Wira</v>
          </cell>
          <cell r="U2025">
            <v>60</v>
          </cell>
        </row>
        <row r="2026">
          <cell r="E2026" t="str">
            <v>Z25001734</v>
          </cell>
          <cell r="F2026"/>
          <cell r="G2026">
            <v>2000000000</v>
          </cell>
          <cell r="H2026" t="str">
            <v>Yuyun</v>
          </cell>
          <cell r="I2026" t="str">
            <v>Farida</v>
          </cell>
          <cell r="J2026" t="str">
            <v>New 06/01/20</v>
          </cell>
          <cell r="K2026" t="str">
            <v>KU, Tunai</v>
          </cell>
          <cell r="L2026" t="str">
            <v>ENGG02</v>
          </cell>
          <cell r="M2026" t="str">
            <v>Damar Batur Nusantara</v>
          </cell>
          <cell r="N2026" t="str">
            <v>Damar Batur Nusantara</v>
          </cell>
          <cell r="O2026" t="str">
            <v>Dusun Krajan , Desa Kasiyan, Kec. Puger</v>
          </cell>
          <cell r="P2026" t="str">
            <v>Jember</v>
          </cell>
          <cell r="Q2026" t="str">
            <v>Dsn. Purwosari, RT.001/RW.011 Kel. Tanjungsari, Kec. Umbulsari</v>
          </cell>
          <cell r="R2026" t="str">
            <v>Jember</v>
          </cell>
          <cell r="S2026" t="str">
            <v>L Kota3</v>
          </cell>
          <cell r="T2026" t="str">
            <v>Wira</v>
          </cell>
          <cell r="U2026">
            <v>60</v>
          </cell>
        </row>
        <row r="2027">
          <cell r="E2027" t="str">
            <v>Z25001737</v>
          </cell>
          <cell r="F2027"/>
          <cell r="G2027">
            <v>2000000000</v>
          </cell>
          <cell r="H2027" t="str">
            <v>Yuyun</v>
          </cell>
          <cell r="I2027" t="str">
            <v>Farida</v>
          </cell>
          <cell r="J2027" t="str">
            <v>New 06/01/20</v>
          </cell>
          <cell r="K2027" t="str">
            <v>KU, Tunai</v>
          </cell>
          <cell r="L2027" t="str">
            <v>ENGG02</v>
          </cell>
          <cell r="M2027" t="str">
            <v>Damar Batur Nusantara</v>
          </cell>
          <cell r="N2027" t="str">
            <v>Damar Batur Nusantara</v>
          </cell>
          <cell r="O2027" t="str">
            <v>Dusun Krajan , Desa Kasiyan, Kec. Puger</v>
          </cell>
          <cell r="P2027" t="str">
            <v>Jember</v>
          </cell>
          <cell r="Q2027" t="str">
            <v>Dsn. Purwosari, RT.001/RW.011 Kel. Tanjungsari, Kec. Umbulsari</v>
          </cell>
          <cell r="R2027" t="str">
            <v>Jember</v>
          </cell>
          <cell r="S2027" t="str">
            <v>L Kota3</v>
          </cell>
          <cell r="T2027" t="str">
            <v>Wira</v>
          </cell>
          <cell r="U2027">
            <v>60</v>
          </cell>
        </row>
        <row r="2028">
          <cell r="E2028" t="str">
            <v>Z25001774</v>
          </cell>
          <cell r="F2028"/>
          <cell r="G2028">
            <v>2000000000</v>
          </cell>
          <cell r="H2028" t="str">
            <v>Yuyun</v>
          </cell>
          <cell r="I2028" t="str">
            <v>Farida</v>
          </cell>
          <cell r="J2028" t="str">
            <v>New 06/01/20</v>
          </cell>
          <cell r="K2028" t="str">
            <v>KU, Tunai</v>
          </cell>
          <cell r="L2028" t="str">
            <v>ENGG02</v>
          </cell>
          <cell r="M2028" t="str">
            <v>Damar Batur Nusantara</v>
          </cell>
          <cell r="N2028" t="str">
            <v>Damar Batur Nusantara</v>
          </cell>
          <cell r="O2028" t="str">
            <v>Dusun Krajan , Desa Kasiyan, Kec. Puger</v>
          </cell>
          <cell r="P2028" t="str">
            <v>Jember</v>
          </cell>
          <cell r="Q2028" t="str">
            <v>Dsn. Purwosari, RT.001/RW.011 Kel. Tanjungsari, Kec. Umbulsari</v>
          </cell>
          <cell r="R2028" t="str">
            <v>Jember</v>
          </cell>
          <cell r="S2028" t="str">
            <v>L Kota3</v>
          </cell>
          <cell r="T2028" t="str">
            <v>Wira</v>
          </cell>
          <cell r="U2028">
            <v>60</v>
          </cell>
        </row>
        <row r="2029">
          <cell r="E2029" t="str">
            <v>Z25001774</v>
          </cell>
          <cell r="F2029"/>
          <cell r="G2029">
            <v>2000000000</v>
          </cell>
          <cell r="H2029" t="str">
            <v>Yuyun</v>
          </cell>
          <cell r="I2029" t="str">
            <v>Farida</v>
          </cell>
          <cell r="J2029" t="str">
            <v>New 06/01/20</v>
          </cell>
          <cell r="K2029" t="str">
            <v>KU, Tunai</v>
          </cell>
          <cell r="L2029" t="str">
            <v>ENGG02</v>
          </cell>
          <cell r="M2029" t="str">
            <v>Damar Batur Nusantara</v>
          </cell>
          <cell r="N2029" t="str">
            <v>Damar Batur Nusantara</v>
          </cell>
          <cell r="O2029" t="str">
            <v>Dusun Krajan , Desa Kasiyan, Kec. Puger</v>
          </cell>
          <cell r="P2029" t="str">
            <v>Jember</v>
          </cell>
          <cell r="Q2029" t="str">
            <v>Dsn. Purwosari, RT.001/RW.011 Kel. Tanjungsari, Kec. Umbulsari</v>
          </cell>
          <cell r="R2029" t="str">
            <v>Jember</v>
          </cell>
          <cell r="S2029" t="str">
            <v>L Kota3</v>
          </cell>
          <cell r="T2029" t="str">
            <v>Wira</v>
          </cell>
          <cell r="U2029">
            <v>60</v>
          </cell>
        </row>
        <row r="2030">
          <cell r="E2030" t="str">
            <v>Z25001774</v>
          </cell>
          <cell r="F2030"/>
          <cell r="G2030">
            <v>2000000000</v>
          </cell>
          <cell r="H2030" t="str">
            <v>Yuyun</v>
          </cell>
          <cell r="I2030" t="str">
            <v>Farida</v>
          </cell>
          <cell r="J2030" t="str">
            <v>New 06/01/20</v>
          </cell>
          <cell r="K2030" t="str">
            <v>KU, Tunai</v>
          </cell>
          <cell r="L2030" t="str">
            <v>ENGG02</v>
          </cell>
          <cell r="M2030" t="str">
            <v>Damar Batur Nusantara</v>
          </cell>
          <cell r="N2030" t="str">
            <v>Damar Batur Nusantara</v>
          </cell>
          <cell r="O2030" t="str">
            <v>Dusun Krajan , Desa Kasiyan, Kec. Puger</v>
          </cell>
          <cell r="P2030" t="str">
            <v>Jember</v>
          </cell>
          <cell r="Q2030" t="str">
            <v>Dsn. Purwosari, RT.001/RW.011 Kel. Tanjungsari, Kec. Umbulsari</v>
          </cell>
          <cell r="R2030" t="str">
            <v>Jember</v>
          </cell>
          <cell r="S2030" t="str">
            <v>L Kota3</v>
          </cell>
          <cell r="T2030" t="str">
            <v>Wira</v>
          </cell>
          <cell r="U2030">
            <v>60</v>
          </cell>
        </row>
        <row r="2031">
          <cell r="E2031" t="str">
            <v>Z25001820</v>
          </cell>
          <cell r="F2031"/>
          <cell r="G2031">
            <v>2000000000</v>
          </cell>
          <cell r="H2031" t="str">
            <v>Yuyun</v>
          </cell>
          <cell r="I2031" t="str">
            <v>Farida</v>
          </cell>
          <cell r="J2031" t="str">
            <v>New 06/01/20</v>
          </cell>
          <cell r="K2031" t="str">
            <v>KU, Tunai</v>
          </cell>
          <cell r="L2031" t="str">
            <v>ENGG02</v>
          </cell>
          <cell r="M2031" t="str">
            <v>Damar Batur Nusantara</v>
          </cell>
          <cell r="N2031" t="str">
            <v>Damar Batur Nusantara</v>
          </cell>
          <cell r="O2031" t="str">
            <v>Dusun Krajan , Desa Kasiyan, Kec. Puger</v>
          </cell>
          <cell r="P2031" t="str">
            <v>Jember</v>
          </cell>
          <cell r="Q2031" t="str">
            <v>Dsn. Purwosari, RT.001/RW.011 Kel. Tanjungsari, Kec. Umbulsari</v>
          </cell>
          <cell r="R2031" t="str">
            <v>Jember</v>
          </cell>
          <cell r="S2031" t="str">
            <v>L Kota3</v>
          </cell>
          <cell r="T2031" t="str">
            <v>Wira</v>
          </cell>
          <cell r="U2031">
            <v>60</v>
          </cell>
        </row>
        <row r="2032">
          <cell r="E2032" t="str">
            <v>Z25001821</v>
          </cell>
          <cell r="F2032"/>
          <cell r="G2032">
            <v>2000000000</v>
          </cell>
          <cell r="H2032" t="str">
            <v>Yuyun</v>
          </cell>
          <cell r="I2032" t="str">
            <v>Farida</v>
          </cell>
          <cell r="J2032" t="str">
            <v>New 06/01/20</v>
          </cell>
          <cell r="K2032" t="str">
            <v>KU, Tunai</v>
          </cell>
          <cell r="L2032" t="str">
            <v>ENGG02</v>
          </cell>
          <cell r="M2032" t="str">
            <v>Damar Batur Nusantara</v>
          </cell>
          <cell r="N2032" t="str">
            <v>Damar Batur Nusantara</v>
          </cell>
          <cell r="O2032" t="str">
            <v>Dusun Krajan , Desa Kasiyan, Kec. Puger</v>
          </cell>
          <cell r="P2032" t="str">
            <v>Jember</v>
          </cell>
          <cell r="Q2032" t="str">
            <v>Dsn. Purwosari, RT.001/RW.011 Kel. Tanjungsari, Kec. Umbulsari</v>
          </cell>
          <cell r="R2032" t="str">
            <v>Jember</v>
          </cell>
          <cell r="S2032" t="str">
            <v>L Kota3</v>
          </cell>
          <cell r="T2032" t="str">
            <v>Wira</v>
          </cell>
          <cell r="U2032">
            <v>60</v>
          </cell>
        </row>
        <row r="2033">
          <cell r="E2033" t="str">
            <v>Z25001853</v>
          </cell>
          <cell r="F2033"/>
          <cell r="G2033">
            <v>2000000000</v>
          </cell>
          <cell r="H2033" t="str">
            <v>Yuyun</v>
          </cell>
          <cell r="I2033" t="str">
            <v>Farida</v>
          </cell>
          <cell r="J2033" t="str">
            <v>New 06/01/20</v>
          </cell>
          <cell r="K2033" t="str">
            <v>KU, Tunai</v>
          </cell>
          <cell r="L2033" t="str">
            <v>ENGG02</v>
          </cell>
          <cell r="M2033" t="str">
            <v>Damar Batur Nusantara</v>
          </cell>
          <cell r="N2033" t="str">
            <v>Damar Batur Nusantara</v>
          </cell>
          <cell r="O2033" t="str">
            <v>Dusun Krajan , Desa Kasiyan, Kec. Puger</v>
          </cell>
          <cell r="P2033" t="str">
            <v>Jember</v>
          </cell>
          <cell r="Q2033" t="str">
            <v>Dsn. Purwosari, RT.001/RW.011 Kel. Tanjungsari, Kec. Umbulsari</v>
          </cell>
          <cell r="R2033" t="str">
            <v>Jember</v>
          </cell>
          <cell r="S2033" t="str">
            <v>L Kota3</v>
          </cell>
          <cell r="T2033" t="str">
            <v>Wira</v>
          </cell>
          <cell r="U2033">
            <v>30</v>
          </cell>
        </row>
        <row r="2034">
          <cell r="E2034" t="str">
            <v>Z25001855</v>
          </cell>
          <cell r="F2034"/>
          <cell r="G2034">
            <v>2000000000</v>
          </cell>
          <cell r="H2034" t="str">
            <v>Yuyun</v>
          </cell>
          <cell r="I2034" t="str">
            <v>Farida</v>
          </cell>
          <cell r="J2034" t="str">
            <v>New 06/01/20</v>
          </cell>
          <cell r="K2034" t="str">
            <v>KU, Tunai</v>
          </cell>
          <cell r="L2034" t="str">
            <v>ENGG02</v>
          </cell>
          <cell r="M2034" t="str">
            <v>Damar Batur Nusantara</v>
          </cell>
          <cell r="N2034" t="str">
            <v>Damar Batur Nusantara</v>
          </cell>
          <cell r="O2034" t="str">
            <v>Dusun Krajan , Desa Kasiyan, Kec. Puger</v>
          </cell>
          <cell r="P2034" t="str">
            <v>Jember</v>
          </cell>
          <cell r="Q2034" t="str">
            <v>Dsn. Purwosari, RT.001/RW.011 Kel. Tanjungsari, Kec. Umbulsari</v>
          </cell>
          <cell r="R2034" t="str">
            <v>Jember</v>
          </cell>
          <cell r="S2034" t="str">
            <v>L Kota3</v>
          </cell>
          <cell r="T2034" t="str">
            <v>Wira</v>
          </cell>
          <cell r="U2034">
            <v>30</v>
          </cell>
        </row>
        <row r="2035">
          <cell r="E2035" t="str">
            <v>Z25001899</v>
          </cell>
          <cell r="F2035"/>
          <cell r="G2035">
            <v>2000000000</v>
          </cell>
          <cell r="H2035" t="str">
            <v>Yuyun</v>
          </cell>
          <cell r="I2035" t="str">
            <v>Farida</v>
          </cell>
          <cell r="J2035" t="str">
            <v>New 06/01/20</v>
          </cell>
          <cell r="K2035" t="str">
            <v>KU, Tunai</v>
          </cell>
          <cell r="L2035" t="str">
            <v>ENGG02</v>
          </cell>
          <cell r="M2035" t="str">
            <v>Damar Batur Nusantara</v>
          </cell>
          <cell r="N2035" t="str">
            <v>Damar Batur Nusantara</v>
          </cell>
          <cell r="O2035" t="str">
            <v>Dusun Krajan , Desa Kasiyan, Kec. Puger</v>
          </cell>
          <cell r="P2035" t="str">
            <v>Jember</v>
          </cell>
          <cell r="Q2035" t="str">
            <v>Dsn. Purwosari, RT.001/RW.011 Kel. Tanjungsari, Kec. Umbulsari</v>
          </cell>
          <cell r="R2035" t="str">
            <v>Jember</v>
          </cell>
          <cell r="S2035" t="str">
            <v>L Kota3</v>
          </cell>
          <cell r="T2035" t="str">
            <v>Wira</v>
          </cell>
          <cell r="U2035">
            <v>30</v>
          </cell>
        </row>
        <row r="2036">
          <cell r="E2036" t="str">
            <v>Z25001899</v>
          </cell>
          <cell r="F2036"/>
          <cell r="G2036">
            <v>2000000000</v>
          </cell>
          <cell r="H2036" t="str">
            <v>Yuyun</v>
          </cell>
          <cell r="I2036" t="str">
            <v>Farida</v>
          </cell>
          <cell r="J2036" t="str">
            <v>New 06/01/20</v>
          </cell>
          <cell r="K2036" t="str">
            <v>KU, Tunai</v>
          </cell>
          <cell r="L2036" t="str">
            <v>ENGG02</v>
          </cell>
          <cell r="M2036" t="str">
            <v>Damar Batur Nusantara</v>
          </cell>
          <cell r="N2036" t="str">
            <v>Damar Batur Nusantara</v>
          </cell>
          <cell r="O2036" t="str">
            <v>Dusun Krajan , Desa Kasiyan, Kec. Puger</v>
          </cell>
          <cell r="P2036" t="str">
            <v>Jember</v>
          </cell>
          <cell r="Q2036" t="str">
            <v>Dsn. Purwosari, RT.001/RW.011 Kel. Tanjungsari, Kec. Umbulsari</v>
          </cell>
          <cell r="R2036" t="str">
            <v>Jember</v>
          </cell>
          <cell r="S2036" t="str">
            <v>L Kota3</v>
          </cell>
          <cell r="T2036" t="str">
            <v>Wira</v>
          </cell>
          <cell r="U2036">
            <v>30</v>
          </cell>
        </row>
        <row r="2037">
          <cell r="E2037" t="str">
            <v>Z25001899</v>
          </cell>
          <cell r="F2037"/>
          <cell r="G2037">
            <v>2000000000</v>
          </cell>
          <cell r="H2037" t="str">
            <v>Yuyun</v>
          </cell>
          <cell r="I2037" t="str">
            <v>Farida</v>
          </cell>
          <cell r="J2037" t="str">
            <v>New 06/01/20</v>
          </cell>
          <cell r="K2037" t="str">
            <v>KU, Tunai</v>
          </cell>
          <cell r="L2037" t="str">
            <v>ENGG02</v>
          </cell>
          <cell r="M2037" t="str">
            <v>Damar Batur Nusantara</v>
          </cell>
          <cell r="N2037" t="str">
            <v>Damar Batur Nusantara</v>
          </cell>
          <cell r="O2037" t="str">
            <v>Dusun Krajan , Desa Kasiyan, Kec. Puger</v>
          </cell>
          <cell r="P2037" t="str">
            <v>Jember</v>
          </cell>
          <cell r="Q2037" t="str">
            <v>Dsn. Purwosari, RT.001/RW.011 Kel. Tanjungsari, Kec. Umbulsari</v>
          </cell>
          <cell r="R2037" t="str">
            <v>Jember</v>
          </cell>
          <cell r="S2037" t="str">
            <v>L Kota3</v>
          </cell>
          <cell r="T2037" t="str">
            <v>Wira</v>
          </cell>
          <cell r="U2037">
            <v>30</v>
          </cell>
        </row>
        <row r="2038">
          <cell r="E2038" t="str">
            <v>Z25001906</v>
          </cell>
          <cell r="F2038"/>
          <cell r="G2038">
            <v>2000000000</v>
          </cell>
          <cell r="H2038" t="str">
            <v>Yuyun</v>
          </cell>
          <cell r="I2038" t="str">
            <v>Farida</v>
          </cell>
          <cell r="J2038" t="str">
            <v>New 06/01/20</v>
          </cell>
          <cell r="K2038" t="str">
            <v>KU, Tunai</v>
          </cell>
          <cell r="L2038" t="str">
            <v>ENGG02</v>
          </cell>
          <cell r="M2038" t="str">
            <v>Damar Batur Nusantara</v>
          </cell>
          <cell r="N2038" t="str">
            <v>Damar Batur Nusantara</v>
          </cell>
          <cell r="O2038" t="str">
            <v>Dusun Krajan , Desa Kasiyan, Kec. Puger</v>
          </cell>
          <cell r="P2038" t="str">
            <v>Jember</v>
          </cell>
          <cell r="Q2038" t="str">
            <v>Dsn. Purwosari, RT.001/RW.011 Kel. Tanjungsari, Kec. Umbulsari</v>
          </cell>
          <cell r="R2038" t="str">
            <v>Jember</v>
          </cell>
          <cell r="S2038" t="str">
            <v>L Kota3</v>
          </cell>
          <cell r="T2038" t="str">
            <v>Wira</v>
          </cell>
          <cell r="U2038">
            <v>60</v>
          </cell>
        </row>
        <row r="2039">
          <cell r="E2039" t="str">
            <v>Z25001907</v>
          </cell>
          <cell r="F2039"/>
          <cell r="G2039">
            <v>2000000000</v>
          </cell>
          <cell r="H2039" t="str">
            <v>Yuyun</v>
          </cell>
          <cell r="I2039" t="str">
            <v>Farida</v>
          </cell>
          <cell r="J2039" t="str">
            <v>New 06/01/20</v>
          </cell>
          <cell r="K2039" t="str">
            <v>KU, Tunai</v>
          </cell>
          <cell r="L2039" t="str">
            <v>ENGG02</v>
          </cell>
          <cell r="M2039" t="str">
            <v>Damar Batur Nusantara</v>
          </cell>
          <cell r="N2039" t="str">
            <v>Damar Batur Nusantara</v>
          </cell>
          <cell r="O2039" t="str">
            <v>Dusun Krajan , Desa Kasiyan, Kec. Puger</v>
          </cell>
          <cell r="P2039" t="str">
            <v>Jember</v>
          </cell>
          <cell r="Q2039" t="str">
            <v>Dsn. Purwosari, RT.001/RW.011 Kel. Tanjungsari, Kec. Umbulsari</v>
          </cell>
          <cell r="R2039" t="str">
            <v>Jember</v>
          </cell>
          <cell r="S2039" t="str">
            <v>L Kota3</v>
          </cell>
          <cell r="T2039" t="str">
            <v>Wira</v>
          </cell>
          <cell r="U2039">
            <v>30</v>
          </cell>
        </row>
        <row r="2040">
          <cell r="E2040" t="str">
            <v>Z25001909</v>
          </cell>
          <cell r="F2040"/>
          <cell r="G2040">
            <v>2000000000</v>
          </cell>
          <cell r="H2040" t="str">
            <v>Yuyun</v>
          </cell>
          <cell r="I2040" t="str">
            <v>Farida</v>
          </cell>
          <cell r="J2040" t="str">
            <v>New 06/01/20</v>
          </cell>
          <cell r="K2040" t="str">
            <v>KU, Tunai</v>
          </cell>
          <cell r="L2040" t="str">
            <v>ENGG02</v>
          </cell>
          <cell r="M2040" t="str">
            <v>Damar Batur Nusantara</v>
          </cell>
          <cell r="N2040" t="str">
            <v>Damar Batur Nusantara</v>
          </cell>
          <cell r="O2040" t="str">
            <v>Dusun Krajan , Desa Kasiyan, Kec. Puger</v>
          </cell>
          <cell r="P2040" t="str">
            <v>Jember</v>
          </cell>
          <cell r="Q2040" t="str">
            <v>Dsn. Purwosari, RT.001/RW.011 Kel. Tanjungsari, Kec. Umbulsari</v>
          </cell>
          <cell r="R2040" t="str">
            <v>Jember</v>
          </cell>
          <cell r="S2040" t="str">
            <v>L Kota3</v>
          </cell>
          <cell r="T2040" t="str">
            <v>Wira</v>
          </cell>
          <cell r="U2040">
            <v>30</v>
          </cell>
        </row>
        <row r="2041">
          <cell r="E2041" t="str">
            <v>Z25001951</v>
          </cell>
          <cell r="F2041"/>
          <cell r="G2041">
            <v>2000000000</v>
          </cell>
          <cell r="H2041" t="str">
            <v>Yuyun</v>
          </cell>
          <cell r="I2041" t="str">
            <v>Farida</v>
          </cell>
          <cell r="J2041" t="str">
            <v>New 06/01/20</v>
          </cell>
          <cell r="K2041" t="str">
            <v>KU, Tunai</v>
          </cell>
          <cell r="L2041" t="str">
            <v>ENGG02</v>
          </cell>
          <cell r="M2041" t="str">
            <v>Damar Batur Nusantara</v>
          </cell>
          <cell r="N2041" t="str">
            <v>Damar Batur Nusantara</v>
          </cell>
          <cell r="O2041" t="str">
            <v>Dusun Krajan , Desa Kasiyan, Kec. Puger</v>
          </cell>
          <cell r="P2041" t="str">
            <v>Jember</v>
          </cell>
          <cell r="Q2041" t="str">
            <v>Dsn. Purwosari, RT.001/RW.011 Kel. Tanjungsari, Kec. Umbulsari</v>
          </cell>
          <cell r="R2041" t="str">
            <v>Jember</v>
          </cell>
          <cell r="S2041" t="str">
            <v>L Kota3</v>
          </cell>
          <cell r="T2041" t="str">
            <v>Wira</v>
          </cell>
          <cell r="U2041">
            <v>30</v>
          </cell>
        </row>
        <row r="2042">
          <cell r="E2042" t="str">
            <v>Z25001952</v>
          </cell>
          <cell r="F2042"/>
          <cell r="G2042">
            <v>2000000000</v>
          </cell>
          <cell r="H2042" t="str">
            <v>Yuyun</v>
          </cell>
          <cell r="I2042" t="str">
            <v>Farida</v>
          </cell>
          <cell r="J2042" t="str">
            <v>New 06/01/20</v>
          </cell>
          <cell r="K2042" t="str">
            <v>KU, Tunai</v>
          </cell>
          <cell r="L2042" t="str">
            <v>ENGG02</v>
          </cell>
          <cell r="M2042" t="str">
            <v>Damar Batur Nusantara</v>
          </cell>
          <cell r="N2042" t="str">
            <v>Damar Batur Nusantara</v>
          </cell>
          <cell r="O2042" t="str">
            <v>Dusun Krajan , Desa Kasiyan, Kec. Puger</v>
          </cell>
          <cell r="P2042" t="str">
            <v>Jember</v>
          </cell>
          <cell r="Q2042" t="str">
            <v>Dsn. Purwosari, RT.001/RW.011 Kel. Tanjungsari, Kec. Umbulsari</v>
          </cell>
          <cell r="R2042" t="str">
            <v>Jember</v>
          </cell>
          <cell r="S2042" t="str">
            <v>L Kota3</v>
          </cell>
          <cell r="T2042" t="str">
            <v>Wira</v>
          </cell>
          <cell r="U2042">
            <v>30</v>
          </cell>
        </row>
        <row r="2043">
          <cell r="E2043" t="str">
            <v>Z25001953</v>
          </cell>
          <cell r="F2043"/>
          <cell r="G2043">
            <v>2000000000</v>
          </cell>
          <cell r="H2043" t="str">
            <v>Yuyun</v>
          </cell>
          <cell r="I2043" t="str">
            <v>Farida</v>
          </cell>
          <cell r="J2043" t="str">
            <v>New 06/01/20</v>
          </cell>
          <cell r="K2043" t="str">
            <v>KU, Tunai</v>
          </cell>
          <cell r="L2043" t="str">
            <v>ENGG02</v>
          </cell>
          <cell r="M2043" t="str">
            <v>Damar Batur Nusantara</v>
          </cell>
          <cell r="N2043" t="str">
            <v>Damar Batur Nusantara</v>
          </cell>
          <cell r="O2043" t="str">
            <v>Dusun Krajan , Desa Kasiyan, Kec. Puger</v>
          </cell>
          <cell r="P2043" t="str">
            <v>Jember</v>
          </cell>
          <cell r="Q2043" t="str">
            <v>Dsn. Purwosari, RT.001/RW.011 Kel. Tanjungsari, Kec. Umbulsari</v>
          </cell>
          <cell r="R2043" t="str">
            <v>Jember</v>
          </cell>
          <cell r="S2043" t="str">
            <v>L Kota3</v>
          </cell>
          <cell r="T2043" t="str">
            <v>Wira</v>
          </cell>
          <cell r="U2043">
            <v>30</v>
          </cell>
        </row>
        <row r="2044">
          <cell r="E2044" t="str">
            <v>Z25001953</v>
          </cell>
          <cell r="F2044"/>
          <cell r="G2044">
            <v>2000000000</v>
          </cell>
          <cell r="H2044" t="str">
            <v>Yuyun</v>
          </cell>
          <cell r="I2044" t="str">
            <v>Farida</v>
          </cell>
          <cell r="J2044" t="str">
            <v>New 06/01/20</v>
          </cell>
          <cell r="K2044" t="str">
            <v>KU, Tunai</v>
          </cell>
          <cell r="L2044" t="str">
            <v>ENGG02</v>
          </cell>
          <cell r="M2044" t="str">
            <v>Damar Batur Nusantara</v>
          </cell>
          <cell r="N2044" t="str">
            <v>Damar Batur Nusantara</v>
          </cell>
          <cell r="O2044" t="str">
            <v>Dusun Krajan , Desa Kasiyan, Kec. Puger</v>
          </cell>
          <cell r="P2044" t="str">
            <v>Jember</v>
          </cell>
          <cell r="Q2044" t="str">
            <v>Dsn. Purwosari, RT.001/RW.011 Kel. Tanjungsari, Kec. Umbulsari</v>
          </cell>
          <cell r="R2044" t="str">
            <v>Jember</v>
          </cell>
          <cell r="S2044" t="str">
            <v>L Kota3</v>
          </cell>
          <cell r="T2044" t="str">
            <v>Wira</v>
          </cell>
          <cell r="U2044">
            <v>30</v>
          </cell>
        </row>
        <row r="2045">
          <cell r="E2045" t="str">
            <v>Z25001953</v>
          </cell>
          <cell r="F2045"/>
          <cell r="G2045">
            <v>2000000000</v>
          </cell>
          <cell r="H2045" t="str">
            <v>Yuyun</v>
          </cell>
          <cell r="I2045" t="str">
            <v>Farida</v>
          </cell>
          <cell r="J2045" t="str">
            <v>New 06/01/20</v>
          </cell>
          <cell r="K2045" t="str">
            <v>KU, Tunai</v>
          </cell>
          <cell r="L2045" t="str">
            <v>ENGG02</v>
          </cell>
          <cell r="M2045" t="str">
            <v>Damar Batur Nusantara</v>
          </cell>
          <cell r="N2045" t="str">
            <v>Damar Batur Nusantara</v>
          </cell>
          <cell r="O2045" t="str">
            <v>Dusun Krajan , Desa Kasiyan, Kec. Puger</v>
          </cell>
          <cell r="P2045" t="str">
            <v>Jember</v>
          </cell>
          <cell r="Q2045" t="str">
            <v>Dsn. Purwosari, RT.001/RW.011 Kel. Tanjungsari, Kec. Umbulsari</v>
          </cell>
          <cell r="R2045" t="str">
            <v>Jember</v>
          </cell>
          <cell r="S2045" t="str">
            <v>L Kota3</v>
          </cell>
          <cell r="T2045" t="str">
            <v>Wira</v>
          </cell>
          <cell r="U2045">
            <v>30</v>
          </cell>
        </row>
        <row r="2046">
          <cell r="E2046" t="str">
            <v>Z25001958</v>
          </cell>
          <cell r="F2046"/>
          <cell r="G2046">
            <v>2000000000</v>
          </cell>
          <cell r="H2046" t="str">
            <v>Yuyun</v>
          </cell>
          <cell r="I2046" t="str">
            <v>Farida</v>
          </cell>
          <cell r="J2046" t="str">
            <v>New 06/01/20</v>
          </cell>
          <cell r="K2046" t="str">
            <v>KU, Tunai</v>
          </cell>
          <cell r="L2046" t="str">
            <v>ENGG02</v>
          </cell>
          <cell r="M2046" t="str">
            <v>Damar Batur Nusantara</v>
          </cell>
          <cell r="N2046" t="str">
            <v>Damar Batur Nusantara</v>
          </cell>
          <cell r="O2046" t="str">
            <v>Dusun Krajan , Desa Kasiyan, Kec. Puger</v>
          </cell>
          <cell r="P2046" t="str">
            <v>Jember</v>
          </cell>
          <cell r="Q2046" t="str">
            <v>Dsn. Purwosari, RT.001/RW.011 Kel. Tanjungsari, Kec. Umbulsari</v>
          </cell>
          <cell r="R2046" t="str">
            <v>Jember</v>
          </cell>
          <cell r="S2046" t="str">
            <v>L Kota3</v>
          </cell>
          <cell r="T2046" t="str">
            <v>Wira</v>
          </cell>
          <cell r="U2046">
            <v>30</v>
          </cell>
        </row>
        <row r="2047">
          <cell r="E2047" t="str">
            <v>Z25001970</v>
          </cell>
          <cell r="F2047"/>
          <cell r="G2047">
            <v>2000000000</v>
          </cell>
          <cell r="H2047" t="str">
            <v>Yuyun</v>
          </cell>
          <cell r="I2047" t="str">
            <v>Farida</v>
          </cell>
          <cell r="J2047" t="str">
            <v>New 06/01/20</v>
          </cell>
          <cell r="K2047" t="str">
            <v>KU, Tunai</v>
          </cell>
          <cell r="L2047" t="str">
            <v>ENGG02</v>
          </cell>
          <cell r="M2047" t="str">
            <v>Damar Batur Nusantara</v>
          </cell>
          <cell r="N2047" t="str">
            <v>Damar Batur Nusantara</v>
          </cell>
          <cell r="O2047" t="str">
            <v>Dusun Krajan , Desa Kasiyan, Kec. Puger</v>
          </cell>
          <cell r="P2047" t="str">
            <v>Jember</v>
          </cell>
          <cell r="Q2047" t="str">
            <v>Dsn. Purwosari, RT.001/RW.011 Kel. Tanjungsari, Kec. Umbulsari</v>
          </cell>
          <cell r="R2047" t="str">
            <v>Jember</v>
          </cell>
          <cell r="S2047" t="str">
            <v>L Kota3</v>
          </cell>
          <cell r="T2047" t="str">
            <v>Wira</v>
          </cell>
          <cell r="U2047">
            <v>30</v>
          </cell>
        </row>
        <row r="2048">
          <cell r="E2048" t="str">
            <v>Z25001970</v>
          </cell>
          <cell r="F2048"/>
          <cell r="G2048">
            <v>2000000000</v>
          </cell>
          <cell r="H2048" t="str">
            <v>Yuyun</v>
          </cell>
          <cell r="I2048" t="str">
            <v>Farida</v>
          </cell>
          <cell r="J2048" t="str">
            <v>New 06/01/20</v>
          </cell>
          <cell r="K2048" t="str">
            <v>KU, Tunai</v>
          </cell>
          <cell r="L2048" t="str">
            <v>ENGG02</v>
          </cell>
          <cell r="M2048" t="str">
            <v>Damar Batur Nusantara</v>
          </cell>
          <cell r="N2048" t="str">
            <v>Damar Batur Nusantara</v>
          </cell>
          <cell r="O2048" t="str">
            <v>Dusun Krajan , Desa Kasiyan, Kec. Puger</v>
          </cell>
          <cell r="P2048" t="str">
            <v>Jember</v>
          </cell>
          <cell r="Q2048" t="str">
            <v>Dsn. Purwosari, RT.001/RW.011 Kel. Tanjungsari, Kec. Umbulsari</v>
          </cell>
          <cell r="R2048" t="str">
            <v>Jember</v>
          </cell>
          <cell r="S2048" t="str">
            <v>L Kota3</v>
          </cell>
          <cell r="T2048" t="str">
            <v>Wira</v>
          </cell>
          <cell r="U2048">
            <v>30</v>
          </cell>
        </row>
        <row r="2049">
          <cell r="E2049" t="str">
            <v>Z25001989</v>
          </cell>
          <cell r="F2049"/>
          <cell r="G2049">
            <v>2000000000</v>
          </cell>
          <cell r="H2049" t="str">
            <v>Yuyun</v>
          </cell>
          <cell r="I2049" t="str">
            <v>Farida</v>
          </cell>
          <cell r="J2049" t="str">
            <v>New 06/01/20</v>
          </cell>
          <cell r="K2049" t="str">
            <v>KU, Tunai</v>
          </cell>
          <cell r="L2049" t="str">
            <v>ENGG02</v>
          </cell>
          <cell r="M2049" t="str">
            <v>Damar Batur Nusantara</v>
          </cell>
          <cell r="N2049" t="str">
            <v>Damar Batur Nusantara</v>
          </cell>
          <cell r="O2049" t="str">
            <v>Dusun Krajan , Desa Kasiyan, Kec. Puger</v>
          </cell>
          <cell r="P2049" t="str">
            <v>Jember</v>
          </cell>
          <cell r="Q2049" t="str">
            <v>Dsn. Purwosari, RT.001/RW.011 Kel. Tanjungsari, Kec. Umbulsari</v>
          </cell>
          <cell r="R2049" t="str">
            <v>Jember</v>
          </cell>
          <cell r="S2049" t="str">
            <v>L Kota3</v>
          </cell>
          <cell r="T2049" t="str">
            <v>Wira</v>
          </cell>
          <cell r="U2049">
            <v>60</v>
          </cell>
        </row>
        <row r="2050">
          <cell r="E2050" t="str">
            <v>Z25001990</v>
          </cell>
          <cell r="F2050"/>
          <cell r="G2050">
            <v>2000000000</v>
          </cell>
          <cell r="H2050" t="str">
            <v>Yuyun</v>
          </cell>
          <cell r="I2050" t="str">
            <v>Farida</v>
          </cell>
          <cell r="J2050" t="str">
            <v>New 06/01/20</v>
          </cell>
          <cell r="K2050" t="str">
            <v>KU, Tunai</v>
          </cell>
          <cell r="L2050" t="str">
            <v>ENGG02</v>
          </cell>
          <cell r="M2050" t="str">
            <v>Damar Batur Nusantara</v>
          </cell>
          <cell r="N2050" t="str">
            <v>Damar Batur Nusantara</v>
          </cell>
          <cell r="O2050" t="str">
            <v>Dusun Krajan , Desa Kasiyan, Kec. Puger</v>
          </cell>
          <cell r="P2050" t="str">
            <v>Jember</v>
          </cell>
          <cell r="Q2050" t="str">
            <v>Dsn. Purwosari, RT.001/RW.011 Kel. Tanjungsari, Kec. Umbulsari</v>
          </cell>
          <cell r="R2050" t="str">
            <v>Jember</v>
          </cell>
          <cell r="S2050" t="str">
            <v>L Kota3</v>
          </cell>
          <cell r="T2050" t="str">
            <v>Wira</v>
          </cell>
          <cell r="U2050">
            <v>60</v>
          </cell>
        </row>
        <row r="2051">
          <cell r="E2051" t="str">
            <v>Z25001998</v>
          </cell>
          <cell r="F2051"/>
          <cell r="G2051">
            <v>2000000000</v>
          </cell>
          <cell r="H2051" t="str">
            <v>Yuyun</v>
          </cell>
          <cell r="I2051" t="str">
            <v>Farida</v>
          </cell>
          <cell r="J2051" t="str">
            <v>New 06/01/20</v>
          </cell>
          <cell r="K2051" t="str">
            <v>KU, Tunai</v>
          </cell>
          <cell r="L2051" t="str">
            <v>ENGG02</v>
          </cell>
          <cell r="M2051" t="str">
            <v>Damar Batur Nusantara</v>
          </cell>
          <cell r="N2051" t="str">
            <v>Damar Batur Nusantara</v>
          </cell>
          <cell r="O2051" t="str">
            <v>Dusun Krajan , Desa Kasiyan, Kec. Puger</v>
          </cell>
          <cell r="P2051" t="str">
            <v>Jember</v>
          </cell>
          <cell r="Q2051" t="str">
            <v>Dsn. Purwosari, RT.001/RW.011 Kel. Tanjungsari, Kec. Umbulsari</v>
          </cell>
          <cell r="R2051" t="str">
            <v>Jember</v>
          </cell>
          <cell r="S2051" t="str">
            <v>L Kota3</v>
          </cell>
          <cell r="T2051" t="str">
            <v>Wira</v>
          </cell>
          <cell r="U2051">
            <v>30</v>
          </cell>
        </row>
        <row r="2052">
          <cell r="E2052" t="str">
            <v>Z25002007</v>
          </cell>
          <cell r="F2052"/>
          <cell r="G2052">
            <v>2000000000</v>
          </cell>
          <cell r="H2052" t="str">
            <v>Yuyun</v>
          </cell>
          <cell r="I2052" t="str">
            <v>Farida</v>
          </cell>
          <cell r="J2052" t="str">
            <v>New 06/01/20</v>
          </cell>
          <cell r="K2052" t="str">
            <v>KU, Tunai</v>
          </cell>
          <cell r="L2052" t="str">
            <v>ENGG02</v>
          </cell>
          <cell r="M2052" t="str">
            <v>Damar Batur Nusantara</v>
          </cell>
          <cell r="N2052" t="str">
            <v>Damar Batur Nusantara</v>
          </cell>
          <cell r="O2052" t="str">
            <v>Dusun Krajan , Desa Kasiyan, Kec. Puger</v>
          </cell>
          <cell r="P2052" t="str">
            <v>Jember</v>
          </cell>
          <cell r="Q2052" t="str">
            <v>Dsn. Purwosari, RT.001/RW.011 Kel. Tanjungsari, Kec. Umbulsari</v>
          </cell>
          <cell r="R2052" t="str">
            <v>Jember</v>
          </cell>
          <cell r="S2052" t="str">
            <v>L Kota3</v>
          </cell>
          <cell r="T2052" t="str">
            <v>Wira</v>
          </cell>
          <cell r="U2052">
            <v>30</v>
          </cell>
        </row>
        <row r="2053">
          <cell r="E2053" t="str">
            <v>Z25002017</v>
          </cell>
          <cell r="F2053"/>
          <cell r="G2053">
            <v>2000000000</v>
          </cell>
          <cell r="H2053" t="str">
            <v>Yuyun</v>
          </cell>
          <cell r="I2053" t="str">
            <v>Farida</v>
          </cell>
          <cell r="J2053" t="str">
            <v>New 06/01/20</v>
          </cell>
          <cell r="K2053" t="str">
            <v>KU, Tunai</v>
          </cell>
          <cell r="L2053" t="str">
            <v>ENGG02</v>
          </cell>
          <cell r="M2053" t="str">
            <v>Damar Batur Nusantara</v>
          </cell>
          <cell r="N2053" t="str">
            <v>Damar Batur Nusantara</v>
          </cell>
          <cell r="O2053" t="str">
            <v>Dusun Krajan , Desa Kasiyan, Kec. Puger</v>
          </cell>
          <cell r="P2053" t="str">
            <v>Jember</v>
          </cell>
          <cell r="Q2053" t="str">
            <v>Dsn. Purwosari, RT.001/RW.011 Kel. Tanjungsari, Kec. Umbulsari</v>
          </cell>
          <cell r="R2053" t="str">
            <v>Jember</v>
          </cell>
          <cell r="S2053" t="str">
            <v>L Kota3</v>
          </cell>
          <cell r="T2053" t="str">
            <v>Wira</v>
          </cell>
          <cell r="U2053">
            <v>30</v>
          </cell>
        </row>
        <row r="2054">
          <cell r="E2054" t="str">
            <v>Z25002022</v>
          </cell>
          <cell r="F2054"/>
          <cell r="G2054">
            <v>2000000000</v>
          </cell>
          <cell r="H2054" t="str">
            <v>Yuyun</v>
          </cell>
          <cell r="I2054" t="str">
            <v>Farida</v>
          </cell>
          <cell r="J2054" t="str">
            <v>New 06/01/20</v>
          </cell>
          <cell r="K2054" t="str">
            <v>KU, Tunai</v>
          </cell>
          <cell r="L2054" t="str">
            <v>ENGG02</v>
          </cell>
          <cell r="M2054" t="str">
            <v>Damar Batur Nusantara</v>
          </cell>
          <cell r="N2054" t="str">
            <v>Damar Batur Nusantara</v>
          </cell>
          <cell r="O2054" t="str">
            <v>Dusun Krajan , Desa Kasiyan, Kec. Puger</v>
          </cell>
          <cell r="P2054" t="str">
            <v>Jember</v>
          </cell>
          <cell r="Q2054" t="str">
            <v>Dsn. Purwosari, RT.001/RW.011 Kel. Tanjungsari, Kec. Umbulsari</v>
          </cell>
          <cell r="R2054" t="str">
            <v>Jember</v>
          </cell>
          <cell r="S2054" t="str">
            <v>L Kota3</v>
          </cell>
          <cell r="T2054" t="str">
            <v>Wira</v>
          </cell>
          <cell r="U2054">
            <v>30</v>
          </cell>
        </row>
        <row r="2055">
          <cell r="E2055" t="str">
            <v>Z25002044</v>
          </cell>
          <cell r="F2055"/>
          <cell r="G2055">
            <v>2000000000</v>
          </cell>
          <cell r="H2055" t="str">
            <v>Yuyun</v>
          </cell>
          <cell r="I2055" t="str">
            <v>Farida</v>
          </cell>
          <cell r="J2055" t="str">
            <v>New 06/01/20</v>
          </cell>
          <cell r="K2055" t="str">
            <v>KU, Tunai</v>
          </cell>
          <cell r="L2055" t="str">
            <v>ENGG02</v>
          </cell>
          <cell r="M2055" t="str">
            <v>Damar Batur Nusantara</v>
          </cell>
          <cell r="N2055" t="str">
            <v>Damar Batur Nusantara</v>
          </cell>
          <cell r="O2055" t="str">
            <v>Dusun Krajan , Desa Kasiyan, Kec. Puger</v>
          </cell>
          <cell r="P2055" t="str">
            <v>Jember</v>
          </cell>
          <cell r="Q2055" t="str">
            <v>Dsn. Purwosari, RT.001/RW.011 Kel. Tanjungsari, Kec. Umbulsari</v>
          </cell>
          <cell r="R2055" t="str">
            <v>Jember</v>
          </cell>
          <cell r="S2055" t="str">
            <v>L Kota3</v>
          </cell>
          <cell r="T2055" t="str">
            <v>Wira</v>
          </cell>
          <cell r="U2055">
            <v>30</v>
          </cell>
        </row>
        <row r="2056">
          <cell r="E2056" t="str">
            <v>Z25002044</v>
          </cell>
          <cell r="F2056"/>
          <cell r="G2056">
            <v>2000000000</v>
          </cell>
          <cell r="H2056" t="str">
            <v>Yuyun</v>
          </cell>
          <cell r="I2056" t="str">
            <v>Farida</v>
          </cell>
          <cell r="J2056" t="str">
            <v>New 06/01/20</v>
          </cell>
          <cell r="K2056" t="str">
            <v>KU, Tunai</v>
          </cell>
          <cell r="L2056" t="str">
            <v>ENGG02</v>
          </cell>
          <cell r="M2056" t="str">
            <v>Damar Batur Nusantara</v>
          </cell>
          <cell r="N2056" t="str">
            <v>Damar Batur Nusantara</v>
          </cell>
          <cell r="O2056" t="str">
            <v>Dusun Krajan , Desa Kasiyan, Kec. Puger</v>
          </cell>
          <cell r="P2056" t="str">
            <v>Jember</v>
          </cell>
          <cell r="Q2056" t="str">
            <v>Dsn. Purwosari, RT.001/RW.011 Kel. Tanjungsari, Kec. Umbulsari</v>
          </cell>
          <cell r="R2056" t="str">
            <v>Jember</v>
          </cell>
          <cell r="S2056" t="str">
            <v>L Kota3</v>
          </cell>
          <cell r="T2056" t="str">
            <v>Wira</v>
          </cell>
          <cell r="U2056">
            <v>30</v>
          </cell>
        </row>
        <row r="2057">
          <cell r="E2057" t="str">
            <v>Z25002047</v>
          </cell>
          <cell r="F2057"/>
          <cell r="G2057">
            <v>2000000000</v>
          </cell>
          <cell r="H2057" t="str">
            <v>Yuyun</v>
          </cell>
          <cell r="I2057" t="str">
            <v>Farida</v>
          </cell>
          <cell r="J2057" t="str">
            <v>New 06/01/20</v>
          </cell>
          <cell r="K2057" t="str">
            <v>KU, Tunai</v>
          </cell>
          <cell r="L2057" t="str">
            <v>ENGG02</v>
          </cell>
          <cell r="M2057" t="str">
            <v>Damar Batur Nusantara</v>
          </cell>
          <cell r="N2057" t="str">
            <v>Damar Batur Nusantara</v>
          </cell>
          <cell r="O2057" t="str">
            <v>Dusun Krajan , Desa Kasiyan, Kec. Puger</v>
          </cell>
          <cell r="P2057" t="str">
            <v>Jember</v>
          </cell>
          <cell r="Q2057" t="str">
            <v>Dsn. Purwosari, RT.001/RW.011 Kel. Tanjungsari, Kec. Umbulsari</v>
          </cell>
          <cell r="R2057" t="str">
            <v>Jember</v>
          </cell>
          <cell r="S2057" t="str">
            <v>L Kota3</v>
          </cell>
          <cell r="T2057" t="str">
            <v>Wira</v>
          </cell>
          <cell r="U2057">
            <v>60</v>
          </cell>
        </row>
        <row r="2058">
          <cell r="E2058" t="str">
            <v>Z25002049</v>
          </cell>
          <cell r="F2058"/>
          <cell r="G2058">
            <v>2000000000</v>
          </cell>
          <cell r="H2058" t="str">
            <v>Yuyun</v>
          </cell>
          <cell r="I2058" t="str">
            <v>Farida</v>
          </cell>
          <cell r="J2058" t="str">
            <v>New 06/01/20</v>
          </cell>
          <cell r="K2058" t="str">
            <v>KU, Tunai</v>
          </cell>
          <cell r="L2058" t="str">
            <v>ENGG02</v>
          </cell>
          <cell r="M2058" t="str">
            <v>Damar Batur Nusantara</v>
          </cell>
          <cell r="N2058" t="str">
            <v>Damar Batur Nusantara</v>
          </cell>
          <cell r="O2058" t="str">
            <v>Dusun Krajan , Desa Kasiyan, Kec. Puger</v>
          </cell>
          <cell r="P2058" t="str">
            <v>Jember</v>
          </cell>
          <cell r="Q2058" t="str">
            <v>Dsn. Purwosari, RT.001/RW.011 Kel. Tanjungsari, Kec. Umbulsari</v>
          </cell>
          <cell r="R2058" t="str">
            <v>Jember</v>
          </cell>
          <cell r="S2058" t="str">
            <v>L Kota3</v>
          </cell>
          <cell r="T2058" t="str">
            <v>Wira</v>
          </cell>
          <cell r="U2058">
            <v>30</v>
          </cell>
        </row>
        <row r="2059">
          <cell r="E2059" t="str">
            <v>Z25002049</v>
          </cell>
          <cell r="F2059"/>
          <cell r="G2059">
            <v>2000000000</v>
          </cell>
          <cell r="H2059" t="str">
            <v>Yuyun</v>
          </cell>
          <cell r="I2059" t="str">
            <v>Farida</v>
          </cell>
          <cell r="J2059" t="str">
            <v>New 06/01/20</v>
          </cell>
          <cell r="K2059" t="str">
            <v>KU, Tunai</v>
          </cell>
          <cell r="L2059" t="str">
            <v>ENGG02</v>
          </cell>
          <cell r="M2059" t="str">
            <v>Damar Batur Nusantara</v>
          </cell>
          <cell r="N2059" t="str">
            <v>Damar Batur Nusantara</v>
          </cell>
          <cell r="O2059" t="str">
            <v>Dusun Krajan , Desa Kasiyan, Kec. Puger</v>
          </cell>
          <cell r="P2059" t="str">
            <v>Jember</v>
          </cell>
          <cell r="Q2059" t="str">
            <v>Dsn. Purwosari, RT.001/RW.011 Kel. Tanjungsari, Kec. Umbulsari</v>
          </cell>
          <cell r="R2059" t="str">
            <v>Jember</v>
          </cell>
          <cell r="S2059" t="str">
            <v>L Kota3</v>
          </cell>
          <cell r="T2059" t="str">
            <v>Wira</v>
          </cell>
          <cell r="U2059">
            <v>30</v>
          </cell>
        </row>
        <row r="2060">
          <cell r="E2060" t="str">
            <v>Z25002050</v>
          </cell>
          <cell r="F2060"/>
          <cell r="G2060">
            <v>2000000000</v>
          </cell>
          <cell r="H2060" t="str">
            <v>Yuyun</v>
          </cell>
          <cell r="I2060" t="str">
            <v>Farida</v>
          </cell>
          <cell r="J2060" t="str">
            <v>New 06/01/20</v>
          </cell>
          <cell r="K2060" t="str">
            <v>KU, Tunai</v>
          </cell>
          <cell r="L2060" t="str">
            <v>ENGG02</v>
          </cell>
          <cell r="M2060" t="str">
            <v>Damar Batur Nusantara</v>
          </cell>
          <cell r="N2060" t="str">
            <v>Damar Batur Nusantara</v>
          </cell>
          <cell r="O2060" t="str">
            <v>Dusun Krajan , Desa Kasiyan, Kec. Puger</v>
          </cell>
          <cell r="P2060" t="str">
            <v>Jember</v>
          </cell>
          <cell r="Q2060" t="str">
            <v>Dsn. Purwosari, RT.001/RW.011 Kel. Tanjungsari, Kec. Umbulsari</v>
          </cell>
          <cell r="R2060" t="str">
            <v>Jember</v>
          </cell>
          <cell r="S2060" t="str">
            <v>L Kota3</v>
          </cell>
          <cell r="T2060" t="str">
            <v>Wira</v>
          </cell>
          <cell r="U2060">
            <v>30</v>
          </cell>
        </row>
        <row r="2061">
          <cell r="E2061" t="str">
            <v>Z25002054</v>
          </cell>
          <cell r="F2061"/>
          <cell r="G2061">
            <v>2000000000</v>
          </cell>
          <cell r="H2061" t="str">
            <v>Yuyun</v>
          </cell>
          <cell r="I2061" t="str">
            <v>Farida</v>
          </cell>
          <cell r="J2061" t="str">
            <v>New 06/01/20</v>
          </cell>
          <cell r="K2061" t="str">
            <v>KU, Tunai</v>
          </cell>
          <cell r="L2061" t="str">
            <v>ENGG02</v>
          </cell>
          <cell r="M2061" t="str">
            <v>Damar Batur Nusantara</v>
          </cell>
          <cell r="N2061" t="str">
            <v>Damar Batur Nusantara</v>
          </cell>
          <cell r="O2061" t="str">
            <v>Dusun Krajan , Desa Kasiyan, Kec. Puger</v>
          </cell>
          <cell r="P2061" t="str">
            <v>Jember</v>
          </cell>
          <cell r="Q2061" t="str">
            <v>Dsn. Purwosari, RT.001/RW.011 Kel. Tanjungsari, Kec. Umbulsari</v>
          </cell>
          <cell r="R2061" t="str">
            <v>Jember</v>
          </cell>
          <cell r="S2061" t="str">
            <v>L Kota3</v>
          </cell>
          <cell r="T2061" t="str">
            <v>Wira</v>
          </cell>
          <cell r="U2061">
            <v>30</v>
          </cell>
        </row>
        <row r="2062">
          <cell r="E2062" t="str">
            <v>Z25002054</v>
          </cell>
          <cell r="F2062"/>
          <cell r="G2062">
            <v>2000000000</v>
          </cell>
          <cell r="H2062" t="str">
            <v>Yuyun</v>
          </cell>
          <cell r="I2062" t="str">
            <v>Farida</v>
          </cell>
          <cell r="J2062" t="str">
            <v>New 06/01/20</v>
          </cell>
          <cell r="K2062" t="str">
            <v>KU, Tunai</v>
          </cell>
          <cell r="L2062" t="str">
            <v>ENGG02</v>
          </cell>
          <cell r="M2062" t="str">
            <v>Damar Batur Nusantara</v>
          </cell>
          <cell r="N2062" t="str">
            <v>Damar Batur Nusantara</v>
          </cell>
          <cell r="O2062" t="str">
            <v>Dusun Krajan , Desa Kasiyan, Kec. Puger</v>
          </cell>
          <cell r="P2062" t="str">
            <v>Jember</v>
          </cell>
          <cell r="Q2062" t="str">
            <v>Dsn. Purwosari, RT.001/RW.011 Kel. Tanjungsari, Kec. Umbulsari</v>
          </cell>
          <cell r="R2062" t="str">
            <v>Jember</v>
          </cell>
          <cell r="S2062" t="str">
            <v>L Kota3</v>
          </cell>
          <cell r="T2062" t="str">
            <v>Wira</v>
          </cell>
          <cell r="U2062">
            <v>30</v>
          </cell>
        </row>
        <row r="2063">
          <cell r="E2063" t="str">
            <v>Z25002071</v>
          </cell>
          <cell r="F2063"/>
          <cell r="G2063">
            <v>2000000000</v>
          </cell>
          <cell r="H2063" t="str">
            <v>Yuyun</v>
          </cell>
          <cell r="I2063" t="str">
            <v>Farida</v>
          </cell>
          <cell r="J2063" t="str">
            <v>New 06/01/20</v>
          </cell>
          <cell r="K2063" t="str">
            <v>KU, Tunai</v>
          </cell>
          <cell r="L2063" t="str">
            <v>ENGG02</v>
          </cell>
          <cell r="M2063" t="str">
            <v>Damar Batur Nusantara</v>
          </cell>
          <cell r="N2063" t="str">
            <v>Damar Batur Nusantara</v>
          </cell>
          <cell r="O2063" t="str">
            <v>Dusun Krajan , Desa Kasiyan, Kec. Puger</v>
          </cell>
          <cell r="P2063" t="str">
            <v>Jember</v>
          </cell>
          <cell r="Q2063" t="str">
            <v>Dsn. Purwosari, RT.001/RW.011 Kel. Tanjungsari, Kec. Umbulsari</v>
          </cell>
          <cell r="R2063" t="str">
            <v>Jember</v>
          </cell>
          <cell r="S2063" t="str">
            <v>L Kota3</v>
          </cell>
          <cell r="T2063" t="str">
            <v>Wira</v>
          </cell>
          <cell r="U2063">
            <v>30</v>
          </cell>
        </row>
        <row r="2064">
          <cell r="E2064" t="str">
            <v>Z25002071</v>
          </cell>
          <cell r="F2064"/>
          <cell r="G2064">
            <v>2000000000</v>
          </cell>
          <cell r="H2064" t="str">
            <v>Yuyun</v>
          </cell>
          <cell r="I2064" t="str">
            <v>Farida</v>
          </cell>
          <cell r="J2064" t="str">
            <v>New 06/01/20</v>
          </cell>
          <cell r="K2064" t="str">
            <v>KU, Tunai</v>
          </cell>
          <cell r="L2064" t="str">
            <v>ENGG02</v>
          </cell>
          <cell r="M2064" t="str">
            <v>Damar Batur Nusantara</v>
          </cell>
          <cell r="N2064" t="str">
            <v>Damar Batur Nusantara</v>
          </cell>
          <cell r="O2064" t="str">
            <v>Dusun Krajan , Desa Kasiyan, Kec. Puger</v>
          </cell>
          <cell r="P2064" t="str">
            <v>Jember</v>
          </cell>
          <cell r="Q2064" t="str">
            <v>Dsn. Purwosari, RT.001/RW.011 Kel. Tanjungsari, Kec. Umbulsari</v>
          </cell>
          <cell r="R2064" t="str">
            <v>Jember</v>
          </cell>
          <cell r="S2064" t="str">
            <v>L Kota3</v>
          </cell>
          <cell r="T2064" t="str">
            <v>Wira</v>
          </cell>
          <cell r="U2064">
            <v>30</v>
          </cell>
        </row>
        <row r="2065">
          <cell r="E2065" t="str">
            <v>Z25002073</v>
          </cell>
          <cell r="F2065"/>
          <cell r="G2065">
            <v>2000000000</v>
          </cell>
          <cell r="H2065" t="str">
            <v>Yuyun</v>
          </cell>
          <cell r="I2065" t="str">
            <v>Farida</v>
          </cell>
          <cell r="J2065" t="str">
            <v>New 06/01/20</v>
          </cell>
          <cell r="K2065" t="str">
            <v>KU, Tunai</v>
          </cell>
          <cell r="L2065" t="str">
            <v>ENGG02</v>
          </cell>
          <cell r="M2065" t="str">
            <v>Damar Batur Nusantara</v>
          </cell>
          <cell r="N2065" t="str">
            <v>Damar Batur Nusantara</v>
          </cell>
          <cell r="O2065" t="str">
            <v>Dusun Krajan , Desa Kasiyan, Kec. Puger</v>
          </cell>
          <cell r="P2065" t="str">
            <v>Jember</v>
          </cell>
          <cell r="Q2065" t="str">
            <v>Dsn. Purwosari, RT.001/RW.011 Kel. Tanjungsari, Kec. Umbulsari</v>
          </cell>
          <cell r="R2065" t="str">
            <v>Jember</v>
          </cell>
          <cell r="S2065" t="str">
            <v>L Kota3</v>
          </cell>
          <cell r="T2065" t="str">
            <v>Wira</v>
          </cell>
          <cell r="U2065">
            <v>30</v>
          </cell>
        </row>
        <row r="2066">
          <cell r="E2066" t="str">
            <v>Z25002074</v>
          </cell>
          <cell r="F2066"/>
          <cell r="G2066">
            <v>2000000000</v>
          </cell>
          <cell r="H2066" t="str">
            <v>Yuyun</v>
          </cell>
          <cell r="I2066" t="str">
            <v>Farida</v>
          </cell>
          <cell r="J2066" t="str">
            <v>New 06/01/20</v>
          </cell>
          <cell r="K2066" t="str">
            <v>KU, Tunai</v>
          </cell>
          <cell r="L2066" t="str">
            <v>ENGG02</v>
          </cell>
          <cell r="M2066" t="str">
            <v>Damar Batur Nusantara</v>
          </cell>
          <cell r="N2066" t="str">
            <v>Damar Batur Nusantara</v>
          </cell>
          <cell r="O2066" t="str">
            <v>Dusun Krajan , Desa Kasiyan, Kec. Puger</v>
          </cell>
          <cell r="P2066" t="str">
            <v>Jember</v>
          </cell>
          <cell r="Q2066" t="str">
            <v>Dsn. Purwosari, RT.001/RW.011 Kel. Tanjungsari, Kec. Umbulsari</v>
          </cell>
          <cell r="R2066" t="str">
            <v>Jember</v>
          </cell>
          <cell r="S2066" t="str">
            <v>L Kota3</v>
          </cell>
          <cell r="T2066" t="str">
            <v>Wira</v>
          </cell>
          <cell r="U2066">
            <v>30</v>
          </cell>
        </row>
        <row r="2067">
          <cell r="E2067" t="str">
            <v>Z25002082</v>
          </cell>
          <cell r="F2067"/>
          <cell r="G2067">
            <v>2000000000</v>
          </cell>
          <cell r="H2067" t="str">
            <v>Yuyun</v>
          </cell>
          <cell r="I2067" t="str">
            <v>Farida</v>
          </cell>
          <cell r="J2067" t="str">
            <v>New 06/01/20</v>
          </cell>
          <cell r="K2067" t="str">
            <v>KU, Tunai</v>
          </cell>
          <cell r="L2067" t="str">
            <v>ENGG02</v>
          </cell>
          <cell r="M2067" t="str">
            <v>Damar Batur Nusantara</v>
          </cell>
          <cell r="N2067" t="str">
            <v>Damar Batur Nusantara</v>
          </cell>
          <cell r="O2067" t="str">
            <v>Dusun Krajan , Desa Kasiyan, Kec. Puger</v>
          </cell>
          <cell r="P2067" t="str">
            <v>Jember</v>
          </cell>
          <cell r="Q2067" t="str">
            <v>Dsn. Purwosari, RT.001/RW.011 Kel. Tanjungsari, Kec. Umbulsari</v>
          </cell>
          <cell r="R2067" t="str">
            <v>Jember</v>
          </cell>
          <cell r="S2067" t="str">
            <v>L Kota3</v>
          </cell>
          <cell r="T2067" t="str">
            <v>Wira</v>
          </cell>
          <cell r="U2067">
            <v>30</v>
          </cell>
        </row>
        <row r="2068">
          <cell r="E2068" t="str">
            <v>Z25002085</v>
          </cell>
          <cell r="F2068"/>
          <cell r="G2068">
            <v>2000000000</v>
          </cell>
          <cell r="H2068" t="str">
            <v>Yuyun</v>
          </cell>
          <cell r="I2068" t="str">
            <v>Farida</v>
          </cell>
          <cell r="J2068" t="str">
            <v>New 06/01/20</v>
          </cell>
          <cell r="K2068" t="str">
            <v>KU, Tunai</v>
          </cell>
          <cell r="L2068" t="str">
            <v>ENGG02</v>
          </cell>
          <cell r="M2068" t="str">
            <v>Damar Batur Nusantara</v>
          </cell>
          <cell r="N2068" t="str">
            <v>Damar Batur Nusantara</v>
          </cell>
          <cell r="O2068" t="str">
            <v>Dusun Krajan , Desa Kasiyan, Kec. Puger</v>
          </cell>
          <cell r="P2068" t="str">
            <v>Jember</v>
          </cell>
          <cell r="Q2068" t="str">
            <v>Dsn. Purwosari, RT.001/RW.011 Kel. Tanjungsari, Kec. Umbulsari</v>
          </cell>
          <cell r="R2068" t="str">
            <v>Jember</v>
          </cell>
          <cell r="S2068" t="str">
            <v>L Kota3</v>
          </cell>
          <cell r="T2068" t="str">
            <v>Wira</v>
          </cell>
          <cell r="U2068">
            <v>30</v>
          </cell>
        </row>
        <row r="2069">
          <cell r="E2069" t="str">
            <v>Z25002102</v>
          </cell>
          <cell r="F2069"/>
          <cell r="G2069">
            <v>2000000000</v>
          </cell>
          <cell r="H2069" t="str">
            <v>Yuyun</v>
          </cell>
          <cell r="I2069" t="str">
            <v>Farida</v>
          </cell>
          <cell r="J2069" t="str">
            <v>New 06/01/20</v>
          </cell>
          <cell r="K2069" t="str">
            <v>KU, Tunai</v>
          </cell>
          <cell r="L2069" t="str">
            <v>ENGG02</v>
          </cell>
          <cell r="M2069" t="str">
            <v>Damar Batur Nusantara</v>
          </cell>
          <cell r="N2069" t="str">
            <v>Damar Batur Nusantara</v>
          </cell>
          <cell r="O2069" t="str">
            <v>Dusun Krajan , Desa Kasiyan, Kec. Puger</v>
          </cell>
          <cell r="P2069" t="str">
            <v>Jember</v>
          </cell>
          <cell r="Q2069" t="str">
            <v>Dsn. Purwosari, RT.001/RW.011 Kel. Tanjungsari, Kec. Umbulsari</v>
          </cell>
          <cell r="R2069" t="str">
            <v>Jember</v>
          </cell>
          <cell r="S2069" t="str">
            <v>L Kota3</v>
          </cell>
          <cell r="T2069" t="str">
            <v>Wira</v>
          </cell>
          <cell r="U2069">
            <v>30</v>
          </cell>
        </row>
        <row r="2070">
          <cell r="E2070" t="str">
            <v>Z25002109</v>
          </cell>
          <cell r="F2070"/>
          <cell r="G2070">
            <v>2000000000</v>
          </cell>
          <cell r="H2070" t="str">
            <v>Yuyun</v>
          </cell>
          <cell r="I2070" t="str">
            <v>Farida</v>
          </cell>
          <cell r="J2070" t="str">
            <v>New 06/01/20</v>
          </cell>
          <cell r="K2070" t="str">
            <v>KU, Tunai</v>
          </cell>
          <cell r="L2070" t="str">
            <v>ENGG02</v>
          </cell>
          <cell r="M2070" t="str">
            <v>Damar Batur Nusantara</v>
          </cell>
          <cell r="N2070" t="str">
            <v>Damar Batur Nusantara</v>
          </cell>
          <cell r="O2070" t="str">
            <v>Dusun Krajan , Desa Kasiyan, Kec. Puger</v>
          </cell>
          <cell r="P2070" t="str">
            <v>Jember</v>
          </cell>
          <cell r="Q2070" t="str">
            <v>Dsn. Purwosari, RT.001/RW.011 Kel. Tanjungsari, Kec. Umbulsari</v>
          </cell>
          <cell r="R2070" t="str">
            <v>Jember</v>
          </cell>
          <cell r="S2070" t="str">
            <v>L Kota3</v>
          </cell>
          <cell r="T2070" t="str">
            <v>Wira</v>
          </cell>
          <cell r="U2070">
            <v>30</v>
          </cell>
        </row>
        <row r="2071">
          <cell r="E2071" t="str">
            <v>Z25002120</v>
          </cell>
          <cell r="F2071"/>
          <cell r="G2071">
            <v>2000000000</v>
          </cell>
          <cell r="H2071" t="str">
            <v>Yuyun</v>
          </cell>
          <cell r="I2071" t="str">
            <v>Farida</v>
          </cell>
          <cell r="J2071" t="str">
            <v>New 06/01/20</v>
          </cell>
          <cell r="K2071" t="str">
            <v>KU, Tunai</v>
          </cell>
          <cell r="L2071" t="str">
            <v>ENGG02</v>
          </cell>
          <cell r="M2071" t="str">
            <v>Damar Batur Nusantara</v>
          </cell>
          <cell r="N2071" t="str">
            <v>Damar Batur Nusantara</v>
          </cell>
          <cell r="O2071" t="str">
            <v>Dusun Krajan , Desa Kasiyan, Kec. Puger</v>
          </cell>
          <cell r="P2071" t="str">
            <v>Jember</v>
          </cell>
          <cell r="Q2071" t="str">
            <v>Dsn. Purwosari, RT.001/RW.011 Kel. Tanjungsari, Kec. Umbulsari</v>
          </cell>
          <cell r="R2071" t="str">
            <v>Jember</v>
          </cell>
          <cell r="S2071" t="str">
            <v>L Kota3</v>
          </cell>
          <cell r="T2071" t="str">
            <v>Wira</v>
          </cell>
          <cell r="U2071">
            <v>30</v>
          </cell>
        </row>
        <row r="2072">
          <cell r="E2072" t="str">
            <v>Z25002137</v>
          </cell>
          <cell r="F2072"/>
          <cell r="G2072">
            <v>2000000000</v>
          </cell>
          <cell r="H2072" t="str">
            <v>Yuyun</v>
          </cell>
          <cell r="I2072" t="str">
            <v>Farida</v>
          </cell>
          <cell r="J2072" t="str">
            <v>New 06/01/20</v>
          </cell>
          <cell r="K2072" t="str">
            <v>KU, Tunai</v>
          </cell>
          <cell r="L2072" t="str">
            <v>ENGG02</v>
          </cell>
          <cell r="M2072" t="str">
            <v>Damar Batur Nusantara</v>
          </cell>
          <cell r="N2072" t="str">
            <v>Damar Batur Nusantara</v>
          </cell>
          <cell r="O2072" t="str">
            <v>Dusun Krajan , Desa Kasiyan, Kec. Puger</v>
          </cell>
          <cell r="P2072" t="str">
            <v>Jember</v>
          </cell>
          <cell r="Q2072" t="str">
            <v>Dsn. Purwosari, RT.001/RW.011 Kel. Tanjungsari, Kec. Umbulsari</v>
          </cell>
          <cell r="R2072" t="str">
            <v>Jember</v>
          </cell>
          <cell r="S2072" t="str">
            <v>L Kota3</v>
          </cell>
          <cell r="T2072" t="str">
            <v>Wira</v>
          </cell>
          <cell r="U2072">
            <v>30</v>
          </cell>
        </row>
        <row r="2073">
          <cell r="E2073" t="str">
            <v>Z25002145</v>
          </cell>
          <cell r="F2073"/>
          <cell r="G2073">
            <v>2000000000</v>
          </cell>
          <cell r="H2073" t="str">
            <v>Yuyun</v>
          </cell>
          <cell r="I2073" t="str">
            <v>Farida</v>
          </cell>
          <cell r="J2073" t="str">
            <v>New 06/01/20</v>
          </cell>
          <cell r="K2073" t="str">
            <v>KU, Tunai</v>
          </cell>
          <cell r="L2073" t="str">
            <v>ENGG02</v>
          </cell>
          <cell r="M2073" t="str">
            <v>Damar Batur Nusantara</v>
          </cell>
          <cell r="N2073" t="str">
            <v>Damar Batur Nusantara</v>
          </cell>
          <cell r="O2073" t="str">
            <v>Dusun Krajan , Desa Kasiyan, Kec. Puger</v>
          </cell>
          <cell r="P2073" t="str">
            <v>Jember</v>
          </cell>
          <cell r="Q2073" t="str">
            <v>Dsn. Purwosari, RT.001/RW.011 Kel. Tanjungsari, Kec. Umbulsari</v>
          </cell>
          <cell r="R2073" t="str">
            <v>Jember</v>
          </cell>
          <cell r="S2073" t="str">
            <v>L Kota3</v>
          </cell>
          <cell r="T2073" t="str">
            <v>Wira</v>
          </cell>
          <cell r="U2073">
            <v>30</v>
          </cell>
        </row>
        <row r="2074">
          <cell r="E2074" t="str">
            <v>Z25002148</v>
          </cell>
          <cell r="F2074"/>
          <cell r="G2074">
            <v>2000000000</v>
          </cell>
          <cell r="H2074" t="str">
            <v>Yuyun</v>
          </cell>
          <cell r="I2074" t="str">
            <v>Farida</v>
          </cell>
          <cell r="J2074" t="str">
            <v>New 06/01/20</v>
          </cell>
          <cell r="K2074" t="str">
            <v>KU, Tunai</v>
          </cell>
          <cell r="L2074" t="str">
            <v>ENGG02</v>
          </cell>
          <cell r="M2074" t="str">
            <v>Damar Batur Nusantara</v>
          </cell>
          <cell r="N2074" t="str">
            <v>Damar Batur Nusantara</v>
          </cell>
          <cell r="O2074" t="str">
            <v>Dusun Krajan , Desa Kasiyan, Kec. Puger</v>
          </cell>
          <cell r="P2074" t="str">
            <v>Jember</v>
          </cell>
          <cell r="Q2074" t="str">
            <v>Dsn. Purwosari, RT.001/RW.011 Kel. Tanjungsari, Kec. Umbulsari</v>
          </cell>
          <cell r="R2074" t="str">
            <v>Jember</v>
          </cell>
          <cell r="S2074" t="str">
            <v>L Kota3</v>
          </cell>
          <cell r="T2074" t="str">
            <v>Wira</v>
          </cell>
          <cell r="U2074">
            <v>30</v>
          </cell>
        </row>
        <row r="2075">
          <cell r="E2075" t="str">
            <v>Z25002155</v>
          </cell>
          <cell r="F2075"/>
          <cell r="G2075">
            <v>2000000000</v>
          </cell>
          <cell r="H2075" t="str">
            <v>Yuyun</v>
          </cell>
          <cell r="I2075" t="str">
            <v>Farida</v>
          </cell>
          <cell r="J2075" t="str">
            <v>New 06/01/20</v>
          </cell>
          <cell r="K2075" t="str">
            <v>KU, Tunai</v>
          </cell>
          <cell r="L2075" t="str">
            <v>ENGG02</v>
          </cell>
          <cell r="M2075" t="str">
            <v>Damar Batur Nusantara</v>
          </cell>
          <cell r="N2075" t="str">
            <v>Damar Batur Nusantara</v>
          </cell>
          <cell r="O2075" t="str">
            <v>Dusun Krajan , Desa Kasiyan, Kec. Puger</v>
          </cell>
          <cell r="P2075" t="str">
            <v>Jember</v>
          </cell>
          <cell r="Q2075" t="str">
            <v>Dsn. Purwosari, RT.001/RW.011 Kel. Tanjungsari, Kec. Umbulsari</v>
          </cell>
          <cell r="R2075" t="str">
            <v>Jember</v>
          </cell>
          <cell r="S2075" t="str">
            <v>L Kota3</v>
          </cell>
          <cell r="T2075" t="str">
            <v>Wira</v>
          </cell>
          <cell r="U2075">
            <v>30</v>
          </cell>
        </row>
        <row r="2076">
          <cell r="E2076" t="str">
            <v>Z25002161</v>
          </cell>
          <cell r="F2076"/>
          <cell r="G2076">
            <v>2000000000</v>
          </cell>
          <cell r="H2076" t="str">
            <v>Yuyun</v>
          </cell>
          <cell r="I2076" t="str">
            <v>Farida</v>
          </cell>
          <cell r="J2076" t="str">
            <v>New 06/01/20</v>
          </cell>
          <cell r="K2076" t="str">
            <v>KU, Tunai</v>
          </cell>
          <cell r="L2076" t="str">
            <v>ENGG02</v>
          </cell>
          <cell r="M2076" t="str">
            <v>Damar Batur Nusantara</v>
          </cell>
          <cell r="N2076" t="str">
            <v>Damar Batur Nusantara</v>
          </cell>
          <cell r="O2076" t="str">
            <v>Dusun Krajan , Desa Kasiyan, Kec. Puger</v>
          </cell>
          <cell r="P2076" t="str">
            <v>Jember</v>
          </cell>
          <cell r="Q2076" t="str">
            <v>Dsn. Purwosari, RT.001/RW.011 Kel. Tanjungsari, Kec. Umbulsari</v>
          </cell>
          <cell r="R2076" t="str">
            <v>Jember</v>
          </cell>
          <cell r="S2076" t="str">
            <v>L Kota3</v>
          </cell>
          <cell r="T2076" t="str">
            <v>Wira</v>
          </cell>
          <cell r="U2076">
            <v>30</v>
          </cell>
        </row>
        <row r="2077">
          <cell r="E2077" t="str">
            <v>Z25002171</v>
          </cell>
          <cell r="F2077"/>
          <cell r="G2077">
            <v>2000000000</v>
          </cell>
          <cell r="H2077" t="str">
            <v>Yuyun</v>
          </cell>
          <cell r="I2077" t="str">
            <v>Farida</v>
          </cell>
          <cell r="J2077" t="str">
            <v>New 06/01/20</v>
          </cell>
          <cell r="K2077" t="str">
            <v>KU, Tunai</v>
          </cell>
          <cell r="L2077" t="str">
            <v>ENGG02</v>
          </cell>
          <cell r="M2077" t="str">
            <v>Damar Batur Nusantara</v>
          </cell>
          <cell r="N2077" t="str">
            <v>Damar Batur Nusantara</v>
          </cell>
          <cell r="O2077" t="str">
            <v>Dusun Krajan , Desa Kasiyan, Kec. Puger</v>
          </cell>
          <cell r="P2077" t="str">
            <v>Jember</v>
          </cell>
          <cell r="Q2077" t="str">
            <v>Dsn. Purwosari, RT.001/RW.011 Kel. Tanjungsari, Kec. Umbulsari</v>
          </cell>
          <cell r="R2077" t="str">
            <v>Jember</v>
          </cell>
          <cell r="S2077" t="str">
            <v>L Kota3</v>
          </cell>
          <cell r="T2077" t="str">
            <v>Wira</v>
          </cell>
          <cell r="U2077">
            <v>30</v>
          </cell>
        </row>
        <row r="2078">
          <cell r="E2078" t="str">
            <v>Z25002197</v>
          </cell>
          <cell r="F2078"/>
          <cell r="G2078">
            <v>2000000000</v>
          </cell>
          <cell r="H2078" t="str">
            <v>Yuyun</v>
          </cell>
          <cell r="I2078" t="str">
            <v>Farida</v>
          </cell>
          <cell r="J2078" t="str">
            <v>New 06/01/20</v>
          </cell>
          <cell r="K2078" t="str">
            <v>KU, Tunai</v>
          </cell>
          <cell r="L2078" t="str">
            <v>ENGG02</v>
          </cell>
          <cell r="M2078" t="str">
            <v>Damar Batur Nusantara</v>
          </cell>
          <cell r="N2078" t="str">
            <v>Damar Batur Nusantara</v>
          </cell>
          <cell r="O2078" t="str">
            <v>Dusun Krajan , Desa Kasiyan, Kec. Puger</v>
          </cell>
          <cell r="P2078" t="str">
            <v>Jember</v>
          </cell>
          <cell r="Q2078" t="str">
            <v>Dsn. Purwosari, RT.001/RW.011 Kel. Tanjungsari, Kec. Umbulsari</v>
          </cell>
          <cell r="R2078" t="str">
            <v>Jember</v>
          </cell>
          <cell r="S2078" t="str">
            <v>L Kota3</v>
          </cell>
          <cell r="T2078" t="str">
            <v>Wira</v>
          </cell>
          <cell r="U2078">
            <v>30</v>
          </cell>
        </row>
        <row r="2079">
          <cell r="E2079" t="str">
            <v>Z25002199</v>
          </cell>
          <cell r="F2079"/>
          <cell r="G2079">
            <v>2000000000</v>
          </cell>
          <cell r="H2079" t="str">
            <v>Yuyun</v>
          </cell>
          <cell r="I2079" t="str">
            <v>Farida</v>
          </cell>
          <cell r="J2079" t="str">
            <v>New 06/01/20</v>
          </cell>
          <cell r="K2079" t="str">
            <v>KU, Tunai</v>
          </cell>
          <cell r="L2079" t="str">
            <v>ENGG02</v>
          </cell>
          <cell r="M2079" t="str">
            <v>Damar Batur Nusantara</v>
          </cell>
          <cell r="N2079" t="str">
            <v>Damar Batur Nusantara</v>
          </cell>
          <cell r="O2079" t="str">
            <v>Dusun Krajan , Desa Kasiyan, Kec. Puger</v>
          </cell>
          <cell r="P2079" t="str">
            <v>Jember</v>
          </cell>
          <cell r="Q2079" t="str">
            <v>Dsn. Purwosari, RT.001/RW.011 Kel. Tanjungsari, Kec. Umbulsari</v>
          </cell>
          <cell r="R2079" t="str">
            <v>Jember</v>
          </cell>
          <cell r="S2079" t="str">
            <v>L Kota3</v>
          </cell>
          <cell r="T2079" t="str">
            <v>Wira</v>
          </cell>
          <cell r="U2079">
            <v>30</v>
          </cell>
        </row>
        <row r="2080">
          <cell r="E2080" t="str">
            <v>Z25002211</v>
          </cell>
          <cell r="F2080"/>
          <cell r="G2080">
            <v>2000000000</v>
          </cell>
          <cell r="H2080" t="str">
            <v>Yuyun</v>
          </cell>
          <cell r="I2080" t="str">
            <v>Farida</v>
          </cell>
          <cell r="J2080" t="str">
            <v>New 06/01/20</v>
          </cell>
          <cell r="K2080" t="str">
            <v>KU, Tunai</v>
          </cell>
          <cell r="L2080" t="str">
            <v>ENGG02</v>
          </cell>
          <cell r="M2080" t="str">
            <v>Damar Batur Nusantara</v>
          </cell>
          <cell r="N2080" t="str">
            <v>Damar Batur Nusantara</v>
          </cell>
          <cell r="O2080" t="str">
            <v>Dusun Krajan , Desa Kasiyan, Kec. Puger</v>
          </cell>
          <cell r="P2080" t="str">
            <v>Jember</v>
          </cell>
          <cell r="Q2080" t="str">
            <v>Dsn. Purwosari, RT.001/RW.011 Kel. Tanjungsari, Kec. Umbulsari</v>
          </cell>
          <cell r="R2080" t="str">
            <v>Jember</v>
          </cell>
          <cell r="S2080" t="str">
            <v>L Kota3</v>
          </cell>
          <cell r="T2080" t="str">
            <v>Wira</v>
          </cell>
          <cell r="U2080">
            <v>30</v>
          </cell>
        </row>
        <row r="2081">
          <cell r="E2081" t="str">
            <v>Z25002212</v>
          </cell>
          <cell r="F2081"/>
          <cell r="G2081">
            <v>2000000000</v>
          </cell>
          <cell r="H2081" t="str">
            <v>Yuyun</v>
          </cell>
          <cell r="I2081" t="str">
            <v>Farida</v>
          </cell>
          <cell r="J2081" t="str">
            <v>New 06/01/20</v>
          </cell>
          <cell r="K2081" t="str">
            <v>KU, Tunai</v>
          </cell>
          <cell r="L2081" t="str">
            <v>ENGG02</v>
          </cell>
          <cell r="M2081" t="str">
            <v>Damar Batur Nusantara</v>
          </cell>
          <cell r="N2081" t="str">
            <v>Damar Batur Nusantara</v>
          </cell>
          <cell r="O2081" t="str">
            <v>Dusun Krajan , Desa Kasiyan, Kec. Puger</v>
          </cell>
          <cell r="P2081" t="str">
            <v>Jember</v>
          </cell>
          <cell r="Q2081" t="str">
            <v>Dsn. Purwosari, RT.001/RW.011 Kel. Tanjungsari, Kec. Umbulsari</v>
          </cell>
          <cell r="R2081" t="str">
            <v>Jember</v>
          </cell>
          <cell r="S2081" t="str">
            <v>L Kota3</v>
          </cell>
          <cell r="T2081" t="str">
            <v>Wira</v>
          </cell>
          <cell r="U2081">
            <v>30</v>
          </cell>
        </row>
        <row r="2082">
          <cell r="E2082" t="str">
            <v>Z25002248</v>
          </cell>
          <cell r="F2082"/>
          <cell r="G2082">
            <v>2000000000</v>
          </cell>
          <cell r="H2082" t="str">
            <v>Yuyun</v>
          </cell>
          <cell r="I2082" t="str">
            <v>Farida</v>
          </cell>
          <cell r="J2082" t="str">
            <v>New 06/01/20</v>
          </cell>
          <cell r="K2082" t="str">
            <v>KU, Tunai</v>
          </cell>
          <cell r="L2082" t="str">
            <v>ENGG02</v>
          </cell>
          <cell r="M2082" t="str">
            <v>Damar Batur Nusantara</v>
          </cell>
          <cell r="N2082" t="str">
            <v>Damar Batur Nusantara</v>
          </cell>
          <cell r="O2082" t="str">
            <v>Dusun Krajan , Desa Kasiyan, Kec. Puger</v>
          </cell>
          <cell r="P2082" t="str">
            <v>Jember</v>
          </cell>
          <cell r="Q2082" t="str">
            <v>Dsn. Purwosari, RT.001/RW.011 Kel. Tanjungsari, Kec. Umbulsari</v>
          </cell>
          <cell r="R2082" t="str">
            <v>Jember</v>
          </cell>
          <cell r="S2082" t="str">
            <v>L Kota3</v>
          </cell>
          <cell r="T2082" t="str">
            <v>Wira</v>
          </cell>
          <cell r="U2082">
            <v>30</v>
          </cell>
        </row>
        <row r="2083">
          <cell r="E2083" t="str">
            <v>Z25002249</v>
          </cell>
          <cell r="F2083"/>
          <cell r="G2083">
            <v>2000000000</v>
          </cell>
          <cell r="H2083" t="str">
            <v>Yuyun</v>
          </cell>
          <cell r="I2083" t="str">
            <v>Farida</v>
          </cell>
          <cell r="J2083" t="str">
            <v>New 06/01/20</v>
          </cell>
          <cell r="K2083" t="str">
            <v>KU, Tunai</v>
          </cell>
          <cell r="L2083" t="str">
            <v>ENGG02</v>
          </cell>
          <cell r="M2083" t="str">
            <v>Damar Batur Nusantara</v>
          </cell>
          <cell r="N2083" t="str">
            <v>Damar Batur Nusantara</v>
          </cell>
          <cell r="O2083" t="str">
            <v>Dusun Krajan , Desa Kasiyan, Kec. Puger</v>
          </cell>
          <cell r="P2083" t="str">
            <v>Jember</v>
          </cell>
          <cell r="Q2083" t="str">
            <v>Dsn. Purwosari, RT.001/RW.011 Kel. Tanjungsari, Kec. Umbulsari</v>
          </cell>
          <cell r="R2083" t="str">
            <v>Jember</v>
          </cell>
          <cell r="S2083" t="str">
            <v>L Kota3</v>
          </cell>
          <cell r="T2083" t="str">
            <v>Wira</v>
          </cell>
          <cell r="U2083">
            <v>30</v>
          </cell>
        </row>
        <row r="2084">
          <cell r="E2084" t="str">
            <v>Z25002287</v>
          </cell>
          <cell r="F2084"/>
          <cell r="G2084">
            <v>2000000000</v>
          </cell>
          <cell r="H2084" t="str">
            <v>Yuyun</v>
          </cell>
          <cell r="I2084" t="str">
            <v>Farida</v>
          </cell>
          <cell r="J2084" t="str">
            <v>New 06/01/20</v>
          </cell>
          <cell r="K2084" t="str">
            <v>KU, Tunai</v>
          </cell>
          <cell r="L2084" t="str">
            <v>ENGG02</v>
          </cell>
          <cell r="M2084" t="str">
            <v>Damar Batur Nusantara</v>
          </cell>
          <cell r="N2084" t="str">
            <v>Damar Batur Nusantara</v>
          </cell>
          <cell r="O2084" t="str">
            <v>Dusun Krajan , Desa Kasiyan, Kec. Puger</v>
          </cell>
          <cell r="P2084" t="str">
            <v>Jember</v>
          </cell>
          <cell r="Q2084" t="str">
            <v>Dsn. Purwosari, RT.001/RW.011 Kel. Tanjungsari, Kec. Umbulsari</v>
          </cell>
          <cell r="R2084" t="str">
            <v>Jember</v>
          </cell>
          <cell r="S2084" t="str">
            <v>L Kota3</v>
          </cell>
          <cell r="T2084" t="str">
            <v>Wira</v>
          </cell>
          <cell r="U2084">
            <v>30</v>
          </cell>
        </row>
        <row r="2085">
          <cell r="E2085" t="str">
            <v>Z25002301</v>
          </cell>
          <cell r="F2085"/>
          <cell r="G2085">
            <v>2000000000</v>
          </cell>
          <cell r="H2085" t="str">
            <v>Yuyun</v>
          </cell>
          <cell r="I2085" t="str">
            <v>Farida</v>
          </cell>
          <cell r="J2085" t="str">
            <v>New 06/01/20</v>
          </cell>
          <cell r="K2085" t="str">
            <v>KU, Tunai</v>
          </cell>
          <cell r="L2085" t="str">
            <v>ENGG02</v>
          </cell>
          <cell r="M2085" t="str">
            <v>Damar Batur Nusantara</v>
          </cell>
          <cell r="N2085" t="str">
            <v>Damar Batur Nusantara</v>
          </cell>
          <cell r="O2085" t="str">
            <v>Dusun Krajan , Desa Kasiyan, Kec. Puger</v>
          </cell>
          <cell r="P2085" t="str">
            <v>Jember</v>
          </cell>
          <cell r="Q2085" t="str">
            <v>Dsn. Purwosari, RT.001/RW.011 Kel. Tanjungsari, Kec. Umbulsari</v>
          </cell>
          <cell r="R2085" t="str">
            <v>Jember</v>
          </cell>
          <cell r="S2085" t="str">
            <v>L Kota3</v>
          </cell>
          <cell r="T2085" t="str">
            <v>Wira</v>
          </cell>
          <cell r="U2085">
            <v>30</v>
          </cell>
        </row>
        <row r="2086">
          <cell r="E2086" t="str">
            <v>Z25002321</v>
          </cell>
          <cell r="F2086"/>
          <cell r="G2086">
            <v>2000000000</v>
          </cell>
          <cell r="H2086" t="str">
            <v>Yuyun</v>
          </cell>
          <cell r="I2086" t="str">
            <v>Farida</v>
          </cell>
          <cell r="J2086" t="str">
            <v>New 06/01/20</v>
          </cell>
          <cell r="K2086" t="str">
            <v>KU, Tunai</v>
          </cell>
          <cell r="L2086" t="str">
            <v>ENGG02</v>
          </cell>
          <cell r="M2086" t="str">
            <v>Damar Batur Nusantara</v>
          </cell>
          <cell r="N2086" t="str">
            <v>Damar Batur Nusantara</v>
          </cell>
          <cell r="O2086" t="str">
            <v>Dusun Krajan , Desa Kasiyan, Kec. Puger</v>
          </cell>
          <cell r="P2086" t="str">
            <v>Jember</v>
          </cell>
          <cell r="Q2086" t="str">
            <v>Dsn. Purwosari, RT.001/RW.011 Kel. Tanjungsari, Kec. Umbulsari</v>
          </cell>
          <cell r="R2086" t="str">
            <v>Jember</v>
          </cell>
          <cell r="S2086" t="str">
            <v>L Kota3</v>
          </cell>
          <cell r="T2086" t="str">
            <v>Wira</v>
          </cell>
          <cell r="U2086">
            <v>30</v>
          </cell>
        </row>
        <row r="2087">
          <cell r="E2087" t="str">
            <v>Z25002337</v>
          </cell>
          <cell r="F2087"/>
          <cell r="G2087">
            <v>2000000000</v>
          </cell>
          <cell r="H2087" t="str">
            <v>Yuyun</v>
          </cell>
          <cell r="I2087" t="str">
            <v>Farida</v>
          </cell>
          <cell r="J2087" t="str">
            <v>New 06/01/20</v>
          </cell>
          <cell r="K2087" t="str">
            <v>KU, Tunai</v>
          </cell>
          <cell r="L2087" t="str">
            <v>ENGG02</v>
          </cell>
          <cell r="M2087" t="str">
            <v>Damar Batur Nusantara</v>
          </cell>
          <cell r="N2087" t="str">
            <v>Damar Batur Nusantara</v>
          </cell>
          <cell r="O2087" t="str">
            <v>Dusun Krajan , Desa Kasiyan, Kec. Puger</v>
          </cell>
          <cell r="P2087" t="str">
            <v>Jember</v>
          </cell>
          <cell r="Q2087" t="str">
            <v>Dsn. Purwosari, RT.001/RW.011 Kel. Tanjungsari, Kec. Umbulsari</v>
          </cell>
          <cell r="R2087" t="str">
            <v>Jember</v>
          </cell>
          <cell r="S2087" t="str">
            <v>L Kota3</v>
          </cell>
          <cell r="T2087" t="str">
            <v>Wira</v>
          </cell>
          <cell r="U2087">
            <v>30</v>
          </cell>
        </row>
        <row r="2088">
          <cell r="E2088" t="str">
            <v>Z25002355</v>
          </cell>
          <cell r="F2088"/>
          <cell r="G2088">
            <v>2000000000</v>
          </cell>
          <cell r="H2088" t="str">
            <v>Yuyun</v>
          </cell>
          <cell r="I2088" t="str">
            <v>Farida</v>
          </cell>
          <cell r="J2088" t="str">
            <v>New 06/01/20</v>
          </cell>
          <cell r="K2088" t="str">
            <v>KU, Tunai</v>
          </cell>
          <cell r="L2088" t="str">
            <v>ENGG02</v>
          </cell>
          <cell r="M2088" t="str">
            <v>Damar Batur Nusantara</v>
          </cell>
          <cell r="N2088" t="str">
            <v>Damar Batur Nusantara</v>
          </cell>
          <cell r="O2088" t="str">
            <v>Dusun Krajan , Desa Kasiyan, Kec. Puger</v>
          </cell>
          <cell r="P2088" t="str">
            <v>Jember</v>
          </cell>
          <cell r="Q2088" t="str">
            <v>Dsn. Purwosari, RT.001/RW.011 Kel. Tanjungsari, Kec. Umbulsari</v>
          </cell>
          <cell r="R2088" t="str">
            <v>Jember</v>
          </cell>
          <cell r="S2088" t="str">
            <v>L Kota3</v>
          </cell>
          <cell r="T2088" t="str">
            <v>Wira</v>
          </cell>
          <cell r="U2088">
            <v>30</v>
          </cell>
        </row>
        <row r="2089">
          <cell r="E2089" t="str">
            <v>Z25002363</v>
          </cell>
          <cell r="F2089"/>
          <cell r="G2089">
            <v>2000000000</v>
          </cell>
          <cell r="H2089" t="str">
            <v>Yuyun</v>
          </cell>
          <cell r="I2089" t="str">
            <v>Farida</v>
          </cell>
          <cell r="J2089" t="str">
            <v>New 06/01/20</v>
          </cell>
          <cell r="K2089" t="str">
            <v>KU, Tunai</v>
          </cell>
          <cell r="L2089" t="str">
            <v>ENGG02</v>
          </cell>
          <cell r="M2089" t="str">
            <v>Damar Batur Nusantara</v>
          </cell>
          <cell r="N2089" t="str">
            <v>Damar Batur Nusantara</v>
          </cell>
          <cell r="O2089" t="str">
            <v>Dusun Krajan , Desa Kasiyan, Kec. Puger</v>
          </cell>
          <cell r="P2089" t="str">
            <v>Jember</v>
          </cell>
          <cell r="Q2089" t="str">
            <v>Dsn. Purwosari, RT.001/RW.011 Kel. Tanjungsari, Kec. Umbulsari</v>
          </cell>
          <cell r="R2089" t="str">
            <v>Jember</v>
          </cell>
          <cell r="S2089" t="str">
            <v>L Kota3</v>
          </cell>
          <cell r="T2089" t="str">
            <v>Wira</v>
          </cell>
          <cell r="U2089">
            <v>30</v>
          </cell>
        </row>
        <row r="2090">
          <cell r="E2090" t="str">
            <v>Z25002377</v>
          </cell>
          <cell r="F2090"/>
          <cell r="G2090">
            <v>2000000000</v>
          </cell>
          <cell r="H2090" t="str">
            <v>Yuyun</v>
          </cell>
          <cell r="I2090" t="str">
            <v>Farida</v>
          </cell>
          <cell r="J2090" t="str">
            <v>New 06/01/20</v>
          </cell>
          <cell r="K2090" t="str">
            <v>KU, Tunai</v>
          </cell>
          <cell r="L2090" t="str">
            <v>ENGG02</v>
          </cell>
          <cell r="M2090" t="str">
            <v>Damar Batur Nusantara</v>
          </cell>
          <cell r="N2090" t="str">
            <v>Damar Batur Nusantara</v>
          </cell>
          <cell r="O2090" t="str">
            <v>Dusun Krajan , Desa Kasiyan, Kec. Puger</v>
          </cell>
          <cell r="P2090" t="str">
            <v>Jember</v>
          </cell>
          <cell r="Q2090" t="str">
            <v>Dsn. Purwosari, RT.001/RW.011 Kel. Tanjungsari, Kec. Umbulsari</v>
          </cell>
          <cell r="R2090" t="str">
            <v>Jember</v>
          </cell>
          <cell r="S2090" t="str">
            <v>L Kota3</v>
          </cell>
          <cell r="T2090" t="str">
            <v>Wira</v>
          </cell>
          <cell r="U2090">
            <v>30</v>
          </cell>
        </row>
        <row r="2091">
          <cell r="E2091" t="str">
            <v>Z25002389</v>
          </cell>
          <cell r="F2091"/>
          <cell r="G2091">
            <v>2000000000</v>
          </cell>
          <cell r="H2091" t="str">
            <v>Yuyun</v>
          </cell>
          <cell r="I2091" t="str">
            <v>Farida</v>
          </cell>
          <cell r="J2091" t="str">
            <v>New 06/01/20</v>
          </cell>
          <cell r="K2091" t="str">
            <v>KU, Tunai</v>
          </cell>
          <cell r="L2091" t="str">
            <v>ENGG02</v>
          </cell>
          <cell r="M2091" t="str">
            <v>Damar Batur Nusantara</v>
          </cell>
          <cell r="N2091" t="str">
            <v>Damar Batur Nusantara</v>
          </cell>
          <cell r="O2091" t="str">
            <v>Dusun Krajan , Desa Kasiyan, Kec. Puger</v>
          </cell>
          <cell r="P2091" t="str">
            <v>Jember</v>
          </cell>
          <cell r="Q2091" t="str">
            <v>Dsn. Purwosari, RT.001/RW.011 Kel. Tanjungsari, Kec. Umbulsari</v>
          </cell>
          <cell r="R2091" t="str">
            <v>Jember</v>
          </cell>
          <cell r="S2091" t="str">
            <v>L Kota3</v>
          </cell>
          <cell r="T2091" t="str">
            <v>Wira</v>
          </cell>
          <cell r="U2091">
            <v>30</v>
          </cell>
        </row>
        <row r="2092">
          <cell r="E2092" t="str">
            <v>Z25002402</v>
          </cell>
          <cell r="F2092"/>
          <cell r="G2092">
            <v>2000000000</v>
          </cell>
          <cell r="H2092" t="str">
            <v>Yuyun</v>
          </cell>
          <cell r="I2092" t="str">
            <v>Farida</v>
          </cell>
          <cell r="J2092" t="str">
            <v>New 06/01/20</v>
          </cell>
          <cell r="K2092" t="str">
            <v>KU, Tunai</v>
          </cell>
          <cell r="L2092" t="str">
            <v>ENGG02</v>
          </cell>
          <cell r="M2092" t="str">
            <v>Damar Batur Nusantara</v>
          </cell>
          <cell r="N2092" t="str">
            <v>Damar Batur Nusantara</v>
          </cell>
          <cell r="O2092" t="str">
            <v>Dusun Krajan , Desa Kasiyan, Kec. Puger</v>
          </cell>
          <cell r="P2092" t="str">
            <v>Jember</v>
          </cell>
          <cell r="Q2092" t="str">
            <v>Dsn. Purwosari, RT.001/RW.011 Kel. Tanjungsari, Kec. Umbulsari</v>
          </cell>
          <cell r="R2092" t="str">
            <v>Jember</v>
          </cell>
          <cell r="S2092" t="str">
            <v>L Kota3</v>
          </cell>
          <cell r="T2092" t="str">
            <v>Wira</v>
          </cell>
          <cell r="U2092">
            <v>30</v>
          </cell>
        </row>
        <row r="2093">
          <cell r="E2093" t="str">
            <v>Z25002420</v>
          </cell>
          <cell r="F2093"/>
          <cell r="G2093">
            <v>2000000000</v>
          </cell>
          <cell r="H2093" t="str">
            <v>Yuyun</v>
          </cell>
          <cell r="I2093" t="str">
            <v>Farida</v>
          </cell>
          <cell r="J2093" t="str">
            <v>New 06/01/20</v>
          </cell>
          <cell r="K2093" t="str">
            <v>KU, Tunai</v>
          </cell>
          <cell r="L2093" t="str">
            <v>ENGG02</v>
          </cell>
          <cell r="M2093" t="str">
            <v>Damar Batur Nusantara</v>
          </cell>
          <cell r="N2093" t="str">
            <v>Damar Batur Nusantara</v>
          </cell>
          <cell r="O2093" t="str">
            <v>Dusun Krajan , Desa Kasiyan, Kec. Puger</v>
          </cell>
          <cell r="P2093" t="str">
            <v>Jember</v>
          </cell>
          <cell r="Q2093" t="str">
            <v>Dsn. Purwosari, RT.001/RW.011 Kel. Tanjungsari, Kec. Umbulsari</v>
          </cell>
          <cell r="R2093" t="str">
            <v>Jember</v>
          </cell>
          <cell r="S2093" t="str">
            <v>L Kota3</v>
          </cell>
          <cell r="T2093" t="str">
            <v>Wira</v>
          </cell>
          <cell r="U2093">
            <v>0</v>
          </cell>
        </row>
        <row r="2094">
          <cell r="E2094" t="str">
            <v>Z25002421</v>
          </cell>
          <cell r="F2094"/>
          <cell r="G2094">
            <v>2000000000</v>
          </cell>
          <cell r="H2094" t="str">
            <v>Yuyun</v>
          </cell>
          <cell r="I2094" t="str">
            <v>Farida</v>
          </cell>
          <cell r="J2094" t="str">
            <v>New 06/01/20</v>
          </cell>
          <cell r="K2094" t="str">
            <v>KU, Tunai</v>
          </cell>
          <cell r="L2094" t="str">
            <v>ENGG02</v>
          </cell>
          <cell r="M2094" t="str">
            <v>Damar Batur Nusantara</v>
          </cell>
          <cell r="N2094" t="str">
            <v>Damar Batur Nusantara</v>
          </cell>
          <cell r="O2094" t="str">
            <v>Dusun Krajan , Desa Kasiyan, Kec. Puger</v>
          </cell>
          <cell r="P2094" t="str">
            <v>Jember</v>
          </cell>
          <cell r="Q2094" t="str">
            <v>Dsn. Purwosari, RT.001/RW.011 Kel. Tanjungsari, Kec. Umbulsari</v>
          </cell>
          <cell r="R2094" t="str">
            <v>Jember</v>
          </cell>
          <cell r="S2094" t="str">
            <v>L Kota3</v>
          </cell>
          <cell r="T2094" t="str">
            <v>Wira</v>
          </cell>
          <cell r="U2094">
            <v>0</v>
          </cell>
        </row>
        <row r="2095">
          <cell r="E2095" t="str">
            <v>Z25002431</v>
          </cell>
          <cell r="F2095"/>
          <cell r="G2095">
            <v>2000000000</v>
          </cell>
          <cell r="H2095" t="str">
            <v>Yuyun</v>
          </cell>
          <cell r="I2095" t="str">
            <v>Farida</v>
          </cell>
          <cell r="J2095" t="str">
            <v>New 06/01/20</v>
          </cell>
          <cell r="K2095" t="str">
            <v>KU, Tunai</v>
          </cell>
          <cell r="L2095" t="str">
            <v>ENGG02</v>
          </cell>
          <cell r="M2095" t="str">
            <v>Damar Batur Nusantara</v>
          </cell>
          <cell r="N2095" t="str">
            <v>Damar Batur Nusantara</v>
          </cell>
          <cell r="O2095" t="str">
            <v>Dusun Krajan , Desa Kasiyan, Kec. Puger</v>
          </cell>
          <cell r="P2095" t="str">
            <v>Jember</v>
          </cell>
          <cell r="Q2095" t="str">
            <v>Dsn. Purwosari, RT.001/RW.011 Kel. Tanjungsari, Kec. Umbulsari</v>
          </cell>
          <cell r="R2095" t="str">
            <v>Jember</v>
          </cell>
          <cell r="S2095" t="str">
            <v>L Kota3</v>
          </cell>
          <cell r="T2095" t="str">
            <v>Wira</v>
          </cell>
          <cell r="U2095">
            <v>60</v>
          </cell>
        </row>
        <row r="2096">
          <cell r="E2096" t="str">
            <v>Z25002432</v>
          </cell>
          <cell r="F2096"/>
          <cell r="G2096">
            <v>2000000000</v>
          </cell>
          <cell r="H2096" t="str">
            <v>Yuyun</v>
          </cell>
          <cell r="I2096" t="str">
            <v>Farida</v>
          </cell>
          <cell r="J2096" t="str">
            <v>New 06/01/20</v>
          </cell>
          <cell r="K2096" t="str">
            <v>KU, Tunai</v>
          </cell>
          <cell r="L2096" t="str">
            <v>ENGG02</v>
          </cell>
          <cell r="M2096" t="str">
            <v>Damar Batur Nusantara</v>
          </cell>
          <cell r="N2096" t="str">
            <v>Damar Batur Nusantara</v>
          </cell>
          <cell r="O2096" t="str">
            <v>Dusun Krajan , Desa Kasiyan, Kec. Puger</v>
          </cell>
          <cell r="P2096" t="str">
            <v>Jember</v>
          </cell>
          <cell r="Q2096" t="str">
            <v>Dsn. Purwosari, RT.001/RW.011 Kel. Tanjungsari, Kec. Umbulsari</v>
          </cell>
          <cell r="R2096" t="str">
            <v>Jember</v>
          </cell>
          <cell r="S2096" t="str">
            <v>L Kota3</v>
          </cell>
          <cell r="T2096" t="str">
            <v>Wira</v>
          </cell>
          <cell r="U2096">
            <v>30</v>
          </cell>
        </row>
        <row r="2097">
          <cell r="E2097" t="str">
            <v>Z25002450</v>
          </cell>
          <cell r="F2097"/>
          <cell r="G2097">
            <v>2000000000</v>
          </cell>
          <cell r="H2097" t="str">
            <v>Yuyun</v>
          </cell>
          <cell r="I2097" t="str">
            <v>Farida</v>
          </cell>
          <cell r="J2097" t="str">
            <v>New 06/01/20</v>
          </cell>
          <cell r="K2097" t="str">
            <v>KU, Tunai</v>
          </cell>
          <cell r="L2097" t="str">
            <v>ENGG02</v>
          </cell>
          <cell r="M2097" t="str">
            <v>Damar Batur Nusantara</v>
          </cell>
          <cell r="N2097" t="str">
            <v>Damar Batur Nusantara</v>
          </cell>
          <cell r="O2097" t="str">
            <v>Dusun Krajan , Desa Kasiyan, Kec. Puger</v>
          </cell>
          <cell r="P2097" t="str">
            <v>Jember</v>
          </cell>
          <cell r="Q2097" t="str">
            <v>Dsn. Purwosari, RT.001/RW.011 Kel. Tanjungsari, Kec. Umbulsari</v>
          </cell>
          <cell r="R2097" t="str">
            <v>Jember</v>
          </cell>
          <cell r="S2097" t="str">
            <v>L Kota3</v>
          </cell>
          <cell r="T2097" t="str">
            <v>Wira</v>
          </cell>
          <cell r="U2097">
            <v>30</v>
          </cell>
        </row>
        <row r="2098">
          <cell r="E2098" t="str">
            <v>Z25002458</v>
          </cell>
          <cell r="F2098"/>
          <cell r="G2098">
            <v>2000000000</v>
          </cell>
          <cell r="H2098" t="str">
            <v>Yuyun</v>
          </cell>
          <cell r="I2098" t="str">
            <v>Farida</v>
          </cell>
          <cell r="J2098" t="str">
            <v>New 06/01/20</v>
          </cell>
          <cell r="K2098" t="str">
            <v>KU, Tunai</v>
          </cell>
          <cell r="L2098" t="str">
            <v>ENGG02</v>
          </cell>
          <cell r="M2098" t="str">
            <v>Damar Batur Nusantara</v>
          </cell>
          <cell r="N2098" t="str">
            <v>Damar Batur Nusantara</v>
          </cell>
          <cell r="O2098" t="str">
            <v>Dusun Krajan , Desa Kasiyan, Kec. Puger</v>
          </cell>
          <cell r="P2098" t="str">
            <v>Jember</v>
          </cell>
          <cell r="Q2098" t="str">
            <v>Dsn. Purwosari, RT.001/RW.011 Kel. Tanjungsari, Kec. Umbulsari</v>
          </cell>
          <cell r="R2098" t="str">
            <v>Jember</v>
          </cell>
          <cell r="S2098" t="str">
            <v>L Kota3</v>
          </cell>
          <cell r="T2098" t="str">
            <v>Wira</v>
          </cell>
          <cell r="U2098">
            <v>30</v>
          </cell>
        </row>
        <row r="2099">
          <cell r="E2099" t="str">
            <v>Z25002459</v>
          </cell>
          <cell r="F2099"/>
          <cell r="G2099">
            <v>2000000000</v>
          </cell>
          <cell r="H2099" t="str">
            <v>Yuyun</v>
          </cell>
          <cell r="I2099" t="str">
            <v>Farida</v>
          </cell>
          <cell r="J2099" t="str">
            <v>New 06/01/20</v>
          </cell>
          <cell r="K2099" t="str">
            <v>KU, Tunai</v>
          </cell>
          <cell r="L2099" t="str">
            <v>ENGG02</v>
          </cell>
          <cell r="M2099" t="str">
            <v>Damar Batur Nusantara</v>
          </cell>
          <cell r="N2099" t="str">
            <v>Damar Batur Nusantara</v>
          </cell>
          <cell r="O2099" t="str">
            <v>Dusun Krajan , Desa Kasiyan, Kec. Puger</v>
          </cell>
          <cell r="P2099" t="str">
            <v>Jember</v>
          </cell>
          <cell r="Q2099" t="str">
            <v>Dsn. Purwosari, RT.001/RW.011 Kel. Tanjungsari, Kec. Umbulsari</v>
          </cell>
          <cell r="R2099" t="str">
            <v>Jember</v>
          </cell>
          <cell r="S2099" t="str">
            <v>L Kota3</v>
          </cell>
          <cell r="T2099" t="str">
            <v>Wira</v>
          </cell>
          <cell r="U2099">
            <v>0</v>
          </cell>
        </row>
        <row r="2100">
          <cell r="E2100" t="str">
            <v>Z25002461</v>
          </cell>
          <cell r="F2100"/>
          <cell r="G2100">
            <v>2000000000</v>
          </cell>
          <cell r="H2100" t="str">
            <v>Yuyun</v>
          </cell>
          <cell r="I2100" t="str">
            <v>Farida</v>
          </cell>
          <cell r="J2100" t="str">
            <v>New 06/01/20</v>
          </cell>
          <cell r="K2100" t="str">
            <v>KU, Tunai</v>
          </cell>
          <cell r="L2100" t="str">
            <v>ENGG02</v>
          </cell>
          <cell r="M2100" t="str">
            <v>Damar Batur Nusantara</v>
          </cell>
          <cell r="N2100" t="str">
            <v>Damar Batur Nusantara</v>
          </cell>
          <cell r="O2100" t="str">
            <v>Dusun Krajan , Desa Kasiyan, Kec. Puger</v>
          </cell>
          <cell r="P2100" t="str">
            <v>Jember</v>
          </cell>
          <cell r="Q2100" t="str">
            <v>Dsn. Purwosari, RT.001/RW.011 Kel. Tanjungsari, Kec. Umbulsari</v>
          </cell>
          <cell r="R2100" t="str">
            <v>Jember</v>
          </cell>
          <cell r="S2100" t="str">
            <v>L Kota3</v>
          </cell>
          <cell r="T2100" t="str">
            <v>Wira</v>
          </cell>
          <cell r="U2100">
            <v>30</v>
          </cell>
        </row>
        <row r="2101">
          <cell r="E2101" t="str">
            <v>Z25002476</v>
          </cell>
          <cell r="F2101"/>
          <cell r="G2101">
            <v>2000000000</v>
          </cell>
          <cell r="H2101" t="str">
            <v>Yuyun</v>
          </cell>
          <cell r="I2101" t="str">
            <v>Farida</v>
          </cell>
          <cell r="J2101" t="str">
            <v>New 06/01/20</v>
          </cell>
          <cell r="K2101" t="str">
            <v>KU, Tunai</v>
          </cell>
          <cell r="L2101" t="str">
            <v>ENGG02</v>
          </cell>
          <cell r="M2101" t="str">
            <v>Damar Batur Nusantara</v>
          </cell>
          <cell r="N2101" t="str">
            <v>Damar Batur Nusantara</v>
          </cell>
          <cell r="O2101" t="str">
            <v>Dusun Krajan , Desa Kasiyan, Kec. Puger</v>
          </cell>
          <cell r="P2101" t="str">
            <v>Jember</v>
          </cell>
          <cell r="Q2101" t="str">
            <v>Dsn. Purwosari, RT.001/RW.011 Kel. Tanjungsari, Kec. Umbulsari</v>
          </cell>
          <cell r="R2101" t="str">
            <v>Jember</v>
          </cell>
          <cell r="S2101" t="str">
            <v>L Kota3</v>
          </cell>
          <cell r="T2101" t="str">
            <v>Wira</v>
          </cell>
          <cell r="U2101">
            <v>30</v>
          </cell>
        </row>
        <row r="2102">
          <cell r="E2102" t="str">
            <v>Z25002499</v>
          </cell>
          <cell r="F2102"/>
          <cell r="G2102">
            <v>2000000000</v>
          </cell>
          <cell r="H2102" t="str">
            <v>Yuyun</v>
          </cell>
          <cell r="I2102" t="str">
            <v>Farida</v>
          </cell>
          <cell r="J2102" t="str">
            <v>New 06/01/20</v>
          </cell>
          <cell r="K2102" t="str">
            <v>KU, Tunai</v>
          </cell>
          <cell r="L2102" t="str">
            <v>ENGG02</v>
          </cell>
          <cell r="M2102" t="str">
            <v>Damar Batur Nusantara</v>
          </cell>
          <cell r="N2102" t="str">
            <v>Damar Batur Nusantara</v>
          </cell>
          <cell r="O2102" t="str">
            <v>Dusun Krajan , Desa Kasiyan, Kec. Puger</v>
          </cell>
          <cell r="P2102" t="str">
            <v>Jember</v>
          </cell>
          <cell r="Q2102" t="str">
            <v>Dsn. Purwosari, RT.001/RW.011 Kel. Tanjungsari, Kec. Umbulsari</v>
          </cell>
          <cell r="R2102" t="str">
            <v>Jember</v>
          </cell>
          <cell r="S2102" t="str">
            <v>L Kota3</v>
          </cell>
          <cell r="T2102" t="str">
            <v>Wira</v>
          </cell>
          <cell r="U2102">
            <v>30</v>
          </cell>
        </row>
        <row r="2103">
          <cell r="E2103" t="str">
            <v>Z25002501</v>
          </cell>
          <cell r="F2103"/>
          <cell r="G2103">
            <v>2000000000</v>
          </cell>
          <cell r="H2103" t="str">
            <v>Yuyun</v>
          </cell>
          <cell r="I2103" t="str">
            <v>Farida</v>
          </cell>
          <cell r="J2103" t="str">
            <v>New 06/01/20</v>
          </cell>
          <cell r="K2103" t="str">
            <v>KU, Tunai</v>
          </cell>
          <cell r="L2103" t="str">
            <v>ENGG02</v>
          </cell>
          <cell r="M2103" t="str">
            <v>Damar Batur Nusantara</v>
          </cell>
          <cell r="N2103" t="str">
            <v>Damar Batur Nusantara</v>
          </cell>
          <cell r="O2103" t="str">
            <v>Dusun Krajan , Desa Kasiyan, Kec. Puger</v>
          </cell>
          <cell r="P2103" t="str">
            <v>Jember</v>
          </cell>
          <cell r="Q2103" t="str">
            <v>Dsn. Purwosari, RT.001/RW.011 Kel. Tanjungsari, Kec. Umbulsari</v>
          </cell>
          <cell r="R2103" t="str">
            <v>Jember</v>
          </cell>
          <cell r="S2103" t="str">
            <v>L Kota3</v>
          </cell>
          <cell r="T2103" t="str">
            <v>Wira</v>
          </cell>
          <cell r="U2103">
            <v>30</v>
          </cell>
        </row>
        <row r="2104">
          <cell r="E2104" t="str">
            <v>Z25002508</v>
          </cell>
          <cell r="F2104"/>
          <cell r="G2104">
            <v>2000000000</v>
          </cell>
          <cell r="H2104" t="str">
            <v>Yuyun</v>
          </cell>
          <cell r="I2104" t="str">
            <v>Farida</v>
          </cell>
          <cell r="J2104" t="str">
            <v>New 06/01/20</v>
          </cell>
          <cell r="K2104" t="str">
            <v>KU, Tunai</v>
          </cell>
          <cell r="L2104" t="str">
            <v>ENGG02</v>
          </cell>
          <cell r="M2104" t="str">
            <v>Damar Batur Nusantara</v>
          </cell>
          <cell r="N2104" t="str">
            <v>Damar Batur Nusantara</v>
          </cell>
          <cell r="O2104" t="str">
            <v>Dusun Krajan , Desa Kasiyan, Kec. Puger</v>
          </cell>
          <cell r="P2104" t="str">
            <v>Jember</v>
          </cell>
          <cell r="Q2104" t="str">
            <v>Dsn. Purwosari, RT.001/RW.011 Kel. Tanjungsari, Kec. Umbulsari</v>
          </cell>
          <cell r="R2104" t="str">
            <v>Jember</v>
          </cell>
          <cell r="S2104" t="str">
            <v>L Kota3</v>
          </cell>
          <cell r="T2104" t="str">
            <v>Wira</v>
          </cell>
          <cell r="U2104">
            <v>30</v>
          </cell>
        </row>
        <row r="2105">
          <cell r="E2105" t="str">
            <v>Z25002509</v>
          </cell>
          <cell r="F2105"/>
          <cell r="G2105">
            <v>2000000000</v>
          </cell>
          <cell r="H2105" t="str">
            <v>Yuyun</v>
          </cell>
          <cell r="I2105" t="str">
            <v>Farida</v>
          </cell>
          <cell r="J2105" t="str">
            <v>New 06/01/20</v>
          </cell>
          <cell r="K2105" t="str">
            <v>KU, Tunai</v>
          </cell>
          <cell r="L2105" t="str">
            <v>ENGG02</v>
          </cell>
          <cell r="M2105" t="str">
            <v>Damar Batur Nusantara</v>
          </cell>
          <cell r="N2105" t="str">
            <v>Damar Batur Nusantara</v>
          </cell>
          <cell r="O2105" t="str">
            <v>Dusun Krajan , Desa Kasiyan, Kec. Puger</v>
          </cell>
          <cell r="P2105" t="str">
            <v>Jember</v>
          </cell>
          <cell r="Q2105" t="str">
            <v>Dsn. Purwosari, RT.001/RW.011 Kel. Tanjungsari, Kec. Umbulsari</v>
          </cell>
          <cell r="R2105" t="str">
            <v>Jember</v>
          </cell>
          <cell r="S2105" t="str">
            <v>L Kota3</v>
          </cell>
          <cell r="T2105" t="str">
            <v>Wira</v>
          </cell>
          <cell r="U2105">
            <v>30</v>
          </cell>
        </row>
        <row r="2106">
          <cell r="E2106" t="str">
            <v>Z25002511</v>
          </cell>
          <cell r="F2106"/>
          <cell r="G2106">
            <v>2000000000</v>
          </cell>
          <cell r="H2106" t="str">
            <v>Yuyun</v>
          </cell>
          <cell r="I2106" t="str">
            <v>Farida</v>
          </cell>
          <cell r="J2106" t="str">
            <v>New 06/01/20</v>
          </cell>
          <cell r="K2106" t="str">
            <v>KU, Tunai</v>
          </cell>
          <cell r="L2106" t="str">
            <v>ENGG02</v>
          </cell>
          <cell r="M2106" t="str">
            <v>Damar Batur Nusantara</v>
          </cell>
          <cell r="N2106" t="str">
            <v>Damar Batur Nusantara</v>
          </cell>
          <cell r="O2106" t="str">
            <v>Dusun Krajan , Desa Kasiyan, Kec. Puger</v>
          </cell>
          <cell r="P2106" t="str">
            <v>Jember</v>
          </cell>
          <cell r="Q2106" t="str">
            <v>Dsn. Purwosari, RT.001/RW.011 Kel. Tanjungsari, Kec. Umbulsari</v>
          </cell>
          <cell r="R2106" t="str">
            <v>Jember</v>
          </cell>
          <cell r="S2106" t="str">
            <v>L Kota3</v>
          </cell>
          <cell r="T2106" t="str">
            <v>Wira</v>
          </cell>
          <cell r="U2106">
            <v>30</v>
          </cell>
        </row>
        <row r="2107">
          <cell r="E2107" t="str">
            <v>Z25002539</v>
          </cell>
          <cell r="F2107"/>
          <cell r="G2107">
            <v>2000000000</v>
          </cell>
          <cell r="H2107" t="str">
            <v>Yuyun</v>
          </cell>
          <cell r="I2107" t="str">
            <v>Farida</v>
          </cell>
          <cell r="J2107" t="str">
            <v>New 06/01/20</v>
          </cell>
          <cell r="K2107" t="str">
            <v>KU, Tunai</v>
          </cell>
          <cell r="L2107" t="str">
            <v>ENGG02</v>
          </cell>
          <cell r="M2107" t="str">
            <v>Damar Batur Nusantara</v>
          </cell>
          <cell r="N2107" t="str">
            <v>Damar Batur Nusantara</v>
          </cell>
          <cell r="O2107" t="str">
            <v>Dusun Krajan , Desa Kasiyan, Kec. Puger</v>
          </cell>
          <cell r="P2107" t="str">
            <v>Jember</v>
          </cell>
          <cell r="Q2107" t="str">
            <v>Dsn. Purwosari, RT.001/RW.011 Kel. Tanjungsari, Kec. Umbulsari</v>
          </cell>
          <cell r="R2107" t="str">
            <v>Jember</v>
          </cell>
          <cell r="S2107" t="str">
            <v>L Kota3</v>
          </cell>
          <cell r="T2107" t="str">
            <v>Wira</v>
          </cell>
          <cell r="U2107">
            <v>30</v>
          </cell>
        </row>
        <row r="2108">
          <cell r="E2108" t="str">
            <v>Z25002540</v>
          </cell>
          <cell r="F2108"/>
          <cell r="G2108">
            <v>2000000000</v>
          </cell>
          <cell r="H2108" t="str">
            <v>Yuyun</v>
          </cell>
          <cell r="I2108" t="str">
            <v>Farida</v>
          </cell>
          <cell r="J2108" t="str">
            <v>New 06/01/20</v>
          </cell>
          <cell r="K2108" t="str">
            <v>KU, Tunai</v>
          </cell>
          <cell r="L2108" t="str">
            <v>ENGG02</v>
          </cell>
          <cell r="M2108" t="str">
            <v>Damar Batur Nusantara</v>
          </cell>
          <cell r="N2108" t="str">
            <v>Damar Batur Nusantara</v>
          </cell>
          <cell r="O2108" t="str">
            <v>Dusun Krajan , Desa Kasiyan, Kec. Puger</v>
          </cell>
          <cell r="P2108" t="str">
            <v>Jember</v>
          </cell>
          <cell r="Q2108" t="str">
            <v>Dsn. Purwosari, RT.001/RW.011 Kel. Tanjungsari, Kec. Umbulsari</v>
          </cell>
          <cell r="R2108" t="str">
            <v>Jember</v>
          </cell>
          <cell r="S2108" t="str">
            <v>L Kota3</v>
          </cell>
          <cell r="T2108" t="str">
            <v>Wira</v>
          </cell>
          <cell r="U2108">
            <v>30</v>
          </cell>
        </row>
        <row r="2109">
          <cell r="E2109" t="str">
            <v>Z25002546</v>
          </cell>
          <cell r="F2109"/>
          <cell r="G2109">
            <v>2000000000</v>
          </cell>
          <cell r="H2109" t="str">
            <v>Yuyun</v>
          </cell>
          <cell r="I2109" t="str">
            <v>Farida</v>
          </cell>
          <cell r="J2109" t="str">
            <v>New 06/01/20</v>
          </cell>
          <cell r="K2109" t="str">
            <v>KU, Tunai</v>
          </cell>
          <cell r="L2109" t="str">
            <v>ENGG02</v>
          </cell>
          <cell r="M2109" t="str">
            <v>Damar Batur Nusantara</v>
          </cell>
          <cell r="N2109" t="str">
            <v>Damar Batur Nusantara</v>
          </cell>
          <cell r="O2109" t="str">
            <v>Dusun Krajan , Desa Kasiyan, Kec. Puger</v>
          </cell>
          <cell r="P2109" t="str">
            <v>Jember</v>
          </cell>
          <cell r="Q2109" t="str">
            <v>Dsn. Purwosari, RT.001/RW.011 Kel. Tanjungsari, Kec. Umbulsari</v>
          </cell>
          <cell r="R2109" t="str">
            <v>Jember</v>
          </cell>
          <cell r="S2109" t="str">
            <v>L Kota3</v>
          </cell>
          <cell r="T2109" t="str">
            <v>Wira</v>
          </cell>
          <cell r="U2109">
            <v>0</v>
          </cell>
        </row>
        <row r="2110">
          <cell r="E2110" t="str">
            <v>Z25002551</v>
          </cell>
          <cell r="F2110"/>
          <cell r="G2110">
            <v>2000000000</v>
          </cell>
          <cell r="H2110" t="str">
            <v>Yuyun</v>
          </cell>
          <cell r="I2110" t="str">
            <v>Farida</v>
          </cell>
          <cell r="J2110" t="str">
            <v>New 06/01/20</v>
          </cell>
          <cell r="K2110" t="str">
            <v>KU, Tunai</v>
          </cell>
          <cell r="L2110" t="str">
            <v>ENGG02</v>
          </cell>
          <cell r="M2110" t="str">
            <v>Damar Batur Nusantara</v>
          </cell>
          <cell r="N2110" t="str">
            <v>Damar Batur Nusantara</v>
          </cell>
          <cell r="O2110" t="str">
            <v>Dusun Krajan , Desa Kasiyan, Kec. Puger</v>
          </cell>
          <cell r="P2110" t="str">
            <v>Jember</v>
          </cell>
          <cell r="Q2110" t="str">
            <v>Dsn. Purwosari, RT.001/RW.011 Kel. Tanjungsari, Kec. Umbulsari</v>
          </cell>
          <cell r="R2110" t="str">
            <v>Jember</v>
          </cell>
          <cell r="S2110" t="str">
            <v>L Kota3</v>
          </cell>
          <cell r="T2110" t="str">
            <v>Wira</v>
          </cell>
          <cell r="U2110">
            <v>30</v>
          </cell>
        </row>
        <row r="2111">
          <cell r="E2111" t="str">
            <v>Z25002552</v>
          </cell>
          <cell r="F2111"/>
          <cell r="G2111">
            <v>2000000000</v>
          </cell>
          <cell r="H2111" t="str">
            <v>Yuyun</v>
          </cell>
          <cell r="I2111" t="str">
            <v>Farida</v>
          </cell>
          <cell r="J2111" t="str">
            <v>New 06/01/20</v>
          </cell>
          <cell r="K2111" t="str">
            <v>KU, Tunai</v>
          </cell>
          <cell r="L2111" t="str">
            <v>ENGG02</v>
          </cell>
          <cell r="M2111" t="str">
            <v>Damar Batur Nusantara</v>
          </cell>
          <cell r="N2111" t="str">
            <v>Damar Batur Nusantara</v>
          </cell>
          <cell r="O2111" t="str">
            <v>Dusun Krajan , Desa Kasiyan, Kec. Puger</v>
          </cell>
          <cell r="P2111" t="str">
            <v>Jember</v>
          </cell>
          <cell r="Q2111" t="str">
            <v>Dsn. Purwosari, RT.001/RW.011 Kel. Tanjungsari, Kec. Umbulsari</v>
          </cell>
          <cell r="R2111" t="str">
            <v>Jember</v>
          </cell>
          <cell r="S2111" t="str">
            <v>L Kota3</v>
          </cell>
          <cell r="T2111" t="str">
            <v>Wira</v>
          </cell>
          <cell r="U2111">
            <v>30</v>
          </cell>
        </row>
        <row r="2112">
          <cell r="E2112" t="str">
            <v>Z25002557</v>
          </cell>
          <cell r="F2112"/>
          <cell r="G2112">
            <v>2000000000</v>
          </cell>
          <cell r="H2112" t="str">
            <v>Yuyun</v>
          </cell>
          <cell r="I2112" t="str">
            <v>Farida</v>
          </cell>
          <cell r="J2112" t="str">
            <v>New 06/01/20</v>
          </cell>
          <cell r="K2112" t="str">
            <v>KU, Tunai</v>
          </cell>
          <cell r="L2112" t="str">
            <v>ENGG02</v>
          </cell>
          <cell r="M2112" t="str">
            <v>Damar Batur Nusantara</v>
          </cell>
          <cell r="N2112" t="str">
            <v>Damar Batur Nusantara</v>
          </cell>
          <cell r="O2112" t="str">
            <v>Dusun Krajan , Desa Kasiyan, Kec. Puger</v>
          </cell>
          <cell r="P2112" t="str">
            <v>Jember</v>
          </cell>
          <cell r="Q2112" t="str">
            <v>Dsn. Purwosari, RT.001/RW.011 Kel. Tanjungsari, Kec. Umbulsari</v>
          </cell>
          <cell r="R2112" t="str">
            <v>Jember</v>
          </cell>
          <cell r="S2112" t="str">
            <v>L Kota3</v>
          </cell>
          <cell r="T2112" t="str">
            <v>Wira</v>
          </cell>
          <cell r="U2112">
            <v>0</v>
          </cell>
        </row>
        <row r="2113">
          <cell r="E2113" t="str">
            <v>Z25002603</v>
          </cell>
          <cell r="F2113"/>
          <cell r="G2113">
            <v>2000000000</v>
          </cell>
          <cell r="H2113" t="str">
            <v>Yuyun</v>
          </cell>
          <cell r="I2113" t="str">
            <v>Farida</v>
          </cell>
          <cell r="J2113" t="str">
            <v>New 06/01/20</v>
          </cell>
          <cell r="K2113" t="str">
            <v>KU, Tunai</v>
          </cell>
          <cell r="L2113" t="str">
            <v>ENGG02</v>
          </cell>
          <cell r="M2113" t="str">
            <v>Damar Batur Nusantara</v>
          </cell>
          <cell r="N2113" t="str">
            <v>Damar Batur Nusantara</v>
          </cell>
          <cell r="O2113" t="str">
            <v>Dusun Krajan , Desa Kasiyan, Kec. Puger</v>
          </cell>
          <cell r="P2113" t="str">
            <v>Jember</v>
          </cell>
          <cell r="Q2113" t="str">
            <v>Dsn. Purwosari, RT.001/RW.011 Kel. Tanjungsari, Kec. Umbulsari</v>
          </cell>
          <cell r="R2113" t="str">
            <v>Jember</v>
          </cell>
          <cell r="S2113" t="str">
            <v>L Kota3</v>
          </cell>
          <cell r="T2113" t="str">
            <v>Wira</v>
          </cell>
          <cell r="U2113">
            <v>60</v>
          </cell>
        </row>
        <row r="2114">
          <cell r="E2114" t="str">
            <v>Z25002610</v>
          </cell>
          <cell r="F2114"/>
          <cell r="G2114">
            <v>2000000000</v>
          </cell>
          <cell r="H2114" t="str">
            <v>Yuyun</v>
          </cell>
          <cell r="I2114" t="str">
            <v>Farida</v>
          </cell>
          <cell r="J2114" t="str">
            <v>New 06/01/20</v>
          </cell>
          <cell r="K2114" t="str">
            <v>KU, Tunai</v>
          </cell>
          <cell r="L2114" t="str">
            <v>ENGG02</v>
          </cell>
          <cell r="M2114" t="str">
            <v>Damar Batur Nusantara</v>
          </cell>
          <cell r="N2114" t="str">
            <v>Damar Batur Nusantara</v>
          </cell>
          <cell r="O2114" t="str">
            <v>Dusun Krajan , Desa Kasiyan, Kec. Puger</v>
          </cell>
          <cell r="P2114" t="str">
            <v>Jember</v>
          </cell>
          <cell r="Q2114" t="str">
            <v>Dsn. Purwosari, RT.001/RW.011 Kel. Tanjungsari, Kec. Umbulsari</v>
          </cell>
          <cell r="R2114" t="str">
            <v>Jember</v>
          </cell>
          <cell r="S2114" t="str">
            <v>L Kota3</v>
          </cell>
          <cell r="T2114" t="str">
            <v>Wira</v>
          </cell>
          <cell r="U2114">
            <v>30</v>
          </cell>
        </row>
        <row r="2115">
          <cell r="E2115" t="str">
            <v>Z25002613</v>
          </cell>
          <cell r="F2115"/>
          <cell r="G2115">
            <v>2000000000</v>
          </cell>
          <cell r="H2115" t="str">
            <v>Yuyun</v>
          </cell>
          <cell r="I2115" t="str">
            <v>Farida</v>
          </cell>
          <cell r="J2115" t="str">
            <v>New 06/01/20</v>
          </cell>
          <cell r="K2115" t="str">
            <v>KU, Tunai</v>
          </cell>
          <cell r="L2115" t="str">
            <v>ENGG02</v>
          </cell>
          <cell r="M2115" t="str">
            <v>Damar Batur Nusantara</v>
          </cell>
          <cell r="N2115" t="str">
            <v>Damar Batur Nusantara</v>
          </cell>
          <cell r="O2115" t="str">
            <v>Dusun Krajan , Desa Kasiyan, Kec. Puger</v>
          </cell>
          <cell r="P2115" t="str">
            <v>Jember</v>
          </cell>
          <cell r="Q2115" t="str">
            <v>Dsn. Purwosari, RT.001/RW.011 Kel. Tanjungsari, Kec. Umbulsari</v>
          </cell>
          <cell r="R2115" t="str">
            <v>Jember</v>
          </cell>
          <cell r="S2115" t="str">
            <v>L Kota3</v>
          </cell>
          <cell r="T2115" t="str">
            <v>Wira</v>
          </cell>
          <cell r="U2115">
            <v>30</v>
          </cell>
        </row>
        <row r="2116">
          <cell r="E2116" t="str">
            <v>Z25002626</v>
          </cell>
          <cell r="F2116"/>
          <cell r="G2116">
            <v>2000000000</v>
          </cell>
          <cell r="H2116" t="str">
            <v>Yuyun</v>
          </cell>
          <cell r="I2116" t="str">
            <v>Farida</v>
          </cell>
          <cell r="J2116" t="str">
            <v>New 06/01/20</v>
          </cell>
          <cell r="K2116" t="str">
            <v>KU, Tunai</v>
          </cell>
          <cell r="L2116" t="str">
            <v>ENGG02</v>
          </cell>
          <cell r="M2116" t="str">
            <v>Damar Batur Nusantara</v>
          </cell>
          <cell r="N2116" t="str">
            <v>Damar Batur Nusantara</v>
          </cell>
          <cell r="O2116" t="str">
            <v>Dusun Krajan , Desa Kasiyan, Kec. Puger</v>
          </cell>
          <cell r="P2116" t="str">
            <v>Jember</v>
          </cell>
          <cell r="Q2116" t="str">
            <v>Dsn. Purwosari, RT.001/RW.011 Kel. Tanjungsari, Kec. Umbulsari</v>
          </cell>
          <cell r="R2116" t="str">
            <v>Jember</v>
          </cell>
          <cell r="S2116" t="str">
            <v>L Kota3</v>
          </cell>
          <cell r="T2116" t="str">
            <v>Wira</v>
          </cell>
          <cell r="U2116">
            <v>30</v>
          </cell>
        </row>
        <row r="2117">
          <cell r="E2117" t="str">
            <v>Z25002629</v>
          </cell>
          <cell r="F2117"/>
          <cell r="G2117">
            <v>2000000000</v>
          </cell>
          <cell r="H2117" t="str">
            <v>Yuyun</v>
          </cell>
          <cell r="I2117" t="str">
            <v>Farida</v>
          </cell>
          <cell r="J2117" t="str">
            <v>New 06/01/20</v>
          </cell>
          <cell r="K2117" t="str">
            <v>KU, Tunai</v>
          </cell>
          <cell r="L2117" t="str">
            <v>ENGG02</v>
          </cell>
          <cell r="M2117" t="str">
            <v>Damar Batur Nusantara</v>
          </cell>
          <cell r="N2117" t="str">
            <v>Damar Batur Nusantara</v>
          </cell>
          <cell r="O2117" t="str">
            <v>Dusun Krajan , Desa Kasiyan, Kec. Puger</v>
          </cell>
          <cell r="P2117" t="str">
            <v>Jember</v>
          </cell>
          <cell r="Q2117" t="str">
            <v>Dsn. Purwosari, RT.001/RW.011 Kel. Tanjungsari, Kec. Umbulsari</v>
          </cell>
          <cell r="R2117" t="str">
            <v>Jember</v>
          </cell>
          <cell r="S2117" t="str">
            <v>L Kota3</v>
          </cell>
          <cell r="T2117" t="str">
            <v>Wira</v>
          </cell>
          <cell r="U2117">
            <v>30</v>
          </cell>
        </row>
        <row r="2118">
          <cell r="E2118" t="str">
            <v>Z25002644</v>
          </cell>
          <cell r="F2118"/>
          <cell r="G2118">
            <v>2000000000</v>
          </cell>
          <cell r="H2118" t="str">
            <v>Yuyun</v>
          </cell>
          <cell r="I2118" t="str">
            <v>Farida</v>
          </cell>
          <cell r="J2118" t="str">
            <v>New 06/01/20</v>
          </cell>
          <cell r="K2118" t="str">
            <v>KU, Tunai</v>
          </cell>
          <cell r="L2118" t="str">
            <v>ENGG02</v>
          </cell>
          <cell r="M2118" t="str">
            <v>Damar Batur Nusantara</v>
          </cell>
          <cell r="N2118" t="str">
            <v>Damar Batur Nusantara</v>
          </cell>
          <cell r="O2118" t="str">
            <v>Dusun Krajan , Desa Kasiyan, Kec. Puger</v>
          </cell>
          <cell r="P2118" t="str">
            <v>Jember</v>
          </cell>
          <cell r="Q2118" t="str">
            <v>Dsn. Purwosari, RT.001/RW.011 Kel. Tanjungsari, Kec. Umbulsari</v>
          </cell>
          <cell r="R2118" t="str">
            <v>Jember</v>
          </cell>
          <cell r="S2118" t="str">
            <v>L Kota3</v>
          </cell>
          <cell r="T2118" t="str">
            <v>Wira</v>
          </cell>
          <cell r="U2118">
            <v>30</v>
          </cell>
        </row>
        <row r="2119">
          <cell r="E2119" t="str">
            <v>Z25002649</v>
          </cell>
          <cell r="F2119"/>
          <cell r="G2119">
            <v>2000000000</v>
          </cell>
          <cell r="H2119" t="str">
            <v>Yuyun</v>
          </cell>
          <cell r="I2119" t="str">
            <v>Farida</v>
          </cell>
          <cell r="J2119" t="str">
            <v>New 06/01/20</v>
          </cell>
          <cell r="K2119" t="str">
            <v>KU, Tunai</v>
          </cell>
          <cell r="L2119" t="str">
            <v>ENGG02</v>
          </cell>
          <cell r="M2119" t="str">
            <v>Damar Batur Nusantara</v>
          </cell>
          <cell r="N2119" t="str">
            <v>Damar Batur Nusantara</v>
          </cell>
          <cell r="O2119" t="str">
            <v>Dusun Krajan , Desa Kasiyan, Kec. Puger</v>
          </cell>
          <cell r="P2119" t="str">
            <v>Jember</v>
          </cell>
          <cell r="Q2119" t="str">
            <v>Dsn. Purwosari, RT.001/RW.011 Kel. Tanjungsari, Kec. Umbulsari</v>
          </cell>
          <cell r="R2119" t="str">
            <v>Jember</v>
          </cell>
          <cell r="S2119" t="str">
            <v>L Kota3</v>
          </cell>
          <cell r="T2119" t="str">
            <v>Wira</v>
          </cell>
          <cell r="U2119">
            <v>60</v>
          </cell>
        </row>
        <row r="2120">
          <cell r="E2120" t="str">
            <v>Z25002665</v>
          </cell>
          <cell r="F2120"/>
          <cell r="G2120">
            <v>2000000000</v>
          </cell>
          <cell r="H2120" t="str">
            <v>Yuyun</v>
          </cell>
          <cell r="I2120" t="str">
            <v>Farida</v>
          </cell>
          <cell r="J2120" t="str">
            <v>New 06/01/20</v>
          </cell>
          <cell r="K2120" t="str">
            <v>KU, Tunai</v>
          </cell>
          <cell r="L2120" t="str">
            <v>ENGG02</v>
          </cell>
          <cell r="M2120" t="str">
            <v>Damar Batur Nusantara</v>
          </cell>
          <cell r="N2120" t="str">
            <v>Damar Batur Nusantara</v>
          </cell>
          <cell r="O2120" t="str">
            <v>Dusun Krajan , Desa Kasiyan, Kec. Puger</v>
          </cell>
          <cell r="P2120" t="str">
            <v>Jember</v>
          </cell>
          <cell r="Q2120" t="str">
            <v>Dsn. Purwosari, RT.001/RW.011 Kel. Tanjungsari, Kec. Umbulsari</v>
          </cell>
          <cell r="R2120" t="str">
            <v>Jember</v>
          </cell>
          <cell r="S2120" t="str">
            <v>L Kota3</v>
          </cell>
          <cell r="T2120" t="str">
            <v>Wira</v>
          </cell>
          <cell r="U2120">
            <v>30</v>
          </cell>
        </row>
        <row r="2121">
          <cell r="E2121" t="str">
            <v>Z25002670</v>
          </cell>
          <cell r="F2121"/>
          <cell r="G2121">
            <v>2000000000</v>
          </cell>
          <cell r="H2121" t="str">
            <v>Yuyun</v>
          </cell>
          <cell r="I2121" t="str">
            <v>Farida</v>
          </cell>
          <cell r="J2121" t="str">
            <v>New 06/01/20</v>
          </cell>
          <cell r="K2121" t="str">
            <v>KU, Tunai</v>
          </cell>
          <cell r="L2121" t="str">
            <v>ENGG02</v>
          </cell>
          <cell r="M2121" t="str">
            <v>Damar Batur Nusantara</v>
          </cell>
          <cell r="N2121" t="str">
            <v>Damar Batur Nusantara</v>
          </cell>
          <cell r="O2121" t="str">
            <v>Dusun Krajan , Desa Kasiyan, Kec. Puger</v>
          </cell>
          <cell r="P2121" t="str">
            <v>Jember</v>
          </cell>
          <cell r="Q2121" t="str">
            <v>Dsn. Purwosari, RT.001/RW.011 Kel. Tanjungsari, Kec. Umbulsari</v>
          </cell>
          <cell r="R2121" t="str">
            <v>Jember</v>
          </cell>
          <cell r="S2121" t="str">
            <v>L Kota3</v>
          </cell>
          <cell r="T2121" t="str">
            <v>Wira</v>
          </cell>
          <cell r="U2121">
            <v>30</v>
          </cell>
        </row>
        <row r="2122">
          <cell r="E2122" t="str">
            <v>Z25002679</v>
          </cell>
          <cell r="F2122"/>
          <cell r="G2122">
            <v>2000000000</v>
          </cell>
          <cell r="H2122" t="str">
            <v>Yuyun</v>
          </cell>
          <cell r="I2122" t="str">
            <v>Farida</v>
          </cell>
          <cell r="J2122" t="str">
            <v>New 06/01/20</v>
          </cell>
          <cell r="K2122" t="str">
            <v>KU, Tunai</v>
          </cell>
          <cell r="L2122" t="str">
            <v>ENGG02</v>
          </cell>
          <cell r="M2122" t="str">
            <v>Damar Batur Nusantara</v>
          </cell>
          <cell r="N2122" t="str">
            <v>Damar Batur Nusantara</v>
          </cell>
          <cell r="O2122" t="str">
            <v>Dusun Krajan , Desa Kasiyan, Kec. Puger</v>
          </cell>
          <cell r="P2122" t="str">
            <v>Jember</v>
          </cell>
          <cell r="Q2122" t="str">
            <v>Dsn. Purwosari, RT.001/RW.011 Kel. Tanjungsari, Kec. Umbulsari</v>
          </cell>
          <cell r="R2122" t="str">
            <v>Jember</v>
          </cell>
          <cell r="S2122" t="str">
            <v>L Kota3</v>
          </cell>
          <cell r="T2122" t="str">
            <v>Wira</v>
          </cell>
          <cell r="U2122">
            <v>30</v>
          </cell>
        </row>
        <row r="2123">
          <cell r="E2123" t="str">
            <v>Z25002705</v>
          </cell>
          <cell r="F2123"/>
          <cell r="G2123">
            <v>2000000000</v>
          </cell>
          <cell r="H2123" t="str">
            <v>Yuyun</v>
          </cell>
          <cell r="I2123" t="str">
            <v>Farida</v>
          </cell>
          <cell r="J2123" t="str">
            <v>New 06/01/20</v>
          </cell>
          <cell r="K2123" t="str">
            <v>KU, Tunai</v>
          </cell>
          <cell r="L2123" t="str">
            <v>ENGG02</v>
          </cell>
          <cell r="M2123" t="str">
            <v>Damar Batur Nusantara</v>
          </cell>
          <cell r="N2123" t="str">
            <v>Damar Batur Nusantara</v>
          </cell>
          <cell r="O2123" t="str">
            <v>Dusun Krajan , Desa Kasiyan, Kec. Puger</v>
          </cell>
          <cell r="P2123" t="str">
            <v>Jember</v>
          </cell>
          <cell r="Q2123" t="str">
            <v>Dsn. Purwosari, RT.001/RW.011 Kel. Tanjungsari, Kec. Umbulsari</v>
          </cell>
          <cell r="R2123" t="str">
            <v>Jember</v>
          </cell>
          <cell r="S2123" t="str">
            <v>L Kota3</v>
          </cell>
          <cell r="T2123" t="str">
            <v>Wira</v>
          </cell>
          <cell r="U2123">
            <v>0</v>
          </cell>
        </row>
        <row r="2124">
          <cell r="E2124" t="str">
            <v>Z25002708</v>
          </cell>
          <cell r="F2124"/>
          <cell r="G2124">
            <v>2000000000</v>
          </cell>
          <cell r="H2124" t="str">
            <v>Yuyun</v>
          </cell>
          <cell r="I2124" t="str">
            <v>Farida</v>
          </cell>
          <cell r="J2124" t="str">
            <v>New 06/01/20</v>
          </cell>
          <cell r="K2124" t="str">
            <v>KU, Tunai</v>
          </cell>
          <cell r="L2124" t="str">
            <v>ENGG02</v>
          </cell>
          <cell r="M2124" t="str">
            <v>Damar Batur Nusantara</v>
          </cell>
          <cell r="N2124" t="str">
            <v>Damar Batur Nusantara</v>
          </cell>
          <cell r="O2124" t="str">
            <v>Dusun Krajan , Desa Kasiyan, Kec. Puger</v>
          </cell>
          <cell r="P2124" t="str">
            <v>Jember</v>
          </cell>
          <cell r="Q2124" t="str">
            <v>Dsn. Purwosari, RT.001/RW.011 Kel. Tanjungsari, Kec. Umbulsari</v>
          </cell>
          <cell r="R2124" t="str">
            <v>Jember</v>
          </cell>
          <cell r="S2124" t="str">
            <v>L Kota3</v>
          </cell>
          <cell r="T2124" t="str">
            <v>Wira</v>
          </cell>
          <cell r="U2124">
            <v>30</v>
          </cell>
        </row>
        <row r="2125">
          <cell r="E2125" t="str">
            <v>Z25002710</v>
          </cell>
          <cell r="F2125"/>
          <cell r="G2125">
            <v>2000000000</v>
          </cell>
          <cell r="H2125" t="str">
            <v>Yuyun</v>
          </cell>
          <cell r="I2125" t="str">
            <v>Farida</v>
          </cell>
          <cell r="J2125" t="str">
            <v>New 06/01/20</v>
          </cell>
          <cell r="K2125" t="str">
            <v>KU, Tunai</v>
          </cell>
          <cell r="L2125" t="str">
            <v>ENGG02</v>
          </cell>
          <cell r="M2125" t="str">
            <v>Damar Batur Nusantara</v>
          </cell>
          <cell r="N2125" t="str">
            <v>Damar Batur Nusantara</v>
          </cell>
          <cell r="O2125" t="str">
            <v>Dusun Krajan , Desa Kasiyan, Kec. Puger</v>
          </cell>
          <cell r="P2125" t="str">
            <v>Jember</v>
          </cell>
          <cell r="Q2125" t="str">
            <v>Dsn. Purwosari, RT.001/RW.011 Kel. Tanjungsari, Kec. Umbulsari</v>
          </cell>
          <cell r="R2125" t="str">
            <v>Jember</v>
          </cell>
          <cell r="S2125" t="str">
            <v>L Kota3</v>
          </cell>
          <cell r="T2125" t="str">
            <v>Wira</v>
          </cell>
          <cell r="U2125">
            <v>60</v>
          </cell>
        </row>
        <row r="2126">
          <cell r="E2126" t="str">
            <v>Z25002712</v>
          </cell>
          <cell r="F2126"/>
          <cell r="G2126">
            <v>2000000000</v>
          </cell>
          <cell r="H2126" t="str">
            <v>Yuyun</v>
          </cell>
          <cell r="I2126" t="str">
            <v>Farida</v>
          </cell>
          <cell r="J2126" t="str">
            <v>New 06/01/20</v>
          </cell>
          <cell r="K2126" t="str">
            <v>KU, Tunai</v>
          </cell>
          <cell r="L2126" t="str">
            <v>ENGG02</v>
          </cell>
          <cell r="M2126" t="str">
            <v>Damar Batur Nusantara</v>
          </cell>
          <cell r="N2126" t="str">
            <v>Damar Batur Nusantara</v>
          </cell>
          <cell r="O2126" t="str">
            <v>Dusun Krajan , Desa Kasiyan, Kec. Puger</v>
          </cell>
          <cell r="P2126" t="str">
            <v>Jember</v>
          </cell>
          <cell r="Q2126" t="str">
            <v>Dsn. Purwosari, RT.001/RW.011 Kel. Tanjungsari, Kec. Umbulsari</v>
          </cell>
          <cell r="R2126" t="str">
            <v>Jember</v>
          </cell>
          <cell r="S2126" t="str">
            <v>L Kota3</v>
          </cell>
          <cell r="T2126" t="str">
            <v>Wira</v>
          </cell>
          <cell r="U2126">
            <v>30</v>
          </cell>
        </row>
        <row r="2127">
          <cell r="E2127" t="str">
            <v>Z25002713</v>
          </cell>
          <cell r="F2127"/>
          <cell r="G2127">
            <v>2000000000</v>
          </cell>
          <cell r="H2127" t="str">
            <v>Yuyun</v>
          </cell>
          <cell r="I2127" t="str">
            <v>Farida</v>
          </cell>
          <cell r="J2127" t="str">
            <v>New 06/01/20</v>
          </cell>
          <cell r="K2127" t="str">
            <v>KU, Tunai</v>
          </cell>
          <cell r="L2127" t="str">
            <v>ENGG02</v>
          </cell>
          <cell r="M2127" t="str">
            <v>Damar Batur Nusantara</v>
          </cell>
          <cell r="N2127" t="str">
            <v>Damar Batur Nusantara</v>
          </cell>
          <cell r="O2127" t="str">
            <v>Dusun Krajan , Desa Kasiyan, Kec. Puger</v>
          </cell>
          <cell r="P2127" t="str">
            <v>Jember</v>
          </cell>
          <cell r="Q2127" t="str">
            <v>Dsn. Purwosari, RT.001/RW.011 Kel. Tanjungsari, Kec. Umbulsari</v>
          </cell>
          <cell r="R2127" t="str">
            <v>Jember</v>
          </cell>
          <cell r="S2127" t="str">
            <v>L Kota3</v>
          </cell>
          <cell r="T2127" t="str">
            <v>Wira</v>
          </cell>
          <cell r="U2127">
            <v>30</v>
          </cell>
        </row>
        <row r="2128">
          <cell r="E2128" t="str">
            <v>Z25002724</v>
          </cell>
          <cell r="F2128"/>
          <cell r="G2128">
            <v>2000000000</v>
          </cell>
          <cell r="H2128" t="str">
            <v>Yuyun</v>
          </cell>
          <cell r="I2128" t="str">
            <v>Farida</v>
          </cell>
          <cell r="J2128" t="str">
            <v>New 06/01/20</v>
          </cell>
          <cell r="K2128" t="str">
            <v>KU, Tunai</v>
          </cell>
          <cell r="L2128" t="str">
            <v>ENGG02</v>
          </cell>
          <cell r="M2128" t="str">
            <v>Damar Batur Nusantara</v>
          </cell>
          <cell r="N2128" t="str">
            <v>Damar Batur Nusantara</v>
          </cell>
          <cell r="O2128" t="str">
            <v>Dusun Krajan , Desa Kasiyan, Kec. Puger</v>
          </cell>
          <cell r="P2128" t="str">
            <v>Jember</v>
          </cell>
          <cell r="Q2128" t="str">
            <v>Dsn. Purwosari, RT.001/RW.011 Kel. Tanjungsari, Kec. Umbulsari</v>
          </cell>
          <cell r="R2128" t="str">
            <v>Jember</v>
          </cell>
          <cell r="S2128" t="str">
            <v>L Kota3</v>
          </cell>
          <cell r="T2128" t="str">
            <v>Wira</v>
          </cell>
          <cell r="U2128">
            <v>60</v>
          </cell>
        </row>
        <row r="2129">
          <cell r="E2129" t="str">
            <v>Z25002809</v>
          </cell>
          <cell r="F2129"/>
          <cell r="G2129">
            <v>2000000000</v>
          </cell>
          <cell r="H2129" t="str">
            <v>Yuyun</v>
          </cell>
          <cell r="I2129" t="str">
            <v>Farida</v>
          </cell>
          <cell r="J2129" t="str">
            <v>New 06/01/20</v>
          </cell>
          <cell r="K2129" t="str">
            <v>KU, Tunai</v>
          </cell>
          <cell r="L2129" t="str">
            <v>ENGG02</v>
          </cell>
          <cell r="M2129" t="str">
            <v>Damar Batur Nusantara</v>
          </cell>
          <cell r="N2129" t="str">
            <v>Damar Batur Nusantara</v>
          </cell>
          <cell r="O2129" t="str">
            <v>Dusun Krajan , Desa Kasiyan, Kec. Puger</v>
          </cell>
          <cell r="P2129" t="str">
            <v>Jember</v>
          </cell>
          <cell r="Q2129" t="str">
            <v>Dsn. Purwosari, RT.001/RW.011 Kel. Tanjungsari, Kec. Umbulsari</v>
          </cell>
          <cell r="R2129" t="str">
            <v>Jember</v>
          </cell>
          <cell r="S2129" t="str">
            <v>L Kota3</v>
          </cell>
          <cell r="T2129" t="str">
            <v>Wira</v>
          </cell>
          <cell r="U2129">
            <v>30</v>
          </cell>
        </row>
        <row r="2130">
          <cell r="E2130" t="str">
            <v>Z25002826</v>
          </cell>
          <cell r="F2130"/>
          <cell r="G2130">
            <v>2000000000</v>
          </cell>
          <cell r="H2130" t="str">
            <v>Yuyun</v>
          </cell>
          <cell r="I2130" t="str">
            <v>Farida</v>
          </cell>
          <cell r="J2130" t="str">
            <v>New 06/01/20</v>
          </cell>
          <cell r="K2130" t="str">
            <v>KU, Tunai</v>
          </cell>
          <cell r="L2130" t="str">
            <v>ENGG02</v>
          </cell>
          <cell r="M2130" t="str">
            <v>Damar Batur Nusantara</v>
          </cell>
          <cell r="N2130" t="str">
            <v>Damar Batur Nusantara</v>
          </cell>
          <cell r="O2130" t="str">
            <v>Dusun Krajan , Desa Kasiyan, Kec. Puger</v>
          </cell>
          <cell r="P2130" t="str">
            <v>Jember</v>
          </cell>
          <cell r="Q2130" t="str">
            <v>Dsn. Purwosari, RT.001/RW.011 Kel. Tanjungsari, Kec. Umbulsari</v>
          </cell>
          <cell r="R2130" t="str">
            <v>Jember</v>
          </cell>
          <cell r="S2130" t="str">
            <v>L Kota3</v>
          </cell>
          <cell r="T2130" t="str">
            <v>Wira</v>
          </cell>
          <cell r="U2130">
            <v>30</v>
          </cell>
        </row>
        <row r="2131">
          <cell r="E2131" t="str">
            <v>Z25002827</v>
          </cell>
          <cell r="F2131"/>
          <cell r="G2131">
            <v>2000000000</v>
          </cell>
          <cell r="H2131" t="str">
            <v>Yuyun</v>
          </cell>
          <cell r="I2131" t="str">
            <v>Farida</v>
          </cell>
          <cell r="J2131" t="str">
            <v>New 06/01/20</v>
          </cell>
          <cell r="K2131" t="str">
            <v>KU, Tunai</v>
          </cell>
          <cell r="L2131" t="str">
            <v>ENGG02</v>
          </cell>
          <cell r="M2131" t="str">
            <v>Damar Batur Nusantara</v>
          </cell>
          <cell r="N2131" t="str">
            <v>Damar Batur Nusantara</v>
          </cell>
          <cell r="O2131" t="str">
            <v>Dusun Krajan , Desa Kasiyan, Kec. Puger</v>
          </cell>
          <cell r="P2131" t="str">
            <v>Jember</v>
          </cell>
          <cell r="Q2131" t="str">
            <v>Dsn. Purwosari, RT.001/RW.011 Kel. Tanjungsari, Kec. Umbulsari</v>
          </cell>
          <cell r="R2131" t="str">
            <v>Jember</v>
          </cell>
          <cell r="S2131" t="str">
            <v>L Kota3</v>
          </cell>
          <cell r="T2131" t="str">
            <v>Wira</v>
          </cell>
          <cell r="U2131">
            <v>0</v>
          </cell>
        </row>
        <row r="2132">
          <cell r="E2132" t="str">
            <v>B25008227</v>
          </cell>
          <cell r="F2132"/>
          <cell r="G2132">
            <v>200000000</v>
          </cell>
          <cell r="H2132" t="str">
            <v>Zakia</v>
          </cell>
          <cell r="I2132" t="str">
            <v>Tiya</v>
          </cell>
          <cell r="J2132"/>
          <cell r="K2132" t="str">
            <v>KU</v>
          </cell>
          <cell r="L2132" t="str">
            <v>DANA02</v>
          </cell>
          <cell r="M2132" t="str">
            <v>Dana Iel Jaya</v>
          </cell>
          <cell r="N2132" t="str">
            <v>Eva Octavia Afrida</v>
          </cell>
          <cell r="O2132" t="str">
            <v>Dsn. Krajan, RT.002/RW.004 Kel. Kunir, Kec. Wonodadi</v>
          </cell>
          <cell r="P2132" t="str">
            <v>Blitar</v>
          </cell>
          <cell r="Q2132" t="str">
            <v>Dsn. Krajan, RT.002/RW.004 Kel. Kunir, Kec. Wonodadi</v>
          </cell>
          <cell r="R2132" t="str">
            <v>Blitar</v>
          </cell>
          <cell r="S2132" t="str">
            <v>D Barat1</v>
          </cell>
          <cell r="T2132" t="str">
            <v>Tomi</v>
          </cell>
          <cell r="U2132">
            <v>60</v>
          </cell>
        </row>
        <row r="2133">
          <cell r="E2133" t="str">
            <v>D25012113</v>
          </cell>
          <cell r="F2133"/>
          <cell r="G2133">
            <v>200000000</v>
          </cell>
          <cell r="H2133" t="str">
            <v>Zakia</v>
          </cell>
          <cell r="I2133" t="str">
            <v>Tiya</v>
          </cell>
          <cell r="J2133"/>
          <cell r="K2133" t="str">
            <v>KU</v>
          </cell>
          <cell r="L2133" t="str">
            <v>DANA02</v>
          </cell>
          <cell r="M2133" t="str">
            <v>Dana Iel Jaya</v>
          </cell>
          <cell r="N2133" t="str">
            <v>Eva Octavia Afrida</v>
          </cell>
          <cell r="O2133" t="str">
            <v>Dsn. Krajan, RT.002/RW.004 Kel. Kunir, Kec. Wonodadi</v>
          </cell>
          <cell r="P2133" t="str">
            <v>Blitar</v>
          </cell>
          <cell r="Q2133" t="str">
            <v>Dsn. Krajan, RT.002/RW.004 Kel. Kunir, Kec. Wonodadi</v>
          </cell>
          <cell r="R2133" t="str">
            <v>Blitar</v>
          </cell>
          <cell r="S2133" t="str">
            <v>D Barat1</v>
          </cell>
          <cell r="T2133" t="str">
            <v>Tomi</v>
          </cell>
          <cell r="U2133">
            <v>60</v>
          </cell>
        </row>
        <row r="2134">
          <cell r="E2134" t="str">
            <v>T25001258</v>
          </cell>
          <cell r="F2134"/>
          <cell r="G2134">
            <v>200000000</v>
          </cell>
          <cell r="H2134" t="str">
            <v>Zakia</v>
          </cell>
          <cell r="I2134" t="str">
            <v>Tiya</v>
          </cell>
          <cell r="J2134"/>
          <cell r="K2134" t="str">
            <v>KU</v>
          </cell>
          <cell r="L2134" t="str">
            <v>DANA02</v>
          </cell>
          <cell r="M2134" t="str">
            <v>Dana Iel Jaya</v>
          </cell>
          <cell r="N2134" t="str">
            <v>Eva Octavia Afrida</v>
          </cell>
          <cell r="O2134" t="str">
            <v>Dsn. Krajan, RT.002/RW.004 Kel. Kunir, Kec. Wonodadi</v>
          </cell>
          <cell r="P2134" t="str">
            <v>Blitar</v>
          </cell>
          <cell r="Q2134" t="str">
            <v>Dsn. Krajan, RT.002/RW.004 Kel. Kunir, Kec. Wonodadi</v>
          </cell>
          <cell r="R2134" t="str">
            <v>Blitar</v>
          </cell>
          <cell r="S2134" t="str">
            <v>D Barat1</v>
          </cell>
          <cell r="T2134" t="str">
            <v>Tomi</v>
          </cell>
          <cell r="U2134">
            <v>60</v>
          </cell>
        </row>
        <row r="2135">
          <cell r="E2135" t="str">
            <v>T25001279</v>
          </cell>
          <cell r="F2135"/>
          <cell r="G2135">
            <v>200000000</v>
          </cell>
          <cell r="H2135" t="str">
            <v>Zakia</v>
          </cell>
          <cell r="I2135" t="str">
            <v>Tiya</v>
          </cell>
          <cell r="J2135"/>
          <cell r="K2135" t="str">
            <v>KU</v>
          </cell>
          <cell r="L2135" t="str">
            <v>DANA02</v>
          </cell>
          <cell r="M2135" t="str">
            <v>Dana Iel Jaya</v>
          </cell>
          <cell r="N2135" t="str">
            <v>Eva Octavia Afrida</v>
          </cell>
          <cell r="O2135" t="str">
            <v>Dsn. Krajan, RT.002/RW.004 Kel. Kunir, Kec. Wonodadi</v>
          </cell>
          <cell r="P2135" t="str">
            <v>Blitar</v>
          </cell>
          <cell r="Q2135" t="str">
            <v>Dsn. Krajan, RT.002/RW.004 Kel. Kunir, Kec. Wonodadi</v>
          </cell>
          <cell r="R2135" t="str">
            <v>Blitar</v>
          </cell>
          <cell r="S2135" t="str">
            <v>D Barat1</v>
          </cell>
          <cell r="T2135" t="str">
            <v>Tomi</v>
          </cell>
          <cell r="U2135">
            <v>60</v>
          </cell>
        </row>
        <row r="2136">
          <cell r="E2136" t="str">
            <v>B25013426</v>
          </cell>
          <cell r="F2136"/>
          <cell r="G2136">
            <v>200000000</v>
          </cell>
          <cell r="H2136" t="str">
            <v>Zakia</v>
          </cell>
          <cell r="I2136" t="str">
            <v>Tiya</v>
          </cell>
          <cell r="J2136"/>
          <cell r="K2136" t="str">
            <v>KU</v>
          </cell>
          <cell r="L2136" t="str">
            <v>DANA02</v>
          </cell>
          <cell r="M2136" t="str">
            <v>Dana Iel Jaya</v>
          </cell>
          <cell r="N2136" t="str">
            <v>Eva Octavia Afrida</v>
          </cell>
          <cell r="O2136" t="str">
            <v>Dsn. Krajan, RT.002/RW.004 Kel. Kunir, Kec. Wonodadi</v>
          </cell>
          <cell r="P2136" t="str">
            <v>Blitar</v>
          </cell>
          <cell r="Q2136" t="str">
            <v>Dsn. Krajan, RT.002/RW.004 Kel. Kunir, Kec. Wonodadi</v>
          </cell>
          <cell r="R2136" t="str">
            <v>Blitar</v>
          </cell>
          <cell r="S2136" t="str">
            <v>D Barat1</v>
          </cell>
          <cell r="T2136" t="str">
            <v>Tomi</v>
          </cell>
          <cell r="U2136">
            <v>30</v>
          </cell>
        </row>
        <row r="2137">
          <cell r="E2137" t="str">
            <v>T25001551</v>
          </cell>
          <cell r="F2137"/>
          <cell r="G2137">
            <v>200000000</v>
          </cell>
          <cell r="H2137" t="str">
            <v>Zakia</v>
          </cell>
          <cell r="I2137" t="str">
            <v>Tiya</v>
          </cell>
          <cell r="J2137"/>
          <cell r="K2137" t="str">
            <v>KU</v>
          </cell>
          <cell r="L2137" t="str">
            <v>DANA02</v>
          </cell>
          <cell r="M2137" t="str">
            <v>Dana Iel Jaya</v>
          </cell>
          <cell r="N2137" t="str">
            <v>Eva Octavia Afrida</v>
          </cell>
          <cell r="O2137" t="str">
            <v>Dsn. Krajan, RT.002/RW.004 Kel. Kunir, Kec. Wonodadi</v>
          </cell>
          <cell r="P2137" t="str">
            <v>Blitar</v>
          </cell>
          <cell r="Q2137" t="str">
            <v>Dsn. Krajan, RT.002/RW.004 Kel. Kunir, Kec. Wonodadi</v>
          </cell>
          <cell r="R2137" t="str">
            <v>Blitar</v>
          </cell>
          <cell r="S2137" t="str">
            <v>D Barat1</v>
          </cell>
          <cell r="T2137" t="str">
            <v>Tomi</v>
          </cell>
          <cell r="U2137">
            <v>60</v>
          </cell>
        </row>
        <row r="2138">
          <cell r="E2138" t="str">
            <v>T25001579</v>
          </cell>
          <cell r="F2138"/>
          <cell r="G2138">
            <v>200000000</v>
          </cell>
          <cell r="H2138" t="str">
            <v>Zakia</v>
          </cell>
          <cell r="I2138" t="str">
            <v>Tiya</v>
          </cell>
          <cell r="J2138"/>
          <cell r="K2138" t="str">
            <v>KU</v>
          </cell>
          <cell r="L2138" t="str">
            <v>DANA02</v>
          </cell>
          <cell r="M2138" t="str">
            <v>Dana Iel Jaya</v>
          </cell>
          <cell r="N2138" t="str">
            <v>Eva Octavia Afrida</v>
          </cell>
          <cell r="O2138" t="str">
            <v>Dsn. Krajan, RT.002/RW.004 Kel. Kunir, Kec. Wonodadi</v>
          </cell>
          <cell r="P2138" t="str">
            <v>Blitar</v>
          </cell>
          <cell r="Q2138" t="str">
            <v>Dsn. Krajan, RT.002/RW.004 Kel. Kunir, Kec. Wonodadi</v>
          </cell>
          <cell r="R2138" t="str">
            <v>Blitar</v>
          </cell>
          <cell r="S2138" t="str">
            <v>D Barat1</v>
          </cell>
          <cell r="T2138" t="str">
            <v>Tomi</v>
          </cell>
          <cell r="U2138">
            <v>60</v>
          </cell>
        </row>
        <row r="2139">
          <cell r="E2139" t="str">
            <v>B25012536</v>
          </cell>
          <cell r="F2139"/>
          <cell r="G2139">
            <v>1000</v>
          </cell>
          <cell r="H2139" t="str">
            <v>Sheila</v>
          </cell>
          <cell r="I2139" t="str">
            <v>Exclusive</v>
          </cell>
          <cell r="J2139" t="str">
            <v>New 17/10/24</v>
          </cell>
          <cell r="K2139" t="str">
            <v>CBD</v>
          </cell>
          <cell r="L2139" t="str">
            <v>DEDI01</v>
          </cell>
          <cell r="M2139" t="str">
            <v>Dedi Iswanto</v>
          </cell>
          <cell r="N2139" t="str">
            <v>Dedi Iswanto</v>
          </cell>
          <cell r="O2139" t="str">
            <v>Psr Ambacang No.53 Padang RT.002/RW.001, Kel. Pasar Ambacang, Kec. Kuranji</v>
          </cell>
          <cell r="P2139" t="str">
            <v>Padang</v>
          </cell>
          <cell r="Q2139" t="str">
            <v>Psr Ambacang No.53 Padang RT.002/RW.001, Kel. Pasar Ambacang, Kec. Kuranji</v>
          </cell>
          <cell r="R2139" t="str">
            <v>Padang</v>
          </cell>
          <cell r="S2139" t="str">
            <v>E Luar Pulau1</v>
          </cell>
          <cell r="T2139" t="str">
            <v>Non SE &amp; JSE</v>
          </cell>
          <cell r="U2139">
            <v>15</v>
          </cell>
        </row>
        <row r="2140">
          <cell r="E2140" t="str">
            <v>B25013121</v>
          </cell>
          <cell r="F2140"/>
          <cell r="G2140">
            <v>1000</v>
          </cell>
          <cell r="H2140" t="str">
            <v>Sheila</v>
          </cell>
          <cell r="I2140" t="str">
            <v>Exclusive</v>
          </cell>
          <cell r="J2140" t="str">
            <v>New 17/10/24</v>
          </cell>
          <cell r="K2140" t="str">
            <v>CBD</v>
          </cell>
          <cell r="L2140" t="str">
            <v>DEDI01</v>
          </cell>
          <cell r="M2140" t="str">
            <v>Dedi Iswanto</v>
          </cell>
          <cell r="N2140" t="str">
            <v>Dedi Iswanto</v>
          </cell>
          <cell r="O2140" t="str">
            <v>Psr Ambacang No.53 Padang RT.002/RW.001, Kel. Pasar Ambacang, Kec. Kuranji</v>
          </cell>
          <cell r="P2140" t="str">
            <v>Padang</v>
          </cell>
          <cell r="Q2140" t="str">
            <v>Psr Ambacang No.53 Padang RT.002/RW.001, Kel. Pasar Ambacang, Kec. Kuranji</v>
          </cell>
          <cell r="R2140" t="str">
            <v>Padang</v>
          </cell>
          <cell r="S2140" t="str">
            <v>E Luar Pulau1</v>
          </cell>
          <cell r="T2140" t="str">
            <v>Non SE &amp; JSE</v>
          </cell>
          <cell r="U2140">
            <v>15</v>
          </cell>
        </row>
        <row r="2141">
          <cell r="E2141" t="str">
            <v>B25013132</v>
          </cell>
          <cell r="F2141"/>
          <cell r="G2141">
            <v>1000</v>
          </cell>
          <cell r="H2141" t="str">
            <v>Sheila</v>
          </cell>
          <cell r="I2141" t="str">
            <v>Exclusive</v>
          </cell>
          <cell r="J2141" t="str">
            <v>New 17/10/24</v>
          </cell>
          <cell r="K2141" t="str">
            <v>CBD</v>
          </cell>
          <cell r="L2141" t="str">
            <v>DEDI01</v>
          </cell>
          <cell r="M2141" t="str">
            <v>Dedi Iswanto</v>
          </cell>
          <cell r="N2141" t="str">
            <v>Dedi Iswanto</v>
          </cell>
          <cell r="O2141" t="str">
            <v>Psr Ambacang No.53 Padang RT.002/RW.001, Kel. Pasar Ambacang, Kec. Kuranji</v>
          </cell>
          <cell r="P2141" t="str">
            <v>Padang</v>
          </cell>
          <cell r="Q2141" t="str">
            <v>Psr Ambacang No.53 Padang RT.002/RW.001, Kel. Pasar Ambacang, Kec. Kuranji</v>
          </cell>
          <cell r="R2141" t="str">
            <v>Padang</v>
          </cell>
          <cell r="S2141" t="str">
            <v>E Luar Pulau1</v>
          </cell>
          <cell r="T2141" t="str">
            <v>Non SE &amp; JSE</v>
          </cell>
          <cell r="U2141">
            <v>15</v>
          </cell>
        </row>
        <row r="2142">
          <cell r="E2142" t="str">
            <v>B25013193</v>
          </cell>
          <cell r="F2142"/>
          <cell r="G2142">
            <v>1000</v>
          </cell>
          <cell r="H2142" t="str">
            <v>Sheila</v>
          </cell>
          <cell r="I2142" t="str">
            <v>Exclusive</v>
          </cell>
          <cell r="J2142" t="str">
            <v>New 17/10/24</v>
          </cell>
          <cell r="K2142" t="str">
            <v>CBD</v>
          </cell>
          <cell r="L2142" t="str">
            <v>DEDI01</v>
          </cell>
          <cell r="M2142" t="str">
            <v>Dedi Iswanto</v>
          </cell>
          <cell r="N2142" t="str">
            <v>Dedi Iswanto</v>
          </cell>
          <cell r="O2142" t="str">
            <v>Psr Ambacang No.53 Padang RT.002/RW.001, Kel. Pasar Ambacang, Kec. Kuranji</v>
          </cell>
          <cell r="P2142" t="str">
            <v>Padang</v>
          </cell>
          <cell r="Q2142" t="str">
            <v>Psr Ambacang No.53 Padang RT.002/RW.001, Kel. Pasar Ambacang, Kec. Kuranji</v>
          </cell>
          <cell r="R2142" t="str">
            <v>Padang</v>
          </cell>
          <cell r="S2142" t="str">
            <v>E Luar Pulau1</v>
          </cell>
          <cell r="T2142" t="str">
            <v>Non SE &amp; JSE</v>
          </cell>
          <cell r="U2142">
            <v>15</v>
          </cell>
        </row>
        <row r="2143">
          <cell r="E2143" t="str">
            <v>B25013233</v>
          </cell>
          <cell r="F2143"/>
          <cell r="G2143">
            <v>1000</v>
          </cell>
          <cell r="H2143" t="str">
            <v>Sheila</v>
          </cell>
          <cell r="I2143" t="str">
            <v>Exclusive</v>
          </cell>
          <cell r="J2143" t="str">
            <v>New 17/10/24</v>
          </cell>
          <cell r="K2143" t="str">
            <v>CBD</v>
          </cell>
          <cell r="L2143" t="str">
            <v>DEDI01</v>
          </cell>
          <cell r="M2143" t="str">
            <v>Dedi Iswanto</v>
          </cell>
          <cell r="N2143" t="str">
            <v>Dedi Iswanto</v>
          </cell>
          <cell r="O2143" t="str">
            <v>Psr Ambacang No.53 Padang RT.002/RW.001, Kel. Pasar Ambacang, Kec. Kuranji</v>
          </cell>
          <cell r="P2143" t="str">
            <v>Padang</v>
          </cell>
          <cell r="Q2143" t="str">
            <v>Psr Ambacang No.53 Padang RT.002/RW.001, Kel. Pasar Ambacang, Kec. Kuranji</v>
          </cell>
          <cell r="R2143" t="str">
            <v>Padang</v>
          </cell>
          <cell r="S2143" t="str">
            <v>E Luar Pulau1</v>
          </cell>
          <cell r="T2143" t="str">
            <v>Non SE &amp; JSE</v>
          </cell>
          <cell r="U2143">
            <v>15</v>
          </cell>
        </row>
        <row r="2144">
          <cell r="E2144" t="str">
            <v>B25013555</v>
          </cell>
          <cell r="F2144"/>
          <cell r="G2144">
            <v>1000</v>
          </cell>
          <cell r="H2144" t="str">
            <v>Sheila</v>
          </cell>
          <cell r="I2144" t="str">
            <v>Exclusive</v>
          </cell>
          <cell r="J2144" t="str">
            <v>New 17/10/24</v>
          </cell>
          <cell r="K2144" t="str">
            <v>CBD</v>
          </cell>
          <cell r="L2144" t="str">
            <v>DEDI01</v>
          </cell>
          <cell r="M2144" t="str">
            <v>Dedi Iswanto</v>
          </cell>
          <cell r="N2144" t="str">
            <v>Dedi Iswanto</v>
          </cell>
          <cell r="O2144" t="str">
            <v>Psr Ambacang No.53 Padang RT.002/RW.001, Kel. Pasar Ambacang, Kec. Kuranji</v>
          </cell>
          <cell r="P2144" t="str">
            <v>Padang</v>
          </cell>
          <cell r="Q2144" t="str">
            <v>Psr Ambacang No.53 Padang RT.002/RW.001, Kel. Pasar Ambacang, Kec. Kuranji</v>
          </cell>
          <cell r="R2144" t="str">
            <v>Padang</v>
          </cell>
          <cell r="S2144" t="str">
            <v>E Luar Pulau1</v>
          </cell>
          <cell r="T2144" t="str">
            <v>Non SE &amp; JSE</v>
          </cell>
          <cell r="U2144">
            <v>15</v>
          </cell>
        </row>
        <row r="2145">
          <cell r="E2145" t="str">
            <v>B25013918</v>
          </cell>
          <cell r="F2145"/>
          <cell r="G2145">
            <v>1000</v>
          </cell>
          <cell r="H2145" t="str">
            <v>Sheila</v>
          </cell>
          <cell r="I2145" t="str">
            <v>Exclusive</v>
          </cell>
          <cell r="J2145" t="str">
            <v>New 17/10/24</v>
          </cell>
          <cell r="K2145" t="str">
            <v>CBD</v>
          </cell>
          <cell r="L2145" t="str">
            <v>DEDI01</v>
          </cell>
          <cell r="M2145" t="str">
            <v>Dedi Iswanto</v>
          </cell>
          <cell r="N2145" t="str">
            <v>Dedi Iswanto</v>
          </cell>
          <cell r="O2145" t="str">
            <v>Psr Ambacang No.53 Padang RT.002/RW.001, Kel. Pasar Ambacang, Kec. Kuranji</v>
          </cell>
          <cell r="P2145" t="str">
            <v>Padang</v>
          </cell>
          <cell r="Q2145" t="str">
            <v>Psr Ambacang No.53 Padang RT.002/RW.001, Kel. Pasar Ambacang, Kec. Kuranji</v>
          </cell>
          <cell r="R2145" t="str">
            <v>Padang</v>
          </cell>
          <cell r="S2145" t="str">
            <v>E Luar Pulau1</v>
          </cell>
          <cell r="T2145" t="str">
            <v>Non SE &amp; JSE</v>
          </cell>
          <cell r="U2145">
            <v>15</v>
          </cell>
        </row>
        <row r="2146">
          <cell r="E2146" t="str">
            <v>B25014053</v>
          </cell>
          <cell r="F2146"/>
          <cell r="G2146">
            <v>1000</v>
          </cell>
          <cell r="H2146" t="str">
            <v>Sheila</v>
          </cell>
          <cell r="I2146" t="str">
            <v>Exclusive</v>
          </cell>
          <cell r="J2146" t="str">
            <v>New 17/10/24</v>
          </cell>
          <cell r="K2146" t="str">
            <v>CBD</v>
          </cell>
          <cell r="L2146" t="str">
            <v>DEDI01</v>
          </cell>
          <cell r="M2146" t="str">
            <v>Dedi Iswanto</v>
          </cell>
          <cell r="N2146" t="str">
            <v>Dedi Iswanto</v>
          </cell>
          <cell r="O2146" t="str">
            <v>Psr Ambacang No.53 Padang RT.002/RW.001, Kel. Pasar Ambacang, Kec. Kuranji</v>
          </cell>
          <cell r="P2146" t="str">
            <v>Padang</v>
          </cell>
          <cell r="Q2146" t="str">
            <v>Psr Ambacang No.53 Padang RT.002/RW.001, Kel. Pasar Ambacang, Kec. Kuranji</v>
          </cell>
          <cell r="R2146" t="str">
            <v>Padang</v>
          </cell>
          <cell r="S2146" t="str">
            <v>E Luar Pulau1</v>
          </cell>
          <cell r="T2146" t="str">
            <v>Non SE &amp; JSE</v>
          </cell>
          <cell r="U2146">
            <v>15</v>
          </cell>
        </row>
        <row r="2147">
          <cell r="E2147" t="str">
            <v>T25000975</v>
          </cell>
          <cell r="F2147"/>
          <cell r="G2147">
            <v>1000</v>
          </cell>
          <cell r="H2147" t="str">
            <v>Reni</v>
          </cell>
          <cell r="I2147" t="str">
            <v>Exclusive</v>
          </cell>
          <cell r="J2147" t="str">
            <v>New 23/06/25</v>
          </cell>
          <cell r="K2147" t="str">
            <v>KU</v>
          </cell>
          <cell r="L2147" t="str">
            <v>DEDD02</v>
          </cell>
          <cell r="M2147" t="str">
            <v>Dedy Supomo, SP</v>
          </cell>
          <cell r="N2147" t="str">
            <v>Dedy Supomo, SP</v>
          </cell>
          <cell r="O2147" t="str">
            <v>Jalan Bandara Narita E C/12 RT.008/RW.011 , Oma View Kel. Cemorokandang Kec. Kedungkandang</v>
          </cell>
          <cell r="P2147" t="str">
            <v>Malang</v>
          </cell>
          <cell r="Q2147" t="str">
            <v>Jalan Bandara Narita E C/12 RT.008/RW.011 , Oma View Kel. Cemorokandang Kec. Kedungkandang</v>
          </cell>
          <cell r="R2147" t="str">
            <v>Malang</v>
          </cell>
          <cell r="S2147" t="str">
            <v>F Utara1</v>
          </cell>
          <cell r="T2147" t="str">
            <v>Tomi</v>
          </cell>
          <cell r="U2147">
            <v>60</v>
          </cell>
        </row>
        <row r="2148">
          <cell r="E2148" t="str">
            <v>T25001471</v>
          </cell>
          <cell r="F2148"/>
          <cell r="G2148">
            <v>1000</v>
          </cell>
          <cell r="H2148" t="str">
            <v>Reni</v>
          </cell>
          <cell r="I2148" t="str">
            <v>Exclusive</v>
          </cell>
          <cell r="J2148" t="str">
            <v>New 23/06/25</v>
          </cell>
          <cell r="K2148" t="str">
            <v>KU</v>
          </cell>
          <cell r="L2148" t="str">
            <v>DEDD02</v>
          </cell>
          <cell r="M2148" t="str">
            <v>Dedy Supomo, SP</v>
          </cell>
          <cell r="N2148" t="str">
            <v>Dedy Supomo, SP</v>
          </cell>
          <cell r="O2148" t="str">
            <v>Jalan Bandara Narita E C/12 RT.008/RW.011 , Oma View Kel. Cemorokandang Kec. Kedungkandang</v>
          </cell>
          <cell r="P2148" t="str">
            <v>Malang</v>
          </cell>
          <cell r="Q2148" t="str">
            <v>Jalan Bandara Narita E C/12 RT.008/RW.011 , Oma View Kel. Cemorokandang Kec. Kedungkandang</v>
          </cell>
          <cell r="R2148" t="str">
            <v>Malang</v>
          </cell>
          <cell r="S2148" t="str">
            <v>F Utara1</v>
          </cell>
          <cell r="T2148" t="str">
            <v>Tomi</v>
          </cell>
          <cell r="U2148">
            <v>60</v>
          </cell>
        </row>
        <row r="2149">
          <cell r="E2149" t="str">
            <v>T25001480</v>
          </cell>
          <cell r="F2149"/>
          <cell r="G2149">
            <v>1000</v>
          </cell>
          <cell r="H2149" t="str">
            <v>Reni</v>
          </cell>
          <cell r="I2149" t="str">
            <v>Exclusive</v>
          </cell>
          <cell r="J2149" t="str">
            <v>New 23/06/25</v>
          </cell>
          <cell r="K2149" t="str">
            <v>KU</v>
          </cell>
          <cell r="L2149" t="str">
            <v>DEDD02</v>
          </cell>
          <cell r="M2149" t="str">
            <v>Dedy Supomo, SP</v>
          </cell>
          <cell r="N2149" t="str">
            <v>Dedy Supomo, SP</v>
          </cell>
          <cell r="O2149" t="str">
            <v>Jalan Bandara Narita E C/12 RT.008/RW.011 , Oma View Kel. Cemorokandang Kec. Kedungkandang</v>
          </cell>
          <cell r="P2149" t="str">
            <v>Malang</v>
          </cell>
          <cell r="Q2149" t="str">
            <v>Jalan Bandara Narita E C/12 RT.008/RW.011 , Oma View Kel. Cemorokandang Kec. Kedungkandang</v>
          </cell>
          <cell r="R2149" t="str">
            <v>Malang</v>
          </cell>
          <cell r="S2149" t="str">
            <v>F Utara1</v>
          </cell>
          <cell r="T2149" t="str">
            <v>Tomi</v>
          </cell>
          <cell r="U2149">
            <v>60</v>
          </cell>
        </row>
        <row r="2150">
          <cell r="E2150" t="str">
            <v>D25014781</v>
          </cell>
          <cell r="F2150"/>
          <cell r="G2150">
            <v>600000000</v>
          </cell>
          <cell r="H2150" t="str">
            <v>Hendra</v>
          </cell>
          <cell r="I2150" t="str">
            <v>Tiya</v>
          </cell>
          <cell r="J2150" t="str">
            <v>New 12/09/24</v>
          </cell>
          <cell r="K2150" t="str">
            <v>KU</v>
          </cell>
          <cell r="L2150" t="str">
            <v>DELI04</v>
          </cell>
          <cell r="M2150" t="str">
            <v>Deli Agro Star, CV</v>
          </cell>
          <cell r="N2150" t="str">
            <v>Deli Agro Star, CV</v>
          </cell>
          <cell r="O2150" t="str">
            <v>Perniagaan Blok. No. 72 RT.001/RW.001, Tambak Lau Mulgab II, Berastagi, Kab. Karo</v>
          </cell>
          <cell r="P2150" t="str">
            <v>Sumatera Utara</v>
          </cell>
          <cell r="Q2150" t="str">
            <v>Perniagaan Blok. No. 72 RT.001/RW.001, Tambak Lau Mulgab II, Berastagi, Kab. Karo</v>
          </cell>
          <cell r="R2150" t="str">
            <v>Sumatera Utara</v>
          </cell>
          <cell r="S2150" t="str">
            <v>E Luar Pulau1</v>
          </cell>
          <cell r="T2150" t="str">
            <v>Non SE &amp; JSE</v>
          </cell>
          <cell r="U2150">
            <v>73</v>
          </cell>
        </row>
        <row r="2151">
          <cell r="E2151" t="str">
            <v>Z25001563</v>
          </cell>
          <cell r="F2151"/>
          <cell r="G2151">
            <v>2000000000</v>
          </cell>
          <cell r="H2151" t="str">
            <v>Ariyani</v>
          </cell>
          <cell r="I2151" t="str">
            <v>Fira</v>
          </cell>
          <cell r="J2151"/>
          <cell r="K2151" t="str">
            <v>KU</v>
          </cell>
          <cell r="L2151" t="str">
            <v>DELI01</v>
          </cell>
          <cell r="M2151" t="str">
            <v>Delima, Toko/Nurhasan</v>
          </cell>
          <cell r="N2151" t="str">
            <v>Nur Hasan</v>
          </cell>
          <cell r="O2151" t="str">
            <v>Jl. KH. Ahmad Dahlan 32 RT 02/ RW 01 Kebonsari Wetan, Mayangan</v>
          </cell>
          <cell r="P2151" t="str">
            <v>Probolinggo</v>
          </cell>
          <cell r="Q2151" t="str">
            <v>Jl. KH. Ahmad Dahlan 32 RT 02/ RW 01 Kebonsari Wetan, Mayangan</v>
          </cell>
          <cell r="R2151" t="str">
            <v>Probolinggo</v>
          </cell>
          <cell r="S2151" t="str">
            <v>G Prob1</v>
          </cell>
          <cell r="T2151" t="str">
            <v>Wira</v>
          </cell>
          <cell r="U2151">
            <v>30</v>
          </cell>
        </row>
        <row r="2152">
          <cell r="E2152" t="str">
            <v>Z25001563</v>
          </cell>
          <cell r="F2152"/>
          <cell r="G2152">
            <v>2000000000</v>
          </cell>
          <cell r="H2152" t="str">
            <v>Ariyani</v>
          </cell>
          <cell r="I2152" t="str">
            <v>Fira</v>
          </cell>
          <cell r="J2152"/>
          <cell r="K2152" t="str">
            <v>KU</v>
          </cell>
          <cell r="L2152" t="str">
            <v>DELI01</v>
          </cell>
          <cell r="M2152" t="str">
            <v>Delima, Toko/Nurhasan</v>
          </cell>
          <cell r="N2152" t="str">
            <v>Nur Hasan</v>
          </cell>
          <cell r="O2152" t="str">
            <v>Jl. KH. Ahmad Dahlan 32 RT 02/ RW 01 Kebonsari Wetan, Mayangan</v>
          </cell>
          <cell r="P2152" t="str">
            <v>Probolinggo</v>
          </cell>
          <cell r="Q2152" t="str">
            <v>Jl. KH. Ahmad Dahlan 32 RT 02/ RW 01 Kebonsari Wetan, Mayangan</v>
          </cell>
          <cell r="R2152" t="str">
            <v>Probolinggo</v>
          </cell>
          <cell r="S2152" t="str">
            <v>G Prob1</v>
          </cell>
          <cell r="T2152" t="str">
            <v>Wira</v>
          </cell>
          <cell r="U2152">
            <v>30</v>
          </cell>
        </row>
        <row r="2153">
          <cell r="E2153" t="str">
            <v>D25010085</v>
          </cell>
          <cell r="F2153"/>
          <cell r="G2153">
            <v>2000000000</v>
          </cell>
          <cell r="H2153" t="str">
            <v>Ariyani</v>
          </cell>
          <cell r="I2153" t="str">
            <v>Fira</v>
          </cell>
          <cell r="J2153"/>
          <cell r="K2153" t="str">
            <v>KU</v>
          </cell>
          <cell r="L2153" t="str">
            <v>DELI01</v>
          </cell>
          <cell r="M2153" t="str">
            <v>Delima, Toko/Nurhasan</v>
          </cell>
          <cell r="N2153" t="str">
            <v>Nur Hasan</v>
          </cell>
          <cell r="O2153" t="str">
            <v>Jl. KH. Ahmad Dahlan 32 RT 02/ RW 01 Kebonsari Wetan, Mayangan</v>
          </cell>
          <cell r="P2153" t="str">
            <v>Probolinggo</v>
          </cell>
          <cell r="Q2153" t="str">
            <v>Jl. KH. Ahmad Dahlan 32 RT 02/ RW 01 Kebonsari Wetan, Mayangan</v>
          </cell>
          <cell r="R2153" t="str">
            <v>Probolinggo</v>
          </cell>
          <cell r="S2153" t="str">
            <v>G Prob1</v>
          </cell>
          <cell r="T2153" t="str">
            <v>Wira</v>
          </cell>
          <cell r="U2153">
            <v>60</v>
          </cell>
        </row>
        <row r="2154">
          <cell r="E2154" t="str">
            <v>B25008547</v>
          </cell>
          <cell r="F2154"/>
          <cell r="G2154">
            <v>2000000000</v>
          </cell>
          <cell r="H2154" t="str">
            <v>Ariyani</v>
          </cell>
          <cell r="I2154" t="str">
            <v>Fira</v>
          </cell>
          <cell r="J2154"/>
          <cell r="K2154" t="str">
            <v>KU</v>
          </cell>
          <cell r="L2154" t="str">
            <v>DELI01</v>
          </cell>
          <cell r="M2154" t="str">
            <v>Delima, Toko/Nurhasan</v>
          </cell>
          <cell r="N2154" t="str">
            <v>Nur Hasan</v>
          </cell>
          <cell r="O2154" t="str">
            <v>Jl. KH. Ahmad Dahlan 32 RT 02/ RW 01 Kebonsari Wetan, Mayangan</v>
          </cell>
          <cell r="P2154" t="str">
            <v>Probolinggo</v>
          </cell>
          <cell r="Q2154" t="str">
            <v>Jl. KH. Ahmad Dahlan 32 RT 02/ RW 01 Kebonsari Wetan, Mayangan</v>
          </cell>
          <cell r="R2154" t="str">
            <v>Probolinggo</v>
          </cell>
          <cell r="S2154" t="str">
            <v>G Prob1</v>
          </cell>
          <cell r="T2154" t="str">
            <v>Wira</v>
          </cell>
          <cell r="U2154">
            <v>30</v>
          </cell>
        </row>
        <row r="2155">
          <cell r="E2155" t="str">
            <v>T25001125</v>
          </cell>
          <cell r="F2155"/>
          <cell r="G2155">
            <v>2000000000</v>
          </cell>
          <cell r="H2155" t="str">
            <v>Ariyani</v>
          </cell>
          <cell r="I2155" t="str">
            <v>Fira</v>
          </cell>
          <cell r="J2155"/>
          <cell r="K2155" t="str">
            <v>KU</v>
          </cell>
          <cell r="L2155" t="str">
            <v>DELI01</v>
          </cell>
          <cell r="M2155" t="str">
            <v>Delima, Toko/Nurhasan</v>
          </cell>
          <cell r="N2155" t="str">
            <v>Nur Hasan</v>
          </cell>
          <cell r="O2155" t="str">
            <v>Jl. KH. Ahmad Dahlan 32 RT 02/ RW 01 Kebonsari Wetan, Mayangan</v>
          </cell>
          <cell r="P2155" t="str">
            <v>Probolinggo</v>
          </cell>
          <cell r="Q2155" t="str">
            <v>Jl. KH. Ahmad Dahlan 32 RT 02/ RW 01 Kebonsari Wetan, Mayangan</v>
          </cell>
          <cell r="R2155" t="str">
            <v>Probolinggo</v>
          </cell>
          <cell r="S2155" t="str">
            <v>G Prob1</v>
          </cell>
          <cell r="T2155" t="str">
            <v>Wira</v>
          </cell>
          <cell r="U2155">
            <v>60</v>
          </cell>
        </row>
        <row r="2156">
          <cell r="E2156" t="str">
            <v>B25008895</v>
          </cell>
          <cell r="F2156"/>
          <cell r="G2156">
            <v>2000000000</v>
          </cell>
          <cell r="H2156" t="str">
            <v>Ariyani</v>
          </cell>
          <cell r="I2156" t="str">
            <v>Fira</v>
          </cell>
          <cell r="J2156"/>
          <cell r="K2156" t="str">
            <v>KU</v>
          </cell>
          <cell r="L2156" t="str">
            <v>DELI01</v>
          </cell>
          <cell r="M2156" t="str">
            <v>Delima, Toko/Nurhasan</v>
          </cell>
          <cell r="N2156" t="str">
            <v>Nur Hasan</v>
          </cell>
          <cell r="O2156" t="str">
            <v>Jl. KH. Ahmad Dahlan 32 RT 02/ RW 01 Kebonsari Wetan, Mayangan</v>
          </cell>
          <cell r="P2156" t="str">
            <v>Probolinggo</v>
          </cell>
          <cell r="Q2156" t="str">
            <v>Jl. KH. Ahmad Dahlan 32 RT 02/ RW 01 Kebonsari Wetan, Mayangan</v>
          </cell>
          <cell r="R2156" t="str">
            <v>Probolinggo</v>
          </cell>
          <cell r="S2156" t="str">
            <v>G Prob1</v>
          </cell>
          <cell r="T2156" t="str">
            <v>Wira</v>
          </cell>
          <cell r="U2156">
            <v>60</v>
          </cell>
        </row>
        <row r="2157">
          <cell r="E2157" t="str">
            <v>D25010873</v>
          </cell>
          <cell r="F2157"/>
          <cell r="G2157">
            <v>2000000000</v>
          </cell>
          <cell r="H2157" t="str">
            <v>Ariyani</v>
          </cell>
          <cell r="I2157" t="str">
            <v>Fira</v>
          </cell>
          <cell r="J2157"/>
          <cell r="K2157" t="str">
            <v>KU</v>
          </cell>
          <cell r="L2157" t="str">
            <v>DELI01</v>
          </cell>
          <cell r="M2157" t="str">
            <v>Delima, Toko/Nurhasan</v>
          </cell>
          <cell r="N2157" t="str">
            <v>Nur Hasan</v>
          </cell>
          <cell r="O2157" t="str">
            <v>Jl. KH. Ahmad Dahlan 32 RT 02/ RW 01 Kebonsari Wetan, Mayangan</v>
          </cell>
          <cell r="P2157" t="str">
            <v>Probolinggo</v>
          </cell>
          <cell r="Q2157" t="str">
            <v>Jl. KH. Ahmad Dahlan 32 RT 02/ RW 01 Kebonsari Wetan, Mayangan</v>
          </cell>
          <cell r="R2157" t="str">
            <v>Probolinggo</v>
          </cell>
          <cell r="S2157" t="str">
            <v>G Prob1</v>
          </cell>
          <cell r="T2157" t="str">
            <v>Wira</v>
          </cell>
          <cell r="U2157">
            <v>30</v>
          </cell>
        </row>
        <row r="2158">
          <cell r="E2158" t="str">
            <v>D25010873</v>
          </cell>
          <cell r="F2158"/>
          <cell r="G2158">
            <v>2000000000</v>
          </cell>
          <cell r="H2158" t="str">
            <v>Ariyani</v>
          </cell>
          <cell r="I2158" t="str">
            <v>Fira</v>
          </cell>
          <cell r="J2158"/>
          <cell r="K2158" t="str">
            <v>KU</v>
          </cell>
          <cell r="L2158" t="str">
            <v>DELI01</v>
          </cell>
          <cell r="M2158" t="str">
            <v>Delima, Toko/Nurhasan</v>
          </cell>
          <cell r="N2158" t="str">
            <v>Nur Hasan</v>
          </cell>
          <cell r="O2158" t="str">
            <v>Jl. KH. Ahmad Dahlan 32 RT 02/ RW 01 Kebonsari Wetan, Mayangan</v>
          </cell>
          <cell r="P2158" t="str">
            <v>Probolinggo</v>
          </cell>
          <cell r="Q2158" t="str">
            <v>Jl. KH. Ahmad Dahlan 32 RT 02/ RW 01 Kebonsari Wetan, Mayangan</v>
          </cell>
          <cell r="R2158" t="str">
            <v>Probolinggo</v>
          </cell>
          <cell r="S2158" t="str">
            <v>G Prob1</v>
          </cell>
          <cell r="T2158" t="str">
            <v>Wira</v>
          </cell>
          <cell r="U2158">
            <v>30</v>
          </cell>
        </row>
        <row r="2159">
          <cell r="E2159" t="str">
            <v>B25009150</v>
          </cell>
          <cell r="F2159"/>
          <cell r="G2159">
            <v>2000000000</v>
          </cell>
          <cell r="H2159" t="str">
            <v>Ariyani</v>
          </cell>
          <cell r="I2159" t="str">
            <v>Fira</v>
          </cell>
          <cell r="J2159"/>
          <cell r="K2159" t="str">
            <v>KU</v>
          </cell>
          <cell r="L2159" t="str">
            <v>DELI01</v>
          </cell>
          <cell r="M2159" t="str">
            <v>Delima, Toko/Nurhasan</v>
          </cell>
          <cell r="N2159" t="str">
            <v>Nur Hasan</v>
          </cell>
          <cell r="O2159" t="str">
            <v>Jl. KH. Ahmad Dahlan 32 RT 02/ RW 01 Kebonsari Wetan, Mayangan</v>
          </cell>
          <cell r="P2159" t="str">
            <v>Probolinggo</v>
          </cell>
          <cell r="Q2159" t="str">
            <v>Jl. KH. Ahmad Dahlan 32 RT 02/ RW 01 Kebonsari Wetan, Mayangan</v>
          </cell>
          <cell r="R2159" t="str">
            <v>Probolinggo</v>
          </cell>
          <cell r="S2159" t="str">
            <v>G Prob1</v>
          </cell>
          <cell r="T2159" t="str">
            <v>Wira</v>
          </cell>
          <cell r="U2159">
            <v>30</v>
          </cell>
        </row>
        <row r="2160">
          <cell r="E2160" t="str">
            <v>B25009151</v>
          </cell>
          <cell r="F2160"/>
          <cell r="G2160">
            <v>2000000000</v>
          </cell>
          <cell r="H2160" t="str">
            <v>Ariyani</v>
          </cell>
          <cell r="I2160" t="str">
            <v>Fira</v>
          </cell>
          <cell r="J2160"/>
          <cell r="K2160" t="str">
            <v>KU</v>
          </cell>
          <cell r="L2160" t="str">
            <v>DELI01</v>
          </cell>
          <cell r="M2160" t="str">
            <v>Delima, Toko/Nurhasan</v>
          </cell>
          <cell r="N2160" t="str">
            <v>Nur Hasan</v>
          </cell>
          <cell r="O2160" t="str">
            <v>Jl. KH. Ahmad Dahlan 32 RT 02/ RW 01 Kebonsari Wetan, Mayangan</v>
          </cell>
          <cell r="P2160" t="str">
            <v>Probolinggo</v>
          </cell>
          <cell r="Q2160" t="str">
            <v>Jl. KH. Ahmad Dahlan 32 RT 02/ RW 01 Kebonsari Wetan, Mayangan</v>
          </cell>
          <cell r="R2160" t="str">
            <v>Probolinggo</v>
          </cell>
          <cell r="S2160" t="str">
            <v>G Prob1</v>
          </cell>
          <cell r="T2160" t="str">
            <v>Wira</v>
          </cell>
          <cell r="U2160">
            <v>30</v>
          </cell>
        </row>
        <row r="2161">
          <cell r="E2161" t="str">
            <v>D25011170</v>
          </cell>
          <cell r="F2161"/>
          <cell r="G2161">
            <v>2000000000</v>
          </cell>
          <cell r="H2161" t="str">
            <v>Ariyani</v>
          </cell>
          <cell r="I2161" t="str">
            <v>Fira</v>
          </cell>
          <cell r="J2161"/>
          <cell r="K2161" t="str">
            <v>KU</v>
          </cell>
          <cell r="L2161" t="str">
            <v>DELI01</v>
          </cell>
          <cell r="M2161" t="str">
            <v>Delima, Toko/Nurhasan</v>
          </cell>
          <cell r="N2161" t="str">
            <v>Nur Hasan</v>
          </cell>
          <cell r="O2161" t="str">
            <v>Jl. KH. Ahmad Dahlan 32 RT 02/ RW 01 Kebonsari Wetan, Mayangan</v>
          </cell>
          <cell r="P2161" t="str">
            <v>Probolinggo</v>
          </cell>
          <cell r="Q2161" t="str">
            <v>Jl. KH. Ahmad Dahlan 32 RT 02/ RW 01 Kebonsari Wetan, Mayangan</v>
          </cell>
          <cell r="R2161" t="str">
            <v>Probolinggo</v>
          </cell>
          <cell r="S2161" t="str">
            <v>G Prob1</v>
          </cell>
          <cell r="T2161" t="str">
            <v>Wira</v>
          </cell>
          <cell r="U2161">
            <v>30</v>
          </cell>
        </row>
        <row r="2162">
          <cell r="E2162" t="str">
            <v>D25011170</v>
          </cell>
          <cell r="F2162"/>
          <cell r="G2162">
            <v>2000000000</v>
          </cell>
          <cell r="H2162" t="str">
            <v>Ariyani</v>
          </cell>
          <cell r="I2162" t="str">
            <v>Fira</v>
          </cell>
          <cell r="J2162"/>
          <cell r="K2162" t="str">
            <v>KU</v>
          </cell>
          <cell r="L2162" t="str">
            <v>DELI01</v>
          </cell>
          <cell r="M2162" t="str">
            <v>Delima, Toko/Nurhasan</v>
          </cell>
          <cell r="N2162" t="str">
            <v>Nur Hasan</v>
          </cell>
          <cell r="O2162" t="str">
            <v>Jl. KH. Ahmad Dahlan 32 RT 02/ RW 01 Kebonsari Wetan, Mayangan</v>
          </cell>
          <cell r="P2162" t="str">
            <v>Probolinggo</v>
          </cell>
          <cell r="Q2162" t="str">
            <v>Jl. KH. Ahmad Dahlan 32 RT 02/ RW 01 Kebonsari Wetan, Mayangan</v>
          </cell>
          <cell r="R2162" t="str">
            <v>Probolinggo</v>
          </cell>
          <cell r="S2162" t="str">
            <v>G Prob1</v>
          </cell>
          <cell r="T2162" t="str">
            <v>Wira</v>
          </cell>
          <cell r="U2162">
            <v>30</v>
          </cell>
        </row>
        <row r="2163">
          <cell r="E2163" t="str">
            <v>D25011188</v>
          </cell>
          <cell r="F2163"/>
          <cell r="G2163">
            <v>2000000000</v>
          </cell>
          <cell r="H2163" t="str">
            <v>Ariyani</v>
          </cell>
          <cell r="I2163" t="str">
            <v>Fira</v>
          </cell>
          <cell r="J2163"/>
          <cell r="K2163" t="str">
            <v>KU</v>
          </cell>
          <cell r="L2163" t="str">
            <v>DELI01</v>
          </cell>
          <cell r="M2163" t="str">
            <v>Delima, Toko/Nurhasan</v>
          </cell>
          <cell r="N2163" t="str">
            <v>Nur Hasan</v>
          </cell>
          <cell r="O2163" t="str">
            <v>Jl. KH. Ahmad Dahlan 32 RT 02/ RW 01 Kebonsari Wetan, Mayangan</v>
          </cell>
          <cell r="P2163" t="str">
            <v>Probolinggo</v>
          </cell>
          <cell r="Q2163" t="str">
            <v>Jl. KH. Ahmad Dahlan 32 RT 02/ RW 01 Kebonsari Wetan, Mayangan</v>
          </cell>
          <cell r="R2163" t="str">
            <v>Probolinggo</v>
          </cell>
          <cell r="S2163" t="str">
            <v>G Prob1</v>
          </cell>
          <cell r="T2163" t="str">
            <v>Wira</v>
          </cell>
          <cell r="U2163">
            <v>30</v>
          </cell>
        </row>
        <row r="2164">
          <cell r="E2164" t="str">
            <v>D25011188</v>
          </cell>
          <cell r="F2164"/>
          <cell r="G2164">
            <v>2000000000</v>
          </cell>
          <cell r="H2164" t="str">
            <v>Ariyani</v>
          </cell>
          <cell r="I2164" t="str">
            <v>Fira</v>
          </cell>
          <cell r="J2164"/>
          <cell r="K2164" t="str">
            <v>KU</v>
          </cell>
          <cell r="L2164" t="str">
            <v>DELI01</v>
          </cell>
          <cell r="M2164" t="str">
            <v>Delima, Toko/Nurhasan</v>
          </cell>
          <cell r="N2164" t="str">
            <v>Nur Hasan</v>
          </cell>
          <cell r="O2164" t="str">
            <v>Jl. KH. Ahmad Dahlan 32 RT 02/ RW 01 Kebonsari Wetan, Mayangan</v>
          </cell>
          <cell r="P2164" t="str">
            <v>Probolinggo</v>
          </cell>
          <cell r="Q2164" t="str">
            <v>Jl. KH. Ahmad Dahlan 32 RT 02/ RW 01 Kebonsari Wetan, Mayangan</v>
          </cell>
          <cell r="R2164" t="str">
            <v>Probolinggo</v>
          </cell>
          <cell r="S2164" t="str">
            <v>G Prob1</v>
          </cell>
          <cell r="T2164" t="str">
            <v>Wira</v>
          </cell>
          <cell r="U2164">
            <v>30</v>
          </cell>
        </row>
        <row r="2165">
          <cell r="E2165" t="str">
            <v>Z25001925</v>
          </cell>
          <cell r="F2165"/>
          <cell r="G2165">
            <v>2000000000</v>
          </cell>
          <cell r="H2165" t="str">
            <v>Ariyani</v>
          </cell>
          <cell r="I2165" t="str">
            <v>Fira</v>
          </cell>
          <cell r="J2165"/>
          <cell r="K2165" t="str">
            <v>KU</v>
          </cell>
          <cell r="L2165" t="str">
            <v>DELI01</v>
          </cell>
          <cell r="M2165" t="str">
            <v>Delima, Toko/Nurhasan</v>
          </cell>
          <cell r="N2165" t="str">
            <v>Nur Hasan</v>
          </cell>
          <cell r="O2165" t="str">
            <v>Jl. KH. Ahmad Dahlan 32 RT 02/ RW 01 Kebonsari Wetan, Mayangan</v>
          </cell>
          <cell r="P2165" t="str">
            <v>Probolinggo</v>
          </cell>
          <cell r="Q2165" t="str">
            <v>Jl. KH. Ahmad Dahlan 32 RT 02/ RW 01 Kebonsari Wetan, Mayangan</v>
          </cell>
          <cell r="R2165" t="str">
            <v>Probolinggo</v>
          </cell>
          <cell r="S2165" t="str">
            <v>G Prob1</v>
          </cell>
          <cell r="T2165" t="str">
            <v>Wira</v>
          </cell>
          <cell r="U2165">
            <v>30</v>
          </cell>
        </row>
        <row r="2166">
          <cell r="E2166" t="str">
            <v>Z25001925</v>
          </cell>
          <cell r="F2166"/>
          <cell r="G2166">
            <v>2000000000</v>
          </cell>
          <cell r="H2166" t="str">
            <v>Ariyani</v>
          </cell>
          <cell r="I2166" t="str">
            <v>Fira</v>
          </cell>
          <cell r="J2166"/>
          <cell r="K2166" t="str">
            <v>KU</v>
          </cell>
          <cell r="L2166" t="str">
            <v>DELI01</v>
          </cell>
          <cell r="M2166" t="str">
            <v>Delima, Toko/Nurhasan</v>
          </cell>
          <cell r="N2166" t="str">
            <v>Nur Hasan</v>
          </cell>
          <cell r="O2166" t="str">
            <v>Jl. KH. Ahmad Dahlan 32 RT 02/ RW 01 Kebonsari Wetan, Mayangan</v>
          </cell>
          <cell r="P2166" t="str">
            <v>Probolinggo</v>
          </cell>
          <cell r="Q2166" t="str">
            <v>Jl. KH. Ahmad Dahlan 32 RT 02/ RW 01 Kebonsari Wetan, Mayangan</v>
          </cell>
          <cell r="R2166" t="str">
            <v>Probolinggo</v>
          </cell>
          <cell r="S2166" t="str">
            <v>G Prob1</v>
          </cell>
          <cell r="T2166" t="str">
            <v>Wira</v>
          </cell>
          <cell r="U2166">
            <v>30</v>
          </cell>
        </row>
        <row r="2167">
          <cell r="E2167" t="str">
            <v>Z25001961</v>
          </cell>
          <cell r="F2167"/>
          <cell r="G2167">
            <v>2000000000</v>
          </cell>
          <cell r="H2167" t="str">
            <v>Ariyani</v>
          </cell>
          <cell r="I2167" t="str">
            <v>Fira</v>
          </cell>
          <cell r="J2167"/>
          <cell r="K2167" t="str">
            <v>KU</v>
          </cell>
          <cell r="L2167" t="str">
            <v>DELI01</v>
          </cell>
          <cell r="M2167" t="str">
            <v>Delima, Toko/Nurhasan</v>
          </cell>
          <cell r="N2167" t="str">
            <v>Nur Hasan</v>
          </cell>
          <cell r="O2167" t="str">
            <v>Jl. KH. Ahmad Dahlan 32 RT 02/ RW 01 Kebonsari Wetan, Mayangan</v>
          </cell>
          <cell r="P2167" t="str">
            <v>Probolinggo</v>
          </cell>
          <cell r="Q2167" t="str">
            <v>Jl. KH. Ahmad Dahlan 32 RT 02/ RW 01 Kebonsari Wetan, Mayangan</v>
          </cell>
          <cell r="R2167" t="str">
            <v>Probolinggo</v>
          </cell>
          <cell r="S2167" t="str">
            <v>G Prob1</v>
          </cell>
          <cell r="T2167" t="str">
            <v>Wira</v>
          </cell>
          <cell r="U2167">
            <v>60</v>
          </cell>
        </row>
        <row r="2168">
          <cell r="E2168" t="str">
            <v>B25010407</v>
          </cell>
          <cell r="F2168"/>
          <cell r="G2168">
            <v>2000000000</v>
          </cell>
          <cell r="H2168" t="str">
            <v>Ariyani</v>
          </cell>
          <cell r="I2168" t="str">
            <v>Fira</v>
          </cell>
          <cell r="J2168"/>
          <cell r="K2168" t="str">
            <v>KU</v>
          </cell>
          <cell r="L2168" t="str">
            <v>DELI01</v>
          </cell>
          <cell r="M2168" t="str">
            <v>Delima, Toko/Nurhasan</v>
          </cell>
          <cell r="N2168" t="str">
            <v>Nur Hasan</v>
          </cell>
          <cell r="O2168" t="str">
            <v>Jl. KH. Ahmad Dahlan 32 RT 02/ RW 01 Kebonsari Wetan, Mayangan</v>
          </cell>
          <cell r="P2168" t="str">
            <v>Probolinggo</v>
          </cell>
          <cell r="Q2168" t="str">
            <v>Jl. KH. Ahmad Dahlan 32 RT 02/ RW 01 Kebonsari Wetan, Mayangan</v>
          </cell>
          <cell r="R2168" t="str">
            <v>Probolinggo</v>
          </cell>
          <cell r="S2168" t="str">
            <v>G Prob1</v>
          </cell>
          <cell r="T2168" t="str">
            <v>Wira</v>
          </cell>
          <cell r="U2168">
            <v>30</v>
          </cell>
        </row>
        <row r="2169">
          <cell r="E2169" t="str">
            <v>B25010478</v>
          </cell>
          <cell r="F2169"/>
          <cell r="G2169">
            <v>2000000000</v>
          </cell>
          <cell r="H2169" t="str">
            <v>Ariyani</v>
          </cell>
          <cell r="I2169" t="str">
            <v>Fira</v>
          </cell>
          <cell r="J2169"/>
          <cell r="K2169" t="str">
            <v>KU</v>
          </cell>
          <cell r="L2169" t="str">
            <v>DELI01</v>
          </cell>
          <cell r="M2169" t="str">
            <v>Delima, Toko/Nurhasan</v>
          </cell>
          <cell r="N2169" t="str">
            <v>Nur Hasan</v>
          </cell>
          <cell r="O2169" t="str">
            <v>Jl. KH. Ahmad Dahlan 32 RT 02/ RW 01 Kebonsari Wetan, Mayangan</v>
          </cell>
          <cell r="P2169" t="str">
            <v>Probolinggo</v>
          </cell>
          <cell r="Q2169" t="str">
            <v>Jl. KH. Ahmad Dahlan 32 RT 02/ RW 01 Kebonsari Wetan, Mayangan</v>
          </cell>
          <cell r="R2169" t="str">
            <v>Probolinggo</v>
          </cell>
          <cell r="S2169" t="str">
            <v>G Prob1</v>
          </cell>
          <cell r="T2169" t="str">
            <v>Wira</v>
          </cell>
          <cell r="U2169">
            <v>30</v>
          </cell>
        </row>
        <row r="2170">
          <cell r="E2170" t="str">
            <v>B25010479</v>
          </cell>
          <cell r="F2170"/>
          <cell r="G2170">
            <v>2000000000</v>
          </cell>
          <cell r="H2170" t="str">
            <v>Ariyani</v>
          </cell>
          <cell r="I2170" t="str">
            <v>Fira</v>
          </cell>
          <cell r="J2170"/>
          <cell r="K2170" t="str">
            <v>KU</v>
          </cell>
          <cell r="L2170" t="str">
            <v>DELI01</v>
          </cell>
          <cell r="M2170" t="str">
            <v>Delima, Toko/Nurhasan</v>
          </cell>
          <cell r="N2170" t="str">
            <v>Nur Hasan</v>
          </cell>
          <cell r="O2170" t="str">
            <v>Jl. KH. Ahmad Dahlan 32 RT 02/ RW 01 Kebonsari Wetan, Mayangan</v>
          </cell>
          <cell r="P2170" t="str">
            <v>Probolinggo</v>
          </cell>
          <cell r="Q2170" t="str">
            <v>Jl. KH. Ahmad Dahlan 32 RT 02/ RW 01 Kebonsari Wetan, Mayangan</v>
          </cell>
          <cell r="R2170" t="str">
            <v>Probolinggo</v>
          </cell>
          <cell r="S2170" t="str">
            <v>G Prob1</v>
          </cell>
          <cell r="T2170" t="str">
            <v>Wira</v>
          </cell>
          <cell r="U2170">
            <v>30</v>
          </cell>
        </row>
        <row r="2171">
          <cell r="E2171" t="str">
            <v>Z25002067</v>
          </cell>
          <cell r="F2171"/>
          <cell r="G2171">
            <v>2000000000</v>
          </cell>
          <cell r="H2171" t="str">
            <v>Ariyani</v>
          </cell>
          <cell r="I2171" t="str">
            <v>Fira</v>
          </cell>
          <cell r="J2171"/>
          <cell r="K2171" t="str">
            <v>KU</v>
          </cell>
          <cell r="L2171" t="str">
            <v>DELI01</v>
          </cell>
          <cell r="M2171" t="str">
            <v>Delima, Toko/Nurhasan</v>
          </cell>
          <cell r="N2171" t="str">
            <v>Nur Hasan</v>
          </cell>
          <cell r="O2171" t="str">
            <v>Jl. KH. Ahmad Dahlan 32 RT 02/ RW 01 Kebonsari Wetan, Mayangan</v>
          </cell>
          <cell r="P2171" t="str">
            <v>Probolinggo</v>
          </cell>
          <cell r="Q2171" t="str">
            <v>Jl. KH. Ahmad Dahlan 32 RT 02/ RW 01 Kebonsari Wetan, Mayangan</v>
          </cell>
          <cell r="R2171" t="str">
            <v>Probolinggo</v>
          </cell>
          <cell r="S2171" t="str">
            <v>G Prob1</v>
          </cell>
          <cell r="T2171" t="str">
            <v>Wira</v>
          </cell>
          <cell r="U2171">
            <v>30</v>
          </cell>
        </row>
        <row r="2172">
          <cell r="E2172" t="str">
            <v>D25012983</v>
          </cell>
          <cell r="F2172"/>
          <cell r="G2172">
            <v>2000000000</v>
          </cell>
          <cell r="H2172" t="str">
            <v>Ariyani</v>
          </cell>
          <cell r="I2172" t="str">
            <v>Fira</v>
          </cell>
          <cell r="J2172"/>
          <cell r="K2172" t="str">
            <v>KU</v>
          </cell>
          <cell r="L2172" t="str">
            <v>DELI01</v>
          </cell>
          <cell r="M2172" t="str">
            <v>Delima, Toko/Nurhasan</v>
          </cell>
          <cell r="N2172" t="str">
            <v>Nur Hasan</v>
          </cell>
          <cell r="O2172" t="str">
            <v>Jl. KH. Ahmad Dahlan 32 RT 02/ RW 01 Kebonsari Wetan, Mayangan</v>
          </cell>
          <cell r="P2172" t="str">
            <v>Probolinggo</v>
          </cell>
          <cell r="Q2172" t="str">
            <v>Jl. KH. Ahmad Dahlan 32 RT 02/ RW 01 Kebonsari Wetan, Mayangan</v>
          </cell>
          <cell r="R2172" t="str">
            <v>Probolinggo</v>
          </cell>
          <cell r="S2172" t="str">
            <v>G Prob1</v>
          </cell>
          <cell r="T2172" t="str">
            <v>Wira</v>
          </cell>
          <cell r="U2172">
            <v>30</v>
          </cell>
        </row>
        <row r="2173">
          <cell r="E2173" t="str">
            <v>Z25002139</v>
          </cell>
          <cell r="F2173"/>
          <cell r="G2173">
            <v>2000000000</v>
          </cell>
          <cell r="H2173" t="str">
            <v>Ariyani</v>
          </cell>
          <cell r="I2173" t="str">
            <v>Fira</v>
          </cell>
          <cell r="J2173"/>
          <cell r="K2173" t="str">
            <v>KU</v>
          </cell>
          <cell r="L2173" t="str">
            <v>DELI01</v>
          </cell>
          <cell r="M2173" t="str">
            <v>Delima, Toko/Nurhasan</v>
          </cell>
          <cell r="N2173" t="str">
            <v>Nur Hasan</v>
          </cell>
          <cell r="O2173" t="str">
            <v>Jl. KH. Ahmad Dahlan 32 RT 02/ RW 01 Kebonsari Wetan, Mayangan</v>
          </cell>
          <cell r="P2173" t="str">
            <v>Probolinggo</v>
          </cell>
          <cell r="Q2173" t="str">
            <v>Jl. KH. Ahmad Dahlan 32 RT 02/ RW 01 Kebonsari Wetan, Mayangan</v>
          </cell>
          <cell r="R2173" t="str">
            <v>Probolinggo</v>
          </cell>
          <cell r="S2173" t="str">
            <v>G Prob1</v>
          </cell>
          <cell r="T2173" t="str">
            <v>Wira</v>
          </cell>
          <cell r="U2173">
            <v>30</v>
          </cell>
        </row>
        <row r="2174">
          <cell r="E2174" t="str">
            <v>B25010952</v>
          </cell>
          <cell r="F2174"/>
          <cell r="G2174">
            <v>2000000000</v>
          </cell>
          <cell r="H2174" t="str">
            <v>Ariyani</v>
          </cell>
          <cell r="I2174" t="str">
            <v>Fira</v>
          </cell>
          <cell r="J2174"/>
          <cell r="K2174" t="str">
            <v>KU</v>
          </cell>
          <cell r="L2174" t="str">
            <v>DELI01</v>
          </cell>
          <cell r="M2174" t="str">
            <v>Delima, Toko/Nurhasan</v>
          </cell>
          <cell r="N2174" t="str">
            <v>Nur Hasan</v>
          </cell>
          <cell r="O2174" t="str">
            <v>Jl. KH. Ahmad Dahlan 32 RT 02/ RW 01 Kebonsari Wetan, Mayangan</v>
          </cell>
          <cell r="P2174" t="str">
            <v>Probolinggo</v>
          </cell>
          <cell r="Q2174" t="str">
            <v>Jl. KH. Ahmad Dahlan 32 RT 02/ RW 01 Kebonsari Wetan, Mayangan</v>
          </cell>
          <cell r="R2174" t="str">
            <v>Probolinggo</v>
          </cell>
          <cell r="S2174" t="str">
            <v>G Prob1</v>
          </cell>
          <cell r="T2174" t="str">
            <v>Wira</v>
          </cell>
          <cell r="U2174">
            <v>30</v>
          </cell>
        </row>
        <row r="2175">
          <cell r="E2175" t="str">
            <v>B25010953</v>
          </cell>
          <cell r="F2175"/>
          <cell r="G2175">
            <v>2000000000</v>
          </cell>
          <cell r="H2175" t="str">
            <v>Ariyani</v>
          </cell>
          <cell r="I2175" t="str">
            <v>Fira</v>
          </cell>
          <cell r="J2175"/>
          <cell r="K2175" t="str">
            <v>KU</v>
          </cell>
          <cell r="L2175" t="str">
            <v>DELI01</v>
          </cell>
          <cell r="M2175" t="str">
            <v>Delima, Toko/Nurhasan</v>
          </cell>
          <cell r="N2175" t="str">
            <v>Nur Hasan</v>
          </cell>
          <cell r="O2175" t="str">
            <v>Jl. KH. Ahmad Dahlan 32 RT 02/ RW 01 Kebonsari Wetan, Mayangan</v>
          </cell>
          <cell r="P2175" t="str">
            <v>Probolinggo</v>
          </cell>
          <cell r="Q2175" t="str">
            <v>Jl. KH. Ahmad Dahlan 32 RT 02/ RW 01 Kebonsari Wetan, Mayangan</v>
          </cell>
          <cell r="R2175" t="str">
            <v>Probolinggo</v>
          </cell>
          <cell r="S2175" t="str">
            <v>G Prob1</v>
          </cell>
          <cell r="T2175" t="str">
            <v>Wira</v>
          </cell>
          <cell r="U2175">
            <v>30</v>
          </cell>
        </row>
        <row r="2176">
          <cell r="E2176" t="str">
            <v>B25010954</v>
          </cell>
          <cell r="F2176"/>
          <cell r="G2176">
            <v>2000000000</v>
          </cell>
          <cell r="H2176" t="str">
            <v>Ariyani</v>
          </cell>
          <cell r="I2176" t="str">
            <v>Fira</v>
          </cell>
          <cell r="J2176"/>
          <cell r="K2176" t="str">
            <v>KU</v>
          </cell>
          <cell r="L2176" t="str">
            <v>DELI01</v>
          </cell>
          <cell r="M2176" t="str">
            <v>Delima, Toko/Nurhasan</v>
          </cell>
          <cell r="N2176" t="str">
            <v>Nur Hasan</v>
          </cell>
          <cell r="O2176" t="str">
            <v>Jl. KH. Ahmad Dahlan 32 RT 02/ RW 01 Kebonsari Wetan, Mayangan</v>
          </cell>
          <cell r="P2176" t="str">
            <v>Probolinggo</v>
          </cell>
          <cell r="Q2176" t="str">
            <v>Jl. KH. Ahmad Dahlan 32 RT 02/ RW 01 Kebonsari Wetan, Mayangan</v>
          </cell>
          <cell r="R2176" t="str">
            <v>Probolinggo</v>
          </cell>
          <cell r="S2176" t="str">
            <v>G Prob1</v>
          </cell>
          <cell r="T2176" t="str">
            <v>Wira</v>
          </cell>
          <cell r="U2176">
            <v>60</v>
          </cell>
        </row>
        <row r="2177">
          <cell r="E2177" t="str">
            <v>Z25002164</v>
          </cell>
          <cell r="F2177"/>
          <cell r="G2177">
            <v>2000000000</v>
          </cell>
          <cell r="H2177" t="str">
            <v>Ariyani</v>
          </cell>
          <cell r="I2177" t="str">
            <v>Fira</v>
          </cell>
          <cell r="J2177"/>
          <cell r="K2177" t="str">
            <v>KU</v>
          </cell>
          <cell r="L2177" t="str">
            <v>DELI01</v>
          </cell>
          <cell r="M2177" t="str">
            <v>Delima, Toko/Nurhasan</v>
          </cell>
          <cell r="N2177" t="str">
            <v>Nur Hasan</v>
          </cell>
          <cell r="O2177" t="str">
            <v>Jl. KH. Ahmad Dahlan 32 RT 02/ RW 01 Kebonsari Wetan, Mayangan</v>
          </cell>
          <cell r="P2177" t="str">
            <v>Probolinggo</v>
          </cell>
          <cell r="Q2177" t="str">
            <v>Jl. KH. Ahmad Dahlan 32 RT 02/ RW 01 Kebonsari Wetan, Mayangan</v>
          </cell>
          <cell r="R2177" t="str">
            <v>Probolinggo</v>
          </cell>
          <cell r="S2177" t="str">
            <v>G Prob1</v>
          </cell>
          <cell r="T2177" t="str">
            <v>Wira</v>
          </cell>
          <cell r="U2177">
            <v>30</v>
          </cell>
        </row>
        <row r="2178">
          <cell r="E2178" t="str">
            <v>Z25002217</v>
          </cell>
          <cell r="F2178"/>
          <cell r="G2178">
            <v>2000000000</v>
          </cell>
          <cell r="H2178" t="str">
            <v>Ariyani</v>
          </cell>
          <cell r="I2178" t="str">
            <v>Fira</v>
          </cell>
          <cell r="J2178"/>
          <cell r="K2178" t="str">
            <v>KU</v>
          </cell>
          <cell r="L2178" t="str">
            <v>DELI01</v>
          </cell>
          <cell r="M2178" t="str">
            <v>Delima, Toko/Nurhasan</v>
          </cell>
          <cell r="N2178" t="str">
            <v>Nur Hasan</v>
          </cell>
          <cell r="O2178" t="str">
            <v>Jl. KH. Ahmad Dahlan 32 RT 02/ RW 01 Kebonsari Wetan, Mayangan</v>
          </cell>
          <cell r="P2178" t="str">
            <v>Probolinggo</v>
          </cell>
          <cell r="Q2178" t="str">
            <v>Jl. KH. Ahmad Dahlan 32 RT 02/ RW 01 Kebonsari Wetan, Mayangan</v>
          </cell>
          <cell r="R2178" t="str">
            <v>Probolinggo</v>
          </cell>
          <cell r="S2178" t="str">
            <v>G Prob1</v>
          </cell>
          <cell r="T2178" t="str">
            <v>Wira</v>
          </cell>
          <cell r="U2178">
            <v>30</v>
          </cell>
        </row>
        <row r="2179">
          <cell r="E2179" t="str">
            <v>D25013521</v>
          </cell>
          <cell r="F2179"/>
          <cell r="G2179">
            <v>2000000000</v>
          </cell>
          <cell r="H2179" t="str">
            <v>Ariyani</v>
          </cell>
          <cell r="I2179" t="str">
            <v>Fira</v>
          </cell>
          <cell r="J2179"/>
          <cell r="K2179" t="str">
            <v>KU</v>
          </cell>
          <cell r="L2179" t="str">
            <v>DELI01</v>
          </cell>
          <cell r="M2179" t="str">
            <v>Delima, Toko/Nurhasan</v>
          </cell>
          <cell r="N2179" t="str">
            <v>Nur Hasan</v>
          </cell>
          <cell r="O2179" t="str">
            <v>Jl. KH. Ahmad Dahlan 32 RT 02/ RW 01 Kebonsari Wetan, Mayangan</v>
          </cell>
          <cell r="P2179" t="str">
            <v>Probolinggo</v>
          </cell>
          <cell r="Q2179" t="str">
            <v>Jl. KH. Ahmad Dahlan 32 RT 02/ RW 01 Kebonsari Wetan, Mayangan</v>
          </cell>
          <cell r="R2179" t="str">
            <v>Probolinggo</v>
          </cell>
          <cell r="S2179" t="str">
            <v>G Prob1</v>
          </cell>
          <cell r="T2179" t="str">
            <v>Wira</v>
          </cell>
          <cell r="U2179">
            <v>60</v>
          </cell>
        </row>
        <row r="2180">
          <cell r="E2180" t="str">
            <v>D25013642</v>
          </cell>
          <cell r="F2180"/>
          <cell r="G2180">
            <v>2000000000</v>
          </cell>
          <cell r="H2180" t="str">
            <v>Ariyani</v>
          </cell>
          <cell r="I2180" t="str">
            <v>Fira</v>
          </cell>
          <cell r="J2180"/>
          <cell r="K2180" t="str">
            <v>KU</v>
          </cell>
          <cell r="L2180" t="str">
            <v>DELI01</v>
          </cell>
          <cell r="M2180" t="str">
            <v>Delima, Toko/Nurhasan</v>
          </cell>
          <cell r="N2180" t="str">
            <v>Nur Hasan</v>
          </cell>
          <cell r="O2180" t="str">
            <v>Jl. KH. Ahmad Dahlan 32 RT 02/ RW 01 Kebonsari Wetan, Mayangan</v>
          </cell>
          <cell r="P2180" t="str">
            <v>Probolinggo</v>
          </cell>
          <cell r="Q2180" t="str">
            <v>Jl. KH. Ahmad Dahlan 32 RT 02/ RW 01 Kebonsari Wetan, Mayangan</v>
          </cell>
          <cell r="R2180" t="str">
            <v>Probolinggo</v>
          </cell>
          <cell r="S2180" t="str">
            <v>G Prob1</v>
          </cell>
          <cell r="T2180" t="str">
            <v>Wira</v>
          </cell>
          <cell r="U2180">
            <v>30</v>
          </cell>
        </row>
        <row r="2181">
          <cell r="E2181" t="str">
            <v>Z25002268</v>
          </cell>
          <cell r="F2181"/>
          <cell r="G2181">
            <v>2000000000</v>
          </cell>
          <cell r="H2181" t="str">
            <v>Ariyani</v>
          </cell>
          <cell r="I2181" t="str">
            <v>Fira</v>
          </cell>
          <cell r="J2181"/>
          <cell r="K2181" t="str">
            <v>KU</v>
          </cell>
          <cell r="L2181" t="str">
            <v>DELI01</v>
          </cell>
          <cell r="M2181" t="str">
            <v>Delima, Toko/Nurhasan</v>
          </cell>
          <cell r="N2181" t="str">
            <v>Nur Hasan</v>
          </cell>
          <cell r="O2181" t="str">
            <v>Jl. KH. Ahmad Dahlan 32 RT 02/ RW 01 Kebonsari Wetan, Mayangan</v>
          </cell>
          <cell r="P2181" t="str">
            <v>Probolinggo</v>
          </cell>
          <cell r="Q2181" t="str">
            <v>Jl. KH. Ahmad Dahlan 32 RT 02/ RW 01 Kebonsari Wetan, Mayangan</v>
          </cell>
          <cell r="R2181" t="str">
            <v>Probolinggo</v>
          </cell>
          <cell r="S2181" t="str">
            <v>G Prob1</v>
          </cell>
          <cell r="T2181" t="str">
            <v>Wira</v>
          </cell>
          <cell r="U2181">
            <v>30</v>
          </cell>
        </row>
        <row r="2182">
          <cell r="E2182" t="str">
            <v>B25011610</v>
          </cell>
          <cell r="F2182"/>
          <cell r="G2182">
            <v>2000000000</v>
          </cell>
          <cell r="H2182" t="str">
            <v>Ariyani</v>
          </cell>
          <cell r="I2182" t="str">
            <v>Fira</v>
          </cell>
          <cell r="J2182"/>
          <cell r="K2182" t="str">
            <v>KU</v>
          </cell>
          <cell r="L2182" t="str">
            <v>DELI01</v>
          </cell>
          <cell r="M2182" t="str">
            <v>Delima, Toko/Nurhasan</v>
          </cell>
          <cell r="N2182" t="str">
            <v>Nur Hasan</v>
          </cell>
          <cell r="O2182" t="str">
            <v>Jl. KH. Ahmad Dahlan 32 RT 02/ RW 01 Kebonsari Wetan, Mayangan</v>
          </cell>
          <cell r="P2182" t="str">
            <v>Probolinggo</v>
          </cell>
          <cell r="Q2182" t="str">
            <v>Jl. KH. Ahmad Dahlan 32 RT 02/ RW 01 Kebonsari Wetan, Mayangan</v>
          </cell>
          <cell r="R2182" t="str">
            <v>Probolinggo</v>
          </cell>
          <cell r="S2182" t="str">
            <v>G Prob1</v>
          </cell>
          <cell r="T2182" t="str">
            <v>Wira</v>
          </cell>
          <cell r="U2182">
            <v>30</v>
          </cell>
        </row>
        <row r="2183">
          <cell r="E2183" t="str">
            <v>B25011611</v>
          </cell>
          <cell r="F2183"/>
          <cell r="G2183">
            <v>2000000000</v>
          </cell>
          <cell r="H2183" t="str">
            <v>Ariyani</v>
          </cell>
          <cell r="I2183" t="str">
            <v>Fira</v>
          </cell>
          <cell r="J2183"/>
          <cell r="K2183" t="str">
            <v>KU</v>
          </cell>
          <cell r="L2183" t="str">
            <v>DELI01</v>
          </cell>
          <cell r="M2183" t="str">
            <v>Delima, Toko/Nurhasan</v>
          </cell>
          <cell r="N2183" t="str">
            <v>Nur Hasan</v>
          </cell>
          <cell r="O2183" t="str">
            <v>Jl. KH. Ahmad Dahlan 32 RT 02/ RW 01 Kebonsari Wetan, Mayangan</v>
          </cell>
          <cell r="P2183" t="str">
            <v>Probolinggo</v>
          </cell>
          <cell r="Q2183" t="str">
            <v>Jl. KH. Ahmad Dahlan 32 RT 02/ RW 01 Kebonsari Wetan, Mayangan</v>
          </cell>
          <cell r="R2183" t="str">
            <v>Probolinggo</v>
          </cell>
          <cell r="S2183" t="str">
            <v>G Prob1</v>
          </cell>
          <cell r="T2183" t="str">
            <v>Wira</v>
          </cell>
          <cell r="U2183">
            <v>30</v>
          </cell>
        </row>
        <row r="2184">
          <cell r="E2184" t="str">
            <v>D25013972</v>
          </cell>
          <cell r="F2184"/>
          <cell r="G2184">
            <v>2000000000</v>
          </cell>
          <cell r="H2184" t="str">
            <v>Ariyani</v>
          </cell>
          <cell r="I2184" t="str">
            <v>Fira</v>
          </cell>
          <cell r="J2184"/>
          <cell r="K2184" t="str">
            <v>KU</v>
          </cell>
          <cell r="L2184" t="str">
            <v>DELI01</v>
          </cell>
          <cell r="M2184" t="str">
            <v>Delima, Toko/Nurhasan</v>
          </cell>
          <cell r="N2184" t="str">
            <v>Nur Hasan</v>
          </cell>
          <cell r="O2184" t="str">
            <v>Jl. KH. Ahmad Dahlan 32 RT 02/ RW 01 Kebonsari Wetan, Mayangan</v>
          </cell>
          <cell r="P2184" t="str">
            <v>Probolinggo</v>
          </cell>
          <cell r="Q2184" t="str">
            <v>Jl. KH. Ahmad Dahlan 32 RT 02/ RW 01 Kebonsari Wetan, Mayangan</v>
          </cell>
          <cell r="R2184" t="str">
            <v>Probolinggo</v>
          </cell>
          <cell r="S2184" t="str">
            <v>G Prob1</v>
          </cell>
          <cell r="T2184" t="str">
            <v>Wira</v>
          </cell>
          <cell r="U2184">
            <v>30</v>
          </cell>
        </row>
        <row r="2185">
          <cell r="E2185" t="str">
            <v>Z25002348</v>
          </cell>
          <cell r="F2185"/>
          <cell r="G2185">
            <v>2000000000</v>
          </cell>
          <cell r="H2185" t="str">
            <v>Ariyani</v>
          </cell>
          <cell r="I2185" t="str">
            <v>Fira</v>
          </cell>
          <cell r="J2185"/>
          <cell r="K2185" t="str">
            <v>KU</v>
          </cell>
          <cell r="L2185" t="str">
            <v>DELI01</v>
          </cell>
          <cell r="M2185" t="str">
            <v>Delima, Toko/Nurhasan</v>
          </cell>
          <cell r="N2185" t="str">
            <v>Nur Hasan</v>
          </cell>
          <cell r="O2185" t="str">
            <v>Jl. KH. Ahmad Dahlan 32 RT 02/ RW 01 Kebonsari Wetan, Mayangan</v>
          </cell>
          <cell r="P2185" t="str">
            <v>Probolinggo</v>
          </cell>
          <cell r="Q2185" t="str">
            <v>Jl. KH. Ahmad Dahlan 32 RT 02/ RW 01 Kebonsari Wetan, Mayangan</v>
          </cell>
          <cell r="R2185" t="str">
            <v>Probolinggo</v>
          </cell>
          <cell r="S2185" t="str">
            <v>G Prob1</v>
          </cell>
          <cell r="T2185" t="str">
            <v>Wira</v>
          </cell>
          <cell r="U2185">
            <v>30</v>
          </cell>
        </row>
        <row r="2186">
          <cell r="E2186" t="str">
            <v>D25014191</v>
          </cell>
          <cell r="F2186"/>
          <cell r="G2186">
            <v>2000000000</v>
          </cell>
          <cell r="H2186" t="str">
            <v>Ariyani</v>
          </cell>
          <cell r="I2186" t="str">
            <v>Fira</v>
          </cell>
          <cell r="J2186"/>
          <cell r="K2186" t="str">
            <v>KU</v>
          </cell>
          <cell r="L2186" t="str">
            <v>DELI01</v>
          </cell>
          <cell r="M2186" t="str">
            <v>Delima, Toko/Nurhasan</v>
          </cell>
          <cell r="N2186" t="str">
            <v>Nur Hasan</v>
          </cell>
          <cell r="O2186" t="str">
            <v>Jl. KH. Ahmad Dahlan 32 RT 02/ RW 01 Kebonsari Wetan, Mayangan</v>
          </cell>
          <cell r="P2186" t="str">
            <v>Probolinggo</v>
          </cell>
          <cell r="Q2186" t="str">
            <v>Jl. KH. Ahmad Dahlan 32 RT 02/ RW 01 Kebonsari Wetan, Mayangan</v>
          </cell>
          <cell r="R2186" t="str">
            <v>Probolinggo</v>
          </cell>
          <cell r="S2186" t="str">
            <v>G Prob1</v>
          </cell>
          <cell r="T2186" t="str">
            <v>Wira</v>
          </cell>
          <cell r="U2186">
            <v>0</v>
          </cell>
        </row>
        <row r="2187">
          <cell r="E2187" t="str">
            <v>B25012202</v>
          </cell>
          <cell r="F2187"/>
          <cell r="G2187">
            <v>2000000000</v>
          </cell>
          <cell r="H2187" t="str">
            <v>Ariyani</v>
          </cell>
          <cell r="I2187" t="str">
            <v>Fira</v>
          </cell>
          <cell r="J2187"/>
          <cell r="K2187" t="str">
            <v>KU</v>
          </cell>
          <cell r="L2187" t="str">
            <v>DELI01</v>
          </cell>
          <cell r="M2187" t="str">
            <v>Delima, Toko/Nurhasan</v>
          </cell>
          <cell r="N2187" t="str">
            <v>Nur Hasan</v>
          </cell>
          <cell r="O2187" t="str">
            <v>Jl. KH. Ahmad Dahlan 32 RT 02/ RW 01 Kebonsari Wetan, Mayangan</v>
          </cell>
          <cell r="P2187" t="str">
            <v>Probolinggo</v>
          </cell>
          <cell r="Q2187" t="str">
            <v>Jl. KH. Ahmad Dahlan 32 RT 02/ RW 01 Kebonsari Wetan, Mayangan</v>
          </cell>
          <cell r="R2187" t="str">
            <v>Probolinggo</v>
          </cell>
          <cell r="S2187" t="str">
            <v>G Prob1</v>
          </cell>
          <cell r="T2187" t="str">
            <v>Wira</v>
          </cell>
          <cell r="U2187">
            <v>30</v>
          </cell>
        </row>
        <row r="2188">
          <cell r="E2188" t="str">
            <v>Z25002423</v>
          </cell>
          <cell r="F2188"/>
          <cell r="G2188">
            <v>2000000000</v>
          </cell>
          <cell r="H2188" t="str">
            <v>Ariyani</v>
          </cell>
          <cell r="I2188" t="str">
            <v>Fira</v>
          </cell>
          <cell r="J2188"/>
          <cell r="K2188" t="str">
            <v>KU</v>
          </cell>
          <cell r="L2188" t="str">
            <v>DELI01</v>
          </cell>
          <cell r="M2188" t="str">
            <v>Delima, Toko/Nurhasan</v>
          </cell>
          <cell r="N2188" t="str">
            <v>Nur Hasan</v>
          </cell>
          <cell r="O2188" t="str">
            <v>Jl. KH. Ahmad Dahlan 32 RT 02/ RW 01 Kebonsari Wetan, Mayangan</v>
          </cell>
          <cell r="P2188" t="str">
            <v>Probolinggo</v>
          </cell>
          <cell r="Q2188" t="str">
            <v>Jl. KH. Ahmad Dahlan 32 RT 02/ RW 01 Kebonsari Wetan, Mayangan</v>
          </cell>
          <cell r="R2188" t="str">
            <v>Probolinggo</v>
          </cell>
          <cell r="S2188" t="str">
            <v>G Prob1</v>
          </cell>
          <cell r="T2188" t="str">
            <v>Wira</v>
          </cell>
          <cell r="U2188">
            <v>60</v>
          </cell>
        </row>
        <row r="2189">
          <cell r="E2189" t="str">
            <v>Z25002437</v>
          </cell>
          <cell r="F2189"/>
          <cell r="G2189">
            <v>2000000000</v>
          </cell>
          <cell r="H2189" t="str">
            <v>Ariyani</v>
          </cell>
          <cell r="I2189" t="str">
            <v>Fira</v>
          </cell>
          <cell r="J2189"/>
          <cell r="K2189" t="str">
            <v>KU</v>
          </cell>
          <cell r="L2189" t="str">
            <v>DELI01</v>
          </cell>
          <cell r="M2189" t="str">
            <v>Delima, Toko/Nurhasan</v>
          </cell>
          <cell r="N2189" t="str">
            <v>Nur Hasan</v>
          </cell>
          <cell r="O2189" t="str">
            <v>Jl. KH. Ahmad Dahlan 32 RT 02/ RW 01 Kebonsari Wetan, Mayangan</v>
          </cell>
          <cell r="P2189" t="str">
            <v>Probolinggo</v>
          </cell>
          <cell r="Q2189" t="str">
            <v>Jl. KH. Ahmad Dahlan 32 RT 02/ RW 01 Kebonsari Wetan, Mayangan</v>
          </cell>
          <cell r="R2189" t="str">
            <v>Probolinggo</v>
          </cell>
          <cell r="S2189" t="str">
            <v>G Prob1</v>
          </cell>
          <cell r="T2189" t="str">
            <v>Wira</v>
          </cell>
          <cell r="U2189">
            <v>60</v>
          </cell>
        </row>
        <row r="2190">
          <cell r="E2190" t="str">
            <v>B25012272</v>
          </cell>
          <cell r="F2190"/>
          <cell r="G2190">
            <v>2000000000</v>
          </cell>
          <cell r="H2190" t="str">
            <v>Ariyani</v>
          </cell>
          <cell r="I2190" t="str">
            <v>Fira</v>
          </cell>
          <cell r="J2190"/>
          <cell r="K2190" t="str">
            <v>KU</v>
          </cell>
          <cell r="L2190" t="str">
            <v>DELI01</v>
          </cell>
          <cell r="M2190" t="str">
            <v>Delima, Toko/Nurhasan</v>
          </cell>
          <cell r="N2190" t="str">
            <v>Nur Hasan</v>
          </cell>
          <cell r="O2190" t="str">
            <v>Jl. KH. Ahmad Dahlan 32 RT 02/ RW 01 Kebonsari Wetan, Mayangan</v>
          </cell>
          <cell r="P2190" t="str">
            <v>Probolinggo</v>
          </cell>
          <cell r="Q2190" t="str">
            <v>Jl. KH. Ahmad Dahlan 32 RT 02/ RW 01 Kebonsari Wetan, Mayangan</v>
          </cell>
          <cell r="R2190" t="str">
            <v>Probolinggo</v>
          </cell>
          <cell r="S2190" t="str">
            <v>G Prob1</v>
          </cell>
          <cell r="T2190" t="str">
            <v>Wira</v>
          </cell>
          <cell r="U2190">
            <v>0</v>
          </cell>
        </row>
        <row r="2191">
          <cell r="E2191" t="str">
            <v>D25014616</v>
          </cell>
          <cell r="F2191"/>
          <cell r="G2191">
            <v>2000000000</v>
          </cell>
          <cell r="H2191" t="str">
            <v>Ariyani</v>
          </cell>
          <cell r="I2191" t="str">
            <v>Fira</v>
          </cell>
          <cell r="J2191"/>
          <cell r="K2191" t="str">
            <v>KU</v>
          </cell>
          <cell r="L2191" t="str">
            <v>DELI01</v>
          </cell>
          <cell r="M2191" t="str">
            <v>Delima, Toko/Nurhasan</v>
          </cell>
          <cell r="N2191" t="str">
            <v>Nur Hasan</v>
          </cell>
          <cell r="O2191" t="str">
            <v>Jl. KH. Ahmad Dahlan 32 RT 02/ RW 01 Kebonsari Wetan, Mayangan</v>
          </cell>
          <cell r="P2191" t="str">
            <v>Probolinggo</v>
          </cell>
          <cell r="Q2191" t="str">
            <v>Jl. KH. Ahmad Dahlan 32 RT 02/ RW 01 Kebonsari Wetan, Mayangan</v>
          </cell>
          <cell r="R2191" t="str">
            <v>Probolinggo</v>
          </cell>
          <cell r="S2191" t="str">
            <v>G Prob1</v>
          </cell>
          <cell r="T2191" t="str">
            <v>Wira</v>
          </cell>
          <cell r="U2191">
            <v>0</v>
          </cell>
        </row>
        <row r="2192">
          <cell r="E2192" t="str">
            <v>D25014648</v>
          </cell>
          <cell r="F2192"/>
          <cell r="G2192">
            <v>2000000000</v>
          </cell>
          <cell r="H2192" t="str">
            <v>Ariyani</v>
          </cell>
          <cell r="I2192" t="str">
            <v>Fira</v>
          </cell>
          <cell r="J2192"/>
          <cell r="K2192" t="str">
            <v>KU</v>
          </cell>
          <cell r="L2192" t="str">
            <v>DELI01</v>
          </cell>
          <cell r="M2192" t="str">
            <v>Delima, Toko/Nurhasan</v>
          </cell>
          <cell r="N2192" t="str">
            <v>Nur Hasan</v>
          </cell>
          <cell r="O2192" t="str">
            <v>Jl. KH. Ahmad Dahlan 32 RT 02/ RW 01 Kebonsari Wetan, Mayangan</v>
          </cell>
          <cell r="P2192" t="str">
            <v>Probolinggo</v>
          </cell>
          <cell r="Q2192" t="str">
            <v>Jl. KH. Ahmad Dahlan 32 RT 02/ RW 01 Kebonsari Wetan, Mayangan</v>
          </cell>
          <cell r="R2192" t="str">
            <v>Probolinggo</v>
          </cell>
          <cell r="S2192" t="str">
            <v>G Prob1</v>
          </cell>
          <cell r="T2192" t="str">
            <v>Wira</v>
          </cell>
          <cell r="U2192">
            <v>30</v>
          </cell>
        </row>
        <row r="2193">
          <cell r="E2193" t="str">
            <v>D25014649</v>
          </cell>
          <cell r="F2193"/>
          <cell r="G2193">
            <v>2000000000</v>
          </cell>
          <cell r="H2193" t="str">
            <v>Ariyani</v>
          </cell>
          <cell r="I2193" t="str">
            <v>Fira</v>
          </cell>
          <cell r="J2193"/>
          <cell r="K2193" t="str">
            <v>KU</v>
          </cell>
          <cell r="L2193" t="str">
            <v>DELI01</v>
          </cell>
          <cell r="M2193" t="str">
            <v>Delima, Toko/Nurhasan</v>
          </cell>
          <cell r="N2193" t="str">
            <v>Nur Hasan</v>
          </cell>
          <cell r="O2193" t="str">
            <v>Jl. KH. Ahmad Dahlan 32 RT 02/ RW 01 Kebonsari Wetan, Mayangan</v>
          </cell>
          <cell r="P2193" t="str">
            <v>Probolinggo</v>
          </cell>
          <cell r="Q2193" t="str">
            <v>Jl. KH. Ahmad Dahlan 32 RT 02/ RW 01 Kebonsari Wetan, Mayangan</v>
          </cell>
          <cell r="R2193" t="str">
            <v>Probolinggo</v>
          </cell>
          <cell r="S2193" t="str">
            <v>G Prob1</v>
          </cell>
          <cell r="T2193" t="str">
            <v>Wira</v>
          </cell>
          <cell r="U2193">
            <v>0</v>
          </cell>
        </row>
        <row r="2194">
          <cell r="E2194" t="str">
            <v>D25014649</v>
          </cell>
          <cell r="F2194"/>
          <cell r="G2194">
            <v>2000000000</v>
          </cell>
          <cell r="H2194" t="str">
            <v>Ariyani</v>
          </cell>
          <cell r="I2194" t="str">
            <v>Fira</v>
          </cell>
          <cell r="J2194"/>
          <cell r="K2194" t="str">
            <v>KU</v>
          </cell>
          <cell r="L2194" t="str">
            <v>DELI01</v>
          </cell>
          <cell r="M2194" t="str">
            <v>Delima, Toko/Nurhasan</v>
          </cell>
          <cell r="N2194" t="str">
            <v>Nur Hasan</v>
          </cell>
          <cell r="O2194" t="str">
            <v>Jl. KH. Ahmad Dahlan 32 RT 02/ RW 01 Kebonsari Wetan, Mayangan</v>
          </cell>
          <cell r="P2194" t="str">
            <v>Probolinggo</v>
          </cell>
          <cell r="Q2194" t="str">
            <v>Jl. KH. Ahmad Dahlan 32 RT 02/ RW 01 Kebonsari Wetan, Mayangan</v>
          </cell>
          <cell r="R2194" t="str">
            <v>Probolinggo</v>
          </cell>
          <cell r="S2194" t="str">
            <v>G Prob1</v>
          </cell>
          <cell r="T2194" t="str">
            <v>Wira</v>
          </cell>
          <cell r="U2194">
            <v>0</v>
          </cell>
        </row>
        <row r="2195">
          <cell r="E2195" t="str">
            <v>Z25002482</v>
          </cell>
          <cell r="F2195"/>
          <cell r="G2195">
            <v>2000000000</v>
          </cell>
          <cell r="H2195" t="str">
            <v>Ariyani</v>
          </cell>
          <cell r="I2195" t="str">
            <v>Fira</v>
          </cell>
          <cell r="J2195"/>
          <cell r="K2195" t="str">
            <v>KU</v>
          </cell>
          <cell r="L2195" t="str">
            <v>DELI01</v>
          </cell>
          <cell r="M2195" t="str">
            <v>Delima, Toko/Nurhasan</v>
          </cell>
          <cell r="N2195" t="str">
            <v>Nur Hasan</v>
          </cell>
          <cell r="O2195" t="str">
            <v>Jl. KH. Ahmad Dahlan 32 RT 02/ RW 01 Kebonsari Wetan, Mayangan</v>
          </cell>
          <cell r="P2195" t="str">
            <v>Probolinggo</v>
          </cell>
          <cell r="Q2195" t="str">
            <v>Jl. KH. Ahmad Dahlan 32 RT 02/ RW 01 Kebonsari Wetan, Mayangan</v>
          </cell>
          <cell r="R2195" t="str">
            <v>Probolinggo</v>
          </cell>
          <cell r="S2195" t="str">
            <v>G Prob1</v>
          </cell>
          <cell r="T2195" t="str">
            <v>Wira</v>
          </cell>
          <cell r="U2195">
            <v>30</v>
          </cell>
        </row>
        <row r="2196">
          <cell r="E2196" t="str">
            <v>D25014819</v>
          </cell>
          <cell r="F2196"/>
          <cell r="G2196">
            <v>2000000000</v>
          </cell>
          <cell r="H2196" t="str">
            <v>Ariyani</v>
          </cell>
          <cell r="I2196" t="str">
            <v>Fira</v>
          </cell>
          <cell r="J2196"/>
          <cell r="K2196" t="str">
            <v>KU</v>
          </cell>
          <cell r="L2196" t="str">
            <v>DELI01</v>
          </cell>
          <cell r="M2196" t="str">
            <v>Delima, Toko/Nurhasan</v>
          </cell>
          <cell r="N2196" t="str">
            <v>Nur Hasan</v>
          </cell>
          <cell r="O2196" t="str">
            <v>Jl. KH. Ahmad Dahlan 32 RT 02/ RW 01 Kebonsari Wetan, Mayangan</v>
          </cell>
          <cell r="P2196" t="str">
            <v>Probolinggo</v>
          </cell>
          <cell r="Q2196" t="str">
            <v>Jl. KH. Ahmad Dahlan 32 RT 02/ RW 01 Kebonsari Wetan, Mayangan</v>
          </cell>
          <cell r="R2196" t="str">
            <v>Probolinggo</v>
          </cell>
          <cell r="S2196" t="str">
            <v>G Prob1</v>
          </cell>
          <cell r="T2196" t="str">
            <v>Wira</v>
          </cell>
          <cell r="U2196">
            <v>30</v>
          </cell>
        </row>
        <row r="2197">
          <cell r="E2197" t="str">
            <v>D25014849</v>
          </cell>
          <cell r="F2197"/>
          <cell r="G2197">
            <v>2000000000</v>
          </cell>
          <cell r="H2197" t="str">
            <v>Ariyani</v>
          </cell>
          <cell r="I2197" t="str">
            <v>Fira</v>
          </cell>
          <cell r="J2197"/>
          <cell r="K2197" t="str">
            <v>KU</v>
          </cell>
          <cell r="L2197" t="str">
            <v>DELI01</v>
          </cell>
          <cell r="M2197" t="str">
            <v>Delima, Toko/Nurhasan</v>
          </cell>
          <cell r="N2197" t="str">
            <v>Nur Hasan</v>
          </cell>
          <cell r="O2197" t="str">
            <v>Jl. KH. Ahmad Dahlan 32 RT 02/ RW 01 Kebonsari Wetan, Mayangan</v>
          </cell>
          <cell r="P2197" t="str">
            <v>Probolinggo</v>
          </cell>
          <cell r="Q2197" t="str">
            <v>Jl. KH. Ahmad Dahlan 32 RT 02/ RW 01 Kebonsari Wetan, Mayangan</v>
          </cell>
          <cell r="R2197" t="str">
            <v>Probolinggo</v>
          </cell>
          <cell r="S2197" t="str">
            <v>G Prob1</v>
          </cell>
          <cell r="T2197" t="str">
            <v>Wira</v>
          </cell>
          <cell r="U2197">
            <v>0</v>
          </cell>
        </row>
        <row r="2198">
          <cell r="E2198" t="str">
            <v>D25014850</v>
          </cell>
          <cell r="F2198"/>
          <cell r="G2198">
            <v>2000000000</v>
          </cell>
          <cell r="H2198" t="str">
            <v>Ariyani</v>
          </cell>
          <cell r="I2198" t="str">
            <v>Fira</v>
          </cell>
          <cell r="J2198"/>
          <cell r="K2198" t="str">
            <v>KU</v>
          </cell>
          <cell r="L2198" t="str">
            <v>DELI01</v>
          </cell>
          <cell r="M2198" t="str">
            <v>Delima, Toko/Nurhasan</v>
          </cell>
          <cell r="N2198" t="str">
            <v>Nur Hasan</v>
          </cell>
          <cell r="O2198" t="str">
            <v>Jl. KH. Ahmad Dahlan 32 RT 02/ RW 01 Kebonsari Wetan, Mayangan</v>
          </cell>
          <cell r="P2198" t="str">
            <v>Probolinggo</v>
          </cell>
          <cell r="Q2198" t="str">
            <v>Jl. KH. Ahmad Dahlan 32 RT 02/ RW 01 Kebonsari Wetan, Mayangan</v>
          </cell>
          <cell r="R2198" t="str">
            <v>Probolinggo</v>
          </cell>
          <cell r="S2198" t="str">
            <v>G Prob1</v>
          </cell>
          <cell r="T2198" t="str">
            <v>Wira</v>
          </cell>
          <cell r="U2198">
            <v>30</v>
          </cell>
        </row>
        <row r="2199">
          <cell r="E2199" t="str">
            <v>D25014851</v>
          </cell>
          <cell r="F2199"/>
          <cell r="G2199">
            <v>2000000000</v>
          </cell>
          <cell r="H2199" t="str">
            <v>Ariyani</v>
          </cell>
          <cell r="I2199" t="str">
            <v>Fira</v>
          </cell>
          <cell r="J2199"/>
          <cell r="K2199" t="str">
            <v>KU</v>
          </cell>
          <cell r="L2199" t="str">
            <v>DELI01</v>
          </cell>
          <cell r="M2199" t="str">
            <v>Delima, Toko/Nurhasan</v>
          </cell>
          <cell r="N2199" t="str">
            <v>Nur Hasan</v>
          </cell>
          <cell r="O2199" t="str">
            <v>Jl. KH. Ahmad Dahlan 32 RT 02/ RW 01 Kebonsari Wetan, Mayangan</v>
          </cell>
          <cell r="P2199" t="str">
            <v>Probolinggo</v>
          </cell>
          <cell r="Q2199" t="str">
            <v>Jl. KH. Ahmad Dahlan 32 RT 02/ RW 01 Kebonsari Wetan, Mayangan</v>
          </cell>
          <cell r="R2199" t="str">
            <v>Probolinggo</v>
          </cell>
          <cell r="S2199" t="str">
            <v>G Prob1</v>
          </cell>
          <cell r="T2199" t="str">
            <v>Wira</v>
          </cell>
          <cell r="U2199">
            <v>30</v>
          </cell>
        </row>
        <row r="2200">
          <cell r="E2200" t="str">
            <v>Z25002510</v>
          </cell>
          <cell r="F2200"/>
          <cell r="G2200">
            <v>2000000000</v>
          </cell>
          <cell r="H2200" t="str">
            <v>Ariyani</v>
          </cell>
          <cell r="I2200" t="str">
            <v>Fira</v>
          </cell>
          <cell r="J2200"/>
          <cell r="K2200" t="str">
            <v>KU</v>
          </cell>
          <cell r="L2200" t="str">
            <v>DELI01</v>
          </cell>
          <cell r="M2200" t="str">
            <v>Delima, Toko/Nurhasan</v>
          </cell>
          <cell r="N2200" t="str">
            <v>Nur Hasan</v>
          </cell>
          <cell r="O2200" t="str">
            <v>Jl. KH. Ahmad Dahlan 32 RT 02/ RW 01 Kebonsari Wetan, Mayangan</v>
          </cell>
          <cell r="P2200" t="str">
            <v>Probolinggo</v>
          </cell>
          <cell r="Q2200" t="str">
            <v>Jl. KH. Ahmad Dahlan 32 RT 02/ RW 01 Kebonsari Wetan, Mayangan</v>
          </cell>
          <cell r="R2200" t="str">
            <v>Probolinggo</v>
          </cell>
          <cell r="S2200" t="str">
            <v>G Prob1</v>
          </cell>
          <cell r="T2200" t="str">
            <v>Wira</v>
          </cell>
          <cell r="U2200">
            <v>30</v>
          </cell>
        </row>
        <row r="2201">
          <cell r="E2201" t="str">
            <v>B25012574</v>
          </cell>
          <cell r="F2201"/>
          <cell r="G2201">
            <v>2000000000</v>
          </cell>
          <cell r="H2201" t="str">
            <v>Ariyani</v>
          </cell>
          <cell r="I2201" t="str">
            <v>Fira</v>
          </cell>
          <cell r="J2201"/>
          <cell r="K2201" t="str">
            <v>KU</v>
          </cell>
          <cell r="L2201" t="str">
            <v>DELI01</v>
          </cell>
          <cell r="M2201" t="str">
            <v>Delima, Toko/Nurhasan</v>
          </cell>
          <cell r="N2201" t="str">
            <v>Nur Hasan</v>
          </cell>
          <cell r="O2201" t="str">
            <v>Jl. KH. Ahmad Dahlan 32 RT 02/ RW 01 Kebonsari Wetan, Mayangan</v>
          </cell>
          <cell r="P2201" t="str">
            <v>Probolinggo</v>
          </cell>
          <cell r="Q2201" t="str">
            <v>Jl. KH. Ahmad Dahlan 32 RT 02/ RW 01 Kebonsari Wetan, Mayangan</v>
          </cell>
          <cell r="R2201" t="str">
            <v>Probolinggo</v>
          </cell>
          <cell r="S2201" t="str">
            <v>G Prob1</v>
          </cell>
          <cell r="T2201" t="str">
            <v>Wira</v>
          </cell>
          <cell r="U2201">
            <v>30</v>
          </cell>
        </row>
        <row r="2202">
          <cell r="E2202" t="str">
            <v>B25012759</v>
          </cell>
          <cell r="F2202"/>
          <cell r="G2202">
            <v>2000000000</v>
          </cell>
          <cell r="H2202" t="str">
            <v>Ariyani</v>
          </cell>
          <cell r="I2202" t="str">
            <v>Fira</v>
          </cell>
          <cell r="J2202"/>
          <cell r="K2202" t="str">
            <v>KU</v>
          </cell>
          <cell r="L2202" t="str">
            <v>DELI01</v>
          </cell>
          <cell r="M2202" t="str">
            <v>Delima, Toko/Nurhasan</v>
          </cell>
          <cell r="N2202" t="str">
            <v>Nur Hasan</v>
          </cell>
          <cell r="O2202" t="str">
            <v>Jl. KH. Ahmad Dahlan 32 RT 02/ RW 01 Kebonsari Wetan, Mayangan</v>
          </cell>
          <cell r="P2202" t="str">
            <v>Probolinggo</v>
          </cell>
          <cell r="Q2202" t="str">
            <v>Jl. KH. Ahmad Dahlan 32 RT 02/ RW 01 Kebonsari Wetan, Mayangan</v>
          </cell>
          <cell r="R2202" t="str">
            <v>Probolinggo</v>
          </cell>
          <cell r="S2202" t="str">
            <v>G Prob1</v>
          </cell>
          <cell r="T2202" t="str">
            <v>Wira</v>
          </cell>
          <cell r="U2202">
            <v>30</v>
          </cell>
        </row>
        <row r="2203">
          <cell r="E2203" t="str">
            <v>B25012806</v>
          </cell>
          <cell r="F2203"/>
          <cell r="G2203">
            <v>2000000000</v>
          </cell>
          <cell r="H2203" t="str">
            <v>Ariyani</v>
          </cell>
          <cell r="I2203" t="str">
            <v>Fira</v>
          </cell>
          <cell r="J2203"/>
          <cell r="K2203" t="str">
            <v>KU</v>
          </cell>
          <cell r="L2203" t="str">
            <v>DELI01</v>
          </cell>
          <cell r="M2203" t="str">
            <v>Delima, Toko/Nurhasan</v>
          </cell>
          <cell r="N2203" t="str">
            <v>Nur Hasan</v>
          </cell>
          <cell r="O2203" t="str">
            <v>Jl. KH. Ahmad Dahlan 32 RT 02/ RW 01 Kebonsari Wetan, Mayangan</v>
          </cell>
          <cell r="P2203" t="str">
            <v>Probolinggo</v>
          </cell>
          <cell r="Q2203" t="str">
            <v>Jl. KH. Ahmad Dahlan 32 RT 02/ RW 01 Kebonsari Wetan, Mayangan</v>
          </cell>
          <cell r="R2203" t="str">
            <v>Probolinggo</v>
          </cell>
          <cell r="S2203" t="str">
            <v>G Prob1</v>
          </cell>
          <cell r="T2203" t="str">
            <v>Wira</v>
          </cell>
          <cell r="U2203">
            <v>30</v>
          </cell>
        </row>
        <row r="2204">
          <cell r="E2204" t="str">
            <v>D25015200</v>
          </cell>
          <cell r="F2204"/>
          <cell r="G2204">
            <v>2000000000</v>
          </cell>
          <cell r="H2204" t="str">
            <v>Ariyani</v>
          </cell>
          <cell r="I2204" t="str">
            <v>Fira</v>
          </cell>
          <cell r="J2204"/>
          <cell r="K2204" t="str">
            <v>KU</v>
          </cell>
          <cell r="L2204" t="str">
            <v>DELI01</v>
          </cell>
          <cell r="M2204" t="str">
            <v>Delima, Toko/Nurhasan</v>
          </cell>
          <cell r="N2204" t="str">
            <v>Nur Hasan</v>
          </cell>
          <cell r="O2204" t="str">
            <v>Jl. KH. Ahmad Dahlan 32 RT 02/ RW 01 Kebonsari Wetan, Mayangan</v>
          </cell>
          <cell r="P2204" t="str">
            <v>Probolinggo</v>
          </cell>
          <cell r="Q2204" t="str">
            <v>Jl. KH. Ahmad Dahlan 32 RT 02/ RW 01 Kebonsari Wetan, Mayangan</v>
          </cell>
          <cell r="R2204" t="str">
            <v>Probolinggo</v>
          </cell>
          <cell r="S2204" t="str">
            <v>G Prob1</v>
          </cell>
          <cell r="T2204" t="str">
            <v>Wira</v>
          </cell>
          <cell r="U2204">
            <v>30</v>
          </cell>
        </row>
        <row r="2205">
          <cell r="E2205" t="str">
            <v>B25012930</v>
          </cell>
          <cell r="F2205"/>
          <cell r="G2205">
            <v>2000000000</v>
          </cell>
          <cell r="H2205" t="str">
            <v>Ariyani</v>
          </cell>
          <cell r="I2205" t="str">
            <v>Fira</v>
          </cell>
          <cell r="J2205"/>
          <cell r="K2205" t="str">
            <v>KU</v>
          </cell>
          <cell r="L2205" t="str">
            <v>DELI01</v>
          </cell>
          <cell r="M2205" t="str">
            <v>Delima, Toko/Nurhasan</v>
          </cell>
          <cell r="N2205" t="str">
            <v>Nur Hasan</v>
          </cell>
          <cell r="O2205" t="str">
            <v>Jl. KH. Ahmad Dahlan 32 RT 02/ RW 01 Kebonsari Wetan, Mayangan</v>
          </cell>
          <cell r="P2205" t="str">
            <v>Probolinggo</v>
          </cell>
          <cell r="Q2205" t="str">
            <v>Jl. KH. Ahmad Dahlan 32 RT 02/ RW 01 Kebonsari Wetan, Mayangan</v>
          </cell>
          <cell r="R2205" t="str">
            <v>Probolinggo</v>
          </cell>
          <cell r="S2205" t="str">
            <v>G Prob1</v>
          </cell>
          <cell r="T2205" t="str">
            <v>Wira</v>
          </cell>
          <cell r="U2205">
            <v>30</v>
          </cell>
        </row>
        <row r="2206">
          <cell r="E2206" t="str">
            <v>B25013037</v>
          </cell>
          <cell r="F2206"/>
          <cell r="G2206">
            <v>2000000000</v>
          </cell>
          <cell r="H2206" t="str">
            <v>Ariyani</v>
          </cell>
          <cell r="I2206" t="str">
            <v>Fira</v>
          </cell>
          <cell r="J2206"/>
          <cell r="K2206" t="str">
            <v>KU</v>
          </cell>
          <cell r="L2206" t="str">
            <v>DELI01</v>
          </cell>
          <cell r="M2206" t="str">
            <v>Delima, Toko/Nurhasan</v>
          </cell>
          <cell r="N2206" t="str">
            <v>Nur Hasan</v>
          </cell>
          <cell r="O2206" t="str">
            <v>Jl. KH. Ahmad Dahlan 32 RT 02/ RW 01 Kebonsari Wetan, Mayangan</v>
          </cell>
          <cell r="P2206" t="str">
            <v>Probolinggo</v>
          </cell>
          <cell r="Q2206" t="str">
            <v>Jl. KH. Ahmad Dahlan 32 RT 02/ RW 01 Kebonsari Wetan, Mayangan</v>
          </cell>
          <cell r="R2206" t="str">
            <v>Probolinggo</v>
          </cell>
          <cell r="S2206" t="str">
            <v>G Prob1</v>
          </cell>
          <cell r="T2206" t="str">
            <v>Wira</v>
          </cell>
          <cell r="U2206">
            <v>30</v>
          </cell>
        </row>
        <row r="2207">
          <cell r="E2207" t="str">
            <v>B25013038</v>
          </cell>
          <cell r="F2207"/>
          <cell r="G2207">
            <v>2000000000</v>
          </cell>
          <cell r="H2207" t="str">
            <v>Ariyani</v>
          </cell>
          <cell r="I2207" t="str">
            <v>Fira</v>
          </cell>
          <cell r="J2207"/>
          <cell r="K2207" t="str">
            <v>KU</v>
          </cell>
          <cell r="L2207" t="str">
            <v>DELI01</v>
          </cell>
          <cell r="M2207" t="str">
            <v>Delima, Toko/Nurhasan</v>
          </cell>
          <cell r="N2207" t="str">
            <v>Nur Hasan</v>
          </cell>
          <cell r="O2207" t="str">
            <v>Jl. KH. Ahmad Dahlan 32 RT 02/ RW 01 Kebonsari Wetan, Mayangan</v>
          </cell>
          <cell r="P2207" t="str">
            <v>Probolinggo</v>
          </cell>
          <cell r="Q2207" t="str">
            <v>Jl. KH. Ahmad Dahlan 32 RT 02/ RW 01 Kebonsari Wetan, Mayangan</v>
          </cell>
          <cell r="R2207" t="str">
            <v>Probolinggo</v>
          </cell>
          <cell r="S2207" t="str">
            <v>G Prob1</v>
          </cell>
          <cell r="T2207" t="str">
            <v>Wira</v>
          </cell>
          <cell r="U2207">
            <v>0</v>
          </cell>
        </row>
        <row r="2208">
          <cell r="E2208" t="str">
            <v>Z25002614</v>
          </cell>
          <cell r="F2208"/>
          <cell r="G2208">
            <v>2000000000</v>
          </cell>
          <cell r="H2208" t="str">
            <v>Ariyani</v>
          </cell>
          <cell r="I2208" t="str">
            <v>Fira</v>
          </cell>
          <cell r="J2208"/>
          <cell r="K2208" t="str">
            <v>KU</v>
          </cell>
          <cell r="L2208" t="str">
            <v>DELI01</v>
          </cell>
          <cell r="M2208" t="str">
            <v>Delima, Toko/Nurhasan</v>
          </cell>
          <cell r="N2208" t="str">
            <v>Nur Hasan</v>
          </cell>
          <cell r="O2208" t="str">
            <v>Jl. KH. Ahmad Dahlan 32 RT 02/ RW 01 Kebonsari Wetan, Mayangan</v>
          </cell>
          <cell r="P2208" t="str">
            <v>Probolinggo</v>
          </cell>
          <cell r="Q2208" t="str">
            <v>Jl. KH. Ahmad Dahlan 32 RT 02/ RW 01 Kebonsari Wetan, Mayangan</v>
          </cell>
          <cell r="R2208" t="str">
            <v>Probolinggo</v>
          </cell>
          <cell r="S2208" t="str">
            <v>G Prob1</v>
          </cell>
          <cell r="T2208" t="str">
            <v>Wira</v>
          </cell>
          <cell r="U2208">
            <v>30</v>
          </cell>
        </row>
        <row r="2209">
          <cell r="E2209" t="str">
            <v>B25013040</v>
          </cell>
          <cell r="F2209"/>
          <cell r="G2209">
            <v>2000000000</v>
          </cell>
          <cell r="H2209" t="str">
            <v>Ariyani</v>
          </cell>
          <cell r="I2209" t="str">
            <v>Fira</v>
          </cell>
          <cell r="J2209"/>
          <cell r="K2209" t="str">
            <v>KU</v>
          </cell>
          <cell r="L2209" t="str">
            <v>DELI01</v>
          </cell>
          <cell r="M2209" t="str">
            <v>Delima, Toko/Nurhasan</v>
          </cell>
          <cell r="N2209" t="str">
            <v>Nur Hasan</v>
          </cell>
          <cell r="O2209" t="str">
            <v>Jl. KH. Ahmad Dahlan 32 RT 02/ RW 01 Kebonsari Wetan, Mayangan</v>
          </cell>
          <cell r="P2209" t="str">
            <v>Probolinggo</v>
          </cell>
          <cell r="Q2209" t="str">
            <v>Jl. KH. Ahmad Dahlan 32 RT 02/ RW 01 Kebonsari Wetan, Mayangan</v>
          </cell>
          <cell r="R2209" t="str">
            <v>Probolinggo</v>
          </cell>
          <cell r="S2209" t="str">
            <v>G Prob1</v>
          </cell>
          <cell r="T2209" t="str">
            <v>Wira</v>
          </cell>
          <cell r="U2209">
            <v>30</v>
          </cell>
        </row>
        <row r="2210">
          <cell r="E2210" t="str">
            <v>D25015363</v>
          </cell>
          <cell r="F2210"/>
          <cell r="G2210">
            <v>2000000000</v>
          </cell>
          <cell r="H2210" t="str">
            <v>Ariyani</v>
          </cell>
          <cell r="I2210" t="str">
            <v>Fira</v>
          </cell>
          <cell r="J2210"/>
          <cell r="K2210" t="str">
            <v>KU</v>
          </cell>
          <cell r="L2210" t="str">
            <v>DELI01</v>
          </cell>
          <cell r="M2210" t="str">
            <v>Delima, Toko/Nurhasan</v>
          </cell>
          <cell r="N2210" t="str">
            <v>Nur Hasan</v>
          </cell>
          <cell r="O2210" t="str">
            <v>Jl. KH. Ahmad Dahlan 32 RT 02/ RW 01 Kebonsari Wetan, Mayangan</v>
          </cell>
          <cell r="P2210" t="str">
            <v>Probolinggo</v>
          </cell>
          <cell r="Q2210" t="str">
            <v>Jl. KH. Ahmad Dahlan 32 RT 02/ RW 01 Kebonsari Wetan, Mayangan</v>
          </cell>
          <cell r="R2210" t="str">
            <v>Probolinggo</v>
          </cell>
          <cell r="S2210" t="str">
            <v>G Prob1</v>
          </cell>
          <cell r="T2210" t="str">
            <v>Wira</v>
          </cell>
          <cell r="U2210">
            <v>0</v>
          </cell>
        </row>
        <row r="2211">
          <cell r="E2211" t="str">
            <v>Z25002619</v>
          </cell>
          <cell r="F2211"/>
          <cell r="G2211">
            <v>2000000000</v>
          </cell>
          <cell r="H2211" t="str">
            <v>Ariyani</v>
          </cell>
          <cell r="I2211" t="str">
            <v>Fira</v>
          </cell>
          <cell r="J2211"/>
          <cell r="K2211" t="str">
            <v>KU</v>
          </cell>
          <cell r="L2211" t="str">
            <v>DELI01</v>
          </cell>
          <cell r="M2211" t="str">
            <v>Delima, Toko/Nurhasan</v>
          </cell>
          <cell r="N2211" t="str">
            <v>Nur Hasan</v>
          </cell>
          <cell r="O2211" t="str">
            <v>Jl. KH. Ahmad Dahlan 32 RT 02/ RW 01 Kebonsari Wetan, Mayangan</v>
          </cell>
          <cell r="P2211" t="str">
            <v>Probolinggo</v>
          </cell>
          <cell r="Q2211" t="str">
            <v>Jl. KH. Ahmad Dahlan 32 RT 02/ RW 01 Kebonsari Wetan, Mayangan</v>
          </cell>
          <cell r="R2211" t="str">
            <v>Probolinggo</v>
          </cell>
          <cell r="S2211" t="str">
            <v>G Prob1</v>
          </cell>
          <cell r="T2211" t="str">
            <v>Wira</v>
          </cell>
          <cell r="U2211">
            <v>30</v>
          </cell>
        </row>
        <row r="2212">
          <cell r="E2212" t="str">
            <v>Z25002645</v>
          </cell>
          <cell r="F2212"/>
          <cell r="G2212">
            <v>2000000000</v>
          </cell>
          <cell r="H2212" t="str">
            <v>Ariyani</v>
          </cell>
          <cell r="I2212" t="str">
            <v>Fira</v>
          </cell>
          <cell r="J2212"/>
          <cell r="K2212" t="str">
            <v>KU</v>
          </cell>
          <cell r="L2212" t="str">
            <v>DELI01</v>
          </cell>
          <cell r="M2212" t="str">
            <v>Delima, Toko/Nurhasan</v>
          </cell>
          <cell r="N2212" t="str">
            <v>Nur Hasan</v>
          </cell>
          <cell r="O2212" t="str">
            <v>Jl. KH. Ahmad Dahlan 32 RT 02/ RW 01 Kebonsari Wetan, Mayangan</v>
          </cell>
          <cell r="P2212" t="str">
            <v>Probolinggo</v>
          </cell>
          <cell r="Q2212" t="str">
            <v>Jl. KH. Ahmad Dahlan 32 RT 02/ RW 01 Kebonsari Wetan, Mayangan</v>
          </cell>
          <cell r="R2212" t="str">
            <v>Probolinggo</v>
          </cell>
          <cell r="S2212" t="str">
            <v>G Prob1</v>
          </cell>
          <cell r="T2212" t="str">
            <v>Wira</v>
          </cell>
          <cell r="U2212">
            <v>30</v>
          </cell>
        </row>
        <row r="2213">
          <cell r="E2213" t="str">
            <v>B25013320</v>
          </cell>
          <cell r="F2213"/>
          <cell r="G2213">
            <v>2000000000</v>
          </cell>
          <cell r="H2213" t="str">
            <v>Ariyani</v>
          </cell>
          <cell r="I2213" t="str">
            <v>Fira</v>
          </cell>
          <cell r="J2213"/>
          <cell r="K2213" t="str">
            <v>KU</v>
          </cell>
          <cell r="L2213" t="str">
            <v>DELI01</v>
          </cell>
          <cell r="M2213" t="str">
            <v>Delima, Toko/Nurhasan</v>
          </cell>
          <cell r="N2213" t="str">
            <v>Nur Hasan</v>
          </cell>
          <cell r="O2213" t="str">
            <v>Jl. KH. Ahmad Dahlan 32 RT 02/ RW 01 Kebonsari Wetan, Mayangan</v>
          </cell>
          <cell r="P2213" t="str">
            <v>Probolinggo</v>
          </cell>
          <cell r="Q2213" t="str">
            <v>Jl. KH. Ahmad Dahlan 32 RT 02/ RW 01 Kebonsari Wetan, Mayangan</v>
          </cell>
          <cell r="R2213" t="str">
            <v>Probolinggo</v>
          </cell>
          <cell r="S2213" t="str">
            <v>G Prob1</v>
          </cell>
          <cell r="T2213" t="str">
            <v>Wira</v>
          </cell>
          <cell r="U2213">
            <v>30</v>
          </cell>
        </row>
        <row r="2214">
          <cell r="E2214" t="str">
            <v>B25013500</v>
          </cell>
          <cell r="F2214"/>
          <cell r="G2214">
            <v>2000000000</v>
          </cell>
          <cell r="H2214" t="str">
            <v>Ariyani</v>
          </cell>
          <cell r="I2214" t="str">
            <v>Fira</v>
          </cell>
          <cell r="J2214"/>
          <cell r="K2214" t="str">
            <v>KU</v>
          </cell>
          <cell r="L2214" t="str">
            <v>DELI01</v>
          </cell>
          <cell r="M2214" t="str">
            <v>Delima, Toko/Nurhasan</v>
          </cell>
          <cell r="N2214" t="str">
            <v>Nur Hasan</v>
          </cell>
          <cell r="O2214" t="str">
            <v>Jl. KH. Ahmad Dahlan 32 RT 02/ RW 01 Kebonsari Wetan, Mayangan</v>
          </cell>
          <cell r="P2214" t="str">
            <v>Probolinggo</v>
          </cell>
          <cell r="Q2214" t="str">
            <v>Jl. KH. Ahmad Dahlan 32 RT 02/ RW 01 Kebonsari Wetan, Mayangan</v>
          </cell>
          <cell r="R2214" t="str">
            <v>Probolinggo</v>
          </cell>
          <cell r="S2214" t="str">
            <v>G Prob1</v>
          </cell>
          <cell r="T2214" t="str">
            <v>Wira</v>
          </cell>
          <cell r="U2214">
            <v>30</v>
          </cell>
        </row>
        <row r="2215">
          <cell r="E2215" t="str">
            <v>B25013528</v>
          </cell>
          <cell r="F2215"/>
          <cell r="G2215">
            <v>2000000000</v>
          </cell>
          <cell r="H2215" t="str">
            <v>Ariyani</v>
          </cell>
          <cell r="I2215" t="str">
            <v>Fira</v>
          </cell>
          <cell r="J2215"/>
          <cell r="K2215" t="str">
            <v>KU</v>
          </cell>
          <cell r="L2215" t="str">
            <v>DELI01</v>
          </cell>
          <cell r="M2215" t="str">
            <v>Delima, Toko/Nurhasan</v>
          </cell>
          <cell r="N2215" t="str">
            <v>Nur Hasan</v>
          </cell>
          <cell r="O2215" t="str">
            <v>Jl. KH. Ahmad Dahlan 32 RT 02/ RW 01 Kebonsari Wetan, Mayangan</v>
          </cell>
          <cell r="P2215" t="str">
            <v>Probolinggo</v>
          </cell>
          <cell r="Q2215" t="str">
            <v>Jl. KH. Ahmad Dahlan 32 RT 02/ RW 01 Kebonsari Wetan, Mayangan</v>
          </cell>
          <cell r="R2215" t="str">
            <v>Probolinggo</v>
          </cell>
          <cell r="S2215" t="str">
            <v>G Prob1</v>
          </cell>
          <cell r="T2215" t="str">
            <v>Wira</v>
          </cell>
          <cell r="U2215">
            <v>30</v>
          </cell>
        </row>
        <row r="2216">
          <cell r="E2216" t="str">
            <v>D25015838</v>
          </cell>
          <cell r="F2216"/>
          <cell r="G2216">
            <v>2000000000</v>
          </cell>
          <cell r="H2216" t="str">
            <v>Ariyani</v>
          </cell>
          <cell r="I2216" t="str">
            <v>Fira</v>
          </cell>
          <cell r="J2216"/>
          <cell r="K2216" t="str">
            <v>KU</v>
          </cell>
          <cell r="L2216" t="str">
            <v>DELI01</v>
          </cell>
          <cell r="M2216" t="str">
            <v>Delima, Toko/Nurhasan</v>
          </cell>
          <cell r="N2216" t="str">
            <v>Nur Hasan</v>
          </cell>
          <cell r="O2216" t="str">
            <v>Jl. KH. Ahmad Dahlan 32 RT 02/ RW 01 Kebonsari Wetan, Mayangan</v>
          </cell>
          <cell r="P2216" t="str">
            <v>Probolinggo</v>
          </cell>
          <cell r="Q2216" t="str">
            <v>Jl. KH. Ahmad Dahlan 32 RT 02/ RW 01 Kebonsari Wetan, Mayangan</v>
          </cell>
          <cell r="R2216" t="str">
            <v>Probolinggo</v>
          </cell>
          <cell r="S2216" t="str">
            <v>G Prob1</v>
          </cell>
          <cell r="T2216" t="str">
            <v>Wira</v>
          </cell>
          <cell r="U2216">
            <v>30</v>
          </cell>
        </row>
        <row r="2217">
          <cell r="E2217" t="str">
            <v>B25013608</v>
          </cell>
          <cell r="F2217"/>
          <cell r="G2217">
            <v>2000000000</v>
          </cell>
          <cell r="H2217" t="str">
            <v>Ariyani</v>
          </cell>
          <cell r="I2217" t="str">
            <v>Fira</v>
          </cell>
          <cell r="J2217"/>
          <cell r="K2217" t="str">
            <v>KU</v>
          </cell>
          <cell r="L2217" t="str">
            <v>DELI01</v>
          </cell>
          <cell r="M2217" t="str">
            <v>Delima, Toko/Nurhasan</v>
          </cell>
          <cell r="N2217" t="str">
            <v>Nur Hasan</v>
          </cell>
          <cell r="O2217" t="str">
            <v>Jl. KH. Ahmad Dahlan 32 RT 02/ RW 01 Kebonsari Wetan, Mayangan</v>
          </cell>
          <cell r="P2217" t="str">
            <v>Probolinggo</v>
          </cell>
          <cell r="Q2217" t="str">
            <v>Jl. KH. Ahmad Dahlan 32 RT 02/ RW 01 Kebonsari Wetan, Mayangan</v>
          </cell>
          <cell r="R2217" t="str">
            <v>Probolinggo</v>
          </cell>
          <cell r="S2217" t="str">
            <v>G Prob1</v>
          </cell>
          <cell r="T2217" t="str">
            <v>Wira</v>
          </cell>
          <cell r="U2217">
            <v>30</v>
          </cell>
        </row>
        <row r="2218">
          <cell r="E2218" t="str">
            <v>B25013845</v>
          </cell>
          <cell r="F2218"/>
          <cell r="G2218">
            <v>2000000000</v>
          </cell>
          <cell r="H2218" t="str">
            <v>Ariyani</v>
          </cell>
          <cell r="I2218" t="str">
            <v>Fira</v>
          </cell>
          <cell r="J2218"/>
          <cell r="K2218" t="str">
            <v>KU</v>
          </cell>
          <cell r="L2218" t="str">
            <v>DELI01</v>
          </cell>
          <cell r="M2218" t="str">
            <v>Delima, Toko/Nurhasan</v>
          </cell>
          <cell r="N2218" t="str">
            <v>Nur Hasan</v>
          </cell>
          <cell r="O2218" t="str">
            <v>Jl. KH. Ahmad Dahlan 32 RT 02/ RW 01 Kebonsari Wetan, Mayangan</v>
          </cell>
          <cell r="P2218" t="str">
            <v>Probolinggo</v>
          </cell>
          <cell r="Q2218" t="str">
            <v>Jl. KH. Ahmad Dahlan 32 RT 02/ RW 01 Kebonsari Wetan, Mayangan</v>
          </cell>
          <cell r="R2218" t="str">
            <v>Probolinggo</v>
          </cell>
          <cell r="S2218" t="str">
            <v>G Prob1</v>
          </cell>
          <cell r="T2218" t="str">
            <v>Wira</v>
          </cell>
          <cell r="U2218">
            <v>0</v>
          </cell>
        </row>
        <row r="2219">
          <cell r="E2219" t="str">
            <v>B25013939</v>
          </cell>
          <cell r="F2219"/>
          <cell r="G2219">
            <v>2000000000</v>
          </cell>
          <cell r="H2219" t="str">
            <v>Ariyani</v>
          </cell>
          <cell r="I2219" t="str">
            <v>Fira</v>
          </cell>
          <cell r="J2219"/>
          <cell r="K2219" t="str">
            <v>KU</v>
          </cell>
          <cell r="L2219" t="str">
            <v>DELI01</v>
          </cell>
          <cell r="M2219" t="str">
            <v>Delima, Toko/Nurhasan</v>
          </cell>
          <cell r="N2219" t="str">
            <v>Nur Hasan</v>
          </cell>
          <cell r="O2219" t="str">
            <v>Jl. KH. Ahmad Dahlan 32 RT 02/ RW 01 Kebonsari Wetan, Mayangan</v>
          </cell>
          <cell r="P2219" t="str">
            <v>Probolinggo</v>
          </cell>
          <cell r="Q2219" t="str">
            <v>Jl. KH. Ahmad Dahlan 32 RT 02/ RW 01 Kebonsari Wetan, Mayangan</v>
          </cell>
          <cell r="R2219" t="str">
            <v>Probolinggo</v>
          </cell>
          <cell r="S2219" t="str">
            <v>G Prob1</v>
          </cell>
          <cell r="T2219" t="str">
            <v>Wira</v>
          </cell>
          <cell r="U2219">
            <v>30</v>
          </cell>
        </row>
        <row r="2220">
          <cell r="E2220" t="str">
            <v>B25014048</v>
          </cell>
          <cell r="F2220"/>
          <cell r="G2220">
            <v>2000000000</v>
          </cell>
          <cell r="H2220" t="str">
            <v>Ariyani</v>
          </cell>
          <cell r="I2220" t="str">
            <v>Fira</v>
          </cell>
          <cell r="J2220"/>
          <cell r="K2220" t="str">
            <v>KU</v>
          </cell>
          <cell r="L2220" t="str">
            <v>DELI01</v>
          </cell>
          <cell r="M2220" t="str">
            <v>Delima, Toko/Nurhasan</v>
          </cell>
          <cell r="N2220" t="str">
            <v>Nur Hasan</v>
          </cell>
          <cell r="O2220" t="str">
            <v>Jl. KH. Ahmad Dahlan 32 RT 02/ RW 01 Kebonsari Wetan, Mayangan</v>
          </cell>
          <cell r="P2220" t="str">
            <v>Probolinggo</v>
          </cell>
          <cell r="Q2220" t="str">
            <v>Jl. KH. Ahmad Dahlan 32 RT 02/ RW 01 Kebonsari Wetan, Mayangan</v>
          </cell>
          <cell r="R2220" t="str">
            <v>Probolinggo</v>
          </cell>
          <cell r="S2220" t="str">
            <v>G Prob1</v>
          </cell>
          <cell r="T2220" t="str">
            <v>Wira</v>
          </cell>
          <cell r="U2220">
            <v>30</v>
          </cell>
        </row>
        <row r="2221">
          <cell r="E2221" t="str">
            <v>D25016379</v>
          </cell>
          <cell r="F2221"/>
          <cell r="G2221">
            <v>2000000000</v>
          </cell>
          <cell r="H2221" t="str">
            <v>Ariyani</v>
          </cell>
          <cell r="I2221" t="str">
            <v>Fira</v>
          </cell>
          <cell r="J2221"/>
          <cell r="K2221" t="str">
            <v>KU</v>
          </cell>
          <cell r="L2221" t="str">
            <v>DELI01</v>
          </cell>
          <cell r="M2221" t="str">
            <v>Delima, Toko/Nurhasan</v>
          </cell>
          <cell r="N2221" t="str">
            <v>Nur Hasan</v>
          </cell>
          <cell r="O2221" t="str">
            <v>Jl. KH. Ahmad Dahlan 32 RT 02/ RW 01 Kebonsari Wetan, Mayangan</v>
          </cell>
          <cell r="P2221" t="str">
            <v>Probolinggo</v>
          </cell>
          <cell r="Q2221" t="str">
            <v>Jl. KH. Ahmad Dahlan 32 RT 02/ RW 01 Kebonsari Wetan, Mayangan</v>
          </cell>
          <cell r="R2221" t="str">
            <v>Probolinggo</v>
          </cell>
          <cell r="S2221" t="str">
            <v>G Prob1</v>
          </cell>
          <cell r="T2221" t="str">
            <v>Wira</v>
          </cell>
          <cell r="U2221">
            <v>30</v>
          </cell>
        </row>
        <row r="2222">
          <cell r="E2222" t="str">
            <v>Z250045</v>
          </cell>
          <cell r="F2222"/>
          <cell r="G2222">
            <v>2000000000</v>
          </cell>
          <cell r="H2222" t="str">
            <v>Ariyani</v>
          </cell>
          <cell r="I2222" t="str">
            <v>Fira</v>
          </cell>
          <cell r="J2222"/>
          <cell r="K2222" t="str">
            <v>KU</v>
          </cell>
          <cell r="L2222" t="str">
            <v>DELI01</v>
          </cell>
          <cell r="M2222" t="str">
            <v>Delima, Toko/Nurhasan</v>
          </cell>
          <cell r="N2222" t="str">
            <v>Nur Hasan</v>
          </cell>
          <cell r="O2222" t="str">
            <v>Jl. KH. Ahmad Dahlan 32 RT 02/ RW 01 Kebonsari Wetan, Mayangan</v>
          </cell>
          <cell r="P2222" t="str">
            <v>Probolinggo</v>
          </cell>
          <cell r="Q2222" t="str">
            <v>Jl. KH. Ahmad Dahlan 32 RT 02/ RW 01 Kebonsari Wetan, Mayangan</v>
          </cell>
          <cell r="R2222" t="str">
            <v>Probolinggo</v>
          </cell>
          <cell r="S2222" t="str">
            <v>G Prob1</v>
          </cell>
          <cell r="T2222" t="str">
            <v>Wira</v>
          </cell>
          <cell r="U2222">
            <v>30</v>
          </cell>
        </row>
        <row r="2223">
          <cell r="E2223" t="str">
            <v>Z25001722</v>
          </cell>
          <cell r="F2223"/>
          <cell r="G2223">
            <v>250000000</v>
          </cell>
          <cell r="H2223" t="str">
            <v>Yuyun</v>
          </cell>
          <cell r="I2223" t="str">
            <v>Syahra</v>
          </cell>
          <cell r="J2223"/>
          <cell r="K2223" t="str">
            <v>KU</v>
          </cell>
          <cell r="L2223" t="str">
            <v>DENI02</v>
          </cell>
          <cell r="M2223" t="str">
            <v>Deni/Bisi</v>
          </cell>
          <cell r="N2223" t="str">
            <v>Deni Yulianto</v>
          </cell>
          <cell r="O2223" t="str">
            <v>Jl. Budi Utomo RT.003 RW.003 Ronowijayan, Siman</v>
          </cell>
          <cell r="P2223" t="str">
            <v>Ponorogo</v>
          </cell>
          <cell r="Q2223" t="str">
            <v>Jember</v>
          </cell>
          <cell r="R2223" t="str">
            <v>Jember</v>
          </cell>
          <cell r="S2223" t="str">
            <v>B Agronomis</v>
          </cell>
          <cell r="T2223" t="str">
            <v>Wira</v>
          </cell>
          <cell r="U2223">
            <v>90</v>
          </cell>
        </row>
        <row r="2224">
          <cell r="E2224" t="str">
            <v>D25013640</v>
          </cell>
          <cell r="F2224"/>
          <cell r="G2224">
            <v>10000000</v>
          </cell>
          <cell r="H2224" t="str">
            <v>Faris</v>
          </cell>
          <cell r="I2224" t="str">
            <v>Syahra</v>
          </cell>
          <cell r="J2224" t="str">
            <v>New 30/11/24</v>
          </cell>
          <cell r="K2224" t="str">
            <v>CBD</v>
          </cell>
          <cell r="L2224" t="str">
            <v>DEWI19</v>
          </cell>
          <cell r="M2224" t="str">
            <v>Dewi Anjani/Wulan</v>
          </cell>
          <cell r="N2224" t="str">
            <v>Wulan Ayu Andarweni</v>
          </cell>
          <cell r="O2224" t="str">
            <v>Dsn Tegal Rejo rt.006/RW.002, Kel. Tulungrejo, Kec. Glenmore</v>
          </cell>
          <cell r="P2224" t="str">
            <v>Banyuwangi</v>
          </cell>
          <cell r="Q2224" t="str">
            <v>Dsn Tegal Rejo rt.006/RW.002, Kel. Tulungrejo, Kec. Glenmore</v>
          </cell>
          <cell r="R2224" t="str">
            <v>Banyuwangi</v>
          </cell>
          <cell r="S2224" t="str">
            <v>H Bwi1</v>
          </cell>
          <cell r="T2224" t="str">
            <v>Hafid</v>
          </cell>
          <cell r="U2224">
            <v>30</v>
          </cell>
        </row>
        <row r="2225">
          <cell r="E2225" t="str">
            <v>B25013154</v>
          </cell>
          <cell r="F2225"/>
          <cell r="G2225">
            <v>10000000</v>
          </cell>
          <cell r="H2225" t="str">
            <v>Faris</v>
          </cell>
          <cell r="I2225" t="str">
            <v>Syahra</v>
          </cell>
          <cell r="J2225" t="str">
            <v>New 30/11/24</v>
          </cell>
          <cell r="K2225" t="str">
            <v>CBD</v>
          </cell>
          <cell r="L2225" t="str">
            <v>DEWI19</v>
          </cell>
          <cell r="M2225" t="str">
            <v>Dewi Anjani/Wulan</v>
          </cell>
          <cell r="N2225" t="str">
            <v>Wulan Ayu Andarweni</v>
          </cell>
          <cell r="O2225" t="str">
            <v>Dsn Tegal Rejo rt.006/RW.002, Kel. Tulungrejo, Kec. Glenmore</v>
          </cell>
          <cell r="P2225" t="str">
            <v>Banyuwangi</v>
          </cell>
          <cell r="Q2225" t="str">
            <v>Dsn Tegal Rejo rt.006/RW.002, Kel. Tulungrejo, Kec. Glenmore</v>
          </cell>
          <cell r="R2225" t="str">
            <v>Banyuwangi</v>
          </cell>
          <cell r="S2225" t="str">
            <v>H Bwi1</v>
          </cell>
          <cell r="T2225" t="str">
            <v>Hafid</v>
          </cell>
          <cell r="U2225">
            <v>30</v>
          </cell>
        </row>
        <row r="2226">
          <cell r="E2226" t="str">
            <v>D25015457</v>
          </cell>
          <cell r="F2226"/>
          <cell r="G2226">
            <v>10000000</v>
          </cell>
          <cell r="H2226" t="str">
            <v>Faris</v>
          </cell>
          <cell r="I2226" t="str">
            <v>Syahra</v>
          </cell>
          <cell r="J2226" t="str">
            <v>New 30/11/24</v>
          </cell>
          <cell r="K2226" t="str">
            <v>CBD</v>
          </cell>
          <cell r="L2226" t="str">
            <v>DEWI19</v>
          </cell>
          <cell r="M2226" t="str">
            <v>Dewi Anjani/Wulan</v>
          </cell>
          <cell r="N2226" t="str">
            <v>Wulan Ayu Andarweni</v>
          </cell>
          <cell r="O2226" t="str">
            <v>Dsn Tegal Rejo rt.006/RW.002, Kel. Tulungrejo, Kec. Glenmore</v>
          </cell>
          <cell r="P2226" t="str">
            <v>Banyuwangi</v>
          </cell>
          <cell r="Q2226" t="str">
            <v>Dsn Tegal Rejo rt.006/RW.002, Kel. Tulungrejo, Kec. Glenmore</v>
          </cell>
          <cell r="R2226" t="str">
            <v>Banyuwangi</v>
          </cell>
          <cell r="S2226" t="str">
            <v>H Bwi1</v>
          </cell>
          <cell r="T2226" t="str">
            <v>Hafid</v>
          </cell>
          <cell r="U2226">
            <v>30</v>
          </cell>
        </row>
        <row r="2227">
          <cell r="E2227" t="str">
            <v>B25012363</v>
          </cell>
          <cell r="F2227"/>
          <cell r="G2227">
            <v>1000</v>
          </cell>
          <cell r="H2227" t="str">
            <v>Reni</v>
          </cell>
          <cell r="I2227" t="str">
            <v>Farida</v>
          </cell>
          <cell r="J2227" t="str">
            <v>New 05/09/24</v>
          </cell>
          <cell r="K2227" t="str">
            <v>CBD</v>
          </cell>
          <cell r="L2227" t="str">
            <v>DEWI18</v>
          </cell>
          <cell r="M2227" t="str">
            <v>Dewi Sri/Sri</v>
          </cell>
          <cell r="N2227" t="str">
            <v>Sri Rahayu</v>
          </cell>
          <cell r="O2227" t="str">
            <v>Jl. Pandean 2 RT.002/RW.001, Kel. Rejosari, Kec. Kawedanan</v>
          </cell>
          <cell r="P2227" t="str">
            <v>Magetan</v>
          </cell>
          <cell r="Q2227" t="str">
            <v>Pandean, Kel. Pupus, Kec. Lambeyan</v>
          </cell>
          <cell r="R2227" t="str">
            <v>Magetan</v>
          </cell>
          <cell r="S2227" t="str">
            <v>D Barat1</v>
          </cell>
          <cell r="T2227" t="str">
            <v>Dian</v>
          </cell>
          <cell r="U2227">
            <v>0</v>
          </cell>
        </row>
        <row r="2228">
          <cell r="E2228" t="str">
            <v>B25013972</v>
          </cell>
          <cell r="F2228"/>
          <cell r="G2228">
            <v>200000000</v>
          </cell>
          <cell r="H2228" t="str">
            <v>Reni</v>
          </cell>
          <cell r="I2228" t="str">
            <v>Fira</v>
          </cell>
          <cell r="J2228" t="str">
            <v>New 22/01/20</v>
          </cell>
          <cell r="K2228" t="str">
            <v>KU, Tunai</v>
          </cell>
          <cell r="L2228" t="str">
            <v>DEWI07</v>
          </cell>
          <cell r="M2228" t="str">
            <v>Dewi Tani/Gunasri</v>
          </cell>
          <cell r="N2228" t="str">
            <v>Gunasri</v>
          </cell>
          <cell r="O2228" t="str">
            <v>Dsn. Kedungingas, RT.024/RW.004 Kel. Kolong, Kec. Ngasem</v>
          </cell>
          <cell r="P2228" t="str">
            <v>Bojonegoro</v>
          </cell>
          <cell r="Q2228" t="str">
            <v>Dsn. Kedungingas, RT.024/RW.004 Kel. Kolong, Kec. Ngasem</v>
          </cell>
          <cell r="R2228" t="str">
            <v>Bojonegoro</v>
          </cell>
          <cell r="S2228" t="str">
            <v>F Utara1</v>
          </cell>
          <cell r="T2228" t="str">
            <v>Dian</v>
          </cell>
          <cell r="U2228">
            <v>60</v>
          </cell>
        </row>
        <row r="2229">
          <cell r="E2229" t="str">
            <v>B25009560</v>
          </cell>
          <cell r="F2229"/>
          <cell r="G2229">
            <v>100000000</v>
          </cell>
          <cell r="H2229" t="str">
            <v>Faris</v>
          </cell>
          <cell r="I2229" t="str">
            <v>Syahra</v>
          </cell>
          <cell r="J2229"/>
          <cell r="K2229" t="str">
            <v>KU</v>
          </cell>
          <cell r="L2229" t="str">
            <v>DARA01</v>
          </cell>
          <cell r="M2229" t="str">
            <v>Dhara Shop</v>
          </cell>
          <cell r="N2229" t="str">
            <v>Hendri Supriyono</v>
          </cell>
          <cell r="O2229" t="str">
            <v>Dsn. Curahkrakal, RT.001/RW.005 Kel. Tambakrejo, Kec. Muncar</v>
          </cell>
          <cell r="P2229" t="str">
            <v>Banyuwangi</v>
          </cell>
          <cell r="Q2229" t="str">
            <v>Dsn. Curahkrakal, RT.001/RW.005 Kel. Tambakrejo, Kec. Muncar</v>
          </cell>
          <cell r="R2229" t="str">
            <v>Banyuwangi</v>
          </cell>
          <cell r="S2229" t="str">
            <v>H Bwi2</v>
          </cell>
          <cell r="T2229" t="str">
            <v>Hafid</v>
          </cell>
          <cell r="U2229">
            <v>60</v>
          </cell>
        </row>
        <row r="2230">
          <cell r="E2230" t="str">
            <v>T25001305</v>
          </cell>
          <cell r="F2230"/>
          <cell r="G2230">
            <v>100000000</v>
          </cell>
          <cell r="H2230" t="str">
            <v>Faris</v>
          </cell>
          <cell r="I2230" t="str">
            <v>Syahra</v>
          </cell>
          <cell r="J2230"/>
          <cell r="K2230" t="str">
            <v>KU</v>
          </cell>
          <cell r="L2230" t="str">
            <v>DARA01</v>
          </cell>
          <cell r="M2230" t="str">
            <v>Dhara Shop</v>
          </cell>
          <cell r="N2230" t="str">
            <v>Hendri Supriyono</v>
          </cell>
          <cell r="O2230" t="str">
            <v>Dsn. Curahkrakal, RT.001/RW.005 Kel. Tambakrejo, Kec. Muncar</v>
          </cell>
          <cell r="P2230" t="str">
            <v>Banyuwangi</v>
          </cell>
          <cell r="Q2230" t="str">
            <v>Dsn. Curahkrakal, RT.001/RW.005 Kel. Tambakrejo, Kec. Muncar</v>
          </cell>
          <cell r="R2230" t="str">
            <v>Banyuwangi</v>
          </cell>
          <cell r="S2230" t="str">
            <v>H Bwi2</v>
          </cell>
          <cell r="T2230" t="str">
            <v>Hafid</v>
          </cell>
          <cell r="U2230">
            <v>60</v>
          </cell>
        </row>
        <row r="2231">
          <cell r="E2231" t="str">
            <v>B25012941</v>
          </cell>
          <cell r="F2231"/>
          <cell r="G2231">
            <v>100000000</v>
          </cell>
          <cell r="H2231" t="str">
            <v>Faris</v>
          </cell>
          <cell r="I2231" t="str">
            <v>Syahra</v>
          </cell>
          <cell r="J2231"/>
          <cell r="K2231" t="str">
            <v>KU</v>
          </cell>
          <cell r="L2231" t="str">
            <v>DARA01</v>
          </cell>
          <cell r="M2231" t="str">
            <v>Dhara Shop</v>
          </cell>
          <cell r="N2231" t="str">
            <v>Hendri Supriyono</v>
          </cell>
          <cell r="O2231" t="str">
            <v>Dsn. Curahkrakal, RT.001/RW.005 Kel. Tambakrejo, Kec. Muncar</v>
          </cell>
          <cell r="P2231" t="str">
            <v>Banyuwangi</v>
          </cell>
          <cell r="Q2231" t="str">
            <v>Dsn. Curahkrakal, RT.001/RW.005 Kel. Tambakrejo, Kec. Muncar</v>
          </cell>
          <cell r="R2231" t="str">
            <v>Banyuwangi</v>
          </cell>
          <cell r="S2231" t="str">
            <v>H Bwi2</v>
          </cell>
          <cell r="T2231" t="str">
            <v>Hafid</v>
          </cell>
          <cell r="U2231">
            <v>30</v>
          </cell>
        </row>
        <row r="2232">
          <cell r="E2232" t="str">
            <v>T24000342</v>
          </cell>
          <cell r="F2232"/>
          <cell r="G2232">
            <v>1000</v>
          </cell>
          <cell r="H2232" t="str">
            <v>Others</v>
          </cell>
          <cell r="I2232" t="str">
            <v>Exclusive</v>
          </cell>
          <cell r="J2232" t="str">
            <v>New 18/03/24</v>
          </cell>
          <cell r="K2232" t="str">
            <v>KU</v>
          </cell>
          <cell r="L2232" t="str">
            <v>DIAN16</v>
          </cell>
          <cell r="M2232" t="str">
            <v>Dian/Karisma</v>
          </cell>
          <cell r="N2232" t="str">
            <v>Dian Rifa Syaifudin</v>
          </cell>
          <cell r="O2232" t="str">
            <v>Ringin Anom RT.017/RW.003, Ds. Doho Kec. Dolopo</v>
          </cell>
          <cell r="P2232" t="str">
            <v>Madiun</v>
          </cell>
          <cell r="Q2232" t="str">
            <v>Ringin Anom RT.017/RW.003, Ds. Doho Kec. Dolopo</v>
          </cell>
          <cell r="R2232" t="str">
            <v>Madiun</v>
          </cell>
          <cell r="S2232" t="str">
            <v>D Barat1</v>
          </cell>
          <cell r="T2232" t="str">
            <v>Dian</v>
          </cell>
          <cell r="U2232">
            <v>0</v>
          </cell>
        </row>
        <row r="2233">
          <cell r="E2233" t="str">
            <v>B25012751</v>
          </cell>
          <cell r="F2233"/>
          <cell r="G2233">
            <v>300000000</v>
          </cell>
          <cell r="H2233" t="str">
            <v>Hendra</v>
          </cell>
          <cell r="I2233" t="str">
            <v>Tiya</v>
          </cell>
          <cell r="J2233"/>
          <cell r="K2233" t="str">
            <v>KU</v>
          </cell>
          <cell r="L2233" t="str">
            <v>DIAN02</v>
          </cell>
          <cell r="M2233" t="str">
            <v>Diana, UD</v>
          </cell>
          <cell r="N2233" t="str">
            <v>Monica</v>
          </cell>
          <cell r="O2233" t="str">
            <v>Jl. Margorejo Indah Blok D No. 209 A, RT.003/RW.008, Sidosermo, Wonocolo</v>
          </cell>
          <cell r="P2233" t="str">
            <v>Surabaya</v>
          </cell>
          <cell r="Q2233" t="str">
            <v>Jl. Lintas Seram, Kel. Kobisonta, Maluku Tengah</v>
          </cell>
          <cell r="R2233" t="str">
            <v>Maluku</v>
          </cell>
          <cell r="S2233" t="str">
            <v>E Luar Pulau1</v>
          </cell>
          <cell r="T2233" t="str">
            <v>Non SE &amp; JSE</v>
          </cell>
          <cell r="U2233">
            <v>15</v>
          </cell>
        </row>
        <row r="2234">
          <cell r="E2234" t="str">
            <v>B25012932</v>
          </cell>
          <cell r="F2234"/>
          <cell r="G2234">
            <v>300000000</v>
          </cell>
          <cell r="H2234" t="str">
            <v>Hendra</v>
          </cell>
          <cell r="I2234" t="str">
            <v>Tiya</v>
          </cell>
          <cell r="J2234"/>
          <cell r="K2234" t="str">
            <v>KU</v>
          </cell>
          <cell r="L2234" t="str">
            <v>DIAN02</v>
          </cell>
          <cell r="M2234" t="str">
            <v>Diana, UD</v>
          </cell>
          <cell r="N2234" t="str">
            <v>Monica</v>
          </cell>
          <cell r="O2234" t="str">
            <v>Jl. Margorejo Indah Blok D No. 209 A, RT.003/RW.008, Sidosermo, Wonocolo</v>
          </cell>
          <cell r="P2234" t="str">
            <v>Surabaya</v>
          </cell>
          <cell r="Q2234" t="str">
            <v>Jl. Lintas Seram, Kel. Kobisonta, Maluku Tengah</v>
          </cell>
          <cell r="R2234" t="str">
            <v>Maluku</v>
          </cell>
          <cell r="S2234" t="str">
            <v>E Luar Pulau1</v>
          </cell>
          <cell r="T2234" t="str">
            <v>Non SE &amp; JSE</v>
          </cell>
          <cell r="U2234">
            <v>15</v>
          </cell>
        </row>
        <row r="2235">
          <cell r="E2235" t="str">
            <v>D25015381</v>
          </cell>
          <cell r="F2235"/>
          <cell r="G2235">
            <v>300000000</v>
          </cell>
          <cell r="H2235" t="str">
            <v>Hendra</v>
          </cell>
          <cell r="I2235" t="str">
            <v>Tiya</v>
          </cell>
          <cell r="J2235"/>
          <cell r="K2235" t="str">
            <v>KU</v>
          </cell>
          <cell r="L2235" t="str">
            <v>DIAN02</v>
          </cell>
          <cell r="M2235" t="str">
            <v>Diana, UD</v>
          </cell>
          <cell r="N2235" t="str">
            <v>Monica</v>
          </cell>
          <cell r="O2235" t="str">
            <v>Jl. Margorejo Indah Blok D No. 209 A, RT.003/RW.008, Sidosermo, Wonocolo</v>
          </cell>
          <cell r="P2235" t="str">
            <v>Surabaya</v>
          </cell>
          <cell r="Q2235" t="str">
            <v>Jl. Lintas Seram, Kel. Kobisonta, Maluku Tengah</v>
          </cell>
          <cell r="R2235" t="str">
            <v>Maluku</v>
          </cell>
          <cell r="S2235" t="str">
            <v>E Luar Pulau1</v>
          </cell>
          <cell r="T2235" t="str">
            <v>Non SE &amp; JSE</v>
          </cell>
          <cell r="U2235">
            <v>15</v>
          </cell>
        </row>
        <row r="2236">
          <cell r="E2236" t="str">
            <v>D25015752</v>
          </cell>
          <cell r="F2236"/>
          <cell r="G2236">
            <v>300000000</v>
          </cell>
          <cell r="H2236" t="str">
            <v>Hendra</v>
          </cell>
          <cell r="I2236" t="str">
            <v>Tiya</v>
          </cell>
          <cell r="J2236"/>
          <cell r="K2236" t="str">
            <v>KU</v>
          </cell>
          <cell r="L2236" t="str">
            <v>DIAN02</v>
          </cell>
          <cell r="M2236" t="str">
            <v>Diana, UD</v>
          </cell>
          <cell r="N2236" t="str">
            <v>Monica</v>
          </cell>
          <cell r="O2236" t="str">
            <v>Jl. Margorejo Indah Blok D No. 209 A, RT.003/RW.008, Sidosermo, Wonocolo</v>
          </cell>
          <cell r="P2236" t="str">
            <v>Surabaya</v>
          </cell>
          <cell r="Q2236" t="str">
            <v>Jl. Lintas Seram, Kel. Kobisonta, Maluku Tengah</v>
          </cell>
          <cell r="R2236" t="str">
            <v>Maluku</v>
          </cell>
          <cell r="S2236" t="str">
            <v>E Luar Pulau1</v>
          </cell>
          <cell r="T2236" t="str">
            <v>Non SE &amp; JSE</v>
          </cell>
          <cell r="U2236">
            <v>15</v>
          </cell>
        </row>
        <row r="2237">
          <cell r="E2237" t="str">
            <v>D25015783</v>
          </cell>
          <cell r="F2237"/>
          <cell r="G2237">
            <v>300000000</v>
          </cell>
          <cell r="H2237" t="str">
            <v>Hendra</v>
          </cell>
          <cell r="I2237" t="str">
            <v>Tiya</v>
          </cell>
          <cell r="J2237"/>
          <cell r="K2237" t="str">
            <v>KU</v>
          </cell>
          <cell r="L2237" t="str">
            <v>DIAN02</v>
          </cell>
          <cell r="M2237" t="str">
            <v>Diana, UD</v>
          </cell>
          <cell r="N2237" t="str">
            <v>Monica</v>
          </cell>
          <cell r="O2237" t="str">
            <v>Jl. Margorejo Indah Blok D No. 209 A, RT.003/RW.008, Sidosermo, Wonocolo</v>
          </cell>
          <cell r="P2237" t="str">
            <v>Surabaya</v>
          </cell>
          <cell r="Q2237" t="str">
            <v>Jl. Lintas Seram, Kel. Kobisonta, Maluku Tengah</v>
          </cell>
          <cell r="R2237" t="str">
            <v>Maluku</v>
          </cell>
          <cell r="S2237" t="str">
            <v>E Luar Pulau1</v>
          </cell>
          <cell r="T2237" t="str">
            <v>Non SE &amp; JSE</v>
          </cell>
          <cell r="U2237">
            <v>15</v>
          </cell>
        </row>
        <row r="2238">
          <cell r="E2238" t="str">
            <v>B25013840</v>
          </cell>
          <cell r="F2238"/>
          <cell r="G2238">
            <v>300000000</v>
          </cell>
          <cell r="H2238" t="str">
            <v>Hendra</v>
          </cell>
          <cell r="I2238" t="str">
            <v>Tiya</v>
          </cell>
          <cell r="J2238"/>
          <cell r="K2238" t="str">
            <v>KU</v>
          </cell>
          <cell r="L2238" t="str">
            <v>DIAN02</v>
          </cell>
          <cell r="M2238" t="str">
            <v>Diana, UD</v>
          </cell>
          <cell r="N2238" t="str">
            <v>Monica</v>
          </cell>
          <cell r="O2238" t="str">
            <v>Jl. Margorejo Indah Blok D No. 209 A, RT.003/RW.008, Sidosermo, Wonocolo</v>
          </cell>
          <cell r="P2238" t="str">
            <v>Surabaya</v>
          </cell>
          <cell r="Q2238" t="str">
            <v>Jl. Lintas Seram, Kel. Kobisonta, Maluku Tengah</v>
          </cell>
          <cell r="R2238" t="str">
            <v>Maluku</v>
          </cell>
          <cell r="S2238" t="str">
            <v>E Luar Pulau1</v>
          </cell>
          <cell r="T2238" t="str">
            <v>Non SE &amp; JSE</v>
          </cell>
          <cell r="U2238">
            <v>15</v>
          </cell>
        </row>
        <row r="2239">
          <cell r="E2239" t="str">
            <v>B25013896</v>
          </cell>
          <cell r="F2239"/>
          <cell r="G2239">
            <v>300000000</v>
          </cell>
          <cell r="H2239" t="str">
            <v>Hendra</v>
          </cell>
          <cell r="I2239" t="str">
            <v>Tiya</v>
          </cell>
          <cell r="J2239"/>
          <cell r="K2239" t="str">
            <v>KU</v>
          </cell>
          <cell r="L2239" t="str">
            <v>DIAN02</v>
          </cell>
          <cell r="M2239" t="str">
            <v>Diana, UD</v>
          </cell>
          <cell r="N2239" t="str">
            <v>Monica</v>
          </cell>
          <cell r="O2239" t="str">
            <v>Jl. Margorejo Indah Blok D No. 209 A, RT.003/RW.008, Sidosermo, Wonocolo</v>
          </cell>
          <cell r="P2239" t="str">
            <v>Surabaya</v>
          </cell>
          <cell r="Q2239" t="str">
            <v>Jl. Lintas Seram, Kel. Kobisonta, Maluku Tengah</v>
          </cell>
          <cell r="R2239" t="str">
            <v>Maluku</v>
          </cell>
          <cell r="S2239" t="str">
            <v>E Luar Pulau1</v>
          </cell>
          <cell r="T2239" t="str">
            <v>Non SE &amp; JSE</v>
          </cell>
          <cell r="U2239">
            <v>15</v>
          </cell>
        </row>
        <row r="2240">
          <cell r="E2240">
            <v>250155</v>
          </cell>
          <cell r="F2240"/>
          <cell r="G2240">
            <v>300000000</v>
          </cell>
          <cell r="H2240" t="str">
            <v>Hendra</v>
          </cell>
          <cell r="I2240" t="str">
            <v>Tiya</v>
          </cell>
          <cell r="J2240"/>
          <cell r="K2240" t="str">
            <v>KU</v>
          </cell>
          <cell r="L2240" t="str">
            <v>DIAN02</v>
          </cell>
          <cell r="M2240" t="str">
            <v>Diana, UD</v>
          </cell>
          <cell r="N2240" t="str">
            <v>Monica</v>
          </cell>
          <cell r="O2240" t="str">
            <v>Jl. Margorejo Indah Blok D No. 209 A, RT.003/RW.008, Sidosermo, Wonocolo</v>
          </cell>
          <cell r="P2240" t="str">
            <v>Surabaya</v>
          </cell>
          <cell r="Q2240" t="str">
            <v>Jl. Lintas Seram, Kel. Kobisonta, Maluku Tengah</v>
          </cell>
          <cell r="R2240" t="str">
            <v>Maluku</v>
          </cell>
          <cell r="S2240" t="str">
            <v>E Luar Pulau1</v>
          </cell>
          <cell r="T2240" t="str">
            <v>Non SE &amp; JSE</v>
          </cell>
          <cell r="U2240">
            <v>15</v>
          </cell>
        </row>
        <row r="2241">
          <cell r="E2241" t="str">
            <v>B25013966</v>
          </cell>
          <cell r="F2241"/>
          <cell r="G2241">
            <v>300000000</v>
          </cell>
          <cell r="H2241" t="str">
            <v>Hendra</v>
          </cell>
          <cell r="I2241" t="str">
            <v>Tiya</v>
          </cell>
          <cell r="J2241"/>
          <cell r="K2241" t="str">
            <v>KU</v>
          </cell>
          <cell r="L2241" t="str">
            <v>DIAN02</v>
          </cell>
          <cell r="M2241" t="str">
            <v>Diana, UD</v>
          </cell>
          <cell r="N2241" t="str">
            <v>Monica</v>
          </cell>
          <cell r="O2241" t="str">
            <v>Jl. Margorejo Indah Blok D No. 209 A, RT.003/RW.008, Sidosermo, Wonocolo</v>
          </cell>
          <cell r="P2241" t="str">
            <v>Surabaya</v>
          </cell>
          <cell r="Q2241" t="str">
            <v>Jl. Lintas Seram, Kel. Kobisonta, Maluku Tengah</v>
          </cell>
          <cell r="R2241" t="str">
            <v>Maluku</v>
          </cell>
          <cell r="S2241" t="str">
            <v>E Luar Pulau1</v>
          </cell>
          <cell r="T2241" t="str">
            <v>Non SE &amp; JSE</v>
          </cell>
          <cell r="U2241">
            <v>15</v>
          </cell>
        </row>
        <row r="2242">
          <cell r="E2242" t="str">
            <v>D25011956</v>
          </cell>
          <cell r="F2242"/>
          <cell r="G2242">
            <v>200000000</v>
          </cell>
          <cell r="H2242" t="str">
            <v>Ariyani</v>
          </cell>
          <cell r="I2242" t="str">
            <v>Fira</v>
          </cell>
          <cell r="J2242"/>
          <cell r="K2242" t="str">
            <v>KU, Tunai</v>
          </cell>
          <cell r="L2242" t="str">
            <v>DIAN04</v>
          </cell>
          <cell r="M2242" t="str">
            <v>Dianta Tani</v>
          </cell>
          <cell r="N2242" t="str">
            <v>Ribut Dianta</v>
          </cell>
          <cell r="O2242" t="str">
            <v>Dsn. Sumber Muning No.RT.007 RW.012 Kel. Tegalsiwalan, Kec. Tegalsiwalan</v>
          </cell>
          <cell r="P2242" t="str">
            <v>Probolinggo</v>
          </cell>
          <cell r="Q2242" t="str">
            <v>Dsn. Sumber Muning No.RT.007 RW.012 Kel. Tegalsiwalan, Kec. Tegalsiwalan</v>
          </cell>
          <cell r="R2242" t="str">
            <v>Probolinggo</v>
          </cell>
          <cell r="S2242" t="str">
            <v>G Prob1</v>
          </cell>
          <cell r="T2242" t="str">
            <v>Wira</v>
          </cell>
          <cell r="U2242">
            <v>30</v>
          </cell>
        </row>
        <row r="2243">
          <cell r="E2243" t="str">
            <v>D25012861</v>
          </cell>
          <cell r="F2243"/>
          <cell r="G2243">
            <v>200000000</v>
          </cell>
          <cell r="H2243" t="str">
            <v>Ariyani</v>
          </cell>
          <cell r="I2243" t="str">
            <v>Fira</v>
          </cell>
          <cell r="J2243"/>
          <cell r="K2243" t="str">
            <v>KU, Tunai</v>
          </cell>
          <cell r="L2243" t="str">
            <v>DIAN04</v>
          </cell>
          <cell r="M2243" t="str">
            <v>Dianta Tani</v>
          </cell>
          <cell r="N2243" t="str">
            <v>Ribut Dianta</v>
          </cell>
          <cell r="O2243" t="str">
            <v>Dsn. Sumber Muning No.RT.007 RW.012 Kel. Tegalsiwalan, Kec. Tegalsiwalan</v>
          </cell>
          <cell r="P2243" t="str">
            <v>Probolinggo</v>
          </cell>
          <cell r="Q2243" t="str">
            <v>Dsn. Sumber Muning No.RT.007 RW.012 Kel. Tegalsiwalan, Kec. Tegalsiwalan</v>
          </cell>
          <cell r="R2243" t="str">
            <v>Probolinggo</v>
          </cell>
          <cell r="S2243" t="str">
            <v>G Prob1</v>
          </cell>
          <cell r="T2243" t="str">
            <v>Wira</v>
          </cell>
          <cell r="U2243">
            <v>30</v>
          </cell>
        </row>
        <row r="2244">
          <cell r="E2244" t="str">
            <v>D25014423</v>
          </cell>
          <cell r="F2244"/>
          <cell r="G2244">
            <v>200000000</v>
          </cell>
          <cell r="H2244" t="str">
            <v>Ariyani</v>
          </cell>
          <cell r="I2244" t="str">
            <v>Fira</v>
          </cell>
          <cell r="J2244"/>
          <cell r="K2244" t="str">
            <v>KU, Tunai</v>
          </cell>
          <cell r="L2244" t="str">
            <v>DIAN04</v>
          </cell>
          <cell r="M2244" t="str">
            <v>Dianta Tani</v>
          </cell>
          <cell r="N2244" t="str">
            <v>Ribut Dianta</v>
          </cell>
          <cell r="O2244" t="str">
            <v>Dsn. Sumber Muning No.RT.007 RW.012 Kel. Tegalsiwalan, Kec. Tegalsiwalan</v>
          </cell>
          <cell r="P2244" t="str">
            <v>Probolinggo</v>
          </cell>
          <cell r="Q2244" t="str">
            <v>Dsn. Sumber Muning No.RT.007 RW.012 Kel. Tegalsiwalan, Kec. Tegalsiwalan</v>
          </cell>
          <cell r="R2244" t="str">
            <v>Probolinggo</v>
          </cell>
          <cell r="S2244" t="str">
            <v>G Prob1</v>
          </cell>
          <cell r="T2244" t="str">
            <v>Wira</v>
          </cell>
          <cell r="U2244">
            <v>30</v>
          </cell>
        </row>
        <row r="2245">
          <cell r="E2245" t="str">
            <v>B25012827</v>
          </cell>
          <cell r="F2245"/>
          <cell r="G2245">
            <v>200000000</v>
          </cell>
          <cell r="H2245" t="str">
            <v>Ariyani</v>
          </cell>
          <cell r="I2245" t="str">
            <v>Fira</v>
          </cell>
          <cell r="J2245"/>
          <cell r="K2245" t="str">
            <v>KU, Tunai</v>
          </cell>
          <cell r="L2245" t="str">
            <v>DIAN04</v>
          </cell>
          <cell r="M2245" t="str">
            <v>Dianta Tani</v>
          </cell>
          <cell r="N2245" t="str">
            <v>Ribut Dianta</v>
          </cell>
          <cell r="O2245" t="str">
            <v>Dsn. Sumber Muning No.RT.007 RW.012 Kel. Tegalsiwalan, Kec. Tegalsiwalan</v>
          </cell>
          <cell r="P2245" t="str">
            <v>Probolinggo</v>
          </cell>
          <cell r="Q2245" t="str">
            <v>Dsn. Sumber Muning No.RT.007 RW.012 Kel. Tegalsiwalan, Kec. Tegalsiwalan</v>
          </cell>
          <cell r="R2245" t="str">
            <v>Probolinggo</v>
          </cell>
          <cell r="S2245" t="str">
            <v>G Prob1</v>
          </cell>
          <cell r="T2245" t="str">
            <v>Wira</v>
          </cell>
          <cell r="U2245">
            <v>30</v>
          </cell>
        </row>
        <row r="2246">
          <cell r="E2246" t="str">
            <v>D25015739</v>
          </cell>
          <cell r="F2246"/>
          <cell r="G2246">
            <v>200000000</v>
          </cell>
          <cell r="H2246" t="str">
            <v>Ariyani</v>
          </cell>
          <cell r="I2246" t="str">
            <v>Fira</v>
          </cell>
          <cell r="J2246"/>
          <cell r="K2246" t="str">
            <v>KU, Tunai</v>
          </cell>
          <cell r="L2246" t="str">
            <v>DIAN04</v>
          </cell>
          <cell r="M2246" t="str">
            <v>Dianta Tani</v>
          </cell>
          <cell r="N2246" t="str">
            <v>Ribut Dianta</v>
          </cell>
          <cell r="O2246" t="str">
            <v>Dsn. Sumber Muning No.RT.007 RW.012 Kel. Tegalsiwalan, Kec. Tegalsiwalan</v>
          </cell>
          <cell r="P2246" t="str">
            <v>Probolinggo</v>
          </cell>
          <cell r="Q2246" t="str">
            <v>Dsn. Sumber Muning No.RT.007 RW.012 Kel. Tegalsiwalan, Kec. Tegalsiwalan</v>
          </cell>
          <cell r="R2246" t="str">
            <v>Probolinggo</v>
          </cell>
          <cell r="S2246" t="str">
            <v>G Prob1</v>
          </cell>
          <cell r="T2246" t="str">
            <v>Wira</v>
          </cell>
          <cell r="U2246">
            <v>0</v>
          </cell>
        </row>
        <row r="2247">
          <cell r="E2247" t="str">
            <v>B25012736</v>
          </cell>
          <cell r="F2247"/>
          <cell r="G2247">
            <v>15000000</v>
          </cell>
          <cell r="H2247" t="str">
            <v>Faris</v>
          </cell>
          <cell r="I2247" t="str">
            <v>Syahra</v>
          </cell>
          <cell r="J2247" t="str">
            <v>New 24/08/20</v>
          </cell>
          <cell r="K2247" t="str">
            <v>KU</v>
          </cell>
          <cell r="L2247" t="str">
            <v>DIAN01</v>
          </cell>
          <cell r="M2247" t="str">
            <v>Dianufa/Nur Hayati</v>
          </cell>
          <cell r="N2247" t="str">
            <v>H. Nur Hayati</v>
          </cell>
          <cell r="O2247" t="str">
            <v>Kampung Tengah No. No RT001/RW.004, Asembagus, Asembagus</v>
          </cell>
          <cell r="P2247" t="str">
            <v>Situbondo</v>
          </cell>
          <cell r="Q2247" t="str">
            <v>Jln Basuki Rahmat No. 134, Situbondo</v>
          </cell>
          <cell r="R2247" t="str">
            <v>Situbondo</v>
          </cell>
          <cell r="S2247" t="str">
            <v>N Bdw Stb</v>
          </cell>
          <cell r="T2247" t="str">
            <v>Wira</v>
          </cell>
          <cell r="U2247">
            <v>0</v>
          </cell>
        </row>
        <row r="2248">
          <cell r="E2248" t="str">
            <v>D25015147</v>
          </cell>
          <cell r="F2248"/>
          <cell r="G2248">
            <v>160000000</v>
          </cell>
          <cell r="H2248" t="str">
            <v>Zakia</v>
          </cell>
          <cell r="I2248" t="str">
            <v>Tiya</v>
          </cell>
          <cell r="J2248"/>
          <cell r="K2248" t="str">
            <v>KU</v>
          </cell>
          <cell r="L2248" t="str">
            <v>DIMA01</v>
          </cell>
          <cell r="M2248" t="str">
            <v>Dimar Ublik</v>
          </cell>
          <cell r="N2248" t="str">
            <v>Suwarno</v>
          </cell>
          <cell r="O2248" t="str">
            <v>JN Serinjing RT.005. RW.003 Kel. Puncu Kec. Puncu</v>
          </cell>
          <cell r="P2248" t="str">
            <v>Kediri</v>
          </cell>
          <cell r="Q2248" t="str">
            <v>Kaliserinjing, RT. 05/RW. 03 Ds. Puncu Dsn. Puncu, Kec. Puncu, Kab. Kediri</v>
          </cell>
          <cell r="R2248" t="str">
            <v>Kediri</v>
          </cell>
          <cell r="S2248" t="str">
            <v>D Barat1</v>
          </cell>
          <cell r="T2248" t="str">
            <v>Tomi</v>
          </cell>
          <cell r="U2248">
            <v>30</v>
          </cell>
        </row>
        <row r="2249">
          <cell r="E2249" t="str">
            <v>D25015157</v>
          </cell>
          <cell r="F2249"/>
          <cell r="G2249">
            <v>160000000</v>
          </cell>
          <cell r="H2249" t="str">
            <v>Zakia</v>
          </cell>
          <cell r="I2249" t="str">
            <v>Tiya</v>
          </cell>
          <cell r="J2249"/>
          <cell r="K2249" t="str">
            <v>KU</v>
          </cell>
          <cell r="L2249" t="str">
            <v>DIMA01</v>
          </cell>
          <cell r="M2249" t="str">
            <v>Dimar Ublik</v>
          </cell>
          <cell r="N2249" t="str">
            <v>Suwarno</v>
          </cell>
          <cell r="O2249" t="str">
            <v>JN Serinjing RT.005. RW.003 Kel. Puncu Kec. Puncu</v>
          </cell>
          <cell r="P2249" t="str">
            <v>Kediri</v>
          </cell>
          <cell r="Q2249" t="str">
            <v>Kaliserinjing, RT. 05/RW. 03 Ds. Puncu Dsn. Puncu, Kec. Puncu, Kab. Kediri</v>
          </cell>
          <cell r="R2249" t="str">
            <v>Kediri</v>
          </cell>
          <cell r="S2249" t="str">
            <v>D Barat1</v>
          </cell>
          <cell r="T2249" t="str">
            <v>Tomi</v>
          </cell>
          <cell r="U2249">
            <v>0</v>
          </cell>
        </row>
        <row r="2250">
          <cell r="E2250" t="str">
            <v>T25001536</v>
          </cell>
          <cell r="F2250"/>
          <cell r="G2250">
            <v>160000000</v>
          </cell>
          <cell r="H2250" t="str">
            <v>Zakia</v>
          </cell>
          <cell r="I2250" t="str">
            <v>Tiya</v>
          </cell>
          <cell r="J2250"/>
          <cell r="K2250" t="str">
            <v>KU</v>
          </cell>
          <cell r="L2250" t="str">
            <v>DIMA01</v>
          </cell>
          <cell r="M2250" t="str">
            <v>Dimar Ublik</v>
          </cell>
          <cell r="N2250" t="str">
            <v>Suwarno</v>
          </cell>
          <cell r="O2250" t="str">
            <v>JN Serinjing RT.005. RW.003 Kel. Puncu Kec. Puncu</v>
          </cell>
          <cell r="P2250" t="str">
            <v>Kediri</v>
          </cell>
          <cell r="Q2250" t="str">
            <v>Kaliserinjing, RT. 05/RW. 03 Ds. Puncu Dsn. Puncu, Kec. Puncu, Kab. Kediri</v>
          </cell>
          <cell r="R2250" t="str">
            <v>Kediri</v>
          </cell>
          <cell r="S2250" t="str">
            <v>D Barat1</v>
          </cell>
          <cell r="T2250" t="str">
            <v>Tomi</v>
          </cell>
          <cell r="U2250">
            <v>30</v>
          </cell>
        </row>
        <row r="2251">
          <cell r="E2251" t="str">
            <v>B25013736</v>
          </cell>
          <cell r="F2251"/>
          <cell r="G2251">
            <v>160000000</v>
          </cell>
          <cell r="H2251" t="str">
            <v>Zakia</v>
          </cell>
          <cell r="I2251" t="str">
            <v>Tiya</v>
          </cell>
          <cell r="J2251"/>
          <cell r="K2251" t="str">
            <v>KU</v>
          </cell>
          <cell r="L2251" t="str">
            <v>DIMA01</v>
          </cell>
          <cell r="M2251" t="str">
            <v>Dimar Ublik</v>
          </cell>
          <cell r="N2251" t="str">
            <v>Suwarno</v>
          </cell>
          <cell r="O2251" t="str">
            <v>JN Serinjing RT.005. RW.003 Kel. Puncu Kec. Puncu</v>
          </cell>
          <cell r="P2251" t="str">
            <v>Kediri</v>
          </cell>
          <cell r="Q2251" t="str">
            <v>Kaliserinjing, RT. 05/RW. 03 Ds. Puncu Dsn. Puncu, Kec. Puncu, Kab. Kediri</v>
          </cell>
          <cell r="R2251" t="str">
            <v>Kediri</v>
          </cell>
          <cell r="S2251" t="str">
            <v>D Barat1</v>
          </cell>
          <cell r="T2251" t="str">
            <v>Tomi</v>
          </cell>
          <cell r="U2251">
            <v>30</v>
          </cell>
        </row>
        <row r="2252">
          <cell r="E2252" t="str">
            <v>B25012642</v>
          </cell>
          <cell r="F2252"/>
          <cell r="G2252">
            <v>100000000</v>
          </cell>
          <cell r="H2252" t="str">
            <v>Reni</v>
          </cell>
          <cell r="I2252" t="str">
            <v>Farida</v>
          </cell>
          <cell r="J2252"/>
          <cell r="K2252" t="str">
            <v>KU, Tunai</v>
          </cell>
          <cell r="L2252" t="str">
            <v>DINA02</v>
          </cell>
          <cell r="M2252" t="str">
            <v>Dinamika Baru</v>
          </cell>
          <cell r="N2252" t="str">
            <v>Gatot Hariyanto</v>
          </cell>
          <cell r="O2252" t="str">
            <v>Tulung, RT.003/RW.005, Kel. Tulung, Kec. Kawedanan</v>
          </cell>
          <cell r="P2252" t="str">
            <v>Magetan</v>
          </cell>
          <cell r="Q2252" t="str">
            <v>Tulung, RT.003/RW.005, Kel. Tulung, Kec. Kawedanan</v>
          </cell>
          <cell r="R2252" t="str">
            <v>Magetan</v>
          </cell>
          <cell r="S2252" t="str">
            <v>D Barat1</v>
          </cell>
          <cell r="T2252" t="str">
            <v>Dian</v>
          </cell>
          <cell r="U2252">
            <v>60</v>
          </cell>
        </row>
        <row r="2253">
          <cell r="E2253" t="str">
            <v>B25013984</v>
          </cell>
          <cell r="F2253"/>
          <cell r="G2253">
            <v>100000000</v>
          </cell>
          <cell r="H2253" t="str">
            <v>Reni</v>
          </cell>
          <cell r="I2253" t="str">
            <v>Farida</v>
          </cell>
          <cell r="J2253"/>
          <cell r="K2253" t="str">
            <v>KU, Tunai</v>
          </cell>
          <cell r="L2253" t="str">
            <v>DINA02</v>
          </cell>
          <cell r="M2253" t="str">
            <v>Dinamika Baru</v>
          </cell>
          <cell r="N2253" t="str">
            <v>Gatot Hariyanto</v>
          </cell>
          <cell r="O2253" t="str">
            <v>Tulung, RT.003/RW.005, Kel. Tulung, Kec. Kawedanan</v>
          </cell>
          <cell r="P2253" t="str">
            <v>Magetan</v>
          </cell>
          <cell r="Q2253" t="str">
            <v>Tulung, RT.003/RW.005, Kel. Tulung, Kec. Kawedanan</v>
          </cell>
          <cell r="R2253" t="str">
            <v>Magetan</v>
          </cell>
          <cell r="S2253" t="str">
            <v>D Barat1</v>
          </cell>
          <cell r="T2253" t="str">
            <v>Dian</v>
          </cell>
          <cell r="U2253">
            <v>0</v>
          </cell>
        </row>
        <row r="2254">
          <cell r="E2254" t="str">
            <v>T25001609</v>
          </cell>
          <cell r="F2254"/>
          <cell r="G2254">
            <v>100000000</v>
          </cell>
          <cell r="H2254" t="str">
            <v>Reni</v>
          </cell>
          <cell r="I2254" t="str">
            <v>Farida</v>
          </cell>
          <cell r="J2254"/>
          <cell r="K2254" t="str">
            <v>KU, Tunai</v>
          </cell>
          <cell r="L2254" t="str">
            <v>DINA02</v>
          </cell>
          <cell r="M2254" t="str">
            <v>Dinamika Baru</v>
          </cell>
          <cell r="N2254" t="str">
            <v>Gatot Hariyanto</v>
          </cell>
          <cell r="O2254" t="str">
            <v>Tulung, RT.003/RW.005, Kel. Tulung, Kec. Kawedanan</v>
          </cell>
          <cell r="P2254" t="str">
            <v>Magetan</v>
          </cell>
          <cell r="Q2254" t="str">
            <v>Tulung, RT.003/RW.005, Kel. Tulung, Kec. Kawedanan</v>
          </cell>
          <cell r="R2254" t="str">
            <v>Magetan</v>
          </cell>
          <cell r="S2254" t="str">
            <v>D Barat1</v>
          </cell>
          <cell r="T2254" t="str">
            <v>Dian</v>
          </cell>
          <cell r="U2254">
            <v>60</v>
          </cell>
        </row>
        <row r="2255">
          <cell r="E2255" t="str">
            <v>D25012692</v>
          </cell>
          <cell r="F2255"/>
          <cell r="G2255">
            <v>200000000</v>
          </cell>
          <cell r="H2255" t="str">
            <v>Faris</v>
          </cell>
          <cell r="I2255" t="str">
            <v>Syahra</v>
          </cell>
          <cell r="J2255"/>
          <cell r="K2255" t="str">
            <v>KU</v>
          </cell>
          <cell r="L2255" t="str">
            <v>DINO01</v>
          </cell>
          <cell r="M2255" t="str">
            <v>Dino Vita, Toko</v>
          </cell>
          <cell r="N2255" t="str">
            <v>Basori</v>
          </cell>
          <cell r="O2255" t="str">
            <v>Dsn. Tegalyasan, Ds. Tegalarum, Kec. Sempu</v>
          </cell>
          <cell r="P2255" t="str">
            <v>Banyuwangi</v>
          </cell>
          <cell r="Q2255" t="str">
            <v>Tegalyasan - Sempu</v>
          </cell>
          <cell r="R2255" t="str">
            <v>Banyuwangi</v>
          </cell>
          <cell r="S2255" t="str">
            <v>H Bwi1</v>
          </cell>
          <cell r="T2255" t="str">
            <v>Hafid</v>
          </cell>
          <cell r="U2255">
            <v>30</v>
          </cell>
        </row>
        <row r="2256">
          <cell r="E2256" t="str">
            <v>D25013343</v>
          </cell>
          <cell r="F2256"/>
          <cell r="G2256">
            <v>200000000</v>
          </cell>
          <cell r="H2256" t="str">
            <v>Faris</v>
          </cell>
          <cell r="I2256" t="str">
            <v>Syahra</v>
          </cell>
          <cell r="J2256"/>
          <cell r="K2256" t="str">
            <v>KU</v>
          </cell>
          <cell r="L2256" t="str">
            <v>DINO01</v>
          </cell>
          <cell r="M2256" t="str">
            <v>Dino Vita, Toko</v>
          </cell>
          <cell r="N2256" t="str">
            <v>Basori</v>
          </cell>
          <cell r="O2256" t="str">
            <v>Dsn. Tegalyasan, Ds. Tegalarum, Kec. Sempu</v>
          </cell>
          <cell r="P2256" t="str">
            <v>Banyuwangi</v>
          </cell>
          <cell r="Q2256" t="str">
            <v>Tegalyasan - Sempu</v>
          </cell>
          <cell r="R2256" t="str">
            <v>Banyuwangi</v>
          </cell>
          <cell r="S2256" t="str">
            <v>H Bwi1</v>
          </cell>
          <cell r="T2256" t="str">
            <v>Hafid</v>
          </cell>
          <cell r="U2256">
            <v>60</v>
          </cell>
        </row>
        <row r="2257">
          <cell r="E2257" t="str">
            <v>D25013344</v>
          </cell>
          <cell r="F2257"/>
          <cell r="G2257">
            <v>200000000</v>
          </cell>
          <cell r="H2257" t="str">
            <v>Faris</v>
          </cell>
          <cell r="I2257" t="str">
            <v>Syahra</v>
          </cell>
          <cell r="J2257"/>
          <cell r="K2257" t="str">
            <v>KU</v>
          </cell>
          <cell r="L2257" t="str">
            <v>DINO01</v>
          </cell>
          <cell r="M2257" t="str">
            <v>Dino Vita, Toko</v>
          </cell>
          <cell r="N2257" t="str">
            <v>Basori</v>
          </cell>
          <cell r="O2257" t="str">
            <v>Dsn. Tegalyasan, Ds. Tegalarum, Kec. Sempu</v>
          </cell>
          <cell r="P2257" t="str">
            <v>Banyuwangi</v>
          </cell>
          <cell r="Q2257" t="str">
            <v>Tegalyasan - Sempu</v>
          </cell>
          <cell r="R2257" t="str">
            <v>Banyuwangi</v>
          </cell>
          <cell r="S2257" t="str">
            <v>H Bwi1</v>
          </cell>
          <cell r="T2257" t="str">
            <v>Hafid</v>
          </cell>
          <cell r="U2257">
            <v>30</v>
          </cell>
        </row>
        <row r="2258">
          <cell r="E2258" t="str">
            <v>B25011304</v>
          </cell>
          <cell r="F2258"/>
          <cell r="G2258">
            <v>200000000</v>
          </cell>
          <cell r="H2258" t="str">
            <v>Faris</v>
          </cell>
          <cell r="I2258" t="str">
            <v>Syahra</v>
          </cell>
          <cell r="J2258"/>
          <cell r="K2258" t="str">
            <v>KU</v>
          </cell>
          <cell r="L2258" t="str">
            <v>DINO01</v>
          </cell>
          <cell r="M2258" t="str">
            <v>Dino Vita, Toko</v>
          </cell>
          <cell r="N2258" t="str">
            <v>Basori</v>
          </cell>
          <cell r="O2258" t="str">
            <v>Dsn. Tegalyasan, Ds. Tegalarum, Kec. Sempu</v>
          </cell>
          <cell r="P2258" t="str">
            <v>Banyuwangi</v>
          </cell>
          <cell r="Q2258" t="str">
            <v>Tegalyasan - Sempu</v>
          </cell>
          <cell r="R2258" t="str">
            <v>Banyuwangi</v>
          </cell>
          <cell r="S2258" t="str">
            <v>H Bwi1</v>
          </cell>
          <cell r="T2258" t="str">
            <v>Hafid</v>
          </cell>
          <cell r="U2258">
            <v>60</v>
          </cell>
        </row>
        <row r="2259">
          <cell r="E2259" t="str">
            <v>B25011997</v>
          </cell>
          <cell r="F2259"/>
          <cell r="G2259">
            <v>200000000</v>
          </cell>
          <cell r="H2259" t="str">
            <v>Faris</v>
          </cell>
          <cell r="I2259" t="str">
            <v>Syahra</v>
          </cell>
          <cell r="J2259"/>
          <cell r="K2259" t="str">
            <v>KU</v>
          </cell>
          <cell r="L2259" t="str">
            <v>DINO01</v>
          </cell>
          <cell r="M2259" t="str">
            <v>Dino Vita, Toko</v>
          </cell>
          <cell r="N2259" t="str">
            <v>Basori</v>
          </cell>
          <cell r="O2259" t="str">
            <v>Dsn. Tegalyasan, Ds. Tegalarum, Kec. Sempu</v>
          </cell>
          <cell r="P2259" t="str">
            <v>Banyuwangi</v>
          </cell>
          <cell r="Q2259" t="str">
            <v>Tegalyasan - Sempu</v>
          </cell>
          <cell r="R2259" t="str">
            <v>Banyuwangi</v>
          </cell>
          <cell r="S2259" t="str">
            <v>H Bwi1</v>
          </cell>
          <cell r="T2259" t="str">
            <v>Hafid</v>
          </cell>
          <cell r="U2259">
            <v>60</v>
          </cell>
        </row>
        <row r="2260">
          <cell r="E2260" t="str">
            <v>B25011998</v>
          </cell>
          <cell r="F2260"/>
          <cell r="G2260">
            <v>200000000</v>
          </cell>
          <cell r="H2260" t="str">
            <v>Faris</v>
          </cell>
          <cell r="I2260" t="str">
            <v>Syahra</v>
          </cell>
          <cell r="J2260"/>
          <cell r="K2260" t="str">
            <v>KU</v>
          </cell>
          <cell r="L2260" t="str">
            <v>DINO01</v>
          </cell>
          <cell r="M2260" t="str">
            <v>Dino Vita, Toko</v>
          </cell>
          <cell r="N2260" t="str">
            <v>Basori</v>
          </cell>
          <cell r="O2260" t="str">
            <v>Dsn. Tegalyasan, Ds. Tegalarum, Kec. Sempu</v>
          </cell>
          <cell r="P2260" t="str">
            <v>Banyuwangi</v>
          </cell>
          <cell r="Q2260" t="str">
            <v>Tegalyasan - Sempu</v>
          </cell>
          <cell r="R2260" t="str">
            <v>Banyuwangi</v>
          </cell>
          <cell r="S2260" t="str">
            <v>H Bwi1</v>
          </cell>
          <cell r="T2260" t="str">
            <v>Hafid</v>
          </cell>
          <cell r="U2260">
            <v>30</v>
          </cell>
        </row>
        <row r="2261">
          <cell r="E2261" t="str">
            <v>B25011999</v>
          </cell>
          <cell r="F2261"/>
          <cell r="G2261">
            <v>200000000</v>
          </cell>
          <cell r="H2261" t="str">
            <v>Faris</v>
          </cell>
          <cell r="I2261" t="str">
            <v>Syahra</v>
          </cell>
          <cell r="J2261"/>
          <cell r="K2261" t="str">
            <v>KU</v>
          </cell>
          <cell r="L2261" t="str">
            <v>DINO01</v>
          </cell>
          <cell r="M2261" t="str">
            <v>Dino Vita, Toko</v>
          </cell>
          <cell r="N2261" t="str">
            <v>Basori</v>
          </cell>
          <cell r="O2261" t="str">
            <v>Dsn. Tegalyasan, Ds. Tegalarum, Kec. Sempu</v>
          </cell>
          <cell r="P2261" t="str">
            <v>Banyuwangi</v>
          </cell>
          <cell r="Q2261" t="str">
            <v>Tegalyasan - Sempu</v>
          </cell>
          <cell r="R2261" t="str">
            <v>Banyuwangi</v>
          </cell>
          <cell r="S2261" t="str">
            <v>H Bwi1</v>
          </cell>
          <cell r="T2261" t="str">
            <v>Hafid</v>
          </cell>
          <cell r="U2261">
            <v>30</v>
          </cell>
        </row>
        <row r="2262">
          <cell r="E2262" t="str">
            <v>B25012382</v>
          </cell>
          <cell r="F2262"/>
          <cell r="G2262">
            <v>200000000</v>
          </cell>
          <cell r="H2262" t="str">
            <v>Faris</v>
          </cell>
          <cell r="I2262" t="str">
            <v>Syahra</v>
          </cell>
          <cell r="J2262"/>
          <cell r="K2262" t="str">
            <v>KU</v>
          </cell>
          <cell r="L2262" t="str">
            <v>DINO01</v>
          </cell>
          <cell r="M2262" t="str">
            <v>Dino Vita, Toko</v>
          </cell>
          <cell r="N2262" t="str">
            <v>Basori</v>
          </cell>
          <cell r="O2262" t="str">
            <v>Dsn. Tegalyasan, Ds. Tegalarum, Kec. Sempu</v>
          </cell>
          <cell r="P2262" t="str">
            <v>Banyuwangi</v>
          </cell>
          <cell r="Q2262" t="str">
            <v>Tegalyasan - Sempu</v>
          </cell>
          <cell r="R2262" t="str">
            <v>Banyuwangi</v>
          </cell>
          <cell r="S2262" t="str">
            <v>H Bwi1</v>
          </cell>
          <cell r="T2262" t="str">
            <v>Hafid</v>
          </cell>
          <cell r="U2262">
            <v>30</v>
          </cell>
        </row>
        <row r="2263">
          <cell r="E2263" t="str">
            <v>B25012383</v>
          </cell>
          <cell r="F2263"/>
          <cell r="G2263">
            <v>200000000</v>
          </cell>
          <cell r="H2263" t="str">
            <v>Faris</v>
          </cell>
          <cell r="I2263" t="str">
            <v>Syahra</v>
          </cell>
          <cell r="J2263"/>
          <cell r="K2263" t="str">
            <v>KU</v>
          </cell>
          <cell r="L2263" t="str">
            <v>DINO01</v>
          </cell>
          <cell r="M2263" t="str">
            <v>Dino Vita, Toko</v>
          </cell>
          <cell r="N2263" t="str">
            <v>Basori</v>
          </cell>
          <cell r="O2263" t="str">
            <v>Dsn. Tegalyasan, Ds. Tegalarum, Kec. Sempu</v>
          </cell>
          <cell r="P2263" t="str">
            <v>Banyuwangi</v>
          </cell>
          <cell r="Q2263" t="str">
            <v>Tegalyasan - Sempu</v>
          </cell>
          <cell r="R2263" t="str">
            <v>Banyuwangi</v>
          </cell>
          <cell r="S2263" t="str">
            <v>H Bwi1</v>
          </cell>
          <cell r="T2263" t="str">
            <v>Hafid</v>
          </cell>
          <cell r="U2263">
            <v>60</v>
          </cell>
        </row>
        <row r="2264">
          <cell r="E2264" t="str">
            <v>D25015395</v>
          </cell>
          <cell r="F2264"/>
          <cell r="G2264">
            <v>200000000</v>
          </cell>
          <cell r="H2264" t="str">
            <v>Faris</v>
          </cell>
          <cell r="I2264" t="str">
            <v>Syahra</v>
          </cell>
          <cell r="J2264"/>
          <cell r="K2264" t="str">
            <v>KU</v>
          </cell>
          <cell r="L2264" t="str">
            <v>DINO01</v>
          </cell>
          <cell r="M2264" t="str">
            <v>Dino Vita, Toko</v>
          </cell>
          <cell r="N2264" t="str">
            <v>Basori</v>
          </cell>
          <cell r="O2264" t="str">
            <v>Dsn. Tegalyasan, Ds. Tegalarum, Kec. Sempu</v>
          </cell>
          <cell r="P2264" t="str">
            <v>Banyuwangi</v>
          </cell>
          <cell r="Q2264" t="str">
            <v>Tegalyasan - Sempu</v>
          </cell>
          <cell r="R2264" t="str">
            <v>Banyuwangi</v>
          </cell>
          <cell r="S2264" t="str">
            <v>H Bwi1</v>
          </cell>
          <cell r="T2264" t="str">
            <v>Hafid</v>
          </cell>
          <cell r="U2264">
            <v>30</v>
          </cell>
        </row>
        <row r="2265">
          <cell r="E2265" t="str">
            <v>B25013381</v>
          </cell>
          <cell r="F2265"/>
          <cell r="G2265">
            <v>200000000</v>
          </cell>
          <cell r="H2265" t="str">
            <v>Faris</v>
          </cell>
          <cell r="I2265" t="str">
            <v>Syahra</v>
          </cell>
          <cell r="J2265"/>
          <cell r="K2265" t="str">
            <v>KU</v>
          </cell>
          <cell r="L2265" t="str">
            <v>DINO01</v>
          </cell>
          <cell r="M2265" t="str">
            <v>Dino Vita, Toko</v>
          </cell>
          <cell r="N2265" t="str">
            <v>Basori</v>
          </cell>
          <cell r="O2265" t="str">
            <v>Dsn. Tegalyasan, Ds. Tegalarum, Kec. Sempu</v>
          </cell>
          <cell r="P2265" t="str">
            <v>Banyuwangi</v>
          </cell>
          <cell r="Q2265" t="str">
            <v>Tegalyasan - Sempu</v>
          </cell>
          <cell r="R2265" t="str">
            <v>Banyuwangi</v>
          </cell>
          <cell r="S2265" t="str">
            <v>H Bwi1</v>
          </cell>
          <cell r="T2265" t="str">
            <v>Hafid</v>
          </cell>
          <cell r="U2265">
            <v>30</v>
          </cell>
        </row>
        <row r="2266">
          <cell r="E2266" t="str">
            <v>D25015684</v>
          </cell>
          <cell r="F2266"/>
          <cell r="G2266">
            <v>200000000</v>
          </cell>
          <cell r="H2266" t="str">
            <v>Faris</v>
          </cell>
          <cell r="I2266" t="str">
            <v>Syahra</v>
          </cell>
          <cell r="J2266"/>
          <cell r="K2266" t="str">
            <v>KU</v>
          </cell>
          <cell r="L2266" t="str">
            <v>DINO01</v>
          </cell>
          <cell r="M2266" t="str">
            <v>Dino Vita, Toko</v>
          </cell>
          <cell r="N2266" t="str">
            <v>Basori</v>
          </cell>
          <cell r="O2266" t="str">
            <v>Dsn. Tegalyasan, Ds. Tegalarum, Kec. Sempu</v>
          </cell>
          <cell r="P2266" t="str">
            <v>Banyuwangi</v>
          </cell>
          <cell r="Q2266" t="str">
            <v>Tegalyasan - Sempu</v>
          </cell>
          <cell r="R2266" t="str">
            <v>Banyuwangi</v>
          </cell>
          <cell r="S2266" t="str">
            <v>H Bwi1</v>
          </cell>
          <cell r="T2266" t="str">
            <v>Hafid</v>
          </cell>
          <cell r="U2266">
            <v>0</v>
          </cell>
        </row>
        <row r="2267">
          <cell r="E2267" t="str">
            <v>D25015685</v>
          </cell>
          <cell r="F2267"/>
          <cell r="G2267">
            <v>200000000</v>
          </cell>
          <cell r="H2267" t="str">
            <v>Faris</v>
          </cell>
          <cell r="I2267" t="str">
            <v>Syahra</v>
          </cell>
          <cell r="J2267"/>
          <cell r="K2267" t="str">
            <v>KU</v>
          </cell>
          <cell r="L2267" t="str">
            <v>DINO01</v>
          </cell>
          <cell r="M2267" t="str">
            <v>Dino Vita, Toko</v>
          </cell>
          <cell r="N2267" t="str">
            <v>Basori</v>
          </cell>
          <cell r="O2267" t="str">
            <v>Dsn. Tegalyasan, Ds. Tegalarum, Kec. Sempu</v>
          </cell>
          <cell r="P2267" t="str">
            <v>Banyuwangi</v>
          </cell>
          <cell r="Q2267" t="str">
            <v>Tegalyasan - Sempu</v>
          </cell>
          <cell r="R2267" t="str">
            <v>Banyuwangi</v>
          </cell>
          <cell r="S2267" t="str">
            <v>H Bwi1</v>
          </cell>
          <cell r="T2267" t="str">
            <v>Hafid</v>
          </cell>
          <cell r="U2267">
            <v>30</v>
          </cell>
        </row>
        <row r="2268">
          <cell r="E2268" t="str">
            <v>B25013582</v>
          </cell>
          <cell r="F2268"/>
          <cell r="G2268">
            <v>200000000</v>
          </cell>
          <cell r="H2268" t="str">
            <v>Faris</v>
          </cell>
          <cell r="I2268" t="str">
            <v>Syahra</v>
          </cell>
          <cell r="J2268"/>
          <cell r="K2268" t="str">
            <v>KU</v>
          </cell>
          <cell r="L2268" t="str">
            <v>DINO01</v>
          </cell>
          <cell r="M2268" t="str">
            <v>Dino Vita, Toko</v>
          </cell>
          <cell r="N2268" t="str">
            <v>Basori</v>
          </cell>
          <cell r="O2268" t="str">
            <v>Dsn. Tegalyasan, Ds. Tegalarum, Kec. Sempu</v>
          </cell>
          <cell r="P2268" t="str">
            <v>Banyuwangi</v>
          </cell>
          <cell r="Q2268" t="str">
            <v>Tegalyasan - Sempu</v>
          </cell>
          <cell r="R2268" t="str">
            <v>Banyuwangi</v>
          </cell>
          <cell r="S2268" t="str">
            <v>H Bwi1</v>
          </cell>
          <cell r="T2268" t="str">
            <v>Hafid</v>
          </cell>
          <cell r="U2268">
            <v>30</v>
          </cell>
        </row>
        <row r="2269">
          <cell r="E2269" t="str">
            <v>B25013679</v>
          </cell>
          <cell r="F2269"/>
          <cell r="G2269">
            <v>200000000</v>
          </cell>
          <cell r="H2269" t="str">
            <v>Faris</v>
          </cell>
          <cell r="I2269" t="str">
            <v>Syahra</v>
          </cell>
          <cell r="J2269"/>
          <cell r="K2269" t="str">
            <v>KU</v>
          </cell>
          <cell r="L2269" t="str">
            <v>DINO01</v>
          </cell>
          <cell r="M2269" t="str">
            <v>Dino Vita, Toko</v>
          </cell>
          <cell r="N2269" t="str">
            <v>Basori</v>
          </cell>
          <cell r="O2269" t="str">
            <v>Dsn. Tegalyasan, Ds. Tegalarum, Kec. Sempu</v>
          </cell>
          <cell r="P2269" t="str">
            <v>Banyuwangi</v>
          </cell>
          <cell r="Q2269" t="str">
            <v>Tegalyasan - Sempu</v>
          </cell>
          <cell r="R2269" t="str">
            <v>Banyuwangi</v>
          </cell>
          <cell r="S2269" t="str">
            <v>H Bwi1</v>
          </cell>
          <cell r="T2269" t="str">
            <v>Hafid</v>
          </cell>
          <cell r="U2269">
            <v>60</v>
          </cell>
        </row>
        <row r="2270">
          <cell r="E2270" t="str">
            <v>B25013881</v>
          </cell>
          <cell r="F2270"/>
          <cell r="G2270">
            <v>1000</v>
          </cell>
          <cell r="H2270" t="str">
            <v>Faris</v>
          </cell>
          <cell r="I2270" t="str">
            <v>Syahra</v>
          </cell>
          <cell r="J2270" t="str">
            <v>New 27/05/25</v>
          </cell>
          <cell r="K2270" t="str">
            <v>KU</v>
          </cell>
          <cell r="L2270" t="str">
            <v>DIVA04</v>
          </cell>
          <cell r="M2270" t="str">
            <v>Diva Jaya</v>
          </cell>
          <cell r="N2270" t="str">
            <v>Arifa Ummi Rismawati</v>
          </cell>
          <cell r="O2270" t="str">
            <v>KP Buduan Utara RT.002/RW.005 , Kel. Buduan Kcc. Suboh</v>
          </cell>
          <cell r="P2270" t="str">
            <v>Situbondo</v>
          </cell>
          <cell r="Q2270" t="str">
            <v>KP Buduan Utara RT.002/RW.005 , Kel. Buduan Kcc. Suboh</v>
          </cell>
          <cell r="R2270" t="str">
            <v>Situbondo</v>
          </cell>
          <cell r="S2270" t="str">
            <v>N Bdw Stb</v>
          </cell>
          <cell r="T2270" t="str">
            <v>Wira</v>
          </cell>
          <cell r="U2270">
            <v>0</v>
          </cell>
        </row>
        <row r="2271">
          <cell r="E2271" t="str">
            <v>B25013882</v>
          </cell>
          <cell r="F2271"/>
          <cell r="G2271">
            <v>1000</v>
          </cell>
          <cell r="H2271" t="str">
            <v>Faris</v>
          </cell>
          <cell r="I2271" t="str">
            <v>Syahra</v>
          </cell>
          <cell r="J2271" t="str">
            <v>New 27/05/25</v>
          </cell>
          <cell r="K2271" t="str">
            <v>KU</v>
          </cell>
          <cell r="L2271" t="str">
            <v>DIVA04</v>
          </cell>
          <cell r="M2271" t="str">
            <v>Diva Jaya</v>
          </cell>
          <cell r="N2271" t="str">
            <v>Arifa Ummi Rismawati</v>
          </cell>
          <cell r="O2271" t="str">
            <v>KP Buduan Utara RT.002/RW.005 , Kel. Buduan Kcc. Suboh</v>
          </cell>
          <cell r="P2271" t="str">
            <v>Situbondo</v>
          </cell>
          <cell r="Q2271" t="str">
            <v>KP Buduan Utara RT.002/RW.005 , Kel. Buduan Kcc. Suboh</v>
          </cell>
          <cell r="R2271" t="str">
            <v>Situbondo</v>
          </cell>
          <cell r="S2271" t="str">
            <v>N Bdw Stb</v>
          </cell>
          <cell r="T2271" t="str">
            <v>Wira</v>
          </cell>
          <cell r="U2271">
            <v>0</v>
          </cell>
        </row>
        <row r="2272">
          <cell r="E2272" t="str">
            <v>T25000900</v>
          </cell>
          <cell r="F2272"/>
          <cell r="G2272">
            <v>20000000</v>
          </cell>
          <cell r="H2272" t="str">
            <v>Zakia</v>
          </cell>
          <cell r="I2272" t="str">
            <v>Tiya</v>
          </cell>
          <cell r="J2272"/>
          <cell r="K2272" t="str">
            <v>KU</v>
          </cell>
          <cell r="L2272" t="str">
            <v>YAYU01</v>
          </cell>
          <cell r="M2272" t="str">
            <v>Dizka Tani/Yayuk</v>
          </cell>
          <cell r="N2272" t="str">
            <v>Yayuk Muzayanah</v>
          </cell>
          <cell r="O2272" t="str">
            <v>Dsn. Kebuonagung, RT.001/RW.007 Kel. Popoh, Kec. Selopuro</v>
          </cell>
          <cell r="P2272" t="str">
            <v>Blitar</v>
          </cell>
          <cell r="Q2272" t="str">
            <v>Dsn. Kedondong RT.003/RW.004, Kel. Tangkil, Kec. Wlingi</v>
          </cell>
          <cell r="R2272" t="str">
            <v>Blitar</v>
          </cell>
          <cell r="S2272" t="str">
            <v>D Barat2</v>
          </cell>
          <cell r="T2272" t="str">
            <v>Tomi</v>
          </cell>
          <cell r="U2272">
            <v>60</v>
          </cell>
        </row>
        <row r="2273">
          <cell r="E2273" t="str">
            <v>T25001049</v>
          </cell>
          <cell r="F2273"/>
          <cell r="G2273">
            <v>20000000</v>
          </cell>
          <cell r="H2273" t="str">
            <v>Zakia</v>
          </cell>
          <cell r="I2273" t="str">
            <v>Tiya</v>
          </cell>
          <cell r="J2273"/>
          <cell r="K2273" t="str">
            <v>KU</v>
          </cell>
          <cell r="L2273" t="str">
            <v>YAYU01</v>
          </cell>
          <cell r="M2273" t="str">
            <v>Dizka Tani/Yayuk</v>
          </cell>
          <cell r="N2273" t="str">
            <v>Yayuk Muzayanah</v>
          </cell>
          <cell r="O2273" t="str">
            <v>Dsn. Kebuonagung, RT.001/RW.007 Kel. Popoh, Kec. Selopuro</v>
          </cell>
          <cell r="P2273" t="str">
            <v>Blitar</v>
          </cell>
          <cell r="Q2273" t="str">
            <v>Dsn. Kedondong RT.003/RW.004, Kel. Tangkil, Kec. Wlingi</v>
          </cell>
          <cell r="R2273" t="str">
            <v>Blitar</v>
          </cell>
          <cell r="S2273" t="str">
            <v>D Barat2</v>
          </cell>
          <cell r="T2273" t="str">
            <v>Tomi</v>
          </cell>
          <cell r="U2273">
            <v>60</v>
          </cell>
        </row>
        <row r="2274">
          <cell r="E2274" t="str">
            <v>D25013307</v>
          </cell>
          <cell r="F2274"/>
          <cell r="G2274">
            <v>20000000</v>
          </cell>
          <cell r="H2274" t="str">
            <v>Zakia</v>
          </cell>
          <cell r="I2274" t="str">
            <v>Tiya</v>
          </cell>
          <cell r="J2274"/>
          <cell r="K2274" t="str">
            <v>KU</v>
          </cell>
          <cell r="L2274" t="str">
            <v>YAYU01</v>
          </cell>
          <cell r="M2274" t="str">
            <v>Dizka Tani/Yayuk</v>
          </cell>
          <cell r="N2274" t="str">
            <v>Yayuk Muzayanah</v>
          </cell>
          <cell r="O2274" t="str">
            <v>Dsn. Kebuonagung, RT.001/RW.007 Kel. Popoh, Kec. Selopuro</v>
          </cell>
          <cell r="P2274" t="str">
            <v>Blitar</v>
          </cell>
          <cell r="Q2274" t="str">
            <v>Dsn. Kedondong RT.003/RW.004, Kel. Tangkil, Kec. Wlingi</v>
          </cell>
          <cell r="R2274" t="str">
            <v>Blitar</v>
          </cell>
          <cell r="S2274" t="str">
            <v>D Barat2</v>
          </cell>
          <cell r="T2274" t="str">
            <v>Tomi</v>
          </cell>
          <cell r="U2274">
            <v>30</v>
          </cell>
        </row>
        <row r="2275">
          <cell r="E2275" t="str">
            <v>B25011292</v>
          </cell>
          <cell r="F2275"/>
          <cell r="G2275">
            <v>20000000</v>
          </cell>
          <cell r="H2275" t="str">
            <v>Zakia</v>
          </cell>
          <cell r="I2275" t="str">
            <v>Tiya</v>
          </cell>
          <cell r="J2275"/>
          <cell r="K2275" t="str">
            <v>KU</v>
          </cell>
          <cell r="L2275" t="str">
            <v>YAYU01</v>
          </cell>
          <cell r="M2275" t="str">
            <v>Dizka Tani/Yayuk</v>
          </cell>
          <cell r="N2275" t="str">
            <v>Yayuk Muzayanah</v>
          </cell>
          <cell r="O2275" t="str">
            <v>Dsn. Kebuonagung, RT.001/RW.007 Kel. Popoh, Kec. Selopuro</v>
          </cell>
          <cell r="P2275" t="str">
            <v>Blitar</v>
          </cell>
          <cell r="Q2275" t="str">
            <v>Dsn. Kedondong RT.003/RW.004, Kel. Tangkil, Kec. Wlingi</v>
          </cell>
          <cell r="R2275" t="str">
            <v>Blitar</v>
          </cell>
          <cell r="S2275" t="str">
            <v>D Barat2</v>
          </cell>
          <cell r="T2275" t="str">
            <v>Tomi</v>
          </cell>
          <cell r="U2275">
            <v>30</v>
          </cell>
        </row>
        <row r="2276">
          <cell r="E2276" t="str">
            <v>D25014481</v>
          </cell>
          <cell r="F2276"/>
          <cell r="G2276">
            <v>20000000</v>
          </cell>
          <cell r="H2276" t="str">
            <v>Zakia</v>
          </cell>
          <cell r="I2276" t="str">
            <v>Tiya</v>
          </cell>
          <cell r="J2276"/>
          <cell r="K2276" t="str">
            <v>KU</v>
          </cell>
          <cell r="L2276" t="str">
            <v>YAYU01</v>
          </cell>
          <cell r="M2276" t="str">
            <v>Dizka Tani/Yayuk</v>
          </cell>
          <cell r="N2276" t="str">
            <v>Yayuk Muzayanah</v>
          </cell>
          <cell r="O2276" t="str">
            <v>Dsn. Kebuonagung, RT.001/RW.007 Kel. Popoh, Kec. Selopuro</v>
          </cell>
          <cell r="P2276" t="str">
            <v>Blitar</v>
          </cell>
          <cell r="Q2276" t="str">
            <v>Dsn. Kedondong RT.003/RW.004, Kel. Tangkil, Kec. Wlingi</v>
          </cell>
          <cell r="R2276" t="str">
            <v>Blitar</v>
          </cell>
          <cell r="S2276" t="str">
            <v>D Barat2</v>
          </cell>
          <cell r="T2276" t="str">
            <v>Tomi</v>
          </cell>
          <cell r="U2276">
            <v>30</v>
          </cell>
        </row>
        <row r="2277">
          <cell r="E2277" t="str">
            <v>D25015479</v>
          </cell>
          <cell r="F2277"/>
          <cell r="G2277">
            <v>20000000</v>
          </cell>
          <cell r="H2277" t="str">
            <v>Zakia</v>
          </cell>
          <cell r="I2277" t="str">
            <v>Tiya</v>
          </cell>
          <cell r="J2277"/>
          <cell r="K2277" t="str">
            <v>KU</v>
          </cell>
          <cell r="L2277" t="str">
            <v>YAYU01</v>
          </cell>
          <cell r="M2277" t="str">
            <v>Dizka Tani/Yayuk</v>
          </cell>
          <cell r="N2277" t="str">
            <v>Yayuk Muzayanah</v>
          </cell>
          <cell r="O2277" t="str">
            <v>Dsn. Kebuonagung, RT.001/RW.007 Kel. Popoh, Kec. Selopuro</v>
          </cell>
          <cell r="P2277" t="str">
            <v>Blitar</v>
          </cell>
          <cell r="Q2277" t="str">
            <v>Dsn. Kedondong RT.003/RW.004, Kel. Tangkil, Kec. Wlingi</v>
          </cell>
          <cell r="R2277" t="str">
            <v>Blitar</v>
          </cell>
          <cell r="S2277" t="str">
            <v>D Barat2</v>
          </cell>
          <cell r="T2277" t="str">
            <v>Tomi</v>
          </cell>
          <cell r="U2277">
            <v>30</v>
          </cell>
        </row>
        <row r="2278">
          <cell r="E2278" t="str">
            <v>B25014073</v>
          </cell>
          <cell r="F2278"/>
          <cell r="G2278">
            <v>20000000</v>
          </cell>
          <cell r="H2278" t="str">
            <v>Zakia</v>
          </cell>
          <cell r="I2278" t="str">
            <v>Tiya</v>
          </cell>
          <cell r="J2278"/>
          <cell r="K2278" t="str">
            <v>KU</v>
          </cell>
          <cell r="L2278" t="str">
            <v>YAYU01</v>
          </cell>
          <cell r="M2278" t="str">
            <v>Dizka Tani/Yayuk</v>
          </cell>
          <cell r="N2278" t="str">
            <v>Yayuk Muzayanah</v>
          </cell>
          <cell r="O2278" t="str">
            <v>Dsn. Kebuonagung, RT.001/RW.007 Kel. Popoh, Kec. Selopuro</v>
          </cell>
          <cell r="P2278" t="str">
            <v>Blitar</v>
          </cell>
          <cell r="Q2278" t="str">
            <v>Dsn. Kedondong RT.003/RW.004, Kel. Tangkil, Kec. Wlingi</v>
          </cell>
          <cell r="R2278" t="str">
            <v>Blitar</v>
          </cell>
          <cell r="S2278" t="str">
            <v>D Barat2</v>
          </cell>
          <cell r="T2278" t="str">
            <v>Tomi</v>
          </cell>
          <cell r="U2278">
            <v>30</v>
          </cell>
        </row>
        <row r="2279">
          <cell r="E2279" t="str">
            <v>D25010681</v>
          </cell>
          <cell r="F2279"/>
          <cell r="G2279">
            <v>50000000</v>
          </cell>
          <cell r="H2279" t="str">
            <v>Reni</v>
          </cell>
          <cell r="I2279" t="str">
            <v>Farida</v>
          </cell>
          <cell r="J2279"/>
          <cell r="K2279" t="str">
            <v>KU</v>
          </cell>
          <cell r="L2279" t="str">
            <v>JAGO02</v>
          </cell>
          <cell r="M2279" t="str">
            <v>Djago Tani/Edi</v>
          </cell>
          <cell r="N2279" t="str">
            <v>Diana Arianti</v>
          </cell>
          <cell r="O2279" t="str">
            <v>Dukuh Kebatan I, RT.004/RW.002, Kel. Campurejo, Kec. Sambit</v>
          </cell>
          <cell r="P2279" t="str">
            <v>Ponorogo</v>
          </cell>
          <cell r="Q2279" t="str">
            <v>Ds. Kembatan Campur-Sambit</v>
          </cell>
          <cell r="R2279" t="str">
            <v>Ponorogo</v>
          </cell>
          <cell r="S2279" t="str">
            <v>D Barat1</v>
          </cell>
          <cell r="T2279" t="str">
            <v>Dian</v>
          </cell>
          <cell r="U2279">
            <v>60</v>
          </cell>
        </row>
        <row r="2280">
          <cell r="E2280" t="str">
            <v>B25008943</v>
          </cell>
          <cell r="F2280"/>
          <cell r="G2280">
            <v>50000000</v>
          </cell>
          <cell r="H2280" t="str">
            <v>Reni</v>
          </cell>
          <cell r="I2280" t="str">
            <v>Farida</v>
          </cell>
          <cell r="J2280"/>
          <cell r="K2280" t="str">
            <v>KU</v>
          </cell>
          <cell r="L2280" t="str">
            <v>JAGO02</v>
          </cell>
          <cell r="M2280" t="str">
            <v>Djago Tani/Edi</v>
          </cell>
          <cell r="N2280" t="str">
            <v>Diana Arianti</v>
          </cell>
          <cell r="O2280" t="str">
            <v>Dukuh Kebatan I, RT.004/RW.002, Kel. Campurejo, Kec. Sambit</v>
          </cell>
          <cell r="P2280" t="str">
            <v>Ponorogo</v>
          </cell>
          <cell r="Q2280" t="str">
            <v>Ds. Kembatan Campur-Sambit</v>
          </cell>
          <cell r="R2280" t="str">
            <v>Ponorogo</v>
          </cell>
          <cell r="S2280" t="str">
            <v>D Barat1</v>
          </cell>
          <cell r="T2280" t="str">
            <v>Dian</v>
          </cell>
          <cell r="U2280">
            <v>60</v>
          </cell>
        </row>
        <row r="2281">
          <cell r="E2281" t="str">
            <v>B25010638</v>
          </cell>
          <cell r="F2281"/>
          <cell r="G2281">
            <v>50000000</v>
          </cell>
          <cell r="H2281" t="str">
            <v>Reni</v>
          </cell>
          <cell r="I2281" t="str">
            <v>Farida</v>
          </cell>
          <cell r="J2281"/>
          <cell r="K2281" t="str">
            <v>KU</v>
          </cell>
          <cell r="L2281" t="str">
            <v>JAGO02</v>
          </cell>
          <cell r="M2281" t="str">
            <v>Djago Tani/Edi</v>
          </cell>
          <cell r="N2281" t="str">
            <v>Diana Arianti</v>
          </cell>
          <cell r="O2281" t="str">
            <v>Dukuh Kebatan I, RT.004/RW.002, Kel. Campurejo, Kec. Sambit</v>
          </cell>
          <cell r="P2281" t="str">
            <v>Ponorogo</v>
          </cell>
          <cell r="Q2281" t="str">
            <v>Ds. Kembatan Campur-Sambit</v>
          </cell>
          <cell r="R2281" t="str">
            <v>Ponorogo</v>
          </cell>
          <cell r="S2281" t="str">
            <v>D Barat1</v>
          </cell>
          <cell r="T2281" t="str">
            <v>Dian</v>
          </cell>
          <cell r="U2281">
            <v>60</v>
          </cell>
        </row>
        <row r="2282">
          <cell r="E2282" t="str">
            <v>T25001327</v>
          </cell>
          <cell r="F2282"/>
          <cell r="G2282">
            <v>50000000</v>
          </cell>
          <cell r="H2282" t="str">
            <v>Reni</v>
          </cell>
          <cell r="I2282" t="str">
            <v>Farida</v>
          </cell>
          <cell r="J2282"/>
          <cell r="K2282" t="str">
            <v>KU</v>
          </cell>
          <cell r="L2282" t="str">
            <v>JAGO02</v>
          </cell>
          <cell r="M2282" t="str">
            <v>Djago Tani/Edi</v>
          </cell>
          <cell r="N2282" t="str">
            <v>Diana Arianti</v>
          </cell>
          <cell r="O2282" t="str">
            <v>Dukuh Kebatan I, RT.004/RW.002, Kel. Campurejo, Kec. Sambit</v>
          </cell>
          <cell r="P2282" t="str">
            <v>Ponorogo</v>
          </cell>
          <cell r="Q2282" t="str">
            <v>Ds. Kembatan Campur-Sambit</v>
          </cell>
          <cell r="R2282" t="str">
            <v>Ponorogo</v>
          </cell>
          <cell r="S2282" t="str">
            <v>D Barat1</v>
          </cell>
          <cell r="T2282" t="str">
            <v>Dian</v>
          </cell>
          <cell r="U2282">
            <v>60</v>
          </cell>
        </row>
        <row r="2283">
          <cell r="E2283" t="str">
            <v>B25012018</v>
          </cell>
          <cell r="F2283"/>
          <cell r="G2283">
            <v>50000000</v>
          </cell>
          <cell r="H2283" t="str">
            <v>Reni</v>
          </cell>
          <cell r="I2283" t="str">
            <v>Farida</v>
          </cell>
          <cell r="J2283"/>
          <cell r="K2283" t="str">
            <v>KU</v>
          </cell>
          <cell r="L2283" t="str">
            <v>JAGO02</v>
          </cell>
          <cell r="M2283" t="str">
            <v>Djago Tani/Edi</v>
          </cell>
          <cell r="N2283" t="str">
            <v>Diana Arianti</v>
          </cell>
          <cell r="O2283" t="str">
            <v>Dukuh Kebatan I, RT.004/RW.002, Kel. Campurejo, Kec. Sambit</v>
          </cell>
          <cell r="P2283" t="str">
            <v>Ponorogo</v>
          </cell>
          <cell r="Q2283" t="str">
            <v>Ds. Kembatan Campur-Sambit</v>
          </cell>
          <cell r="R2283" t="str">
            <v>Ponorogo</v>
          </cell>
          <cell r="S2283" t="str">
            <v>D Barat1</v>
          </cell>
          <cell r="T2283" t="str">
            <v>Dian</v>
          </cell>
          <cell r="U2283">
            <v>60</v>
          </cell>
        </row>
        <row r="2284">
          <cell r="E2284" t="str">
            <v>T25001403</v>
          </cell>
          <cell r="F2284"/>
          <cell r="G2284">
            <v>50000000</v>
          </cell>
          <cell r="H2284" t="str">
            <v>Reni</v>
          </cell>
          <cell r="I2284" t="str">
            <v>Farida</v>
          </cell>
          <cell r="J2284"/>
          <cell r="K2284" t="str">
            <v>KU</v>
          </cell>
          <cell r="L2284" t="str">
            <v>JAGO02</v>
          </cell>
          <cell r="M2284" t="str">
            <v>Djago Tani/Edi</v>
          </cell>
          <cell r="N2284" t="str">
            <v>Diana Arianti</v>
          </cell>
          <cell r="O2284" t="str">
            <v>Dukuh Kebatan I, RT.004/RW.002, Kel. Campurejo, Kec. Sambit</v>
          </cell>
          <cell r="P2284" t="str">
            <v>Ponorogo</v>
          </cell>
          <cell r="Q2284" t="str">
            <v>Ds. Kembatan Campur-Sambit</v>
          </cell>
          <cell r="R2284" t="str">
            <v>Ponorogo</v>
          </cell>
          <cell r="S2284" t="str">
            <v>D Barat1</v>
          </cell>
          <cell r="T2284" t="str">
            <v>Dian</v>
          </cell>
          <cell r="U2284">
            <v>60</v>
          </cell>
        </row>
        <row r="2285">
          <cell r="E2285" t="str">
            <v>B25013009</v>
          </cell>
          <cell r="F2285"/>
          <cell r="G2285">
            <v>50000000</v>
          </cell>
          <cell r="H2285" t="str">
            <v>Reni</v>
          </cell>
          <cell r="I2285" t="str">
            <v>Farida</v>
          </cell>
          <cell r="J2285"/>
          <cell r="K2285" t="str">
            <v>KU</v>
          </cell>
          <cell r="L2285" t="str">
            <v>JAGO02</v>
          </cell>
          <cell r="M2285" t="str">
            <v>Djago Tani/Edi</v>
          </cell>
          <cell r="N2285" t="str">
            <v>Diana Arianti</v>
          </cell>
          <cell r="O2285" t="str">
            <v>Dukuh Kebatan I, RT.004/RW.002, Kel. Campurejo, Kec. Sambit</v>
          </cell>
          <cell r="P2285" t="str">
            <v>Ponorogo</v>
          </cell>
          <cell r="Q2285" t="str">
            <v>Ds. Kembatan Campur-Sambit</v>
          </cell>
          <cell r="R2285" t="str">
            <v>Ponorogo</v>
          </cell>
          <cell r="S2285" t="str">
            <v>D Barat1</v>
          </cell>
          <cell r="T2285" t="str">
            <v>Dian</v>
          </cell>
          <cell r="U2285">
            <v>0</v>
          </cell>
        </row>
        <row r="2286">
          <cell r="E2286" t="str">
            <v>B25013010</v>
          </cell>
          <cell r="F2286"/>
          <cell r="G2286">
            <v>50000000</v>
          </cell>
          <cell r="H2286" t="str">
            <v>Reni</v>
          </cell>
          <cell r="I2286" t="str">
            <v>Farida</v>
          </cell>
          <cell r="J2286"/>
          <cell r="K2286" t="str">
            <v>KU</v>
          </cell>
          <cell r="L2286" t="str">
            <v>JAGO02</v>
          </cell>
          <cell r="M2286" t="str">
            <v>Djago Tani/Edi</v>
          </cell>
          <cell r="N2286" t="str">
            <v>Diana Arianti</v>
          </cell>
          <cell r="O2286" t="str">
            <v>Dukuh Kebatan I, RT.004/RW.002, Kel. Campurejo, Kec. Sambit</v>
          </cell>
          <cell r="P2286" t="str">
            <v>Ponorogo</v>
          </cell>
          <cell r="Q2286" t="str">
            <v>Ds. Kembatan Campur-Sambit</v>
          </cell>
          <cell r="R2286" t="str">
            <v>Ponorogo</v>
          </cell>
          <cell r="S2286" t="str">
            <v>D Barat1</v>
          </cell>
          <cell r="T2286" t="str">
            <v>Dian</v>
          </cell>
          <cell r="U2286">
            <v>60</v>
          </cell>
        </row>
        <row r="2287">
          <cell r="E2287" t="str">
            <v>B25013899</v>
          </cell>
          <cell r="F2287"/>
          <cell r="G2287">
            <v>50000000</v>
          </cell>
          <cell r="H2287" t="str">
            <v>Reni</v>
          </cell>
          <cell r="I2287" t="str">
            <v>Farida</v>
          </cell>
          <cell r="J2287"/>
          <cell r="K2287" t="str">
            <v>KU</v>
          </cell>
          <cell r="L2287" t="str">
            <v>JAGO02</v>
          </cell>
          <cell r="M2287" t="str">
            <v>Djago Tani/Edi</v>
          </cell>
          <cell r="N2287" t="str">
            <v>Diana Arianti</v>
          </cell>
          <cell r="O2287" t="str">
            <v>Dukuh Kebatan I, RT.004/RW.002, Kel. Campurejo, Kec. Sambit</v>
          </cell>
          <cell r="P2287" t="str">
            <v>Ponorogo</v>
          </cell>
          <cell r="Q2287" t="str">
            <v>Ds. Kembatan Campur-Sambit</v>
          </cell>
          <cell r="R2287" t="str">
            <v>Ponorogo</v>
          </cell>
          <cell r="S2287" t="str">
            <v>D Barat1</v>
          </cell>
          <cell r="T2287" t="str">
            <v>Dian</v>
          </cell>
          <cell r="U2287">
            <v>60</v>
          </cell>
        </row>
        <row r="2288">
          <cell r="E2288" t="str">
            <v>T25001602</v>
          </cell>
          <cell r="F2288"/>
          <cell r="G2288">
            <v>50000000</v>
          </cell>
          <cell r="H2288" t="str">
            <v>Reni</v>
          </cell>
          <cell r="I2288" t="str">
            <v>Farida</v>
          </cell>
          <cell r="J2288"/>
          <cell r="K2288" t="str">
            <v>KU</v>
          </cell>
          <cell r="L2288" t="str">
            <v>JAGO02</v>
          </cell>
          <cell r="M2288" t="str">
            <v>Djago Tani/Edi</v>
          </cell>
          <cell r="N2288" t="str">
            <v>Diana Arianti</v>
          </cell>
          <cell r="O2288" t="str">
            <v>Dukuh Kebatan I, RT.004/RW.002, Kel. Campurejo, Kec. Sambit</v>
          </cell>
          <cell r="P2288" t="str">
            <v>Ponorogo</v>
          </cell>
          <cell r="Q2288" t="str">
            <v>Ds. Kembatan Campur-Sambit</v>
          </cell>
          <cell r="R2288" t="str">
            <v>Ponorogo</v>
          </cell>
          <cell r="S2288" t="str">
            <v>D Barat1</v>
          </cell>
          <cell r="T2288" t="str">
            <v>Dian</v>
          </cell>
          <cell r="U2288">
            <v>60</v>
          </cell>
        </row>
        <row r="2289">
          <cell r="E2289" t="str">
            <v>D25012454</v>
          </cell>
          <cell r="F2289"/>
          <cell r="G2289">
            <v>40000000</v>
          </cell>
          <cell r="H2289" t="str">
            <v>Zakia</v>
          </cell>
          <cell r="I2289" t="str">
            <v>Tiya</v>
          </cell>
          <cell r="J2289" t="str">
            <v>New 23/02/21</v>
          </cell>
          <cell r="K2289" t="str">
            <v>KU</v>
          </cell>
          <cell r="L2289" t="str">
            <v>DJER01</v>
          </cell>
          <cell r="M2289" t="str">
            <v>Djero Bonsai</v>
          </cell>
          <cell r="N2289" t="str">
            <v>I Putu Darmika</v>
          </cell>
          <cell r="O2289" t="str">
            <v>Jl. Sri Wedari No. 47 Lingk. Taman Kaja, Kel. Ubud, Kec. Ubud, Gianyar</v>
          </cell>
          <cell r="P2289" t="str">
            <v>Bali</v>
          </cell>
          <cell r="Q2289" t="str">
            <v>Setelah Labak Tani, Pertigaan Belok Kanan, Setelah itu ada perempatan belok kiri, lurus, kios ada di kanan jalan</v>
          </cell>
          <cell r="R2289" t="str">
            <v>Bali</v>
          </cell>
          <cell r="S2289" t="str">
            <v>S Bali3</v>
          </cell>
          <cell r="T2289" t="str">
            <v>Wira</v>
          </cell>
          <cell r="U2289">
            <v>30</v>
          </cell>
        </row>
        <row r="2290">
          <cell r="E2290" t="str">
            <v>D25013322</v>
          </cell>
          <cell r="F2290"/>
          <cell r="G2290">
            <v>40000000</v>
          </cell>
          <cell r="H2290" t="str">
            <v>Zakia</v>
          </cell>
          <cell r="I2290" t="str">
            <v>Tiya</v>
          </cell>
          <cell r="J2290" t="str">
            <v>New 23/02/21</v>
          </cell>
          <cell r="K2290" t="str">
            <v>KU</v>
          </cell>
          <cell r="L2290" t="str">
            <v>DJER01</v>
          </cell>
          <cell r="M2290" t="str">
            <v>Djero Bonsai</v>
          </cell>
          <cell r="N2290" t="str">
            <v>I Putu Darmika</v>
          </cell>
          <cell r="O2290" t="str">
            <v>Jl. Sri Wedari No. 47 Lingk. Taman Kaja, Kel. Ubud, Kec. Ubud, Gianyar</v>
          </cell>
          <cell r="P2290" t="str">
            <v>Bali</v>
          </cell>
          <cell r="Q2290" t="str">
            <v>Setelah Labak Tani, Pertigaan Belok Kanan, Setelah itu ada perempatan belok kiri, lurus, kios ada di kanan jalan</v>
          </cell>
          <cell r="R2290" t="str">
            <v>Bali</v>
          </cell>
          <cell r="S2290" t="str">
            <v>S Bali3</v>
          </cell>
          <cell r="T2290" t="str">
            <v>Wira</v>
          </cell>
          <cell r="U2290">
            <v>30</v>
          </cell>
        </row>
        <row r="2291">
          <cell r="E2291" t="str">
            <v>D25013323</v>
          </cell>
          <cell r="F2291"/>
          <cell r="G2291">
            <v>40000000</v>
          </cell>
          <cell r="H2291" t="str">
            <v>Zakia</v>
          </cell>
          <cell r="I2291" t="str">
            <v>Tiya</v>
          </cell>
          <cell r="J2291" t="str">
            <v>New 23/02/21</v>
          </cell>
          <cell r="K2291" t="str">
            <v>KU</v>
          </cell>
          <cell r="L2291" t="str">
            <v>DJER01</v>
          </cell>
          <cell r="M2291" t="str">
            <v>Djero Bonsai</v>
          </cell>
          <cell r="N2291" t="str">
            <v>I Putu Darmika</v>
          </cell>
          <cell r="O2291" t="str">
            <v>Jl. Sri Wedari No. 47 Lingk. Taman Kaja, Kel. Ubud, Kec. Ubud, Gianyar</v>
          </cell>
          <cell r="P2291" t="str">
            <v>Bali</v>
          </cell>
          <cell r="Q2291" t="str">
            <v>Setelah Labak Tani, Pertigaan Belok Kanan, Setelah itu ada perempatan belok kiri, lurus, kios ada di kanan jalan</v>
          </cell>
          <cell r="R2291" t="str">
            <v>Bali</v>
          </cell>
          <cell r="S2291" t="str">
            <v>S Bali3</v>
          </cell>
          <cell r="T2291" t="str">
            <v>Wira</v>
          </cell>
          <cell r="U2291">
            <v>30</v>
          </cell>
        </row>
        <row r="2292">
          <cell r="E2292" t="str">
            <v>B25011852</v>
          </cell>
          <cell r="F2292"/>
          <cell r="G2292">
            <v>40000000</v>
          </cell>
          <cell r="H2292" t="str">
            <v>Zakia</v>
          </cell>
          <cell r="I2292" t="str">
            <v>Tiya</v>
          </cell>
          <cell r="J2292" t="str">
            <v>New 23/02/21</v>
          </cell>
          <cell r="K2292" t="str">
            <v>KU</v>
          </cell>
          <cell r="L2292" t="str">
            <v>DJER01</v>
          </cell>
          <cell r="M2292" t="str">
            <v>Djero Bonsai</v>
          </cell>
          <cell r="N2292" t="str">
            <v>I Putu Darmika</v>
          </cell>
          <cell r="O2292" t="str">
            <v>Jl. Sri Wedari No. 47 Lingk. Taman Kaja, Kel. Ubud, Kec. Ubud, Gianyar</v>
          </cell>
          <cell r="P2292" t="str">
            <v>Bali</v>
          </cell>
          <cell r="Q2292" t="str">
            <v>Setelah Labak Tani, Pertigaan Belok Kanan, Setelah itu ada perempatan belok kiri, lurus, kios ada di kanan jalan</v>
          </cell>
          <cell r="R2292" t="str">
            <v>Bali</v>
          </cell>
          <cell r="S2292" t="str">
            <v>S Bali3</v>
          </cell>
          <cell r="T2292" t="str">
            <v>Wira</v>
          </cell>
          <cell r="U2292">
            <v>30</v>
          </cell>
        </row>
        <row r="2293">
          <cell r="E2293" t="str">
            <v>D25014097</v>
          </cell>
          <cell r="F2293"/>
          <cell r="G2293">
            <v>40000000</v>
          </cell>
          <cell r="H2293" t="str">
            <v>Zakia</v>
          </cell>
          <cell r="I2293" t="str">
            <v>Tiya</v>
          </cell>
          <cell r="J2293" t="str">
            <v>New 23/02/21</v>
          </cell>
          <cell r="K2293" t="str">
            <v>KU</v>
          </cell>
          <cell r="L2293" t="str">
            <v>DJER01</v>
          </cell>
          <cell r="M2293" t="str">
            <v>Djero Bonsai</v>
          </cell>
          <cell r="N2293" t="str">
            <v>I Putu Darmika</v>
          </cell>
          <cell r="O2293" t="str">
            <v>Jl. Sri Wedari No. 47 Lingk. Taman Kaja, Kel. Ubud, Kec. Ubud, Gianyar</v>
          </cell>
          <cell r="P2293" t="str">
            <v>Bali</v>
          </cell>
          <cell r="Q2293" t="str">
            <v>Setelah Labak Tani, Pertigaan Belok Kanan, Setelah itu ada perempatan belok kiri, lurus, kios ada di kanan jalan</v>
          </cell>
          <cell r="R2293" t="str">
            <v>Bali</v>
          </cell>
          <cell r="S2293" t="str">
            <v>S Bali3</v>
          </cell>
          <cell r="T2293" t="str">
            <v>Wira</v>
          </cell>
          <cell r="U2293">
            <v>30</v>
          </cell>
        </row>
        <row r="2294">
          <cell r="E2294" t="str">
            <v>D25015246</v>
          </cell>
          <cell r="F2294"/>
          <cell r="G2294">
            <v>40000000</v>
          </cell>
          <cell r="H2294" t="str">
            <v>Zakia</v>
          </cell>
          <cell r="I2294" t="str">
            <v>Tiya</v>
          </cell>
          <cell r="J2294" t="str">
            <v>New 23/02/21</v>
          </cell>
          <cell r="K2294" t="str">
            <v>KU</v>
          </cell>
          <cell r="L2294" t="str">
            <v>DJER01</v>
          </cell>
          <cell r="M2294" t="str">
            <v>Djero Bonsai</v>
          </cell>
          <cell r="N2294" t="str">
            <v>I Putu Darmika</v>
          </cell>
          <cell r="O2294" t="str">
            <v>Jl. Sri Wedari No. 47 Lingk. Taman Kaja, Kel. Ubud, Kec. Ubud, Gianyar</v>
          </cell>
          <cell r="P2294" t="str">
            <v>Bali</v>
          </cell>
          <cell r="Q2294" t="str">
            <v>Setelah Labak Tani, Pertigaan Belok Kanan, Setelah itu ada perempatan belok kiri, lurus, kios ada di kanan jalan</v>
          </cell>
          <cell r="R2294" t="str">
            <v>Bali</v>
          </cell>
          <cell r="S2294" t="str">
            <v>S Bali3</v>
          </cell>
          <cell r="T2294" t="str">
            <v>Wira</v>
          </cell>
          <cell r="U2294">
            <v>30</v>
          </cell>
        </row>
        <row r="2295">
          <cell r="E2295" t="str">
            <v>D25015247</v>
          </cell>
          <cell r="F2295"/>
          <cell r="G2295">
            <v>40000000</v>
          </cell>
          <cell r="H2295" t="str">
            <v>Zakia</v>
          </cell>
          <cell r="I2295" t="str">
            <v>Tiya</v>
          </cell>
          <cell r="J2295" t="str">
            <v>New 23/02/21</v>
          </cell>
          <cell r="K2295" t="str">
            <v>KU</v>
          </cell>
          <cell r="L2295" t="str">
            <v>DJER01</v>
          </cell>
          <cell r="M2295" t="str">
            <v>Djero Bonsai</v>
          </cell>
          <cell r="N2295" t="str">
            <v>I Putu Darmika</v>
          </cell>
          <cell r="O2295" t="str">
            <v>Jl. Sri Wedari No. 47 Lingk. Taman Kaja, Kel. Ubud, Kec. Ubud, Gianyar</v>
          </cell>
          <cell r="P2295" t="str">
            <v>Bali</v>
          </cell>
          <cell r="Q2295" t="str">
            <v>Setelah Labak Tani, Pertigaan Belok Kanan, Setelah itu ada perempatan belok kiri, lurus, kios ada di kanan jalan</v>
          </cell>
          <cell r="R2295" t="str">
            <v>Bali</v>
          </cell>
          <cell r="S2295" t="str">
            <v>S Bali3</v>
          </cell>
          <cell r="T2295" t="str">
            <v>Wira</v>
          </cell>
          <cell r="U2295">
            <v>30</v>
          </cell>
        </row>
        <row r="2296">
          <cell r="E2296" t="str">
            <v>D25015248</v>
          </cell>
          <cell r="F2296"/>
          <cell r="G2296">
            <v>40000000</v>
          </cell>
          <cell r="H2296" t="str">
            <v>Zakia</v>
          </cell>
          <cell r="I2296" t="str">
            <v>Tiya</v>
          </cell>
          <cell r="J2296" t="str">
            <v>New 23/02/21</v>
          </cell>
          <cell r="K2296" t="str">
            <v>KU</v>
          </cell>
          <cell r="L2296" t="str">
            <v>DJER01</v>
          </cell>
          <cell r="M2296" t="str">
            <v>Djero Bonsai</v>
          </cell>
          <cell r="N2296" t="str">
            <v>I Putu Darmika</v>
          </cell>
          <cell r="O2296" t="str">
            <v>Jl. Sri Wedari No. 47 Lingk. Taman Kaja, Kel. Ubud, Kec. Ubud, Gianyar</v>
          </cell>
          <cell r="P2296" t="str">
            <v>Bali</v>
          </cell>
          <cell r="Q2296" t="str">
            <v>Setelah Labak Tani, Pertigaan Belok Kanan, Setelah itu ada perempatan belok kiri, lurus, kios ada di kanan jalan</v>
          </cell>
          <cell r="R2296" t="str">
            <v>Bali</v>
          </cell>
          <cell r="S2296" t="str">
            <v>S Bali3</v>
          </cell>
          <cell r="T2296" t="str">
            <v>Wira</v>
          </cell>
          <cell r="U2296">
            <v>30</v>
          </cell>
        </row>
        <row r="2297">
          <cell r="E2297" t="str">
            <v>D25016334</v>
          </cell>
          <cell r="F2297"/>
          <cell r="G2297">
            <v>40000000</v>
          </cell>
          <cell r="H2297" t="str">
            <v>Zakia</v>
          </cell>
          <cell r="I2297" t="str">
            <v>Tiya</v>
          </cell>
          <cell r="J2297" t="str">
            <v>New 23/02/21</v>
          </cell>
          <cell r="K2297" t="str">
            <v>KU</v>
          </cell>
          <cell r="L2297" t="str">
            <v>DJER01</v>
          </cell>
          <cell r="M2297" t="str">
            <v>Djero Bonsai</v>
          </cell>
          <cell r="N2297" t="str">
            <v>I Putu Darmika</v>
          </cell>
          <cell r="O2297" t="str">
            <v>Jl. Sri Wedari No. 47 Lingk. Taman Kaja, Kel. Ubud, Kec. Ubud, Gianyar</v>
          </cell>
          <cell r="P2297" t="str">
            <v>Bali</v>
          </cell>
          <cell r="Q2297" t="str">
            <v>Setelah Labak Tani, Pertigaan Belok Kanan, Setelah itu ada perempatan belok kiri, lurus, kios ada di kanan jalan</v>
          </cell>
          <cell r="R2297" t="str">
            <v>Bali</v>
          </cell>
          <cell r="S2297" t="str">
            <v>S Bali3</v>
          </cell>
          <cell r="T2297" t="str">
            <v>Wira</v>
          </cell>
          <cell r="U2297">
            <v>30</v>
          </cell>
        </row>
        <row r="2298">
          <cell r="E2298" t="str">
            <v>D25016341</v>
          </cell>
          <cell r="F2298"/>
          <cell r="G2298">
            <v>40000000</v>
          </cell>
          <cell r="H2298" t="str">
            <v>Zakia</v>
          </cell>
          <cell r="I2298" t="str">
            <v>Tiya</v>
          </cell>
          <cell r="J2298" t="str">
            <v>New 23/02/21</v>
          </cell>
          <cell r="K2298" t="str">
            <v>KU</v>
          </cell>
          <cell r="L2298" t="str">
            <v>DJER01</v>
          </cell>
          <cell r="M2298" t="str">
            <v>Djero Bonsai</v>
          </cell>
          <cell r="N2298" t="str">
            <v>I Putu Darmika</v>
          </cell>
          <cell r="O2298" t="str">
            <v>Jl. Sri Wedari No. 47 Lingk. Taman Kaja, Kel. Ubud, Kec. Ubud, Gianyar</v>
          </cell>
          <cell r="P2298" t="str">
            <v>Bali</v>
          </cell>
          <cell r="Q2298" t="str">
            <v>Setelah Labak Tani, Pertigaan Belok Kanan, Setelah itu ada perempatan belok kiri, lurus, kios ada di kanan jalan</v>
          </cell>
          <cell r="R2298" t="str">
            <v>Bali</v>
          </cell>
          <cell r="S2298" t="str">
            <v>S Bali3</v>
          </cell>
          <cell r="T2298" t="str">
            <v>Wira</v>
          </cell>
          <cell r="U2298">
            <v>30</v>
          </cell>
        </row>
        <row r="2299">
          <cell r="E2299" t="str">
            <v>D25016342</v>
          </cell>
          <cell r="F2299"/>
          <cell r="G2299">
            <v>40000000</v>
          </cell>
          <cell r="H2299" t="str">
            <v>Zakia</v>
          </cell>
          <cell r="I2299" t="str">
            <v>Tiya</v>
          </cell>
          <cell r="J2299" t="str">
            <v>New 23/02/21</v>
          </cell>
          <cell r="K2299" t="str">
            <v>KU</v>
          </cell>
          <cell r="L2299" t="str">
            <v>DJER01</v>
          </cell>
          <cell r="M2299" t="str">
            <v>Djero Bonsai</v>
          </cell>
          <cell r="N2299" t="str">
            <v>I Putu Darmika</v>
          </cell>
          <cell r="O2299" t="str">
            <v>Jl. Sri Wedari No. 47 Lingk. Taman Kaja, Kel. Ubud, Kec. Ubud, Gianyar</v>
          </cell>
          <cell r="P2299" t="str">
            <v>Bali</v>
          </cell>
          <cell r="Q2299" t="str">
            <v>Setelah Labak Tani, Pertigaan Belok Kanan, Setelah itu ada perempatan belok kiri, lurus, kios ada di kanan jalan</v>
          </cell>
          <cell r="R2299" t="str">
            <v>Bali</v>
          </cell>
          <cell r="S2299" t="str">
            <v>S Bali3</v>
          </cell>
          <cell r="T2299" t="str">
            <v>Wira</v>
          </cell>
          <cell r="U2299">
            <v>30</v>
          </cell>
        </row>
        <row r="2300">
          <cell r="E2300" t="str">
            <v>D25016343</v>
          </cell>
          <cell r="F2300"/>
          <cell r="G2300">
            <v>40000000</v>
          </cell>
          <cell r="H2300" t="str">
            <v>Zakia</v>
          </cell>
          <cell r="I2300" t="str">
            <v>Tiya</v>
          </cell>
          <cell r="J2300" t="str">
            <v>New 23/02/21</v>
          </cell>
          <cell r="K2300" t="str">
            <v>KU</v>
          </cell>
          <cell r="L2300" t="str">
            <v>DJER01</v>
          </cell>
          <cell r="M2300" t="str">
            <v>Djero Bonsai</v>
          </cell>
          <cell r="N2300" t="str">
            <v>I Putu Darmika</v>
          </cell>
          <cell r="O2300" t="str">
            <v>Jl. Sri Wedari No. 47 Lingk. Taman Kaja, Kel. Ubud, Kec. Ubud, Gianyar</v>
          </cell>
          <cell r="P2300" t="str">
            <v>Bali</v>
          </cell>
          <cell r="Q2300" t="str">
            <v>Setelah Labak Tani, Pertigaan Belok Kanan, Setelah itu ada perempatan belok kiri, lurus, kios ada di kanan jalan</v>
          </cell>
          <cell r="R2300" t="str">
            <v>Bali</v>
          </cell>
          <cell r="S2300" t="str">
            <v>S Bali3</v>
          </cell>
          <cell r="T2300" t="str">
            <v>Wira</v>
          </cell>
          <cell r="U2300">
            <v>30</v>
          </cell>
        </row>
        <row r="2301">
          <cell r="E2301" t="str">
            <v>B25009929</v>
          </cell>
          <cell r="F2301"/>
          <cell r="G2301">
            <v>40000000</v>
          </cell>
          <cell r="H2301" t="str">
            <v>Faris</v>
          </cell>
          <cell r="I2301" t="str">
            <v>Syahra</v>
          </cell>
          <cell r="J2301" t="str">
            <v>New 14/06/21</v>
          </cell>
          <cell r="K2301" t="str">
            <v>KU</v>
          </cell>
          <cell r="L2301" t="str">
            <v>DNAP01</v>
          </cell>
          <cell r="M2301" t="str">
            <v>DNA Pantura/Eko</v>
          </cell>
          <cell r="N2301" t="str">
            <v>Eko Suprastiyono</v>
          </cell>
          <cell r="O2301" t="str">
            <v>Kp. Sak Sak RT.013/RW.005, Kel. Lamongan, Kec. Arjasa</v>
          </cell>
          <cell r="P2301" t="str">
            <v>Situbondo</v>
          </cell>
          <cell r="Q2301" t="str">
            <v>Kp. Sak Sak RT.013/RW.005, Kel. Lamongan, Kec. Arjasa</v>
          </cell>
          <cell r="R2301" t="str">
            <v>Situbondo</v>
          </cell>
          <cell r="S2301" t="str">
            <v>N Bdw Stb</v>
          </cell>
          <cell r="T2301" t="str">
            <v>Wira</v>
          </cell>
          <cell r="U2301">
            <v>30</v>
          </cell>
        </row>
        <row r="2302">
          <cell r="E2302" t="str">
            <v>B25009930</v>
          </cell>
          <cell r="F2302"/>
          <cell r="G2302">
            <v>40000000</v>
          </cell>
          <cell r="H2302" t="str">
            <v>Faris</v>
          </cell>
          <cell r="I2302" t="str">
            <v>Syahra</v>
          </cell>
          <cell r="J2302" t="str">
            <v>New 14/06/21</v>
          </cell>
          <cell r="K2302" t="str">
            <v>KU</v>
          </cell>
          <cell r="L2302" t="str">
            <v>DNAP01</v>
          </cell>
          <cell r="M2302" t="str">
            <v>DNA Pantura/Eko</v>
          </cell>
          <cell r="N2302" t="str">
            <v>Eko Suprastiyono</v>
          </cell>
          <cell r="O2302" t="str">
            <v>Kp. Sak Sak RT.013/RW.005, Kel. Lamongan, Kec. Arjasa</v>
          </cell>
          <cell r="P2302" t="str">
            <v>Situbondo</v>
          </cell>
          <cell r="Q2302" t="str">
            <v>Kp. Sak Sak RT.013/RW.005, Kel. Lamongan, Kec. Arjasa</v>
          </cell>
          <cell r="R2302" t="str">
            <v>Situbondo</v>
          </cell>
          <cell r="S2302" t="str">
            <v>N Bdw Stb</v>
          </cell>
          <cell r="T2302" t="str">
            <v>Wira</v>
          </cell>
          <cell r="U2302">
            <v>30</v>
          </cell>
        </row>
        <row r="2303">
          <cell r="E2303" t="str">
            <v>D25011933</v>
          </cell>
          <cell r="F2303"/>
          <cell r="G2303">
            <v>40000000</v>
          </cell>
          <cell r="H2303" t="str">
            <v>Faris</v>
          </cell>
          <cell r="I2303" t="str">
            <v>Syahra</v>
          </cell>
          <cell r="J2303" t="str">
            <v>New 14/06/21</v>
          </cell>
          <cell r="K2303" t="str">
            <v>KU</v>
          </cell>
          <cell r="L2303" t="str">
            <v>DNAP01</v>
          </cell>
          <cell r="M2303" t="str">
            <v>DNA Pantura/Eko</v>
          </cell>
          <cell r="N2303" t="str">
            <v>Eko Suprastiyono</v>
          </cell>
          <cell r="O2303" t="str">
            <v>Kp. Sak Sak RT.013/RW.005, Kel. Lamongan, Kec. Arjasa</v>
          </cell>
          <cell r="P2303" t="str">
            <v>Situbondo</v>
          </cell>
          <cell r="Q2303" t="str">
            <v>Kp. Sak Sak RT.013/RW.005, Kel. Lamongan, Kec. Arjasa</v>
          </cell>
          <cell r="R2303" t="str">
            <v>Situbondo</v>
          </cell>
          <cell r="S2303" t="str">
            <v>N Bdw Stb</v>
          </cell>
          <cell r="T2303" t="str">
            <v>Wira</v>
          </cell>
          <cell r="U2303">
            <v>30</v>
          </cell>
        </row>
        <row r="2304">
          <cell r="E2304" t="str">
            <v>D25011934</v>
          </cell>
          <cell r="F2304"/>
          <cell r="G2304">
            <v>40000000</v>
          </cell>
          <cell r="H2304" t="str">
            <v>Faris</v>
          </cell>
          <cell r="I2304" t="str">
            <v>Syahra</v>
          </cell>
          <cell r="J2304" t="str">
            <v>New 14/06/21</v>
          </cell>
          <cell r="K2304" t="str">
            <v>KU</v>
          </cell>
          <cell r="L2304" t="str">
            <v>DNAP01</v>
          </cell>
          <cell r="M2304" t="str">
            <v>DNA Pantura/Eko</v>
          </cell>
          <cell r="N2304" t="str">
            <v>Eko Suprastiyono</v>
          </cell>
          <cell r="O2304" t="str">
            <v>Kp. Sak Sak RT.013/RW.005, Kel. Lamongan, Kec. Arjasa</v>
          </cell>
          <cell r="P2304" t="str">
            <v>Situbondo</v>
          </cell>
          <cell r="Q2304" t="str">
            <v>Kp. Sak Sak RT.013/RW.005, Kel. Lamongan, Kec. Arjasa</v>
          </cell>
          <cell r="R2304" t="str">
            <v>Situbondo</v>
          </cell>
          <cell r="S2304" t="str">
            <v>N Bdw Stb</v>
          </cell>
          <cell r="T2304" t="str">
            <v>Wira</v>
          </cell>
          <cell r="U2304">
            <v>60</v>
          </cell>
        </row>
        <row r="2305">
          <cell r="E2305" t="str">
            <v>D25012077</v>
          </cell>
          <cell r="F2305"/>
          <cell r="G2305">
            <v>40000000</v>
          </cell>
          <cell r="H2305" t="str">
            <v>Faris</v>
          </cell>
          <cell r="I2305" t="str">
            <v>Syahra</v>
          </cell>
          <cell r="J2305" t="str">
            <v>New 14/06/21</v>
          </cell>
          <cell r="K2305" t="str">
            <v>KU</v>
          </cell>
          <cell r="L2305" t="str">
            <v>DNAP01</v>
          </cell>
          <cell r="M2305" t="str">
            <v>DNA Pantura/Eko</v>
          </cell>
          <cell r="N2305" t="str">
            <v>Eko Suprastiyono</v>
          </cell>
          <cell r="O2305" t="str">
            <v>Kp. Sak Sak RT.013/RW.005, Kel. Lamongan, Kec. Arjasa</v>
          </cell>
          <cell r="P2305" t="str">
            <v>Situbondo</v>
          </cell>
          <cell r="Q2305" t="str">
            <v>Kp. Sak Sak RT.013/RW.005, Kel. Lamongan, Kec. Arjasa</v>
          </cell>
          <cell r="R2305" t="str">
            <v>Situbondo</v>
          </cell>
          <cell r="S2305" t="str">
            <v>N Bdw Stb</v>
          </cell>
          <cell r="T2305" t="str">
            <v>Wira</v>
          </cell>
          <cell r="U2305">
            <v>60</v>
          </cell>
        </row>
        <row r="2306">
          <cell r="E2306" t="str">
            <v>B25008823</v>
          </cell>
          <cell r="F2306"/>
          <cell r="G2306">
            <v>10000000</v>
          </cell>
          <cell r="H2306" t="str">
            <v>Yuyun</v>
          </cell>
          <cell r="I2306" t="str">
            <v>Syahra</v>
          </cell>
          <cell r="J2306" t="str">
            <v>New 21/08/19</v>
          </cell>
          <cell r="K2306" t="str">
            <v>KU</v>
          </cell>
          <cell r="L2306" t="str">
            <v>DODI03</v>
          </cell>
          <cell r="M2306" t="str">
            <v>Dodik/Asiana</v>
          </cell>
          <cell r="N2306" t="str">
            <v>Dodik Wicaksono</v>
          </cell>
          <cell r="O2306" t="str">
            <v>Dsn. Kedung Langkap, RT.006/RW.012 Kel. Kraton, Kec. Kencong</v>
          </cell>
          <cell r="P2306" t="str">
            <v>Jember</v>
          </cell>
          <cell r="Q2306" t="str">
            <v>Jember</v>
          </cell>
          <cell r="R2306" t="str">
            <v>Jember</v>
          </cell>
          <cell r="S2306" t="str">
            <v>B Agronomis</v>
          </cell>
          <cell r="T2306" t="str">
            <v>Wira</v>
          </cell>
          <cell r="U2306">
            <v>30</v>
          </cell>
        </row>
        <row r="2307">
          <cell r="E2307" t="str">
            <v>B25009085</v>
          </cell>
          <cell r="F2307"/>
          <cell r="G2307">
            <v>10000000</v>
          </cell>
          <cell r="H2307" t="str">
            <v>Yuyun</v>
          </cell>
          <cell r="I2307" t="str">
            <v>Syahra</v>
          </cell>
          <cell r="J2307" t="str">
            <v>New 21/08/19</v>
          </cell>
          <cell r="K2307" t="str">
            <v>KU</v>
          </cell>
          <cell r="L2307" t="str">
            <v>DODI03</v>
          </cell>
          <cell r="M2307" t="str">
            <v>Dodik/Asiana</v>
          </cell>
          <cell r="N2307" t="str">
            <v>Dodik Wicaksono</v>
          </cell>
          <cell r="O2307" t="str">
            <v>Dsn. Kedung Langkap, RT.006/RW.012 Kel. Kraton, Kec. Kencong</v>
          </cell>
          <cell r="P2307" t="str">
            <v>Jember</v>
          </cell>
          <cell r="Q2307" t="str">
            <v>Jember</v>
          </cell>
          <cell r="R2307" t="str">
            <v>Jember</v>
          </cell>
          <cell r="S2307" t="str">
            <v>B Agronomis</v>
          </cell>
          <cell r="T2307" t="str">
            <v>Wira</v>
          </cell>
          <cell r="U2307">
            <v>30</v>
          </cell>
        </row>
        <row r="2308">
          <cell r="E2308" t="str">
            <v>B25008796</v>
          </cell>
          <cell r="F2308"/>
          <cell r="G2308">
            <v>7500000</v>
          </cell>
          <cell r="H2308" t="str">
            <v>Faris</v>
          </cell>
          <cell r="I2308" t="str">
            <v>Syahra</v>
          </cell>
          <cell r="J2308"/>
          <cell r="K2308" t="str">
            <v>KU</v>
          </cell>
          <cell r="L2308" t="str">
            <v>DUAP08</v>
          </cell>
          <cell r="M2308" t="str">
            <v>Dua Putra, UD/Alvan</v>
          </cell>
          <cell r="N2308" t="str">
            <v>Alvan Kuncoro Jakti</v>
          </cell>
          <cell r="O2308" t="str">
            <v>Dusun Glowong RT.002/RW.001, Kel. Wringinagung, Kec. Gambiran</v>
          </cell>
          <cell r="P2308" t="str">
            <v>Banyuwangi</v>
          </cell>
          <cell r="Q2308" t="str">
            <v>Dusun Glowong RT.002/RW.002, Kel. Wringinagung, Kec. Gambiran</v>
          </cell>
          <cell r="R2308" t="str">
            <v>Banyuwangi</v>
          </cell>
          <cell r="S2308" t="str">
            <v>H Bwi1</v>
          </cell>
          <cell r="T2308" t="str">
            <v>Hafid</v>
          </cell>
          <cell r="U2308">
            <v>60</v>
          </cell>
        </row>
        <row r="2309">
          <cell r="E2309" t="str">
            <v>B25008796</v>
          </cell>
          <cell r="F2309"/>
          <cell r="G2309">
            <v>7500000</v>
          </cell>
          <cell r="H2309" t="str">
            <v>Faris</v>
          </cell>
          <cell r="I2309" t="str">
            <v>Syahra</v>
          </cell>
          <cell r="J2309"/>
          <cell r="K2309" t="str">
            <v>KU</v>
          </cell>
          <cell r="L2309" t="str">
            <v>DUAP08</v>
          </cell>
          <cell r="M2309" t="str">
            <v>Dua Putra, UD/Alvan</v>
          </cell>
          <cell r="N2309" t="str">
            <v>Alvan Kuncoro Jakti</v>
          </cell>
          <cell r="O2309" t="str">
            <v>Dusun Glowong RT.002/RW.001, Kel. Wringinagung, Kec. Gambiran</v>
          </cell>
          <cell r="P2309" t="str">
            <v>Banyuwangi</v>
          </cell>
          <cell r="Q2309" t="str">
            <v>Dusun Glowong RT.002/RW.002, Kel. Wringinagung, Kec. Gambiran</v>
          </cell>
          <cell r="R2309" t="str">
            <v>Banyuwangi</v>
          </cell>
          <cell r="S2309" t="str">
            <v>H Bwi1</v>
          </cell>
          <cell r="T2309" t="str">
            <v>Hafid</v>
          </cell>
          <cell r="U2309">
            <v>60</v>
          </cell>
        </row>
        <row r="2310">
          <cell r="E2310" t="str">
            <v>D25015672</v>
          </cell>
          <cell r="F2310"/>
          <cell r="G2310">
            <v>7500000</v>
          </cell>
          <cell r="H2310" t="str">
            <v>Faris</v>
          </cell>
          <cell r="I2310" t="str">
            <v>Syahra</v>
          </cell>
          <cell r="J2310"/>
          <cell r="K2310" t="str">
            <v>KU</v>
          </cell>
          <cell r="L2310" t="str">
            <v>DUAP08</v>
          </cell>
          <cell r="M2310" t="str">
            <v>Dua Putra, UD/Alvan</v>
          </cell>
          <cell r="N2310" t="str">
            <v>Alvan Kuncoro Jakti</v>
          </cell>
          <cell r="O2310" t="str">
            <v>Dusun Glowong RT.002/RW.001, Kel. Wringinagung, Kec. Gambiran</v>
          </cell>
          <cell r="P2310" t="str">
            <v>Banyuwangi</v>
          </cell>
          <cell r="Q2310" t="str">
            <v>Dusun Glowong RT.002/RW.002, Kel. Wringinagung, Kec. Gambiran</v>
          </cell>
          <cell r="R2310" t="str">
            <v>Banyuwangi</v>
          </cell>
          <cell r="S2310" t="str">
            <v>H Bwi1</v>
          </cell>
          <cell r="T2310" t="str">
            <v>Hafid</v>
          </cell>
          <cell r="U2310">
            <v>0</v>
          </cell>
        </row>
        <row r="2311">
          <cell r="E2311" t="str">
            <v>D25016327</v>
          </cell>
          <cell r="F2311"/>
          <cell r="G2311">
            <v>7500000</v>
          </cell>
          <cell r="H2311" t="str">
            <v>Faris</v>
          </cell>
          <cell r="I2311" t="str">
            <v>Syahra</v>
          </cell>
          <cell r="J2311"/>
          <cell r="K2311" t="str">
            <v>KU</v>
          </cell>
          <cell r="L2311" t="str">
            <v>DUAP08</v>
          </cell>
          <cell r="M2311" t="str">
            <v>Dua Putra, UD/Alvan</v>
          </cell>
          <cell r="N2311" t="str">
            <v>Alvan Kuncoro Jakti</v>
          </cell>
          <cell r="O2311" t="str">
            <v>Dusun Glowong RT.002/RW.001, Kel. Wringinagung, Kec. Gambiran</v>
          </cell>
          <cell r="P2311" t="str">
            <v>Banyuwangi</v>
          </cell>
          <cell r="Q2311" t="str">
            <v>Dusun Glowong RT.002/RW.002, Kel. Wringinagung, Kec. Gambiran</v>
          </cell>
          <cell r="R2311" t="str">
            <v>Banyuwangi</v>
          </cell>
          <cell r="S2311" t="str">
            <v>H Bwi1</v>
          </cell>
          <cell r="T2311" t="str">
            <v>Hafid</v>
          </cell>
          <cell r="U2311">
            <v>60</v>
          </cell>
        </row>
        <row r="2312">
          <cell r="E2312" t="str">
            <v>D25013288</v>
          </cell>
          <cell r="F2312"/>
          <cell r="G2312">
            <v>150000000</v>
          </cell>
          <cell r="H2312" t="str">
            <v>Faris</v>
          </cell>
          <cell r="I2312" t="str">
            <v>Syahra</v>
          </cell>
          <cell r="J2312" t="str">
            <v>New 02/07/20</v>
          </cell>
          <cell r="K2312" t="str">
            <v>KU</v>
          </cell>
          <cell r="L2312" t="str">
            <v>DURI01</v>
          </cell>
          <cell r="M2312" t="str">
            <v>Durian Merah/Dian</v>
          </cell>
          <cell r="N2312" t="str">
            <v>Dian Ari Purwanto</v>
          </cell>
          <cell r="O2312" t="str">
            <v>Dusun Krajan, RT.003/RW.001 Kel. Gendoh, Kec. Sempu</v>
          </cell>
          <cell r="P2312" t="str">
            <v>Banyuwangi</v>
          </cell>
          <cell r="Q2312" t="str">
            <v>Jl. Songgon 205 Tampak Bayan - Balak</v>
          </cell>
          <cell r="R2312" t="str">
            <v>Banyuwangi</v>
          </cell>
          <cell r="S2312" t="str">
            <v>H Bwi1</v>
          </cell>
          <cell r="T2312" t="str">
            <v>Hafid</v>
          </cell>
          <cell r="U2312">
            <v>30</v>
          </cell>
        </row>
        <row r="2313">
          <cell r="E2313" t="str">
            <v>D25013289</v>
          </cell>
          <cell r="F2313"/>
          <cell r="G2313">
            <v>150000000</v>
          </cell>
          <cell r="H2313" t="str">
            <v>Faris</v>
          </cell>
          <cell r="I2313" t="str">
            <v>Syahra</v>
          </cell>
          <cell r="J2313" t="str">
            <v>New 02/07/20</v>
          </cell>
          <cell r="K2313" t="str">
            <v>KU</v>
          </cell>
          <cell r="L2313" t="str">
            <v>DURI01</v>
          </cell>
          <cell r="M2313" t="str">
            <v>Durian Merah/Dian</v>
          </cell>
          <cell r="N2313" t="str">
            <v>Dian Ari Purwanto</v>
          </cell>
          <cell r="O2313" t="str">
            <v>Dusun Krajan, RT.003/RW.001 Kel. Gendoh, Kec. Sempu</v>
          </cell>
          <cell r="P2313" t="str">
            <v>Banyuwangi</v>
          </cell>
          <cell r="Q2313" t="str">
            <v>Jl. Songgon 205 Tampak Bayan - Balak</v>
          </cell>
          <cell r="R2313" t="str">
            <v>Banyuwangi</v>
          </cell>
          <cell r="S2313" t="str">
            <v>H Bwi1</v>
          </cell>
          <cell r="T2313" t="str">
            <v>Hafid</v>
          </cell>
          <cell r="U2313">
            <v>30</v>
          </cell>
        </row>
        <row r="2314">
          <cell r="E2314" t="str">
            <v>B25011314</v>
          </cell>
          <cell r="F2314"/>
          <cell r="G2314">
            <v>150000000</v>
          </cell>
          <cell r="H2314" t="str">
            <v>Faris</v>
          </cell>
          <cell r="I2314" t="str">
            <v>Syahra</v>
          </cell>
          <cell r="J2314" t="str">
            <v>New 02/07/20</v>
          </cell>
          <cell r="K2314" t="str">
            <v>KU</v>
          </cell>
          <cell r="L2314" t="str">
            <v>DURI01</v>
          </cell>
          <cell r="M2314" t="str">
            <v>Durian Merah/Dian</v>
          </cell>
          <cell r="N2314" t="str">
            <v>Dian Ari Purwanto</v>
          </cell>
          <cell r="O2314" t="str">
            <v>Dusun Krajan, RT.003/RW.001 Kel. Gendoh, Kec. Sempu</v>
          </cell>
          <cell r="P2314" t="str">
            <v>Banyuwangi</v>
          </cell>
          <cell r="Q2314" t="str">
            <v>Jl. Songgon 205 Tampak Bayan - Balak</v>
          </cell>
          <cell r="R2314" t="str">
            <v>Banyuwangi</v>
          </cell>
          <cell r="S2314" t="str">
            <v>H Bwi1</v>
          </cell>
          <cell r="T2314" t="str">
            <v>Hafid</v>
          </cell>
          <cell r="U2314">
            <v>30</v>
          </cell>
        </row>
        <row r="2315">
          <cell r="E2315" t="str">
            <v>D25013896</v>
          </cell>
          <cell r="F2315"/>
          <cell r="G2315">
            <v>150000000</v>
          </cell>
          <cell r="H2315" t="str">
            <v>Faris</v>
          </cell>
          <cell r="I2315" t="str">
            <v>Syahra</v>
          </cell>
          <cell r="J2315" t="str">
            <v>New 02/07/20</v>
          </cell>
          <cell r="K2315" t="str">
            <v>KU</v>
          </cell>
          <cell r="L2315" t="str">
            <v>DURI01</v>
          </cell>
          <cell r="M2315" t="str">
            <v>Durian Merah/Dian</v>
          </cell>
          <cell r="N2315" t="str">
            <v>Dian Ari Purwanto</v>
          </cell>
          <cell r="O2315" t="str">
            <v>Dusun Krajan, RT.003/RW.001 Kel. Gendoh, Kec. Sempu</v>
          </cell>
          <cell r="P2315" t="str">
            <v>Banyuwangi</v>
          </cell>
          <cell r="Q2315" t="str">
            <v>Jl. Songgon 205 Tampak Bayan - Balak</v>
          </cell>
          <cell r="R2315" t="str">
            <v>Banyuwangi</v>
          </cell>
          <cell r="S2315" t="str">
            <v>H Bwi1</v>
          </cell>
          <cell r="T2315" t="str">
            <v>Hafid</v>
          </cell>
          <cell r="U2315">
            <v>30</v>
          </cell>
        </row>
        <row r="2316">
          <cell r="E2316" t="str">
            <v>B25011690</v>
          </cell>
          <cell r="F2316"/>
          <cell r="G2316">
            <v>150000000</v>
          </cell>
          <cell r="H2316" t="str">
            <v>Faris</v>
          </cell>
          <cell r="I2316" t="str">
            <v>Syahra</v>
          </cell>
          <cell r="J2316" t="str">
            <v>New 02/07/20</v>
          </cell>
          <cell r="K2316" t="str">
            <v>KU</v>
          </cell>
          <cell r="L2316" t="str">
            <v>DURI01</v>
          </cell>
          <cell r="M2316" t="str">
            <v>Durian Merah/Dian</v>
          </cell>
          <cell r="N2316" t="str">
            <v>Dian Ari Purwanto</v>
          </cell>
          <cell r="O2316" t="str">
            <v>Dusun Krajan, RT.003/RW.001 Kel. Gendoh, Kec. Sempu</v>
          </cell>
          <cell r="P2316" t="str">
            <v>Banyuwangi</v>
          </cell>
          <cell r="Q2316" t="str">
            <v>Jl. Songgon 205 Tampak Bayan - Balak</v>
          </cell>
          <cell r="R2316" t="str">
            <v>Banyuwangi</v>
          </cell>
          <cell r="S2316" t="str">
            <v>H Bwi1</v>
          </cell>
          <cell r="T2316" t="str">
            <v>Hafid</v>
          </cell>
          <cell r="U2316">
            <v>30</v>
          </cell>
        </row>
        <row r="2317">
          <cell r="E2317" t="str">
            <v>B25012106</v>
          </cell>
          <cell r="F2317"/>
          <cell r="G2317">
            <v>150000000</v>
          </cell>
          <cell r="H2317" t="str">
            <v>Faris</v>
          </cell>
          <cell r="I2317" t="str">
            <v>Syahra</v>
          </cell>
          <cell r="J2317" t="str">
            <v>New 02/07/20</v>
          </cell>
          <cell r="K2317" t="str">
            <v>KU</v>
          </cell>
          <cell r="L2317" t="str">
            <v>DURI01</v>
          </cell>
          <cell r="M2317" t="str">
            <v>Durian Merah/Dian</v>
          </cell>
          <cell r="N2317" t="str">
            <v>Dian Ari Purwanto</v>
          </cell>
          <cell r="O2317" t="str">
            <v>Dusun Krajan, RT.003/RW.001 Kel. Gendoh, Kec. Sempu</v>
          </cell>
          <cell r="P2317" t="str">
            <v>Banyuwangi</v>
          </cell>
          <cell r="Q2317" t="str">
            <v>Jl. Songgon 205 Tampak Bayan - Balak</v>
          </cell>
          <cell r="R2317" t="str">
            <v>Banyuwangi</v>
          </cell>
          <cell r="S2317" t="str">
            <v>H Bwi1</v>
          </cell>
          <cell r="T2317" t="str">
            <v>Hafid</v>
          </cell>
          <cell r="U2317">
            <v>30</v>
          </cell>
        </row>
        <row r="2318">
          <cell r="E2318" t="str">
            <v>D25014619</v>
          </cell>
          <cell r="F2318"/>
          <cell r="G2318">
            <v>150000000</v>
          </cell>
          <cell r="H2318" t="str">
            <v>Faris</v>
          </cell>
          <cell r="I2318" t="str">
            <v>Syahra</v>
          </cell>
          <cell r="J2318" t="str">
            <v>New 02/07/20</v>
          </cell>
          <cell r="K2318" t="str">
            <v>KU</v>
          </cell>
          <cell r="L2318" t="str">
            <v>DURI01</v>
          </cell>
          <cell r="M2318" t="str">
            <v>Durian Merah/Dian</v>
          </cell>
          <cell r="N2318" t="str">
            <v>Dian Ari Purwanto</v>
          </cell>
          <cell r="O2318" t="str">
            <v>Dusun Krajan, RT.003/RW.001 Kel. Gendoh, Kec. Sempu</v>
          </cell>
          <cell r="P2318" t="str">
            <v>Banyuwangi</v>
          </cell>
          <cell r="Q2318" t="str">
            <v>Jl. Songgon 205 Tampak Bayan - Balak</v>
          </cell>
          <cell r="R2318" t="str">
            <v>Banyuwangi</v>
          </cell>
          <cell r="S2318" t="str">
            <v>H Bwi1</v>
          </cell>
          <cell r="T2318" t="str">
            <v>Hafid</v>
          </cell>
          <cell r="U2318">
            <v>30</v>
          </cell>
        </row>
        <row r="2319">
          <cell r="E2319" t="str">
            <v>B25012552</v>
          </cell>
          <cell r="F2319"/>
          <cell r="G2319">
            <v>150000000</v>
          </cell>
          <cell r="H2319" t="str">
            <v>Faris</v>
          </cell>
          <cell r="I2319" t="str">
            <v>Syahra</v>
          </cell>
          <cell r="J2319" t="str">
            <v>New 02/07/20</v>
          </cell>
          <cell r="K2319" t="str">
            <v>KU</v>
          </cell>
          <cell r="L2319" t="str">
            <v>DURI01</v>
          </cell>
          <cell r="M2319" t="str">
            <v>Durian Merah/Dian</v>
          </cell>
          <cell r="N2319" t="str">
            <v>Dian Ari Purwanto</v>
          </cell>
          <cell r="O2319" t="str">
            <v>Dusun Krajan, RT.003/RW.001 Kel. Gendoh, Kec. Sempu</v>
          </cell>
          <cell r="P2319" t="str">
            <v>Banyuwangi</v>
          </cell>
          <cell r="Q2319" t="str">
            <v>Jl. Songgon 205 Tampak Bayan - Balak</v>
          </cell>
          <cell r="R2319" t="str">
            <v>Banyuwangi</v>
          </cell>
          <cell r="S2319" t="str">
            <v>H Bwi1</v>
          </cell>
          <cell r="T2319" t="str">
            <v>Hafid</v>
          </cell>
          <cell r="U2319">
            <v>30</v>
          </cell>
        </row>
        <row r="2320">
          <cell r="E2320" t="str">
            <v>B25012563</v>
          </cell>
          <cell r="F2320"/>
          <cell r="G2320">
            <v>150000000</v>
          </cell>
          <cell r="H2320" t="str">
            <v>Faris</v>
          </cell>
          <cell r="I2320" t="str">
            <v>Syahra</v>
          </cell>
          <cell r="J2320" t="str">
            <v>New 02/07/20</v>
          </cell>
          <cell r="K2320" t="str">
            <v>KU</v>
          </cell>
          <cell r="L2320" t="str">
            <v>DURI01</v>
          </cell>
          <cell r="M2320" t="str">
            <v>Durian Merah/Dian</v>
          </cell>
          <cell r="N2320" t="str">
            <v>Dian Ari Purwanto</v>
          </cell>
          <cell r="O2320" t="str">
            <v>Dusun Krajan, RT.003/RW.001 Kel. Gendoh, Kec. Sempu</v>
          </cell>
          <cell r="P2320" t="str">
            <v>Banyuwangi</v>
          </cell>
          <cell r="Q2320" t="str">
            <v>Jl. Songgon 205 Tampak Bayan - Balak</v>
          </cell>
          <cell r="R2320" t="str">
            <v>Banyuwangi</v>
          </cell>
          <cell r="S2320" t="str">
            <v>H Bwi1</v>
          </cell>
          <cell r="T2320" t="str">
            <v>Hafid</v>
          </cell>
          <cell r="U2320">
            <v>30</v>
          </cell>
        </row>
        <row r="2321">
          <cell r="E2321" t="str">
            <v>B25012773</v>
          </cell>
          <cell r="F2321"/>
          <cell r="G2321">
            <v>150000000</v>
          </cell>
          <cell r="H2321" t="str">
            <v>Faris</v>
          </cell>
          <cell r="I2321" t="str">
            <v>Syahra</v>
          </cell>
          <cell r="J2321" t="str">
            <v>New 02/07/20</v>
          </cell>
          <cell r="K2321" t="str">
            <v>KU</v>
          </cell>
          <cell r="L2321" t="str">
            <v>DURI01</v>
          </cell>
          <cell r="M2321" t="str">
            <v>Durian Merah/Dian</v>
          </cell>
          <cell r="N2321" t="str">
            <v>Dian Ari Purwanto</v>
          </cell>
          <cell r="O2321" t="str">
            <v>Dusun Krajan, RT.003/RW.001 Kel. Gendoh, Kec. Sempu</v>
          </cell>
          <cell r="P2321" t="str">
            <v>Banyuwangi</v>
          </cell>
          <cell r="Q2321" t="str">
            <v>Jl. Songgon 205 Tampak Bayan - Balak</v>
          </cell>
          <cell r="R2321" t="str">
            <v>Banyuwangi</v>
          </cell>
          <cell r="S2321" t="str">
            <v>H Bwi1</v>
          </cell>
          <cell r="T2321" t="str">
            <v>Hafid</v>
          </cell>
          <cell r="U2321">
            <v>30</v>
          </cell>
        </row>
        <row r="2322">
          <cell r="E2322" t="str">
            <v>D25015050</v>
          </cell>
          <cell r="F2322"/>
          <cell r="G2322">
            <v>150000000</v>
          </cell>
          <cell r="H2322" t="str">
            <v>Faris</v>
          </cell>
          <cell r="I2322" t="str">
            <v>Syahra</v>
          </cell>
          <cell r="J2322" t="str">
            <v>New 02/07/20</v>
          </cell>
          <cell r="K2322" t="str">
            <v>KU</v>
          </cell>
          <cell r="L2322" t="str">
            <v>DURI01</v>
          </cell>
          <cell r="M2322" t="str">
            <v>Durian Merah/Dian</v>
          </cell>
          <cell r="N2322" t="str">
            <v>Dian Ari Purwanto</v>
          </cell>
          <cell r="O2322" t="str">
            <v>Dusun Krajan, RT.003/RW.001 Kel. Gendoh, Kec. Sempu</v>
          </cell>
          <cell r="P2322" t="str">
            <v>Banyuwangi</v>
          </cell>
          <cell r="Q2322" t="str">
            <v>Jl. Songgon 205 Tampak Bayan - Balak</v>
          </cell>
          <cell r="R2322" t="str">
            <v>Banyuwangi</v>
          </cell>
          <cell r="S2322" t="str">
            <v>H Bwi1</v>
          </cell>
          <cell r="T2322" t="str">
            <v>Hafid</v>
          </cell>
          <cell r="U2322">
            <v>30</v>
          </cell>
        </row>
        <row r="2323">
          <cell r="E2323" t="str">
            <v>B25013588</v>
          </cell>
          <cell r="F2323"/>
          <cell r="G2323">
            <v>150000000</v>
          </cell>
          <cell r="H2323" t="str">
            <v>Faris</v>
          </cell>
          <cell r="I2323" t="str">
            <v>Syahra</v>
          </cell>
          <cell r="J2323" t="str">
            <v>New 02/07/20</v>
          </cell>
          <cell r="K2323" t="str">
            <v>KU</v>
          </cell>
          <cell r="L2323" t="str">
            <v>DURI01</v>
          </cell>
          <cell r="M2323" t="str">
            <v>Durian Merah/Dian</v>
          </cell>
          <cell r="N2323" t="str">
            <v>Dian Ari Purwanto</v>
          </cell>
          <cell r="O2323" t="str">
            <v>Dusun Krajan, RT.003/RW.001 Kel. Gendoh, Kec. Sempu</v>
          </cell>
          <cell r="P2323" t="str">
            <v>Banyuwangi</v>
          </cell>
          <cell r="Q2323" t="str">
            <v>Jl. Songgon 205 Tampak Bayan - Balak</v>
          </cell>
          <cell r="R2323" t="str">
            <v>Banyuwangi</v>
          </cell>
          <cell r="S2323" t="str">
            <v>H Bwi1</v>
          </cell>
          <cell r="T2323" t="str">
            <v>Hafid</v>
          </cell>
          <cell r="U2323">
            <v>30</v>
          </cell>
        </row>
        <row r="2324">
          <cell r="E2324" t="str">
            <v>B25013589</v>
          </cell>
          <cell r="F2324"/>
          <cell r="G2324">
            <v>150000000</v>
          </cell>
          <cell r="H2324" t="str">
            <v>Faris</v>
          </cell>
          <cell r="I2324" t="str">
            <v>Syahra</v>
          </cell>
          <cell r="J2324" t="str">
            <v>New 02/07/20</v>
          </cell>
          <cell r="K2324" t="str">
            <v>KU</v>
          </cell>
          <cell r="L2324" t="str">
            <v>DURI01</v>
          </cell>
          <cell r="M2324" t="str">
            <v>Durian Merah/Dian</v>
          </cell>
          <cell r="N2324" t="str">
            <v>Dian Ari Purwanto</v>
          </cell>
          <cell r="O2324" t="str">
            <v>Dusun Krajan, RT.003/RW.001 Kel. Gendoh, Kec. Sempu</v>
          </cell>
          <cell r="P2324" t="str">
            <v>Banyuwangi</v>
          </cell>
          <cell r="Q2324" t="str">
            <v>Jl. Songgon 205 Tampak Bayan - Balak</v>
          </cell>
          <cell r="R2324" t="str">
            <v>Banyuwangi</v>
          </cell>
          <cell r="S2324" t="str">
            <v>H Bwi1</v>
          </cell>
          <cell r="T2324" t="str">
            <v>Hafid</v>
          </cell>
          <cell r="U2324">
            <v>30</v>
          </cell>
        </row>
        <row r="2325">
          <cell r="E2325" t="str">
            <v>B25013590</v>
          </cell>
          <cell r="F2325"/>
          <cell r="G2325">
            <v>150000000</v>
          </cell>
          <cell r="H2325" t="str">
            <v>Faris</v>
          </cell>
          <cell r="I2325" t="str">
            <v>Syahra</v>
          </cell>
          <cell r="J2325" t="str">
            <v>New 02/07/20</v>
          </cell>
          <cell r="K2325" t="str">
            <v>KU</v>
          </cell>
          <cell r="L2325" t="str">
            <v>DURI01</v>
          </cell>
          <cell r="M2325" t="str">
            <v>Durian Merah/Dian</v>
          </cell>
          <cell r="N2325" t="str">
            <v>Dian Ari Purwanto</v>
          </cell>
          <cell r="O2325" t="str">
            <v>Dusun Krajan, RT.003/RW.001 Kel. Gendoh, Kec. Sempu</v>
          </cell>
          <cell r="P2325" t="str">
            <v>Banyuwangi</v>
          </cell>
          <cell r="Q2325" t="str">
            <v>Jl. Songgon 205 Tampak Bayan - Balak</v>
          </cell>
          <cell r="R2325" t="str">
            <v>Banyuwangi</v>
          </cell>
          <cell r="S2325" t="str">
            <v>H Bwi1</v>
          </cell>
          <cell r="T2325" t="str">
            <v>Hafid</v>
          </cell>
          <cell r="U2325">
            <v>30</v>
          </cell>
        </row>
        <row r="2326">
          <cell r="E2326" t="str">
            <v>D25016000</v>
          </cell>
          <cell r="F2326"/>
          <cell r="G2326">
            <v>150000000</v>
          </cell>
          <cell r="H2326" t="str">
            <v>Faris</v>
          </cell>
          <cell r="I2326" t="str">
            <v>Syahra</v>
          </cell>
          <cell r="J2326" t="str">
            <v>New 02/07/20</v>
          </cell>
          <cell r="K2326" t="str">
            <v>KU</v>
          </cell>
          <cell r="L2326" t="str">
            <v>DURI01</v>
          </cell>
          <cell r="M2326" t="str">
            <v>Durian Merah/Dian</v>
          </cell>
          <cell r="N2326" t="str">
            <v>Dian Ari Purwanto</v>
          </cell>
          <cell r="O2326" t="str">
            <v>Dusun Krajan, RT.003/RW.001 Kel. Gendoh, Kec. Sempu</v>
          </cell>
          <cell r="P2326" t="str">
            <v>Banyuwangi</v>
          </cell>
          <cell r="Q2326" t="str">
            <v>Jl. Songgon 205 Tampak Bayan - Balak</v>
          </cell>
          <cell r="R2326" t="str">
            <v>Banyuwangi</v>
          </cell>
          <cell r="S2326" t="str">
            <v>H Bwi1</v>
          </cell>
          <cell r="T2326" t="str">
            <v>Hafid</v>
          </cell>
          <cell r="U2326">
            <v>30</v>
          </cell>
        </row>
        <row r="2327">
          <cell r="E2327" t="str">
            <v>B25010075</v>
          </cell>
          <cell r="F2327"/>
          <cell r="G2327">
            <v>300000000</v>
          </cell>
          <cell r="H2327" t="str">
            <v>Reni</v>
          </cell>
          <cell r="I2327" t="str">
            <v>Fira</v>
          </cell>
          <cell r="J2327"/>
          <cell r="K2327" t="str">
            <v>KU</v>
          </cell>
          <cell r="L2327" t="str">
            <v>DUTA03</v>
          </cell>
          <cell r="M2327" t="str">
            <v>Duta Buah Putra/Furkon</v>
          </cell>
          <cell r="N2327" t="str">
            <v>Furqon Asadillah</v>
          </cell>
          <cell r="O2327" t="str">
            <v>Jl. Raya Plumpang-compreng Ds. Magersari Kec. Plumpang</v>
          </cell>
          <cell r="P2327" t="str">
            <v>Tuban</v>
          </cell>
          <cell r="Q2327" t="str">
            <v>Plumpangan</v>
          </cell>
          <cell r="R2327" t="str">
            <v>Tuban</v>
          </cell>
          <cell r="S2327" t="str">
            <v>F Utara1</v>
          </cell>
          <cell r="T2327" t="str">
            <v>Dian</v>
          </cell>
          <cell r="U2327">
            <v>60</v>
          </cell>
        </row>
        <row r="2328">
          <cell r="E2328" t="str">
            <v>D25012835</v>
          </cell>
          <cell r="F2328"/>
          <cell r="G2328">
            <v>300000000</v>
          </cell>
          <cell r="H2328" t="str">
            <v>Reni</v>
          </cell>
          <cell r="I2328" t="str">
            <v>Fira</v>
          </cell>
          <cell r="J2328"/>
          <cell r="K2328" t="str">
            <v>KU</v>
          </cell>
          <cell r="L2328" t="str">
            <v>DUTA03</v>
          </cell>
          <cell r="M2328" t="str">
            <v>Duta Buah Putra/Furkon</v>
          </cell>
          <cell r="N2328" t="str">
            <v>Furqon Asadillah</v>
          </cell>
          <cell r="O2328" t="str">
            <v>Jl. Raya Plumpang-compreng Ds. Magersari Kec. Plumpang</v>
          </cell>
          <cell r="P2328" t="str">
            <v>Tuban</v>
          </cell>
          <cell r="Q2328" t="str">
            <v>Plumpangan</v>
          </cell>
          <cell r="R2328" t="str">
            <v>Tuban</v>
          </cell>
          <cell r="S2328" t="str">
            <v>F Utara1</v>
          </cell>
          <cell r="T2328" t="str">
            <v>Dian</v>
          </cell>
          <cell r="U2328">
            <v>60</v>
          </cell>
        </row>
        <row r="2329">
          <cell r="E2329" t="str">
            <v>B25010994</v>
          </cell>
          <cell r="F2329"/>
          <cell r="G2329">
            <v>300000000</v>
          </cell>
          <cell r="H2329" t="str">
            <v>Reni</v>
          </cell>
          <cell r="I2329" t="str">
            <v>Fira</v>
          </cell>
          <cell r="J2329"/>
          <cell r="K2329" t="str">
            <v>KU</v>
          </cell>
          <cell r="L2329" t="str">
            <v>DUTA03</v>
          </cell>
          <cell r="M2329" t="str">
            <v>Duta Buah Putra/Furkon</v>
          </cell>
          <cell r="N2329" t="str">
            <v>Furqon Asadillah</v>
          </cell>
          <cell r="O2329" t="str">
            <v>Jl. Raya Plumpang-compreng Ds. Magersari Kec. Plumpang</v>
          </cell>
          <cell r="P2329" t="str">
            <v>Tuban</v>
          </cell>
          <cell r="Q2329" t="str">
            <v>Plumpangan</v>
          </cell>
          <cell r="R2329" t="str">
            <v>Tuban</v>
          </cell>
          <cell r="S2329" t="str">
            <v>F Utara1</v>
          </cell>
          <cell r="T2329" t="str">
            <v>Dian</v>
          </cell>
          <cell r="U2329">
            <v>30</v>
          </cell>
        </row>
        <row r="2330">
          <cell r="E2330" t="str">
            <v>B25011223</v>
          </cell>
          <cell r="F2330"/>
          <cell r="G2330">
            <v>300000000</v>
          </cell>
          <cell r="H2330" t="str">
            <v>Reni</v>
          </cell>
          <cell r="I2330" t="str">
            <v>Fira</v>
          </cell>
          <cell r="J2330"/>
          <cell r="K2330" t="str">
            <v>KU</v>
          </cell>
          <cell r="L2330" t="str">
            <v>DUTA03</v>
          </cell>
          <cell r="M2330" t="str">
            <v>Duta Buah Putra/Furkon</v>
          </cell>
          <cell r="N2330" t="str">
            <v>Furqon Asadillah</v>
          </cell>
          <cell r="O2330" t="str">
            <v>Jl. Raya Plumpang-compreng Ds. Magersari Kec. Plumpang</v>
          </cell>
          <cell r="P2330" t="str">
            <v>Tuban</v>
          </cell>
          <cell r="Q2330" t="str">
            <v>Plumpangan</v>
          </cell>
          <cell r="R2330" t="str">
            <v>Tuban</v>
          </cell>
          <cell r="S2330" t="str">
            <v>F Utara1</v>
          </cell>
          <cell r="T2330" t="str">
            <v>Dian</v>
          </cell>
          <cell r="U2330">
            <v>60</v>
          </cell>
        </row>
        <row r="2331">
          <cell r="E2331" t="str">
            <v>B25011399</v>
          </cell>
          <cell r="F2331"/>
          <cell r="G2331">
            <v>300000000</v>
          </cell>
          <cell r="H2331" t="str">
            <v>Reni</v>
          </cell>
          <cell r="I2331" t="str">
            <v>Fira</v>
          </cell>
          <cell r="J2331"/>
          <cell r="K2331" t="str">
            <v>KU</v>
          </cell>
          <cell r="L2331" t="str">
            <v>DUTA03</v>
          </cell>
          <cell r="M2331" t="str">
            <v>Duta Buah Putra/Furkon</v>
          </cell>
          <cell r="N2331" t="str">
            <v>Furqon Asadillah</v>
          </cell>
          <cell r="O2331" t="str">
            <v>Jl. Raya Plumpang-compreng Ds. Magersari Kec. Plumpang</v>
          </cell>
          <cell r="P2331" t="str">
            <v>Tuban</v>
          </cell>
          <cell r="Q2331" t="str">
            <v>Plumpangan</v>
          </cell>
          <cell r="R2331" t="str">
            <v>Tuban</v>
          </cell>
          <cell r="S2331" t="str">
            <v>F Utara1</v>
          </cell>
          <cell r="T2331" t="str">
            <v>Dian</v>
          </cell>
          <cell r="U2331">
            <v>60</v>
          </cell>
        </row>
        <row r="2332">
          <cell r="E2332" t="str">
            <v>D25014301</v>
          </cell>
          <cell r="F2332"/>
          <cell r="G2332">
            <v>300000000</v>
          </cell>
          <cell r="H2332" t="str">
            <v>Reni</v>
          </cell>
          <cell r="I2332" t="str">
            <v>Fira</v>
          </cell>
          <cell r="J2332"/>
          <cell r="K2332" t="str">
            <v>KU</v>
          </cell>
          <cell r="L2332" t="str">
            <v>DUTA03</v>
          </cell>
          <cell r="M2332" t="str">
            <v>Duta Buah Putra/Furkon</v>
          </cell>
          <cell r="N2332" t="str">
            <v>Furqon Asadillah</v>
          </cell>
          <cell r="O2332" t="str">
            <v>Jl. Raya Plumpang-compreng Ds. Magersari Kec. Plumpang</v>
          </cell>
          <cell r="P2332" t="str">
            <v>Tuban</v>
          </cell>
          <cell r="Q2332" t="str">
            <v>Plumpangan</v>
          </cell>
          <cell r="R2332" t="str">
            <v>Tuban</v>
          </cell>
          <cell r="S2332" t="str">
            <v>F Utara1</v>
          </cell>
          <cell r="T2332" t="str">
            <v>Dian</v>
          </cell>
          <cell r="U2332">
            <v>30</v>
          </cell>
        </row>
        <row r="2333">
          <cell r="E2333" t="str">
            <v>B25012538</v>
          </cell>
          <cell r="F2333"/>
          <cell r="G2333">
            <v>300000000</v>
          </cell>
          <cell r="H2333" t="str">
            <v>Reni</v>
          </cell>
          <cell r="I2333" t="str">
            <v>Fira</v>
          </cell>
          <cell r="J2333"/>
          <cell r="K2333" t="str">
            <v>KU</v>
          </cell>
          <cell r="L2333" t="str">
            <v>DUTA03</v>
          </cell>
          <cell r="M2333" t="str">
            <v>Duta Buah Putra/Furkon</v>
          </cell>
          <cell r="N2333" t="str">
            <v>Furqon Asadillah</v>
          </cell>
          <cell r="O2333" t="str">
            <v>Jl. Raya Plumpang-compreng Ds. Magersari Kec. Plumpang</v>
          </cell>
          <cell r="P2333" t="str">
            <v>Tuban</v>
          </cell>
          <cell r="Q2333" t="str">
            <v>Plumpangan</v>
          </cell>
          <cell r="R2333" t="str">
            <v>Tuban</v>
          </cell>
          <cell r="S2333" t="str">
            <v>F Utara1</v>
          </cell>
          <cell r="T2333" t="str">
            <v>Dian</v>
          </cell>
          <cell r="U2333">
            <v>60</v>
          </cell>
        </row>
        <row r="2334">
          <cell r="E2334" t="str">
            <v>B25012808</v>
          </cell>
          <cell r="F2334"/>
          <cell r="G2334">
            <v>300000000</v>
          </cell>
          <cell r="H2334" t="str">
            <v>Reni</v>
          </cell>
          <cell r="I2334" t="str">
            <v>Fira</v>
          </cell>
          <cell r="J2334"/>
          <cell r="K2334" t="str">
            <v>KU</v>
          </cell>
          <cell r="L2334" t="str">
            <v>DUTA03</v>
          </cell>
          <cell r="M2334" t="str">
            <v>Duta Buah Putra/Furkon</v>
          </cell>
          <cell r="N2334" t="str">
            <v>Furqon Asadillah</v>
          </cell>
          <cell r="O2334" t="str">
            <v>Jl. Raya Plumpang-compreng Ds. Magersari Kec. Plumpang</v>
          </cell>
          <cell r="P2334" t="str">
            <v>Tuban</v>
          </cell>
          <cell r="Q2334" t="str">
            <v>Plumpangan</v>
          </cell>
          <cell r="R2334" t="str">
            <v>Tuban</v>
          </cell>
          <cell r="S2334" t="str">
            <v>F Utara1</v>
          </cell>
          <cell r="T2334" t="str">
            <v>Dian</v>
          </cell>
          <cell r="U2334">
            <v>60</v>
          </cell>
        </row>
        <row r="2335">
          <cell r="E2335" t="str">
            <v>B25013261</v>
          </cell>
          <cell r="F2335"/>
          <cell r="G2335">
            <v>300000000</v>
          </cell>
          <cell r="H2335" t="str">
            <v>Reni</v>
          </cell>
          <cell r="I2335" t="str">
            <v>Fira</v>
          </cell>
          <cell r="J2335"/>
          <cell r="K2335" t="str">
            <v>KU</v>
          </cell>
          <cell r="L2335" t="str">
            <v>DUTA03</v>
          </cell>
          <cell r="M2335" t="str">
            <v>Duta Buah Putra/Furkon</v>
          </cell>
          <cell r="N2335" t="str">
            <v>Furqon Asadillah</v>
          </cell>
          <cell r="O2335" t="str">
            <v>Jl. Raya Plumpang-compreng Ds. Magersari Kec. Plumpang</v>
          </cell>
          <cell r="P2335" t="str">
            <v>Tuban</v>
          </cell>
          <cell r="Q2335" t="str">
            <v>Plumpangan</v>
          </cell>
          <cell r="R2335" t="str">
            <v>Tuban</v>
          </cell>
          <cell r="S2335" t="str">
            <v>F Utara1</v>
          </cell>
          <cell r="T2335" t="str">
            <v>Dian</v>
          </cell>
          <cell r="U2335">
            <v>60</v>
          </cell>
        </row>
        <row r="2336">
          <cell r="E2336" t="str">
            <v>D25013054</v>
          </cell>
          <cell r="F2336"/>
          <cell r="G2336">
            <v>10000000</v>
          </cell>
          <cell r="H2336" t="str">
            <v>Zakia</v>
          </cell>
          <cell r="I2336" t="str">
            <v>Tiya</v>
          </cell>
          <cell r="J2336" t="str">
            <v>New 02/03/22</v>
          </cell>
          <cell r="K2336" t="str">
            <v>KU</v>
          </cell>
          <cell r="L2336" t="str">
            <v>DUTA08</v>
          </cell>
          <cell r="M2336" t="str">
            <v>Duta Tani/Yuniardi</v>
          </cell>
          <cell r="N2336" t="str">
            <v>Yuniardi</v>
          </cell>
          <cell r="O2336" t="str">
            <v>Dusun Bendowulung RT.005/RW.001, Kel. Bendowulung, Kec. Sanankulon</v>
          </cell>
          <cell r="P2336" t="str">
            <v>Blitar</v>
          </cell>
          <cell r="Q2336" t="str">
            <v>Dusun Bendowulung RT.005/RW.001, Kel. Bendowulung, Kec. Sanankulon</v>
          </cell>
          <cell r="R2336" t="str">
            <v>Blitar</v>
          </cell>
          <cell r="S2336" t="str">
            <v>D Barat1</v>
          </cell>
          <cell r="T2336" t="str">
            <v>Tomi</v>
          </cell>
          <cell r="U2336">
            <v>30</v>
          </cell>
        </row>
        <row r="2337">
          <cell r="E2337" t="str">
            <v>T25001316</v>
          </cell>
          <cell r="F2337"/>
          <cell r="G2337">
            <v>10000000</v>
          </cell>
          <cell r="H2337" t="str">
            <v>Zakia</v>
          </cell>
          <cell r="I2337" t="str">
            <v>Tiya</v>
          </cell>
          <cell r="J2337" t="str">
            <v>New 02/03/22</v>
          </cell>
          <cell r="K2337" t="str">
            <v>KU</v>
          </cell>
          <cell r="L2337" t="str">
            <v>DUTA08</v>
          </cell>
          <cell r="M2337" t="str">
            <v>Duta Tani/Yuniardi</v>
          </cell>
          <cell r="N2337" t="str">
            <v>Yuniardi</v>
          </cell>
          <cell r="O2337" t="str">
            <v>Dusun Bendowulung RT.005/RW.001, Kel. Bendowulung, Kec. Sanankulon</v>
          </cell>
          <cell r="P2337" t="str">
            <v>Blitar</v>
          </cell>
          <cell r="Q2337" t="str">
            <v>Dusun Bendowulung RT.005/RW.001, Kel. Bendowulung, Kec. Sanankulon</v>
          </cell>
          <cell r="R2337" t="str">
            <v>Blitar</v>
          </cell>
          <cell r="S2337" t="str">
            <v>D Barat1</v>
          </cell>
          <cell r="T2337" t="str">
            <v>Tomi</v>
          </cell>
          <cell r="U2337">
            <v>60</v>
          </cell>
        </row>
        <row r="2338">
          <cell r="E2338" t="str">
            <v>B25011470</v>
          </cell>
          <cell r="F2338"/>
          <cell r="G2338">
            <v>10000000</v>
          </cell>
          <cell r="H2338" t="str">
            <v>Zakia</v>
          </cell>
          <cell r="I2338" t="str">
            <v>Tiya</v>
          </cell>
          <cell r="J2338" t="str">
            <v>New 02/03/22</v>
          </cell>
          <cell r="K2338" t="str">
            <v>KU</v>
          </cell>
          <cell r="L2338" t="str">
            <v>DUTA08</v>
          </cell>
          <cell r="M2338" t="str">
            <v>Duta Tani/Yuniardi</v>
          </cell>
          <cell r="N2338" t="str">
            <v>Yuniardi</v>
          </cell>
          <cell r="O2338" t="str">
            <v>Dusun Bendowulung RT.005/RW.001, Kel. Bendowulung, Kec. Sanankulon</v>
          </cell>
          <cell r="P2338" t="str">
            <v>Blitar</v>
          </cell>
          <cell r="Q2338" t="str">
            <v>Dusun Bendowulung RT.005/RW.001, Kel. Bendowulung, Kec. Sanankulon</v>
          </cell>
          <cell r="R2338" t="str">
            <v>Blitar</v>
          </cell>
          <cell r="S2338" t="str">
            <v>D Barat1</v>
          </cell>
          <cell r="T2338" t="str">
            <v>Tomi</v>
          </cell>
          <cell r="U2338">
            <v>30</v>
          </cell>
        </row>
        <row r="2339">
          <cell r="E2339" t="str">
            <v>B25011538</v>
          </cell>
          <cell r="F2339"/>
          <cell r="G2339">
            <v>10000000</v>
          </cell>
          <cell r="H2339" t="str">
            <v>Zakia</v>
          </cell>
          <cell r="I2339" t="str">
            <v>Tiya</v>
          </cell>
          <cell r="J2339" t="str">
            <v>New 02/03/22</v>
          </cell>
          <cell r="K2339" t="str">
            <v>KU</v>
          </cell>
          <cell r="L2339" t="str">
            <v>DUTA08</v>
          </cell>
          <cell r="M2339" t="str">
            <v>Duta Tani/Yuniardi</v>
          </cell>
          <cell r="N2339" t="str">
            <v>Yuniardi</v>
          </cell>
          <cell r="O2339" t="str">
            <v>Dusun Bendowulung RT.005/RW.001, Kel. Bendowulung, Kec. Sanankulon</v>
          </cell>
          <cell r="P2339" t="str">
            <v>Blitar</v>
          </cell>
          <cell r="Q2339" t="str">
            <v>Dusun Bendowulung RT.005/RW.001, Kel. Bendowulung, Kec. Sanankulon</v>
          </cell>
          <cell r="R2339" t="str">
            <v>Blitar</v>
          </cell>
          <cell r="S2339" t="str">
            <v>D Barat1</v>
          </cell>
          <cell r="T2339" t="str">
            <v>Tomi</v>
          </cell>
          <cell r="U2339">
            <v>60</v>
          </cell>
        </row>
        <row r="2340">
          <cell r="E2340" t="str">
            <v>D25015945</v>
          </cell>
          <cell r="F2340"/>
          <cell r="G2340">
            <v>10000000</v>
          </cell>
          <cell r="H2340" t="str">
            <v>Zakia</v>
          </cell>
          <cell r="I2340" t="str">
            <v>Tiya</v>
          </cell>
          <cell r="J2340" t="str">
            <v>New 02/03/22</v>
          </cell>
          <cell r="K2340" t="str">
            <v>KU</v>
          </cell>
          <cell r="L2340" t="str">
            <v>DUTA08</v>
          </cell>
          <cell r="M2340" t="str">
            <v>Duta Tani/Yuniardi</v>
          </cell>
          <cell r="N2340" t="str">
            <v>Yuniardi</v>
          </cell>
          <cell r="O2340" t="str">
            <v>Dusun Bendowulung RT.005/RW.001, Kel. Bendowulung, Kec. Sanankulon</v>
          </cell>
          <cell r="P2340" t="str">
            <v>Blitar</v>
          </cell>
          <cell r="Q2340" t="str">
            <v>Dusun Bendowulung RT.005/RW.001, Kel. Bendowulung, Kec. Sanankulon</v>
          </cell>
          <cell r="R2340" t="str">
            <v>Blitar</v>
          </cell>
          <cell r="S2340" t="str">
            <v>D Barat1</v>
          </cell>
          <cell r="T2340" t="str">
            <v>Tomi</v>
          </cell>
          <cell r="U2340">
            <v>0</v>
          </cell>
        </row>
        <row r="2341">
          <cell r="E2341" t="str">
            <v>D25011523</v>
          </cell>
          <cell r="F2341"/>
          <cell r="G2341">
            <v>100000000</v>
          </cell>
          <cell r="H2341" t="str">
            <v>Faris</v>
          </cell>
          <cell r="I2341" t="str">
            <v>Syahra</v>
          </cell>
          <cell r="J2341" t="str">
            <v>New 16/04/20</v>
          </cell>
          <cell r="K2341" t="str">
            <v>KU, Tunai</v>
          </cell>
          <cell r="L2341" t="str">
            <v>DWIP01</v>
          </cell>
          <cell r="M2341" t="str">
            <v>Dwi Putra, UD</v>
          </cell>
          <cell r="N2341" t="str">
            <v>Sutrisno</v>
          </cell>
          <cell r="O2341" t="str">
            <v>Dsn. Krajan RT.004/RW.003 Kanjarharjo Kalibaru</v>
          </cell>
          <cell r="P2341" t="str">
            <v>Banyuwangi</v>
          </cell>
          <cell r="Q2341" t="str">
            <v>Dsn. Krajan RT.004/RW.003 Kanjarharjo Kalibaru</v>
          </cell>
          <cell r="R2341" t="str">
            <v>Banyuwangi</v>
          </cell>
          <cell r="S2341" t="str">
            <v>H Bwi1</v>
          </cell>
          <cell r="T2341" t="str">
            <v>Hafid</v>
          </cell>
          <cell r="U2341">
            <v>30</v>
          </cell>
        </row>
        <row r="2342">
          <cell r="E2342" t="str">
            <v>D25011812</v>
          </cell>
          <cell r="F2342"/>
          <cell r="G2342">
            <v>100000000</v>
          </cell>
          <cell r="H2342" t="str">
            <v>Faris</v>
          </cell>
          <cell r="I2342" t="str">
            <v>Syahra</v>
          </cell>
          <cell r="J2342" t="str">
            <v>New 16/04/20</v>
          </cell>
          <cell r="K2342" t="str">
            <v>KU, Tunai</v>
          </cell>
          <cell r="L2342" t="str">
            <v>DWIP01</v>
          </cell>
          <cell r="M2342" t="str">
            <v>Dwi Putra, UD</v>
          </cell>
          <cell r="N2342" t="str">
            <v>Sutrisno</v>
          </cell>
          <cell r="O2342" t="str">
            <v>Dsn. Krajan RT.004/RW.003 Kanjarharjo Kalibaru</v>
          </cell>
          <cell r="P2342" t="str">
            <v>Banyuwangi</v>
          </cell>
          <cell r="Q2342" t="str">
            <v>Dsn. Krajan RT.004/RW.003 Kanjarharjo Kalibaru</v>
          </cell>
          <cell r="R2342" t="str">
            <v>Banyuwangi</v>
          </cell>
          <cell r="S2342" t="str">
            <v>H Bwi1</v>
          </cell>
          <cell r="T2342" t="str">
            <v>Hafid</v>
          </cell>
          <cell r="U2342">
            <v>30</v>
          </cell>
        </row>
        <row r="2343">
          <cell r="E2343" t="str">
            <v>D25012497</v>
          </cell>
          <cell r="F2343"/>
          <cell r="G2343">
            <v>100000000</v>
          </cell>
          <cell r="H2343" t="str">
            <v>Faris</v>
          </cell>
          <cell r="I2343" t="str">
            <v>Syahra</v>
          </cell>
          <cell r="J2343" t="str">
            <v>New 16/04/20</v>
          </cell>
          <cell r="K2343" t="str">
            <v>KU, Tunai</v>
          </cell>
          <cell r="L2343" t="str">
            <v>DWIP01</v>
          </cell>
          <cell r="M2343" t="str">
            <v>Dwi Putra, UD</v>
          </cell>
          <cell r="N2343" t="str">
            <v>Sutrisno</v>
          </cell>
          <cell r="O2343" t="str">
            <v>Dsn. Krajan RT.004/RW.003 Kanjarharjo Kalibaru</v>
          </cell>
          <cell r="P2343" t="str">
            <v>Banyuwangi</v>
          </cell>
          <cell r="Q2343" t="str">
            <v>Dsn. Krajan RT.004/RW.003 Kanjarharjo Kalibaru</v>
          </cell>
          <cell r="R2343" t="str">
            <v>Banyuwangi</v>
          </cell>
          <cell r="S2343" t="str">
            <v>H Bwi1</v>
          </cell>
          <cell r="T2343" t="str">
            <v>Hafid</v>
          </cell>
          <cell r="U2343">
            <v>30</v>
          </cell>
        </row>
        <row r="2344">
          <cell r="E2344" t="str">
            <v>B25011301</v>
          </cell>
          <cell r="F2344"/>
          <cell r="G2344">
            <v>100000000</v>
          </cell>
          <cell r="H2344" t="str">
            <v>Faris</v>
          </cell>
          <cell r="I2344" t="str">
            <v>Syahra</v>
          </cell>
          <cell r="J2344" t="str">
            <v>New 16/04/20</v>
          </cell>
          <cell r="K2344" t="str">
            <v>KU, Tunai</v>
          </cell>
          <cell r="L2344" t="str">
            <v>DWIP01</v>
          </cell>
          <cell r="M2344" t="str">
            <v>Dwi Putra, UD</v>
          </cell>
          <cell r="N2344" t="str">
            <v>Sutrisno</v>
          </cell>
          <cell r="O2344" t="str">
            <v>Dsn. Krajan RT.004/RW.003 Kanjarharjo Kalibaru</v>
          </cell>
          <cell r="P2344" t="str">
            <v>Banyuwangi</v>
          </cell>
          <cell r="Q2344" t="str">
            <v>Dsn. Krajan RT.004/RW.003 Kanjarharjo Kalibaru</v>
          </cell>
          <cell r="R2344" t="str">
            <v>Banyuwangi</v>
          </cell>
          <cell r="S2344" t="str">
            <v>H Bwi1</v>
          </cell>
          <cell r="T2344" t="str">
            <v>Hafid</v>
          </cell>
          <cell r="U2344">
            <v>60</v>
          </cell>
        </row>
        <row r="2345">
          <cell r="E2345" t="str">
            <v>B25011329</v>
          </cell>
          <cell r="F2345"/>
          <cell r="G2345">
            <v>100000000</v>
          </cell>
          <cell r="H2345" t="str">
            <v>Faris</v>
          </cell>
          <cell r="I2345" t="str">
            <v>Syahra</v>
          </cell>
          <cell r="J2345" t="str">
            <v>New 16/04/20</v>
          </cell>
          <cell r="K2345" t="str">
            <v>KU, Tunai</v>
          </cell>
          <cell r="L2345" t="str">
            <v>DWIP01</v>
          </cell>
          <cell r="M2345" t="str">
            <v>Dwi Putra, UD</v>
          </cell>
          <cell r="N2345" t="str">
            <v>Sutrisno</v>
          </cell>
          <cell r="O2345" t="str">
            <v>Dsn. Krajan RT.004/RW.003 Kanjarharjo Kalibaru</v>
          </cell>
          <cell r="P2345" t="str">
            <v>Banyuwangi</v>
          </cell>
          <cell r="Q2345" t="str">
            <v>Dsn. Krajan RT.004/RW.003 Kanjarharjo Kalibaru</v>
          </cell>
          <cell r="R2345" t="str">
            <v>Banyuwangi</v>
          </cell>
          <cell r="S2345" t="str">
            <v>H Bwi1</v>
          </cell>
          <cell r="T2345" t="str">
            <v>Hafid</v>
          </cell>
          <cell r="U2345">
            <v>60</v>
          </cell>
        </row>
        <row r="2346">
          <cell r="E2346" t="str">
            <v>B25011705</v>
          </cell>
          <cell r="F2346"/>
          <cell r="G2346">
            <v>100000000</v>
          </cell>
          <cell r="H2346" t="str">
            <v>Faris</v>
          </cell>
          <cell r="I2346" t="str">
            <v>Syahra</v>
          </cell>
          <cell r="J2346" t="str">
            <v>New 16/04/20</v>
          </cell>
          <cell r="K2346" t="str">
            <v>KU, Tunai</v>
          </cell>
          <cell r="L2346" t="str">
            <v>DWIP01</v>
          </cell>
          <cell r="M2346" t="str">
            <v>Dwi Putra, UD</v>
          </cell>
          <cell r="N2346" t="str">
            <v>Sutrisno</v>
          </cell>
          <cell r="O2346" t="str">
            <v>Dsn. Krajan RT.004/RW.003 Kanjarharjo Kalibaru</v>
          </cell>
          <cell r="P2346" t="str">
            <v>Banyuwangi</v>
          </cell>
          <cell r="Q2346" t="str">
            <v>Dsn. Krajan RT.004/RW.003 Kanjarharjo Kalibaru</v>
          </cell>
          <cell r="R2346" t="str">
            <v>Banyuwangi</v>
          </cell>
          <cell r="S2346" t="str">
            <v>H Bwi1</v>
          </cell>
          <cell r="T2346" t="str">
            <v>Hafid</v>
          </cell>
          <cell r="U2346">
            <v>60</v>
          </cell>
        </row>
        <row r="2347">
          <cell r="E2347" t="str">
            <v>B25011731</v>
          </cell>
          <cell r="F2347"/>
          <cell r="G2347">
            <v>100000000</v>
          </cell>
          <cell r="H2347" t="str">
            <v>Faris</v>
          </cell>
          <cell r="I2347" t="str">
            <v>Syahra</v>
          </cell>
          <cell r="J2347" t="str">
            <v>New 16/04/20</v>
          </cell>
          <cell r="K2347" t="str">
            <v>KU, Tunai</v>
          </cell>
          <cell r="L2347" t="str">
            <v>DWIP01</v>
          </cell>
          <cell r="M2347" t="str">
            <v>Dwi Putra, UD</v>
          </cell>
          <cell r="N2347" t="str">
            <v>Sutrisno</v>
          </cell>
          <cell r="O2347" t="str">
            <v>Dsn. Krajan RT.004/RW.003 Kanjarharjo Kalibaru</v>
          </cell>
          <cell r="P2347" t="str">
            <v>Banyuwangi</v>
          </cell>
          <cell r="Q2347" t="str">
            <v>Dsn. Krajan RT.004/RW.003 Kanjarharjo Kalibaru</v>
          </cell>
          <cell r="R2347" t="str">
            <v>Banyuwangi</v>
          </cell>
          <cell r="S2347" t="str">
            <v>H Bwi1</v>
          </cell>
          <cell r="T2347" t="str">
            <v>Hafid</v>
          </cell>
          <cell r="U2347">
            <v>30</v>
          </cell>
        </row>
        <row r="2348">
          <cell r="E2348" t="str">
            <v>D25013941</v>
          </cell>
          <cell r="F2348"/>
          <cell r="G2348">
            <v>100000000</v>
          </cell>
          <cell r="H2348" t="str">
            <v>Faris</v>
          </cell>
          <cell r="I2348" t="str">
            <v>Syahra</v>
          </cell>
          <cell r="J2348" t="str">
            <v>New 16/04/20</v>
          </cell>
          <cell r="K2348" t="str">
            <v>KU, Tunai</v>
          </cell>
          <cell r="L2348" t="str">
            <v>DWIP01</v>
          </cell>
          <cell r="M2348" t="str">
            <v>Dwi Putra, UD</v>
          </cell>
          <cell r="N2348" t="str">
            <v>Sutrisno</v>
          </cell>
          <cell r="O2348" t="str">
            <v>Dsn. Krajan RT.004/RW.003 Kanjarharjo Kalibaru</v>
          </cell>
          <cell r="P2348" t="str">
            <v>Banyuwangi</v>
          </cell>
          <cell r="Q2348" t="str">
            <v>Dsn. Krajan RT.004/RW.003 Kanjarharjo Kalibaru</v>
          </cell>
          <cell r="R2348" t="str">
            <v>Banyuwangi</v>
          </cell>
          <cell r="S2348" t="str">
            <v>H Bwi1</v>
          </cell>
          <cell r="T2348" t="str">
            <v>Hafid</v>
          </cell>
          <cell r="U2348">
            <v>30</v>
          </cell>
        </row>
        <row r="2349">
          <cell r="E2349" t="str">
            <v>B25011767</v>
          </cell>
          <cell r="F2349"/>
          <cell r="G2349">
            <v>100000000</v>
          </cell>
          <cell r="H2349" t="str">
            <v>Faris</v>
          </cell>
          <cell r="I2349" t="str">
            <v>Syahra</v>
          </cell>
          <cell r="J2349" t="str">
            <v>New 16/04/20</v>
          </cell>
          <cell r="K2349" t="str">
            <v>KU, Tunai</v>
          </cell>
          <cell r="L2349" t="str">
            <v>DWIP01</v>
          </cell>
          <cell r="M2349" t="str">
            <v>Dwi Putra, UD</v>
          </cell>
          <cell r="N2349" t="str">
            <v>Sutrisno</v>
          </cell>
          <cell r="O2349" t="str">
            <v>Dsn. Krajan RT.004/RW.003 Kanjarharjo Kalibaru</v>
          </cell>
          <cell r="P2349" t="str">
            <v>Banyuwangi</v>
          </cell>
          <cell r="Q2349" t="str">
            <v>Dsn. Krajan RT.004/RW.003 Kanjarharjo Kalibaru</v>
          </cell>
          <cell r="R2349" t="str">
            <v>Banyuwangi</v>
          </cell>
          <cell r="S2349" t="str">
            <v>H Bwi1</v>
          </cell>
          <cell r="T2349" t="str">
            <v>Hafid</v>
          </cell>
          <cell r="U2349">
            <v>30</v>
          </cell>
        </row>
        <row r="2350">
          <cell r="E2350" t="str">
            <v>B25011768</v>
          </cell>
          <cell r="F2350"/>
          <cell r="G2350">
            <v>100000000</v>
          </cell>
          <cell r="H2350" t="str">
            <v>Faris</v>
          </cell>
          <cell r="I2350" t="str">
            <v>Syahra</v>
          </cell>
          <cell r="J2350" t="str">
            <v>New 16/04/20</v>
          </cell>
          <cell r="K2350" t="str">
            <v>KU, Tunai</v>
          </cell>
          <cell r="L2350" t="str">
            <v>DWIP01</v>
          </cell>
          <cell r="M2350" t="str">
            <v>Dwi Putra, UD</v>
          </cell>
          <cell r="N2350" t="str">
            <v>Sutrisno</v>
          </cell>
          <cell r="O2350" t="str">
            <v>Dsn. Krajan RT.004/RW.003 Kanjarharjo Kalibaru</v>
          </cell>
          <cell r="P2350" t="str">
            <v>Banyuwangi</v>
          </cell>
          <cell r="Q2350" t="str">
            <v>Dsn. Krajan RT.004/RW.003 Kanjarharjo Kalibaru</v>
          </cell>
          <cell r="R2350" t="str">
            <v>Banyuwangi</v>
          </cell>
          <cell r="S2350" t="str">
            <v>H Bwi1</v>
          </cell>
          <cell r="T2350" t="str">
            <v>Hafid</v>
          </cell>
          <cell r="U2350">
            <v>30</v>
          </cell>
        </row>
        <row r="2351">
          <cell r="E2351" t="str">
            <v>D25014698</v>
          </cell>
          <cell r="F2351"/>
          <cell r="G2351">
            <v>100000000</v>
          </cell>
          <cell r="H2351" t="str">
            <v>Faris</v>
          </cell>
          <cell r="I2351" t="str">
            <v>Syahra</v>
          </cell>
          <cell r="J2351" t="str">
            <v>New 16/04/20</v>
          </cell>
          <cell r="K2351" t="str">
            <v>KU, Tunai</v>
          </cell>
          <cell r="L2351" t="str">
            <v>DWIP01</v>
          </cell>
          <cell r="M2351" t="str">
            <v>Dwi Putra, UD</v>
          </cell>
          <cell r="N2351" t="str">
            <v>Sutrisno</v>
          </cell>
          <cell r="O2351" t="str">
            <v>Dsn. Krajan RT.004/RW.003 Kanjarharjo Kalibaru</v>
          </cell>
          <cell r="P2351" t="str">
            <v>Banyuwangi</v>
          </cell>
          <cell r="Q2351" t="str">
            <v>Dsn. Krajan RT.004/RW.003 Kanjarharjo Kalibaru</v>
          </cell>
          <cell r="R2351" t="str">
            <v>Banyuwangi</v>
          </cell>
          <cell r="S2351" t="str">
            <v>H Bwi1</v>
          </cell>
          <cell r="T2351" t="str">
            <v>Hafid</v>
          </cell>
          <cell r="U2351">
            <v>30</v>
          </cell>
        </row>
        <row r="2352">
          <cell r="E2352" t="str">
            <v>B25012461</v>
          </cell>
          <cell r="F2352"/>
          <cell r="G2352">
            <v>100000000</v>
          </cell>
          <cell r="H2352" t="str">
            <v>Faris</v>
          </cell>
          <cell r="I2352" t="str">
            <v>Syahra</v>
          </cell>
          <cell r="J2352" t="str">
            <v>New 16/04/20</v>
          </cell>
          <cell r="K2352" t="str">
            <v>KU, Tunai</v>
          </cell>
          <cell r="L2352" t="str">
            <v>DWIP01</v>
          </cell>
          <cell r="M2352" t="str">
            <v>Dwi Putra, UD</v>
          </cell>
          <cell r="N2352" t="str">
            <v>Sutrisno</v>
          </cell>
          <cell r="O2352" t="str">
            <v>Dsn. Krajan RT.004/RW.003 Kanjarharjo Kalibaru</v>
          </cell>
          <cell r="P2352" t="str">
            <v>Banyuwangi</v>
          </cell>
          <cell r="Q2352" t="str">
            <v>Dsn. Krajan RT.004/RW.003 Kanjarharjo Kalibaru</v>
          </cell>
          <cell r="R2352" t="str">
            <v>Banyuwangi</v>
          </cell>
          <cell r="S2352" t="str">
            <v>H Bwi1</v>
          </cell>
          <cell r="T2352" t="str">
            <v>Hafid</v>
          </cell>
          <cell r="U2352">
            <v>30</v>
          </cell>
        </row>
        <row r="2353">
          <cell r="E2353" t="str">
            <v>D25014821</v>
          </cell>
          <cell r="F2353"/>
          <cell r="G2353">
            <v>100000000</v>
          </cell>
          <cell r="H2353" t="str">
            <v>Faris</v>
          </cell>
          <cell r="I2353" t="str">
            <v>Syahra</v>
          </cell>
          <cell r="J2353" t="str">
            <v>New 16/04/20</v>
          </cell>
          <cell r="K2353" t="str">
            <v>KU, Tunai</v>
          </cell>
          <cell r="L2353" t="str">
            <v>DWIP01</v>
          </cell>
          <cell r="M2353" t="str">
            <v>Dwi Putra, UD</v>
          </cell>
          <cell r="N2353" t="str">
            <v>Sutrisno</v>
          </cell>
          <cell r="O2353" t="str">
            <v>Dsn. Krajan RT.004/RW.003 Kanjarharjo Kalibaru</v>
          </cell>
          <cell r="P2353" t="str">
            <v>Banyuwangi</v>
          </cell>
          <cell r="Q2353" t="str">
            <v>Dsn. Krajan RT.004/RW.003 Kanjarharjo Kalibaru</v>
          </cell>
          <cell r="R2353" t="str">
            <v>Banyuwangi</v>
          </cell>
          <cell r="S2353" t="str">
            <v>H Bwi1</v>
          </cell>
          <cell r="T2353" t="str">
            <v>Hafid</v>
          </cell>
          <cell r="U2353">
            <v>30</v>
          </cell>
        </row>
        <row r="2354">
          <cell r="E2354" t="str">
            <v>B25012720</v>
          </cell>
          <cell r="F2354"/>
          <cell r="G2354">
            <v>100000000</v>
          </cell>
          <cell r="H2354" t="str">
            <v>Faris</v>
          </cell>
          <cell r="I2354" t="str">
            <v>Syahra</v>
          </cell>
          <cell r="J2354" t="str">
            <v>New 16/04/20</v>
          </cell>
          <cell r="K2354" t="str">
            <v>KU, Tunai</v>
          </cell>
          <cell r="L2354" t="str">
            <v>DWIP01</v>
          </cell>
          <cell r="M2354" t="str">
            <v>Dwi Putra, UD</v>
          </cell>
          <cell r="N2354" t="str">
            <v>Sutrisno</v>
          </cell>
          <cell r="O2354" t="str">
            <v>Dsn. Krajan RT.004/RW.003 Kanjarharjo Kalibaru</v>
          </cell>
          <cell r="P2354" t="str">
            <v>Banyuwangi</v>
          </cell>
          <cell r="Q2354" t="str">
            <v>Dsn. Krajan RT.004/RW.003 Kanjarharjo Kalibaru</v>
          </cell>
          <cell r="R2354" t="str">
            <v>Banyuwangi</v>
          </cell>
          <cell r="S2354" t="str">
            <v>H Bwi1</v>
          </cell>
          <cell r="T2354" t="str">
            <v>Hafid</v>
          </cell>
          <cell r="U2354">
            <v>0</v>
          </cell>
        </row>
        <row r="2355">
          <cell r="E2355" t="str">
            <v>A25002026</v>
          </cell>
          <cell r="F2355"/>
          <cell r="G2355">
            <v>1000</v>
          </cell>
          <cell r="H2355" t="str">
            <v>Ariyani</v>
          </cell>
          <cell r="I2355" t="str">
            <v>Fira</v>
          </cell>
          <cell r="J2355"/>
          <cell r="K2355" t="str">
            <v>KU</v>
          </cell>
          <cell r="L2355" t="str">
            <v>ECA 01</v>
          </cell>
          <cell r="M2355" t="str">
            <v>Eca Jaya/Yulius</v>
          </cell>
          <cell r="N2355" t="str">
            <v>Yulius Anwar Basuki</v>
          </cell>
          <cell r="O2355" t="str">
            <v>Jl. Kotta Blater Tirtosari No.46, RT.002/RW.001 Andongsari, Ambulu</v>
          </cell>
          <cell r="P2355" t="str">
            <v>Jember</v>
          </cell>
          <cell r="Q2355" t="str">
            <v>Wuluhan, Ambulu</v>
          </cell>
          <cell r="R2355" t="str">
            <v>Jember</v>
          </cell>
          <cell r="S2355" t="str">
            <v>L Kota2</v>
          </cell>
          <cell r="T2355" t="str">
            <v>Wira</v>
          </cell>
          <cell r="U2355">
            <v>0</v>
          </cell>
        </row>
        <row r="2356">
          <cell r="E2356" t="str">
            <v>B25004667</v>
          </cell>
          <cell r="F2356"/>
          <cell r="G2356">
            <v>4500000000</v>
          </cell>
          <cell r="H2356" t="str">
            <v>Faris</v>
          </cell>
          <cell r="I2356" t="str">
            <v>Syahra</v>
          </cell>
          <cell r="J2356"/>
          <cell r="K2356" t="str">
            <v>KU</v>
          </cell>
          <cell r="L2356" t="str">
            <v>EKAJ01</v>
          </cell>
          <cell r="M2356" t="str">
            <v>Eka Jaya/David</v>
          </cell>
          <cell r="N2356" t="str">
            <v>Agro Tani Mapan, CV</v>
          </cell>
          <cell r="O2356" t="str">
            <v>Dsn. Damtelu RT.001/RW.001 Kedunggebang. Tegal Dlimo, Kab. Banyuwangi</v>
          </cell>
          <cell r="P2356" t="str">
            <v>Banyuwangi</v>
          </cell>
          <cell r="Q2356" t="str">
            <v>Jl. Dam III No. 9 Patok XI, Tegaldlimo</v>
          </cell>
          <cell r="R2356" t="str">
            <v>Banyuwangi</v>
          </cell>
          <cell r="S2356" t="str">
            <v>H Bwi2</v>
          </cell>
          <cell r="T2356" t="str">
            <v>Hafid</v>
          </cell>
          <cell r="U2356">
            <v>164</v>
          </cell>
        </row>
        <row r="2357">
          <cell r="E2357" t="str">
            <v>D25006368</v>
          </cell>
          <cell r="F2357"/>
          <cell r="G2357">
            <v>4500000000</v>
          </cell>
          <cell r="H2357" t="str">
            <v>Faris</v>
          </cell>
          <cell r="I2357" t="str">
            <v>Syahra</v>
          </cell>
          <cell r="J2357"/>
          <cell r="K2357" t="str">
            <v>KU</v>
          </cell>
          <cell r="L2357" t="str">
            <v>EKAJ01</v>
          </cell>
          <cell r="M2357" t="str">
            <v>Eka Jaya/David</v>
          </cell>
          <cell r="N2357" t="str">
            <v>Agro Tani Mapan, CV</v>
          </cell>
          <cell r="O2357" t="str">
            <v>Dsn. Damtelu RT.001/RW.001 Kedunggebang. Tegal Dlimo, Kab. Banyuwangi</v>
          </cell>
          <cell r="P2357" t="str">
            <v>Banyuwangi</v>
          </cell>
          <cell r="Q2357" t="str">
            <v>Jl. Dam III No. 9 Patok XI, Tegaldlimo</v>
          </cell>
          <cell r="R2357" t="str">
            <v>Banyuwangi</v>
          </cell>
          <cell r="S2357" t="str">
            <v>H Bwi2</v>
          </cell>
          <cell r="T2357" t="str">
            <v>Hafid</v>
          </cell>
          <cell r="U2357">
            <v>153</v>
          </cell>
        </row>
        <row r="2358">
          <cell r="E2358" t="str">
            <v>B25008328</v>
          </cell>
          <cell r="F2358"/>
          <cell r="G2358">
            <v>4500000000</v>
          </cell>
          <cell r="H2358" t="str">
            <v>Faris</v>
          </cell>
          <cell r="I2358" t="str">
            <v>Syahra</v>
          </cell>
          <cell r="J2358"/>
          <cell r="K2358" t="str">
            <v>KU</v>
          </cell>
          <cell r="L2358" t="str">
            <v>EKAJ01</v>
          </cell>
          <cell r="M2358" t="str">
            <v>Eka Jaya/David</v>
          </cell>
          <cell r="N2358" t="str">
            <v>Agro Tani Mapan, CV</v>
          </cell>
          <cell r="O2358" t="str">
            <v>Dsn. Damtelu RT.001/RW.001 Kedunggebang. Tegal Dlimo, Kab. Banyuwangi</v>
          </cell>
          <cell r="P2358" t="str">
            <v>Banyuwangi</v>
          </cell>
          <cell r="Q2358" t="str">
            <v>Jl. Dam III No. 9 Patok XI, Tegaldlimo</v>
          </cell>
          <cell r="R2358" t="str">
            <v>Banyuwangi</v>
          </cell>
          <cell r="S2358" t="str">
            <v>H Bwi2</v>
          </cell>
          <cell r="T2358" t="str">
            <v>Hafid</v>
          </cell>
          <cell r="U2358">
            <v>60</v>
          </cell>
        </row>
        <row r="2359">
          <cell r="E2359" t="str">
            <v>D25010400</v>
          </cell>
          <cell r="F2359"/>
          <cell r="G2359">
            <v>4500000000</v>
          </cell>
          <cell r="H2359" t="str">
            <v>Faris</v>
          </cell>
          <cell r="I2359" t="str">
            <v>Syahra</v>
          </cell>
          <cell r="J2359"/>
          <cell r="K2359" t="str">
            <v>KU</v>
          </cell>
          <cell r="L2359" t="str">
            <v>EKAJ01</v>
          </cell>
          <cell r="M2359" t="str">
            <v>Eka Jaya/David</v>
          </cell>
          <cell r="N2359" t="str">
            <v>Agro Tani Mapan, CV</v>
          </cell>
          <cell r="O2359" t="str">
            <v>Dsn. Damtelu RT.001/RW.001 Kedunggebang. Tegal Dlimo, Kab. Banyuwangi</v>
          </cell>
          <cell r="P2359" t="str">
            <v>Banyuwangi</v>
          </cell>
          <cell r="Q2359" t="str">
            <v>Jl. Dam III No. 9 Patok XI, Tegaldlimo</v>
          </cell>
          <cell r="R2359" t="str">
            <v>Banyuwangi</v>
          </cell>
          <cell r="S2359" t="str">
            <v>H Bwi2</v>
          </cell>
          <cell r="T2359" t="str">
            <v>Hafid</v>
          </cell>
          <cell r="U2359">
            <v>60</v>
          </cell>
        </row>
        <row r="2360">
          <cell r="E2360" t="str">
            <v>D25010401</v>
          </cell>
          <cell r="F2360"/>
          <cell r="G2360">
            <v>4500000000</v>
          </cell>
          <cell r="H2360" t="str">
            <v>Faris</v>
          </cell>
          <cell r="I2360" t="str">
            <v>Syahra</v>
          </cell>
          <cell r="J2360"/>
          <cell r="K2360" t="str">
            <v>KU</v>
          </cell>
          <cell r="L2360" t="str">
            <v>EKAJ01</v>
          </cell>
          <cell r="M2360" t="str">
            <v>Eka Jaya/David</v>
          </cell>
          <cell r="N2360" t="str">
            <v>Agro Tani Mapan, CV</v>
          </cell>
          <cell r="O2360" t="str">
            <v>Dsn. Damtelu RT.001/RW.001 Kedunggebang. Tegal Dlimo, Kab. Banyuwangi</v>
          </cell>
          <cell r="P2360" t="str">
            <v>Banyuwangi</v>
          </cell>
          <cell r="Q2360" t="str">
            <v>Jl. Dam III No. 9 Patok XI, Tegaldlimo</v>
          </cell>
          <cell r="R2360" t="str">
            <v>Banyuwangi</v>
          </cell>
          <cell r="S2360" t="str">
            <v>H Bwi2</v>
          </cell>
          <cell r="T2360" t="str">
            <v>Hafid</v>
          </cell>
          <cell r="U2360">
            <v>60</v>
          </cell>
        </row>
        <row r="2361">
          <cell r="E2361" t="str">
            <v>T25001082</v>
          </cell>
          <cell r="F2361"/>
          <cell r="G2361">
            <v>4500000000</v>
          </cell>
          <cell r="H2361" t="str">
            <v>Faris</v>
          </cell>
          <cell r="I2361" t="str">
            <v>Syahra</v>
          </cell>
          <cell r="J2361"/>
          <cell r="K2361" t="str">
            <v>KU</v>
          </cell>
          <cell r="L2361" t="str">
            <v>EKAJ01</v>
          </cell>
          <cell r="M2361" t="str">
            <v>Eka Jaya/David</v>
          </cell>
          <cell r="N2361" t="str">
            <v>Agro Tani Mapan, CV</v>
          </cell>
          <cell r="O2361" t="str">
            <v>Dsn. Damtelu RT.001/RW.001 Kedunggebang. Tegal Dlimo, Kab. Banyuwangi</v>
          </cell>
          <cell r="P2361" t="str">
            <v>Banyuwangi</v>
          </cell>
          <cell r="Q2361" t="str">
            <v>Jl. Dam III No. 9 Patok XI, Tegaldlimo</v>
          </cell>
          <cell r="R2361" t="str">
            <v>Banyuwangi</v>
          </cell>
          <cell r="S2361" t="str">
            <v>H Bwi2</v>
          </cell>
          <cell r="T2361" t="str">
            <v>Hafid</v>
          </cell>
          <cell r="U2361">
            <v>60</v>
          </cell>
        </row>
        <row r="2362">
          <cell r="E2362" t="str">
            <v>B25009174</v>
          </cell>
          <cell r="F2362"/>
          <cell r="G2362">
            <v>4500000000</v>
          </cell>
          <cell r="H2362" t="str">
            <v>Faris</v>
          </cell>
          <cell r="I2362" t="str">
            <v>Syahra</v>
          </cell>
          <cell r="J2362"/>
          <cell r="K2362" t="str">
            <v>KU</v>
          </cell>
          <cell r="L2362" t="str">
            <v>EKAJ01</v>
          </cell>
          <cell r="M2362" t="str">
            <v>Eka Jaya/David</v>
          </cell>
          <cell r="N2362" t="str">
            <v>Agro Tani Mapan, CV</v>
          </cell>
          <cell r="O2362" t="str">
            <v>Dsn. Damtelu RT.001/RW.001 Kedunggebang. Tegal Dlimo, Kab. Banyuwangi</v>
          </cell>
          <cell r="P2362" t="str">
            <v>Banyuwangi</v>
          </cell>
          <cell r="Q2362" t="str">
            <v>Jl. Dam III No. 9 Patok XI, Tegaldlimo</v>
          </cell>
          <cell r="R2362" t="str">
            <v>Banyuwangi</v>
          </cell>
          <cell r="S2362" t="str">
            <v>H Bwi2</v>
          </cell>
          <cell r="T2362" t="str">
            <v>Hafid</v>
          </cell>
          <cell r="U2362">
            <v>60</v>
          </cell>
        </row>
        <row r="2363">
          <cell r="E2363" t="str">
            <v>B25009416</v>
          </cell>
          <cell r="F2363"/>
          <cell r="G2363">
            <v>4500000000</v>
          </cell>
          <cell r="H2363" t="str">
            <v>Faris</v>
          </cell>
          <cell r="I2363" t="str">
            <v>Syahra</v>
          </cell>
          <cell r="J2363"/>
          <cell r="K2363" t="str">
            <v>KU</v>
          </cell>
          <cell r="L2363" t="str">
            <v>EKAJ01</v>
          </cell>
          <cell r="M2363" t="str">
            <v>Eka Jaya/David</v>
          </cell>
          <cell r="N2363" t="str">
            <v>Agro Tani Mapan, CV</v>
          </cell>
          <cell r="O2363" t="str">
            <v>Dsn. Damtelu RT.001/RW.001 Kedunggebang. Tegal Dlimo, Kab. Banyuwangi</v>
          </cell>
          <cell r="P2363" t="str">
            <v>Banyuwangi</v>
          </cell>
          <cell r="Q2363" t="str">
            <v>Jl. Dam III No. 9 Patok XI, Tegaldlimo</v>
          </cell>
          <cell r="R2363" t="str">
            <v>Banyuwangi</v>
          </cell>
          <cell r="S2363" t="str">
            <v>H Bwi2</v>
          </cell>
          <cell r="T2363" t="str">
            <v>Hafid</v>
          </cell>
          <cell r="U2363">
            <v>60</v>
          </cell>
        </row>
        <row r="2364">
          <cell r="E2364" t="str">
            <v>B25009498</v>
          </cell>
          <cell r="F2364"/>
          <cell r="G2364">
            <v>4500000000</v>
          </cell>
          <cell r="H2364" t="str">
            <v>Faris</v>
          </cell>
          <cell r="I2364" t="str">
            <v>Syahra</v>
          </cell>
          <cell r="J2364"/>
          <cell r="K2364" t="str">
            <v>KU</v>
          </cell>
          <cell r="L2364" t="str">
            <v>EKAJ01</v>
          </cell>
          <cell r="M2364" t="str">
            <v>Eka Jaya/David</v>
          </cell>
          <cell r="N2364" t="str">
            <v>Agro Tani Mapan, CV</v>
          </cell>
          <cell r="O2364" t="str">
            <v>Dsn. Damtelu RT.001/RW.001 Kedunggebang. Tegal Dlimo, Kab. Banyuwangi</v>
          </cell>
          <cell r="P2364" t="str">
            <v>Banyuwangi</v>
          </cell>
          <cell r="Q2364" t="str">
            <v>Jl. Dam III No. 9 Patok XI, Tegaldlimo</v>
          </cell>
          <cell r="R2364" t="str">
            <v>Banyuwangi</v>
          </cell>
          <cell r="S2364" t="str">
            <v>H Bwi2</v>
          </cell>
          <cell r="T2364" t="str">
            <v>Hafid</v>
          </cell>
          <cell r="U2364">
            <v>60</v>
          </cell>
        </row>
        <row r="2365">
          <cell r="E2365" t="str">
            <v>B25009523</v>
          </cell>
          <cell r="F2365"/>
          <cell r="G2365">
            <v>4500000000</v>
          </cell>
          <cell r="H2365" t="str">
            <v>Faris</v>
          </cell>
          <cell r="I2365" t="str">
            <v>Syahra</v>
          </cell>
          <cell r="J2365"/>
          <cell r="K2365" t="str">
            <v>KU</v>
          </cell>
          <cell r="L2365" t="str">
            <v>EKAJ01</v>
          </cell>
          <cell r="M2365" t="str">
            <v>Eka Jaya/David</v>
          </cell>
          <cell r="N2365" t="str">
            <v>Agro Tani Mapan, CV</v>
          </cell>
          <cell r="O2365" t="str">
            <v>Dsn. Damtelu RT.001/RW.001 Kedunggebang. Tegal Dlimo, Kab. Banyuwangi</v>
          </cell>
          <cell r="P2365" t="str">
            <v>Banyuwangi</v>
          </cell>
          <cell r="Q2365" t="str">
            <v>Jl. Dam III No. 9 Patok XI, Tegaldlimo</v>
          </cell>
          <cell r="R2365" t="str">
            <v>Banyuwangi</v>
          </cell>
          <cell r="S2365" t="str">
            <v>H Bwi2</v>
          </cell>
          <cell r="T2365" t="str">
            <v>Hafid</v>
          </cell>
          <cell r="U2365">
            <v>60</v>
          </cell>
        </row>
        <row r="2366">
          <cell r="E2366" t="str">
            <v>D25011384</v>
          </cell>
          <cell r="F2366"/>
          <cell r="G2366">
            <v>4500000000</v>
          </cell>
          <cell r="H2366" t="str">
            <v>Faris</v>
          </cell>
          <cell r="I2366" t="str">
            <v>Syahra</v>
          </cell>
          <cell r="J2366"/>
          <cell r="K2366" t="str">
            <v>KU</v>
          </cell>
          <cell r="L2366" t="str">
            <v>EKAJ01</v>
          </cell>
          <cell r="M2366" t="str">
            <v>Eka Jaya/David</v>
          </cell>
          <cell r="N2366" t="str">
            <v>Agro Tani Mapan, CV</v>
          </cell>
          <cell r="O2366" t="str">
            <v>Dsn. Damtelu RT.001/RW.001 Kedunggebang. Tegal Dlimo, Kab. Banyuwangi</v>
          </cell>
          <cell r="P2366" t="str">
            <v>Banyuwangi</v>
          </cell>
          <cell r="Q2366" t="str">
            <v>Jl. Dam III No. 9 Patok XI, Tegaldlimo</v>
          </cell>
          <cell r="R2366" t="str">
            <v>Banyuwangi</v>
          </cell>
          <cell r="S2366" t="str">
            <v>H Bwi2</v>
          </cell>
          <cell r="T2366" t="str">
            <v>Hafid</v>
          </cell>
          <cell r="U2366">
            <v>60</v>
          </cell>
        </row>
        <row r="2367">
          <cell r="E2367" t="str">
            <v>B25009622</v>
          </cell>
          <cell r="F2367"/>
          <cell r="G2367">
            <v>4500000000</v>
          </cell>
          <cell r="H2367" t="str">
            <v>Faris</v>
          </cell>
          <cell r="I2367" t="str">
            <v>Syahra</v>
          </cell>
          <cell r="J2367"/>
          <cell r="K2367" t="str">
            <v>KU</v>
          </cell>
          <cell r="L2367" t="str">
            <v>EKAJ01</v>
          </cell>
          <cell r="M2367" t="str">
            <v>Eka Jaya/David</v>
          </cell>
          <cell r="N2367" t="str">
            <v>Agro Tani Mapan, CV</v>
          </cell>
          <cell r="O2367" t="str">
            <v>Dsn. Damtelu RT.001/RW.001 Kedunggebang. Tegal Dlimo, Kab. Banyuwangi</v>
          </cell>
          <cell r="P2367" t="str">
            <v>Banyuwangi</v>
          </cell>
          <cell r="Q2367" t="str">
            <v>Jl. Dam III No. 9 Patok XI, Tegaldlimo</v>
          </cell>
          <cell r="R2367" t="str">
            <v>Banyuwangi</v>
          </cell>
          <cell r="S2367" t="str">
            <v>H Bwi2</v>
          </cell>
          <cell r="T2367" t="str">
            <v>Hafid</v>
          </cell>
          <cell r="U2367">
            <v>60</v>
          </cell>
        </row>
        <row r="2368">
          <cell r="E2368" t="str">
            <v>B25009623</v>
          </cell>
          <cell r="F2368"/>
          <cell r="G2368">
            <v>4500000000</v>
          </cell>
          <cell r="H2368" t="str">
            <v>Faris</v>
          </cell>
          <cell r="I2368" t="str">
            <v>Syahra</v>
          </cell>
          <cell r="J2368"/>
          <cell r="K2368" t="str">
            <v>KU</v>
          </cell>
          <cell r="L2368" t="str">
            <v>EKAJ01</v>
          </cell>
          <cell r="M2368" t="str">
            <v>Eka Jaya/David</v>
          </cell>
          <cell r="N2368" t="str">
            <v>Agro Tani Mapan, CV</v>
          </cell>
          <cell r="O2368" t="str">
            <v>Dsn. Damtelu RT.001/RW.001 Kedunggebang. Tegal Dlimo, Kab. Banyuwangi</v>
          </cell>
          <cell r="P2368" t="str">
            <v>Banyuwangi</v>
          </cell>
          <cell r="Q2368" t="str">
            <v>Jl. Dam III No. 9 Patok XI, Tegaldlimo</v>
          </cell>
          <cell r="R2368" t="str">
            <v>Banyuwangi</v>
          </cell>
          <cell r="S2368" t="str">
            <v>H Bwi2</v>
          </cell>
          <cell r="T2368" t="str">
            <v>Hafid</v>
          </cell>
          <cell r="U2368">
            <v>60</v>
          </cell>
        </row>
        <row r="2369">
          <cell r="E2369" t="str">
            <v>D25011589</v>
          </cell>
          <cell r="F2369"/>
          <cell r="G2369">
            <v>4500000000</v>
          </cell>
          <cell r="H2369" t="str">
            <v>Faris</v>
          </cell>
          <cell r="I2369" t="str">
            <v>Syahra</v>
          </cell>
          <cell r="J2369"/>
          <cell r="K2369" t="str">
            <v>KU</v>
          </cell>
          <cell r="L2369" t="str">
            <v>EKAJ01</v>
          </cell>
          <cell r="M2369" t="str">
            <v>Eka Jaya/David</v>
          </cell>
          <cell r="N2369" t="str">
            <v>Agro Tani Mapan, CV</v>
          </cell>
          <cell r="O2369" t="str">
            <v>Dsn. Damtelu RT.001/RW.001 Kedunggebang. Tegal Dlimo, Kab. Banyuwangi</v>
          </cell>
          <cell r="P2369" t="str">
            <v>Banyuwangi</v>
          </cell>
          <cell r="Q2369" t="str">
            <v>Jl. Dam III No. 9 Patok XI, Tegaldlimo</v>
          </cell>
          <cell r="R2369" t="str">
            <v>Banyuwangi</v>
          </cell>
          <cell r="S2369" t="str">
            <v>H Bwi2</v>
          </cell>
          <cell r="T2369" t="str">
            <v>Hafid</v>
          </cell>
          <cell r="U2369">
            <v>30</v>
          </cell>
        </row>
        <row r="2370">
          <cell r="E2370" t="str">
            <v>D25011630</v>
          </cell>
          <cell r="F2370"/>
          <cell r="G2370">
            <v>4500000000</v>
          </cell>
          <cell r="H2370" t="str">
            <v>Faris</v>
          </cell>
          <cell r="I2370" t="str">
            <v>Syahra</v>
          </cell>
          <cell r="J2370"/>
          <cell r="K2370" t="str">
            <v>KU</v>
          </cell>
          <cell r="L2370" t="str">
            <v>EKAJ01</v>
          </cell>
          <cell r="M2370" t="str">
            <v>Eka Jaya/David</v>
          </cell>
          <cell r="N2370" t="str">
            <v>Agro Tani Mapan, CV</v>
          </cell>
          <cell r="O2370" t="str">
            <v>Dsn. Damtelu RT.001/RW.001 Kedunggebang. Tegal Dlimo, Kab. Banyuwangi</v>
          </cell>
          <cell r="P2370" t="str">
            <v>Banyuwangi</v>
          </cell>
          <cell r="Q2370" t="str">
            <v>Jl. Dam III No. 9 Patok XI, Tegaldlimo</v>
          </cell>
          <cell r="R2370" t="str">
            <v>Banyuwangi</v>
          </cell>
          <cell r="S2370" t="str">
            <v>H Bwi2</v>
          </cell>
          <cell r="T2370" t="str">
            <v>Hafid</v>
          </cell>
          <cell r="U2370">
            <v>30</v>
          </cell>
        </row>
        <row r="2371">
          <cell r="E2371" t="str">
            <v>B25009882</v>
          </cell>
          <cell r="F2371"/>
          <cell r="G2371">
            <v>4500000000</v>
          </cell>
          <cell r="H2371" t="str">
            <v>Faris</v>
          </cell>
          <cell r="I2371" t="str">
            <v>Syahra</v>
          </cell>
          <cell r="J2371"/>
          <cell r="K2371" t="str">
            <v>KU</v>
          </cell>
          <cell r="L2371" t="str">
            <v>EKAJ01</v>
          </cell>
          <cell r="M2371" t="str">
            <v>Eka Jaya/David</v>
          </cell>
          <cell r="N2371" t="str">
            <v>Agro Tani Mapan, CV</v>
          </cell>
          <cell r="O2371" t="str">
            <v>Dsn. Damtelu RT.001/RW.001 Kedunggebang. Tegal Dlimo, Kab. Banyuwangi</v>
          </cell>
          <cell r="P2371" t="str">
            <v>Banyuwangi</v>
          </cell>
          <cell r="Q2371" t="str">
            <v>Jl. Dam III No. 9 Patok XI, Tegaldlimo</v>
          </cell>
          <cell r="R2371" t="str">
            <v>Banyuwangi</v>
          </cell>
          <cell r="S2371" t="str">
            <v>H Bwi2</v>
          </cell>
          <cell r="T2371" t="str">
            <v>Hafid</v>
          </cell>
          <cell r="U2371">
            <v>30</v>
          </cell>
        </row>
        <row r="2372">
          <cell r="E2372" t="str">
            <v>D25012044</v>
          </cell>
          <cell r="F2372"/>
          <cell r="G2372">
            <v>4500000000</v>
          </cell>
          <cell r="H2372" t="str">
            <v>Faris</v>
          </cell>
          <cell r="I2372" t="str">
            <v>Syahra</v>
          </cell>
          <cell r="J2372"/>
          <cell r="K2372" t="str">
            <v>KU</v>
          </cell>
          <cell r="L2372" t="str">
            <v>EKAJ01</v>
          </cell>
          <cell r="M2372" t="str">
            <v>Eka Jaya/David</v>
          </cell>
          <cell r="N2372" t="str">
            <v>Agro Tani Mapan, CV</v>
          </cell>
          <cell r="O2372" t="str">
            <v>Dsn. Damtelu RT.001/RW.001 Kedunggebang. Tegal Dlimo, Kab. Banyuwangi</v>
          </cell>
          <cell r="P2372" t="str">
            <v>Banyuwangi</v>
          </cell>
          <cell r="Q2372" t="str">
            <v>Jl. Dam III No. 9 Patok XI, Tegaldlimo</v>
          </cell>
          <cell r="R2372" t="str">
            <v>Banyuwangi</v>
          </cell>
          <cell r="S2372" t="str">
            <v>H Bwi2</v>
          </cell>
          <cell r="T2372" t="str">
            <v>Hafid</v>
          </cell>
          <cell r="U2372">
            <v>30</v>
          </cell>
        </row>
        <row r="2373">
          <cell r="E2373" t="str">
            <v>D25012149</v>
          </cell>
          <cell r="F2373"/>
          <cell r="G2373">
            <v>4500000000</v>
          </cell>
          <cell r="H2373" t="str">
            <v>Faris</v>
          </cell>
          <cell r="I2373" t="str">
            <v>Syahra</v>
          </cell>
          <cell r="J2373"/>
          <cell r="K2373" t="str">
            <v>KU</v>
          </cell>
          <cell r="L2373" t="str">
            <v>EKAJ01</v>
          </cell>
          <cell r="M2373" t="str">
            <v>Eka Jaya/David</v>
          </cell>
          <cell r="N2373" t="str">
            <v>Agro Tani Mapan, CV</v>
          </cell>
          <cell r="O2373" t="str">
            <v>Dsn. Damtelu RT.001/RW.001 Kedunggebang. Tegal Dlimo, Kab. Banyuwangi</v>
          </cell>
          <cell r="P2373" t="str">
            <v>Banyuwangi</v>
          </cell>
          <cell r="Q2373" t="str">
            <v>Jl. Dam III No. 9 Patok XI, Tegaldlimo</v>
          </cell>
          <cell r="R2373" t="str">
            <v>Banyuwangi</v>
          </cell>
          <cell r="S2373" t="str">
            <v>H Bwi2</v>
          </cell>
          <cell r="T2373" t="str">
            <v>Hafid</v>
          </cell>
          <cell r="U2373">
            <v>60</v>
          </cell>
        </row>
        <row r="2374">
          <cell r="E2374" t="str">
            <v>B25010303</v>
          </cell>
          <cell r="F2374"/>
          <cell r="G2374">
            <v>4500000000</v>
          </cell>
          <cell r="H2374" t="str">
            <v>Faris</v>
          </cell>
          <cell r="I2374" t="str">
            <v>Syahra</v>
          </cell>
          <cell r="J2374"/>
          <cell r="K2374" t="str">
            <v>KU</v>
          </cell>
          <cell r="L2374" t="str">
            <v>EKAJ01</v>
          </cell>
          <cell r="M2374" t="str">
            <v>Eka Jaya/David</v>
          </cell>
          <cell r="N2374" t="str">
            <v>Agro Tani Mapan, CV</v>
          </cell>
          <cell r="O2374" t="str">
            <v>Dsn. Damtelu RT.001/RW.001 Kedunggebang. Tegal Dlimo, Kab. Banyuwangi</v>
          </cell>
          <cell r="P2374" t="str">
            <v>Banyuwangi</v>
          </cell>
          <cell r="Q2374" t="str">
            <v>Jl. Dam III No. 9 Patok XI, Tegaldlimo</v>
          </cell>
          <cell r="R2374" t="str">
            <v>Banyuwangi</v>
          </cell>
          <cell r="S2374" t="str">
            <v>H Bwi2</v>
          </cell>
          <cell r="T2374" t="str">
            <v>Hafid</v>
          </cell>
          <cell r="U2374">
            <v>60</v>
          </cell>
        </row>
        <row r="2375">
          <cell r="E2375" t="str">
            <v>D25012392</v>
          </cell>
          <cell r="F2375"/>
          <cell r="G2375">
            <v>4500000000</v>
          </cell>
          <cell r="H2375" t="str">
            <v>Faris</v>
          </cell>
          <cell r="I2375" t="str">
            <v>Syahra</v>
          </cell>
          <cell r="J2375"/>
          <cell r="K2375" t="str">
            <v>KU</v>
          </cell>
          <cell r="L2375" t="str">
            <v>EKAJ01</v>
          </cell>
          <cell r="M2375" t="str">
            <v>Eka Jaya/David</v>
          </cell>
          <cell r="N2375" t="str">
            <v>Agro Tani Mapan, CV</v>
          </cell>
          <cell r="O2375" t="str">
            <v>Dsn. Damtelu RT.001/RW.001 Kedunggebang. Tegal Dlimo, Kab. Banyuwangi</v>
          </cell>
          <cell r="P2375" t="str">
            <v>Banyuwangi</v>
          </cell>
          <cell r="Q2375" t="str">
            <v>Jl. Dam III No. 9 Patok XI, Tegaldlimo</v>
          </cell>
          <cell r="R2375" t="str">
            <v>Banyuwangi</v>
          </cell>
          <cell r="S2375" t="str">
            <v>H Bwi2</v>
          </cell>
          <cell r="T2375" t="str">
            <v>Hafid</v>
          </cell>
          <cell r="U2375">
            <v>30</v>
          </cell>
        </row>
        <row r="2376">
          <cell r="E2376" t="str">
            <v>D25012393</v>
          </cell>
          <cell r="F2376"/>
          <cell r="G2376">
            <v>4500000000</v>
          </cell>
          <cell r="H2376" t="str">
            <v>Faris</v>
          </cell>
          <cell r="I2376" t="str">
            <v>Syahra</v>
          </cell>
          <cell r="J2376"/>
          <cell r="K2376" t="str">
            <v>KU</v>
          </cell>
          <cell r="L2376" t="str">
            <v>EKAJ01</v>
          </cell>
          <cell r="M2376" t="str">
            <v>Eka Jaya/David</v>
          </cell>
          <cell r="N2376" t="str">
            <v>Agro Tani Mapan, CV</v>
          </cell>
          <cell r="O2376" t="str">
            <v>Dsn. Damtelu RT.001/RW.001 Kedunggebang. Tegal Dlimo, Kab. Banyuwangi</v>
          </cell>
          <cell r="P2376" t="str">
            <v>Banyuwangi</v>
          </cell>
          <cell r="Q2376" t="str">
            <v>Jl. Dam III No. 9 Patok XI, Tegaldlimo</v>
          </cell>
          <cell r="R2376" t="str">
            <v>Banyuwangi</v>
          </cell>
          <cell r="S2376" t="str">
            <v>H Bwi2</v>
          </cell>
          <cell r="T2376" t="str">
            <v>Hafid</v>
          </cell>
          <cell r="U2376">
            <v>30</v>
          </cell>
        </row>
        <row r="2377">
          <cell r="E2377" t="str">
            <v>D25012394</v>
          </cell>
          <cell r="F2377"/>
          <cell r="G2377">
            <v>4500000000</v>
          </cell>
          <cell r="H2377" t="str">
            <v>Faris</v>
          </cell>
          <cell r="I2377" t="str">
            <v>Syahra</v>
          </cell>
          <cell r="J2377"/>
          <cell r="K2377" t="str">
            <v>KU</v>
          </cell>
          <cell r="L2377" t="str">
            <v>EKAJ01</v>
          </cell>
          <cell r="M2377" t="str">
            <v>Eka Jaya/David</v>
          </cell>
          <cell r="N2377" t="str">
            <v>Agro Tani Mapan, CV</v>
          </cell>
          <cell r="O2377" t="str">
            <v>Dsn. Damtelu RT.001/RW.001 Kedunggebang. Tegal Dlimo, Kab. Banyuwangi</v>
          </cell>
          <cell r="P2377" t="str">
            <v>Banyuwangi</v>
          </cell>
          <cell r="Q2377" t="str">
            <v>Jl. Dam III No. 9 Patok XI, Tegaldlimo</v>
          </cell>
          <cell r="R2377" t="str">
            <v>Banyuwangi</v>
          </cell>
          <cell r="S2377" t="str">
            <v>H Bwi2</v>
          </cell>
          <cell r="T2377" t="str">
            <v>Hafid</v>
          </cell>
          <cell r="U2377">
            <v>30</v>
          </cell>
        </row>
        <row r="2378">
          <cell r="E2378" t="str">
            <v>D25012540</v>
          </cell>
          <cell r="F2378"/>
          <cell r="G2378">
            <v>4500000000</v>
          </cell>
          <cell r="H2378" t="str">
            <v>Faris</v>
          </cell>
          <cell r="I2378" t="str">
            <v>Syahra</v>
          </cell>
          <cell r="J2378"/>
          <cell r="K2378" t="str">
            <v>KU</v>
          </cell>
          <cell r="L2378" t="str">
            <v>EKAJ01</v>
          </cell>
          <cell r="M2378" t="str">
            <v>Eka Jaya/David</v>
          </cell>
          <cell r="N2378" t="str">
            <v>Agro Tani Mapan, CV</v>
          </cell>
          <cell r="O2378" t="str">
            <v>Dsn. Damtelu RT.001/RW.001 Kedunggebang. Tegal Dlimo, Kab. Banyuwangi</v>
          </cell>
          <cell r="P2378" t="str">
            <v>Banyuwangi</v>
          </cell>
          <cell r="Q2378" t="str">
            <v>Jl. Dam III No. 9 Patok XI, Tegaldlimo</v>
          </cell>
          <cell r="R2378" t="str">
            <v>Banyuwangi</v>
          </cell>
          <cell r="S2378" t="str">
            <v>H Bwi2</v>
          </cell>
          <cell r="T2378" t="str">
            <v>Hafid</v>
          </cell>
          <cell r="U2378">
            <v>30</v>
          </cell>
        </row>
        <row r="2379">
          <cell r="E2379" t="str">
            <v>D25012574</v>
          </cell>
          <cell r="F2379"/>
          <cell r="G2379">
            <v>4500000000</v>
          </cell>
          <cell r="H2379" t="str">
            <v>Faris</v>
          </cell>
          <cell r="I2379" t="str">
            <v>Syahra</v>
          </cell>
          <cell r="J2379"/>
          <cell r="K2379" t="str">
            <v>KU</v>
          </cell>
          <cell r="L2379" t="str">
            <v>EKAJ01</v>
          </cell>
          <cell r="M2379" t="str">
            <v>Eka Jaya/David</v>
          </cell>
          <cell r="N2379" t="str">
            <v>Agro Tani Mapan, CV</v>
          </cell>
          <cell r="O2379" t="str">
            <v>Dsn. Damtelu RT.001/RW.001 Kedunggebang. Tegal Dlimo, Kab. Banyuwangi</v>
          </cell>
          <cell r="P2379" t="str">
            <v>Banyuwangi</v>
          </cell>
          <cell r="Q2379" t="str">
            <v>Jl. Dam III No. 9 Patok XI, Tegaldlimo</v>
          </cell>
          <cell r="R2379" t="str">
            <v>Banyuwangi</v>
          </cell>
          <cell r="S2379" t="str">
            <v>H Bwi2</v>
          </cell>
          <cell r="T2379" t="str">
            <v>Hafid</v>
          </cell>
          <cell r="U2379">
            <v>30</v>
          </cell>
        </row>
        <row r="2380">
          <cell r="E2380">
            <v>250064</v>
          </cell>
          <cell r="F2380"/>
          <cell r="G2380">
            <v>4500000000</v>
          </cell>
          <cell r="H2380" t="str">
            <v>Faris</v>
          </cell>
          <cell r="I2380" t="str">
            <v>Syahra</v>
          </cell>
          <cell r="J2380"/>
          <cell r="K2380" t="str">
            <v>KU</v>
          </cell>
          <cell r="L2380" t="str">
            <v>EKAJ01</v>
          </cell>
          <cell r="M2380" t="str">
            <v>Eka Jaya/David</v>
          </cell>
          <cell r="N2380" t="str">
            <v>Agro Tani Mapan, CV</v>
          </cell>
          <cell r="O2380" t="str">
            <v>Dsn. Damtelu RT.001/RW.001 Kedunggebang. Tegal Dlimo, Kab. Banyuwangi</v>
          </cell>
          <cell r="P2380" t="str">
            <v>Banyuwangi</v>
          </cell>
          <cell r="Q2380" t="str">
            <v>Jl. Dam III No. 9 Patok XI, Tegaldlimo</v>
          </cell>
          <cell r="R2380" t="str">
            <v>Banyuwangi</v>
          </cell>
          <cell r="S2380" t="str">
            <v>H Bwi2</v>
          </cell>
          <cell r="T2380" t="str">
            <v>Hafid</v>
          </cell>
          <cell r="U2380">
            <v>30</v>
          </cell>
        </row>
        <row r="2381">
          <cell r="E2381" t="str">
            <v>B25010620</v>
          </cell>
          <cell r="F2381"/>
          <cell r="G2381">
            <v>4500000000</v>
          </cell>
          <cell r="H2381" t="str">
            <v>Faris</v>
          </cell>
          <cell r="I2381" t="str">
            <v>Syahra</v>
          </cell>
          <cell r="J2381"/>
          <cell r="K2381" t="str">
            <v>KU</v>
          </cell>
          <cell r="L2381" t="str">
            <v>EKAJ01</v>
          </cell>
          <cell r="M2381" t="str">
            <v>Eka Jaya/David</v>
          </cell>
          <cell r="N2381" t="str">
            <v>Agro Tani Mapan, CV</v>
          </cell>
          <cell r="O2381" t="str">
            <v>Dsn. Damtelu RT.001/RW.001 Kedunggebang. Tegal Dlimo, Kab. Banyuwangi</v>
          </cell>
          <cell r="P2381" t="str">
            <v>Banyuwangi</v>
          </cell>
          <cell r="Q2381" t="str">
            <v>Jl. Dam III No. 9 Patok XI, Tegaldlimo</v>
          </cell>
          <cell r="R2381" t="str">
            <v>Banyuwangi</v>
          </cell>
          <cell r="S2381" t="str">
            <v>H Bwi2</v>
          </cell>
          <cell r="T2381" t="str">
            <v>Hafid</v>
          </cell>
          <cell r="U2381">
            <v>60</v>
          </cell>
        </row>
        <row r="2382">
          <cell r="E2382" t="str">
            <v>D25012710</v>
          </cell>
          <cell r="F2382"/>
          <cell r="G2382">
            <v>4500000000</v>
          </cell>
          <cell r="H2382" t="str">
            <v>Faris</v>
          </cell>
          <cell r="I2382" t="str">
            <v>Syahra</v>
          </cell>
          <cell r="J2382"/>
          <cell r="K2382" t="str">
            <v>KU</v>
          </cell>
          <cell r="L2382" t="str">
            <v>EKAJ01</v>
          </cell>
          <cell r="M2382" t="str">
            <v>Eka Jaya/David</v>
          </cell>
          <cell r="N2382" t="str">
            <v>Agro Tani Mapan, CV</v>
          </cell>
          <cell r="O2382" t="str">
            <v>Dsn. Damtelu RT.001/RW.001 Kedunggebang. Tegal Dlimo, Kab. Banyuwangi</v>
          </cell>
          <cell r="P2382" t="str">
            <v>Banyuwangi</v>
          </cell>
          <cell r="Q2382" t="str">
            <v>Jl. Dam III No. 9 Patok XI, Tegaldlimo</v>
          </cell>
          <cell r="R2382" t="str">
            <v>Banyuwangi</v>
          </cell>
          <cell r="S2382" t="str">
            <v>H Bwi2</v>
          </cell>
          <cell r="T2382" t="str">
            <v>Hafid</v>
          </cell>
          <cell r="U2382">
            <v>30</v>
          </cell>
        </row>
        <row r="2383">
          <cell r="E2383">
            <v>250067</v>
          </cell>
          <cell r="F2383"/>
          <cell r="G2383">
            <v>4500000000</v>
          </cell>
          <cell r="H2383" t="str">
            <v>Faris</v>
          </cell>
          <cell r="I2383" t="str">
            <v>Syahra</v>
          </cell>
          <cell r="J2383"/>
          <cell r="K2383" t="str">
            <v>KU</v>
          </cell>
          <cell r="L2383" t="str">
            <v>EKAJ01</v>
          </cell>
          <cell r="M2383" t="str">
            <v>Eka Jaya/David</v>
          </cell>
          <cell r="N2383" t="str">
            <v>Agro Tani Mapan, CV</v>
          </cell>
          <cell r="O2383" t="str">
            <v>Dsn. Damtelu RT.001/RW.001 Kedunggebang. Tegal Dlimo, Kab. Banyuwangi</v>
          </cell>
          <cell r="P2383" t="str">
            <v>Banyuwangi</v>
          </cell>
          <cell r="Q2383" t="str">
            <v>Jl. Dam III No. 9 Patok XI, Tegaldlimo</v>
          </cell>
          <cell r="R2383" t="str">
            <v>Banyuwangi</v>
          </cell>
          <cell r="S2383" t="str">
            <v>H Bwi2</v>
          </cell>
          <cell r="T2383" t="str">
            <v>Hafid</v>
          </cell>
          <cell r="U2383">
            <v>30</v>
          </cell>
        </row>
        <row r="2384">
          <cell r="E2384" t="str">
            <v>D25012809</v>
          </cell>
          <cell r="F2384"/>
          <cell r="G2384">
            <v>4500000000</v>
          </cell>
          <cell r="H2384" t="str">
            <v>Faris</v>
          </cell>
          <cell r="I2384" t="str">
            <v>Syahra</v>
          </cell>
          <cell r="J2384"/>
          <cell r="K2384" t="str">
            <v>KU</v>
          </cell>
          <cell r="L2384" t="str">
            <v>EKAJ01</v>
          </cell>
          <cell r="M2384" t="str">
            <v>Eka Jaya/David</v>
          </cell>
          <cell r="N2384" t="str">
            <v>Agro Tani Mapan, CV</v>
          </cell>
          <cell r="O2384" t="str">
            <v>Dsn. Damtelu RT.001/RW.001 Kedunggebang. Tegal Dlimo, Kab. Banyuwangi</v>
          </cell>
          <cell r="P2384" t="str">
            <v>Banyuwangi</v>
          </cell>
          <cell r="Q2384" t="str">
            <v>Jl. Dam III No. 9 Patok XI, Tegaldlimo</v>
          </cell>
          <cell r="R2384" t="str">
            <v>Banyuwangi</v>
          </cell>
          <cell r="S2384" t="str">
            <v>H Bwi2</v>
          </cell>
          <cell r="T2384" t="str">
            <v>Hafid</v>
          </cell>
          <cell r="U2384">
            <v>30</v>
          </cell>
        </row>
        <row r="2385">
          <cell r="E2385" t="str">
            <v>D25012921</v>
          </cell>
          <cell r="F2385"/>
          <cell r="G2385">
            <v>4500000000</v>
          </cell>
          <cell r="H2385" t="str">
            <v>Faris</v>
          </cell>
          <cell r="I2385" t="str">
            <v>Syahra</v>
          </cell>
          <cell r="J2385"/>
          <cell r="K2385" t="str">
            <v>KU</v>
          </cell>
          <cell r="L2385" t="str">
            <v>EKAJ01</v>
          </cell>
          <cell r="M2385" t="str">
            <v>Eka Jaya/David</v>
          </cell>
          <cell r="N2385" t="str">
            <v>Agro Tani Mapan, CV</v>
          </cell>
          <cell r="O2385" t="str">
            <v>Dsn. Damtelu RT.001/RW.001 Kedunggebang. Tegal Dlimo, Kab. Banyuwangi</v>
          </cell>
          <cell r="P2385" t="str">
            <v>Banyuwangi</v>
          </cell>
          <cell r="Q2385" t="str">
            <v>Jl. Dam III No. 9 Patok XI, Tegaldlimo</v>
          </cell>
          <cell r="R2385" t="str">
            <v>Banyuwangi</v>
          </cell>
          <cell r="S2385" t="str">
            <v>H Bwi2</v>
          </cell>
          <cell r="T2385" t="str">
            <v>Hafid</v>
          </cell>
          <cell r="U2385">
            <v>60</v>
          </cell>
        </row>
        <row r="2386">
          <cell r="E2386">
            <v>250076</v>
          </cell>
          <cell r="F2386"/>
          <cell r="G2386">
            <v>4500000000</v>
          </cell>
          <cell r="H2386" t="str">
            <v>Faris</v>
          </cell>
          <cell r="I2386" t="str">
            <v>Syahra</v>
          </cell>
          <cell r="J2386"/>
          <cell r="K2386" t="str">
            <v>KU</v>
          </cell>
          <cell r="L2386" t="str">
            <v>EKAJ01</v>
          </cell>
          <cell r="M2386" t="str">
            <v>Eka Jaya/David</v>
          </cell>
          <cell r="N2386" t="str">
            <v>Agro Tani Mapan, CV</v>
          </cell>
          <cell r="O2386" t="str">
            <v>Dsn. Damtelu RT.001/RW.001 Kedunggebang. Tegal Dlimo, Kab. Banyuwangi</v>
          </cell>
          <cell r="P2386" t="str">
            <v>Banyuwangi</v>
          </cell>
          <cell r="Q2386" t="str">
            <v>Jl. Dam III No. 9 Patok XI, Tegaldlimo</v>
          </cell>
          <cell r="R2386" t="str">
            <v>Banyuwangi</v>
          </cell>
          <cell r="S2386" t="str">
            <v>H Bwi2</v>
          </cell>
          <cell r="T2386" t="str">
            <v>Hafid</v>
          </cell>
          <cell r="U2386">
            <v>30</v>
          </cell>
        </row>
        <row r="2387">
          <cell r="E2387" t="str">
            <v>D25013005</v>
          </cell>
          <cell r="F2387"/>
          <cell r="G2387">
            <v>4500000000</v>
          </cell>
          <cell r="H2387" t="str">
            <v>Faris</v>
          </cell>
          <cell r="I2387" t="str">
            <v>Syahra</v>
          </cell>
          <cell r="J2387"/>
          <cell r="K2387" t="str">
            <v>KU</v>
          </cell>
          <cell r="L2387" t="str">
            <v>EKAJ01</v>
          </cell>
          <cell r="M2387" t="str">
            <v>Eka Jaya/David</v>
          </cell>
          <cell r="N2387" t="str">
            <v>Agro Tani Mapan, CV</v>
          </cell>
          <cell r="O2387" t="str">
            <v>Dsn. Damtelu RT.001/RW.001 Kedunggebang. Tegal Dlimo, Kab. Banyuwangi</v>
          </cell>
          <cell r="P2387" t="str">
            <v>Banyuwangi</v>
          </cell>
          <cell r="Q2387" t="str">
            <v>Jl. Dam III No. 9 Patok XI, Tegaldlimo</v>
          </cell>
          <cell r="R2387" t="str">
            <v>Banyuwangi</v>
          </cell>
          <cell r="S2387" t="str">
            <v>H Bwi2</v>
          </cell>
          <cell r="T2387" t="str">
            <v>Hafid</v>
          </cell>
          <cell r="U2387">
            <v>30</v>
          </cell>
        </row>
        <row r="2388">
          <cell r="E2388" t="str">
            <v>D25013009</v>
          </cell>
          <cell r="F2388"/>
          <cell r="G2388">
            <v>4500000000</v>
          </cell>
          <cell r="H2388" t="str">
            <v>Faris</v>
          </cell>
          <cell r="I2388" t="str">
            <v>Syahra</v>
          </cell>
          <cell r="J2388"/>
          <cell r="K2388" t="str">
            <v>KU</v>
          </cell>
          <cell r="L2388" t="str">
            <v>EKAJ01</v>
          </cell>
          <cell r="M2388" t="str">
            <v>Eka Jaya/David</v>
          </cell>
          <cell r="N2388" t="str">
            <v>Agro Tani Mapan, CV</v>
          </cell>
          <cell r="O2388" t="str">
            <v>Dsn. Damtelu RT.001/RW.001 Kedunggebang. Tegal Dlimo, Kab. Banyuwangi</v>
          </cell>
          <cell r="P2388" t="str">
            <v>Banyuwangi</v>
          </cell>
          <cell r="Q2388" t="str">
            <v>Jl. Dam III No. 9 Patok XI, Tegaldlimo</v>
          </cell>
          <cell r="R2388" t="str">
            <v>Banyuwangi</v>
          </cell>
          <cell r="S2388" t="str">
            <v>H Bwi2</v>
          </cell>
          <cell r="T2388" t="str">
            <v>Hafid</v>
          </cell>
          <cell r="U2388">
            <v>30</v>
          </cell>
        </row>
        <row r="2389">
          <cell r="E2389" t="str">
            <v>D25013010</v>
          </cell>
          <cell r="F2389"/>
          <cell r="G2389">
            <v>4500000000</v>
          </cell>
          <cell r="H2389" t="str">
            <v>Faris</v>
          </cell>
          <cell r="I2389" t="str">
            <v>Syahra</v>
          </cell>
          <cell r="J2389"/>
          <cell r="K2389" t="str">
            <v>KU</v>
          </cell>
          <cell r="L2389" t="str">
            <v>EKAJ01</v>
          </cell>
          <cell r="M2389" t="str">
            <v>Eka Jaya/David</v>
          </cell>
          <cell r="N2389" t="str">
            <v>Agro Tani Mapan, CV</v>
          </cell>
          <cell r="O2389" t="str">
            <v>Dsn. Damtelu RT.001/RW.001 Kedunggebang. Tegal Dlimo, Kab. Banyuwangi</v>
          </cell>
          <cell r="P2389" t="str">
            <v>Banyuwangi</v>
          </cell>
          <cell r="Q2389" t="str">
            <v>Jl. Dam III No. 9 Patok XI, Tegaldlimo</v>
          </cell>
          <cell r="R2389" t="str">
            <v>Banyuwangi</v>
          </cell>
          <cell r="S2389" t="str">
            <v>H Bwi2</v>
          </cell>
          <cell r="T2389" t="str">
            <v>Hafid</v>
          </cell>
          <cell r="U2389">
            <v>30</v>
          </cell>
        </row>
        <row r="2390">
          <cell r="E2390" t="str">
            <v>B25010951</v>
          </cell>
          <cell r="F2390"/>
          <cell r="G2390">
            <v>4500000000</v>
          </cell>
          <cell r="H2390" t="str">
            <v>Faris</v>
          </cell>
          <cell r="I2390" t="str">
            <v>Syahra</v>
          </cell>
          <cell r="J2390"/>
          <cell r="K2390" t="str">
            <v>KU</v>
          </cell>
          <cell r="L2390" t="str">
            <v>EKAJ01</v>
          </cell>
          <cell r="M2390" t="str">
            <v>Eka Jaya/David</v>
          </cell>
          <cell r="N2390" t="str">
            <v>Agro Tani Mapan, CV</v>
          </cell>
          <cell r="O2390" t="str">
            <v>Dsn. Damtelu RT.001/RW.001 Kedunggebang. Tegal Dlimo, Kab. Banyuwangi</v>
          </cell>
          <cell r="P2390" t="str">
            <v>Banyuwangi</v>
          </cell>
          <cell r="Q2390" t="str">
            <v>Jl. Dam III No. 9 Patok XI, Tegaldlimo</v>
          </cell>
          <cell r="R2390" t="str">
            <v>Banyuwangi</v>
          </cell>
          <cell r="S2390" t="str">
            <v>H Bwi2</v>
          </cell>
          <cell r="T2390" t="str">
            <v>Hafid</v>
          </cell>
          <cell r="U2390">
            <v>30</v>
          </cell>
        </row>
        <row r="2391">
          <cell r="E2391" t="str">
            <v>D25013067</v>
          </cell>
          <cell r="F2391"/>
          <cell r="G2391">
            <v>4500000000</v>
          </cell>
          <cell r="H2391" t="str">
            <v>Faris</v>
          </cell>
          <cell r="I2391" t="str">
            <v>Syahra</v>
          </cell>
          <cell r="J2391"/>
          <cell r="K2391" t="str">
            <v>KU</v>
          </cell>
          <cell r="L2391" t="str">
            <v>EKAJ01</v>
          </cell>
          <cell r="M2391" t="str">
            <v>Eka Jaya/David</v>
          </cell>
          <cell r="N2391" t="str">
            <v>Agro Tani Mapan, CV</v>
          </cell>
          <cell r="O2391" t="str">
            <v>Dsn. Damtelu RT.001/RW.001 Kedunggebang. Tegal Dlimo, Kab. Banyuwangi</v>
          </cell>
          <cell r="P2391" t="str">
            <v>Banyuwangi</v>
          </cell>
          <cell r="Q2391" t="str">
            <v>Jl. Dam III No. 9 Patok XI, Tegaldlimo</v>
          </cell>
          <cell r="R2391" t="str">
            <v>Banyuwangi</v>
          </cell>
          <cell r="S2391" t="str">
            <v>H Bwi2</v>
          </cell>
          <cell r="T2391" t="str">
            <v>Hafid</v>
          </cell>
          <cell r="U2391">
            <v>30</v>
          </cell>
        </row>
        <row r="2392">
          <cell r="E2392" t="str">
            <v>D25013257</v>
          </cell>
          <cell r="F2392"/>
          <cell r="G2392">
            <v>4500000000</v>
          </cell>
          <cell r="H2392" t="str">
            <v>Faris</v>
          </cell>
          <cell r="I2392" t="str">
            <v>Syahra</v>
          </cell>
          <cell r="J2392"/>
          <cell r="K2392" t="str">
            <v>KU</v>
          </cell>
          <cell r="L2392" t="str">
            <v>EKAJ01</v>
          </cell>
          <cell r="M2392" t="str">
            <v>Eka Jaya/David</v>
          </cell>
          <cell r="N2392" t="str">
            <v>Agro Tani Mapan, CV</v>
          </cell>
          <cell r="O2392" t="str">
            <v>Dsn. Damtelu RT.001/RW.001 Kedunggebang. Tegal Dlimo, Kab. Banyuwangi</v>
          </cell>
          <cell r="P2392" t="str">
            <v>Banyuwangi</v>
          </cell>
          <cell r="Q2392" t="str">
            <v>Jl. Dam III No. 9 Patok XI, Tegaldlimo</v>
          </cell>
          <cell r="R2392" t="str">
            <v>Banyuwangi</v>
          </cell>
          <cell r="S2392" t="str">
            <v>H Bwi2</v>
          </cell>
          <cell r="T2392" t="str">
            <v>Hafid</v>
          </cell>
          <cell r="U2392">
            <v>30</v>
          </cell>
        </row>
        <row r="2393">
          <cell r="E2393" t="str">
            <v>D25013261</v>
          </cell>
          <cell r="F2393"/>
          <cell r="G2393">
            <v>4500000000</v>
          </cell>
          <cell r="H2393" t="str">
            <v>Faris</v>
          </cell>
          <cell r="I2393" t="str">
            <v>Syahra</v>
          </cell>
          <cell r="J2393"/>
          <cell r="K2393" t="str">
            <v>KU</v>
          </cell>
          <cell r="L2393" t="str">
            <v>EKAJ01</v>
          </cell>
          <cell r="M2393" t="str">
            <v>Eka Jaya/David</v>
          </cell>
          <cell r="N2393" t="str">
            <v>Agro Tani Mapan, CV</v>
          </cell>
          <cell r="O2393" t="str">
            <v>Dsn. Damtelu RT.001/RW.001 Kedunggebang. Tegal Dlimo, Kab. Banyuwangi</v>
          </cell>
          <cell r="P2393" t="str">
            <v>Banyuwangi</v>
          </cell>
          <cell r="Q2393" t="str">
            <v>Jl. Dam III No. 9 Patok XI, Tegaldlimo</v>
          </cell>
          <cell r="R2393" t="str">
            <v>Banyuwangi</v>
          </cell>
          <cell r="S2393" t="str">
            <v>H Bwi2</v>
          </cell>
          <cell r="T2393" t="str">
            <v>Hafid</v>
          </cell>
          <cell r="U2393">
            <v>30</v>
          </cell>
        </row>
        <row r="2394">
          <cell r="E2394">
            <v>250088</v>
          </cell>
          <cell r="F2394"/>
          <cell r="G2394">
            <v>4500000000</v>
          </cell>
          <cell r="H2394" t="str">
            <v>Faris</v>
          </cell>
          <cell r="I2394" t="str">
            <v>Syahra</v>
          </cell>
          <cell r="J2394"/>
          <cell r="K2394" t="str">
            <v>KU</v>
          </cell>
          <cell r="L2394" t="str">
            <v>EKAJ01</v>
          </cell>
          <cell r="M2394" t="str">
            <v>Eka Jaya/David</v>
          </cell>
          <cell r="N2394" t="str">
            <v>Agro Tani Mapan, CV</v>
          </cell>
          <cell r="O2394" t="str">
            <v>Dsn. Damtelu RT.001/RW.001 Kedunggebang. Tegal Dlimo, Kab. Banyuwangi</v>
          </cell>
          <cell r="P2394" t="str">
            <v>Banyuwangi</v>
          </cell>
          <cell r="Q2394" t="str">
            <v>Jl. Dam III No. 9 Patok XI, Tegaldlimo</v>
          </cell>
          <cell r="R2394" t="str">
            <v>Banyuwangi</v>
          </cell>
          <cell r="S2394" t="str">
            <v>H Bwi2</v>
          </cell>
          <cell r="T2394" t="str">
            <v>Hafid</v>
          </cell>
          <cell r="U2394">
            <v>30</v>
          </cell>
        </row>
        <row r="2395">
          <cell r="E2395">
            <v>250089</v>
          </cell>
          <cell r="F2395"/>
          <cell r="G2395">
            <v>4500000000</v>
          </cell>
          <cell r="H2395" t="str">
            <v>Faris</v>
          </cell>
          <cell r="I2395" t="str">
            <v>Syahra</v>
          </cell>
          <cell r="J2395"/>
          <cell r="K2395" t="str">
            <v>KU</v>
          </cell>
          <cell r="L2395" t="str">
            <v>EKAJ01</v>
          </cell>
          <cell r="M2395" t="str">
            <v>Eka Jaya/David</v>
          </cell>
          <cell r="N2395" t="str">
            <v>Agro Tani Mapan, CV</v>
          </cell>
          <cell r="O2395" t="str">
            <v>Dsn. Damtelu RT.001/RW.001 Kedunggebang. Tegal Dlimo, Kab. Banyuwangi</v>
          </cell>
          <cell r="P2395" t="str">
            <v>Banyuwangi</v>
          </cell>
          <cell r="Q2395" t="str">
            <v>Jl. Dam III No. 9 Patok XI, Tegaldlimo</v>
          </cell>
          <cell r="R2395" t="str">
            <v>Banyuwangi</v>
          </cell>
          <cell r="S2395" t="str">
            <v>H Bwi2</v>
          </cell>
          <cell r="T2395" t="str">
            <v>Hafid</v>
          </cell>
          <cell r="U2395">
            <v>30</v>
          </cell>
        </row>
        <row r="2396">
          <cell r="E2396" t="str">
            <v>B25011278</v>
          </cell>
          <cell r="F2396"/>
          <cell r="G2396">
            <v>4500000000</v>
          </cell>
          <cell r="H2396" t="str">
            <v>Faris</v>
          </cell>
          <cell r="I2396" t="str">
            <v>Syahra</v>
          </cell>
          <cell r="J2396"/>
          <cell r="K2396" t="str">
            <v>KU</v>
          </cell>
          <cell r="L2396" t="str">
            <v>EKAJ01</v>
          </cell>
          <cell r="M2396" t="str">
            <v>Eka Jaya/David</v>
          </cell>
          <cell r="N2396" t="str">
            <v>Agro Tani Mapan, CV</v>
          </cell>
          <cell r="O2396" t="str">
            <v>Dsn. Damtelu RT.001/RW.001 Kedunggebang. Tegal Dlimo, Kab. Banyuwangi</v>
          </cell>
          <cell r="P2396" t="str">
            <v>Banyuwangi</v>
          </cell>
          <cell r="Q2396" t="str">
            <v>Jl. Dam III No. 9 Patok XI, Tegaldlimo</v>
          </cell>
          <cell r="R2396" t="str">
            <v>Banyuwangi</v>
          </cell>
          <cell r="S2396" t="str">
            <v>H Bwi2</v>
          </cell>
          <cell r="T2396" t="str">
            <v>Hafid</v>
          </cell>
          <cell r="U2396">
            <v>30</v>
          </cell>
        </row>
        <row r="2397">
          <cell r="E2397" t="str">
            <v>B25011279</v>
          </cell>
          <cell r="F2397"/>
          <cell r="G2397">
            <v>4500000000</v>
          </cell>
          <cell r="H2397" t="str">
            <v>Faris</v>
          </cell>
          <cell r="I2397" t="str">
            <v>Syahra</v>
          </cell>
          <cell r="J2397"/>
          <cell r="K2397" t="str">
            <v>KU</v>
          </cell>
          <cell r="L2397" t="str">
            <v>EKAJ01</v>
          </cell>
          <cell r="M2397" t="str">
            <v>Eka Jaya/David</v>
          </cell>
          <cell r="N2397" t="str">
            <v>Agro Tani Mapan, CV</v>
          </cell>
          <cell r="O2397" t="str">
            <v>Dsn. Damtelu RT.001/RW.001 Kedunggebang. Tegal Dlimo, Kab. Banyuwangi</v>
          </cell>
          <cell r="P2397" t="str">
            <v>Banyuwangi</v>
          </cell>
          <cell r="Q2397" t="str">
            <v>Jl. Dam III No. 9 Patok XI, Tegaldlimo</v>
          </cell>
          <cell r="R2397" t="str">
            <v>Banyuwangi</v>
          </cell>
          <cell r="S2397" t="str">
            <v>H Bwi2</v>
          </cell>
          <cell r="T2397" t="str">
            <v>Hafid</v>
          </cell>
          <cell r="U2397">
            <v>60</v>
          </cell>
        </row>
        <row r="2398">
          <cell r="E2398" t="str">
            <v>B25011288</v>
          </cell>
          <cell r="F2398"/>
          <cell r="G2398">
            <v>4500000000</v>
          </cell>
          <cell r="H2398" t="str">
            <v>Faris</v>
          </cell>
          <cell r="I2398" t="str">
            <v>Syahra</v>
          </cell>
          <cell r="J2398"/>
          <cell r="K2398" t="str">
            <v>KU</v>
          </cell>
          <cell r="L2398" t="str">
            <v>EKAJ01</v>
          </cell>
          <cell r="M2398" t="str">
            <v>Eka Jaya/David</v>
          </cell>
          <cell r="N2398" t="str">
            <v>Agro Tani Mapan, CV</v>
          </cell>
          <cell r="O2398" t="str">
            <v>Dsn. Damtelu RT.001/RW.001 Kedunggebang. Tegal Dlimo, Kab. Banyuwangi</v>
          </cell>
          <cell r="P2398" t="str">
            <v>Banyuwangi</v>
          </cell>
          <cell r="Q2398" t="str">
            <v>Jl. Dam III No. 9 Patok XI, Tegaldlimo</v>
          </cell>
          <cell r="R2398" t="str">
            <v>Banyuwangi</v>
          </cell>
          <cell r="S2398" t="str">
            <v>H Bwi2</v>
          </cell>
          <cell r="T2398" t="str">
            <v>Hafid</v>
          </cell>
          <cell r="U2398">
            <v>60</v>
          </cell>
        </row>
        <row r="2399">
          <cell r="E2399">
            <v>250092</v>
          </cell>
          <cell r="F2399"/>
          <cell r="G2399">
            <v>4500000000</v>
          </cell>
          <cell r="H2399" t="str">
            <v>Faris</v>
          </cell>
          <cell r="I2399" t="str">
            <v>Syahra</v>
          </cell>
          <cell r="J2399"/>
          <cell r="K2399" t="str">
            <v>KU</v>
          </cell>
          <cell r="L2399" t="str">
            <v>EKAJ01</v>
          </cell>
          <cell r="M2399" t="str">
            <v>Eka Jaya/David</v>
          </cell>
          <cell r="N2399" t="str">
            <v>Agro Tani Mapan, CV</v>
          </cell>
          <cell r="O2399" t="str">
            <v>Dsn. Damtelu RT.001/RW.001 Kedunggebang. Tegal Dlimo, Kab. Banyuwangi</v>
          </cell>
          <cell r="P2399" t="str">
            <v>Banyuwangi</v>
          </cell>
          <cell r="Q2399" t="str">
            <v>Jl. Dam III No. 9 Patok XI, Tegaldlimo</v>
          </cell>
          <cell r="R2399" t="str">
            <v>Banyuwangi</v>
          </cell>
          <cell r="S2399" t="str">
            <v>H Bwi2</v>
          </cell>
          <cell r="T2399" t="str">
            <v>Hafid</v>
          </cell>
          <cell r="U2399">
            <v>30</v>
          </cell>
        </row>
        <row r="2400">
          <cell r="E2400" t="str">
            <v>B25011332</v>
          </cell>
          <cell r="F2400"/>
          <cell r="G2400">
            <v>4500000000</v>
          </cell>
          <cell r="H2400" t="str">
            <v>Faris</v>
          </cell>
          <cell r="I2400" t="str">
            <v>Syahra</v>
          </cell>
          <cell r="J2400"/>
          <cell r="K2400" t="str">
            <v>KU</v>
          </cell>
          <cell r="L2400" t="str">
            <v>EKAJ01</v>
          </cell>
          <cell r="M2400" t="str">
            <v>Eka Jaya/David</v>
          </cell>
          <cell r="N2400" t="str">
            <v>Agro Tani Mapan, CV</v>
          </cell>
          <cell r="O2400" t="str">
            <v>Dsn. Damtelu RT.001/RW.001 Kedunggebang. Tegal Dlimo, Kab. Banyuwangi</v>
          </cell>
          <cell r="P2400" t="str">
            <v>Banyuwangi</v>
          </cell>
          <cell r="Q2400" t="str">
            <v>Jl. Dam III No. 9 Patok XI, Tegaldlimo</v>
          </cell>
          <cell r="R2400" t="str">
            <v>Banyuwangi</v>
          </cell>
          <cell r="S2400" t="str">
            <v>H Bwi2</v>
          </cell>
          <cell r="T2400" t="str">
            <v>Hafid</v>
          </cell>
          <cell r="U2400">
            <v>30</v>
          </cell>
        </row>
        <row r="2401">
          <cell r="E2401" t="str">
            <v>B25011340</v>
          </cell>
          <cell r="F2401"/>
          <cell r="G2401">
            <v>4500000000</v>
          </cell>
          <cell r="H2401" t="str">
            <v>Faris</v>
          </cell>
          <cell r="I2401" t="str">
            <v>Syahra</v>
          </cell>
          <cell r="J2401"/>
          <cell r="K2401" t="str">
            <v>KU</v>
          </cell>
          <cell r="L2401" t="str">
            <v>EKAJ01</v>
          </cell>
          <cell r="M2401" t="str">
            <v>Eka Jaya/David</v>
          </cell>
          <cell r="N2401" t="str">
            <v>Agro Tani Mapan, CV</v>
          </cell>
          <cell r="O2401" t="str">
            <v>Dsn. Damtelu RT.001/RW.001 Kedunggebang. Tegal Dlimo, Kab. Banyuwangi</v>
          </cell>
          <cell r="P2401" t="str">
            <v>Banyuwangi</v>
          </cell>
          <cell r="Q2401" t="str">
            <v>Jl. Dam III No. 9 Patok XI, Tegaldlimo</v>
          </cell>
          <cell r="R2401" t="str">
            <v>Banyuwangi</v>
          </cell>
          <cell r="S2401" t="str">
            <v>H Bwi2</v>
          </cell>
          <cell r="T2401" t="str">
            <v>Hafid</v>
          </cell>
          <cell r="U2401">
            <v>30</v>
          </cell>
        </row>
        <row r="2402">
          <cell r="E2402" t="str">
            <v>D25013530</v>
          </cell>
          <cell r="F2402"/>
          <cell r="G2402">
            <v>4500000000</v>
          </cell>
          <cell r="H2402" t="str">
            <v>Faris</v>
          </cell>
          <cell r="I2402" t="str">
            <v>Syahra</v>
          </cell>
          <cell r="J2402"/>
          <cell r="K2402" t="str">
            <v>KU</v>
          </cell>
          <cell r="L2402" t="str">
            <v>EKAJ01</v>
          </cell>
          <cell r="M2402" t="str">
            <v>Eka Jaya/David</v>
          </cell>
          <cell r="N2402" t="str">
            <v>Agro Tani Mapan, CV</v>
          </cell>
          <cell r="O2402" t="str">
            <v>Dsn. Damtelu RT.001/RW.001 Kedunggebang. Tegal Dlimo, Kab. Banyuwangi</v>
          </cell>
          <cell r="P2402" t="str">
            <v>Banyuwangi</v>
          </cell>
          <cell r="Q2402" t="str">
            <v>Jl. Dam III No. 9 Patok XI, Tegaldlimo</v>
          </cell>
          <cell r="R2402" t="str">
            <v>Banyuwangi</v>
          </cell>
          <cell r="S2402" t="str">
            <v>H Bwi2</v>
          </cell>
          <cell r="T2402" t="str">
            <v>Hafid</v>
          </cell>
          <cell r="U2402">
            <v>30</v>
          </cell>
        </row>
        <row r="2403">
          <cell r="E2403" t="str">
            <v>D25013564</v>
          </cell>
          <cell r="F2403"/>
          <cell r="G2403">
            <v>4500000000</v>
          </cell>
          <cell r="H2403" t="str">
            <v>Faris</v>
          </cell>
          <cell r="I2403" t="str">
            <v>Syahra</v>
          </cell>
          <cell r="J2403"/>
          <cell r="K2403" t="str">
            <v>KU</v>
          </cell>
          <cell r="L2403" t="str">
            <v>EKAJ01</v>
          </cell>
          <cell r="M2403" t="str">
            <v>Eka Jaya/David</v>
          </cell>
          <cell r="N2403" t="str">
            <v>Agro Tani Mapan, CV</v>
          </cell>
          <cell r="O2403" t="str">
            <v>Dsn. Damtelu RT.001/RW.001 Kedunggebang. Tegal Dlimo, Kab. Banyuwangi</v>
          </cell>
          <cell r="P2403" t="str">
            <v>Banyuwangi</v>
          </cell>
          <cell r="Q2403" t="str">
            <v>Jl. Dam III No. 9 Patok XI, Tegaldlimo</v>
          </cell>
          <cell r="R2403" t="str">
            <v>Banyuwangi</v>
          </cell>
          <cell r="S2403" t="str">
            <v>H Bwi2</v>
          </cell>
          <cell r="T2403" t="str">
            <v>Hafid</v>
          </cell>
          <cell r="U2403">
            <v>30</v>
          </cell>
        </row>
        <row r="2404">
          <cell r="E2404" t="str">
            <v>D25013751</v>
          </cell>
          <cell r="F2404"/>
          <cell r="G2404">
            <v>4500000000</v>
          </cell>
          <cell r="H2404" t="str">
            <v>Faris</v>
          </cell>
          <cell r="I2404" t="str">
            <v>Syahra</v>
          </cell>
          <cell r="J2404"/>
          <cell r="K2404" t="str">
            <v>KU</v>
          </cell>
          <cell r="L2404" t="str">
            <v>EKAJ01</v>
          </cell>
          <cell r="M2404" t="str">
            <v>Eka Jaya/David</v>
          </cell>
          <cell r="N2404" t="str">
            <v>Agro Tani Mapan, CV</v>
          </cell>
          <cell r="O2404" t="str">
            <v>Dsn. Damtelu RT.001/RW.001 Kedunggebang. Tegal Dlimo, Kab. Banyuwangi</v>
          </cell>
          <cell r="P2404" t="str">
            <v>Banyuwangi</v>
          </cell>
          <cell r="Q2404" t="str">
            <v>Jl. Dam III No. 9 Patok XI, Tegaldlimo</v>
          </cell>
          <cell r="R2404" t="str">
            <v>Banyuwangi</v>
          </cell>
          <cell r="S2404" t="str">
            <v>H Bwi2</v>
          </cell>
          <cell r="T2404" t="str">
            <v>Hafid</v>
          </cell>
          <cell r="U2404">
            <v>60</v>
          </cell>
        </row>
        <row r="2405">
          <cell r="E2405">
            <v>250101</v>
          </cell>
          <cell r="F2405"/>
          <cell r="G2405">
            <v>4500000000</v>
          </cell>
          <cell r="H2405" t="str">
            <v>Faris</v>
          </cell>
          <cell r="I2405" t="str">
            <v>Syahra</v>
          </cell>
          <cell r="J2405"/>
          <cell r="K2405" t="str">
            <v>KU</v>
          </cell>
          <cell r="L2405" t="str">
            <v>EKAJ01</v>
          </cell>
          <cell r="M2405" t="str">
            <v>Eka Jaya/David</v>
          </cell>
          <cell r="N2405" t="str">
            <v>Agro Tani Mapan, CV</v>
          </cell>
          <cell r="O2405" t="str">
            <v>Dsn. Damtelu RT.001/RW.001 Kedunggebang. Tegal Dlimo, Kab. Banyuwangi</v>
          </cell>
          <cell r="P2405" t="str">
            <v>Banyuwangi</v>
          </cell>
          <cell r="Q2405" t="str">
            <v>Jl. Dam III No. 9 Patok XI, Tegaldlimo</v>
          </cell>
          <cell r="R2405" t="str">
            <v>Banyuwangi</v>
          </cell>
          <cell r="S2405" t="str">
            <v>H Bwi2</v>
          </cell>
          <cell r="T2405" t="str">
            <v>Hafid</v>
          </cell>
          <cell r="U2405">
            <v>30</v>
          </cell>
        </row>
        <row r="2406">
          <cell r="E2406">
            <v>250104</v>
          </cell>
          <cell r="F2406"/>
          <cell r="G2406">
            <v>4500000000</v>
          </cell>
          <cell r="H2406" t="str">
            <v>Faris</v>
          </cell>
          <cell r="I2406" t="str">
            <v>Syahra</v>
          </cell>
          <cell r="J2406"/>
          <cell r="K2406" t="str">
            <v>KU</v>
          </cell>
          <cell r="L2406" t="str">
            <v>EKAJ01</v>
          </cell>
          <cell r="M2406" t="str">
            <v>Eka Jaya/David</v>
          </cell>
          <cell r="N2406" t="str">
            <v>Agro Tani Mapan, CV</v>
          </cell>
          <cell r="O2406" t="str">
            <v>Dsn. Damtelu RT.001/RW.001 Kedunggebang. Tegal Dlimo, Kab. Banyuwangi</v>
          </cell>
          <cell r="P2406" t="str">
            <v>Banyuwangi</v>
          </cell>
          <cell r="Q2406" t="str">
            <v>Jl. Dam III No. 9 Patok XI, Tegaldlimo</v>
          </cell>
          <cell r="R2406" t="str">
            <v>Banyuwangi</v>
          </cell>
          <cell r="S2406" t="str">
            <v>H Bwi2</v>
          </cell>
          <cell r="T2406" t="str">
            <v>Hafid</v>
          </cell>
          <cell r="U2406">
            <v>30</v>
          </cell>
        </row>
        <row r="2407">
          <cell r="E2407" t="str">
            <v>B25011758</v>
          </cell>
          <cell r="F2407"/>
          <cell r="G2407">
            <v>4500000000</v>
          </cell>
          <cell r="H2407" t="str">
            <v>Faris</v>
          </cell>
          <cell r="I2407" t="str">
            <v>Syahra</v>
          </cell>
          <cell r="J2407"/>
          <cell r="K2407" t="str">
            <v>KU</v>
          </cell>
          <cell r="L2407" t="str">
            <v>EKAJ01</v>
          </cell>
          <cell r="M2407" t="str">
            <v>Eka Jaya/David</v>
          </cell>
          <cell r="N2407" t="str">
            <v>Agro Tani Mapan, CV</v>
          </cell>
          <cell r="O2407" t="str">
            <v>Dsn. Damtelu RT.001/RW.001 Kedunggebang. Tegal Dlimo, Kab. Banyuwangi</v>
          </cell>
          <cell r="P2407" t="str">
            <v>Banyuwangi</v>
          </cell>
          <cell r="Q2407" t="str">
            <v>Jl. Dam III No. 9 Patok XI, Tegaldlimo</v>
          </cell>
          <cell r="R2407" t="str">
            <v>Banyuwangi</v>
          </cell>
          <cell r="S2407" t="str">
            <v>H Bwi2</v>
          </cell>
          <cell r="T2407" t="str">
            <v>Hafid</v>
          </cell>
          <cell r="U2407">
            <v>30</v>
          </cell>
        </row>
        <row r="2408">
          <cell r="E2408" t="str">
            <v>D25014042</v>
          </cell>
          <cell r="F2408"/>
          <cell r="G2408">
            <v>4500000000</v>
          </cell>
          <cell r="H2408" t="str">
            <v>Faris</v>
          </cell>
          <cell r="I2408" t="str">
            <v>Syahra</v>
          </cell>
          <cell r="J2408"/>
          <cell r="K2408" t="str">
            <v>KU</v>
          </cell>
          <cell r="L2408" t="str">
            <v>EKAJ01</v>
          </cell>
          <cell r="M2408" t="str">
            <v>Eka Jaya/David</v>
          </cell>
          <cell r="N2408" t="str">
            <v>Agro Tani Mapan, CV</v>
          </cell>
          <cell r="O2408" t="str">
            <v>Dsn. Damtelu RT.001/RW.001 Kedunggebang. Tegal Dlimo, Kab. Banyuwangi</v>
          </cell>
          <cell r="P2408" t="str">
            <v>Banyuwangi</v>
          </cell>
          <cell r="Q2408" t="str">
            <v>Jl. Dam III No. 9 Patok XI, Tegaldlimo</v>
          </cell>
          <cell r="R2408" t="str">
            <v>Banyuwangi</v>
          </cell>
          <cell r="S2408" t="str">
            <v>H Bwi2</v>
          </cell>
          <cell r="T2408" t="str">
            <v>Hafid</v>
          </cell>
          <cell r="U2408">
            <v>30</v>
          </cell>
        </row>
        <row r="2409">
          <cell r="E2409" t="str">
            <v>B25011841</v>
          </cell>
          <cell r="F2409"/>
          <cell r="G2409">
            <v>4500000000</v>
          </cell>
          <cell r="H2409" t="str">
            <v>Faris</v>
          </cell>
          <cell r="I2409" t="str">
            <v>Syahra</v>
          </cell>
          <cell r="J2409"/>
          <cell r="K2409" t="str">
            <v>KU</v>
          </cell>
          <cell r="L2409" t="str">
            <v>EKAJ01</v>
          </cell>
          <cell r="M2409" t="str">
            <v>Eka Jaya/David</v>
          </cell>
          <cell r="N2409" t="str">
            <v>Agro Tani Mapan, CV</v>
          </cell>
          <cell r="O2409" t="str">
            <v>Dsn. Damtelu RT.001/RW.001 Kedunggebang. Tegal Dlimo, Kab. Banyuwangi</v>
          </cell>
          <cell r="P2409" t="str">
            <v>Banyuwangi</v>
          </cell>
          <cell r="Q2409" t="str">
            <v>Jl. Dam III No. 9 Patok XI, Tegaldlimo</v>
          </cell>
          <cell r="R2409" t="str">
            <v>Banyuwangi</v>
          </cell>
          <cell r="S2409" t="str">
            <v>H Bwi2</v>
          </cell>
          <cell r="T2409" t="str">
            <v>Hafid</v>
          </cell>
          <cell r="U2409">
            <v>60</v>
          </cell>
        </row>
        <row r="2410">
          <cell r="E2410" t="str">
            <v>D25014129</v>
          </cell>
          <cell r="F2410"/>
          <cell r="G2410">
            <v>4500000000</v>
          </cell>
          <cell r="H2410" t="str">
            <v>Faris</v>
          </cell>
          <cell r="I2410" t="str">
            <v>Syahra</v>
          </cell>
          <cell r="J2410"/>
          <cell r="K2410" t="str">
            <v>KU</v>
          </cell>
          <cell r="L2410" t="str">
            <v>EKAJ01</v>
          </cell>
          <cell r="M2410" t="str">
            <v>Eka Jaya/David</v>
          </cell>
          <cell r="N2410" t="str">
            <v>Agro Tani Mapan, CV</v>
          </cell>
          <cell r="O2410" t="str">
            <v>Dsn. Damtelu RT.001/RW.001 Kedunggebang. Tegal Dlimo, Kab. Banyuwangi</v>
          </cell>
          <cell r="P2410" t="str">
            <v>Banyuwangi</v>
          </cell>
          <cell r="Q2410" t="str">
            <v>Jl. Dam III No. 9 Patok XI, Tegaldlimo</v>
          </cell>
          <cell r="R2410" t="str">
            <v>Banyuwangi</v>
          </cell>
          <cell r="S2410" t="str">
            <v>H Bwi2</v>
          </cell>
          <cell r="T2410" t="str">
            <v>Hafid</v>
          </cell>
          <cell r="U2410">
            <v>60</v>
          </cell>
        </row>
        <row r="2411">
          <cell r="E2411" t="str">
            <v>D25014163</v>
          </cell>
          <cell r="F2411"/>
          <cell r="G2411">
            <v>4500000000</v>
          </cell>
          <cell r="H2411" t="str">
            <v>Faris</v>
          </cell>
          <cell r="I2411" t="str">
            <v>Syahra</v>
          </cell>
          <cell r="J2411"/>
          <cell r="K2411" t="str">
            <v>KU</v>
          </cell>
          <cell r="L2411" t="str">
            <v>EKAJ01</v>
          </cell>
          <cell r="M2411" t="str">
            <v>Eka Jaya/David</v>
          </cell>
          <cell r="N2411" t="str">
            <v>Agro Tani Mapan, CV</v>
          </cell>
          <cell r="O2411" t="str">
            <v>Dsn. Damtelu RT.001/RW.001 Kedunggebang. Tegal Dlimo, Kab. Banyuwangi</v>
          </cell>
          <cell r="P2411" t="str">
            <v>Banyuwangi</v>
          </cell>
          <cell r="Q2411" t="str">
            <v>Jl. Dam III No. 9 Patok XI, Tegaldlimo</v>
          </cell>
          <cell r="R2411" t="str">
            <v>Banyuwangi</v>
          </cell>
          <cell r="S2411" t="str">
            <v>H Bwi2</v>
          </cell>
          <cell r="T2411" t="str">
            <v>Hafid</v>
          </cell>
          <cell r="U2411">
            <v>30</v>
          </cell>
        </row>
        <row r="2412">
          <cell r="E2412" t="str">
            <v>D25014252</v>
          </cell>
          <cell r="F2412"/>
          <cell r="G2412">
            <v>4500000000</v>
          </cell>
          <cell r="H2412" t="str">
            <v>Faris</v>
          </cell>
          <cell r="I2412" t="str">
            <v>Syahra</v>
          </cell>
          <cell r="J2412"/>
          <cell r="K2412" t="str">
            <v>KU</v>
          </cell>
          <cell r="L2412" t="str">
            <v>EKAJ01</v>
          </cell>
          <cell r="M2412" t="str">
            <v>Eka Jaya/David</v>
          </cell>
          <cell r="N2412" t="str">
            <v>Agro Tani Mapan, CV</v>
          </cell>
          <cell r="O2412" t="str">
            <v>Dsn. Damtelu RT.001/RW.001 Kedunggebang. Tegal Dlimo, Kab. Banyuwangi</v>
          </cell>
          <cell r="P2412" t="str">
            <v>Banyuwangi</v>
          </cell>
          <cell r="Q2412" t="str">
            <v>Jl. Dam III No. 9 Patok XI, Tegaldlimo</v>
          </cell>
          <cell r="R2412" t="str">
            <v>Banyuwangi</v>
          </cell>
          <cell r="S2412" t="str">
            <v>H Bwi2</v>
          </cell>
          <cell r="T2412" t="str">
            <v>Hafid</v>
          </cell>
          <cell r="U2412">
            <v>30</v>
          </cell>
        </row>
        <row r="2413">
          <cell r="E2413" t="str">
            <v>B25012094</v>
          </cell>
          <cell r="F2413"/>
          <cell r="G2413">
            <v>4500000000</v>
          </cell>
          <cell r="H2413" t="str">
            <v>Faris</v>
          </cell>
          <cell r="I2413" t="str">
            <v>Syahra</v>
          </cell>
          <cell r="J2413"/>
          <cell r="K2413" t="str">
            <v>KU</v>
          </cell>
          <cell r="L2413" t="str">
            <v>EKAJ01</v>
          </cell>
          <cell r="M2413" t="str">
            <v>Eka Jaya/David</v>
          </cell>
          <cell r="N2413" t="str">
            <v>Agro Tani Mapan, CV</v>
          </cell>
          <cell r="O2413" t="str">
            <v>Dsn. Damtelu RT.001/RW.001 Kedunggebang. Tegal Dlimo, Kab. Banyuwangi</v>
          </cell>
          <cell r="P2413" t="str">
            <v>Banyuwangi</v>
          </cell>
          <cell r="Q2413" t="str">
            <v>Jl. Dam III No. 9 Patok XI, Tegaldlimo</v>
          </cell>
          <cell r="R2413" t="str">
            <v>Banyuwangi</v>
          </cell>
          <cell r="S2413" t="str">
            <v>H Bwi2</v>
          </cell>
          <cell r="T2413" t="str">
            <v>Hafid</v>
          </cell>
          <cell r="U2413">
            <v>60</v>
          </cell>
        </row>
        <row r="2414">
          <cell r="E2414" t="str">
            <v>D25014322</v>
          </cell>
          <cell r="F2414"/>
          <cell r="G2414">
            <v>4500000000</v>
          </cell>
          <cell r="H2414" t="str">
            <v>Faris</v>
          </cell>
          <cell r="I2414" t="str">
            <v>Syahra</v>
          </cell>
          <cell r="J2414"/>
          <cell r="K2414" t="str">
            <v>KU</v>
          </cell>
          <cell r="L2414" t="str">
            <v>EKAJ01</v>
          </cell>
          <cell r="M2414" t="str">
            <v>Eka Jaya/David</v>
          </cell>
          <cell r="N2414" t="str">
            <v>Agro Tani Mapan, CV</v>
          </cell>
          <cell r="O2414" t="str">
            <v>Dsn. Damtelu RT.001/RW.001 Kedunggebang. Tegal Dlimo, Kab. Banyuwangi</v>
          </cell>
          <cell r="P2414" t="str">
            <v>Banyuwangi</v>
          </cell>
          <cell r="Q2414" t="str">
            <v>Jl. Dam III No. 9 Patok XI, Tegaldlimo</v>
          </cell>
          <cell r="R2414" t="str">
            <v>Banyuwangi</v>
          </cell>
          <cell r="S2414" t="str">
            <v>H Bwi2</v>
          </cell>
          <cell r="T2414" t="str">
            <v>Hafid</v>
          </cell>
          <cell r="U2414">
            <v>30</v>
          </cell>
        </row>
        <row r="2415">
          <cell r="E2415" t="str">
            <v>B25012125</v>
          </cell>
          <cell r="F2415"/>
          <cell r="G2415">
            <v>4500000000</v>
          </cell>
          <cell r="H2415" t="str">
            <v>Faris</v>
          </cell>
          <cell r="I2415" t="str">
            <v>Syahra</v>
          </cell>
          <cell r="J2415"/>
          <cell r="K2415" t="str">
            <v>KU</v>
          </cell>
          <cell r="L2415" t="str">
            <v>EKAJ01</v>
          </cell>
          <cell r="M2415" t="str">
            <v>Eka Jaya/David</v>
          </cell>
          <cell r="N2415" t="str">
            <v>Agro Tani Mapan, CV</v>
          </cell>
          <cell r="O2415" t="str">
            <v>Dsn. Damtelu RT.001/RW.001 Kedunggebang. Tegal Dlimo, Kab. Banyuwangi</v>
          </cell>
          <cell r="P2415" t="str">
            <v>Banyuwangi</v>
          </cell>
          <cell r="Q2415" t="str">
            <v>Jl. Dam III No. 9 Patok XI, Tegaldlimo</v>
          </cell>
          <cell r="R2415" t="str">
            <v>Banyuwangi</v>
          </cell>
          <cell r="S2415" t="str">
            <v>H Bwi2</v>
          </cell>
          <cell r="T2415" t="str">
            <v>Hafid</v>
          </cell>
          <cell r="U2415">
            <v>60</v>
          </cell>
        </row>
        <row r="2416">
          <cell r="E2416" t="str">
            <v>B25012147</v>
          </cell>
          <cell r="F2416"/>
          <cell r="G2416">
            <v>4500000000</v>
          </cell>
          <cell r="H2416" t="str">
            <v>Faris</v>
          </cell>
          <cell r="I2416" t="str">
            <v>Syahra</v>
          </cell>
          <cell r="J2416"/>
          <cell r="K2416" t="str">
            <v>KU</v>
          </cell>
          <cell r="L2416" t="str">
            <v>EKAJ01</v>
          </cell>
          <cell r="M2416" t="str">
            <v>Eka Jaya/David</v>
          </cell>
          <cell r="N2416" t="str">
            <v>Agro Tani Mapan, CV</v>
          </cell>
          <cell r="O2416" t="str">
            <v>Dsn. Damtelu RT.001/RW.001 Kedunggebang. Tegal Dlimo, Kab. Banyuwangi</v>
          </cell>
          <cell r="P2416" t="str">
            <v>Banyuwangi</v>
          </cell>
          <cell r="Q2416" t="str">
            <v>Jl. Dam III No. 9 Patok XI, Tegaldlimo</v>
          </cell>
          <cell r="R2416" t="str">
            <v>Banyuwangi</v>
          </cell>
          <cell r="S2416" t="str">
            <v>H Bwi2</v>
          </cell>
          <cell r="T2416" t="str">
            <v>Hafid</v>
          </cell>
          <cell r="U2416">
            <v>30</v>
          </cell>
        </row>
        <row r="2417">
          <cell r="E2417" t="str">
            <v>D25014396</v>
          </cell>
          <cell r="F2417"/>
          <cell r="G2417">
            <v>4500000000</v>
          </cell>
          <cell r="H2417" t="str">
            <v>Faris</v>
          </cell>
          <cell r="I2417" t="str">
            <v>Syahra</v>
          </cell>
          <cell r="J2417"/>
          <cell r="K2417" t="str">
            <v>KU</v>
          </cell>
          <cell r="L2417" t="str">
            <v>EKAJ01</v>
          </cell>
          <cell r="M2417" t="str">
            <v>Eka Jaya/David</v>
          </cell>
          <cell r="N2417" t="str">
            <v>Agro Tani Mapan, CV</v>
          </cell>
          <cell r="O2417" t="str">
            <v>Dsn. Damtelu RT.001/RW.001 Kedunggebang. Tegal Dlimo, Kab. Banyuwangi</v>
          </cell>
          <cell r="P2417" t="str">
            <v>Banyuwangi</v>
          </cell>
          <cell r="Q2417" t="str">
            <v>Jl. Dam III No. 9 Patok XI, Tegaldlimo</v>
          </cell>
          <cell r="R2417" t="str">
            <v>Banyuwangi</v>
          </cell>
          <cell r="S2417" t="str">
            <v>H Bwi2</v>
          </cell>
          <cell r="T2417" t="str">
            <v>Hafid</v>
          </cell>
          <cell r="U2417">
            <v>30</v>
          </cell>
        </row>
        <row r="2418">
          <cell r="E2418" t="str">
            <v>B25012246</v>
          </cell>
          <cell r="F2418"/>
          <cell r="G2418">
            <v>4500000000</v>
          </cell>
          <cell r="H2418" t="str">
            <v>Faris</v>
          </cell>
          <cell r="I2418" t="str">
            <v>Syahra</v>
          </cell>
          <cell r="J2418"/>
          <cell r="K2418" t="str">
            <v>KU</v>
          </cell>
          <cell r="L2418" t="str">
            <v>EKAJ01</v>
          </cell>
          <cell r="M2418" t="str">
            <v>Eka Jaya/David</v>
          </cell>
          <cell r="N2418" t="str">
            <v>Agro Tani Mapan, CV</v>
          </cell>
          <cell r="O2418" t="str">
            <v>Dsn. Damtelu RT.001/RW.001 Kedunggebang. Tegal Dlimo, Kab. Banyuwangi</v>
          </cell>
          <cell r="P2418" t="str">
            <v>Banyuwangi</v>
          </cell>
          <cell r="Q2418" t="str">
            <v>Jl. Dam III No. 9 Patok XI, Tegaldlimo</v>
          </cell>
          <cell r="R2418" t="str">
            <v>Banyuwangi</v>
          </cell>
          <cell r="S2418" t="str">
            <v>H Bwi2</v>
          </cell>
          <cell r="T2418" t="str">
            <v>Hafid</v>
          </cell>
          <cell r="U2418">
            <v>0</v>
          </cell>
        </row>
        <row r="2419">
          <cell r="E2419" t="str">
            <v>D25014494</v>
          </cell>
          <cell r="F2419"/>
          <cell r="G2419">
            <v>4500000000</v>
          </cell>
          <cell r="H2419" t="str">
            <v>Faris</v>
          </cell>
          <cell r="I2419" t="str">
            <v>Syahra</v>
          </cell>
          <cell r="J2419"/>
          <cell r="K2419" t="str">
            <v>KU</v>
          </cell>
          <cell r="L2419" t="str">
            <v>EKAJ01</v>
          </cell>
          <cell r="M2419" t="str">
            <v>Eka Jaya/David</v>
          </cell>
          <cell r="N2419" t="str">
            <v>Agro Tani Mapan, CV</v>
          </cell>
          <cell r="O2419" t="str">
            <v>Dsn. Damtelu RT.001/RW.001 Kedunggebang. Tegal Dlimo, Kab. Banyuwangi</v>
          </cell>
          <cell r="P2419" t="str">
            <v>Banyuwangi</v>
          </cell>
          <cell r="Q2419" t="str">
            <v>Jl. Dam III No. 9 Patok XI, Tegaldlimo</v>
          </cell>
          <cell r="R2419" t="str">
            <v>Banyuwangi</v>
          </cell>
          <cell r="S2419" t="str">
            <v>H Bwi2</v>
          </cell>
          <cell r="T2419" t="str">
            <v>Hafid</v>
          </cell>
          <cell r="U2419">
            <v>30</v>
          </cell>
        </row>
        <row r="2420">
          <cell r="E2420" t="str">
            <v>D25014507</v>
          </cell>
          <cell r="F2420"/>
          <cell r="G2420">
            <v>4500000000</v>
          </cell>
          <cell r="H2420" t="str">
            <v>Faris</v>
          </cell>
          <cell r="I2420" t="str">
            <v>Syahra</v>
          </cell>
          <cell r="J2420"/>
          <cell r="K2420" t="str">
            <v>KU</v>
          </cell>
          <cell r="L2420" t="str">
            <v>EKAJ01</v>
          </cell>
          <cell r="M2420" t="str">
            <v>Eka Jaya/David</v>
          </cell>
          <cell r="N2420" t="str">
            <v>Agro Tani Mapan, CV</v>
          </cell>
          <cell r="O2420" t="str">
            <v>Dsn. Damtelu RT.001/RW.001 Kedunggebang. Tegal Dlimo, Kab. Banyuwangi</v>
          </cell>
          <cell r="P2420" t="str">
            <v>Banyuwangi</v>
          </cell>
          <cell r="Q2420" t="str">
            <v>Jl. Dam III No. 9 Patok XI, Tegaldlimo</v>
          </cell>
          <cell r="R2420" t="str">
            <v>Banyuwangi</v>
          </cell>
          <cell r="S2420" t="str">
            <v>H Bwi2</v>
          </cell>
          <cell r="T2420" t="str">
            <v>Hafid</v>
          </cell>
          <cell r="U2420">
            <v>30</v>
          </cell>
        </row>
        <row r="2421">
          <cell r="E2421" t="str">
            <v>B25012354</v>
          </cell>
          <cell r="F2421"/>
          <cell r="G2421">
            <v>4500000000</v>
          </cell>
          <cell r="H2421" t="str">
            <v>Faris</v>
          </cell>
          <cell r="I2421" t="str">
            <v>Syahra</v>
          </cell>
          <cell r="J2421"/>
          <cell r="K2421" t="str">
            <v>KU</v>
          </cell>
          <cell r="L2421" t="str">
            <v>EKAJ01</v>
          </cell>
          <cell r="M2421" t="str">
            <v>Eka Jaya/David</v>
          </cell>
          <cell r="N2421" t="str">
            <v>Agro Tani Mapan, CV</v>
          </cell>
          <cell r="O2421" t="str">
            <v>Dsn. Damtelu RT.001/RW.001 Kedunggebang. Tegal Dlimo, Kab. Banyuwangi</v>
          </cell>
          <cell r="P2421" t="str">
            <v>Banyuwangi</v>
          </cell>
          <cell r="Q2421" t="str">
            <v>Jl. Dam III No. 9 Patok XI, Tegaldlimo</v>
          </cell>
          <cell r="R2421" t="str">
            <v>Banyuwangi</v>
          </cell>
          <cell r="S2421" t="str">
            <v>H Bwi2</v>
          </cell>
          <cell r="T2421" t="str">
            <v>Hafid</v>
          </cell>
          <cell r="U2421">
            <v>30</v>
          </cell>
        </row>
        <row r="2422">
          <cell r="E2422" t="str">
            <v>D25014678</v>
          </cell>
          <cell r="F2422"/>
          <cell r="G2422">
            <v>4500000000</v>
          </cell>
          <cell r="H2422" t="str">
            <v>Faris</v>
          </cell>
          <cell r="I2422" t="str">
            <v>Syahra</v>
          </cell>
          <cell r="J2422"/>
          <cell r="K2422" t="str">
            <v>KU</v>
          </cell>
          <cell r="L2422" t="str">
            <v>EKAJ01</v>
          </cell>
          <cell r="M2422" t="str">
            <v>Eka Jaya/David</v>
          </cell>
          <cell r="N2422" t="str">
            <v>Agro Tani Mapan, CV</v>
          </cell>
          <cell r="O2422" t="str">
            <v>Dsn. Damtelu RT.001/RW.001 Kedunggebang. Tegal Dlimo, Kab. Banyuwangi</v>
          </cell>
          <cell r="P2422" t="str">
            <v>Banyuwangi</v>
          </cell>
          <cell r="Q2422" t="str">
            <v>Jl. Dam III No. 9 Patok XI, Tegaldlimo</v>
          </cell>
          <cell r="R2422" t="str">
            <v>Banyuwangi</v>
          </cell>
          <cell r="S2422" t="str">
            <v>H Bwi2</v>
          </cell>
          <cell r="T2422" t="str">
            <v>Hafid</v>
          </cell>
          <cell r="U2422">
            <v>30</v>
          </cell>
        </row>
        <row r="2423">
          <cell r="E2423" t="str">
            <v>D25014721</v>
          </cell>
          <cell r="F2423"/>
          <cell r="G2423">
            <v>4500000000</v>
          </cell>
          <cell r="H2423" t="str">
            <v>Faris</v>
          </cell>
          <cell r="I2423" t="str">
            <v>Syahra</v>
          </cell>
          <cell r="J2423"/>
          <cell r="K2423" t="str">
            <v>KU</v>
          </cell>
          <cell r="L2423" t="str">
            <v>EKAJ01</v>
          </cell>
          <cell r="M2423" t="str">
            <v>Eka Jaya/David</v>
          </cell>
          <cell r="N2423" t="str">
            <v>Agro Tani Mapan, CV</v>
          </cell>
          <cell r="O2423" t="str">
            <v>Dsn. Damtelu RT.001/RW.001 Kedunggebang. Tegal Dlimo, Kab. Banyuwangi</v>
          </cell>
          <cell r="P2423" t="str">
            <v>Banyuwangi</v>
          </cell>
          <cell r="Q2423" t="str">
            <v>Jl. Dam III No. 9 Patok XI, Tegaldlimo</v>
          </cell>
          <cell r="R2423" t="str">
            <v>Banyuwangi</v>
          </cell>
          <cell r="S2423" t="str">
            <v>H Bwi2</v>
          </cell>
          <cell r="T2423" t="str">
            <v>Hafid</v>
          </cell>
          <cell r="U2423">
            <v>30</v>
          </cell>
        </row>
        <row r="2424">
          <cell r="E2424">
            <v>250124</v>
          </cell>
          <cell r="F2424"/>
          <cell r="G2424">
            <v>4500000000</v>
          </cell>
          <cell r="H2424" t="str">
            <v>Faris</v>
          </cell>
          <cell r="I2424" t="str">
            <v>Syahra</v>
          </cell>
          <cell r="J2424"/>
          <cell r="K2424" t="str">
            <v>KU</v>
          </cell>
          <cell r="L2424" t="str">
            <v>EKAJ01</v>
          </cell>
          <cell r="M2424" t="str">
            <v>Eka Jaya/David</v>
          </cell>
          <cell r="N2424" t="str">
            <v>Agro Tani Mapan, CV</v>
          </cell>
          <cell r="O2424" t="str">
            <v>Dsn. Damtelu RT.001/RW.001 Kedunggebang. Tegal Dlimo, Kab. Banyuwangi</v>
          </cell>
          <cell r="P2424" t="str">
            <v>Banyuwangi</v>
          </cell>
          <cell r="Q2424" t="str">
            <v>Jl. Dam III No. 9 Patok XI, Tegaldlimo</v>
          </cell>
          <cell r="R2424" t="str">
            <v>Banyuwangi</v>
          </cell>
          <cell r="S2424" t="str">
            <v>H Bwi2</v>
          </cell>
          <cell r="T2424" t="str">
            <v>Hafid</v>
          </cell>
          <cell r="U2424">
            <v>30</v>
          </cell>
        </row>
        <row r="2425">
          <cell r="E2425" t="str">
            <v>B25012586</v>
          </cell>
          <cell r="F2425"/>
          <cell r="G2425">
            <v>4500000000</v>
          </cell>
          <cell r="H2425" t="str">
            <v>Faris</v>
          </cell>
          <cell r="I2425" t="str">
            <v>Syahra</v>
          </cell>
          <cell r="J2425"/>
          <cell r="K2425" t="str">
            <v>KU</v>
          </cell>
          <cell r="L2425" t="str">
            <v>EKAJ01</v>
          </cell>
          <cell r="M2425" t="str">
            <v>Eka Jaya/David</v>
          </cell>
          <cell r="N2425" t="str">
            <v>Agro Tani Mapan, CV</v>
          </cell>
          <cell r="O2425" t="str">
            <v>Dsn. Damtelu RT.001/RW.001 Kedunggebang. Tegal Dlimo, Kab. Banyuwangi</v>
          </cell>
          <cell r="P2425" t="str">
            <v>Banyuwangi</v>
          </cell>
          <cell r="Q2425" t="str">
            <v>Jl. Dam III No. 9 Patok XI, Tegaldlimo</v>
          </cell>
          <cell r="R2425" t="str">
            <v>Banyuwangi</v>
          </cell>
          <cell r="S2425" t="str">
            <v>H Bwi2</v>
          </cell>
          <cell r="T2425" t="str">
            <v>Hafid</v>
          </cell>
          <cell r="U2425">
            <v>30</v>
          </cell>
        </row>
        <row r="2426">
          <cell r="E2426" t="str">
            <v>B25012587</v>
          </cell>
          <cell r="F2426"/>
          <cell r="G2426">
            <v>4500000000</v>
          </cell>
          <cell r="H2426" t="str">
            <v>Faris</v>
          </cell>
          <cell r="I2426" t="str">
            <v>Syahra</v>
          </cell>
          <cell r="J2426"/>
          <cell r="K2426" t="str">
            <v>KU</v>
          </cell>
          <cell r="L2426" t="str">
            <v>EKAJ01</v>
          </cell>
          <cell r="M2426" t="str">
            <v>Eka Jaya/David</v>
          </cell>
          <cell r="N2426" t="str">
            <v>Agro Tani Mapan, CV</v>
          </cell>
          <cell r="O2426" t="str">
            <v>Dsn. Damtelu RT.001/RW.001 Kedunggebang. Tegal Dlimo, Kab. Banyuwangi</v>
          </cell>
          <cell r="P2426" t="str">
            <v>Banyuwangi</v>
          </cell>
          <cell r="Q2426" t="str">
            <v>Jl. Dam III No. 9 Patok XI, Tegaldlimo</v>
          </cell>
          <cell r="R2426" t="str">
            <v>Banyuwangi</v>
          </cell>
          <cell r="S2426" t="str">
            <v>H Bwi2</v>
          </cell>
          <cell r="T2426" t="str">
            <v>Hafid</v>
          </cell>
          <cell r="U2426">
            <v>30</v>
          </cell>
        </row>
        <row r="2427">
          <cell r="E2427" t="str">
            <v>D25014938</v>
          </cell>
          <cell r="F2427"/>
          <cell r="G2427">
            <v>4500000000</v>
          </cell>
          <cell r="H2427" t="str">
            <v>Faris</v>
          </cell>
          <cell r="I2427" t="str">
            <v>Syahra</v>
          </cell>
          <cell r="J2427"/>
          <cell r="K2427" t="str">
            <v>KU</v>
          </cell>
          <cell r="L2427" t="str">
            <v>EKAJ01</v>
          </cell>
          <cell r="M2427" t="str">
            <v>Eka Jaya/David</v>
          </cell>
          <cell r="N2427" t="str">
            <v>Agro Tani Mapan, CV</v>
          </cell>
          <cell r="O2427" t="str">
            <v>Dsn. Damtelu RT.001/RW.001 Kedunggebang. Tegal Dlimo, Kab. Banyuwangi</v>
          </cell>
          <cell r="P2427" t="str">
            <v>Banyuwangi</v>
          </cell>
          <cell r="Q2427" t="str">
            <v>Jl. Dam III No. 9 Patok XI, Tegaldlimo</v>
          </cell>
          <cell r="R2427" t="str">
            <v>Banyuwangi</v>
          </cell>
          <cell r="S2427" t="str">
            <v>H Bwi2</v>
          </cell>
          <cell r="T2427" t="str">
            <v>Hafid</v>
          </cell>
          <cell r="U2427">
            <v>30</v>
          </cell>
        </row>
        <row r="2428">
          <cell r="E2428" t="str">
            <v>D25014988</v>
          </cell>
          <cell r="F2428"/>
          <cell r="G2428">
            <v>4500000000</v>
          </cell>
          <cell r="H2428" t="str">
            <v>Faris</v>
          </cell>
          <cell r="I2428" t="str">
            <v>Syahra</v>
          </cell>
          <cell r="J2428"/>
          <cell r="K2428" t="str">
            <v>KU</v>
          </cell>
          <cell r="L2428" t="str">
            <v>EKAJ01</v>
          </cell>
          <cell r="M2428" t="str">
            <v>Eka Jaya/David</v>
          </cell>
          <cell r="N2428" t="str">
            <v>Agro Tani Mapan, CV</v>
          </cell>
          <cell r="O2428" t="str">
            <v>Dsn. Damtelu RT.001/RW.001 Kedunggebang. Tegal Dlimo, Kab. Banyuwangi</v>
          </cell>
          <cell r="P2428" t="str">
            <v>Banyuwangi</v>
          </cell>
          <cell r="Q2428" t="str">
            <v>Jl. Dam III No. 9 Patok XI, Tegaldlimo</v>
          </cell>
          <cell r="R2428" t="str">
            <v>Banyuwangi</v>
          </cell>
          <cell r="S2428" t="str">
            <v>H Bwi2</v>
          </cell>
          <cell r="T2428" t="str">
            <v>Hafid</v>
          </cell>
          <cell r="U2428">
            <v>60</v>
          </cell>
        </row>
        <row r="2429">
          <cell r="E2429" t="str">
            <v>D25014989</v>
          </cell>
          <cell r="F2429"/>
          <cell r="G2429">
            <v>4500000000</v>
          </cell>
          <cell r="H2429" t="str">
            <v>Faris</v>
          </cell>
          <cell r="I2429" t="str">
            <v>Syahra</v>
          </cell>
          <cell r="J2429"/>
          <cell r="K2429" t="str">
            <v>KU</v>
          </cell>
          <cell r="L2429" t="str">
            <v>EKAJ01</v>
          </cell>
          <cell r="M2429" t="str">
            <v>Eka Jaya/David</v>
          </cell>
          <cell r="N2429" t="str">
            <v>Agro Tani Mapan, CV</v>
          </cell>
          <cell r="O2429" t="str">
            <v>Dsn. Damtelu RT.001/RW.001 Kedunggebang. Tegal Dlimo, Kab. Banyuwangi</v>
          </cell>
          <cell r="P2429" t="str">
            <v>Banyuwangi</v>
          </cell>
          <cell r="Q2429" t="str">
            <v>Jl. Dam III No. 9 Patok XI, Tegaldlimo</v>
          </cell>
          <cell r="R2429" t="str">
            <v>Banyuwangi</v>
          </cell>
          <cell r="S2429" t="str">
            <v>H Bwi2</v>
          </cell>
          <cell r="T2429" t="str">
            <v>Hafid</v>
          </cell>
          <cell r="U2429">
            <v>60</v>
          </cell>
        </row>
        <row r="2430">
          <cell r="E2430" t="str">
            <v>B25012835</v>
          </cell>
          <cell r="F2430"/>
          <cell r="G2430">
            <v>4500000000</v>
          </cell>
          <cell r="H2430" t="str">
            <v>Faris</v>
          </cell>
          <cell r="I2430" t="str">
            <v>Syahra</v>
          </cell>
          <cell r="J2430"/>
          <cell r="K2430" t="str">
            <v>KU</v>
          </cell>
          <cell r="L2430" t="str">
            <v>EKAJ01</v>
          </cell>
          <cell r="M2430" t="str">
            <v>Eka Jaya/David</v>
          </cell>
          <cell r="N2430" t="str">
            <v>Agro Tani Mapan, CV</v>
          </cell>
          <cell r="O2430" t="str">
            <v>Dsn. Damtelu RT.001/RW.001 Kedunggebang. Tegal Dlimo, Kab. Banyuwangi</v>
          </cell>
          <cell r="P2430" t="str">
            <v>Banyuwangi</v>
          </cell>
          <cell r="Q2430" t="str">
            <v>Jl. Dam III No. 9 Patok XI, Tegaldlimo</v>
          </cell>
          <cell r="R2430" t="str">
            <v>Banyuwangi</v>
          </cell>
          <cell r="S2430" t="str">
            <v>H Bwi2</v>
          </cell>
          <cell r="T2430" t="str">
            <v>Hafid</v>
          </cell>
          <cell r="U2430">
            <v>30</v>
          </cell>
        </row>
        <row r="2431">
          <cell r="E2431" t="str">
            <v>B25012859</v>
          </cell>
          <cell r="F2431"/>
          <cell r="G2431">
            <v>4500000000</v>
          </cell>
          <cell r="H2431" t="str">
            <v>Faris</v>
          </cell>
          <cell r="I2431" t="str">
            <v>Syahra</v>
          </cell>
          <cell r="J2431"/>
          <cell r="K2431" t="str">
            <v>KU</v>
          </cell>
          <cell r="L2431" t="str">
            <v>EKAJ01</v>
          </cell>
          <cell r="M2431" t="str">
            <v>Eka Jaya/David</v>
          </cell>
          <cell r="N2431" t="str">
            <v>Agro Tani Mapan, CV</v>
          </cell>
          <cell r="O2431" t="str">
            <v>Dsn. Damtelu RT.001/RW.001 Kedunggebang. Tegal Dlimo, Kab. Banyuwangi</v>
          </cell>
          <cell r="P2431" t="str">
            <v>Banyuwangi</v>
          </cell>
          <cell r="Q2431" t="str">
            <v>Jl. Dam III No. 9 Patok XI, Tegaldlimo</v>
          </cell>
          <cell r="R2431" t="str">
            <v>Banyuwangi</v>
          </cell>
          <cell r="S2431" t="str">
            <v>H Bwi2</v>
          </cell>
          <cell r="T2431" t="str">
            <v>Hafid</v>
          </cell>
          <cell r="U2431">
            <v>30</v>
          </cell>
        </row>
        <row r="2432">
          <cell r="E2432" t="str">
            <v>D25015115</v>
          </cell>
          <cell r="F2432"/>
          <cell r="G2432">
            <v>4500000000</v>
          </cell>
          <cell r="H2432" t="str">
            <v>Faris</v>
          </cell>
          <cell r="I2432" t="str">
            <v>Syahra</v>
          </cell>
          <cell r="J2432"/>
          <cell r="K2432" t="str">
            <v>KU</v>
          </cell>
          <cell r="L2432" t="str">
            <v>EKAJ01</v>
          </cell>
          <cell r="M2432" t="str">
            <v>Eka Jaya/David</v>
          </cell>
          <cell r="N2432" t="str">
            <v>Agro Tani Mapan, CV</v>
          </cell>
          <cell r="O2432" t="str">
            <v>Dsn. Damtelu RT.001/RW.001 Kedunggebang. Tegal Dlimo, Kab. Banyuwangi</v>
          </cell>
          <cell r="P2432" t="str">
            <v>Banyuwangi</v>
          </cell>
          <cell r="Q2432" t="str">
            <v>Jl. Dam III No. 9 Patok XI, Tegaldlimo</v>
          </cell>
          <cell r="R2432" t="str">
            <v>Banyuwangi</v>
          </cell>
          <cell r="S2432" t="str">
            <v>H Bwi2</v>
          </cell>
          <cell r="T2432" t="str">
            <v>Hafid</v>
          </cell>
          <cell r="U2432">
            <v>30</v>
          </cell>
        </row>
        <row r="2433">
          <cell r="E2433" t="str">
            <v>D25015129</v>
          </cell>
          <cell r="F2433"/>
          <cell r="G2433">
            <v>4500000000</v>
          </cell>
          <cell r="H2433" t="str">
            <v>Faris</v>
          </cell>
          <cell r="I2433" t="str">
            <v>Syahra</v>
          </cell>
          <cell r="J2433"/>
          <cell r="K2433" t="str">
            <v>KU</v>
          </cell>
          <cell r="L2433" t="str">
            <v>EKAJ01</v>
          </cell>
          <cell r="M2433" t="str">
            <v>Eka Jaya/David</v>
          </cell>
          <cell r="N2433" t="str">
            <v>Agro Tani Mapan, CV</v>
          </cell>
          <cell r="O2433" t="str">
            <v>Dsn. Damtelu RT.001/RW.001 Kedunggebang. Tegal Dlimo, Kab. Banyuwangi</v>
          </cell>
          <cell r="P2433" t="str">
            <v>Banyuwangi</v>
          </cell>
          <cell r="Q2433" t="str">
            <v>Jl. Dam III No. 9 Patok XI, Tegaldlimo</v>
          </cell>
          <cell r="R2433" t="str">
            <v>Banyuwangi</v>
          </cell>
          <cell r="S2433" t="str">
            <v>H Bwi2</v>
          </cell>
          <cell r="T2433" t="str">
            <v>Hafid</v>
          </cell>
          <cell r="U2433">
            <v>60</v>
          </cell>
        </row>
        <row r="2434">
          <cell r="E2434">
            <v>250136</v>
          </cell>
          <cell r="F2434"/>
          <cell r="G2434">
            <v>4500000000</v>
          </cell>
          <cell r="H2434" t="str">
            <v>Faris</v>
          </cell>
          <cell r="I2434" t="str">
            <v>Syahra</v>
          </cell>
          <cell r="J2434"/>
          <cell r="K2434" t="str">
            <v>KU</v>
          </cell>
          <cell r="L2434" t="str">
            <v>EKAJ01</v>
          </cell>
          <cell r="M2434" t="str">
            <v>Eka Jaya/David</v>
          </cell>
          <cell r="N2434" t="str">
            <v>Agro Tani Mapan, CV</v>
          </cell>
          <cell r="O2434" t="str">
            <v>Dsn. Damtelu RT.001/RW.001 Kedunggebang. Tegal Dlimo, Kab. Banyuwangi</v>
          </cell>
          <cell r="P2434" t="str">
            <v>Banyuwangi</v>
          </cell>
          <cell r="Q2434" t="str">
            <v>Jl. Dam III No. 9 Patok XI, Tegaldlimo</v>
          </cell>
          <cell r="R2434" t="str">
            <v>Banyuwangi</v>
          </cell>
          <cell r="S2434" t="str">
            <v>H Bwi2</v>
          </cell>
          <cell r="T2434" t="str">
            <v>Hafid</v>
          </cell>
          <cell r="U2434">
            <v>30</v>
          </cell>
        </row>
        <row r="2435">
          <cell r="E2435" t="str">
            <v>B25013169</v>
          </cell>
          <cell r="F2435"/>
          <cell r="G2435">
            <v>4500000000</v>
          </cell>
          <cell r="H2435" t="str">
            <v>Faris</v>
          </cell>
          <cell r="I2435" t="str">
            <v>Syahra</v>
          </cell>
          <cell r="J2435"/>
          <cell r="K2435" t="str">
            <v>KU</v>
          </cell>
          <cell r="L2435" t="str">
            <v>EKAJ01</v>
          </cell>
          <cell r="M2435" t="str">
            <v>Eka Jaya/David</v>
          </cell>
          <cell r="N2435" t="str">
            <v>Agro Tani Mapan, CV</v>
          </cell>
          <cell r="O2435" t="str">
            <v>Dsn. Damtelu RT.001/RW.001 Kedunggebang. Tegal Dlimo, Kab. Banyuwangi</v>
          </cell>
          <cell r="P2435" t="str">
            <v>Banyuwangi</v>
          </cell>
          <cell r="Q2435" t="str">
            <v>Jl. Dam III No. 9 Patok XI, Tegaldlimo</v>
          </cell>
          <cell r="R2435" t="str">
            <v>Banyuwangi</v>
          </cell>
          <cell r="S2435" t="str">
            <v>H Bwi2</v>
          </cell>
          <cell r="T2435" t="str">
            <v>Hafid</v>
          </cell>
          <cell r="U2435">
            <v>30</v>
          </cell>
        </row>
        <row r="2436">
          <cell r="E2436" t="str">
            <v>B25013170</v>
          </cell>
          <cell r="F2436"/>
          <cell r="G2436">
            <v>4500000000</v>
          </cell>
          <cell r="H2436" t="str">
            <v>Faris</v>
          </cell>
          <cell r="I2436" t="str">
            <v>Syahra</v>
          </cell>
          <cell r="J2436"/>
          <cell r="K2436" t="str">
            <v>KU</v>
          </cell>
          <cell r="L2436" t="str">
            <v>EKAJ01</v>
          </cell>
          <cell r="M2436" t="str">
            <v>Eka Jaya/David</v>
          </cell>
          <cell r="N2436" t="str">
            <v>Agro Tani Mapan, CV</v>
          </cell>
          <cell r="O2436" t="str">
            <v>Dsn. Damtelu RT.001/RW.001 Kedunggebang. Tegal Dlimo, Kab. Banyuwangi</v>
          </cell>
          <cell r="P2436" t="str">
            <v>Banyuwangi</v>
          </cell>
          <cell r="Q2436" t="str">
            <v>Jl. Dam III No. 9 Patok XI, Tegaldlimo</v>
          </cell>
          <cell r="R2436" t="str">
            <v>Banyuwangi</v>
          </cell>
          <cell r="S2436" t="str">
            <v>H Bwi2</v>
          </cell>
          <cell r="T2436" t="str">
            <v>Hafid</v>
          </cell>
          <cell r="U2436">
            <v>30</v>
          </cell>
        </row>
        <row r="2437">
          <cell r="E2437" t="str">
            <v>B25013195</v>
          </cell>
          <cell r="F2437"/>
          <cell r="G2437">
            <v>4500000000</v>
          </cell>
          <cell r="H2437" t="str">
            <v>Faris</v>
          </cell>
          <cell r="I2437" t="str">
            <v>Syahra</v>
          </cell>
          <cell r="J2437"/>
          <cell r="K2437" t="str">
            <v>KU</v>
          </cell>
          <cell r="L2437" t="str">
            <v>EKAJ01</v>
          </cell>
          <cell r="M2437" t="str">
            <v>Eka Jaya/David</v>
          </cell>
          <cell r="N2437" t="str">
            <v>Agro Tani Mapan, CV</v>
          </cell>
          <cell r="O2437" t="str">
            <v>Dsn. Damtelu RT.001/RW.001 Kedunggebang. Tegal Dlimo, Kab. Banyuwangi</v>
          </cell>
          <cell r="P2437" t="str">
            <v>Banyuwangi</v>
          </cell>
          <cell r="Q2437" t="str">
            <v>Jl. Dam III No. 9 Patok XI, Tegaldlimo</v>
          </cell>
          <cell r="R2437" t="str">
            <v>Banyuwangi</v>
          </cell>
          <cell r="S2437" t="str">
            <v>H Bwi2</v>
          </cell>
          <cell r="T2437" t="str">
            <v>Hafid</v>
          </cell>
          <cell r="U2437">
            <v>60</v>
          </cell>
        </row>
        <row r="2438">
          <cell r="E2438" t="str">
            <v>D25015446</v>
          </cell>
          <cell r="F2438"/>
          <cell r="G2438">
            <v>4500000000</v>
          </cell>
          <cell r="H2438" t="str">
            <v>Faris</v>
          </cell>
          <cell r="I2438" t="str">
            <v>Syahra</v>
          </cell>
          <cell r="J2438"/>
          <cell r="K2438" t="str">
            <v>KU</v>
          </cell>
          <cell r="L2438" t="str">
            <v>EKAJ01</v>
          </cell>
          <cell r="M2438" t="str">
            <v>Eka Jaya/David</v>
          </cell>
          <cell r="N2438" t="str">
            <v>Agro Tani Mapan, CV</v>
          </cell>
          <cell r="O2438" t="str">
            <v>Dsn. Damtelu RT.001/RW.001 Kedunggebang. Tegal Dlimo, Kab. Banyuwangi</v>
          </cell>
          <cell r="P2438" t="str">
            <v>Banyuwangi</v>
          </cell>
          <cell r="Q2438" t="str">
            <v>Jl. Dam III No. 9 Patok XI, Tegaldlimo</v>
          </cell>
          <cell r="R2438" t="str">
            <v>Banyuwangi</v>
          </cell>
          <cell r="S2438" t="str">
            <v>H Bwi2</v>
          </cell>
          <cell r="T2438" t="str">
            <v>Hafid</v>
          </cell>
          <cell r="U2438">
            <v>30</v>
          </cell>
        </row>
        <row r="2439">
          <cell r="E2439" t="str">
            <v>B25013291</v>
          </cell>
          <cell r="F2439"/>
          <cell r="G2439">
            <v>4500000000</v>
          </cell>
          <cell r="H2439" t="str">
            <v>Faris</v>
          </cell>
          <cell r="I2439" t="str">
            <v>Syahra</v>
          </cell>
          <cell r="J2439"/>
          <cell r="K2439" t="str">
            <v>KU</v>
          </cell>
          <cell r="L2439" t="str">
            <v>EKAJ01</v>
          </cell>
          <cell r="M2439" t="str">
            <v>Eka Jaya/David</v>
          </cell>
          <cell r="N2439" t="str">
            <v>Agro Tani Mapan, CV</v>
          </cell>
          <cell r="O2439" t="str">
            <v>Dsn. Damtelu RT.001/RW.001 Kedunggebang. Tegal Dlimo, Kab. Banyuwangi</v>
          </cell>
          <cell r="P2439" t="str">
            <v>Banyuwangi</v>
          </cell>
          <cell r="Q2439" t="str">
            <v>Jl. Dam III No. 9 Patok XI, Tegaldlimo</v>
          </cell>
          <cell r="R2439" t="str">
            <v>Banyuwangi</v>
          </cell>
          <cell r="S2439" t="str">
            <v>H Bwi2</v>
          </cell>
          <cell r="T2439" t="str">
            <v>Hafid</v>
          </cell>
          <cell r="U2439">
            <v>30</v>
          </cell>
        </row>
        <row r="2440">
          <cell r="E2440" t="str">
            <v>B25013310</v>
          </cell>
          <cell r="F2440"/>
          <cell r="G2440">
            <v>4500000000</v>
          </cell>
          <cell r="H2440" t="str">
            <v>Faris</v>
          </cell>
          <cell r="I2440" t="str">
            <v>Syahra</v>
          </cell>
          <cell r="J2440"/>
          <cell r="K2440" t="str">
            <v>KU</v>
          </cell>
          <cell r="L2440" t="str">
            <v>EKAJ01</v>
          </cell>
          <cell r="M2440" t="str">
            <v>Eka Jaya/David</v>
          </cell>
          <cell r="N2440" t="str">
            <v>Agro Tani Mapan, CV</v>
          </cell>
          <cell r="O2440" t="str">
            <v>Dsn. Damtelu RT.001/RW.001 Kedunggebang. Tegal Dlimo, Kab. Banyuwangi</v>
          </cell>
          <cell r="P2440" t="str">
            <v>Banyuwangi</v>
          </cell>
          <cell r="Q2440" t="str">
            <v>Jl. Dam III No. 9 Patok XI, Tegaldlimo</v>
          </cell>
          <cell r="R2440" t="str">
            <v>Banyuwangi</v>
          </cell>
          <cell r="S2440" t="str">
            <v>H Bwi2</v>
          </cell>
          <cell r="T2440" t="str">
            <v>Hafid</v>
          </cell>
          <cell r="U2440">
            <v>0</v>
          </cell>
        </row>
        <row r="2441">
          <cell r="E2441" t="str">
            <v>D25015555</v>
          </cell>
          <cell r="F2441"/>
          <cell r="G2441">
            <v>4500000000</v>
          </cell>
          <cell r="H2441" t="str">
            <v>Faris</v>
          </cell>
          <cell r="I2441" t="str">
            <v>Syahra</v>
          </cell>
          <cell r="J2441"/>
          <cell r="K2441" t="str">
            <v>KU</v>
          </cell>
          <cell r="L2441" t="str">
            <v>EKAJ01</v>
          </cell>
          <cell r="M2441" t="str">
            <v>Eka Jaya/David</v>
          </cell>
          <cell r="N2441" t="str">
            <v>Agro Tani Mapan, CV</v>
          </cell>
          <cell r="O2441" t="str">
            <v>Dsn. Damtelu RT.001/RW.001 Kedunggebang. Tegal Dlimo, Kab. Banyuwangi</v>
          </cell>
          <cell r="P2441" t="str">
            <v>Banyuwangi</v>
          </cell>
          <cell r="Q2441" t="str">
            <v>Jl. Dam III No. 9 Patok XI, Tegaldlimo</v>
          </cell>
          <cell r="R2441" t="str">
            <v>Banyuwangi</v>
          </cell>
          <cell r="S2441" t="str">
            <v>H Bwi2</v>
          </cell>
          <cell r="T2441" t="str">
            <v>Hafid</v>
          </cell>
          <cell r="U2441">
            <v>30</v>
          </cell>
        </row>
        <row r="2442">
          <cell r="E2442" t="str">
            <v>D25015559</v>
          </cell>
          <cell r="F2442"/>
          <cell r="G2442">
            <v>4500000000</v>
          </cell>
          <cell r="H2442" t="str">
            <v>Faris</v>
          </cell>
          <cell r="I2442" t="str">
            <v>Syahra</v>
          </cell>
          <cell r="J2442"/>
          <cell r="K2442" t="str">
            <v>KU</v>
          </cell>
          <cell r="L2442" t="str">
            <v>EKAJ01</v>
          </cell>
          <cell r="M2442" t="str">
            <v>Eka Jaya/David</v>
          </cell>
          <cell r="N2442" t="str">
            <v>Agro Tani Mapan, CV</v>
          </cell>
          <cell r="O2442" t="str">
            <v>Dsn. Damtelu RT.001/RW.001 Kedunggebang. Tegal Dlimo, Kab. Banyuwangi</v>
          </cell>
          <cell r="P2442" t="str">
            <v>Banyuwangi</v>
          </cell>
          <cell r="Q2442" t="str">
            <v>Jl. Dam III No. 9 Patok XI, Tegaldlimo</v>
          </cell>
          <cell r="R2442" t="str">
            <v>Banyuwangi</v>
          </cell>
          <cell r="S2442" t="str">
            <v>H Bwi2</v>
          </cell>
          <cell r="T2442" t="str">
            <v>Hafid</v>
          </cell>
          <cell r="U2442">
            <v>0</v>
          </cell>
        </row>
        <row r="2443">
          <cell r="E2443" t="str">
            <v>B25013373</v>
          </cell>
          <cell r="F2443"/>
          <cell r="G2443">
            <v>4500000000</v>
          </cell>
          <cell r="H2443" t="str">
            <v>Faris</v>
          </cell>
          <cell r="I2443" t="str">
            <v>Syahra</v>
          </cell>
          <cell r="J2443"/>
          <cell r="K2443" t="str">
            <v>KU</v>
          </cell>
          <cell r="L2443" t="str">
            <v>EKAJ01</v>
          </cell>
          <cell r="M2443" t="str">
            <v>Eka Jaya/David</v>
          </cell>
          <cell r="N2443" t="str">
            <v>Agro Tani Mapan, CV</v>
          </cell>
          <cell r="O2443" t="str">
            <v>Dsn. Damtelu RT.001/RW.001 Kedunggebang. Tegal Dlimo, Kab. Banyuwangi</v>
          </cell>
          <cell r="P2443" t="str">
            <v>Banyuwangi</v>
          </cell>
          <cell r="Q2443" t="str">
            <v>Jl. Dam III No. 9 Patok XI, Tegaldlimo</v>
          </cell>
          <cell r="R2443" t="str">
            <v>Banyuwangi</v>
          </cell>
          <cell r="S2443" t="str">
            <v>H Bwi2</v>
          </cell>
          <cell r="T2443" t="str">
            <v>Hafid</v>
          </cell>
          <cell r="U2443">
            <v>0</v>
          </cell>
        </row>
        <row r="2444">
          <cell r="E2444" t="str">
            <v>B25013373</v>
          </cell>
          <cell r="F2444"/>
          <cell r="G2444">
            <v>4500000000</v>
          </cell>
          <cell r="H2444" t="str">
            <v>Faris</v>
          </cell>
          <cell r="I2444" t="str">
            <v>Syahra</v>
          </cell>
          <cell r="J2444"/>
          <cell r="K2444" t="str">
            <v>KU</v>
          </cell>
          <cell r="L2444" t="str">
            <v>EKAJ01</v>
          </cell>
          <cell r="M2444" t="str">
            <v>Eka Jaya/David</v>
          </cell>
          <cell r="N2444" t="str">
            <v>Agro Tani Mapan, CV</v>
          </cell>
          <cell r="O2444" t="str">
            <v>Dsn. Damtelu RT.001/RW.001 Kedunggebang. Tegal Dlimo, Kab. Banyuwangi</v>
          </cell>
          <cell r="P2444" t="str">
            <v>Banyuwangi</v>
          </cell>
          <cell r="Q2444" t="str">
            <v>Jl. Dam III No. 9 Patok XI, Tegaldlimo</v>
          </cell>
          <cell r="R2444" t="str">
            <v>Banyuwangi</v>
          </cell>
          <cell r="S2444" t="str">
            <v>H Bwi2</v>
          </cell>
          <cell r="T2444" t="str">
            <v>Hafid</v>
          </cell>
          <cell r="U2444">
            <v>0</v>
          </cell>
        </row>
        <row r="2445">
          <cell r="E2445" t="str">
            <v>B25013374</v>
          </cell>
          <cell r="F2445"/>
          <cell r="G2445">
            <v>4500000000</v>
          </cell>
          <cell r="H2445" t="str">
            <v>Faris</v>
          </cell>
          <cell r="I2445" t="str">
            <v>Syahra</v>
          </cell>
          <cell r="J2445"/>
          <cell r="K2445" t="str">
            <v>KU</v>
          </cell>
          <cell r="L2445" t="str">
            <v>EKAJ01</v>
          </cell>
          <cell r="M2445" t="str">
            <v>Eka Jaya/David</v>
          </cell>
          <cell r="N2445" t="str">
            <v>Agro Tani Mapan, CV</v>
          </cell>
          <cell r="O2445" t="str">
            <v>Dsn. Damtelu RT.001/RW.001 Kedunggebang. Tegal Dlimo, Kab. Banyuwangi</v>
          </cell>
          <cell r="P2445" t="str">
            <v>Banyuwangi</v>
          </cell>
          <cell r="Q2445" t="str">
            <v>Jl. Dam III No. 9 Patok XI, Tegaldlimo</v>
          </cell>
          <cell r="R2445" t="str">
            <v>Banyuwangi</v>
          </cell>
          <cell r="S2445" t="str">
            <v>H Bwi2</v>
          </cell>
          <cell r="T2445" t="str">
            <v>Hafid</v>
          </cell>
          <cell r="U2445">
            <v>0</v>
          </cell>
        </row>
        <row r="2446">
          <cell r="E2446" t="str">
            <v>B25013445</v>
          </cell>
          <cell r="F2446"/>
          <cell r="G2446">
            <v>4500000000</v>
          </cell>
          <cell r="H2446" t="str">
            <v>Faris</v>
          </cell>
          <cell r="I2446" t="str">
            <v>Syahra</v>
          </cell>
          <cell r="J2446"/>
          <cell r="K2446" t="str">
            <v>KU</v>
          </cell>
          <cell r="L2446" t="str">
            <v>EKAJ01</v>
          </cell>
          <cell r="M2446" t="str">
            <v>Eka Jaya/David</v>
          </cell>
          <cell r="N2446" t="str">
            <v>Agro Tani Mapan, CV</v>
          </cell>
          <cell r="O2446" t="str">
            <v>Dsn. Damtelu RT.001/RW.001 Kedunggebang. Tegal Dlimo, Kab. Banyuwangi</v>
          </cell>
          <cell r="P2446" t="str">
            <v>Banyuwangi</v>
          </cell>
          <cell r="Q2446" t="str">
            <v>Jl. Dam III No. 9 Patok XI, Tegaldlimo</v>
          </cell>
          <cell r="R2446" t="str">
            <v>Banyuwangi</v>
          </cell>
          <cell r="S2446" t="str">
            <v>H Bwi2</v>
          </cell>
          <cell r="T2446" t="str">
            <v>Hafid</v>
          </cell>
          <cell r="U2446">
            <v>30</v>
          </cell>
        </row>
        <row r="2447">
          <cell r="E2447" t="str">
            <v>B25013516</v>
          </cell>
          <cell r="F2447"/>
          <cell r="G2447">
            <v>4500000000</v>
          </cell>
          <cell r="H2447" t="str">
            <v>Faris</v>
          </cell>
          <cell r="I2447" t="str">
            <v>Syahra</v>
          </cell>
          <cell r="J2447"/>
          <cell r="K2447" t="str">
            <v>KU</v>
          </cell>
          <cell r="L2447" t="str">
            <v>EKAJ01</v>
          </cell>
          <cell r="M2447" t="str">
            <v>Eka Jaya/David</v>
          </cell>
          <cell r="N2447" t="str">
            <v>Agro Tani Mapan, CV</v>
          </cell>
          <cell r="O2447" t="str">
            <v>Dsn. Damtelu RT.001/RW.001 Kedunggebang. Tegal Dlimo, Kab. Banyuwangi</v>
          </cell>
          <cell r="P2447" t="str">
            <v>Banyuwangi</v>
          </cell>
          <cell r="Q2447" t="str">
            <v>Jl. Dam III No. 9 Patok XI, Tegaldlimo</v>
          </cell>
          <cell r="R2447" t="str">
            <v>Banyuwangi</v>
          </cell>
          <cell r="S2447" t="str">
            <v>H Bwi2</v>
          </cell>
          <cell r="T2447" t="str">
            <v>Hafid</v>
          </cell>
          <cell r="U2447">
            <v>30</v>
          </cell>
        </row>
        <row r="2448">
          <cell r="E2448" t="str">
            <v>B25013613</v>
          </cell>
          <cell r="F2448"/>
          <cell r="G2448">
            <v>4500000000</v>
          </cell>
          <cell r="H2448" t="str">
            <v>Faris</v>
          </cell>
          <cell r="I2448" t="str">
            <v>Syahra</v>
          </cell>
          <cell r="J2448"/>
          <cell r="K2448" t="str">
            <v>KU</v>
          </cell>
          <cell r="L2448" t="str">
            <v>EKAJ01</v>
          </cell>
          <cell r="M2448" t="str">
            <v>Eka Jaya/David</v>
          </cell>
          <cell r="N2448" t="str">
            <v>Agro Tani Mapan, CV</v>
          </cell>
          <cell r="O2448" t="str">
            <v>Dsn. Damtelu RT.001/RW.001 Kedunggebang. Tegal Dlimo, Kab. Banyuwangi</v>
          </cell>
          <cell r="P2448" t="str">
            <v>Banyuwangi</v>
          </cell>
          <cell r="Q2448" t="str">
            <v>Jl. Dam III No. 9 Patok XI, Tegaldlimo</v>
          </cell>
          <cell r="R2448" t="str">
            <v>Banyuwangi</v>
          </cell>
          <cell r="S2448" t="str">
            <v>H Bwi2</v>
          </cell>
          <cell r="T2448" t="str">
            <v>Hafid</v>
          </cell>
          <cell r="U2448">
            <v>30</v>
          </cell>
        </row>
        <row r="2449">
          <cell r="E2449" t="str">
            <v>D25015892</v>
          </cell>
          <cell r="F2449"/>
          <cell r="G2449">
            <v>4500000000</v>
          </cell>
          <cell r="H2449" t="str">
            <v>Faris</v>
          </cell>
          <cell r="I2449" t="str">
            <v>Syahra</v>
          </cell>
          <cell r="J2449"/>
          <cell r="K2449" t="str">
            <v>KU</v>
          </cell>
          <cell r="L2449" t="str">
            <v>EKAJ01</v>
          </cell>
          <cell r="M2449" t="str">
            <v>Eka Jaya/David</v>
          </cell>
          <cell r="N2449" t="str">
            <v>Agro Tani Mapan, CV</v>
          </cell>
          <cell r="O2449" t="str">
            <v>Dsn. Damtelu RT.001/RW.001 Kedunggebang. Tegal Dlimo, Kab. Banyuwangi</v>
          </cell>
          <cell r="P2449" t="str">
            <v>Banyuwangi</v>
          </cell>
          <cell r="Q2449" t="str">
            <v>Jl. Dam III No. 9 Patok XI, Tegaldlimo</v>
          </cell>
          <cell r="R2449" t="str">
            <v>Banyuwangi</v>
          </cell>
          <cell r="S2449" t="str">
            <v>H Bwi2</v>
          </cell>
          <cell r="T2449" t="str">
            <v>Hafid</v>
          </cell>
          <cell r="U2449">
            <v>30</v>
          </cell>
        </row>
        <row r="2450">
          <cell r="E2450" t="str">
            <v>B25013744</v>
          </cell>
          <cell r="F2450"/>
          <cell r="G2450">
            <v>4500000000</v>
          </cell>
          <cell r="H2450" t="str">
            <v>Faris</v>
          </cell>
          <cell r="I2450" t="str">
            <v>Syahra</v>
          </cell>
          <cell r="J2450"/>
          <cell r="K2450" t="str">
            <v>KU</v>
          </cell>
          <cell r="L2450" t="str">
            <v>EKAJ01</v>
          </cell>
          <cell r="M2450" t="str">
            <v>Eka Jaya/David</v>
          </cell>
          <cell r="N2450" t="str">
            <v>Agro Tani Mapan, CV</v>
          </cell>
          <cell r="O2450" t="str">
            <v>Dsn. Damtelu RT.001/RW.001 Kedunggebang. Tegal Dlimo, Kab. Banyuwangi</v>
          </cell>
          <cell r="P2450" t="str">
            <v>Banyuwangi</v>
          </cell>
          <cell r="Q2450" t="str">
            <v>Jl. Dam III No. 9 Patok XI, Tegaldlimo</v>
          </cell>
          <cell r="R2450" t="str">
            <v>Banyuwangi</v>
          </cell>
          <cell r="S2450" t="str">
            <v>H Bwi2</v>
          </cell>
          <cell r="T2450" t="str">
            <v>Hafid</v>
          </cell>
          <cell r="U2450">
            <v>60</v>
          </cell>
        </row>
        <row r="2451">
          <cell r="E2451" t="str">
            <v>D25016036</v>
          </cell>
          <cell r="F2451"/>
          <cell r="G2451">
            <v>4500000000</v>
          </cell>
          <cell r="H2451" t="str">
            <v>Faris</v>
          </cell>
          <cell r="I2451" t="str">
            <v>Syahra</v>
          </cell>
          <cell r="J2451"/>
          <cell r="K2451" t="str">
            <v>KU</v>
          </cell>
          <cell r="L2451" t="str">
            <v>EKAJ01</v>
          </cell>
          <cell r="M2451" t="str">
            <v>Eka Jaya/David</v>
          </cell>
          <cell r="N2451" t="str">
            <v>Agro Tani Mapan, CV</v>
          </cell>
          <cell r="O2451" t="str">
            <v>Dsn. Damtelu RT.001/RW.001 Kedunggebang. Tegal Dlimo, Kab. Banyuwangi</v>
          </cell>
          <cell r="P2451" t="str">
            <v>Banyuwangi</v>
          </cell>
          <cell r="Q2451" t="str">
            <v>Jl. Dam III No. 9 Patok XI, Tegaldlimo</v>
          </cell>
          <cell r="R2451" t="str">
            <v>Banyuwangi</v>
          </cell>
          <cell r="S2451" t="str">
            <v>H Bwi2</v>
          </cell>
          <cell r="T2451" t="str">
            <v>Hafid</v>
          </cell>
          <cell r="U2451">
            <v>30</v>
          </cell>
        </row>
        <row r="2452">
          <cell r="E2452" t="str">
            <v>B25013818</v>
          </cell>
          <cell r="F2452"/>
          <cell r="G2452">
            <v>4500000000</v>
          </cell>
          <cell r="H2452" t="str">
            <v>Faris</v>
          </cell>
          <cell r="I2452" t="str">
            <v>Syahra</v>
          </cell>
          <cell r="J2452"/>
          <cell r="K2452" t="str">
            <v>KU</v>
          </cell>
          <cell r="L2452" t="str">
            <v>EKAJ01</v>
          </cell>
          <cell r="M2452" t="str">
            <v>Eka Jaya/David</v>
          </cell>
          <cell r="N2452" t="str">
            <v>Agro Tani Mapan, CV</v>
          </cell>
          <cell r="O2452" t="str">
            <v>Dsn. Damtelu RT.001/RW.001 Kedunggebang. Tegal Dlimo, Kab. Banyuwangi</v>
          </cell>
          <cell r="P2452" t="str">
            <v>Banyuwangi</v>
          </cell>
          <cell r="Q2452" t="str">
            <v>Jl. Dam III No. 9 Patok XI, Tegaldlimo</v>
          </cell>
          <cell r="R2452" t="str">
            <v>Banyuwangi</v>
          </cell>
          <cell r="S2452" t="str">
            <v>H Bwi2</v>
          </cell>
          <cell r="T2452" t="str">
            <v>Hafid</v>
          </cell>
          <cell r="U2452">
            <v>60</v>
          </cell>
        </row>
        <row r="2453">
          <cell r="E2453" t="str">
            <v>D25016128</v>
          </cell>
          <cell r="F2453"/>
          <cell r="G2453">
            <v>4500000000</v>
          </cell>
          <cell r="H2453" t="str">
            <v>Faris</v>
          </cell>
          <cell r="I2453" t="str">
            <v>Syahra</v>
          </cell>
          <cell r="J2453"/>
          <cell r="K2453" t="str">
            <v>KU</v>
          </cell>
          <cell r="L2453" t="str">
            <v>EKAJ01</v>
          </cell>
          <cell r="M2453" t="str">
            <v>Eka Jaya/David</v>
          </cell>
          <cell r="N2453" t="str">
            <v>Agro Tani Mapan, CV</v>
          </cell>
          <cell r="O2453" t="str">
            <v>Dsn. Damtelu RT.001/RW.001 Kedunggebang. Tegal Dlimo, Kab. Banyuwangi</v>
          </cell>
          <cell r="P2453" t="str">
            <v>Banyuwangi</v>
          </cell>
          <cell r="Q2453" t="str">
            <v>Jl. Dam III No. 9 Patok XI, Tegaldlimo</v>
          </cell>
          <cell r="R2453" t="str">
            <v>Banyuwangi</v>
          </cell>
          <cell r="S2453" t="str">
            <v>H Bwi2</v>
          </cell>
          <cell r="T2453" t="str">
            <v>Hafid</v>
          </cell>
          <cell r="U2453">
            <v>30</v>
          </cell>
        </row>
        <row r="2454">
          <cell r="E2454" t="str">
            <v>D25016162</v>
          </cell>
          <cell r="F2454"/>
          <cell r="G2454">
            <v>4500000000</v>
          </cell>
          <cell r="H2454" t="str">
            <v>Faris</v>
          </cell>
          <cell r="I2454" t="str">
            <v>Syahra</v>
          </cell>
          <cell r="J2454"/>
          <cell r="K2454" t="str">
            <v>KU</v>
          </cell>
          <cell r="L2454" t="str">
            <v>EKAJ01</v>
          </cell>
          <cell r="M2454" t="str">
            <v>Eka Jaya/David</v>
          </cell>
          <cell r="N2454" t="str">
            <v>Agro Tani Mapan, CV</v>
          </cell>
          <cell r="O2454" t="str">
            <v>Dsn. Damtelu RT.001/RW.001 Kedunggebang. Tegal Dlimo, Kab. Banyuwangi</v>
          </cell>
          <cell r="P2454" t="str">
            <v>Banyuwangi</v>
          </cell>
          <cell r="Q2454" t="str">
            <v>Jl. Dam III No. 9 Patok XI, Tegaldlimo</v>
          </cell>
          <cell r="R2454" t="str">
            <v>Banyuwangi</v>
          </cell>
          <cell r="S2454" t="str">
            <v>H Bwi2</v>
          </cell>
          <cell r="T2454" t="str">
            <v>Hafid</v>
          </cell>
          <cell r="U2454">
            <v>30</v>
          </cell>
        </row>
        <row r="2455">
          <cell r="E2455" t="str">
            <v>B25013865</v>
          </cell>
          <cell r="F2455"/>
          <cell r="G2455">
            <v>4500000000</v>
          </cell>
          <cell r="H2455" t="str">
            <v>Faris</v>
          </cell>
          <cell r="I2455" t="str">
            <v>Syahra</v>
          </cell>
          <cell r="J2455"/>
          <cell r="K2455" t="str">
            <v>KU</v>
          </cell>
          <cell r="L2455" t="str">
            <v>EKAJ01</v>
          </cell>
          <cell r="M2455" t="str">
            <v>Eka Jaya/David</v>
          </cell>
          <cell r="N2455" t="str">
            <v>Agro Tani Mapan, CV</v>
          </cell>
          <cell r="O2455" t="str">
            <v>Dsn. Damtelu RT.001/RW.001 Kedunggebang. Tegal Dlimo, Kab. Banyuwangi</v>
          </cell>
          <cell r="P2455" t="str">
            <v>Banyuwangi</v>
          </cell>
          <cell r="Q2455" t="str">
            <v>Jl. Dam III No. 9 Patok XI, Tegaldlimo</v>
          </cell>
          <cell r="R2455" t="str">
            <v>Banyuwangi</v>
          </cell>
          <cell r="S2455" t="str">
            <v>H Bwi2</v>
          </cell>
          <cell r="T2455" t="str">
            <v>Hafid</v>
          </cell>
          <cell r="U2455">
            <v>60</v>
          </cell>
        </row>
        <row r="2456">
          <cell r="E2456" t="str">
            <v>B25013936</v>
          </cell>
          <cell r="F2456"/>
          <cell r="G2456">
            <v>4500000000</v>
          </cell>
          <cell r="H2456" t="str">
            <v>Faris</v>
          </cell>
          <cell r="I2456" t="str">
            <v>Syahra</v>
          </cell>
          <cell r="J2456"/>
          <cell r="K2456" t="str">
            <v>KU</v>
          </cell>
          <cell r="L2456" t="str">
            <v>EKAJ01</v>
          </cell>
          <cell r="M2456" t="str">
            <v>Eka Jaya/David</v>
          </cell>
          <cell r="N2456" t="str">
            <v>Agro Tani Mapan, CV</v>
          </cell>
          <cell r="O2456" t="str">
            <v>Dsn. Damtelu RT.001/RW.001 Kedunggebang. Tegal Dlimo, Kab. Banyuwangi</v>
          </cell>
          <cell r="P2456" t="str">
            <v>Banyuwangi</v>
          </cell>
          <cell r="Q2456" t="str">
            <v>Jl. Dam III No. 9 Patok XI, Tegaldlimo</v>
          </cell>
          <cell r="R2456" t="str">
            <v>Banyuwangi</v>
          </cell>
          <cell r="S2456" t="str">
            <v>H Bwi2</v>
          </cell>
          <cell r="T2456" t="str">
            <v>Hafid</v>
          </cell>
          <cell r="U2456">
            <v>30</v>
          </cell>
        </row>
        <row r="2457">
          <cell r="E2457" t="str">
            <v>D25016225</v>
          </cell>
          <cell r="F2457"/>
          <cell r="G2457">
            <v>4500000000</v>
          </cell>
          <cell r="H2457" t="str">
            <v>Faris</v>
          </cell>
          <cell r="I2457" t="str">
            <v>Syahra</v>
          </cell>
          <cell r="J2457"/>
          <cell r="K2457" t="str">
            <v>KU</v>
          </cell>
          <cell r="L2457" t="str">
            <v>EKAJ01</v>
          </cell>
          <cell r="M2457" t="str">
            <v>Eka Jaya/David</v>
          </cell>
          <cell r="N2457" t="str">
            <v>Agro Tani Mapan, CV</v>
          </cell>
          <cell r="O2457" t="str">
            <v>Dsn. Damtelu RT.001/RW.001 Kedunggebang. Tegal Dlimo, Kab. Banyuwangi</v>
          </cell>
          <cell r="P2457" t="str">
            <v>Banyuwangi</v>
          </cell>
          <cell r="Q2457" t="str">
            <v>Jl. Dam III No. 9 Patok XI, Tegaldlimo</v>
          </cell>
          <cell r="R2457" t="str">
            <v>Banyuwangi</v>
          </cell>
          <cell r="S2457" t="str">
            <v>H Bwi2</v>
          </cell>
          <cell r="T2457" t="str">
            <v>Hafid</v>
          </cell>
          <cell r="U2457">
            <v>30</v>
          </cell>
        </row>
        <row r="2458">
          <cell r="E2458" t="str">
            <v>D25016268</v>
          </cell>
          <cell r="F2458"/>
          <cell r="G2458">
            <v>4500000000</v>
          </cell>
          <cell r="H2458" t="str">
            <v>Faris</v>
          </cell>
          <cell r="I2458" t="str">
            <v>Syahra</v>
          </cell>
          <cell r="J2458"/>
          <cell r="K2458" t="str">
            <v>KU</v>
          </cell>
          <cell r="L2458" t="str">
            <v>EKAJ01</v>
          </cell>
          <cell r="M2458" t="str">
            <v>Eka Jaya/David</v>
          </cell>
          <cell r="N2458" t="str">
            <v>Agro Tani Mapan, CV</v>
          </cell>
          <cell r="O2458" t="str">
            <v>Dsn. Damtelu RT.001/RW.001 Kedunggebang. Tegal Dlimo, Kab. Banyuwangi</v>
          </cell>
          <cell r="P2458" t="str">
            <v>Banyuwangi</v>
          </cell>
          <cell r="Q2458" t="str">
            <v>Jl. Dam III No. 9 Patok XI, Tegaldlimo</v>
          </cell>
          <cell r="R2458" t="str">
            <v>Banyuwangi</v>
          </cell>
          <cell r="S2458" t="str">
            <v>H Bwi2</v>
          </cell>
          <cell r="T2458" t="str">
            <v>Hafid</v>
          </cell>
          <cell r="U2458">
            <v>30</v>
          </cell>
        </row>
        <row r="2459">
          <cell r="E2459" t="str">
            <v>D25016269</v>
          </cell>
          <cell r="F2459"/>
          <cell r="G2459">
            <v>4500000000</v>
          </cell>
          <cell r="H2459" t="str">
            <v>Faris</v>
          </cell>
          <cell r="I2459" t="str">
            <v>Syahra</v>
          </cell>
          <cell r="J2459"/>
          <cell r="K2459" t="str">
            <v>KU</v>
          </cell>
          <cell r="L2459" t="str">
            <v>EKAJ01</v>
          </cell>
          <cell r="M2459" t="str">
            <v>Eka Jaya/David</v>
          </cell>
          <cell r="N2459" t="str">
            <v>Agro Tani Mapan, CV</v>
          </cell>
          <cell r="O2459" t="str">
            <v>Dsn. Damtelu RT.001/RW.001 Kedunggebang. Tegal Dlimo, Kab. Banyuwangi</v>
          </cell>
          <cell r="P2459" t="str">
            <v>Banyuwangi</v>
          </cell>
          <cell r="Q2459" t="str">
            <v>Jl. Dam III No. 9 Patok XI, Tegaldlimo</v>
          </cell>
          <cell r="R2459" t="str">
            <v>Banyuwangi</v>
          </cell>
          <cell r="S2459" t="str">
            <v>H Bwi2</v>
          </cell>
          <cell r="T2459" t="str">
            <v>Hafid</v>
          </cell>
          <cell r="U2459">
            <v>30</v>
          </cell>
        </row>
        <row r="2460">
          <cell r="E2460" t="str">
            <v>D25016274</v>
          </cell>
          <cell r="F2460"/>
          <cell r="G2460">
            <v>4500000000</v>
          </cell>
          <cell r="H2460" t="str">
            <v>Faris</v>
          </cell>
          <cell r="I2460" t="str">
            <v>Syahra</v>
          </cell>
          <cell r="J2460"/>
          <cell r="K2460" t="str">
            <v>KU</v>
          </cell>
          <cell r="L2460" t="str">
            <v>EKAJ01</v>
          </cell>
          <cell r="M2460" t="str">
            <v>Eka Jaya/David</v>
          </cell>
          <cell r="N2460" t="str">
            <v>Agro Tani Mapan, CV</v>
          </cell>
          <cell r="O2460" t="str">
            <v>Dsn. Damtelu RT.001/RW.001 Kedunggebang. Tegal Dlimo, Kab. Banyuwangi</v>
          </cell>
          <cell r="P2460" t="str">
            <v>Banyuwangi</v>
          </cell>
          <cell r="Q2460" t="str">
            <v>Jl. Dam III No. 9 Patok XI, Tegaldlimo</v>
          </cell>
          <cell r="R2460" t="str">
            <v>Banyuwangi</v>
          </cell>
          <cell r="S2460" t="str">
            <v>H Bwi2</v>
          </cell>
          <cell r="T2460" t="str">
            <v>Hafid</v>
          </cell>
          <cell r="U2460">
            <v>30</v>
          </cell>
        </row>
        <row r="2461">
          <cell r="E2461">
            <v>250153</v>
          </cell>
          <cell r="F2461"/>
          <cell r="G2461">
            <v>4500000000</v>
          </cell>
          <cell r="H2461" t="str">
            <v>Faris</v>
          </cell>
          <cell r="I2461" t="str">
            <v>Syahra</v>
          </cell>
          <cell r="J2461"/>
          <cell r="K2461" t="str">
            <v>KU</v>
          </cell>
          <cell r="L2461" t="str">
            <v>EKAJ01</v>
          </cell>
          <cell r="M2461" t="str">
            <v>Eka Jaya/David</v>
          </cell>
          <cell r="N2461" t="str">
            <v>Agro Tani Mapan, CV</v>
          </cell>
          <cell r="O2461" t="str">
            <v>Dsn. Damtelu RT.001/RW.001 Kedunggebang. Tegal Dlimo, Kab. Banyuwangi</v>
          </cell>
          <cell r="P2461" t="str">
            <v>Banyuwangi</v>
          </cell>
          <cell r="Q2461" t="str">
            <v>Jl. Dam III No. 9 Patok XI, Tegaldlimo</v>
          </cell>
          <cell r="R2461" t="str">
            <v>Banyuwangi</v>
          </cell>
          <cell r="S2461" t="str">
            <v>H Bwi2</v>
          </cell>
          <cell r="T2461" t="str">
            <v>Hafid</v>
          </cell>
          <cell r="U2461">
            <v>30</v>
          </cell>
        </row>
        <row r="2462">
          <cell r="E2462" t="str">
            <v>D25016322</v>
          </cell>
          <cell r="F2462"/>
          <cell r="G2462">
            <v>4500000000</v>
          </cell>
          <cell r="H2462" t="str">
            <v>Faris</v>
          </cell>
          <cell r="I2462" t="str">
            <v>Syahra</v>
          </cell>
          <cell r="J2462"/>
          <cell r="K2462" t="str">
            <v>KU</v>
          </cell>
          <cell r="L2462" t="str">
            <v>EKAJ01</v>
          </cell>
          <cell r="M2462" t="str">
            <v>Eka Jaya/David</v>
          </cell>
          <cell r="N2462" t="str">
            <v>Agro Tani Mapan, CV</v>
          </cell>
          <cell r="O2462" t="str">
            <v>Dsn. Damtelu RT.001/RW.001 Kedunggebang. Tegal Dlimo, Kab. Banyuwangi</v>
          </cell>
          <cell r="P2462" t="str">
            <v>Banyuwangi</v>
          </cell>
          <cell r="Q2462" t="str">
            <v>Jl. Dam III No. 9 Patok XI, Tegaldlimo</v>
          </cell>
          <cell r="R2462" t="str">
            <v>Banyuwangi</v>
          </cell>
          <cell r="S2462" t="str">
            <v>H Bwi2</v>
          </cell>
          <cell r="T2462" t="str">
            <v>Hafid</v>
          </cell>
          <cell r="U2462">
            <v>0</v>
          </cell>
        </row>
        <row r="2463">
          <cell r="E2463" t="str">
            <v>D25016323</v>
          </cell>
          <cell r="F2463"/>
          <cell r="G2463">
            <v>4500000000</v>
          </cell>
          <cell r="H2463" t="str">
            <v>Faris</v>
          </cell>
          <cell r="I2463" t="str">
            <v>Syahra</v>
          </cell>
          <cell r="J2463"/>
          <cell r="K2463" t="str">
            <v>KU</v>
          </cell>
          <cell r="L2463" t="str">
            <v>EKAJ01</v>
          </cell>
          <cell r="M2463" t="str">
            <v>Eka Jaya/David</v>
          </cell>
          <cell r="N2463" t="str">
            <v>Agro Tani Mapan, CV</v>
          </cell>
          <cell r="O2463" t="str">
            <v>Dsn. Damtelu RT.001/RW.001 Kedunggebang. Tegal Dlimo, Kab. Banyuwangi</v>
          </cell>
          <cell r="P2463" t="str">
            <v>Banyuwangi</v>
          </cell>
          <cell r="Q2463" t="str">
            <v>Jl. Dam III No. 9 Patok XI, Tegaldlimo</v>
          </cell>
          <cell r="R2463" t="str">
            <v>Banyuwangi</v>
          </cell>
          <cell r="S2463" t="str">
            <v>H Bwi2</v>
          </cell>
          <cell r="T2463" t="str">
            <v>Hafid</v>
          </cell>
          <cell r="U2463">
            <v>0</v>
          </cell>
        </row>
        <row r="2464">
          <cell r="E2464" t="str">
            <v>B25010283</v>
          </cell>
          <cell r="F2464"/>
          <cell r="G2464">
            <v>200000000</v>
          </cell>
          <cell r="H2464" t="str">
            <v>Yuyun</v>
          </cell>
          <cell r="I2464" t="str">
            <v>Farida</v>
          </cell>
          <cell r="J2464"/>
          <cell r="K2464" t="str">
            <v>BG, KU</v>
          </cell>
          <cell r="L2464" t="str">
            <v>EKAJ02</v>
          </cell>
          <cell r="M2464" t="str">
            <v>Eka Jaya/Eko</v>
          </cell>
          <cell r="N2464" t="str">
            <v>Eko Prasetyo</v>
          </cell>
          <cell r="O2464" t="str">
            <v>Krajan Lor No.13, RT.001/RW.006 Sumberrejo, Ambulu</v>
          </cell>
          <cell r="P2464" t="str">
            <v>Jember</v>
          </cell>
          <cell r="Q2464" t="str">
            <v>Krajan Lor No.13, RT.001/RW.006 Sumberrejo, Ambulu</v>
          </cell>
          <cell r="R2464" t="str">
            <v>Jember</v>
          </cell>
          <cell r="S2464" t="str">
            <v>L Kota2</v>
          </cell>
          <cell r="T2464" t="str">
            <v>Efendi</v>
          </cell>
          <cell r="U2464">
            <v>30</v>
          </cell>
        </row>
        <row r="2465">
          <cell r="E2465" t="str">
            <v>B25010283</v>
          </cell>
          <cell r="F2465"/>
          <cell r="G2465">
            <v>200000000</v>
          </cell>
          <cell r="H2465" t="str">
            <v>Yuyun</v>
          </cell>
          <cell r="I2465" t="str">
            <v>Farida</v>
          </cell>
          <cell r="J2465"/>
          <cell r="K2465" t="str">
            <v>BG, KU</v>
          </cell>
          <cell r="L2465" t="str">
            <v>EKAJ02</v>
          </cell>
          <cell r="M2465" t="str">
            <v>Eka Jaya/Eko</v>
          </cell>
          <cell r="N2465" t="str">
            <v>Eko Prasetyo</v>
          </cell>
          <cell r="O2465" t="str">
            <v>Krajan Lor No.13, RT.001/RW.006 Sumberrejo, Ambulu</v>
          </cell>
          <cell r="P2465" t="str">
            <v>Jember</v>
          </cell>
          <cell r="Q2465" t="str">
            <v>Krajan Lor No.13, RT.001/RW.006 Sumberrejo, Ambulu</v>
          </cell>
          <cell r="R2465" t="str">
            <v>Jember</v>
          </cell>
          <cell r="S2465" t="str">
            <v>L Kota2</v>
          </cell>
          <cell r="T2465" t="str">
            <v>Efendi</v>
          </cell>
          <cell r="U2465">
            <v>30</v>
          </cell>
        </row>
        <row r="2466">
          <cell r="E2466" t="str">
            <v>B25010312</v>
          </cell>
          <cell r="F2466"/>
          <cell r="G2466">
            <v>200000000</v>
          </cell>
          <cell r="H2466" t="str">
            <v>Yuyun</v>
          </cell>
          <cell r="I2466" t="str">
            <v>Farida</v>
          </cell>
          <cell r="J2466"/>
          <cell r="K2466" t="str">
            <v>BG, KU</v>
          </cell>
          <cell r="L2466" t="str">
            <v>EKAJ02</v>
          </cell>
          <cell r="M2466" t="str">
            <v>Eka Jaya/Eko</v>
          </cell>
          <cell r="N2466" t="str">
            <v>Eko Prasetyo</v>
          </cell>
          <cell r="O2466" t="str">
            <v>Krajan Lor No.13, RT.001/RW.006 Sumberrejo, Ambulu</v>
          </cell>
          <cell r="P2466" t="str">
            <v>Jember</v>
          </cell>
          <cell r="Q2466" t="str">
            <v>Krajan Lor No.13, RT.001/RW.006 Sumberrejo, Ambulu</v>
          </cell>
          <cell r="R2466" t="str">
            <v>Jember</v>
          </cell>
          <cell r="S2466" t="str">
            <v>L Kota2</v>
          </cell>
          <cell r="T2466" t="str">
            <v>Efendi</v>
          </cell>
          <cell r="U2466">
            <v>30</v>
          </cell>
        </row>
        <row r="2467">
          <cell r="E2467" t="str">
            <v>B25010575</v>
          </cell>
          <cell r="F2467"/>
          <cell r="G2467">
            <v>200000000</v>
          </cell>
          <cell r="H2467" t="str">
            <v>Yuyun</v>
          </cell>
          <cell r="I2467" t="str">
            <v>Farida</v>
          </cell>
          <cell r="J2467"/>
          <cell r="K2467" t="str">
            <v>BG, KU</v>
          </cell>
          <cell r="L2467" t="str">
            <v>EKAJ02</v>
          </cell>
          <cell r="M2467" t="str">
            <v>Eka Jaya/Eko</v>
          </cell>
          <cell r="N2467" t="str">
            <v>Eko Prasetyo</v>
          </cell>
          <cell r="O2467" t="str">
            <v>Krajan Lor No.13, RT.001/RW.006 Sumberrejo, Ambulu</v>
          </cell>
          <cell r="P2467" t="str">
            <v>Jember</v>
          </cell>
          <cell r="Q2467" t="str">
            <v>Krajan Lor No.13, RT.001/RW.006 Sumberrejo, Ambulu</v>
          </cell>
          <cell r="R2467" t="str">
            <v>Jember</v>
          </cell>
          <cell r="S2467" t="str">
            <v>L Kota2</v>
          </cell>
          <cell r="T2467" t="str">
            <v>Efendi</v>
          </cell>
          <cell r="U2467">
            <v>30</v>
          </cell>
        </row>
        <row r="2468">
          <cell r="E2468" t="str">
            <v>B25011047</v>
          </cell>
          <cell r="F2468"/>
          <cell r="G2468">
            <v>200000000</v>
          </cell>
          <cell r="H2468" t="str">
            <v>Yuyun</v>
          </cell>
          <cell r="I2468" t="str">
            <v>Farida</v>
          </cell>
          <cell r="J2468"/>
          <cell r="K2468" t="str">
            <v>BG, KU</v>
          </cell>
          <cell r="L2468" t="str">
            <v>EKAJ02</v>
          </cell>
          <cell r="M2468" t="str">
            <v>Eka Jaya/Eko</v>
          </cell>
          <cell r="N2468" t="str">
            <v>Eko Prasetyo</v>
          </cell>
          <cell r="O2468" t="str">
            <v>Krajan Lor No.13, RT.001/RW.006 Sumberrejo, Ambulu</v>
          </cell>
          <cell r="P2468" t="str">
            <v>Jember</v>
          </cell>
          <cell r="Q2468" t="str">
            <v>Krajan Lor No.13, RT.001/RW.006 Sumberrejo, Ambulu</v>
          </cell>
          <cell r="R2468" t="str">
            <v>Jember</v>
          </cell>
          <cell r="S2468" t="str">
            <v>L Kota2</v>
          </cell>
          <cell r="T2468" t="str">
            <v>Efendi</v>
          </cell>
          <cell r="U2468">
            <v>30</v>
          </cell>
        </row>
        <row r="2469">
          <cell r="E2469" t="str">
            <v>D25013296</v>
          </cell>
          <cell r="F2469"/>
          <cell r="G2469">
            <v>200000000</v>
          </cell>
          <cell r="H2469" t="str">
            <v>Yuyun</v>
          </cell>
          <cell r="I2469" t="str">
            <v>Farida</v>
          </cell>
          <cell r="J2469"/>
          <cell r="K2469" t="str">
            <v>BG, KU</v>
          </cell>
          <cell r="L2469" t="str">
            <v>EKAJ02</v>
          </cell>
          <cell r="M2469" t="str">
            <v>Eka Jaya/Eko</v>
          </cell>
          <cell r="N2469" t="str">
            <v>Eko Prasetyo</v>
          </cell>
          <cell r="O2469" t="str">
            <v>Krajan Lor No.13, RT.001/RW.006 Sumberrejo, Ambulu</v>
          </cell>
          <cell r="P2469" t="str">
            <v>Jember</v>
          </cell>
          <cell r="Q2469" t="str">
            <v>Krajan Lor No.13, RT.001/RW.006 Sumberrejo, Ambulu</v>
          </cell>
          <cell r="R2469" t="str">
            <v>Jember</v>
          </cell>
          <cell r="S2469" t="str">
            <v>L Kota2</v>
          </cell>
          <cell r="T2469" t="str">
            <v>Efendi</v>
          </cell>
          <cell r="U2469">
            <v>30</v>
          </cell>
        </row>
        <row r="2470">
          <cell r="E2470" t="str">
            <v>D25013303</v>
          </cell>
          <cell r="F2470"/>
          <cell r="G2470">
            <v>200000000</v>
          </cell>
          <cell r="H2470" t="str">
            <v>Yuyun</v>
          </cell>
          <cell r="I2470" t="str">
            <v>Farida</v>
          </cell>
          <cell r="J2470"/>
          <cell r="K2470" t="str">
            <v>BG, KU</v>
          </cell>
          <cell r="L2470" t="str">
            <v>EKAJ02</v>
          </cell>
          <cell r="M2470" t="str">
            <v>Eka Jaya/Eko</v>
          </cell>
          <cell r="N2470" t="str">
            <v>Eko Prasetyo</v>
          </cell>
          <cell r="O2470" t="str">
            <v>Krajan Lor No.13, RT.001/RW.006 Sumberrejo, Ambulu</v>
          </cell>
          <cell r="P2470" t="str">
            <v>Jember</v>
          </cell>
          <cell r="Q2470" t="str">
            <v>Krajan Lor No.13, RT.001/RW.006 Sumberrejo, Ambulu</v>
          </cell>
          <cell r="R2470" t="str">
            <v>Jember</v>
          </cell>
          <cell r="S2470" t="str">
            <v>L Kota2</v>
          </cell>
          <cell r="T2470" t="str">
            <v>Efendi</v>
          </cell>
          <cell r="U2470">
            <v>30</v>
          </cell>
        </row>
        <row r="2471">
          <cell r="E2471" t="str">
            <v>D25013486</v>
          </cell>
          <cell r="F2471"/>
          <cell r="G2471">
            <v>200000000</v>
          </cell>
          <cell r="H2471" t="str">
            <v>Yuyun</v>
          </cell>
          <cell r="I2471" t="str">
            <v>Farida</v>
          </cell>
          <cell r="J2471"/>
          <cell r="K2471" t="str">
            <v>BG, KU</v>
          </cell>
          <cell r="L2471" t="str">
            <v>EKAJ02</v>
          </cell>
          <cell r="M2471" t="str">
            <v>Eka Jaya/Eko</v>
          </cell>
          <cell r="N2471" t="str">
            <v>Eko Prasetyo</v>
          </cell>
          <cell r="O2471" t="str">
            <v>Krajan Lor No.13, RT.001/RW.006 Sumberrejo, Ambulu</v>
          </cell>
          <cell r="P2471" t="str">
            <v>Jember</v>
          </cell>
          <cell r="Q2471" t="str">
            <v>Krajan Lor No.13, RT.001/RW.006 Sumberrejo, Ambulu</v>
          </cell>
          <cell r="R2471" t="str">
            <v>Jember</v>
          </cell>
          <cell r="S2471" t="str">
            <v>L Kota2</v>
          </cell>
          <cell r="T2471" t="str">
            <v>Efendi</v>
          </cell>
          <cell r="U2471">
            <v>30</v>
          </cell>
        </row>
        <row r="2472">
          <cell r="E2472" t="str">
            <v>B25011833</v>
          </cell>
          <cell r="F2472"/>
          <cell r="G2472">
            <v>200000000</v>
          </cell>
          <cell r="H2472" t="str">
            <v>Yuyun</v>
          </cell>
          <cell r="I2472" t="str">
            <v>Farida</v>
          </cell>
          <cell r="J2472"/>
          <cell r="K2472" t="str">
            <v>BG, KU</v>
          </cell>
          <cell r="L2472" t="str">
            <v>EKAJ02</v>
          </cell>
          <cell r="M2472" t="str">
            <v>Eka Jaya/Eko</v>
          </cell>
          <cell r="N2472" t="str">
            <v>Eko Prasetyo</v>
          </cell>
          <cell r="O2472" t="str">
            <v>Krajan Lor No.13, RT.001/RW.006 Sumberrejo, Ambulu</v>
          </cell>
          <cell r="P2472" t="str">
            <v>Jember</v>
          </cell>
          <cell r="Q2472" t="str">
            <v>Krajan Lor No.13, RT.001/RW.006 Sumberrejo, Ambulu</v>
          </cell>
          <cell r="R2472" t="str">
            <v>Jember</v>
          </cell>
          <cell r="S2472" t="str">
            <v>L Kota2</v>
          </cell>
          <cell r="T2472" t="str">
            <v>Efendi</v>
          </cell>
          <cell r="U2472">
            <v>30</v>
          </cell>
        </row>
        <row r="2473">
          <cell r="E2473" t="str">
            <v>D25014077</v>
          </cell>
          <cell r="F2473"/>
          <cell r="G2473">
            <v>200000000</v>
          </cell>
          <cell r="H2473" t="str">
            <v>Yuyun</v>
          </cell>
          <cell r="I2473" t="str">
            <v>Farida</v>
          </cell>
          <cell r="J2473"/>
          <cell r="K2473" t="str">
            <v>BG, KU</v>
          </cell>
          <cell r="L2473" t="str">
            <v>EKAJ02</v>
          </cell>
          <cell r="M2473" t="str">
            <v>Eka Jaya/Eko</v>
          </cell>
          <cell r="N2473" t="str">
            <v>Eko Prasetyo</v>
          </cell>
          <cell r="O2473" t="str">
            <v>Krajan Lor No.13, RT.001/RW.006 Sumberrejo, Ambulu</v>
          </cell>
          <cell r="P2473" t="str">
            <v>Jember</v>
          </cell>
          <cell r="Q2473" t="str">
            <v>Krajan Lor No.13, RT.001/RW.006 Sumberrejo, Ambulu</v>
          </cell>
          <cell r="R2473" t="str">
            <v>Jember</v>
          </cell>
          <cell r="S2473" t="str">
            <v>L Kota2</v>
          </cell>
          <cell r="T2473" t="str">
            <v>Efendi</v>
          </cell>
          <cell r="U2473">
            <v>30</v>
          </cell>
        </row>
        <row r="2474">
          <cell r="E2474" t="str">
            <v>B25011863</v>
          </cell>
          <cell r="F2474"/>
          <cell r="G2474">
            <v>200000000</v>
          </cell>
          <cell r="H2474" t="str">
            <v>Yuyun</v>
          </cell>
          <cell r="I2474" t="str">
            <v>Farida</v>
          </cell>
          <cell r="J2474"/>
          <cell r="K2474" t="str">
            <v>BG, KU</v>
          </cell>
          <cell r="L2474" t="str">
            <v>EKAJ02</v>
          </cell>
          <cell r="M2474" t="str">
            <v>Eka Jaya/Eko</v>
          </cell>
          <cell r="N2474" t="str">
            <v>Eko Prasetyo</v>
          </cell>
          <cell r="O2474" t="str">
            <v>Krajan Lor No.13, RT.001/RW.006 Sumberrejo, Ambulu</v>
          </cell>
          <cell r="P2474" t="str">
            <v>Jember</v>
          </cell>
          <cell r="Q2474" t="str">
            <v>Krajan Lor No.13, RT.001/RW.006 Sumberrejo, Ambulu</v>
          </cell>
          <cell r="R2474" t="str">
            <v>Jember</v>
          </cell>
          <cell r="S2474" t="str">
            <v>L Kota2</v>
          </cell>
          <cell r="T2474" t="str">
            <v>Efendi</v>
          </cell>
          <cell r="U2474">
            <v>30</v>
          </cell>
        </row>
        <row r="2475">
          <cell r="E2475" t="str">
            <v>B25012105</v>
          </cell>
          <cell r="F2475"/>
          <cell r="G2475">
            <v>200000000</v>
          </cell>
          <cell r="H2475" t="str">
            <v>Yuyun</v>
          </cell>
          <cell r="I2475" t="str">
            <v>Farida</v>
          </cell>
          <cell r="J2475"/>
          <cell r="K2475" t="str">
            <v>BG, KU</v>
          </cell>
          <cell r="L2475" t="str">
            <v>EKAJ02</v>
          </cell>
          <cell r="M2475" t="str">
            <v>Eka Jaya/Eko</v>
          </cell>
          <cell r="N2475" t="str">
            <v>Eko Prasetyo</v>
          </cell>
          <cell r="O2475" t="str">
            <v>Krajan Lor No.13, RT.001/RW.006 Sumberrejo, Ambulu</v>
          </cell>
          <cell r="P2475" t="str">
            <v>Jember</v>
          </cell>
          <cell r="Q2475" t="str">
            <v>Krajan Lor No.13, RT.001/RW.006 Sumberrejo, Ambulu</v>
          </cell>
          <cell r="R2475" t="str">
            <v>Jember</v>
          </cell>
          <cell r="S2475" t="str">
            <v>L Kota2</v>
          </cell>
          <cell r="T2475" t="str">
            <v>Efendi</v>
          </cell>
          <cell r="U2475">
            <v>30</v>
          </cell>
        </row>
        <row r="2476">
          <cell r="E2476" t="str">
            <v>B25012105</v>
          </cell>
          <cell r="F2476"/>
          <cell r="G2476">
            <v>200000000</v>
          </cell>
          <cell r="H2476" t="str">
            <v>Yuyun</v>
          </cell>
          <cell r="I2476" t="str">
            <v>Farida</v>
          </cell>
          <cell r="J2476"/>
          <cell r="K2476" t="str">
            <v>BG, KU</v>
          </cell>
          <cell r="L2476" t="str">
            <v>EKAJ02</v>
          </cell>
          <cell r="M2476" t="str">
            <v>Eka Jaya/Eko</v>
          </cell>
          <cell r="N2476" t="str">
            <v>Eko Prasetyo</v>
          </cell>
          <cell r="O2476" t="str">
            <v>Krajan Lor No.13, RT.001/RW.006 Sumberrejo, Ambulu</v>
          </cell>
          <cell r="P2476" t="str">
            <v>Jember</v>
          </cell>
          <cell r="Q2476" t="str">
            <v>Krajan Lor No.13, RT.001/RW.006 Sumberrejo, Ambulu</v>
          </cell>
          <cell r="R2476" t="str">
            <v>Jember</v>
          </cell>
          <cell r="S2476" t="str">
            <v>L Kota2</v>
          </cell>
          <cell r="T2476" t="str">
            <v>Efendi</v>
          </cell>
          <cell r="U2476">
            <v>30</v>
          </cell>
        </row>
        <row r="2477">
          <cell r="E2477" t="str">
            <v>D25014334</v>
          </cell>
          <cell r="F2477"/>
          <cell r="G2477">
            <v>200000000</v>
          </cell>
          <cell r="H2477" t="str">
            <v>Yuyun</v>
          </cell>
          <cell r="I2477" t="str">
            <v>Farida</v>
          </cell>
          <cell r="J2477"/>
          <cell r="K2477" t="str">
            <v>BG, KU</v>
          </cell>
          <cell r="L2477" t="str">
            <v>EKAJ02</v>
          </cell>
          <cell r="M2477" t="str">
            <v>Eka Jaya/Eko</v>
          </cell>
          <cell r="N2477" t="str">
            <v>Eko Prasetyo</v>
          </cell>
          <cell r="O2477" t="str">
            <v>Krajan Lor No.13, RT.001/RW.006 Sumberrejo, Ambulu</v>
          </cell>
          <cell r="P2477" t="str">
            <v>Jember</v>
          </cell>
          <cell r="Q2477" t="str">
            <v>Krajan Lor No.13, RT.001/RW.006 Sumberrejo, Ambulu</v>
          </cell>
          <cell r="R2477" t="str">
            <v>Jember</v>
          </cell>
          <cell r="S2477" t="str">
            <v>L Kota2</v>
          </cell>
          <cell r="T2477" t="str">
            <v>Efendi</v>
          </cell>
          <cell r="U2477">
            <v>30</v>
          </cell>
        </row>
        <row r="2478">
          <cell r="E2478" t="str">
            <v>D25014354</v>
          </cell>
          <cell r="F2478"/>
          <cell r="G2478">
            <v>200000000</v>
          </cell>
          <cell r="H2478" t="str">
            <v>Yuyun</v>
          </cell>
          <cell r="I2478" t="str">
            <v>Farida</v>
          </cell>
          <cell r="J2478"/>
          <cell r="K2478" t="str">
            <v>BG, KU</v>
          </cell>
          <cell r="L2478" t="str">
            <v>EKAJ02</v>
          </cell>
          <cell r="M2478" t="str">
            <v>Eka Jaya/Eko</v>
          </cell>
          <cell r="N2478" t="str">
            <v>Eko Prasetyo</v>
          </cell>
          <cell r="O2478" t="str">
            <v>Krajan Lor No.13, RT.001/RW.006 Sumberrejo, Ambulu</v>
          </cell>
          <cell r="P2478" t="str">
            <v>Jember</v>
          </cell>
          <cell r="Q2478" t="str">
            <v>Krajan Lor No.13, RT.001/RW.006 Sumberrejo, Ambulu</v>
          </cell>
          <cell r="R2478" t="str">
            <v>Jember</v>
          </cell>
          <cell r="S2478" t="str">
            <v>L Kota2</v>
          </cell>
          <cell r="T2478" t="str">
            <v>Efendi</v>
          </cell>
          <cell r="U2478">
            <v>30</v>
          </cell>
        </row>
        <row r="2479">
          <cell r="E2479" t="str">
            <v>B25012214</v>
          </cell>
          <cell r="F2479"/>
          <cell r="G2479">
            <v>200000000</v>
          </cell>
          <cell r="H2479" t="str">
            <v>Yuyun</v>
          </cell>
          <cell r="I2479" t="str">
            <v>Farida</v>
          </cell>
          <cell r="J2479"/>
          <cell r="K2479" t="str">
            <v>BG, KU</v>
          </cell>
          <cell r="L2479" t="str">
            <v>EKAJ02</v>
          </cell>
          <cell r="M2479" t="str">
            <v>Eka Jaya/Eko</v>
          </cell>
          <cell r="N2479" t="str">
            <v>Eko Prasetyo</v>
          </cell>
          <cell r="O2479" t="str">
            <v>Krajan Lor No.13, RT.001/RW.006 Sumberrejo, Ambulu</v>
          </cell>
          <cell r="P2479" t="str">
            <v>Jember</v>
          </cell>
          <cell r="Q2479" t="str">
            <v>Krajan Lor No.13, RT.001/RW.006 Sumberrejo, Ambulu</v>
          </cell>
          <cell r="R2479" t="str">
            <v>Jember</v>
          </cell>
          <cell r="S2479" t="str">
            <v>L Kota2</v>
          </cell>
          <cell r="T2479" t="str">
            <v>Efendi</v>
          </cell>
          <cell r="U2479">
            <v>30</v>
          </cell>
        </row>
        <row r="2480">
          <cell r="E2480" t="str">
            <v>T25001429</v>
          </cell>
          <cell r="F2480"/>
          <cell r="G2480">
            <v>200000000</v>
          </cell>
          <cell r="H2480" t="str">
            <v>Yuyun</v>
          </cell>
          <cell r="I2480" t="str">
            <v>Farida</v>
          </cell>
          <cell r="J2480"/>
          <cell r="K2480" t="str">
            <v>BG, KU</v>
          </cell>
          <cell r="L2480" t="str">
            <v>EKAJ02</v>
          </cell>
          <cell r="M2480" t="str">
            <v>Eka Jaya/Eko</v>
          </cell>
          <cell r="N2480" t="str">
            <v>Eko Prasetyo</v>
          </cell>
          <cell r="O2480" t="str">
            <v>Krajan Lor No.13, RT.001/RW.006 Sumberrejo, Ambulu</v>
          </cell>
          <cell r="P2480" t="str">
            <v>Jember</v>
          </cell>
          <cell r="Q2480" t="str">
            <v>Krajan Lor No.13, RT.001/RW.006 Sumberrejo, Ambulu</v>
          </cell>
          <cell r="R2480" t="str">
            <v>Jember</v>
          </cell>
          <cell r="S2480" t="str">
            <v>L Kota2</v>
          </cell>
          <cell r="T2480" t="str">
            <v>Efendi</v>
          </cell>
          <cell r="U2480">
            <v>60</v>
          </cell>
        </row>
        <row r="2481">
          <cell r="E2481" t="str">
            <v>D25014521</v>
          </cell>
          <cell r="F2481"/>
          <cell r="G2481">
            <v>200000000</v>
          </cell>
          <cell r="H2481" t="str">
            <v>Yuyun</v>
          </cell>
          <cell r="I2481" t="str">
            <v>Farida</v>
          </cell>
          <cell r="J2481"/>
          <cell r="K2481" t="str">
            <v>BG, KU</v>
          </cell>
          <cell r="L2481" t="str">
            <v>EKAJ02</v>
          </cell>
          <cell r="M2481" t="str">
            <v>Eka Jaya/Eko</v>
          </cell>
          <cell r="N2481" t="str">
            <v>Eko Prasetyo</v>
          </cell>
          <cell r="O2481" t="str">
            <v>Krajan Lor No.13, RT.001/RW.006 Sumberrejo, Ambulu</v>
          </cell>
          <cell r="P2481" t="str">
            <v>Jember</v>
          </cell>
          <cell r="Q2481" t="str">
            <v>Krajan Lor No.13, RT.001/RW.006 Sumberrejo, Ambulu</v>
          </cell>
          <cell r="R2481" t="str">
            <v>Jember</v>
          </cell>
          <cell r="S2481" t="str">
            <v>L Kota2</v>
          </cell>
          <cell r="T2481" t="str">
            <v>Efendi</v>
          </cell>
          <cell r="U2481">
            <v>30</v>
          </cell>
        </row>
        <row r="2482">
          <cell r="E2482" t="str">
            <v>B25012559</v>
          </cell>
          <cell r="F2482"/>
          <cell r="G2482">
            <v>200000000</v>
          </cell>
          <cell r="H2482" t="str">
            <v>Yuyun</v>
          </cell>
          <cell r="I2482" t="str">
            <v>Farida</v>
          </cell>
          <cell r="J2482"/>
          <cell r="K2482" t="str">
            <v>BG, KU</v>
          </cell>
          <cell r="L2482" t="str">
            <v>EKAJ02</v>
          </cell>
          <cell r="M2482" t="str">
            <v>Eka Jaya/Eko</v>
          </cell>
          <cell r="N2482" t="str">
            <v>Eko Prasetyo</v>
          </cell>
          <cell r="O2482" t="str">
            <v>Krajan Lor No.13, RT.001/RW.006 Sumberrejo, Ambulu</v>
          </cell>
          <cell r="P2482" t="str">
            <v>Jember</v>
          </cell>
          <cell r="Q2482" t="str">
            <v>Krajan Lor No.13, RT.001/RW.006 Sumberrejo, Ambulu</v>
          </cell>
          <cell r="R2482" t="str">
            <v>Jember</v>
          </cell>
          <cell r="S2482" t="str">
            <v>L Kota2</v>
          </cell>
          <cell r="T2482" t="str">
            <v>Efendi</v>
          </cell>
          <cell r="U2482">
            <v>30</v>
          </cell>
        </row>
        <row r="2483">
          <cell r="E2483" t="str">
            <v>B25012560</v>
          </cell>
          <cell r="F2483"/>
          <cell r="G2483">
            <v>200000000</v>
          </cell>
          <cell r="H2483" t="str">
            <v>Yuyun</v>
          </cell>
          <cell r="I2483" t="str">
            <v>Farida</v>
          </cell>
          <cell r="J2483"/>
          <cell r="K2483" t="str">
            <v>BG, KU</v>
          </cell>
          <cell r="L2483" t="str">
            <v>EKAJ02</v>
          </cell>
          <cell r="M2483" t="str">
            <v>Eka Jaya/Eko</v>
          </cell>
          <cell r="N2483" t="str">
            <v>Eko Prasetyo</v>
          </cell>
          <cell r="O2483" t="str">
            <v>Krajan Lor No.13, RT.001/RW.006 Sumberrejo, Ambulu</v>
          </cell>
          <cell r="P2483" t="str">
            <v>Jember</v>
          </cell>
          <cell r="Q2483" t="str">
            <v>Krajan Lor No.13, RT.001/RW.006 Sumberrejo, Ambulu</v>
          </cell>
          <cell r="R2483" t="str">
            <v>Jember</v>
          </cell>
          <cell r="S2483" t="str">
            <v>L Kota2</v>
          </cell>
          <cell r="T2483" t="str">
            <v>Efendi</v>
          </cell>
          <cell r="U2483">
            <v>30</v>
          </cell>
        </row>
        <row r="2484">
          <cell r="E2484" t="str">
            <v>D25014960</v>
          </cell>
          <cell r="F2484"/>
          <cell r="G2484">
            <v>200000000</v>
          </cell>
          <cell r="H2484" t="str">
            <v>Yuyun</v>
          </cell>
          <cell r="I2484" t="str">
            <v>Farida</v>
          </cell>
          <cell r="J2484"/>
          <cell r="K2484" t="str">
            <v>BG, KU</v>
          </cell>
          <cell r="L2484" t="str">
            <v>EKAJ02</v>
          </cell>
          <cell r="M2484" t="str">
            <v>Eka Jaya/Eko</v>
          </cell>
          <cell r="N2484" t="str">
            <v>Eko Prasetyo</v>
          </cell>
          <cell r="O2484" t="str">
            <v>Krajan Lor No.13, RT.001/RW.006 Sumberrejo, Ambulu</v>
          </cell>
          <cell r="P2484" t="str">
            <v>Jember</v>
          </cell>
          <cell r="Q2484" t="str">
            <v>Krajan Lor No.13, RT.001/RW.006 Sumberrejo, Ambulu</v>
          </cell>
          <cell r="R2484" t="str">
            <v>Jember</v>
          </cell>
          <cell r="S2484" t="str">
            <v>L Kota2</v>
          </cell>
          <cell r="T2484" t="str">
            <v>Efendi</v>
          </cell>
          <cell r="U2484">
            <v>30</v>
          </cell>
        </row>
        <row r="2485">
          <cell r="E2485" t="str">
            <v>B25012771</v>
          </cell>
          <cell r="F2485"/>
          <cell r="G2485">
            <v>200000000</v>
          </cell>
          <cell r="H2485" t="str">
            <v>Yuyun</v>
          </cell>
          <cell r="I2485" t="str">
            <v>Farida</v>
          </cell>
          <cell r="J2485"/>
          <cell r="K2485" t="str">
            <v>BG, KU</v>
          </cell>
          <cell r="L2485" t="str">
            <v>EKAJ02</v>
          </cell>
          <cell r="M2485" t="str">
            <v>Eka Jaya/Eko</v>
          </cell>
          <cell r="N2485" t="str">
            <v>Eko Prasetyo</v>
          </cell>
          <cell r="O2485" t="str">
            <v>Krajan Lor No.13, RT.001/RW.006 Sumberrejo, Ambulu</v>
          </cell>
          <cell r="P2485" t="str">
            <v>Jember</v>
          </cell>
          <cell r="Q2485" t="str">
            <v>Krajan Lor No.13, RT.001/RW.006 Sumberrejo, Ambulu</v>
          </cell>
          <cell r="R2485" t="str">
            <v>Jember</v>
          </cell>
          <cell r="S2485" t="str">
            <v>L Kota2</v>
          </cell>
          <cell r="T2485" t="str">
            <v>Efendi</v>
          </cell>
          <cell r="U2485">
            <v>30</v>
          </cell>
        </row>
        <row r="2486">
          <cell r="E2486" t="str">
            <v>B25012882</v>
          </cell>
          <cell r="F2486"/>
          <cell r="G2486">
            <v>200000000</v>
          </cell>
          <cell r="H2486" t="str">
            <v>Yuyun</v>
          </cell>
          <cell r="I2486" t="str">
            <v>Farida</v>
          </cell>
          <cell r="J2486"/>
          <cell r="K2486" t="str">
            <v>BG, KU</v>
          </cell>
          <cell r="L2486" t="str">
            <v>EKAJ02</v>
          </cell>
          <cell r="M2486" t="str">
            <v>Eka Jaya/Eko</v>
          </cell>
          <cell r="N2486" t="str">
            <v>Eko Prasetyo</v>
          </cell>
          <cell r="O2486" t="str">
            <v>Krajan Lor No.13, RT.001/RW.006 Sumberrejo, Ambulu</v>
          </cell>
          <cell r="P2486" t="str">
            <v>Jember</v>
          </cell>
          <cell r="Q2486" t="str">
            <v>Krajan Lor No.13, RT.001/RW.006 Sumberrejo, Ambulu</v>
          </cell>
          <cell r="R2486" t="str">
            <v>Jember</v>
          </cell>
          <cell r="S2486" t="str">
            <v>L Kota2</v>
          </cell>
          <cell r="T2486" t="str">
            <v>Efendi</v>
          </cell>
          <cell r="U2486">
            <v>30</v>
          </cell>
        </row>
        <row r="2487">
          <cell r="E2487" t="str">
            <v>B25012882</v>
          </cell>
          <cell r="F2487"/>
          <cell r="G2487">
            <v>200000000</v>
          </cell>
          <cell r="H2487" t="str">
            <v>Yuyun</v>
          </cell>
          <cell r="I2487" t="str">
            <v>Farida</v>
          </cell>
          <cell r="J2487"/>
          <cell r="K2487" t="str">
            <v>BG, KU</v>
          </cell>
          <cell r="L2487" t="str">
            <v>EKAJ02</v>
          </cell>
          <cell r="M2487" t="str">
            <v>Eka Jaya/Eko</v>
          </cell>
          <cell r="N2487" t="str">
            <v>Eko Prasetyo</v>
          </cell>
          <cell r="O2487" t="str">
            <v>Krajan Lor No.13, RT.001/RW.006 Sumberrejo, Ambulu</v>
          </cell>
          <cell r="P2487" t="str">
            <v>Jember</v>
          </cell>
          <cell r="Q2487" t="str">
            <v>Krajan Lor No.13, RT.001/RW.006 Sumberrejo, Ambulu</v>
          </cell>
          <cell r="R2487" t="str">
            <v>Jember</v>
          </cell>
          <cell r="S2487" t="str">
            <v>L Kota2</v>
          </cell>
          <cell r="T2487" t="str">
            <v>Efendi</v>
          </cell>
          <cell r="U2487">
            <v>30</v>
          </cell>
        </row>
        <row r="2488">
          <cell r="E2488" t="str">
            <v>D25015411</v>
          </cell>
          <cell r="F2488"/>
          <cell r="G2488">
            <v>200000000</v>
          </cell>
          <cell r="H2488" t="str">
            <v>Yuyun</v>
          </cell>
          <cell r="I2488" t="str">
            <v>Farida</v>
          </cell>
          <cell r="J2488"/>
          <cell r="K2488" t="str">
            <v>BG, KU</v>
          </cell>
          <cell r="L2488" t="str">
            <v>EKAJ02</v>
          </cell>
          <cell r="M2488" t="str">
            <v>Eka Jaya/Eko</v>
          </cell>
          <cell r="N2488" t="str">
            <v>Eko Prasetyo</v>
          </cell>
          <cell r="O2488" t="str">
            <v>Krajan Lor No.13, RT.001/RW.006 Sumberrejo, Ambulu</v>
          </cell>
          <cell r="P2488" t="str">
            <v>Jember</v>
          </cell>
          <cell r="Q2488" t="str">
            <v>Krajan Lor No.13, RT.001/RW.006 Sumberrejo, Ambulu</v>
          </cell>
          <cell r="R2488" t="str">
            <v>Jember</v>
          </cell>
          <cell r="S2488" t="str">
            <v>L Kota2</v>
          </cell>
          <cell r="T2488" t="str">
            <v>Efendi</v>
          </cell>
          <cell r="U2488">
            <v>30</v>
          </cell>
        </row>
        <row r="2489">
          <cell r="E2489" t="str">
            <v>D25015412</v>
          </cell>
          <cell r="F2489"/>
          <cell r="G2489">
            <v>200000000</v>
          </cell>
          <cell r="H2489" t="str">
            <v>Yuyun</v>
          </cell>
          <cell r="I2489" t="str">
            <v>Farida</v>
          </cell>
          <cell r="J2489"/>
          <cell r="K2489" t="str">
            <v>BG, KU</v>
          </cell>
          <cell r="L2489" t="str">
            <v>EKAJ02</v>
          </cell>
          <cell r="M2489" t="str">
            <v>Eka Jaya/Eko</v>
          </cell>
          <cell r="N2489" t="str">
            <v>Eko Prasetyo</v>
          </cell>
          <cell r="O2489" t="str">
            <v>Krajan Lor No.13, RT.001/RW.006 Sumberrejo, Ambulu</v>
          </cell>
          <cell r="P2489" t="str">
            <v>Jember</v>
          </cell>
          <cell r="Q2489" t="str">
            <v>Krajan Lor No.13, RT.001/RW.006 Sumberrejo, Ambulu</v>
          </cell>
          <cell r="R2489" t="str">
            <v>Jember</v>
          </cell>
          <cell r="S2489" t="str">
            <v>L Kota2</v>
          </cell>
          <cell r="T2489" t="str">
            <v>Efendi</v>
          </cell>
          <cell r="U2489">
            <v>30</v>
          </cell>
        </row>
        <row r="2490">
          <cell r="E2490" t="str">
            <v>B25013305</v>
          </cell>
          <cell r="F2490"/>
          <cell r="G2490">
            <v>200000000</v>
          </cell>
          <cell r="H2490" t="str">
            <v>Yuyun</v>
          </cell>
          <cell r="I2490" t="str">
            <v>Farida</v>
          </cell>
          <cell r="J2490"/>
          <cell r="K2490" t="str">
            <v>BG, KU</v>
          </cell>
          <cell r="L2490" t="str">
            <v>EKAJ02</v>
          </cell>
          <cell r="M2490" t="str">
            <v>Eka Jaya/Eko</v>
          </cell>
          <cell r="N2490" t="str">
            <v>Eko Prasetyo</v>
          </cell>
          <cell r="O2490" t="str">
            <v>Krajan Lor No.13, RT.001/RW.006 Sumberrejo, Ambulu</v>
          </cell>
          <cell r="P2490" t="str">
            <v>Jember</v>
          </cell>
          <cell r="Q2490" t="str">
            <v>Krajan Lor No.13, RT.001/RW.006 Sumberrejo, Ambulu</v>
          </cell>
          <cell r="R2490" t="str">
            <v>Jember</v>
          </cell>
          <cell r="S2490" t="str">
            <v>L Kota2</v>
          </cell>
          <cell r="T2490" t="str">
            <v>Efendi</v>
          </cell>
          <cell r="U2490">
            <v>30</v>
          </cell>
        </row>
        <row r="2491">
          <cell r="E2491" t="str">
            <v>D25015606</v>
          </cell>
          <cell r="F2491"/>
          <cell r="G2491">
            <v>200000000</v>
          </cell>
          <cell r="H2491" t="str">
            <v>Yuyun</v>
          </cell>
          <cell r="I2491" t="str">
            <v>Farida</v>
          </cell>
          <cell r="J2491"/>
          <cell r="K2491" t="str">
            <v>BG, KU</v>
          </cell>
          <cell r="L2491" t="str">
            <v>EKAJ02</v>
          </cell>
          <cell r="M2491" t="str">
            <v>Eka Jaya/Eko</v>
          </cell>
          <cell r="N2491" t="str">
            <v>Eko Prasetyo</v>
          </cell>
          <cell r="O2491" t="str">
            <v>Krajan Lor No.13, RT.001/RW.006 Sumberrejo, Ambulu</v>
          </cell>
          <cell r="P2491" t="str">
            <v>Jember</v>
          </cell>
          <cell r="Q2491" t="str">
            <v>Krajan Lor No.13, RT.001/RW.006 Sumberrejo, Ambulu</v>
          </cell>
          <cell r="R2491" t="str">
            <v>Jember</v>
          </cell>
          <cell r="S2491" t="str">
            <v>L Kota2</v>
          </cell>
          <cell r="T2491" t="str">
            <v>Efendi</v>
          </cell>
          <cell r="U2491">
            <v>30</v>
          </cell>
        </row>
        <row r="2492">
          <cell r="E2492" t="str">
            <v>B25013672</v>
          </cell>
          <cell r="F2492"/>
          <cell r="G2492">
            <v>200000000</v>
          </cell>
          <cell r="H2492" t="str">
            <v>Yuyun</v>
          </cell>
          <cell r="I2492" t="str">
            <v>Farida</v>
          </cell>
          <cell r="J2492"/>
          <cell r="K2492" t="str">
            <v>BG, KU</v>
          </cell>
          <cell r="L2492" t="str">
            <v>EKAJ02</v>
          </cell>
          <cell r="M2492" t="str">
            <v>Eka Jaya/Eko</v>
          </cell>
          <cell r="N2492" t="str">
            <v>Eko Prasetyo</v>
          </cell>
          <cell r="O2492" t="str">
            <v>Krajan Lor No.13, RT.001/RW.006 Sumberrejo, Ambulu</v>
          </cell>
          <cell r="P2492" t="str">
            <v>Jember</v>
          </cell>
          <cell r="Q2492" t="str">
            <v>Krajan Lor No.13, RT.001/RW.006 Sumberrejo, Ambulu</v>
          </cell>
          <cell r="R2492" t="str">
            <v>Jember</v>
          </cell>
          <cell r="S2492" t="str">
            <v>L Kota2</v>
          </cell>
          <cell r="T2492" t="str">
            <v>Efendi</v>
          </cell>
          <cell r="U2492">
            <v>0</v>
          </cell>
        </row>
        <row r="2493">
          <cell r="E2493" t="str">
            <v>B25013673</v>
          </cell>
          <cell r="F2493"/>
          <cell r="G2493">
            <v>200000000</v>
          </cell>
          <cell r="H2493" t="str">
            <v>Yuyun</v>
          </cell>
          <cell r="I2493" t="str">
            <v>Farida</v>
          </cell>
          <cell r="J2493"/>
          <cell r="K2493" t="str">
            <v>BG, KU</v>
          </cell>
          <cell r="L2493" t="str">
            <v>EKAJ02</v>
          </cell>
          <cell r="M2493" t="str">
            <v>Eka Jaya/Eko</v>
          </cell>
          <cell r="N2493" t="str">
            <v>Eko Prasetyo</v>
          </cell>
          <cell r="O2493" t="str">
            <v>Krajan Lor No.13, RT.001/RW.006 Sumberrejo, Ambulu</v>
          </cell>
          <cell r="P2493" t="str">
            <v>Jember</v>
          </cell>
          <cell r="Q2493" t="str">
            <v>Krajan Lor No.13, RT.001/RW.006 Sumberrejo, Ambulu</v>
          </cell>
          <cell r="R2493" t="str">
            <v>Jember</v>
          </cell>
          <cell r="S2493" t="str">
            <v>L Kota2</v>
          </cell>
          <cell r="T2493" t="str">
            <v>Efendi</v>
          </cell>
          <cell r="U2493">
            <v>30</v>
          </cell>
        </row>
        <row r="2494">
          <cell r="E2494" t="str">
            <v>B25013674</v>
          </cell>
          <cell r="F2494"/>
          <cell r="G2494">
            <v>200000000</v>
          </cell>
          <cell r="H2494" t="str">
            <v>Yuyun</v>
          </cell>
          <cell r="I2494" t="str">
            <v>Farida</v>
          </cell>
          <cell r="J2494"/>
          <cell r="K2494" t="str">
            <v>BG, KU</v>
          </cell>
          <cell r="L2494" t="str">
            <v>EKAJ02</v>
          </cell>
          <cell r="M2494" t="str">
            <v>Eka Jaya/Eko</v>
          </cell>
          <cell r="N2494" t="str">
            <v>Eko Prasetyo</v>
          </cell>
          <cell r="O2494" t="str">
            <v>Krajan Lor No.13, RT.001/RW.006 Sumberrejo, Ambulu</v>
          </cell>
          <cell r="P2494" t="str">
            <v>Jember</v>
          </cell>
          <cell r="Q2494" t="str">
            <v>Krajan Lor No.13, RT.001/RW.006 Sumberrejo, Ambulu</v>
          </cell>
          <cell r="R2494" t="str">
            <v>Jember</v>
          </cell>
          <cell r="S2494" t="str">
            <v>L Kota2</v>
          </cell>
          <cell r="T2494" t="str">
            <v>Efendi</v>
          </cell>
          <cell r="U2494">
            <v>30</v>
          </cell>
        </row>
        <row r="2495">
          <cell r="E2495" t="str">
            <v>D25014765</v>
          </cell>
          <cell r="F2495"/>
          <cell r="G2495">
            <v>30000000</v>
          </cell>
          <cell r="H2495" t="str">
            <v>Yuyun</v>
          </cell>
          <cell r="I2495" t="str">
            <v>Farida</v>
          </cell>
          <cell r="J2495"/>
          <cell r="K2495" t="str">
            <v>KU</v>
          </cell>
          <cell r="L2495" t="str">
            <v>EKAT02</v>
          </cell>
          <cell r="M2495" t="str">
            <v>Eka Tani/Sumarto</v>
          </cell>
          <cell r="N2495" t="str">
            <v>Sumarto</v>
          </cell>
          <cell r="O2495" t="str">
            <v>Dsn. Sambileren RT.001/RW.003 Purwosari Gumukmas</v>
          </cell>
          <cell r="P2495" t="str">
            <v>Jember</v>
          </cell>
          <cell r="Q2495" t="str">
            <v>Dsn. Sambileren RT.001/RW.003 Purwosari Gumukmas</v>
          </cell>
          <cell r="R2495" t="str">
            <v>Jember</v>
          </cell>
          <cell r="S2495" t="str">
            <v>L Kota3</v>
          </cell>
          <cell r="T2495" t="str">
            <v>Wira</v>
          </cell>
          <cell r="U2495">
            <v>30</v>
          </cell>
        </row>
        <row r="2496">
          <cell r="E2496" t="str">
            <v>T25001194</v>
          </cell>
          <cell r="F2496"/>
          <cell r="G2496">
            <v>75000000</v>
          </cell>
          <cell r="H2496" t="str">
            <v>Reni</v>
          </cell>
          <cell r="I2496" t="str">
            <v>Farida</v>
          </cell>
          <cell r="J2496" t="str">
            <v>New 21/12/21</v>
          </cell>
          <cell r="K2496" t="str">
            <v>KU</v>
          </cell>
          <cell r="L2496" t="str">
            <v>EKOT01</v>
          </cell>
          <cell r="M2496" t="str">
            <v>Eko Tani/Eko</v>
          </cell>
          <cell r="N2496" t="str">
            <v>Eko Kuswarianto, Drs</v>
          </cell>
          <cell r="O2496" t="str">
            <v>Jl. Bangsa 12, RT.002/RW.001 Kel. Jatiguwi, Kec. Sumber Pucung</v>
          </cell>
          <cell r="P2496" t="str">
            <v>Malang</v>
          </cell>
          <cell r="Q2496" t="str">
            <v>Jl. Bangsa 12, RT.002/RW.001 Kel. Jatiguwi, Kec. Sumber Pucung</v>
          </cell>
          <cell r="R2496" t="str">
            <v>Malang</v>
          </cell>
          <cell r="S2496" t="str">
            <v>F Utara1</v>
          </cell>
          <cell r="T2496" t="str">
            <v>Tomi</v>
          </cell>
          <cell r="U2496">
            <v>60</v>
          </cell>
        </row>
        <row r="2497">
          <cell r="E2497" t="str">
            <v>B25009975</v>
          </cell>
          <cell r="F2497"/>
          <cell r="G2497">
            <v>75000000</v>
          </cell>
          <cell r="H2497" t="str">
            <v>Reni</v>
          </cell>
          <cell r="I2497" t="str">
            <v>Farida</v>
          </cell>
          <cell r="J2497" t="str">
            <v>New 21/12/21</v>
          </cell>
          <cell r="K2497" t="str">
            <v>KU</v>
          </cell>
          <cell r="L2497" t="str">
            <v>EKOT01</v>
          </cell>
          <cell r="M2497" t="str">
            <v>Eko Tani/Eko</v>
          </cell>
          <cell r="N2497" t="str">
            <v>Eko Kuswarianto, Drs</v>
          </cell>
          <cell r="O2497" t="str">
            <v>Jl. Bangsa 12, RT.002/RW.001 Kel. Jatiguwi, Kec. Sumber Pucung</v>
          </cell>
          <cell r="P2497" t="str">
            <v>Malang</v>
          </cell>
          <cell r="Q2497" t="str">
            <v>Jl. Bangsa 12, RT.002/RW.001 Kel. Jatiguwi, Kec. Sumber Pucung</v>
          </cell>
          <cell r="R2497" t="str">
            <v>Malang</v>
          </cell>
          <cell r="S2497" t="str">
            <v>F Utara1</v>
          </cell>
          <cell r="T2497" t="str">
            <v>Tomi</v>
          </cell>
          <cell r="U2497">
            <v>60</v>
          </cell>
        </row>
        <row r="2498">
          <cell r="E2498" t="str">
            <v>B25011346</v>
          </cell>
          <cell r="F2498"/>
          <cell r="G2498">
            <v>75000000</v>
          </cell>
          <cell r="H2498" t="str">
            <v>Reni</v>
          </cell>
          <cell r="I2498" t="str">
            <v>Farida</v>
          </cell>
          <cell r="J2498" t="str">
            <v>New 21/12/21</v>
          </cell>
          <cell r="K2498" t="str">
            <v>KU</v>
          </cell>
          <cell r="L2498" t="str">
            <v>EKOT01</v>
          </cell>
          <cell r="M2498" t="str">
            <v>Eko Tani/Eko</v>
          </cell>
          <cell r="N2498" t="str">
            <v>Eko Kuswarianto, Drs</v>
          </cell>
          <cell r="O2498" t="str">
            <v>Jl. Bangsa 12, RT.002/RW.001 Kel. Jatiguwi, Kec. Sumber Pucung</v>
          </cell>
          <cell r="P2498" t="str">
            <v>Malang</v>
          </cell>
          <cell r="Q2498" t="str">
            <v>Jl. Bangsa 12, RT.002/RW.001 Kel. Jatiguwi, Kec. Sumber Pucung</v>
          </cell>
          <cell r="R2498" t="str">
            <v>Malang</v>
          </cell>
          <cell r="S2498" t="str">
            <v>F Utara1</v>
          </cell>
          <cell r="T2498" t="str">
            <v>Tomi</v>
          </cell>
          <cell r="U2498">
            <v>60</v>
          </cell>
        </row>
        <row r="2499">
          <cell r="E2499" t="str">
            <v>B25011347</v>
          </cell>
          <cell r="F2499"/>
          <cell r="G2499">
            <v>75000000</v>
          </cell>
          <cell r="H2499" t="str">
            <v>Reni</v>
          </cell>
          <cell r="I2499" t="str">
            <v>Farida</v>
          </cell>
          <cell r="J2499" t="str">
            <v>New 21/12/21</v>
          </cell>
          <cell r="K2499" t="str">
            <v>KU</v>
          </cell>
          <cell r="L2499" t="str">
            <v>EKOT01</v>
          </cell>
          <cell r="M2499" t="str">
            <v>Eko Tani/Eko</v>
          </cell>
          <cell r="N2499" t="str">
            <v>Eko Kuswarianto, Drs</v>
          </cell>
          <cell r="O2499" t="str">
            <v>Jl. Bangsa 12, RT.002/RW.001 Kel. Jatiguwi, Kec. Sumber Pucung</v>
          </cell>
          <cell r="P2499" t="str">
            <v>Malang</v>
          </cell>
          <cell r="Q2499" t="str">
            <v>Jl. Bangsa 12, RT.002/RW.001 Kel. Jatiguwi, Kec. Sumber Pucung</v>
          </cell>
          <cell r="R2499" t="str">
            <v>Malang</v>
          </cell>
          <cell r="S2499" t="str">
            <v>F Utara1</v>
          </cell>
          <cell r="T2499" t="str">
            <v>Tomi</v>
          </cell>
          <cell r="U2499">
            <v>60</v>
          </cell>
        </row>
        <row r="2500">
          <cell r="E2500" t="str">
            <v>B25011352</v>
          </cell>
          <cell r="F2500"/>
          <cell r="G2500">
            <v>75000000</v>
          </cell>
          <cell r="H2500" t="str">
            <v>Reni</v>
          </cell>
          <cell r="I2500" t="str">
            <v>Farida</v>
          </cell>
          <cell r="J2500" t="str">
            <v>New 21/12/21</v>
          </cell>
          <cell r="K2500" t="str">
            <v>KU</v>
          </cell>
          <cell r="L2500" t="str">
            <v>EKOT01</v>
          </cell>
          <cell r="M2500" t="str">
            <v>Eko Tani/Eko</v>
          </cell>
          <cell r="N2500" t="str">
            <v>Eko Kuswarianto, Drs</v>
          </cell>
          <cell r="O2500" t="str">
            <v>Jl. Bangsa 12, RT.002/RW.001 Kel. Jatiguwi, Kec. Sumber Pucung</v>
          </cell>
          <cell r="P2500" t="str">
            <v>Malang</v>
          </cell>
          <cell r="Q2500" t="str">
            <v>Jl. Bangsa 12, RT.002/RW.001 Kel. Jatiguwi, Kec. Sumber Pucung</v>
          </cell>
          <cell r="R2500" t="str">
            <v>Malang</v>
          </cell>
          <cell r="S2500" t="str">
            <v>F Utara1</v>
          </cell>
          <cell r="T2500" t="str">
            <v>Tomi</v>
          </cell>
          <cell r="U2500">
            <v>60</v>
          </cell>
        </row>
        <row r="2501">
          <cell r="E2501" t="str">
            <v>B25011387</v>
          </cell>
          <cell r="F2501"/>
          <cell r="G2501">
            <v>75000000</v>
          </cell>
          <cell r="H2501" t="str">
            <v>Reni</v>
          </cell>
          <cell r="I2501" t="str">
            <v>Farida</v>
          </cell>
          <cell r="J2501" t="str">
            <v>New 21/12/21</v>
          </cell>
          <cell r="K2501" t="str">
            <v>KU</v>
          </cell>
          <cell r="L2501" t="str">
            <v>EKOT01</v>
          </cell>
          <cell r="M2501" t="str">
            <v>Eko Tani/Eko</v>
          </cell>
          <cell r="N2501" t="str">
            <v>Eko Kuswarianto, Drs</v>
          </cell>
          <cell r="O2501" t="str">
            <v>Jl. Bangsa 12, RT.002/RW.001 Kel. Jatiguwi, Kec. Sumber Pucung</v>
          </cell>
          <cell r="P2501" t="str">
            <v>Malang</v>
          </cell>
          <cell r="Q2501" t="str">
            <v>Jl. Bangsa 12, RT.002/RW.001 Kel. Jatiguwi, Kec. Sumber Pucung</v>
          </cell>
          <cell r="R2501" t="str">
            <v>Malang</v>
          </cell>
          <cell r="S2501" t="str">
            <v>F Utara1</v>
          </cell>
          <cell r="T2501" t="str">
            <v>Tomi</v>
          </cell>
          <cell r="U2501">
            <v>30</v>
          </cell>
        </row>
        <row r="2502">
          <cell r="E2502" t="str">
            <v>B25012403</v>
          </cell>
          <cell r="F2502"/>
          <cell r="G2502">
            <v>75000000</v>
          </cell>
          <cell r="H2502" t="str">
            <v>Reni</v>
          </cell>
          <cell r="I2502" t="str">
            <v>Farida</v>
          </cell>
          <cell r="J2502" t="str">
            <v>New 21/12/21</v>
          </cell>
          <cell r="K2502" t="str">
            <v>KU</v>
          </cell>
          <cell r="L2502" t="str">
            <v>EKOT01</v>
          </cell>
          <cell r="M2502" t="str">
            <v>Eko Tani/Eko</v>
          </cell>
          <cell r="N2502" t="str">
            <v>Eko Kuswarianto, Drs</v>
          </cell>
          <cell r="O2502" t="str">
            <v>Jl. Bangsa 12, RT.002/RW.001 Kel. Jatiguwi, Kec. Sumber Pucung</v>
          </cell>
          <cell r="P2502" t="str">
            <v>Malang</v>
          </cell>
          <cell r="Q2502" t="str">
            <v>Jl. Bangsa 12, RT.002/RW.001 Kel. Jatiguwi, Kec. Sumber Pucung</v>
          </cell>
          <cell r="R2502" t="str">
            <v>Malang</v>
          </cell>
          <cell r="S2502" t="str">
            <v>F Utara1</v>
          </cell>
          <cell r="T2502" t="str">
            <v>Tomi</v>
          </cell>
          <cell r="U2502">
            <v>60</v>
          </cell>
        </row>
        <row r="2503">
          <cell r="E2503" t="str">
            <v>D25015432</v>
          </cell>
          <cell r="F2503"/>
          <cell r="G2503">
            <v>75000000</v>
          </cell>
          <cell r="H2503" t="str">
            <v>Reni</v>
          </cell>
          <cell r="I2503" t="str">
            <v>Farida</v>
          </cell>
          <cell r="J2503" t="str">
            <v>New 21/12/21</v>
          </cell>
          <cell r="K2503" t="str">
            <v>KU</v>
          </cell>
          <cell r="L2503" t="str">
            <v>EKOT01</v>
          </cell>
          <cell r="M2503" t="str">
            <v>Eko Tani/Eko</v>
          </cell>
          <cell r="N2503" t="str">
            <v>Eko Kuswarianto, Drs</v>
          </cell>
          <cell r="O2503" t="str">
            <v>Jl. Bangsa 12, RT.002/RW.001 Kel. Jatiguwi, Kec. Sumber Pucung</v>
          </cell>
          <cell r="P2503" t="str">
            <v>Malang</v>
          </cell>
          <cell r="Q2503" t="str">
            <v>Jl. Bangsa 12, RT.002/RW.001 Kel. Jatiguwi, Kec. Sumber Pucung</v>
          </cell>
          <cell r="R2503" t="str">
            <v>Malang</v>
          </cell>
          <cell r="S2503" t="str">
            <v>F Utara1</v>
          </cell>
          <cell r="T2503" t="str">
            <v>Tomi</v>
          </cell>
          <cell r="U2503">
            <v>60</v>
          </cell>
        </row>
        <row r="2504">
          <cell r="E2504" t="str">
            <v>D25015834</v>
          </cell>
          <cell r="F2504"/>
          <cell r="G2504">
            <v>75000000</v>
          </cell>
          <cell r="H2504" t="str">
            <v>Reni</v>
          </cell>
          <cell r="I2504" t="str">
            <v>Farida</v>
          </cell>
          <cell r="J2504" t="str">
            <v>New 21/12/21</v>
          </cell>
          <cell r="K2504" t="str">
            <v>KU</v>
          </cell>
          <cell r="L2504" t="str">
            <v>EKOT01</v>
          </cell>
          <cell r="M2504" t="str">
            <v>Eko Tani/Eko</v>
          </cell>
          <cell r="N2504" t="str">
            <v>Eko Kuswarianto, Drs</v>
          </cell>
          <cell r="O2504" t="str">
            <v>Jl. Bangsa 12, RT.002/RW.001 Kel. Jatiguwi, Kec. Sumber Pucung</v>
          </cell>
          <cell r="P2504" t="str">
            <v>Malang</v>
          </cell>
          <cell r="Q2504" t="str">
            <v>Jl. Bangsa 12, RT.002/RW.001 Kel. Jatiguwi, Kec. Sumber Pucung</v>
          </cell>
          <cell r="R2504" t="str">
            <v>Malang</v>
          </cell>
          <cell r="S2504" t="str">
            <v>F Utara1</v>
          </cell>
          <cell r="T2504" t="str">
            <v>Tomi</v>
          </cell>
          <cell r="U2504">
            <v>60</v>
          </cell>
        </row>
        <row r="2505">
          <cell r="E2505" t="str">
            <v>D25016081</v>
          </cell>
          <cell r="F2505"/>
          <cell r="G2505">
            <v>75000000</v>
          </cell>
          <cell r="H2505" t="str">
            <v>Reni</v>
          </cell>
          <cell r="I2505" t="str">
            <v>Farida</v>
          </cell>
          <cell r="J2505" t="str">
            <v>New 21/12/21</v>
          </cell>
          <cell r="K2505" t="str">
            <v>KU</v>
          </cell>
          <cell r="L2505" t="str">
            <v>EKOT01</v>
          </cell>
          <cell r="M2505" t="str">
            <v>Eko Tani/Eko</v>
          </cell>
          <cell r="N2505" t="str">
            <v>Eko Kuswarianto, Drs</v>
          </cell>
          <cell r="O2505" t="str">
            <v>Jl. Bangsa 12, RT.002/RW.001 Kel. Jatiguwi, Kec. Sumber Pucung</v>
          </cell>
          <cell r="P2505" t="str">
            <v>Malang</v>
          </cell>
          <cell r="Q2505" t="str">
            <v>Jl. Bangsa 12, RT.002/RW.001 Kel. Jatiguwi, Kec. Sumber Pucung</v>
          </cell>
          <cell r="R2505" t="str">
            <v>Malang</v>
          </cell>
          <cell r="S2505" t="str">
            <v>F Utara1</v>
          </cell>
          <cell r="T2505" t="str">
            <v>Tomi</v>
          </cell>
          <cell r="U2505">
            <v>30</v>
          </cell>
        </row>
        <row r="2506">
          <cell r="E2506" t="str">
            <v>Z25002574</v>
          </cell>
          <cell r="F2506"/>
          <cell r="G2506">
            <v>1000</v>
          </cell>
          <cell r="H2506" t="str">
            <v>Sheila</v>
          </cell>
          <cell r="I2506" t="str">
            <v>Exclusive</v>
          </cell>
          <cell r="J2506" t="str">
            <v>New 20/03/25</v>
          </cell>
          <cell r="K2506" t="str">
            <v>CBD</v>
          </cell>
          <cell r="L2506" t="str">
            <v>ELVI01</v>
          </cell>
          <cell r="M2506" t="str">
            <v>Elvira Sahabat</v>
          </cell>
          <cell r="N2506" t="str">
            <v>Elvira Sahabat</v>
          </cell>
          <cell r="O2506" t="str">
            <v>Tumpaan - Jaga I RT.001/RW.001 , Kel. Tumpaan Kec. Tumpaan, Minahasa Selatan</v>
          </cell>
          <cell r="P2506" t="str">
            <v>Sulawesi Utara</v>
          </cell>
          <cell r="Q2506" t="str">
            <v>Tumpaan - Jaga I RT.001/RW.001 , Kel. Tumpaan Kec. Tumpaan, Minahasa Selatan</v>
          </cell>
          <cell r="R2506" t="str">
            <v>Sulawesi Utara</v>
          </cell>
          <cell r="S2506" t="str">
            <v>E Luar Pulau1</v>
          </cell>
          <cell r="T2506" t="str">
            <v>Non SE &amp; JSE</v>
          </cell>
          <cell r="U2506">
            <v>15</v>
          </cell>
        </row>
        <row r="2507">
          <cell r="E2507" t="str">
            <v>B25012308</v>
          </cell>
          <cell r="F2507"/>
          <cell r="G2507">
            <v>1000</v>
          </cell>
          <cell r="H2507" t="str">
            <v>Reni</v>
          </cell>
          <cell r="I2507" t="str">
            <v>Farida</v>
          </cell>
          <cell r="J2507" t="str">
            <v>New 23/10/20</v>
          </cell>
          <cell r="K2507" t="str">
            <v>KU</v>
          </cell>
          <cell r="L2507" t="str">
            <v>EMAS01</v>
          </cell>
          <cell r="M2507" t="str">
            <v>Emas Tani/Kholil</v>
          </cell>
          <cell r="N2507" t="str">
            <v>Mohamad Kholil</v>
          </cell>
          <cell r="O2507" t="str">
            <v>Dusun Sanggrahan RT.002/RW.002, Kel. Sukorejo, Kec. Tugu</v>
          </cell>
          <cell r="P2507" t="str">
            <v>Trenggalek</v>
          </cell>
          <cell r="Q2507" t="str">
            <v>Dusun Sanggrahan RT.002/RW.002, Kel. Sukorejo, Kec. Tugu</v>
          </cell>
          <cell r="R2507" t="str">
            <v>Trenggalek</v>
          </cell>
          <cell r="S2507" t="str">
            <v>D Barat1</v>
          </cell>
          <cell r="T2507" t="str">
            <v>Dian</v>
          </cell>
          <cell r="U2507">
            <v>0</v>
          </cell>
        </row>
        <row r="2508">
          <cell r="E2508" t="str">
            <v>B25013418</v>
          </cell>
          <cell r="F2508"/>
          <cell r="G2508">
            <v>1000</v>
          </cell>
          <cell r="H2508" t="str">
            <v>Reni</v>
          </cell>
          <cell r="I2508" t="str">
            <v>Farida</v>
          </cell>
          <cell r="J2508" t="str">
            <v>New 23/10/20</v>
          </cell>
          <cell r="K2508" t="str">
            <v>KU</v>
          </cell>
          <cell r="L2508" t="str">
            <v>EMAS01</v>
          </cell>
          <cell r="M2508" t="str">
            <v>Emas Tani/Kholil</v>
          </cell>
          <cell r="N2508" t="str">
            <v>Mohamad Kholil</v>
          </cell>
          <cell r="O2508" t="str">
            <v>Dusun Sanggrahan RT.002/RW.002, Kel. Sukorejo, Kec. Tugu</v>
          </cell>
          <cell r="P2508" t="str">
            <v>Trenggalek</v>
          </cell>
          <cell r="Q2508" t="str">
            <v>Dusun Sanggrahan RT.002/RW.002, Kel. Sukorejo, Kec. Tugu</v>
          </cell>
          <cell r="R2508" t="str">
            <v>Trenggalek</v>
          </cell>
          <cell r="S2508" t="str">
            <v>D Barat1</v>
          </cell>
          <cell r="T2508" t="str">
            <v>Dian</v>
          </cell>
          <cell r="U2508">
            <v>0</v>
          </cell>
        </row>
        <row r="2509">
          <cell r="E2509" t="str">
            <v>D25016380</v>
          </cell>
          <cell r="F2509"/>
          <cell r="G2509">
            <v>1000</v>
          </cell>
          <cell r="H2509" t="str">
            <v>Faris</v>
          </cell>
          <cell r="I2509" t="str">
            <v>Syahra</v>
          </cell>
          <cell r="J2509" t="str">
            <v>New 31/10/25</v>
          </cell>
          <cell r="K2509" t="str">
            <v>KU</v>
          </cell>
          <cell r="L2509" t="str">
            <v>EMPA02</v>
          </cell>
          <cell r="M2509" t="str">
            <v>Empat Saudara/Imam</v>
          </cell>
          <cell r="N2509" t="str">
            <v>Empat Saudara/Imam</v>
          </cell>
          <cell r="O2509" t="str">
            <v>Dusun Krajan RT.001/RW.006, Kel. Tampo, Kec. Cluring</v>
          </cell>
          <cell r="P2509" t="str">
            <v>Banyuwangi</v>
          </cell>
          <cell r="Q2509" t="str">
            <v>Dusun Krajan RT.001/RW.006, Kel. Tampo, Kec. Cluring</v>
          </cell>
          <cell r="R2509" t="str">
            <v>Banyuwangi</v>
          </cell>
          <cell r="S2509" t="str">
            <v>H Bwi3</v>
          </cell>
          <cell r="T2509" t="str">
            <v>Hafid</v>
          </cell>
          <cell r="U2509">
            <v>0</v>
          </cell>
        </row>
        <row r="2510">
          <cell r="E2510" t="str">
            <v>B25010874</v>
          </cell>
          <cell r="F2510"/>
          <cell r="G2510">
            <v>100000000</v>
          </cell>
          <cell r="H2510" t="str">
            <v>Yuyun</v>
          </cell>
          <cell r="I2510" t="str">
            <v>Farida</v>
          </cell>
          <cell r="J2510" t="str">
            <v>New 24/02/24</v>
          </cell>
          <cell r="K2510" t="str">
            <v>Lobi</v>
          </cell>
          <cell r="L2510" t="str">
            <v>ENGG08</v>
          </cell>
          <cell r="M2510" t="str">
            <v>Enggal Makmur/Dwi</v>
          </cell>
          <cell r="N2510" t="str">
            <v>Dwi Satrio</v>
          </cell>
          <cell r="O2510" t="str">
            <v>Dusun Gumuk Gebang RT.032/RW.023, Kel. Nogosari, Kec. Rambipuji</v>
          </cell>
          <cell r="P2510" t="str">
            <v>Jember</v>
          </cell>
          <cell r="Q2510" t="str">
            <v>Karang Semanding , Balung</v>
          </cell>
          <cell r="R2510" t="str">
            <v>Jember</v>
          </cell>
          <cell r="S2510" t="str">
            <v>L Kota3</v>
          </cell>
          <cell r="T2510" t="str">
            <v>Efendi</v>
          </cell>
          <cell r="U2510">
            <v>30</v>
          </cell>
        </row>
        <row r="2511">
          <cell r="E2511" t="str">
            <v>B25011234</v>
          </cell>
          <cell r="F2511"/>
          <cell r="G2511">
            <v>100000000</v>
          </cell>
          <cell r="H2511" t="str">
            <v>Yuyun</v>
          </cell>
          <cell r="I2511" t="str">
            <v>Farida</v>
          </cell>
          <cell r="J2511" t="str">
            <v>New 24/02/24</v>
          </cell>
          <cell r="K2511" t="str">
            <v>Lobi</v>
          </cell>
          <cell r="L2511" t="str">
            <v>ENGG08</v>
          </cell>
          <cell r="M2511" t="str">
            <v>Enggal Makmur/Dwi</v>
          </cell>
          <cell r="N2511" t="str">
            <v>Dwi Satrio</v>
          </cell>
          <cell r="O2511" t="str">
            <v>Dusun Gumuk Gebang RT.032/RW.023, Kel. Nogosari, Kec. Rambipuji</v>
          </cell>
          <cell r="P2511" t="str">
            <v>Jember</v>
          </cell>
          <cell r="Q2511" t="str">
            <v>Karang Semanding , Balung</v>
          </cell>
          <cell r="R2511" t="str">
            <v>Jember</v>
          </cell>
          <cell r="S2511" t="str">
            <v>L Kota3</v>
          </cell>
          <cell r="T2511" t="str">
            <v>Efendi</v>
          </cell>
          <cell r="U2511">
            <v>30</v>
          </cell>
        </row>
        <row r="2512">
          <cell r="E2512" t="str">
            <v>B25011560</v>
          </cell>
          <cell r="F2512"/>
          <cell r="G2512">
            <v>100000000</v>
          </cell>
          <cell r="H2512" t="str">
            <v>Yuyun</v>
          </cell>
          <cell r="I2512" t="str">
            <v>Farida</v>
          </cell>
          <cell r="J2512" t="str">
            <v>New 24/02/24</v>
          </cell>
          <cell r="K2512" t="str">
            <v>Lobi</v>
          </cell>
          <cell r="L2512" t="str">
            <v>ENGG08</v>
          </cell>
          <cell r="M2512" t="str">
            <v>Enggal Makmur/Dwi</v>
          </cell>
          <cell r="N2512" t="str">
            <v>Dwi Satrio</v>
          </cell>
          <cell r="O2512" t="str">
            <v>Dusun Gumuk Gebang RT.032/RW.023, Kel. Nogosari, Kec. Rambipuji</v>
          </cell>
          <cell r="P2512" t="str">
            <v>Jember</v>
          </cell>
          <cell r="Q2512" t="str">
            <v>Karang Semanding , Balung</v>
          </cell>
          <cell r="R2512" t="str">
            <v>Jember</v>
          </cell>
          <cell r="S2512" t="str">
            <v>L Kota3</v>
          </cell>
          <cell r="T2512" t="str">
            <v>Efendi</v>
          </cell>
          <cell r="U2512">
            <v>30</v>
          </cell>
        </row>
        <row r="2513">
          <cell r="E2513" t="str">
            <v>B25011821</v>
          </cell>
          <cell r="F2513"/>
          <cell r="G2513">
            <v>100000000</v>
          </cell>
          <cell r="H2513" t="str">
            <v>Yuyun</v>
          </cell>
          <cell r="I2513" t="str">
            <v>Farida</v>
          </cell>
          <cell r="J2513" t="str">
            <v>New 24/02/24</v>
          </cell>
          <cell r="K2513" t="str">
            <v>Lobi</v>
          </cell>
          <cell r="L2513" t="str">
            <v>ENGG08</v>
          </cell>
          <cell r="M2513" t="str">
            <v>Enggal Makmur/Dwi</v>
          </cell>
          <cell r="N2513" t="str">
            <v>Dwi Satrio</v>
          </cell>
          <cell r="O2513" t="str">
            <v>Dusun Gumuk Gebang RT.032/RW.023, Kel. Nogosari, Kec. Rambipuji</v>
          </cell>
          <cell r="P2513" t="str">
            <v>Jember</v>
          </cell>
          <cell r="Q2513" t="str">
            <v>Karang Semanding , Balung</v>
          </cell>
          <cell r="R2513" t="str">
            <v>Jember</v>
          </cell>
          <cell r="S2513" t="str">
            <v>L Kota3</v>
          </cell>
          <cell r="T2513" t="str">
            <v>Efendi</v>
          </cell>
          <cell r="U2513">
            <v>30</v>
          </cell>
        </row>
        <row r="2514">
          <cell r="E2514" t="str">
            <v>B25012058</v>
          </cell>
          <cell r="F2514"/>
          <cell r="G2514">
            <v>100000000</v>
          </cell>
          <cell r="H2514" t="str">
            <v>Yuyun</v>
          </cell>
          <cell r="I2514" t="str">
            <v>Farida</v>
          </cell>
          <cell r="J2514" t="str">
            <v>New 24/02/24</v>
          </cell>
          <cell r="K2514" t="str">
            <v>Lobi</v>
          </cell>
          <cell r="L2514" t="str">
            <v>ENGG08</v>
          </cell>
          <cell r="M2514" t="str">
            <v>Enggal Makmur/Dwi</v>
          </cell>
          <cell r="N2514" t="str">
            <v>Dwi Satrio</v>
          </cell>
          <cell r="O2514" t="str">
            <v>Dusun Gumuk Gebang RT.032/RW.023, Kel. Nogosari, Kec. Rambipuji</v>
          </cell>
          <cell r="P2514" t="str">
            <v>Jember</v>
          </cell>
          <cell r="Q2514" t="str">
            <v>Karang Semanding , Balung</v>
          </cell>
          <cell r="R2514" t="str">
            <v>Jember</v>
          </cell>
          <cell r="S2514" t="str">
            <v>L Kota3</v>
          </cell>
          <cell r="T2514" t="str">
            <v>Efendi</v>
          </cell>
          <cell r="U2514">
            <v>30</v>
          </cell>
        </row>
        <row r="2515">
          <cell r="E2515" t="str">
            <v>B25012138</v>
          </cell>
          <cell r="F2515"/>
          <cell r="G2515">
            <v>100000000</v>
          </cell>
          <cell r="H2515" t="str">
            <v>Yuyun</v>
          </cell>
          <cell r="I2515" t="str">
            <v>Farida</v>
          </cell>
          <cell r="J2515" t="str">
            <v>New 24/02/24</v>
          </cell>
          <cell r="K2515" t="str">
            <v>Lobi</v>
          </cell>
          <cell r="L2515" t="str">
            <v>ENGG08</v>
          </cell>
          <cell r="M2515" t="str">
            <v>Enggal Makmur/Dwi</v>
          </cell>
          <cell r="N2515" t="str">
            <v>Dwi Satrio</v>
          </cell>
          <cell r="O2515" t="str">
            <v>Dusun Gumuk Gebang RT.032/RW.023, Kel. Nogosari, Kec. Rambipuji</v>
          </cell>
          <cell r="P2515" t="str">
            <v>Jember</v>
          </cell>
          <cell r="Q2515" t="str">
            <v>Karang Semanding , Balung</v>
          </cell>
          <cell r="R2515" t="str">
            <v>Jember</v>
          </cell>
          <cell r="S2515" t="str">
            <v>L Kota3</v>
          </cell>
          <cell r="T2515" t="str">
            <v>Efendi</v>
          </cell>
          <cell r="U2515">
            <v>30</v>
          </cell>
        </row>
        <row r="2516">
          <cell r="E2516" t="str">
            <v>T25001449</v>
          </cell>
          <cell r="F2516"/>
          <cell r="G2516">
            <v>100000000</v>
          </cell>
          <cell r="H2516" t="str">
            <v>Yuyun</v>
          </cell>
          <cell r="I2516" t="str">
            <v>Farida</v>
          </cell>
          <cell r="J2516" t="str">
            <v>New 24/02/24</v>
          </cell>
          <cell r="K2516" t="str">
            <v>Lobi</v>
          </cell>
          <cell r="L2516" t="str">
            <v>ENGG08</v>
          </cell>
          <cell r="M2516" t="str">
            <v>Enggal Makmur/Dwi</v>
          </cell>
          <cell r="N2516" t="str">
            <v>Dwi Satrio</v>
          </cell>
          <cell r="O2516" t="str">
            <v>Dusun Gumuk Gebang RT.032/RW.023, Kel. Nogosari, Kec. Rambipuji</v>
          </cell>
          <cell r="P2516" t="str">
            <v>Jember</v>
          </cell>
          <cell r="Q2516" t="str">
            <v>Karang Semanding , Balung</v>
          </cell>
          <cell r="R2516" t="str">
            <v>Jember</v>
          </cell>
          <cell r="S2516" t="str">
            <v>L Kota3</v>
          </cell>
          <cell r="T2516" t="str">
            <v>Efendi</v>
          </cell>
          <cell r="U2516">
            <v>60</v>
          </cell>
        </row>
        <row r="2517">
          <cell r="E2517" t="str">
            <v>B25012434</v>
          </cell>
          <cell r="F2517"/>
          <cell r="G2517">
            <v>100000000</v>
          </cell>
          <cell r="H2517" t="str">
            <v>Yuyun</v>
          </cell>
          <cell r="I2517" t="str">
            <v>Farida</v>
          </cell>
          <cell r="J2517" t="str">
            <v>New 24/02/24</v>
          </cell>
          <cell r="K2517" t="str">
            <v>Lobi</v>
          </cell>
          <cell r="L2517" t="str">
            <v>ENGG08</v>
          </cell>
          <cell r="M2517" t="str">
            <v>Enggal Makmur/Dwi</v>
          </cell>
          <cell r="N2517" t="str">
            <v>Dwi Satrio</v>
          </cell>
          <cell r="O2517" t="str">
            <v>Dusun Gumuk Gebang RT.032/RW.023, Kel. Nogosari, Kec. Rambipuji</v>
          </cell>
          <cell r="P2517" t="str">
            <v>Jember</v>
          </cell>
          <cell r="Q2517" t="str">
            <v>Karang Semanding , Balung</v>
          </cell>
          <cell r="R2517" t="str">
            <v>Jember</v>
          </cell>
          <cell r="S2517" t="str">
            <v>L Kota3</v>
          </cell>
          <cell r="T2517" t="str">
            <v>Efendi</v>
          </cell>
          <cell r="U2517">
            <v>30</v>
          </cell>
        </row>
        <row r="2518">
          <cell r="E2518" t="str">
            <v>B25012434</v>
          </cell>
          <cell r="F2518"/>
          <cell r="G2518">
            <v>100000000</v>
          </cell>
          <cell r="H2518" t="str">
            <v>Yuyun</v>
          </cell>
          <cell r="I2518" t="str">
            <v>Farida</v>
          </cell>
          <cell r="J2518" t="str">
            <v>New 24/02/24</v>
          </cell>
          <cell r="K2518" t="str">
            <v>Lobi</v>
          </cell>
          <cell r="L2518" t="str">
            <v>ENGG08</v>
          </cell>
          <cell r="M2518" t="str">
            <v>Enggal Makmur/Dwi</v>
          </cell>
          <cell r="N2518" t="str">
            <v>Dwi Satrio</v>
          </cell>
          <cell r="O2518" t="str">
            <v>Dusun Gumuk Gebang RT.032/RW.023, Kel. Nogosari, Kec. Rambipuji</v>
          </cell>
          <cell r="P2518" t="str">
            <v>Jember</v>
          </cell>
          <cell r="Q2518" t="str">
            <v>Karang Semanding , Balung</v>
          </cell>
          <cell r="R2518" t="str">
            <v>Jember</v>
          </cell>
          <cell r="S2518" t="str">
            <v>L Kota3</v>
          </cell>
          <cell r="T2518" t="str">
            <v>Efendi</v>
          </cell>
          <cell r="U2518">
            <v>30</v>
          </cell>
        </row>
        <row r="2519">
          <cell r="E2519" t="str">
            <v>B25012749</v>
          </cell>
          <cell r="F2519"/>
          <cell r="G2519">
            <v>100000000</v>
          </cell>
          <cell r="H2519" t="str">
            <v>Yuyun</v>
          </cell>
          <cell r="I2519" t="str">
            <v>Farida</v>
          </cell>
          <cell r="J2519" t="str">
            <v>New 24/02/24</v>
          </cell>
          <cell r="K2519" t="str">
            <v>Lobi</v>
          </cell>
          <cell r="L2519" t="str">
            <v>ENGG08</v>
          </cell>
          <cell r="M2519" t="str">
            <v>Enggal Makmur/Dwi</v>
          </cell>
          <cell r="N2519" t="str">
            <v>Dwi Satrio</v>
          </cell>
          <cell r="O2519" t="str">
            <v>Dusun Gumuk Gebang RT.032/RW.023, Kel. Nogosari, Kec. Rambipuji</v>
          </cell>
          <cell r="P2519" t="str">
            <v>Jember</v>
          </cell>
          <cell r="Q2519" t="str">
            <v>Karang Semanding , Balung</v>
          </cell>
          <cell r="R2519" t="str">
            <v>Jember</v>
          </cell>
          <cell r="S2519" t="str">
            <v>L Kota3</v>
          </cell>
          <cell r="T2519" t="str">
            <v>Efendi</v>
          </cell>
          <cell r="U2519">
            <v>30</v>
          </cell>
        </row>
        <row r="2520">
          <cell r="E2520" t="str">
            <v>B25012997</v>
          </cell>
          <cell r="F2520"/>
          <cell r="G2520">
            <v>100000000</v>
          </cell>
          <cell r="H2520" t="str">
            <v>Yuyun</v>
          </cell>
          <cell r="I2520" t="str">
            <v>Farida</v>
          </cell>
          <cell r="J2520" t="str">
            <v>New 24/02/24</v>
          </cell>
          <cell r="K2520" t="str">
            <v>Lobi</v>
          </cell>
          <cell r="L2520" t="str">
            <v>ENGG08</v>
          </cell>
          <cell r="M2520" t="str">
            <v>Enggal Makmur/Dwi</v>
          </cell>
          <cell r="N2520" t="str">
            <v>Dwi Satrio</v>
          </cell>
          <cell r="O2520" t="str">
            <v>Dusun Gumuk Gebang RT.032/RW.023, Kel. Nogosari, Kec. Rambipuji</v>
          </cell>
          <cell r="P2520" t="str">
            <v>Jember</v>
          </cell>
          <cell r="Q2520" t="str">
            <v>Karang Semanding , Balung</v>
          </cell>
          <cell r="R2520" t="str">
            <v>Jember</v>
          </cell>
          <cell r="S2520" t="str">
            <v>L Kota3</v>
          </cell>
          <cell r="T2520" t="str">
            <v>Efendi</v>
          </cell>
          <cell r="U2520">
            <v>60</v>
          </cell>
        </row>
        <row r="2521">
          <cell r="E2521" t="str">
            <v>D25015509</v>
          </cell>
          <cell r="F2521"/>
          <cell r="G2521">
            <v>100000000</v>
          </cell>
          <cell r="H2521" t="str">
            <v>Yuyun</v>
          </cell>
          <cell r="I2521" t="str">
            <v>Farida</v>
          </cell>
          <cell r="J2521" t="str">
            <v>New 24/02/24</v>
          </cell>
          <cell r="K2521" t="str">
            <v>Lobi</v>
          </cell>
          <cell r="L2521" t="str">
            <v>ENGG08</v>
          </cell>
          <cell r="M2521" t="str">
            <v>Enggal Makmur/Dwi</v>
          </cell>
          <cell r="N2521" t="str">
            <v>Dwi Satrio</v>
          </cell>
          <cell r="O2521" t="str">
            <v>Dusun Gumuk Gebang RT.032/RW.023, Kel. Nogosari, Kec. Rambipuji</v>
          </cell>
          <cell r="P2521" t="str">
            <v>Jember</v>
          </cell>
          <cell r="Q2521" t="str">
            <v>Karang Semanding , Balung</v>
          </cell>
          <cell r="R2521" t="str">
            <v>Jember</v>
          </cell>
          <cell r="S2521" t="str">
            <v>L Kota3</v>
          </cell>
          <cell r="T2521" t="str">
            <v>Efendi</v>
          </cell>
          <cell r="U2521">
            <v>0</v>
          </cell>
        </row>
        <row r="2522">
          <cell r="E2522" t="str">
            <v>B25013458</v>
          </cell>
          <cell r="F2522"/>
          <cell r="G2522">
            <v>100000000</v>
          </cell>
          <cell r="H2522" t="str">
            <v>Yuyun</v>
          </cell>
          <cell r="I2522" t="str">
            <v>Farida</v>
          </cell>
          <cell r="J2522" t="str">
            <v>New 24/02/24</v>
          </cell>
          <cell r="K2522" t="str">
            <v>Lobi</v>
          </cell>
          <cell r="L2522" t="str">
            <v>ENGG08</v>
          </cell>
          <cell r="M2522" t="str">
            <v>Enggal Makmur/Dwi</v>
          </cell>
          <cell r="N2522" t="str">
            <v>Dwi Satrio</v>
          </cell>
          <cell r="O2522" t="str">
            <v>Dusun Gumuk Gebang RT.032/RW.023, Kel. Nogosari, Kec. Rambipuji</v>
          </cell>
          <cell r="P2522" t="str">
            <v>Jember</v>
          </cell>
          <cell r="Q2522" t="str">
            <v>Karang Semanding , Balung</v>
          </cell>
          <cell r="R2522" t="str">
            <v>Jember</v>
          </cell>
          <cell r="S2522" t="str">
            <v>L Kota3</v>
          </cell>
          <cell r="T2522" t="str">
            <v>Efendi</v>
          </cell>
          <cell r="U2522">
            <v>30</v>
          </cell>
        </row>
        <row r="2523">
          <cell r="E2523" t="str">
            <v>B25013508</v>
          </cell>
          <cell r="F2523"/>
          <cell r="G2523">
            <v>100000000</v>
          </cell>
          <cell r="H2523" t="str">
            <v>Yuyun</v>
          </cell>
          <cell r="I2523" t="str">
            <v>Farida</v>
          </cell>
          <cell r="J2523" t="str">
            <v>New 24/02/24</v>
          </cell>
          <cell r="K2523" t="str">
            <v>Lobi</v>
          </cell>
          <cell r="L2523" t="str">
            <v>ENGG08</v>
          </cell>
          <cell r="M2523" t="str">
            <v>Enggal Makmur/Dwi</v>
          </cell>
          <cell r="N2523" t="str">
            <v>Dwi Satrio</v>
          </cell>
          <cell r="O2523" t="str">
            <v>Dusun Gumuk Gebang RT.032/RW.023, Kel. Nogosari, Kec. Rambipuji</v>
          </cell>
          <cell r="P2523" t="str">
            <v>Jember</v>
          </cell>
          <cell r="Q2523" t="str">
            <v>Karang Semanding , Balung</v>
          </cell>
          <cell r="R2523" t="str">
            <v>Jember</v>
          </cell>
          <cell r="S2523" t="str">
            <v>L Kota3</v>
          </cell>
          <cell r="T2523" t="str">
            <v>Efendi</v>
          </cell>
          <cell r="U2523">
            <v>30</v>
          </cell>
        </row>
        <row r="2524">
          <cell r="E2524" t="str">
            <v>B25013566</v>
          </cell>
          <cell r="F2524"/>
          <cell r="G2524">
            <v>100000000</v>
          </cell>
          <cell r="H2524" t="str">
            <v>Yuyun</v>
          </cell>
          <cell r="I2524" t="str">
            <v>Farida</v>
          </cell>
          <cell r="J2524" t="str">
            <v>New 24/02/24</v>
          </cell>
          <cell r="K2524" t="str">
            <v>Lobi</v>
          </cell>
          <cell r="L2524" t="str">
            <v>ENGG08</v>
          </cell>
          <cell r="M2524" t="str">
            <v>Enggal Makmur/Dwi</v>
          </cell>
          <cell r="N2524" t="str">
            <v>Dwi Satrio</v>
          </cell>
          <cell r="O2524" t="str">
            <v>Dusun Gumuk Gebang RT.032/RW.023, Kel. Nogosari, Kec. Rambipuji</v>
          </cell>
          <cell r="P2524" t="str">
            <v>Jember</v>
          </cell>
          <cell r="Q2524" t="str">
            <v>Karang Semanding , Balung</v>
          </cell>
          <cell r="R2524" t="str">
            <v>Jember</v>
          </cell>
          <cell r="S2524" t="str">
            <v>L Kota3</v>
          </cell>
          <cell r="T2524" t="str">
            <v>Efendi</v>
          </cell>
          <cell r="U2524">
            <v>30</v>
          </cell>
        </row>
        <row r="2525">
          <cell r="E2525" t="str">
            <v>B25013646</v>
          </cell>
          <cell r="F2525"/>
          <cell r="G2525">
            <v>100000000</v>
          </cell>
          <cell r="H2525" t="str">
            <v>Yuyun</v>
          </cell>
          <cell r="I2525" t="str">
            <v>Farida</v>
          </cell>
          <cell r="J2525" t="str">
            <v>New 24/02/24</v>
          </cell>
          <cell r="K2525" t="str">
            <v>Lobi</v>
          </cell>
          <cell r="L2525" t="str">
            <v>ENGG08</v>
          </cell>
          <cell r="M2525" t="str">
            <v>Enggal Makmur/Dwi</v>
          </cell>
          <cell r="N2525" t="str">
            <v>Dwi Satrio</v>
          </cell>
          <cell r="O2525" t="str">
            <v>Dusun Gumuk Gebang RT.032/RW.023, Kel. Nogosari, Kec. Rambipuji</v>
          </cell>
          <cell r="P2525" t="str">
            <v>Jember</v>
          </cell>
          <cell r="Q2525" t="str">
            <v>Karang Semanding , Balung</v>
          </cell>
          <cell r="R2525" t="str">
            <v>Jember</v>
          </cell>
          <cell r="S2525" t="str">
            <v>L Kota3</v>
          </cell>
          <cell r="T2525" t="str">
            <v>Efendi</v>
          </cell>
          <cell r="U2525">
            <v>30</v>
          </cell>
        </row>
        <row r="2526">
          <cell r="E2526" t="str">
            <v>B25013948</v>
          </cell>
          <cell r="F2526"/>
          <cell r="G2526">
            <v>100000000</v>
          </cell>
          <cell r="H2526" t="str">
            <v>Yuyun</v>
          </cell>
          <cell r="I2526" t="str">
            <v>Farida</v>
          </cell>
          <cell r="J2526" t="str">
            <v>New 24/02/24</v>
          </cell>
          <cell r="K2526" t="str">
            <v>Lobi</v>
          </cell>
          <cell r="L2526" t="str">
            <v>ENGG08</v>
          </cell>
          <cell r="M2526" t="str">
            <v>Enggal Makmur/Dwi</v>
          </cell>
          <cell r="N2526" t="str">
            <v>Dwi Satrio</v>
          </cell>
          <cell r="O2526" t="str">
            <v>Dusun Gumuk Gebang RT.032/RW.023, Kel. Nogosari, Kec. Rambipuji</v>
          </cell>
          <cell r="P2526" t="str">
            <v>Jember</v>
          </cell>
          <cell r="Q2526" t="str">
            <v>Karang Semanding , Balung</v>
          </cell>
          <cell r="R2526" t="str">
            <v>Jember</v>
          </cell>
          <cell r="S2526" t="str">
            <v>L Kota3</v>
          </cell>
          <cell r="T2526" t="str">
            <v>Efendi</v>
          </cell>
          <cell r="U2526">
            <v>60</v>
          </cell>
        </row>
        <row r="2527">
          <cell r="E2527" t="str">
            <v>B25013950</v>
          </cell>
          <cell r="F2527"/>
          <cell r="G2527">
            <v>100000000</v>
          </cell>
          <cell r="H2527" t="str">
            <v>Yuyun</v>
          </cell>
          <cell r="I2527" t="str">
            <v>Farida</v>
          </cell>
          <cell r="J2527" t="str">
            <v>New 24/02/24</v>
          </cell>
          <cell r="K2527" t="str">
            <v>Lobi</v>
          </cell>
          <cell r="L2527" t="str">
            <v>ENGG08</v>
          </cell>
          <cell r="M2527" t="str">
            <v>Enggal Makmur/Dwi</v>
          </cell>
          <cell r="N2527" t="str">
            <v>Dwi Satrio</v>
          </cell>
          <cell r="O2527" t="str">
            <v>Dusun Gumuk Gebang RT.032/RW.023, Kel. Nogosari, Kec. Rambipuji</v>
          </cell>
          <cell r="P2527" t="str">
            <v>Jember</v>
          </cell>
          <cell r="Q2527" t="str">
            <v>Karang Semanding , Balung</v>
          </cell>
          <cell r="R2527" t="str">
            <v>Jember</v>
          </cell>
          <cell r="S2527" t="str">
            <v>L Kota3</v>
          </cell>
          <cell r="T2527" t="str">
            <v>Efendi</v>
          </cell>
          <cell r="U2527">
            <v>30</v>
          </cell>
        </row>
        <row r="2528">
          <cell r="E2528" t="str">
            <v>B25010159</v>
          </cell>
          <cell r="F2528"/>
          <cell r="G2528">
            <v>10000000</v>
          </cell>
          <cell r="H2528" t="str">
            <v>Yuyun</v>
          </cell>
          <cell r="I2528" t="str">
            <v>Farida</v>
          </cell>
          <cell r="J2528"/>
          <cell r="K2528" t="str">
            <v>Tunai</v>
          </cell>
          <cell r="L2528" t="str">
            <v>ERTA01</v>
          </cell>
          <cell r="M2528" t="str">
            <v>Er Tani</v>
          </cell>
          <cell r="N2528" t="str">
            <v>Erwan Hartoyo</v>
          </cell>
          <cell r="O2528" t="str">
            <v>Krajan Wetan RT. 1/1 Tanjungrejo</v>
          </cell>
          <cell r="P2528" t="str">
            <v>Jember</v>
          </cell>
          <cell r="Q2528" t="str">
            <v>Krajan Wetan RT. 1/1 Tanjungrejo</v>
          </cell>
          <cell r="R2528" t="str">
            <v>Jember</v>
          </cell>
          <cell r="S2528" t="str">
            <v>L Kota2</v>
          </cell>
          <cell r="T2528" t="str">
            <v>Wira</v>
          </cell>
          <cell r="U2528">
            <v>30</v>
          </cell>
        </row>
        <row r="2529">
          <cell r="E2529" t="str">
            <v>B25010161</v>
          </cell>
          <cell r="F2529"/>
          <cell r="G2529">
            <v>10000000</v>
          </cell>
          <cell r="H2529" t="str">
            <v>Yuyun</v>
          </cell>
          <cell r="I2529" t="str">
            <v>Farida</v>
          </cell>
          <cell r="J2529"/>
          <cell r="K2529" t="str">
            <v>Tunai</v>
          </cell>
          <cell r="L2529" t="str">
            <v>ERTA01</v>
          </cell>
          <cell r="M2529" t="str">
            <v>Er Tani</v>
          </cell>
          <cell r="N2529" t="str">
            <v>Erwan Hartoyo</v>
          </cell>
          <cell r="O2529" t="str">
            <v>Krajan Wetan RT. 1/1 Tanjungrejo</v>
          </cell>
          <cell r="P2529" t="str">
            <v>Jember</v>
          </cell>
          <cell r="Q2529" t="str">
            <v>Krajan Wetan RT. 1/1 Tanjungrejo</v>
          </cell>
          <cell r="R2529" t="str">
            <v>Jember</v>
          </cell>
          <cell r="S2529" t="str">
            <v>L Kota2</v>
          </cell>
          <cell r="T2529" t="str">
            <v>Wira</v>
          </cell>
          <cell r="U2529">
            <v>30</v>
          </cell>
        </row>
        <row r="2530">
          <cell r="E2530" t="str">
            <v>B25011219</v>
          </cell>
          <cell r="F2530"/>
          <cell r="G2530">
            <v>10000000</v>
          </cell>
          <cell r="H2530" t="str">
            <v>Yuyun</v>
          </cell>
          <cell r="I2530" t="str">
            <v>Farida</v>
          </cell>
          <cell r="J2530"/>
          <cell r="K2530" t="str">
            <v>Tunai</v>
          </cell>
          <cell r="L2530" t="str">
            <v>ERTA01</v>
          </cell>
          <cell r="M2530" t="str">
            <v>Er Tani</v>
          </cell>
          <cell r="N2530" t="str">
            <v>Erwan Hartoyo</v>
          </cell>
          <cell r="O2530" t="str">
            <v>Krajan Wetan RT. 1/1 Tanjungrejo</v>
          </cell>
          <cell r="P2530" t="str">
            <v>Jember</v>
          </cell>
          <cell r="Q2530" t="str">
            <v>Krajan Wetan RT. 1/1 Tanjungrejo</v>
          </cell>
          <cell r="R2530" t="str">
            <v>Jember</v>
          </cell>
          <cell r="S2530" t="str">
            <v>L Kota2</v>
          </cell>
          <cell r="T2530" t="str">
            <v>Wira</v>
          </cell>
          <cell r="U2530">
            <v>30</v>
          </cell>
        </row>
        <row r="2531">
          <cell r="E2531" t="str">
            <v>D25013439</v>
          </cell>
          <cell r="F2531"/>
          <cell r="G2531">
            <v>10000000</v>
          </cell>
          <cell r="H2531" t="str">
            <v>Yuyun</v>
          </cell>
          <cell r="I2531" t="str">
            <v>Farida</v>
          </cell>
          <cell r="J2531"/>
          <cell r="K2531" t="str">
            <v>Tunai</v>
          </cell>
          <cell r="L2531" t="str">
            <v>ERTA01</v>
          </cell>
          <cell r="M2531" t="str">
            <v>Er Tani</v>
          </cell>
          <cell r="N2531" t="str">
            <v>Erwan Hartoyo</v>
          </cell>
          <cell r="O2531" t="str">
            <v>Krajan Wetan RT. 1/1 Tanjungrejo</v>
          </cell>
          <cell r="P2531" t="str">
            <v>Jember</v>
          </cell>
          <cell r="Q2531" t="str">
            <v>Krajan Wetan RT. 1/1 Tanjungrejo</v>
          </cell>
          <cell r="R2531" t="str">
            <v>Jember</v>
          </cell>
          <cell r="S2531" t="str">
            <v>L Kota2</v>
          </cell>
          <cell r="T2531" t="str">
            <v>Wira</v>
          </cell>
          <cell r="U2531">
            <v>30</v>
          </cell>
        </row>
        <row r="2532">
          <cell r="E2532" t="str">
            <v>D25013440</v>
          </cell>
          <cell r="F2532"/>
          <cell r="G2532">
            <v>10000000</v>
          </cell>
          <cell r="H2532" t="str">
            <v>Yuyun</v>
          </cell>
          <cell r="I2532" t="str">
            <v>Farida</v>
          </cell>
          <cell r="J2532"/>
          <cell r="K2532" t="str">
            <v>Tunai</v>
          </cell>
          <cell r="L2532" t="str">
            <v>ERTA01</v>
          </cell>
          <cell r="M2532" t="str">
            <v>Er Tani</v>
          </cell>
          <cell r="N2532" t="str">
            <v>Erwan Hartoyo</v>
          </cell>
          <cell r="O2532" t="str">
            <v>Krajan Wetan RT. 1/1 Tanjungrejo</v>
          </cell>
          <cell r="P2532" t="str">
            <v>Jember</v>
          </cell>
          <cell r="Q2532" t="str">
            <v>Krajan Wetan RT. 1/1 Tanjungrejo</v>
          </cell>
          <cell r="R2532" t="str">
            <v>Jember</v>
          </cell>
          <cell r="S2532" t="str">
            <v>L Kota2</v>
          </cell>
          <cell r="T2532" t="str">
            <v>Wira</v>
          </cell>
          <cell r="U2532">
            <v>30</v>
          </cell>
        </row>
        <row r="2533">
          <cell r="E2533" t="str">
            <v>D25013441</v>
          </cell>
          <cell r="F2533"/>
          <cell r="G2533">
            <v>10000000</v>
          </cell>
          <cell r="H2533" t="str">
            <v>Yuyun</v>
          </cell>
          <cell r="I2533" t="str">
            <v>Farida</v>
          </cell>
          <cell r="J2533"/>
          <cell r="K2533" t="str">
            <v>Tunai</v>
          </cell>
          <cell r="L2533" t="str">
            <v>ERTA01</v>
          </cell>
          <cell r="M2533" t="str">
            <v>Er Tani</v>
          </cell>
          <cell r="N2533" t="str">
            <v>Erwan Hartoyo</v>
          </cell>
          <cell r="O2533" t="str">
            <v>Krajan Wetan RT. 1/1 Tanjungrejo</v>
          </cell>
          <cell r="P2533" t="str">
            <v>Jember</v>
          </cell>
          <cell r="Q2533" t="str">
            <v>Krajan Wetan RT. 1/1 Tanjungrejo</v>
          </cell>
          <cell r="R2533" t="str">
            <v>Jember</v>
          </cell>
          <cell r="S2533" t="str">
            <v>L Kota2</v>
          </cell>
          <cell r="T2533" t="str">
            <v>Wira</v>
          </cell>
          <cell r="U2533">
            <v>30</v>
          </cell>
        </row>
        <row r="2534">
          <cell r="E2534" t="str">
            <v>D25013442</v>
          </cell>
          <cell r="F2534"/>
          <cell r="G2534">
            <v>10000000</v>
          </cell>
          <cell r="H2534" t="str">
            <v>Yuyun</v>
          </cell>
          <cell r="I2534" t="str">
            <v>Farida</v>
          </cell>
          <cell r="J2534"/>
          <cell r="K2534" t="str">
            <v>Tunai</v>
          </cell>
          <cell r="L2534" t="str">
            <v>ERTA01</v>
          </cell>
          <cell r="M2534" t="str">
            <v>Er Tani</v>
          </cell>
          <cell r="N2534" t="str">
            <v>Erwan Hartoyo</v>
          </cell>
          <cell r="O2534" t="str">
            <v>Krajan Wetan RT. 1/1 Tanjungrejo</v>
          </cell>
          <cell r="P2534" t="str">
            <v>Jember</v>
          </cell>
          <cell r="Q2534" t="str">
            <v>Krajan Wetan RT. 1/1 Tanjungrejo</v>
          </cell>
          <cell r="R2534" t="str">
            <v>Jember</v>
          </cell>
          <cell r="S2534" t="str">
            <v>L Kota2</v>
          </cell>
          <cell r="T2534" t="str">
            <v>Wira</v>
          </cell>
          <cell r="U2534">
            <v>30</v>
          </cell>
        </row>
        <row r="2535">
          <cell r="E2535" t="str">
            <v>D25015623</v>
          </cell>
          <cell r="F2535"/>
          <cell r="G2535">
            <v>10000000</v>
          </cell>
          <cell r="H2535" t="str">
            <v>Yuyun</v>
          </cell>
          <cell r="I2535" t="str">
            <v>Farida</v>
          </cell>
          <cell r="J2535"/>
          <cell r="K2535" t="str">
            <v>Tunai</v>
          </cell>
          <cell r="L2535" t="str">
            <v>ERTA01</v>
          </cell>
          <cell r="M2535" t="str">
            <v>Er Tani</v>
          </cell>
          <cell r="N2535" t="str">
            <v>Erwan Hartoyo</v>
          </cell>
          <cell r="O2535" t="str">
            <v>Krajan Wetan RT. 1/1 Tanjungrejo</v>
          </cell>
          <cell r="P2535" t="str">
            <v>Jember</v>
          </cell>
          <cell r="Q2535" t="str">
            <v>Krajan Wetan RT. 1/1 Tanjungrejo</v>
          </cell>
          <cell r="R2535" t="str">
            <v>Jember</v>
          </cell>
          <cell r="S2535" t="str">
            <v>L Kota2</v>
          </cell>
          <cell r="T2535" t="str">
            <v>Wira</v>
          </cell>
          <cell r="U2535">
            <v>30</v>
          </cell>
        </row>
        <row r="2536">
          <cell r="E2536" t="str">
            <v>D25015624</v>
          </cell>
          <cell r="F2536"/>
          <cell r="G2536">
            <v>10000000</v>
          </cell>
          <cell r="H2536" t="str">
            <v>Yuyun</v>
          </cell>
          <cell r="I2536" t="str">
            <v>Farida</v>
          </cell>
          <cell r="J2536"/>
          <cell r="K2536" t="str">
            <v>Tunai</v>
          </cell>
          <cell r="L2536" t="str">
            <v>ERTA01</v>
          </cell>
          <cell r="M2536" t="str">
            <v>Er Tani</v>
          </cell>
          <cell r="N2536" t="str">
            <v>Erwan Hartoyo</v>
          </cell>
          <cell r="O2536" t="str">
            <v>Krajan Wetan RT. 1/1 Tanjungrejo</v>
          </cell>
          <cell r="P2536" t="str">
            <v>Jember</v>
          </cell>
          <cell r="Q2536" t="str">
            <v>Krajan Wetan RT. 1/1 Tanjungrejo</v>
          </cell>
          <cell r="R2536" t="str">
            <v>Jember</v>
          </cell>
          <cell r="S2536" t="str">
            <v>L Kota2</v>
          </cell>
          <cell r="T2536" t="str">
            <v>Wira</v>
          </cell>
          <cell r="U2536">
            <v>30</v>
          </cell>
        </row>
        <row r="2537">
          <cell r="E2537" t="str">
            <v>D25015635</v>
          </cell>
          <cell r="F2537"/>
          <cell r="G2537">
            <v>10000000</v>
          </cell>
          <cell r="H2537" t="str">
            <v>Yuyun</v>
          </cell>
          <cell r="I2537" t="str">
            <v>Farida</v>
          </cell>
          <cell r="J2537"/>
          <cell r="K2537" t="str">
            <v>Tunai</v>
          </cell>
          <cell r="L2537" t="str">
            <v>ERTA01</v>
          </cell>
          <cell r="M2537" t="str">
            <v>Er Tani</v>
          </cell>
          <cell r="N2537" t="str">
            <v>Erwan Hartoyo</v>
          </cell>
          <cell r="O2537" t="str">
            <v>Krajan Wetan RT. 1/1 Tanjungrejo</v>
          </cell>
          <cell r="P2537" t="str">
            <v>Jember</v>
          </cell>
          <cell r="Q2537" t="str">
            <v>Krajan Wetan RT. 1/1 Tanjungrejo</v>
          </cell>
          <cell r="R2537" t="str">
            <v>Jember</v>
          </cell>
          <cell r="S2537" t="str">
            <v>L Kota2</v>
          </cell>
          <cell r="T2537" t="str">
            <v>Wira</v>
          </cell>
          <cell r="U2537">
            <v>30</v>
          </cell>
        </row>
        <row r="2538">
          <cell r="E2538" t="str">
            <v>D25015636</v>
          </cell>
          <cell r="F2538"/>
          <cell r="G2538">
            <v>10000000</v>
          </cell>
          <cell r="H2538" t="str">
            <v>Yuyun</v>
          </cell>
          <cell r="I2538" t="str">
            <v>Farida</v>
          </cell>
          <cell r="J2538"/>
          <cell r="K2538" t="str">
            <v>Tunai</v>
          </cell>
          <cell r="L2538" t="str">
            <v>ERTA01</v>
          </cell>
          <cell r="M2538" t="str">
            <v>Er Tani</v>
          </cell>
          <cell r="N2538" t="str">
            <v>Erwan Hartoyo</v>
          </cell>
          <cell r="O2538" t="str">
            <v>Krajan Wetan RT. 1/1 Tanjungrejo</v>
          </cell>
          <cell r="P2538" t="str">
            <v>Jember</v>
          </cell>
          <cell r="Q2538" t="str">
            <v>Krajan Wetan RT. 1/1 Tanjungrejo</v>
          </cell>
          <cell r="R2538" t="str">
            <v>Jember</v>
          </cell>
          <cell r="S2538" t="str">
            <v>L Kota2</v>
          </cell>
          <cell r="T2538" t="str">
            <v>Wira</v>
          </cell>
          <cell r="U2538">
            <v>30</v>
          </cell>
        </row>
        <row r="2539">
          <cell r="E2539" t="str">
            <v>T25001122</v>
          </cell>
          <cell r="F2539"/>
          <cell r="G2539">
            <v>50000000</v>
          </cell>
          <cell r="H2539" t="str">
            <v>Yuyun</v>
          </cell>
          <cell r="I2539" t="str">
            <v>Farida</v>
          </cell>
          <cell r="J2539" t="str">
            <v>New 18/11/23</v>
          </cell>
          <cell r="K2539" t="str">
            <v>KU</v>
          </cell>
          <cell r="L2539" t="str">
            <v>ERAT01</v>
          </cell>
          <cell r="M2539" t="str">
            <v>Era Tani/Abdul Wakik</v>
          </cell>
          <cell r="N2539" t="str">
            <v>Abdul Wakik</v>
          </cell>
          <cell r="O2539" t="str">
            <v>Dusun Tegal Gusi RT.002/RW.002, Kel. Mayang, Kec. Mayang</v>
          </cell>
          <cell r="P2539" t="str">
            <v>Jember</v>
          </cell>
          <cell r="Q2539" t="str">
            <v>Dusun Tegal Gusi RT.002/RW.002, Kel. Mayang, Kec. Mayang</v>
          </cell>
          <cell r="R2539" t="str">
            <v>Jember</v>
          </cell>
          <cell r="S2539" t="str">
            <v>L Kota1</v>
          </cell>
          <cell r="T2539" t="str">
            <v>Wira</v>
          </cell>
          <cell r="U2539">
            <v>60</v>
          </cell>
        </row>
        <row r="2540">
          <cell r="E2540" t="str">
            <v>B25010445</v>
          </cell>
          <cell r="F2540"/>
          <cell r="G2540">
            <v>50000000</v>
          </cell>
          <cell r="H2540" t="str">
            <v>Yuyun</v>
          </cell>
          <cell r="I2540" t="str">
            <v>Farida</v>
          </cell>
          <cell r="J2540" t="str">
            <v>New 18/11/23</v>
          </cell>
          <cell r="K2540" t="str">
            <v>KU</v>
          </cell>
          <cell r="L2540" t="str">
            <v>ERAT01</v>
          </cell>
          <cell r="M2540" t="str">
            <v>Era Tani/Abdul Wakik</v>
          </cell>
          <cell r="N2540" t="str">
            <v>Abdul Wakik</v>
          </cell>
          <cell r="O2540" t="str">
            <v>Dusun Tegal Gusi RT.002/RW.002, Kel. Mayang, Kec. Mayang</v>
          </cell>
          <cell r="P2540" t="str">
            <v>Jember</v>
          </cell>
          <cell r="Q2540" t="str">
            <v>Dusun Tegal Gusi RT.002/RW.002, Kel. Mayang, Kec. Mayang</v>
          </cell>
          <cell r="R2540" t="str">
            <v>Jember</v>
          </cell>
          <cell r="S2540" t="str">
            <v>L Kota1</v>
          </cell>
          <cell r="T2540" t="str">
            <v>Wira</v>
          </cell>
          <cell r="U2540">
            <v>30</v>
          </cell>
        </row>
        <row r="2541">
          <cell r="E2541" t="str">
            <v>B25010446</v>
          </cell>
          <cell r="F2541"/>
          <cell r="G2541">
            <v>50000000</v>
          </cell>
          <cell r="H2541" t="str">
            <v>Yuyun</v>
          </cell>
          <cell r="I2541" t="str">
            <v>Farida</v>
          </cell>
          <cell r="J2541" t="str">
            <v>New 18/11/23</v>
          </cell>
          <cell r="K2541" t="str">
            <v>KU</v>
          </cell>
          <cell r="L2541" t="str">
            <v>ERAT01</v>
          </cell>
          <cell r="M2541" t="str">
            <v>Era Tani/Abdul Wakik</v>
          </cell>
          <cell r="N2541" t="str">
            <v>Abdul Wakik</v>
          </cell>
          <cell r="O2541" t="str">
            <v>Dusun Tegal Gusi RT.002/RW.002, Kel. Mayang, Kec. Mayang</v>
          </cell>
          <cell r="P2541" t="str">
            <v>Jember</v>
          </cell>
          <cell r="Q2541" t="str">
            <v>Dusun Tegal Gusi RT.002/RW.002, Kel. Mayang, Kec. Mayang</v>
          </cell>
          <cell r="R2541" t="str">
            <v>Jember</v>
          </cell>
          <cell r="S2541" t="str">
            <v>L Kota1</v>
          </cell>
          <cell r="T2541" t="str">
            <v>Wira</v>
          </cell>
          <cell r="U2541">
            <v>30</v>
          </cell>
        </row>
        <row r="2542">
          <cell r="E2542" t="str">
            <v>B25010774</v>
          </cell>
          <cell r="F2542"/>
          <cell r="G2542">
            <v>50000000</v>
          </cell>
          <cell r="H2542" t="str">
            <v>Yuyun</v>
          </cell>
          <cell r="I2542" t="str">
            <v>Farida</v>
          </cell>
          <cell r="J2542" t="str">
            <v>New 18/11/23</v>
          </cell>
          <cell r="K2542" t="str">
            <v>KU</v>
          </cell>
          <cell r="L2542" t="str">
            <v>ERAT01</v>
          </cell>
          <cell r="M2542" t="str">
            <v>Era Tani/Abdul Wakik</v>
          </cell>
          <cell r="N2542" t="str">
            <v>Abdul Wakik</v>
          </cell>
          <cell r="O2542" t="str">
            <v>Dusun Tegal Gusi RT.002/RW.002, Kel. Mayang, Kec. Mayang</v>
          </cell>
          <cell r="P2542" t="str">
            <v>Jember</v>
          </cell>
          <cell r="Q2542" t="str">
            <v>Dusun Tegal Gusi RT.002/RW.002, Kel. Mayang, Kec. Mayang</v>
          </cell>
          <cell r="R2542" t="str">
            <v>Jember</v>
          </cell>
          <cell r="S2542" t="str">
            <v>L Kota1</v>
          </cell>
          <cell r="T2542" t="str">
            <v>Wira</v>
          </cell>
          <cell r="U2542">
            <v>30</v>
          </cell>
        </row>
        <row r="2543">
          <cell r="E2543" t="str">
            <v>B25010775</v>
          </cell>
          <cell r="F2543"/>
          <cell r="G2543">
            <v>50000000</v>
          </cell>
          <cell r="H2543" t="str">
            <v>Yuyun</v>
          </cell>
          <cell r="I2543" t="str">
            <v>Farida</v>
          </cell>
          <cell r="J2543" t="str">
            <v>New 18/11/23</v>
          </cell>
          <cell r="K2543" t="str">
            <v>KU</v>
          </cell>
          <cell r="L2543" t="str">
            <v>ERAT01</v>
          </cell>
          <cell r="M2543" t="str">
            <v>Era Tani/Abdul Wakik</v>
          </cell>
          <cell r="N2543" t="str">
            <v>Abdul Wakik</v>
          </cell>
          <cell r="O2543" t="str">
            <v>Dusun Tegal Gusi RT.002/RW.002, Kel. Mayang, Kec. Mayang</v>
          </cell>
          <cell r="P2543" t="str">
            <v>Jember</v>
          </cell>
          <cell r="Q2543" t="str">
            <v>Dusun Tegal Gusi RT.002/RW.002, Kel. Mayang, Kec. Mayang</v>
          </cell>
          <cell r="R2543" t="str">
            <v>Jember</v>
          </cell>
          <cell r="S2543" t="str">
            <v>L Kota1</v>
          </cell>
          <cell r="T2543" t="str">
            <v>Wira</v>
          </cell>
          <cell r="U2543">
            <v>30</v>
          </cell>
        </row>
        <row r="2544">
          <cell r="E2544" t="str">
            <v>B25010796</v>
          </cell>
          <cell r="F2544"/>
          <cell r="G2544">
            <v>50000000</v>
          </cell>
          <cell r="H2544" t="str">
            <v>Yuyun</v>
          </cell>
          <cell r="I2544" t="str">
            <v>Farida</v>
          </cell>
          <cell r="J2544" t="str">
            <v>New 18/11/23</v>
          </cell>
          <cell r="K2544" t="str">
            <v>KU</v>
          </cell>
          <cell r="L2544" t="str">
            <v>ERAT01</v>
          </cell>
          <cell r="M2544" t="str">
            <v>Era Tani/Abdul Wakik</v>
          </cell>
          <cell r="N2544" t="str">
            <v>Abdul Wakik</v>
          </cell>
          <cell r="O2544" t="str">
            <v>Dusun Tegal Gusi RT.002/RW.002, Kel. Mayang, Kec. Mayang</v>
          </cell>
          <cell r="P2544" t="str">
            <v>Jember</v>
          </cell>
          <cell r="Q2544" t="str">
            <v>Dusun Tegal Gusi RT.002/RW.002, Kel. Mayang, Kec. Mayang</v>
          </cell>
          <cell r="R2544" t="str">
            <v>Jember</v>
          </cell>
          <cell r="S2544" t="str">
            <v>L Kota1</v>
          </cell>
          <cell r="T2544" t="str">
            <v>Wira</v>
          </cell>
          <cell r="U2544">
            <v>30</v>
          </cell>
        </row>
        <row r="2545">
          <cell r="E2545" t="str">
            <v>B25011419</v>
          </cell>
          <cell r="F2545"/>
          <cell r="G2545">
            <v>50000000</v>
          </cell>
          <cell r="H2545" t="str">
            <v>Yuyun</v>
          </cell>
          <cell r="I2545" t="str">
            <v>Farida</v>
          </cell>
          <cell r="J2545" t="str">
            <v>New 18/11/23</v>
          </cell>
          <cell r="K2545" t="str">
            <v>KU</v>
          </cell>
          <cell r="L2545" t="str">
            <v>ERAT01</v>
          </cell>
          <cell r="M2545" t="str">
            <v>Era Tani/Abdul Wakik</v>
          </cell>
          <cell r="N2545" t="str">
            <v>Abdul Wakik</v>
          </cell>
          <cell r="O2545" t="str">
            <v>Dusun Tegal Gusi RT.002/RW.002, Kel. Mayang, Kec. Mayang</v>
          </cell>
          <cell r="P2545" t="str">
            <v>Jember</v>
          </cell>
          <cell r="Q2545" t="str">
            <v>Dusun Tegal Gusi RT.002/RW.002, Kel. Mayang, Kec. Mayang</v>
          </cell>
          <cell r="R2545" t="str">
            <v>Jember</v>
          </cell>
          <cell r="S2545" t="str">
            <v>L Kota1</v>
          </cell>
          <cell r="T2545" t="str">
            <v>Wira</v>
          </cell>
          <cell r="U2545">
            <v>30</v>
          </cell>
        </row>
        <row r="2546">
          <cell r="E2546" t="str">
            <v>B25011420</v>
          </cell>
          <cell r="F2546"/>
          <cell r="G2546">
            <v>50000000</v>
          </cell>
          <cell r="H2546" t="str">
            <v>Yuyun</v>
          </cell>
          <cell r="I2546" t="str">
            <v>Farida</v>
          </cell>
          <cell r="J2546" t="str">
            <v>New 18/11/23</v>
          </cell>
          <cell r="K2546" t="str">
            <v>KU</v>
          </cell>
          <cell r="L2546" t="str">
            <v>ERAT01</v>
          </cell>
          <cell r="M2546" t="str">
            <v>Era Tani/Abdul Wakik</v>
          </cell>
          <cell r="N2546" t="str">
            <v>Abdul Wakik</v>
          </cell>
          <cell r="O2546" t="str">
            <v>Dusun Tegal Gusi RT.002/RW.002, Kel. Mayang, Kec. Mayang</v>
          </cell>
          <cell r="P2546" t="str">
            <v>Jember</v>
          </cell>
          <cell r="Q2546" t="str">
            <v>Dusun Tegal Gusi RT.002/RW.002, Kel. Mayang, Kec. Mayang</v>
          </cell>
          <cell r="R2546" t="str">
            <v>Jember</v>
          </cell>
          <cell r="S2546" t="str">
            <v>L Kota1</v>
          </cell>
          <cell r="T2546" t="str">
            <v>Wira</v>
          </cell>
          <cell r="U2546">
            <v>30</v>
          </cell>
        </row>
        <row r="2547">
          <cell r="E2547" t="str">
            <v>B25011421</v>
          </cell>
          <cell r="F2547"/>
          <cell r="G2547">
            <v>50000000</v>
          </cell>
          <cell r="H2547" t="str">
            <v>Yuyun</v>
          </cell>
          <cell r="I2547" t="str">
            <v>Farida</v>
          </cell>
          <cell r="J2547" t="str">
            <v>New 18/11/23</v>
          </cell>
          <cell r="K2547" t="str">
            <v>KU</v>
          </cell>
          <cell r="L2547" t="str">
            <v>ERAT01</v>
          </cell>
          <cell r="M2547" t="str">
            <v>Era Tani/Abdul Wakik</v>
          </cell>
          <cell r="N2547" t="str">
            <v>Abdul Wakik</v>
          </cell>
          <cell r="O2547" t="str">
            <v>Dusun Tegal Gusi RT.002/RW.002, Kel. Mayang, Kec. Mayang</v>
          </cell>
          <cell r="P2547" t="str">
            <v>Jember</v>
          </cell>
          <cell r="Q2547" t="str">
            <v>Dusun Tegal Gusi RT.002/RW.002, Kel. Mayang, Kec. Mayang</v>
          </cell>
          <cell r="R2547" t="str">
            <v>Jember</v>
          </cell>
          <cell r="S2547" t="str">
            <v>L Kota1</v>
          </cell>
          <cell r="T2547" t="str">
            <v>Wira</v>
          </cell>
          <cell r="U2547">
            <v>30</v>
          </cell>
        </row>
        <row r="2548">
          <cell r="E2548" t="str">
            <v>B25011424</v>
          </cell>
          <cell r="F2548"/>
          <cell r="G2548">
            <v>50000000</v>
          </cell>
          <cell r="H2548" t="str">
            <v>Yuyun</v>
          </cell>
          <cell r="I2548" t="str">
            <v>Farida</v>
          </cell>
          <cell r="J2548" t="str">
            <v>New 18/11/23</v>
          </cell>
          <cell r="K2548" t="str">
            <v>KU</v>
          </cell>
          <cell r="L2548" t="str">
            <v>ERAT01</v>
          </cell>
          <cell r="M2548" t="str">
            <v>Era Tani/Abdul Wakik</v>
          </cell>
          <cell r="N2548" t="str">
            <v>Abdul Wakik</v>
          </cell>
          <cell r="O2548" t="str">
            <v>Dusun Tegal Gusi RT.002/RW.002, Kel. Mayang, Kec. Mayang</v>
          </cell>
          <cell r="P2548" t="str">
            <v>Jember</v>
          </cell>
          <cell r="Q2548" t="str">
            <v>Dusun Tegal Gusi RT.002/RW.002, Kel. Mayang, Kec. Mayang</v>
          </cell>
          <cell r="R2548" t="str">
            <v>Jember</v>
          </cell>
          <cell r="S2548" t="str">
            <v>L Kota1</v>
          </cell>
          <cell r="T2548" t="str">
            <v>Wira</v>
          </cell>
          <cell r="U2548">
            <v>30</v>
          </cell>
        </row>
        <row r="2549">
          <cell r="E2549" t="str">
            <v>D25013844</v>
          </cell>
          <cell r="F2549"/>
          <cell r="G2549">
            <v>50000000</v>
          </cell>
          <cell r="H2549" t="str">
            <v>Yuyun</v>
          </cell>
          <cell r="I2549" t="str">
            <v>Farida</v>
          </cell>
          <cell r="J2549" t="str">
            <v>New 18/11/23</v>
          </cell>
          <cell r="K2549" t="str">
            <v>KU</v>
          </cell>
          <cell r="L2549" t="str">
            <v>ERAT01</v>
          </cell>
          <cell r="M2549" t="str">
            <v>Era Tani/Abdul Wakik</v>
          </cell>
          <cell r="N2549" t="str">
            <v>Abdul Wakik</v>
          </cell>
          <cell r="O2549" t="str">
            <v>Dusun Tegal Gusi RT.002/RW.002, Kel. Mayang, Kec. Mayang</v>
          </cell>
          <cell r="P2549" t="str">
            <v>Jember</v>
          </cell>
          <cell r="Q2549" t="str">
            <v>Dusun Tegal Gusi RT.002/RW.002, Kel. Mayang, Kec. Mayang</v>
          </cell>
          <cell r="R2549" t="str">
            <v>Jember</v>
          </cell>
          <cell r="S2549" t="str">
            <v>L Kota1</v>
          </cell>
          <cell r="T2549" t="str">
            <v>Wira</v>
          </cell>
          <cell r="U2549">
            <v>30</v>
          </cell>
        </row>
        <row r="2550">
          <cell r="E2550" t="str">
            <v>B25011729</v>
          </cell>
          <cell r="F2550"/>
          <cell r="G2550">
            <v>50000000</v>
          </cell>
          <cell r="H2550" t="str">
            <v>Yuyun</v>
          </cell>
          <cell r="I2550" t="str">
            <v>Farida</v>
          </cell>
          <cell r="J2550" t="str">
            <v>New 18/11/23</v>
          </cell>
          <cell r="K2550" t="str">
            <v>KU</v>
          </cell>
          <cell r="L2550" t="str">
            <v>ERAT01</v>
          </cell>
          <cell r="M2550" t="str">
            <v>Era Tani/Abdul Wakik</v>
          </cell>
          <cell r="N2550" t="str">
            <v>Abdul Wakik</v>
          </cell>
          <cell r="O2550" t="str">
            <v>Dusun Tegal Gusi RT.002/RW.002, Kel. Mayang, Kec. Mayang</v>
          </cell>
          <cell r="P2550" t="str">
            <v>Jember</v>
          </cell>
          <cell r="Q2550" t="str">
            <v>Dusun Tegal Gusi RT.002/RW.002, Kel. Mayang, Kec. Mayang</v>
          </cell>
          <cell r="R2550" t="str">
            <v>Jember</v>
          </cell>
          <cell r="S2550" t="str">
            <v>L Kota1</v>
          </cell>
          <cell r="T2550" t="str">
            <v>Wira</v>
          </cell>
          <cell r="U2550">
            <v>30</v>
          </cell>
        </row>
        <row r="2551">
          <cell r="E2551" t="str">
            <v>B25011729</v>
          </cell>
          <cell r="F2551"/>
          <cell r="G2551">
            <v>50000000</v>
          </cell>
          <cell r="H2551" t="str">
            <v>Yuyun</v>
          </cell>
          <cell r="I2551" t="str">
            <v>Farida</v>
          </cell>
          <cell r="J2551" t="str">
            <v>New 18/11/23</v>
          </cell>
          <cell r="K2551" t="str">
            <v>KU</v>
          </cell>
          <cell r="L2551" t="str">
            <v>ERAT01</v>
          </cell>
          <cell r="M2551" t="str">
            <v>Era Tani/Abdul Wakik</v>
          </cell>
          <cell r="N2551" t="str">
            <v>Abdul Wakik</v>
          </cell>
          <cell r="O2551" t="str">
            <v>Dusun Tegal Gusi RT.002/RW.002, Kel. Mayang, Kec. Mayang</v>
          </cell>
          <cell r="P2551" t="str">
            <v>Jember</v>
          </cell>
          <cell r="Q2551" t="str">
            <v>Dusun Tegal Gusi RT.002/RW.002, Kel. Mayang, Kec. Mayang</v>
          </cell>
          <cell r="R2551" t="str">
            <v>Jember</v>
          </cell>
          <cell r="S2551" t="str">
            <v>L Kota1</v>
          </cell>
          <cell r="T2551" t="str">
            <v>Wira</v>
          </cell>
          <cell r="U2551">
            <v>30</v>
          </cell>
        </row>
        <row r="2552">
          <cell r="E2552" t="str">
            <v>D25014541</v>
          </cell>
          <cell r="F2552"/>
          <cell r="G2552">
            <v>50000000</v>
          </cell>
          <cell r="H2552" t="str">
            <v>Yuyun</v>
          </cell>
          <cell r="I2552" t="str">
            <v>Farida</v>
          </cell>
          <cell r="J2552" t="str">
            <v>New 18/11/23</v>
          </cell>
          <cell r="K2552" t="str">
            <v>KU</v>
          </cell>
          <cell r="L2552" t="str">
            <v>ERAT01</v>
          </cell>
          <cell r="M2552" t="str">
            <v>Era Tani/Abdul Wakik</v>
          </cell>
          <cell r="N2552" t="str">
            <v>Abdul Wakik</v>
          </cell>
          <cell r="O2552" t="str">
            <v>Dusun Tegal Gusi RT.002/RW.002, Kel. Mayang, Kec. Mayang</v>
          </cell>
          <cell r="P2552" t="str">
            <v>Jember</v>
          </cell>
          <cell r="Q2552" t="str">
            <v>Dusun Tegal Gusi RT.002/RW.002, Kel. Mayang, Kec. Mayang</v>
          </cell>
          <cell r="R2552" t="str">
            <v>Jember</v>
          </cell>
          <cell r="S2552" t="str">
            <v>L Kota1</v>
          </cell>
          <cell r="T2552" t="str">
            <v>Wira</v>
          </cell>
          <cell r="U2552">
            <v>30</v>
          </cell>
        </row>
        <row r="2553">
          <cell r="E2553" t="str">
            <v>D25014542</v>
          </cell>
          <cell r="F2553"/>
          <cell r="G2553">
            <v>50000000</v>
          </cell>
          <cell r="H2553" t="str">
            <v>Yuyun</v>
          </cell>
          <cell r="I2553" t="str">
            <v>Farida</v>
          </cell>
          <cell r="J2553" t="str">
            <v>New 18/11/23</v>
          </cell>
          <cell r="K2553" t="str">
            <v>KU</v>
          </cell>
          <cell r="L2553" t="str">
            <v>ERAT01</v>
          </cell>
          <cell r="M2553" t="str">
            <v>Era Tani/Abdul Wakik</v>
          </cell>
          <cell r="N2553" t="str">
            <v>Abdul Wakik</v>
          </cell>
          <cell r="O2553" t="str">
            <v>Dusun Tegal Gusi RT.002/RW.002, Kel. Mayang, Kec. Mayang</v>
          </cell>
          <cell r="P2553" t="str">
            <v>Jember</v>
          </cell>
          <cell r="Q2553" t="str">
            <v>Dusun Tegal Gusi RT.002/RW.002, Kel. Mayang, Kec. Mayang</v>
          </cell>
          <cell r="R2553" t="str">
            <v>Jember</v>
          </cell>
          <cell r="S2553" t="str">
            <v>L Kota1</v>
          </cell>
          <cell r="T2553" t="str">
            <v>Wira</v>
          </cell>
          <cell r="U2553">
            <v>30</v>
          </cell>
        </row>
        <row r="2554">
          <cell r="E2554" t="str">
            <v>D25014543</v>
          </cell>
          <cell r="F2554"/>
          <cell r="G2554">
            <v>50000000</v>
          </cell>
          <cell r="H2554" t="str">
            <v>Yuyun</v>
          </cell>
          <cell r="I2554" t="str">
            <v>Farida</v>
          </cell>
          <cell r="J2554" t="str">
            <v>New 18/11/23</v>
          </cell>
          <cell r="K2554" t="str">
            <v>KU</v>
          </cell>
          <cell r="L2554" t="str">
            <v>ERAT01</v>
          </cell>
          <cell r="M2554" t="str">
            <v>Era Tani/Abdul Wakik</v>
          </cell>
          <cell r="N2554" t="str">
            <v>Abdul Wakik</v>
          </cell>
          <cell r="O2554" t="str">
            <v>Dusun Tegal Gusi RT.002/RW.002, Kel. Mayang, Kec. Mayang</v>
          </cell>
          <cell r="P2554" t="str">
            <v>Jember</v>
          </cell>
          <cell r="Q2554" t="str">
            <v>Dusun Tegal Gusi RT.002/RW.002, Kel. Mayang, Kec. Mayang</v>
          </cell>
          <cell r="R2554" t="str">
            <v>Jember</v>
          </cell>
          <cell r="S2554" t="str">
            <v>L Kota1</v>
          </cell>
          <cell r="T2554" t="str">
            <v>Wira</v>
          </cell>
          <cell r="U2554">
            <v>30</v>
          </cell>
        </row>
        <row r="2555">
          <cell r="E2555" t="str">
            <v>D25014543</v>
          </cell>
          <cell r="F2555"/>
          <cell r="G2555">
            <v>50000000</v>
          </cell>
          <cell r="H2555" t="str">
            <v>Yuyun</v>
          </cell>
          <cell r="I2555" t="str">
            <v>Farida</v>
          </cell>
          <cell r="J2555" t="str">
            <v>New 18/11/23</v>
          </cell>
          <cell r="K2555" t="str">
            <v>KU</v>
          </cell>
          <cell r="L2555" t="str">
            <v>ERAT01</v>
          </cell>
          <cell r="M2555" t="str">
            <v>Era Tani/Abdul Wakik</v>
          </cell>
          <cell r="N2555" t="str">
            <v>Abdul Wakik</v>
          </cell>
          <cell r="O2555" t="str">
            <v>Dusun Tegal Gusi RT.002/RW.002, Kel. Mayang, Kec. Mayang</v>
          </cell>
          <cell r="P2555" t="str">
            <v>Jember</v>
          </cell>
          <cell r="Q2555" t="str">
            <v>Dusun Tegal Gusi RT.002/RW.002, Kel. Mayang, Kec. Mayang</v>
          </cell>
          <cell r="R2555" t="str">
            <v>Jember</v>
          </cell>
          <cell r="S2555" t="str">
            <v>L Kota1</v>
          </cell>
          <cell r="T2555" t="str">
            <v>Wira</v>
          </cell>
          <cell r="U2555">
            <v>30</v>
          </cell>
        </row>
        <row r="2556">
          <cell r="E2556" t="str">
            <v>B25012394</v>
          </cell>
          <cell r="F2556"/>
          <cell r="G2556">
            <v>50000000</v>
          </cell>
          <cell r="H2556" t="str">
            <v>Yuyun</v>
          </cell>
          <cell r="I2556" t="str">
            <v>Farida</v>
          </cell>
          <cell r="J2556" t="str">
            <v>New 18/11/23</v>
          </cell>
          <cell r="K2556" t="str">
            <v>KU</v>
          </cell>
          <cell r="L2556" t="str">
            <v>ERAT01</v>
          </cell>
          <cell r="M2556" t="str">
            <v>Era Tani/Abdul Wakik</v>
          </cell>
          <cell r="N2556" t="str">
            <v>Abdul Wakik</v>
          </cell>
          <cell r="O2556" t="str">
            <v>Dusun Tegal Gusi RT.002/RW.002, Kel. Mayang, Kec. Mayang</v>
          </cell>
          <cell r="P2556" t="str">
            <v>Jember</v>
          </cell>
          <cell r="Q2556" t="str">
            <v>Dusun Tegal Gusi RT.002/RW.002, Kel. Mayang, Kec. Mayang</v>
          </cell>
          <cell r="R2556" t="str">
            <v>Jember</v>
          </cell>
          <cell r="S2556" t="str">
            <v>L Kota1</v>
          </cell>
          <cell r="T2556" t="str">
            <v>Wira</v>
          </cell>
          <cell r="U2556">
            <v>30</v>
          </cell>
        </row>
        <row r="2557">
          <cell r="E2557" t="str">
            <v>B25012856</v>
          </cell>
          <cell r="F2557"/>
          <cell r="G2557">
            <v>50000000</v>
          </cell>
          <cell r="H2557" t="str">
            <v>Yuyun</v>
          </cell>
          <cell r="I2557" t="str">
            <v>Farida</v>
          </cell>
          <cell r="J2557" t="str">
            <v>New 18/11/23</v>
          </cell>
          <cell r="K2557" t="str">
            <v>KU</v>
          </cell>
          <cell r="L2557" t="str">
            <v>ERAT01</v>
          </cell>
          <cell r="M2557" t="str">
            <v>Era Tani/Abdul Wakik</v>
          </cell>
          <cell r="N2557" t="str">
            <v>Abdul Wakik</v>
          </cell>
          <cell r="O2557" t="str">
            <v>Dusun Tegal Gusi RT.002/RW.002, Kel. Mayang, Kec. Mayang</v>
          </cell>
          <cell r="P2557" t="str">
            <v>Jember</v>
          </cell>
          <cell r="Q2557" t="str">
            <v>Dusun Tegal Gusi RT.002/RW.002, Kel. Mayang, Kec. Mayang</v>
          </cell>
          <cell r="R2557" t="str">
            <v>Jember</v>
          </cell>
          <cell r="S2557" t="str">
            <v>L Kota1</v>
          </cell>
          <cell r="T2557" t="str">
            <v>Wira</v>
          </cell>
          <cell r="U2557">
            <v>60</v>
          </cell>
        </row>
        <row r="2558">
          <cell r="E2558" t="str">
            <v>B25012857</v>
          </cell>
          <cell r="F2558"/>
          <cell r="G2558">
            <v>50000000</v>
          </cell>
          <cell r="H2558" t="str">
            <v>Yuyun</v>
          </cell>
          <cell r="I2558" t="str">
            <v>Farida</v>
          </cell>
          <cell r="J2558" t="str">
            <v>New 18/11/23</v>
          </cell>
          <cell r="K2558" t="str">
            <v>KU</v>
          </cell>
          <cell r="L2558" t="str">
            <v>ERAT01</v>
          </cell>
          <cell r="M2558" t="str">
            <v>Era Tani/Abdul Wakik</v>
          </cell>
          <cell r="N2558" t="str">
            <v>Abdul Wakik</v>
          </cell>
          <cell r="O2558" t="str">
            <v>Dusun Tegal Gusi RT.002/RW.002, Kel. Mayang, Kec. Mayang</v>
          </cell>
          <cell r="P2558" t="str">
            <v>Jember</v>
          </cell>
          <cell r="Q2558" t="str">
            <v>Dusun Tegal Gusi RT.002/RW.002, Kel. Mayang, Kec. Mayang</v>
          </cell>
          <cell r="R2558" t="str">
            <v>Jember</v>
          </cell>
          <cell r="S2558" t="str">
            <v>L Kota1</v>
          </cell>
          <cell r="T2558" t="str">
            <v>Wira</v>
          </cell>
          <cell r="U2558">
            <v>30</v>
          </cell>
        </row>
        <row r="2559">
          <cell r="E2559" t="str">
            <v>B25012858</v>
          </cell>
          <cell r="F2559"/>
          <cell r="G2559">
            <v>50000000</v>
          </cell>
          <cell r="H2559" t="str">
            <v>Yuyun</v>
          </cell>
          <cell r="I2559" t="str">
            <v>Farida</v>
          </cell>
          <cell r="J2559" t="str">
            <v>New 18/11/23</v>
          </cell>
          <cell r="K2559" t="str">
            <v>KU</v>
          </cell>
          <cell r="L2559" t="str">
            <v>ERAT01</v>
          </cell>
          <cell r="M2559" t="str">
            <v>Era Tani/Abdul Wakik</v>
          </cell>
          <cell r="N2559" t="str">
            <v>Abdul Wakik</v>
          </cell>
          <cell r="O2559" t="str">
            <v>Dusun Tegal Gusi RT.002/RW.002, Kel. Mayang, Kec. Mayang</v>
          </cell>
          <cell r="P2559" t="str">
            <v>Jember</v>
          </cell>
          <cell r="Q2559" t="str">
            <v>Dusun Tegal Gusi RT.002/RW.002, Kel. Mayang, Kec. Mayang</v>
          </cell>
          <cell r="R2559" t="str">
            <v>Jember</v>
          </cell>
          <cell r="S2559" t="str">
            <v>L Kota1</v>
          </cell>
          <cell r="T2559" t="str">
            <v>Wira</v>
          </cell>
          <cell r="U2559">
            <v>30</v>
          </cell>
        </row>
        <row r="2560">
          <cell r="E2560" t="str">
            <v>B25012879</v>
          </cell>
          <cell r="F2560"/>
          <cell r="G2560">
            <v>50000000</v>
          </cell>
          <cell r="H2560" t="str">
            <v>Yuyun</v>
          </cell>
          <cell r="I2560" t="str">
            <v>Farida</v>
          </cell>
          <cell r="J2560" t="str">
            <v>New 18/11/23</v>
          </cell>
          <cell r="K2560" t="str">
            <v>KU</v>
          </cell>
          <cell r="L2560" t="str">
            <v>ERAT01</v>
          </cell>
          <cell r="M2560" t="str">
            <v>Era Tani/Abdul Wakik</v>
          </cell>
          <cell r="N2560" t="str">
            <v>Abdul Wakik</v>
          </cell>
          <cell r="O2560" t="str">
            <v>Dusun Tegal Gusi RT.002/RW.002, Kel. Mayang, Kec. Mayang</v>
          </cell>
          <cell r="P2560" t="str">
            <v>Jember</v>
          </cell>
          <cell r="Q2560" t="str">
            <v>Dusun Tegal Gusi RT.002/RW.002, Kel. Mayang, Kec. Mayang</v>
          </cell>
          <cell r="R2560" t="str">
            <v>Jember</v>
          </cell>
          <cell r="S2560" t="str">
            <v>L Kota1</v>
          </cell>
          <cell r="T2560" t="str">
            <v>Wira</v>
          </cell>
          <cell r="U2560">
            <v>30</v>
          </cell>
        </row>
        <row r="2561">
          <cell r="E2561" t="str">
            <v>D25015158</v>
          </cell>
          <cell r="F2561"/>
          <cell r="G2561">
            <v>50000000</v>
          </cell>
          <cell r="H2561" t="str">
            <v>Yuyun</v>
          </cell>
          <cell r="I2561" t="str">
            <v>Farida</v>
          </cell>
          <cell r="J2561" t="str">
            <v>New 18/11/23</v>
          </cell>
          <cell r="K2561" t="str">
            <v>KU</v>
          </cell>
          <cell r="L2561" t="str">
            <v>ERAT01</v>
          </cell>
          <cell r="M2561" t="str">
            <v>Era Tani/Abdul Wakik</v>
          </cell>
          <cell r="N2561" t="str">
            <v>Abdul Wakik</v>
          </cell>
          <cell r="O2561" t="str">
            <v>Dusun Tegal Gusi RT.002/RW.002, Kel. Mayang, Kec. Mayang</v>
          </cell>
          <cell r="P2561" t="str">
            <v>Jember</v>
          </cell>
          <cell r="Q2561" t="str">
            <v>Dusun Tegal Gusi RT.002/RW.002, Kel. Mayang, Kec. Mayang</v>
          </cell>
          <cell r="R2561" t="str">
            <v>Jember</v>
          </cell>
          <cell r="S2561" t="str">
            <v>L Kota1</v>
          </cell>
          <cell r="T2561" t="str">
            <v>Wira</v>
          </cell>
          <cell r="U2561">
            <v>30</v>
          </cell>
        </row>
        <row r="2562">
          <cell r="E2562" t="str">
            <v>B25013063</v>
          </cell>
          <cell r="F2562"/>
          <cell r="G2562">
            <v>50000000</v>
          </cell>
          <cell r="H2562" t="str">
            <v>Yuyun</v>
          </cell>
          <cell r="I2562" t="str">
            <v>Farida</v>
          </cell>
          <cell r="J2562" t="str">
            <v>New 18/11/23</v>
          </cell>
          <cell r="K2562" t="str">
            <v>KU</v>
          </cell>
          <cell r="L2562" t="str">
            <v>ERAT01</v>
          </cell>
          <cell r="M2562" t="str">
            <v>Era Tani/Abdul Wakik</v>
          </cell>
          <cell r="N2562" t="str">
            <v>Abdul Wakik</v>
          </cell>
          <cell r="O2562" t="str">
            <v>Dusun Tegal Gusi RT.002/RW.002, Kel. Mayang, Kec. Mayang</v>
          </cell>
          <cell r="P2562" t="str">
            <v>Jember</v>
          </cell>
          <cell r="Q2562" t="str">
            <v>Dusun Tegal Gusi RT.002/RW.002, Kel. Mayang, Kec. Mayang</v>
          </cell>
          <cell r="R2562" t="str">
            <v>Jember</v>
          </cell>
          <cell r="S2562" t="str">
            <v>L Kota1</v>
          </cell>
          <cell r="T2562" t="str">
            <v>Wira</v>
          </cell>
          <cell r="U2562">
            <v>30</v>
          </cell>
        </row>
        <row r="2563">
          <cell r="E2563" t="str">
            <v>B25013064</v>
          </cell>
          <cell r="F2563"/>
          <cell r="G2563">
            <v>50000000</v>
          </cell>
          <cell r="H2563" t="str">
            <v>Yuyun</v>
          </cell>
          <cell r="I2563" t="str">
            <v>Farida</v>
          </cell>
          <cell r="J2563" t="str">
            <v>New 18/11/23</v>
          </cell>
          <cell r="K2563" t="str">
            <v>KU</v>
          </cell>
          <cell r="L2563" t="str">
            <v>ERAT01</v>
          </cell>
          <cell r="M2563" t="str">
            <v>Era Tani/Abdul Wakik</v>
          </cell>
          <cell r="N2563" t="str">
            <v>Abdul Wakik</v>
          </cell>
          <cell r="O2563" t="str">
            <v>Dusun Tegal Gusi RT.002/RW.002, Kel. Mayang, Kec. Mayang</v>
          </cell>
          <cell r="P2563" t="str">
            <v>Jember</v>
          </cell>
          <cell r="Q2563" t="str">
            <v>Dusun Tegal Gusi RT.002/RW.002, Kel. Mayang, Kec. Mayang</v>
          </cell>
          <cell r="R2563" t="str">
            <v>Jember</v>
          </cell>
          <cell r="S2563" t="str">
            <v>L Kota1</v>
          </cell>
          <cell r="T2563" t="str">
            <v>Wira</v>
          </cell>
          <cell r="U2563">
            <v>30</v>
          </cell>
        </row>
        <row r="2564">
          <cell r="E2564" t="str">
            <v>B25013068</v>
          </cell>
          <cell r="F2564"/>
          <cell r="G2564">
            <v>50000000</v>
          </cell>
          <cell r="H2564" t="str">
            <v>Yuyun</v>
          </cell>
          <cell r="I2564" t="str">
            <v>Farida</v>
          </cell>
          <cell r="J2564" t="str">
            <v>New 18/11/23</v>
          </cell>
          <cell r="K2564" t="str">
            <v>KU</v>
          </cell>
          <cell r="L2564" t="str">
            <v>ERAT01</v>
          </cell>
          <cell r="M2564" t="str">
            <v>Era Tani/Abdul Wakik</v>
          </cell>
          <cell r="N2564" t="str">
            <v>Abdul Wakik</v>
          </cell>
          <cell r="O2564" t="str">
            <v>Dusun Tegal Gusi RT.002/RW.002, Kel. Mayang, Kec. Mayang</v>
          </cell>
          <cell r="P2564" t="str">
            <v>Jember</v>
          </cell>
          <cell r="Q2564" t="str">
            <v>Dusun Tegal Gusi RT.002/RW.002, Kel. Mayang, Kec. Mayang</v>
          </cell>
          <cell r="R2564" t="str">
            <v>Jember</v>
          </cell>
          <cell r="S2564" t="str">
            <v>L Kota1</v>
          </cell>
          <cell r="T2564" t="str">
            <v>Wira</v>
          </cell>
          <cell r="U2564">
            <v>30</v>
          </cell>
        </row>
        <row r="2565">
          <cell r="E2565" t="str">
            <v>B25013069</v>
          </cell>
          <cell r="F2565"/>
          <cell r="G2565">
            <v>50000000</v>
          </cell>
          <cell r="H2565" t="str">
            <v>Yuyun</v>
          </cell>
          <cell r="I2565" t="str">
            <v>Farida</v>
          </cell>
          <cell r="J2565" t="str">
            <v>New 18/11/23</v>
          </cell>
          <cell r="K2565" t="str">
            <v>KU</v>
          </cell>
          <cell r="L2565" t="str">
            <v>ERAT01</v>
          </cell>
          <cell r="M2565" t="str">
            <v>Era Tani/Abdul Wakik</v>
          </cell>
          <cell r="N2565" t="str">
            <v>Abdul Wakik</v>
          </cell>
          <cell r="O2565" t="str">
            <v>Dusun Tegal Gusi RT.002/RW.002, Kel. Mayang, Kec. Mayang</v>
          </cell>
          <cell r="P2565" t="str">
            <v>Jember</v>
          </cell>
          <cell r="Q2565" t="str">
            <v>Dusun Tegal Gusi RT.002/RW.002, Kel. Mayang, Kec. Mayang</v>
          </cell>
          <cell r="R2565" t="str">
            <v>Jember</v>
          </cell>
          <cell r="S2565" t="str">
            <v>L Kota1</v>
          </cell>
          <cell r="T2565" t="str">
            <v>Wira</v>
          </cell>
          <cell r="U2565">
            <v>30</v>
          </cell>
        </row>
        <row r="2566">
          <cell r="E2566" t="str">
            <v>B25013276</v>
          </cell>
          <cell r="F2566"/>
          <cell r="G2566">
            <v>50000000</v>
          </cell>
          <cell r="H2566" t="str">
            <v>Yuyun</v>
          </cell>
          <cell r="I2566" t="str">
            <v>Farida</v>
          </cell>
          <cell r="J2566" t="str">
            <v>New 18/11/23</v>
          </cell>
          <cell r="K2566" t="str">
            <v>KU</v>
          </cell>
          <cell r="L2566" t="str">
            <v>ERAT01</v>
          </cell>
          <cell r="M2566" t="str">
            <v>Era Tani/Abdul Wakik</v>
          </cell>
          <cell r="N2566" t="str">
            <v>Abdul Wakik</v>
          </cell>
          <cell r="O2566" t="str">
            <v>Dusun Tegal Gusi RT.002/RW.002, Kel. Mayang, Kec. Mayang</v>
          </cell>
          <cell r="P2566" t="str">
            <v>Jember</v>
          </cell>
          <cell r="Q2566" t="str">
            <v>Dusun Tegal Gusi RT.002/RW.002, Kel. Mayang, Kec. Mayang</v>
          </cell>
          <cell r="R2566" t="str">
            <v>Jember</v>
          </cell>
          <cell r="S2566" t="str">
            <v>L Kota1</v>
          </cell>
          <cell r="T2566" t="str">
            <v>Wira</v>
          </cell>
          <cell r="U2566">
            <v>30</v>
          </cell>
        </row>
        <row r="2567">
          <cell r="E2567" t="str">
            <v>B25013277</v>
          </cell>
          <cell r="F2567"/>
          <cell r="G2567">
            <v>50000000</v>
          </cell>
          <cell r="H2567" t="str">
            <v>Yuyun</v>
          </cell>
          <cell r="I2567" t="str">
            <v>Farida</v>
          </cell>
          <cell r="J2567" t="str">
            <v>New 18/11/23</v>
          </cell>
          <cell r="K2567" t="str">
            <v>KU</v>
          </cell>
          <cell r="L2567" t="str">
            <v>ERAT01</v>
          </cell>
          <cell r="M2567" t="str">
            <v>Era Tani/Abdul Wakik</v>
          </cell>
          <cell r="N2567" t="str">
            <v>Abdul Wakik</v>
          </cell>
          <cell r="O2567" t="str">
            <v>Dusun Tegal Gusi RT.002/RW.002, Kel. Mayang, Kec. Mayang</v>
          </cell>
          <cell r="P2567" t="str">
            <v>Jember</v>
          </cell>
          <cell r="Q2567" t="str">
            <v>Dusun Tegal Gusi RT.002/RW.002, Kel. Mayang, Kec. Mayang</v>
          </cell>
          <cell r="R2567" t="str">
            <v>Jember</v>
          </cell>
          <cell r="S2567" t="str">
            <v>L Kota1</v>
          </cell>
          <cell r="T2567" t="str">
            <v>Wira</v>
          </cell>
          <cell r="U2567">
            <v>30</v>
          </cell>
        </row>
        <row r="2568">
          <cell r="E2568" t="str">
            <v>B25013511</v>
          </cell>
          <cell r="F2568"/>
          <cell r="G2568">
            <v>50000000</v>
          </cell>
          <cell r="H2568" t="str">
            <v>Yuyun</v>
          </cell>
          <cell r="I2568" t="str">
            <v>Farida</v>
          </cell>
          <cell r="J2568" t="str">
            <v>New 18/11/23</v>
          </cell>
          <cell r="K2568" t="str">
            <v>KU</v>
          </cell>
          <cell r="L2568" t="str">
            <v>ERAT01</v>
          </cell>
          <cell r="M2568" t="str">
            <v>Era Tani/Abdul Wakik</v>
          </cell>
          <cell r="N2568" t="str">
            <v>Abdul Wakik</v>
          </cell>
          <cell r="O2568" t="str">
            <v>Dusun Tegal Gusi RT.002/RW.002, Kel. Mayang, Kec. Mayang</v>
          </cell>
          <cell r="P2568" t="str">
            <v>Jember</v>
          </cell>
          <cell r="Q2568" t="str">
            <v>Dusun Tegal Gusi RT.002/RW.002, Kel. Mayang, Kec. Mayang</v>
          </cell>
          <cell r="R2568" t="str">
            <v>Jember</v>
          </cell>
          <cell r="S2568" t="str">
            <v>L Kota1</v>
          </cell>
          <cell r="T2568" t="str">
            <v>Wira</v>
          </cell>
          <cell r="U2568">
            <v>30</v>
          </cell>
        </row>
        <row r="2569">
          <cell r="E2569" t="str">
            <v>D25016120</v>
          </cell>
          <cell r="F2569"/>
          <cell r="G2569">
            <v>50000000</v>
          </cell>
          <cell r="H2569" t="str">
            <v>Yuyun</v>
          </cell>
          <cell r="I2569" t="str">
            <v>Farida</v>
          </cell>
          <cell r="J2569" t="str">
            <v>New 18/11/23</v>
          </cell>
          <cell r="K2569" t="str">
            <v>KU</v>
          </cell>
          <cell r="L2569" t="str">
            <v>ERAT01</v>
          </cell>
          <cell r="M2569" t="str">
            <v>Era Tani/Abdul Wakik</v>
          </cell>
          <cell r="N2569" t="str">
            <v>Abdul Wakik</v>
          </cell>
          <cell r="O2569" t="str">
            <v>Dusun Tegal Gusi RT.002/RW.002, Kel. Mayang, Kec. Mayang</v>
          </cell>
          <cell r="P2569" t="str">
            <v>Jember</v>
          </cell>
          <cell r="Q2569" t="str">
            <v>Dusun Tegal Gusi RT.002/RW.002, Kel. Mayang, Kec. Mayang</v>
          </cell>
          <cell r="R2569" t="str">
            <v>Jember</v>
          </cell>
          <cell r="S2569" t="str">
            <v>L Kota1</v>
          </cell>
          <cell r="T2569" t="str">
            <v>Wira</v>
          </cell>
          <cell r="U2569">
            <v>30</v>
          </cell>
        </row>
        <row r="2570">
          <cell r="E2570" t="str">
            <v>D25016121</v>
          </cell>
          <cell r="F2570"/>
          <cell r="G2570">
            <v>50000000</v>
          </cell>
          <cell r="H2570" t="str">
            <v>Yuyun</v>
          </cell>
          <cell r="I2570" t="str">
            <v>Farida</v>
          </cell>
          <cell r="J2570" t="str">
            <v>New 18/11/23</v>
          </cell>
          <cell r="K2570" t="str">
            <v>KU</v>
          </cell>
          <cell r="L2570" t="str">
            <v>ERAT01</v>
          </cell>
          <cell r="M2570" t="str">
            <v>Era Tani/Abdul Wakik</v>
          </cell>
          <cell r="N2570" t="str">
            <v>Abdul Wakik</v>
          </cell>
          <cell r="O2570" t="str">
            <v>Dusun Tegal Gusi RT.002/RW.002, Kel. Mayang, Kec. Mayang</v>
          </cell>
          <cell r="P2570" t="str">
            <v>Jember</v>
          </cell>
          <cell r="Q2570" t="str">
            <v>Dusun Tegal Gusi RT.002/RW.002, Kel. Mayang, Kec. Mayang</v>
          </cell>
          <cell r="R2570" t="str">
            <v>Jember</v>
          </cell>
          <cell r="S2570" t="str">
            <v>L Kota1</v>
          </cell>
          <cell r="T2570" t="str">
            <v>Wira</v>
          </cell>
          <cell r="U2570">
            <v>30</v>
          </cell>
        </row>
        <row r="2571">
          <cell r="E2571" t="str">
            <v>D25016122</v>
          </cell>
          <cell r="F2571"/>
          <cell r="G2571">
            <v>50000000</v>
          </cell>
          <cell r="H2571" t="str">
            <v>Yuyun</v>
          </cell>
          <cell r="I2571" t="str">
            <v>Farida</v>
          </cell>
          <cell r="J2571" t="str">
            <v>New 18/11/23</v>
          </cell>
          <cell r="K2571" t="str">
            <v>KU</v>
          </cell>
          <cell r="L2571" t="str">
            <v>ERAT01</v>
          </cell>
          <cell r="M2571" t="str">
            <v>Era Tani/Abdul Wakik</v>
          </cell>
          <cell r="N2571" t="str">
            <v>Abdul Wakik</v>
          </cell>
          <cell r="O2571" t="str">
            <v>Dusun Tegal Gusi RT.002/RW.002, Kel. Mayang, Kec. Mayang</v>
          </cell>
          <cell r="P2571" t="str">
            <v>Jember</v>
          </cell>
          <cell r="Q2571" t="str">
            <v>Dusun Tegal Gusi RT.002/RW.002, Kel. Mayang, Kec. Mayang</v>
          </cell>
          <cell r="R2571" t="str">
            <v>Jember</v>
          </cell>
          <cell r="S2571" t="str">
            <v>L Kota1</v>
          </cell>
          <cell r="T2571" t="str">
            <v>Wira</v>
          </cell>
          <cell r="U2571">
            <v>30</v>
          </cell>
        </row>
        <row r="2572">
          <cell r="E2572" t="str">
            <v>D25016123</v>
          </cell>
          <cell r="F2572"/>
          <cell r="G2572">
            <v>50000000</v>
          </cell>
          <cell r="H2572" t="str">
            <v>Yuyun</v>
          </cell>
          <cell r="I2572" t="str">
            <v>Farida</v>
          </cell>
          <cell r="J2572" t="str">
            <v>New 18/11/23</v>
          </cell>
          <cell r="K2572" t="str">
            <v>KU</v>
          </cell>
          <cell r="L2572" t="str">
            <v>ERAT01</v>
          </cell>
          <cell r="M2572" t="str">
            <v>Era Tani/Abdul Wakik</v>
          </cell>
          <cell r="N2572" t="str">
            <v>Abdul Wakik</v>
          </cell>
          <cell r="O2572" t="str">
            <v>Dusun Tegal Gusi RT.002/RW.002, Kel. Mayang, Kec. Mayang</v>
          </cell>
          <cell r="P2572" t="str">
            <v>Jember</v>
          </cell>
          <cell r="Q2572" t="str">
            <v>Dusun Tegal Gusi RT.002/RW.002, Kel. Mayang, Kec. Mayang</v>
          </cell>
          <cell r="R2572" t="str">
            <v>Jember</v>
          </cell>
          <cell r="S2572" t="str">
            <v>L Kota1</v>
          </cell>
          <cell r="T2572" t="str">
            <v>Wira</v>
          </cell>
          <cell r="U2572">
            <v>30</v>
          </cell>
        </row>
        <row r="2573">
          <cell r="E2573" t="str">
            <v>D25016213</v>
          </cell>
          <cell r="F2573"/>
          <cell r="G2573">
            <v>50000000</v>
          </cell>
          <cell r="H2573" t="str">
            <v>Yuyun</v>
          </cell>
          <cell r="I2573" t="str">
            <v>Farida</v>
          </cell>
          <cell r="J2573" t="str">
            <v>New 18/11/23</v>
          </cell>
          <cell r="K2573" t="str">
            <v>KU</v>
          </cell>
          <cell r="L2573" t="str">
            <v>ERAT01</v>
          </cell>
          <cell r="M2573" t="str">
            <v>Era Tani/Abdul Wakik</v>
          </cell>
          <cell r="N2573" t="str">
            <v>Abdul Wakik</v>
          </cell>
          <cell r="O2573" t="str">
            <v>Dusun Tegal Gusi RT.002/RW.002, Kel. Mayang, Kec. Mayang</v>
          </cell>
          <cell r="P2573" t="str">
            <v>Jember</v>
          </cell>
          <cell r="Q2573" t="str">
            <v>Dusun Tegal Gusi RT.002/RW.002, Kel. Mayang, Kec. Mayang</v>
          </cell>
          <cell r="R2573" t="str">
            <v>Jember</v>
          </cell>
          <cell r="S2573" t="str">
            <v>L Kota1</v>
          </cell>
          <cell r="T2573" t="str">
            <v>Wira</v>
          </cell>
          <cell r="U2573">
            <v>30</v>
          </cell>
        </row>
        <row r="2574">
          <cell r="E2574" t="str">
            <v>B25011436</v>
          </cell>
          <cell r="F2574"/>
          <cell r="G2574">
            <v>75000000</v>
          </cell>
          <cell r="H2574" t="str">
            <v>Yuyun</v>
          </cell>
          <cell r="I2574" t="str">
            <v>Syahra</v>
          </cell>
          <cell r="J2574"/>
          <cell r="K2574" t="str">
            <v>KU</v>
          </cell>
          <cell r="L2574" t="str">
            <v>ERVA01</v>
          </cell>
          <cell r="M2574" t="str">
            <v>Erfan SK</v>
          </cell>
          <cell r="N2574" t="str">
            <v>Erfan Wijayanto</v>
          </cell>
          <cell r="O2574" t="str">
            <v>Perum Bumi Mangli Permai Blok F-14 Ling. Krajan RT.002 RW.015 Mangli, Kaliwates</v>
          </cell>
          <cell r="P2574" t="str">
            <v>Jember</v>
          </cell>
          <cell r="Q2574" t="str">
            <v>Perum Bumi Mangli Permai Blok F-14 Ling. Krajan RT.002 RW.015 Mangli, Kaliwates</v>
          </cell>
          <cell r="R2574" t="str">
            <v>Jember</v>
          </cell>
          <cell r="S2574" t="str">
            <v>B Agronomis</v>
          </cell>
          <cell r="T2574" t="str">
            <v>Wira</v>
          </cell>
          <cell r="U2574">
            <v>30</v>
          </cell>
        </row>
        <row r="2575">
          <cell r="E2575" t="str">
            <v>D25015346</v>
          </cell>
          <cell r="F2575"/>
          <cell r="G2575">
            <v>75000000</v>
          </cell>
          <cell r="H2575" t="str">
            <v>Yuyun</v>
          </cell>
          <cell r="I2575" t="str">
            <v>Syahra</v>
          </cell>
          <cell r="J2575"/>
          <cell r="K2575" t="str">
            <v>KU</v>
          </cell>
          <cell r="L2575" t="str">
            <v>ERVA01</v>
          </cell>
          <cell r="M2575" t="str">
            <v>Erfan SK</v>
          </cell>
          <cell r="N2575" t="str">
            <v>Erfan Wijayanto</v>
          </cell>
          <cell r="O2575" t="str">
            <v>Perum Bumi Mangli Permai Blok F-14 Ling. Krajan RT.002 RW.015 Mangli, Kaliwates</v>
          </cell>
          <cell r="P2575" t="str">
            <v>Jember</v>
          </cell>
          <cell r="Q2575" t="str">
            <v>Perum Bumi Mangli Permai Blok F-14 Ling. Krajan RT.002 RW.015 Mangli, Kaliwates</v>
          </cell>
          <cell r="R2575" t="str">
            <v>Jember</v>
          </cell>
          <cell r="S2575" t="str">
            <v>B Agronomis</v>
          </cell>
          <cell r="T2575" t="str">
            <v>Wira</v>
          </cell>
          <cell r="U2575">
            <v>30</v>
          </cell>
        </row>
        <row r="2576">
          <cell r="E2576" t="str">
            <v>D25015383</v>
          </cell>
          <cell r="F2576"/>
          <cell r="G2576">
            <v>75000000</v>
          </cell>
          <cell r="H2576" t="str">
            <v>Yuyun</v>
          </cell>
          <cell r="I2576" t="str">
            <v>Syahra</v>
          </cell>
          <cell r="J2576"/>
          <cell r="K2576" t="str">
            <v>KU</v>
          </cell>
          <cell r="L2576" t="str">
            <v>ERVA01</v>
          </cell>
          <cell r="M2576" t="str">
            <v>Erfan SK</v>
          </cell>
          <cell r="N2576" t="str">
            <v>Erfan Wijayanto</v>
          </cell>
          <cell r="O2576" t="str">
            <v>Perum Bumi Mangli Permai Blok F-14 Ling. Krajan RT.002 RW.015 Mangli, Kaliwates</v>
          </cell>
          <cell r="P2576" t="str">
            <v>Jember</v>
          </cell>
          <cell r="Q2576" t="str">
            <v>Perum Bumi Mangli Permai Blok F-14 Ling. Krajan RT.002 RW.015 Mangli, Kaliwates</v>
          </cell>
          <cell r="R2576" t="str">
            <v>Jember</v>
          </cell>
          <cell r="S2576" t="str">
            <v>B Agronomis</v>
          </cell>
          <cell r="T2576" t="str">
            <v>Wira</v>
          </cell>
          <cell r="U2576">
            <v>30</v>
          </cell>
        </row>
        <row r="2577">
          <cell r="E2577" t="str">
            <v>B25013399</v>
          </cell>
          <cell r="F2577"/>
          <cell r="G2577">
            <v>75000000</v>
          </cell>
          <cell r="H2577" t="str">
            <v>Yuyun</v>
          </cell>
          <cell r="I2577" t="str">
            <v>Syahra</v>
          </cell>
          <cell r="J2577"/>
          <cell r="K2577" t="str">
            <v>KU</v>
          </cell>
          <cell r="L2577" t="str">
            <v>ERVA01</v>
          </cell>
          <cell r="M2577" t="str">
            <v>Erfan SK</v>
          </cell>
          <cell r="N2577" t="str">
            <v>Erfan Wijayanto</v>
          </cell>
          <cell r="O2577" t="str">
            <v>Perum Bumi Mangli Permai Blok F-14 Ling. Krajan RT.002 RW.015 Mangli, Kaliwates</v>
          </cell>
          <cell r="P2577" t="str">
            <v>Jember</v>
          </cell>
          <cell r="Q2577" t="str">
            <v>Perum Bumi Mangli Permai Blok F-14 Ling. Krajan RT.002 RW.015 Mangli, Kaliwates</v>
          </cell>
          <cell r="R2577" t="str">
            <v>Jember</v>
          </cell>
          <cell r="S2577" t="str">
            <v>B Agronomis</v>
          </cell>
          <cell r="T2577" t="str">
            <v>Wira</v>
          </cell>
          <cell r="U2577">
            <v>30</v>
          </cell>
        </row>
        <row r="2578">
          <cell r="E2578" t="str">
            <v>T25001612</v>
          </cell>
          <cell r="F2578"/>
          <cell r="G2578">
            <v>1000</v>
          </cell>
          <cell r="H2578" t="str">
            <v>Reni</v>
          </cell>
          <cell r="I2578" t="str">
            <v>Farida</v>
          </cell>
          <cell r="J2578" t="str">
            <v>New 24/06/25</v>
          </cell>
          <cell r="K2578" t="str">
            <v>CBD</v>
          </cell>
          <cell r="L2578" t="str">
            <v>ERSA03</v>
          </cell>
          <cell r="M2578" t="str">
            <v>Ersa Tani</v>
          </cell>
          <cell r="N2578" t="str">
            <v>Sahit Nurtanto</v>
          </cell>
          <cell r="O2578" t="str">
            <v>Jalan Wachid Hasyim RT.001/RW.003 , Kel. Tanjunganom Kel. Tanjunganom</v>
          </cell>
          <cell r="P2578" t="str">
            <v>Nganjuk</v>
          </cell>
          <cell r="Q2578" t="str">
            <v>Bleton , Warujayeng Kec. Tanjunganom</v>
          </cell>
          <cell r="R2578" t="str">
            <v>Nganjuk</v>
          </cell>
          <cell r="S2578" t="str">
            <v>D Barat1</v>
          </cell>
          <cell r="T2578" t="str">
            <v>Dian</v>
          </cell>
          <cell r="U2578">
            <v>0</v>
          </cell>
        </row>
        <row r="2579">
          <cell r="E2579" t="str">
            <v>D25015264</v>
          </cell>
          <cell r="F2579"/>
          <cell r="G2579">
            <v>1000</v>
          </cell>
          <cell r="H2579" t="str">
            <v>Yuyun</v>
          </cell>
          <cell r="I2579" t="str">
            <v>Syahra</v>
          </cell>
          <cell r="J2579" t="str">
            <v>New 26/06/24</v>
          </cell>
          <cell r="K2579" t="str">
            <v>KU</v>
          </cell>
          <cell r="L2579" t="str">
            <v>ERWI03</v>
          </cell>
          <cell r="M2579" t="str">
            <v>Erwin/Agri Makmur</v>
          </cell>
          <cell r="N2579" t="str">
            <v>Erwin Sugiarto</v>
          </cell>
          <cell r="O2579" t="str">
            <v>Bumiasri Selatan Tahap II Blok B. 11 Karangmloko RT.001/RW.009, Kel. Dadaprejo, Kec. Junrejo</v>
          </cell>
          <cell r="P2579" t="str">
            <v>Batu</v>
          </cell>
          <cell r="Q2579" t="str">
            <v>Bumiasri Selatan Tahap II Blok B. 11 Karangmloko RT.001/RW.009, Kel. Dadaprejo, Kec. Junrejo</v>
          </cell>
          <cell r="R2579" t="str">
            <v>Batu</v>
          </cell>
          <cell r="S2579" t="str">
            <v>B Agronomis</v>
          </cell>
          <cell r="T2579" t="str">
            <v>Tomi</v>
          </cell>
          <cell r="U2579">
            <v>0</v>
          </cell>
        </row>
        <row r="2580">
          <cell r="E2580" t="str">
            <v>B25009663</v>
          </cell>
          <cell r="F2580"/>
          <cell r="G2580">
            <v>12000000000</v>
          </cell>
          <cell r="H2580" t="str">
            <v>Yuyun</v>
          </cell>
          <cell r="I2580" t="str">
            <v>Syahra</v>
          </cell>
          <cell r="J2580"/>
          <cell r="K2580" t="str">
            <v>KU</v>
          </cell>
          <cell r="L2580" t="str">
            <v>FAST06</v>
          </cell>
          <cell r="M2580" t="str">
            <v>F Nganjuk</v>
          </cell>
          <cell r="N2580" t="str">
            <v>Forum Agro Sukses Timur, PT</v>
          </cell>
          <cell r="O2580" t="str">
            <v>Jl. Merak No. 88 RT.001/RW.005, Kel. Jubung, Kec. Sukorambi</v>
          </cell>
          <cell r="P2580" t="str">
            <v>Jember</v>
          </cell>
          <cell r="Q2580" t="str">
            <v>Jl. Merak No. 88 RT.001/RW.005, Kel. Jubung, Kec. Sukorambi</v>
          </cell>
          <cell r="R2580" t="str">
            <v>Jember</v>
          </cell>
          <cell r="S2580" t="str">
            <v>J Group</v>
          </cell>
          <cell r="T2580" t="str">
            <v>Wira</v>
          </cell>
          <cell r="U2580">
            <v>30</v>
          </cell>
        </row>
        <row r="2581">
          <cell r="E2581" t="str">
            <v>D25013135</v>
          </cell>
          <cell r="F2581"/>
          <cell r="G2581">
            <v>12000000000</v>
          </cell>
          <cell r="H2581" t="str">
            <v>Yuyun</v>
          </cell>
          <cell r="I2581" t="str">
            <v>Syahra</v>
          </cell>
          <cell r="J2581"/>
          <cell r="K2581" t="str">
            <v>KU</v>
          </cell>
          <cell r="L2581" t="str">
            <v>FAST06</v>
          </cell>
          <cell r="M2581" t="str">
            <v>F Nganjuk</v>
          </cell>
          <cell r="N2581" t="str">
            <v>Forum Agro Sukses Timur, PT</v>
          </cell>
          <cell r="O2581" t="str">
            <v>Jl. Merak No. 88 RT.001/RW.005, Kel. Jubung, Kec. Sukorambi</v>
          </cell>
          <cell r="P2581" t="str">
            <v>Jember</v>
          </cell>
          <cell r="Q2581" t="str">
            <v>Jl. Merak No. 88 RT.001/RW.005, Kel. Jubung, Kec. Sukorambi</v>
          </cell>
          <cell r="R2581" t="str">
            <v>Jember</v>
          </cell>
          <cell r="S2581" t="str">
            <v>J Group</v>
          </cell>
          <cell r="T2581" t="str">
            <v>Wira</v>
          </cell>
          <cell r="U2581">
            <v>62</v>
          </cell>
        </row>
        <row r="2582">
          <cell r="E2582" t="str">
            <v>B25011046</v>
          </cell>
          <cell r="F2582"/>
          <cell r="G2582">
            <v>12000000000</v>
          </cell>
          <cell r="H2582" t="str">
            <v>Yuyun</v>
          </cell>
          <cell r="I2582" t="str">
            <v>Syahra</v>
          </cell>
          <cell r="J2582"/>
          <cell r="K2582" t="str">
            <v>KU</v>
          </cell>
          <cell r="L2582" t="str">
            <v>FAST06</v>
          </cell>
          <cell r="M2582" t="str">
            <v>F Nganjuk</v>
          </cell>
          <cell r="N2582" t="str">
            <v>Forum Agro Sukses Timur, PT</v>
          </cell>
          <cell r="O2582" t="str">
            <v>Jl. Merak No. 88 RT.001/RW.005, Kel. Jubung, Kec. Sukorambi</v>
          </cell>
          <cell r="P2582" t="str">
            <v>Jember</v>
          </cell>
          <cell r="Q2582" t="str">
            <v>Jl. Merak No. 88 RT.001/RW.005, Kel. Jubung, Kec. Sukorambi</v>
          </cell>
          <cell r="R2582" t="str">
            <v>Jember</v>
          </cell>
          <cell r="S2582" t="str">
            <v>J Group</v>
          </cell>
          <cell r="T2582" t="str">
            <v>Wira</v>
          </cell>
          <cell r="U2582">
            <v>30</v>
          </cell>
        </row>
        <row r="2583">
          <cell r="E2583" t="str">
            <v>D25013535</v>
          </cell>
          <cell r="F2583"/>
          <cell r="G2583">
            <v>12000000000</v>
          </cell>
          <cell r="H2583" t="str">
            <v>Yuyun</v>
          </cell>
          <cell r="I2583" t="str">
            <v>Syahra</v>
          </cell>
          <cell r="J2583"/>
          <cell r="K2583" t="str">
            <v>KU</v>
          </cell>
          <cell r="L2583" t="str">
            <v>FAST06</v>
          </cell>
          <cell r="M2583" t="str">
            <v>F Nganjuk</v>
          </cell>
          <cell r="N2583" t="str">
            <v>Forum Agro Sukses Timur, PT</v>
          </cell>
          <cell r="O2583" t="str">
            <v>Jl. Merak No. 88 RT.001/RW.005, Kel. Jubung, Kec. Sukorambi</v>
          </cell>
          <cell r="P2583" t="str">
            <v>Jember</v>
          </cell>
          <cell r="Q2583" t="str">
            <v>Jl. Merak No. 88 RT.001/RW.005, Kel. Jubung, Kec. Sukorambi</v>
          </cell>
          <cell r="R2583" t="str">
            <v>Jember</v>
          </cell>
          <cell r="S2583" t="str">
            <v>J Group</v>
          </cell>
          <cell r="T2583" t="str">
            <v>Wira</v>
          </cell>
          <cell r="U2583">
            <v>30</v>
          </cell>
        </row>
        <row r="2584">
          <cell r="E2584" t="str">
            <v>D25015964</v>
          </cell>
          <cell r="F2584"/>
          <cell r="G2584">
            <v>1000</v>
          </cell>
          <cell r="H2584" t="str">
            <v>Zakia</v>
          </cell>
          <cell r="I2584" t="str">
            <v>Tiya</v>
          </cell>
          <cell r="J2584" t="str">
            <v>New 24/10/25</v>
          </cell>
          <cell r="K2584" t="str">
            <v>KU</v>
          </cell>
          <cell r="L2584" t="str">
            <v>FADI07</v>
          </cell>
          <cell r="M2584" t="str">
            <v>Fadiyatul/Bisi</v>
          </cell>
          <cell r="N2584" t="str">
            <v>Fadiyatul Ulya</v>
          </cell>
          <cell r="O2584" t="str">
            <v>Ds. Pekadan RT.002/RW.003, Kel. Blega, Kec. Blega</v>
          </cell>
          <cell r="P2584" t="str">
            <v>Bangkalan</v>
          </cell>
          <cell r="Q2584" t="str">
            <v>Ds. Pekadan RT.002/RW.003, Kel. Blega, Kec. Blega</v>
          </cell>
          <cell r="R2584" t="str">
            <v>Bangkalan</v>
          </cell>
          <cell r="S2584" t="str">
            <v>B Agronomis</v>
          </cell>
          <cell r="T2584" t="str">
            <v>Tomi</v>
          </cell>
          <cell r="U2584">
            <v>0</v>
          </cell>
        </row>
        <row r="2585">
          <cell r="E2585" t="str">
            <v>B25013962</v>
          </cell>
          <cell r="F2585"/>
          <cell r="G2585">
            <v>35000000</v>
          </cell>
          <cell r="H2585" t="str">
            <v>Reni</v>
          </cell>
          <cell r="I2585" t="str">
            <v>Farida</v>
          </cell>
          <cell r="J2585" t="str">
            <v>New 29/05/21</v>
          </cell>
          <cell r="K2585" t="str">
            <v>KU</v>
          </cell>
          <cell r="L2585" t="str">
            <v>FAJA18</v>
          </cell>
          <cell r="M2585" t="str">
            <v>Fajar Agro</v>
          </cell>
          <cell r="N2585" t="str">
            <v>Indra Fajar Kusuma</v>
          </cell>
          <cell r="O2585" t="str">
            <v>JL. Brigjen Slamet Riadi III No. 851 RT.004/RW002, Kel. Oro Oro Dowo, Kec. Klojen</v>
          </cell>
          <cell r="P2585" t="str">
            <v>Malang</v>
          </cell>
          <cell r="Q2585" t="str">
            <v>JL. Brigjen Abd Manan Wijaya Krajan RT.033/RW.009, Lebaksari, Ngroto, Kec. Pujon</v>
          </cell>
          <cell r="R2585" t="str">
            <v>Malang</v>
          </cell>
          <cell r="S2585" t="str">
            <v>F Utara1</v>
          </cell>
          <cell r="T2585" t="str">
            <v>Tomi</v>
          </cell>
          <cell r="U2585">
            <v>0</v>
          </cell>
        </row>
        <row r="2586">
          <cell r="E2586" t="str">
            <v>T25001371</v>
          </cell>
          <cell r="F2586"/>
          <cell r="G2586">
            <v>100000000</v>
          </cell>
          <cell r="H2586" t="str">
            <v>Faris</v>
          </cell>
          <cell r="I2586" t="str">
            <v>Syahra</v>
          </cell>
          <cell r="J2586"/>
          <cell r="K2586" t="str">
            <v>Tunai</v>
          </cell>
          <cell r="L2586" t="str">
            <v>FAJA02</v>
          </cell>
          <cell r="M2586" t="str">
            <v>Fajar Makmur/Noto</v>
          </cell>
          <cell r="N2586" t="str">
            <v>Noto Budi Utomo</v>
          </cell>
          <cell r="O2586" t="str">
            <v>Bayatrejo, RT.050/RW.010 Wringinpitu, Tegal Dlimo, Kab. Banyuwangi</v>
          </cell>
          <cell r="P2586" t="str">
            <v>Banyuwangi</v>
          </cell>
          <cell r="Q2586" t="str">
            <v>Ds. Wringinpitu, Kec. Tegaldlimo, Kab. Banyuwangi</v>
          </cell>
          <cell r="R2586" t="str">
            <v>Banyuwangi</v>
          </cell>
          <cell r="S2586" t="str">
            <v>H Bwi2</v>
          </cell>
          <cell r="T2586" t="str">
            <v>Hafid</v>
          </cell>
          <cell r="U2586">
            <v>60</v>
          </cell>
        </row>
        <row r="2587">
          <cell r="E2587" t="str">
            <v>D25014088</v>
          </cell>
          <cell r="F2587"/>
          <cell r="G2587">
            <v>100000000</v>
          </cell>
          <cell r="H2587" t="str">
            <v>Faris</v>
          </cell>
          <cell r="I2587" t="str">
            <v>Syahra</v>
          </cell>
          <cell r="J2587"/>
          <cell r="K2587" t="str">
            <v>Tunai</v>
          </cell>
          <cell r="L2587" t="str">
            <v>FAJA02</v>
          </cell>
          <cell r="M2587" t="str">
            <v>Fajar Makmur/Noto</v>
          </cell>
          <cell r="N2587" t="str">
            <v>Noto Budi Utomo</v>
          </cell>
          <cell r="O2587" t="str">
            <v>Bayatrejo, RT.050/RW.010 Wringinpitu, Tegal Dlimo, Kab. Banyuwangi</v>
          </cell>
          <cell r="P2587" t="str">
            <v>Banyuwangi</v>
          </cell>
          <cell r="Q2587" t="str">
            <v>Ds. Wringinpitu, Kec. Tegaldlimo, Kab. Banyuwangi</v>
          </cell>
          <cell r="R2587" t="str">
            <v>Banyuwangi</v>
          </cell>
          <cell r="S2587" t="str">
            <v>H Bwi2</v>
          </cell>
          <cell r="T2587" t="str">
            <v>Hafid</v>
          </cell>
          <cell r="U2587">
            <v>30</v>
          </cell>
        </row>
        <row r="2588">
          <cell r="E2588" t="str">
            <v>D25006781</v>
          </cell>
          <cell r="F2588"/>
          <cell r="G2588">
            <v>1000</v>
          </cell>
          <cell r="H2588" t="str">
            <v>Yuyun</v>
          </cell>
          <cell r="I2588" t="str">
            <v>Syahra</v>
          </cell>
          <cell r="J2588" t="str">
            <v>New 08/05/25</v>
          </cell>
          <cell r="K2588" t="str">
            <v>KU</v>
          </cell>
          <cell r="L2588" t="str">
            <v>FAJA27</v>
          </cell>
          <cell r="M2588" t="str">
            <v>Fajar Prasetya/Syngenta</v>
          </cell>
          <cell r="N2588" t="str">
            <v>Fajar Yudha Prasetya</v>
          </cell>
          <cell r="O2588" t="str">
            <v>Tambakromo RT.002/RW.002 , Kel. Tambakromo Kec. Geneng</v>
          </cell>
          <cell r="P2588" t="str">
            <v>Ngawi</v>
          </cell>
          <cell r="Q2588" t="str">
            <v>Tambakromo RT.002/RW.002 , Kel. Tambakromo Kec. Geneng</v>
          </cell>
          <cell r="R2588" t="str">
            <v>Ngawi</v>
          </cell>
          <cell r="S2588" t="str">
            <v>B Agronomis</v>
          </cell>
          <cell r="T2588" t="str">
            <v>Tomi</v>
          </cell>
          <cell r="U2588">
            <v>60</v>
          </cell>
        </row>
        <row r="2589">
          <cell r="E2589" t="str">
            <v>D25014809</v>
          </cell>
          <cell r="F2589"/>
          <cell r="G2589">
            <v>2500000000</v>
          </cell>
          <cell r="H2589" t="str">
            <v>Yuyun</v>
          </cell>
          <cell r="I2589" t="str">
            <v>Farida</v>
          </cell>
          <cell r="J2589"/>
          <cell r="K2589" t="str">
            <v>KU, Tunai</v>
          </cell>
          <cell r="L2589" t="str">
            <v>FAJA04</v>
          </cell>
          <cell r="M2589" t="str">
            <v>Fajar Tani Makmur, CV</v>
          </cell>
          <cell r="N2589" t="str">
            <v>Fajar Tani Makmur, CV</v>
          </cell>
          <cell r="O2589" t="str">
            <v>Jl. Raya Klompangan No. 006 RT.001/RW.001,  Klompangan, Ajung</v>
          </cell>
          <cell r="P2589" t="str">
            <v>Jember</v>
          </cell>
          <cell r="Q2589" t="str">
            <v>Dsn. Krajan</v>
          </cell>
          <cell r="R2589" t="str">
            <v>Jember</v>
          </cell>
          <cell r="S2589" t="str">
            <v>L Kota2</v>
          </cell>
          <cell r="T2589" t="str">
            <v>Efendi</v>
          </cell>
          <cell r="U2589">
            <v>30</v>
          </cell>
        </row>
        <row r="2590">
          <cell r="E2590" t="str">
            <v>D25014900</v>
          </cell>
          <cell r="F2590"/>
          <cell r="G2590">
            <v>2500000000</v>
          </cell>
          <cell r="H2590" t="str">
            <v>Yuyun</v>
          </cell>
          <cell r="I2590" t="str">
            <v>Farida</v>
          </cell>
          <cell r="J2590"/>
          <cell r="K2590" t="str">
            <v>KU, Tunai</v>
          </cell>
          <cell r="L2590" t="str">
            <v>FAJA04</v>
          </cell>
          <cell r="M2590" t="str">
            <v>Fajar Tani Makmur, CV</v>
          </cell>
          <cell r="N2590" t="str">
            <v>Fajar Tani Makmur, CV</v>
          </cell>
          <cell r="O2590" t="str">
            <v>Jl. Raya Klompangan No. 006 RT.001/RW.001,  Klompangan, Ajung</v>
          </cell>
          <cell r="P2590" t="str">
            <v>Jember</v>
          </cell>
          <cell r="Q2590" t="str">
            <v>Dsn. Krajan</v>
          </cell>
          <cell r="R2590" t="str">
            <v>Jember</v>
          </cell>
          <cell r="S2590" t="str">
            <v>L Kota2</v>
          </cell>
          <cell r="T2590" t="str">
            <v>Efendi</v>
          </cell>
          <cell r="U2590">
            <v>30</v>
          </cell>
        </row>
        <row r="2591">
          <cell r="E2591" t="str">
            <v>B25012901</v>
          </cell>
          <cell r="F2591"/>
          <cell r="G2591">
            <v>2500000000</v>
          </cell>
          <cell r="H2591" t="str">
            <v>Yuyun</v>
          </cell>
          <cell r="I2591" t="str">
            <v>Farida</v>
          </cell>
          <cell r="J2591"/>
          <cell r="K2591" t="str">
            <v>KU, Tunai</v>
          </cell>
          <cell r="L2591" t="str">
            <v>FAJA04</v>
          </cell>
          <cell r="M2591" t="str">
            <v>Fajar Tani Makmur, CV</v>
          </cell>
          <cell r="N2591" t="str">
            <v>Fajar Tani Makmur, CV</v>
          </cell>
          <cell r="O2591" t="str">
            <v>Jl. Raya Klompangan No. 006 RT.001/RW.001,  Klompangan, Ajung</v>
          </cell>
          <cell r="P2591" t="str">
            <v>Jember</v>
          </cell>
          <cell r="Q2591" t="str">
            <v>Dsn. Krajan</v>
          </cell>
          <cell r="R2591" t="str">
            <v>Jember</v>
          </cell>
          <cell r="S2591" t="str">
            <v>L Kota2</v>
          </cell>
          <cell r="T2591" t="str">
            <v>Efendi</v>
          </cell>
          <cell r="U2591">
            <v>30</v>
          </cell>
        </row>
        <row r="2592">
          <cell r="E2592" t="str">
            <v>D25015207</v>
          </cell>
          <cell r="F2592"/>
          <cell r="G2592">
            <v>2500000000</v>
          </cell>
          <cell r="H2592" t="str">
            <v>Yuyun</v>
          </cell>
          <cell r="I2592" t="str">
            <v>Farida</v>
          </cell>
          <cell r="J2592"/>
          <cell r="K2592" t="str">
            <v>KU, Tunai</v>
          </cell>
          <cell r="L2592" t="str">
            <v>FAJA04</v>
          </cell>
          <cell r="M2592" t="str">
            <v>Fajar Tani Makmur, CV</v>
          </cell>
          <cell r="N2592" t="str">
            <v>Fajar Tani Makmur, CV</v>
          </cell>
          <cell r="O2592" t="str">
            <v>Jl. Raya Klompangan No. 006 RT.001/RW.001,  Klompangan, Ajung</v>
          </cell>
          <cell r="P2592" t="str">
            <v>Jember</v>
          </cell>
          <cell r="Q2592" t="str">
            <v>Dsn. Krajan</v>
          </cell>
          <cell r="R2592" t="str">
            <v>Jember</v>
          </cell>
          <cell r="S2592" t="str">
            <v>L Kota2</v>
          </cell>
          <cell r="T2592" t="str">
            <v>Efendi</v>
          </cell>
          <cell r="U2592">
            <v>30</v>
          </cell>
        </row>
        <row r="2593">
          <cell r="E2593" t="str">
            <v>B25013041</v>
          </cell>
          <cell r="F2593"/>
          <cell r="G2593">
            <v>2500000000</v>
          </cell>
          <cell r="H2593" t="str">
            <v>Yuyun</v>
          </cell>
          <cell r="I2593" t="str">
            <v>Farida</v>
          </cell>
          <cell r="J2593"/>
          <cell r="K2593" t="str">
            <v>KU, Tunai</v>
          </cell>
          <cell r="L2593" t="str">
            <v>FAJA04</v>
          </cell>
          <cell r="M2593" t="str">
            <v>Fajar Tani Makmur, CV</v>
          </cell>
          <cell r="N2593" t="str">
            <v>Fajar Tani Makmur, CV</v>
          </cell>
          <cell r="O2593" t="str">
            <v>Jl. Raya Klompangan No. 006 RT.001/RW.001,  Klompangan, Ajung</v>
          </cell>
          <cell r="P2593" t="str">
            <v>Jember</v>
          </cell>
          <cell r="Q2593" t="str">
            <v>Dsn. Krajan</v>
          </cell>
          <cell r="R2593" t="str">
            <v>Jember</v>
          </cell>
          <cell r="S2593" t="str">
            <v>L Kota2</v>
          </cell>
          <cell r="T2593" t="str">
            <v>Efendi</v>
          </cell>
          <cell r="U2593">
            <v>30</v>
          </cell>
        </row>
        <row r="2594">
          <cell r="E2594" t="str">
            <v>B25013041</v>
          </cell>
          <cell r="F2594"/>
          <cell r="G2594">
            <v>2500000000</v>
          </cell>
          <cell r="H2594" t="str">
            <v>Yuyun</v>
          </cell>
          <cell r="I2594" t="str">
            <v>Farida</v>
          </cell>
          <cell r="J2594"/>
          <cell r="K2594" t="str">
            <v>KU, Tunai</v>
          </cell>
          <cell r="L2594" t="str">
            <v>FAJA04</v>
          </cell>
          <cell r="M2594" t="str">
            <v>Fajar Tani Makmur, CV</v>
          </cell>
          <cell r="N2594" t="str">
            <v>Fajar Tani Makmur, CV</v>
          </cell>
          <cell r="O2594" t="str">
            <v>Jl. Raya Klompangan No. 006 RT.001/RW.001,  Klompangan, Ajung</v>
          </cell>
          <cell r="P2594" t="str">
            <v>Jember</v>
          </cell>
          <cell r="Q2594" t="str">
            <v>Dsn. Krajan</v>
          </cell>
          <cell r="R2594" t="str">
            <v>Jember</v>
          </cell>
          <cell r="S2594" t="str">
            <v>L Kota2</v>
          </cell>
          <cell r="T2594" t="str">
            <v>Efendi</v>
          </cell>
          <cell r="U2594">
            <v>30</v>
          </cell>
        </row>
        <row r="2595">
          <cell r="E2595" t="str">
            <v>D25015436</v>
          </cell>
          <cell r="F2595"/>
          <cell r="G2595">
            <v>2500000000</v>
          </cell>
          <cell r="H2595" t="str">
            <v>Yuyun</v>
          </cell>
          <cell r="I2595" t="str">
            <v>Farida</v>
          </cell>
          <cell r="J2595"/>
          <cell r="K2595" t="str">
            <v>KU, Tunai</v>
          </cell>
          <cell r="L2595" t="str">
            <v>FAJA04</v>
          </cell>
          <cell r="M2595" t="str">
            <v>Fajar Tani Makmur, CV</v>
          </cell>
          <cell r="N2595" t="str">
            <v>Fajar Tani Makmur, CV</v>
          </cell>
          <cell r="O2595" t="str">
            <v>Jl. Raya Klompangan No. 006 RT.001/RW.001,  Klompangan, Ajung</v>
          </cell>
          <cell r="P2595" t="str">
            <v>Jember</v>
          </cell>
          <cell r="Q2595" t="str">
            <v>Dsn. Krajan</v>
          </cell>
          <cell r="R2595" t="str">
            <v>Jember</v>
          </cell>
          <cell r="S2595" t="str">
            <v>L Kota2</v>
          </cell>
          <cell r="T2595" t="str">
            <v>Efendi</v>
          </cell>
          <cell r="U2595">
            <v>0</v>
          </cell>
        </row>
        <row r="2596">
          <cell r="E2596" t="str">
            <v>B25013217</v>
          </cell>
          <cell r="F2596"/>
          <cell r="G2596">
            <v>2500000000</v>
          </cell>
          <cell r="H2596" t="str">
            <v>Yuyun</v>
          </cell>
          <cell r="I2596" t="str">
            <v>Farida</v>
          </cell>
          <cell r="J2596"/>
          <cell r="K2596" t="str">
            <v>KU, Tunai</v>
          </cell>
          <cell r="L2596" t="str">
            <v>FAJA04</v>
          </cell>
          <cell r="M2596" t="str">
            <v>Fajar Tani Makmur, CV</v>
          </cell>
          <cell r="N2596" t="str">
            <v>Fajar Tani Makmur, CV</v>
          </cell>
          <cell r="O2596" t="str">
            <v>Jl. Raya Klompangan No. 006 RT.001/RW.001,  Klompangan, Ajung</v>
          </cell>
          <cell r="P2596" t="str">
            <v>Jember</v>
          </cell>
          <cell r="Q2596" t="str">
            <v>Dsn. Krajan</v>
          </cell>
          <cell r="R2596" t="str">
            <v>Jember</v>
          </cell>
          <cell r="S2596" t="str">
            <v>L Kota2</v>
          </cell>
          <cell r="T2596" t="str">
            <v>Efendi</v>
          </cell>
          <cell r="U2596">
            <v>30</v>
          </cell>
        </row>
        <row r="2597">
          <cell r="E2597" t="str">
            <v>D25015482</v>
          </cell>
          <cell r="F2597"/>
          <cell r="G2597">
            <v>2500000000</v>
          </cell>
          <cell r="H2597" t="str">
            <v>Yuyun</v>
          </cell>
          <cell r="I2597" t="str">
            <v>Farida</v>
          </cell>
          <cell r="J2597"/>
          <cell r="K2597" t="str">
            <v>KU, Tunai</v>
          </cell>
          <cell r="L2597" t="str">
            <v>FAJA04</v>
          </cell>
          <cell r="M2597" t="str">
            <v>Fajar Tani Makmur, CV</v>
          </cell>
          <cell r="N2597" t="str">
            <v>Fajar Tani Makmur, CV</v>
          </cell>
          <cell r="O2597" t="str">
            <v>Jl. Raya Klompangan No. 006 RT.001/RW.001,  Klompangan, Ajung</v>
          </cell>
          <cell r="P2597" t="str">
            <v>Jember</v>
          </cell>
          <cell r="Q2597" t="str">
            <v>Dsn. Krajan</v>
          </cell>
          <cell r="R2597" t="str">
            <v>Jember</v>
          </cell>
          <cell r="S2597" t="str">
            <v>L Kota2</v>
          </cell>
          <cell r="T2597" t="str">
            <v>Efendi</v>
          </cell>
          <cell r="U2597">
            <v>30</v>
          </cell>
        </row>
        <row r="2598">
          <cell r="E2598" t="str">
            <v>B25013354</v>
          </cell>
          <cell r="F2598"/>
          <cell r="G2598">
            <v>2500000000</v>
          </cell>
          <cell r="H2598" t="str">
            <v>Yuyun</v>
          </cell>
          <cell r="I2598" t="str">
            <v>Farida</v>
          </cell>
          <cell r="J2598"/>
          <cell r="K2598" t="str">
            <v>KU, Tunai</v>
          </cell>
          <cell r="L2598" t="str">
            <v>FAJA04</v>
          </cell>
          <cell r="M2598" t="str">
            <v>Fajar Tani Makmur, CV</v>
          </cell>
          <cell r="N2598" t="str">
            <v>Fajar Tani Makmur, CV</v>
          </cell>
          <cell r="O2598" t="str">
            <v>Jl. Raya Klompangan No. 006 RT.001/RW.001,  Klompangan, Ajung</v>
          </cell>
          <cell r="P2598" t="str">
            <v>Jember</v>
          </cell>
          <cell r="Q2598" t="str">
            <v>Dsn. Krajan</v>
          </cell>
          <cell r="R2598" t="str">
            <v>Jember</v>
          </cell>
          <cell r="S2598" t="str">
            <v>L Kota2</v>
          </cell>
          <cell r="T2598" t="str">
            <v>Efendi</v>
          </cell>
          <cell r="U2598">
            <v>30</v>
          </cell>
        </row>
        <row r="2599">
          <cell r="E2599" t="str">
            <v>B25013361</v>
          </cell>
          <cell r="F2599"/>
          <cell r="G2599">
            <v>2500000000</v>
          </cell>
          <cell r="H2599" t="str">
            <v>Yuyun</v>
          </cell>
          <cell r="I2599" t="str">
            <v>Farida</v>
          </cell>
          <cell r="J2599"/>
          <cell r="K2599" t="str">
            <v>KU, Tunai</v>
          </cell>
          <cell r="L2599" t="str">
            <v>FAJA04</v>
          </cell>
          <cell r="M2599" t="str">
            <v>Fajar Tani Makmur, CV</v>
          </cell>
          <cell r="N2599" t="str">
            <v>Fajar Tani Makmur, CV</v>
          </cell>
          <cell r="O2599" t="str">
            <v>Jl. Raya Klompangan No. 006 RT.001/RW.001,  Klompangan, Ajung</v>
          </cell>
          <cell r="P2599" t="str">
            <v>Jember</v>
          </cell>
          <cell r="Q2599" t="str">
            <v>Dsn. Krajan</v>
          </cell>
          <cell r="R2599" t="str">
            <v>Jember</v>
          </cell>
          <cell r="S2599" t="str">
            <v>L Kota2</v>
          </cell>
          <cell r="T2599" t="str">
            <v>Efendi</v>
          </cell>
          <cell r="U2599">
            <v>30</v>
          </cell>
        </row>
        <row r="2600">
          <cell r="E2600" t="str">
            <v>D25015856</v>
          </cell>
          <cell r="F2600"/>
          <cell r="G2600">
            <v>2500000000</v>
          </cell>
          <cell r="H2600" t="str">
            <v>Yuyun</v>
          </cell>
          <cell r="I2600" t="str">
            <v>Farida</v>
          </cell>
          <cell r="J2600"/>
          <cell r="K2600" t="str">
            <v>KU, Tunai</v>
          </cell>
          <cell r="L2600" t="str">
            <v>FAJA04</v>
          </cell>
          <cell r="M2600" t="str">
            <v>Fajar Tani Makmur, CV</v>
          </cell>
          <cell r="N2600" t="str">
            <v>Fajar Tani Makmur, CV</v>
          </cell>
          <cell r="O2600" t="str">
            <v>Jl. Raya Klompangan No. 006 RT.001/RW.001,  Klompangan, Ajung</v>
          </cell>
          <cell r="P2600" t="str">
            <v>Jember</v>
          </cell>
          <cell r="Q2600" t="str">
            <v>Dsn. Krajan</v>
          </cell>
          <cell r="R2600" t="str">
            <v>Jember</v>
          </cell>
          <cell r="S2600" t="str">
            <v>L Kota2</v>
          </cell>
          <cell r="T2600" t="str">
            <v>Efendi</v>
          </cell>
          <cell r="U2600">
            <v>30</v>
          </cell>
        </row>
        <row r="2601">
          <cell r="E2601" t="str">
            <v>D25015949</v>
          </cell>
          <cell r="F2601"/>
          <cell r="G2601">
            <v>2500000000</v>
          </cell>
          <cell r="H2601" t="str">
            <v>Yuyun</v>
          </cell>
          <cell r="I2601" t="str">
            <v>Farida</v>
          </cell>
          <cell r="J2601"/>
          <cell r="K2601" t="str">
            <v>KU, Tunai</v>
          </cell>
          <cell r="L2601" t="str">
            <v>FAJA04</v>
          </cell>
          <cell r="M2601" t="str">
            <v>Fajar Tani Makmur, CV</v>
          </cell>
          <cell r="N2601" t="str">
            <v>Fajar Tani Makmur, CV</v>
          </cell>
          <cell r="O2601" t="str">
            <v>Jl. Raya Klompangan No. 006 RT.001/RW.001,  Klompangan, Ajung</v>
          </cell>
          <cell r="P2601" t="str">
            <v>Jember</v>
          </cell>
          <cell r="Q2601" t="str">
            <v>Dsn. Krajan</v>
          </cell>
          <cell r="R2601" t="str">
            <v>Jember</v>
          </cell>
          <cell r="S2601" t="str">
            <v>L Kota2</v>
          </cell>
          <cell r="T2601" t="str">
            <v>Efendi</v>
          </cell>
          <cell r="U2601">
            <v>30</v>
          </cell>
        </row>
        <row r="2602">
          <cell r="E2602" t="str">
            <v>D25016067</v>
          </cell>
          <cell r="F2602"/>
          <cell r="G2602">
            <v>2500000000</v>
          </cell>
          <cell r="H2602" t="str">
            <v>Yuyun</v>
          </cell>
          <cell r="I2602" t="str">
            <v>Farida</v>
          </cell>
          <cell r="J2602"/>
          <cell r="K2602" t="str">
            <v>KU, Tunai</v>
          </cell>
          <cell r="L2602" t="str">
            <v>FAJA04</v>
          </cell>
          <cell r="M2602" t="str">
            <v>Fajar Tani Makmur, CV</v>
          </cell>
          <cell r="N2602" t="str">
            <v>Fajar Tani Makmur, CV</v>
          </cell>
          <cell r="O2602" t="str">
            <v>Jl. Raya Klompangan No. 006 RT.001/RW.001,  Klompangan, Ajung</v>
          </cell>
          <cell r="P2602" t="str">
            <v>Jember</v>
          </cell>
          <cell r="Q2602" t="str">
            <v>Dsn. Krajan</v>
          </cell>
          <cell r="R2602" t="str">
            <v>Jember</v>
          </cell>
          <cell r="S2602" t="str">
            <v>L Kota2</v>
          </cell>
          <cell r="T2602" t="str">
            <v>Efendi</v>
          </cell>
          <cell r="U2602">
            <v>30</v>
          </cell>
        </row>
        <row r="2603">
          <cell r="E2603" t="str">
            <v>B25013873</v>
          </cell>
          <cell r="F2603"/>
          <cell r="G2603">
            <v>2500000000</v>
          </cell>
          <cell r="H2603" t="str">
            <v>Yuyun</v>
          </cell>
          <cell r="I2603" t="str">
            <v>Farida</v>
          </cell>
          <cell r="J2603"/>
          <cell r="K2603" t="str">
            <v>KU, Tunai</v>
          </cell>
          <cell r="L2603" t="str">
            <v>FAJA04</v>
          </cell>
          <cell r="M2603" t="str">
            <v>Fajar Tani Makmur, CV</v>
          </cell>
          <cell r="N2603" t="str">
            <v>Fajar Tani Makmur, CV</v>
          </cell>
          <cell r="O2603" t="str">
            <v>Jl. Raya Klompangan No. 006 RT.001/RW.001,  Klompangan, Ajung</v>
          </cell>
          <cell r="P2603" t="str">
            <v>Jember</v>
          </cell>
          <cell r="Q2603" t="str">
            <v>Dsn. Krajan</v>
          </cell>
          <cell r="R2603" t="str">
            <v>Jember</v>
          </cell>
          <cell r="S2603" t="str">
            <v>L Kota2</v>
          </cell>
          <cell r="T2603" t="str">
            <v>Efendi</v>
          </cell>
          <cell r="U2603">
            <v>30</v>
          </cell>
        </row>
        <row r="2604">
          <cell r="E2604" t="str">
            <v>D25016183</v>
          </cell>
          <cell r="F2604"/>
          <cell r="G2604">
            <v>2500000000</v>
          </cell>
          <cell r="H2604" t="str">
            <v>Yuyun</v>
          </cell>
          <cell r="I2604" t="str">
            <v>Farida</v>
          </cell>
          <cell r="J2604"/>
          <cell r="K2604" t="str">
            <v>KU, Tunai</v>
          </cell>
          <cell r="L2604" t="str">
            <v>FAJA04</v>
          </cell>
          <cell r="M2604" t="str">
            <v>Fajar Tani Makmur, CV</v>
          </cell>
          <cell r="N2604" t="str">
            <v>Fajar Tani Makmur, CV</v>
          </cell>
          <cell r="O2604" t="str">
            <v>Jl. Raya Klompangan No. 006 RT.001/RW.001,  Klompangan, Ajung</v>
          </cell>
          <cell r="P2604" t="str">
            <v>Jember</v>
          </cell>
          <cell r="Q2604" t="str">
            <v>Dsn. Krajan</v>
          </cell>
          <cell r="R2604" t="str">
            <v>Jember</v>
          </cell>
          <cell r="S2604" t="str">
            <v>L Kota2</v>
          </cell>
          <cell r="T2604" t="str">
            <v>Efendi</v>
          </cell>
          <cell r="U2604">
            <v>30</v>
          </cell>
        </row>
        <row r="2605">
          <cell r="E2605" t="str">
            <v>B25005868</v>
          </cell>
          <cell r="F2605"/>
          <cell r="G2605">
            <v>500000000</v>
          </cell>
          <cell r="H2605" t="str">
            <v>Reni</v>
          </cell>
          <cell r="I2605" t="str">
            <v>Fira</v>
          </cell>
          <cell r="J2605"/>
          <cell r="K2605" t="str">
            <v>KU</v>
          </cell>
          <cell r="L2605" t="str">
            <v>FAJA07</v>
          </cell>
          <cell r="M2605" t="str">
            <v>Fajar Tani Muliya/Ibnu</v>
          </cell>
          <cell r="N2605" t="str">
            <v>Ibnu Fajar</v>
          </cell>
          <cell r="O2605" t="str">
            <v>Jl. Panglima Polim Gg. Lori Barat Kav 06 RT.017/RW.001, Kel. Pacul, Kec. Bojonegoro</v>
          </cell>
          <cell r="P2605" t="str">
            <v>Bojonegoro</v>
          </cell>
          <cell r="Q2605" t="str">
            <v>Rengel</v>
          </cell>
          <cell r="R2605" t="str">
            <v>Tuban</v>
          </cell>
          <cell r="S2605" t="str">
            <v>F Utara1</v>
          </cell>
          <cell r="T2605" t="str">
            <v>Dian</v>
          </cell>
          <cell r="U2605">
            <v>228</v>
          </cell>
        </row>
        <row r="2606">
          <cell r="E2606" t="str">
            <v>B25005869</v>
          </cell>
          <cell r="F2606"/>
          <cell r="G2606">
            <v>500000000</v>
          </cell>
          <cell r="H2606" t="str">
            <v>Reni</v>
          </cell>
          <cell r="I2606" t="str">
            <v>Fira</v>
          </cell>
          <cell r="J2606"/>
          <cell r="K2606" t="str">
            <v>KU</v>
          </cell>
          <cell r="L2606" t="str">
            <v>FAJA07</v>
          </cell>
          <cell r="M2606" t="str">
            <v>Fajar Tani Muliya/Ibnu</v>
          </cell>
          <cell r="N2606" t="str">
            <v>Ibnu Fajar</v>
          </cell>
          <cell r="O2606" t="str">
            <v>Jl. Panglima Polim Gg. Lori Barat Kav 06 RT.017/RW.001, Kel. Pacul, Kec. Bojonegoro</v>
          </cell>
          <cell r="P2606" t="str">
            <v>Bojonegoro</v>
          </cell>
          <cell r="Q2606" t="str">
            <v>Rengel</v>
          </cell>
          <cell r="R2606" t="str">
            <v>Tuban</v>
          </cell>
          <cell r="S2606" t="str">
            <v>F Utara1</v>
          </cell>
          <cell r="T2606" t="str">
            <v>Dian</v>
          </cell>
          <cell r="U2606">
            <v>228</v>
          </cell>
        </row>
        <row r="2607">
          <cell r="E2607" t="str">
            <v>D25010517</v>
          </cell>
          <cell r="F2607"/>
          <cell r="G2607">
            <v>500000000</v>
          </cell>
          <cell r="H2607" t="str">
            <v>Reni</v>
          </cell>
          <cell r="I2607" t="str">
            <v>Fira</v>
          </cell>
          <cell r="J2607"/>
          <cell r="K2607" t="str">
            <v>KU</v>
          </cell>
          <cell r="L2607" t="str">
            <v>FAJA07</v>
          </cell>
          <cell r="M2607" t="str">
            <v>Fajar Tani Muliya/Ibnu</v>
          </cell>
          <cell r="N2607" t="str">
            <v>Ibnu Fajar</v>
          </cell>
          <cell r="O2607" t="str">
            <v>Jl. Panglima Polim Gg. Lori Barat Kav 06 RT.017/RW.001, Kel. Pacul, Kec. Bojonegoro</v>
          </cell>
          <cell r="P2607" t="str">
            <v>Bojonegoro</v>
          </cell>
          <cell r="Q2607" t="str">
            <v>Rengel</v>
          </cell>
          <cell r="R2607" t="str">
            <v>Tuban</v>
          </cell>
          <cell r="S2607" t="str">
            <v>F Utara1</v>
          </cell>
          <cell r="T2607" t="str">
            <v>Dian</v>
          </cell>
          <cell r="U2607">
            <v>60</v>
          </cell>
        </row>
        <row r="2608">
          <cell r="E2608" t="str">
            <v>D25015525</v>
          </cell>
          <cell r="F2608"/>
          <cell r="G2608">
            <v>1000</v>
          </cell>
          <cell r="H2608" t="str">
            <v>Ariyani</v>
          </cell>
          <cell r="I2608" t="str">
            <v>Fira</v>
          </cell>
          <cell r="J2608" t="str">
            <v>New 08/03/24</v>
          </cell>
          <cell r="K2608" t="str">
            <v>Tunai</v>
          </cell>
          <cell r="L2608" t="str">
            <v>FAJA23</v>
          </cell>
          <cell r="M2608" t="str">
            <v>Fajar Tani/Alek</v>
          </cell>
          <cell r="N2608" t="str">
            <v>Alek Sugiman</v>
          </cell>
          <cell r="O2608" t="str">
            <v>Dusun Krajan Kulon RT.005/RW.001, Kel. Tanjung Rejo, Kec. Wuluhan</v>
          </cell>
          <cell r="P2608" t="str">
            <v>Jember</v>
          </cell>
          <cell r="Q2608" t="str">
            <v>Wuluhan</v>
          </cell>
          <cell r="R2608" t="str">
            <v>Jember</v>
          </cell>
          <cell r="S2608" t="str">
            <v>L Kota2</v>
          </cell>
          <cell r="T2608" t="str">
            <v>Wira</v>
          </cell>
          <cell r="U2608">
            <v>0</v>
          </cell>
        </row>
        <row r="2609">
          <cell r="E2609" t="str">
            <v>D25015526</v>
          </cell>
          <cell r="F2609"/>
          <cell r="G2609">
            <v>1000</v>
          </cell>
          <cell r="H2609" t="str">
            <v>Ariyani</v>
          </cell>
          <cell r="I2609" t="str">
            <v>Fira</v>
          </cell>
          <cell r="J2609" t="str">
            <v>New 08/03/24</v>
          </cell>
          <cell r="K2609" t="str">
            <v>Tunai</v>
          </cell>
          <cell r="L2609" t="str">
            <v>FAJA23</v>
          </cell>
          <cell r="M2609" t="str">
            <v>Fajar Tani/Alek</v>
          </cell>
          <cell r="N2609" t="str">
            <v>Alek Sugiman</v>
          </cell>
          <cell r="O2609" t="str">
            <v>Dusun Krajan Kulon RT.005/RW.001, Kel. Tanjung Rejo, Kec. Wuluhan</v>
          </cell>
          <cell r="P2609" t="str">
            <v>Jember</v>
          </cell>
          <cell r="Q2609" t="str">
            <v>Wuluhan</v>
          </cell>
          <cell r="R2609" t="str">
            <v>Jember</v>
          </cell>
          <cell r="S2609" t="str">
            <v>L Kota2</v>
          </cell>
          <cell r="T2609" t="str">
            <v>Wira</v>
          </cell>
          <cell r="U2609">
            <v>0</v>
          </cell>
        </row>
        <row r="2610">
          <cell r="E2610" t="str">
            <v>D25012121</v>
          </cell>
          <cell r="F2610"/>
          <cell r="G2610">
            <v>100000000</v>
          </cell>
          <cell r="H2610" t="str">
            <v>Zakia</v>
          </cell>
          <cell r="I2610" t="str">
            <v>Tiya</v>
          </cell>
          <cell r="J2610"/>
          <cell r="K2610" t="str">
            <v>KU</v>
          </cell>
          <cell r="L2610" t="str">
            <v>FAJA13</v>
          </cell>
          <cell r="M2610" t="str">
            <v>Fajar Tani/Aman</v>
          </cell>
          <cell r="N2610" t="str">
            <v>Aman Sugiarto</v>
          </cell>
          <cell r="O2610" t="str">
            <v>Perum Arta Puri Blok B No. 6 Ds. Taman , Kel. Gubug, Kec. Tabanan</v>
          </cell>
          <cell r="P2610" t="str">
            <v>Bali</v>
          </cell>
          <cell r="Q2610" t="str">
            <v>Pejarakan, Kec. Gerokgak, Kab. Buleleng</v>
          </cell>
          <cell r="R2610" t="str">
            <v>Bali</v>
          </cell>
          <cell r="S2610" t="str">
            <v>S Bali3</v>
          </cell>
          <cell r="T2610" t="str">
            <v>Wira</v>
          </cell>
          <cell r="U2610">
            <v>30</v>
          </cell>
        </row>
        <row r="2611">
          <cell r="E2611" t="str">
            <v>B25010377</v>
          </cell>
          <cell r="F2611"/>
          <cell r="G2611">
            <v>100000000</v>
          </cell>
          <cell r="H2611" t="str">
            <v>Zakia</v>
          </cell>
          <cell r="I2611" t="str">
            <v>Tiya</v>
          </cell>
          <cell r="J2611"/>
          <cell r="K2611" t="str">
            <v>KU</v>
          </cell>
          <cell r="L2611" t="str">
            <v>FAJA13</v>
          </cell>
          <cell r="M2611" t="str">
            <v>Fajar Tani/Aman</v>
          </cell>
          <cell r="N2611" t="str">
            <v>Aman Sugiarto</v>
          </cell>
          <cell r="O2611" t="str">
            <v>Perum Arta Puri Blok B No. 6 Ds. Taman , Kel. Gubug, Kec. Tabanan</v>
          </cell>
          <cell r="P2611" t="str">
            <v>Bali</v>
          </cell>
          <cell r="Q2611" t="str">
            <v>Pejarakan, Kec. Gerokgak, Kab. Buleleng</v>
          </cell>
          <cell r="R2611" t="str">
            <v>Bali</v>
          </cell>
          <cell r="S2611" t="str">
            <v>S Bali3</v>
          </cell>
          <cell r="T2611" t="str">
            <v>Wira</v>
          </cell>
          <cell r="U2611">
            <v>30</v>
          </cell>
        </row>
        <row r="2612">
          <cell r="E2612" t="str">
            <v>B25010991</v>
          </cell>
          <cell r="F2612"/>
          <cell r="G2612">
            <v>100000000</v>
          </cell>
          <cell r="H2612" t="str">
            <v>Zakia</v>
          </cell>
          <cell r="I2612" t="str">
            <v>Tiya</v>
          </cell>
          <cell r="J2612"/>
          <cell r="K2612" t="str">
            <v>KU</v>
          </cell>
          <cell r="L2612" t="str">
            <v>FAJA13</v>
          </cell>
          <cell r="M2612" t="str">
            <v>Fajar Tani/Aman</v>
          </cell>
          <cell r="N2612" t="str">
            <v>Aman Sugiarto</v>
          </cell>
          <cell r="O2612" t="str">
            <v>Perum Arta Puri Blok B No. 6 Ds. Taman , Kel. Gubug, Kec. Tabanan</v>
          </cell>
          <cell r="P2612" t="str">
            <v>Bali</v>
          </cell>
          <cell r="Q2612" t="str">
            <v>Pejarakan, Kec. Gerokgak, Kab. Buleleng</v>
          </cell>
          <cell r="R2612" t="str">
            <v>Bali</v>
          </cell>
          <cell r="S2612" t="str">
            <v>S Bali3</v>
          </cell>
          <cell r="T2612" t="str">
            <v>Wira</v>
          </cell>
          <cell r="U2612">
            <v>30</v>
          </cell>
        </row>
        <row r="2613">
          <cell r="E2613" t="str">
            <v>B25013709</v>
          </cell>
          <cell r="F2613"/>
          <cell r="G2613">
            <v>100000000</v>
          </cell>
          <cell r="H2613" t="str">
            <v>Zakia</v>
          </cell>
          <cell r="I2613" t="str">
            <v>Tiya</v>
          </cell>
          <cell r="J2613"/>
          <cell r="K2613" t="str">
            <v>KU</v>
          </cell>
          <cell r="L2613" t="str">
            <v>FAJA13</v>
          </cell>
          <cell r="M2613" t="str">
            <v>Fajar Tani/Aman</v>
          </cell>
          <cell r="N2613" t="str">
            <v>Aman Sugiarto</v>
          </cell>
          <cell r="O2613" t="str">
            <v>Perum Arta Puri Blok B No. 6 Ds. Taman , Kel. Gubug, Kec. Tabanan</v>
          </cell>
          <cell r="P2613" t="str">
            <v>Bali</v>
          </cell>
          <cell r="Q2613" t="str">
            <v>Pejarakan, Kec. Gerokgak, Kab. Buleleng</v>
          </cell>
          <cell r="R2613" t="str">
            <v>Bali</v>
          </cell>
          <cell r="S2613" t="str">
            <v>S Bali3</v>
          </cell>
          <cell r="T2613" t="str">
            <v>Wira</v>
          </cell>
          <cell r="U2613">
            <v>30</v>
          </cell>
        </row>
        <row r="2614">
          <cell r="E2614" t="str">
            <v>D25016169</v>
          </cell>
          <cell r="F2614"/>
          <cell r="G2614">
            <v>100000000</v>
          </cell>
          <cell r="H2614" t="str">
            <v>Zakia</v>
          </cell>
          <cell r="I2614" t="str">
            <v>Tiya</v>
          </cell>
          <cell r="J2614"/>
          <cell r="K2614" t="str">
            <v>KU</v>
          </cell>
          <cell r="L2614" t="str">
            <v>FAJA13</v>
          </cell>
          <cell r="M2614" t="str">
            <v>Fajar Tani/Aman</v>
          </cell>
          <cell r="N2614" t="str">
            <v>Aman Sugiarto</v>
          </cell>
          <cell r="O2614" t="str">
            <v>Perum Arta Puri Blok B No. 6 Ds. Taman , Kel. Gubug, Kec. Tabanan</v>
          </cell>
          <cell r="P2614" t="str">
            <v>Bali</v>
          </cell>
          <cell r="Q2614" t="str">
            <v>Pejarakan, Kec. Gerokgak, Kab. Buleleng</v>
          </cell>
          <cell r="R2614" t="str">
            <v>Bali</v>
          </cell>
          <cell r="S2614" t="str">
            <v>S Bali3</v>
          </cell>
          <cell r="T2614" t="str">
            <v>Wira</v>
          </cell>
          <cell r="U2614">
            <v>30</v>
          </cell>
        </row>
        <row r="2615">
          <cell r="E2615" t="str">
            <v>B25011891</v>
          </cell>
          <cell r="F2615"/>
          <cell r="G2615">
            <v>40000000</v>
          </cell>
          <cell r="H2615" t="str">
            <v>Reni</v>
          </cell>
          <cell r="I2615" t="str">
            <v>Farida</v>
          </cell>
          <cell r="J2615" t="str">
            <v>New 20/06/24</v>
          </cell>
          <cell r="K2615" t="str">
            <v>CBD</v>
          </cell>
          <cell r="L2615" t="str">
            <v>FAJA24</v>
          </cell>
          <cell r="M2615" t="str">
            <v>Fajar Tani/Fajar</v>
          </cell>
          <cell r="N2615" t="str">
            <v>Nur Fajar Agustin</v>
          </cell>
          <cell r="O2615" t="str">
            <v>Dsn Genjong Lor RT.003/RW.002, Kel. Sidowarek, Kec. Ngoro</v>
          </cell>
          <cell r="P2615" t="str">
            <v>Jombang</v>
          </cell>
          <cell r="Q2615" t="str">
            <v>Jl. Raya Blimbing-Pulorejo, Genjong Lor, Kel. Sidowarek, Kec. Ngoro</v>
          </cell>
          <cell r="R2615" t="str">
            <v>Jombang</v>
          </cell>
          <cell r="S2615" t="str">
            <v>D Barat1</v>
          </cell>
          <cell r="T2615" t="str">
            <v>Tomi</v>
          </cell>
          <cell r="U2615">
            <v>60</v>
          </cell>
        </row>
        <row r="2616">
          <cell r="E2616" t="str">
            <v>B25012819</v>
          </cell>
          <cell r="F2616"/>
          <cell r="G2616">
            <v>40000000</v>
          </cell>
          <cell r="H2616" t="str">
            <v>Reni</v>
          </cell>
          <cell r="I2616" t="str">
            <v>Farida</v>
          </cell>
          <cell r="J2616" t="str">
            <v>New 20/06/24</v>
          </cell>
          <cell r="K2616" t="str">
            <v>CBD</v>
          </cell>
          <cell r="L2616" t="str">
            <v>FAJA24</v>
          </cell>
          <cell r="M2616" t="str">
            <v>Fajar Tani/Fajar</v>
          </cell>
          <cell r="N2616" t="str">
            <v>Nur Fajar Agustin</v>
          </cell>
          <cell r="O2616" t="str">
            <v>Dsn Genjong Lor RT.003/RW.002, Kel. Sidowarek, Kec. Ngoro</v>
          </cell>
          <cell r="P2616" t="str">
            <v>Jombang</v>
          </cell>
          <cell r="Q2616" t="str">
            <v>Jl. Raya Blimbing-Pulorejo, Genjong Lor, Kel. Sidowarek, Kec. Ngoro</v>
          </cell>
          <cell r="R2616" t="str">
            <v>Jombang</v>
          </cell>
          <cell r="S2616" t="str">
            <v>D Barat1</v>
          </cell>
          <cell r="T2616" t="str">
            <v>Tomi</v>
          </cell>
          <cell r="U2616">
            <v>60</v>
          </cell>
        </row>
        <row r="2617">
          <cell r="E2617" t="str">
            <v>B25011389</v>
          </cell>
          <cell r="F2617"/>
          <cell r="G2617">
            <v>20000000</v>
          </cell>
          <cell r="H2617" t="str">
            <v>Yuyun</v>
          </cell>
          <cell r="I2617" t="str">
            <v>Farida</v>
          </cell>
          <cell r="J2617" t="str">
            <v>New 03/01/24</v>
          </cell>
          <cell r="K2617" t="str">
            <v>COD</v>
          </cell>
          <cell r="L2617" t="str">
            <v>FAJA22</v>
          </cell>
          <cell r="M2617" t="str">
            <v>Fajar Tani/Fatma Jenggawah</v>
          </cell>
          <cell r="N2617" t="str">
            <v>Fatma Zuraida</v>
          </cell>
          <cell r="O2617" t="str">
            <v>Perum Berlian Indah C 6 RT.006/RW.002, Kel. Kebalenan, Kec. Banyuwangi</v>
          </cell>
          <cell r="P2617" t="str">
            <v>Banyuwangi</v>
          </cell>
          <cell r="Q2617" t="str">
            <v>Krajan, Wonojati, Kec. Jenggawah</v>
          </cell>
          <cell r="R2617" t="str">
            <v>Jember</v>
          </cell>
          <cell r="S2617" t="str">
            <v>L Kota2</v>
          </cell>
          <cell r="T2617" t="str">
            <v>Efendi</v>
          </cell>
          <cell r="U2617">
            <v>30</v>
          </cell>
        </row>
        <row r="2618">
          <cell r="E2618" t="str">
            <v>B25011406</v>
          </cell>
          <cell r="F2618"/>
          <cell r="G2618">
            <v>20000000</v>
          </cell>
          <cell r="H2618" t="str">
            <v>Yuyun</v>
          </cell>
          <cell r="I2618" t="str">
            <v>Farida</v>
          </cell>
          <cell r="J2618" t="str">
            <v>New 03/01/24</v>
          </cell>
          <cell r="K2618" t="str">
            <v>COD</v>
          </cell>
          <cell r="L2618" t="str">
            <v>FAJA22</v>
          </cell>
          <cell r="M2618" t="str">
            <v>Fajar Tani/Fatma Jenggawah</v>
          </cell>
          <cell r="N2618" t="str">
            <v>Fatma Zuraida</v>
          </cell>
          <cell r="O2618" t="str">
            <v>Perum Berlian Indah C 6 RT.006/RW.002, Kel. Kebalenan, Kec. Banyuwangi</v>
          </cell>
          <cell r="P2618" t="str">
            <v>Banyuwangi</v>
          </cell>
          <cell r="Q2618" t="str">
            <v>Krajan, Wonojati, Kec. Jenggawah</v>
          </cell>
          <cell r="R2618" t="str">
            <v>Jember</v>
          </cell>
          <cell r="S2618" t="str">
            <v>L Kota2</v>
          </cell>
          <cell r="T2618" t="str">
            <v>Efendi</v>
          </cell>
          <cell r="U2618">
            <v>30</v>
          </cell>
        </row>
        <row r="2619">
          <cell r="E2619" t="str">
            <v>D25013611</v>
          </cell>
          <cell r="F2619"/>
          <cell r="G2619">
            <v>20000000</v>
          </cell>
          <cell r="H2619" t="str">
            <v>Yuyun</v>
          </cell>
          <cell r="I2619" t="str">
            <v>Farida</v>
          </cell>
          <cell r="J2619" t="str">
            <v>New 03/01/24</v>
          </cell>
          <cell r="K2619" t="str">
            <v>COD</v>
          </cell>
          <cell r="L2619" t="str">
            <v>FAJA22</v>
          </cell>
          <cell r="M2619" t="str">
            <v>Fajar Tani/Fatma Jenggawah</v>
          </cell>
          <cell r="N2619" t="str">
            <v>Fatma Zuraida</v>
          </cell>
          <cell r="O2619" t="str">
            <v>Perum Berlian Indah C 6 RT.006/RW.002, Kel. Kebalenan, Kec. Banyuwangi</v>
          </cell>
          <cell r="P2619" t="str">
            <v>Banyuwangi</v>
          </cell>
          <cell r="Q2619" t="str">
            <v>Krajan, Wonojati, Kec. Jenggawah</v>
          </cell>
          <cell r="R2619" t="str">
            <v>Jember</v>
          </cell>
          <cell r="S2619" t="str">
            <v>L Kota2</v>
          </cell>
          <cell r="T2619" t="str">
            <v>Efendi</v>
          </cell>
          <cell r="U2619">
            <v>30</v>
          </cell>
        </row>
        <row r="2620">
          <cell r="E2620" t="str">
            <v>D25015099</v>
          </cell>
          <cell r="F2620"/>
          <cell r="G2620">
            <v>20000000</v>
          </cell>
          <cell r="H2620" t="str">
            <v>Yuyun</v>
          </cell>
          <cell r="I2620" t="str">
            <v>Farida</v>
          </cell>
          <cell r="J2620" t="str">
            <v>New 03/01/24</v>
          </cell>
          <cell r="K2620" t="str">
            <v>COD</v>
          </cell>
          <cell r="L2620" t="str">
            <v>FAJA22</v>
          </cell>
          <cell r="M2620" t="str">
            <v>Fajar Tani/Fatma Jenggawah</v>
          </cell>
          <cell r="N2620" t="str">
            <v>Fatma Zuraida</v>
          </cell>
          <cell r="O2620" t="str">
            <v>Perum Berlian Indah C 6 RT.006/RW.002, Kel. Kebalenan, Kec. Banyuwangi</v>
          </cell>
          <cell r="P2620" t="str">
            <v>Banyuwangi</v>
          </cell>
          <cell r="Q2620" t="str">
            <v>Krajan, Wonojati, Kec. Jenggawah</v>
          </cell>
          <cell r="R2620" t="str">
            <v>Jember</v>
          </cell>
          <cell r="S2620" t="str">
            <v>L Kota2</v>
          </cell>
          <cell r="T2620" t="str">
            <v>Efendi</v>
          </cell>
          <cell r="U2620">
            <v>30</v>
          </cell>
        </row>
        <row r="2621">
          <cell r="E2621" t="str">
            <v>B25013884</v>
          </cell>
          <cell r="F2621"/>
          <cell r="G2621">
            <v>20000000</v>
          </cell>
          <cell r="H2621" t="str">
            <v>Yuyun</v>
          </cell>
          <cell r="I2621" t="str">
            <v>Farida</v>
          </cell>
          <cell r="J2621" t="str">
            <v>New 03/01/24</v>
          </cell>
          <cell r="K2621" t="str">
            <v>COD</v>
          </cell>
          <cell r="L2621" t="str">
            <v>FAJA22</v>
          </cell>
          <cell r="M2621" t="str">
            <v>Fajar Tani/Fatma Jenggawah</v>
          </cell>
          <cell r="N2621" t="str">
            <v>Fatma Zuraida</v>
          </cell>
          <cell r="O2621" t="str">
            <v>Perum Berlian Indah C 6 RT.006/RW.002, Kel. Kebalenan, Kec. Banyuwangi</v>
          </cell>
          <cell r="P2621" t="str">
            <v>Banyuwangi</v>
          </cell>
          <cell r="Q2621" t="str">
            <v>Krajan, Wonojati, Kec. Jenggawah</v>
          </cell>
          <cell r="R2621" t="str">
            <v>Jember</v>
          </cell>
          <cell r="S2621" t="str">
            <v>L Kota2</v>
          </cell>
          <cell r="T2621" t="str">
            <v>Efendi</v>
          </cell>
          <cell r="U2621">
            <v>30</v>
          </cell>
        </row>
        <row r="2622">
          <cell r="E2622" t="str">
            <v>D25016152</v>
          </cell>
          <cell r="F2622"/>
          <cell r="G2622">
            <v>30000000</v>
          </cell>
          <cell r="H2622" t="str">
            <v>Zakia</v>
          </cell>
          <cell r="I2622" t="str">
            <v>Tiya</v>
          </cell>
          <cell r="J2622" t="str">
            <v>New 30/06/23</v>
          </cell>
          <cell r="K2622" t="str">
            <v>KU</v>
          </cell>
          <cell r="L2622" t="str">
            <v>FARA02</v>
          </cell>
          <cell r="M2622" t="str">
            <v>Farah PS/Fadil</v>
          </cell>
          <cell r="N2622" t="str">
            <v>Muhammad Fadilah Sandi</v>
          </cell>
          <cell r="O2622" t="str">
            <v>Dsn. Slemanan RT.004/RW.001, Kel. Slemanan, Kec. Udanawu</v>
          </cell>
          <cell r="P2622" t="str">
            <v>Blitar</v>
          </cell>
          <cell r="Q2622" t="str">
            <v>Jl. Raya Slemanan, Jl. Raya Slemanan</v>
          </cell>
          <cell r="R2622" t="str">
            <v>Blitar</v>
          </cell>
          <cell r="S2622" t="str">
            <v>D Barat1</v>
          </cell>
          <cell r="T2622" t="str">
            <v>Tomi</v>
          </cell>
          <cell r="U2622">
            <v>0</v>
          </cell>
        </row>
        <row r="2623">
          <cell r="E2623" t="str">
            <v>D25015073</v>
          </cell>
          <cell r="F2623"/>
          <cell r="G2623">
            <v>25000000</v>
          </cell>
          <cell r="H2623" t="str">
            <v>Yuyun</v>
          </cell>
          <cell r="I2623" t="str">
            <v>Syahra</v>
          </cell>
          <cell r="J2623"/>
          <cell r="K2623" t="str">
            <v>KU</v>
          </cell>
          <cell r="L2623" t="str">
            <v>FARI04</v>
          </cell>
          <cell r="M2623" t="str">
            <v>Farid/Tanindo</v>
          </cell>
          <cell r="N2623" t="str">
            <v>Faridh Kurniawan</v>
          </cell>
          <cell r="O2623" t="str">
            <v>Jl. Cempaka 17, RT.002/RW.004 Kel. Gebang, Kec. Patrang</v>
          </cell>
          <cell r="P2623" t="str">
            <v>Jember</v>
          </cell>
          <cell r="Q2623" t="str">
            <v>Jember</v>
          </cell>
          <cell r="R2623" t="str">
            <v>Jember</v>
          </cell>
          <cell r="S2623" t="str">
            <v>B Agronomis</v>
          </cell>
          <cell r="T2623" t="str">
            <v>Wira</v>
          </cell>
          <cell r="U2623">
            <v>30</v>
          </cell>
        </row>
        <row r="2624">
          <cell r="E2624" t="str">
            <v>B25013345</v>
          </cell>
          <cell r="F2624"/>
          <cell r="G2624">
            <v>25000000</v>
          </cell>
          <cell r="H2624" t="str">
            <v>Yuyun</v>
          </cell>
          <cell r="I2624" t="str">
            <v>Syahra</v>
          </cell>
          <cell r="J2624"/>
          <cell r="K2624" t="str">
            <v>KU</v>
          </cell>
          <cell r="L2624" t="str">
            <v>FARI04</v>
          </cell>
          <cell r="M2624" t="str">
            <v>Farid/Tanindo</v>
          </cell>
          <cell r="N2624" t="str">
            <v>Faridh Kurniawan</v>
          </cell>
          <cell r="O2624" t="str">
            <v>Jl. Cempaka 17, RT.002/RW.004 Kel. Gebang, Kec. Patrang</v>
          </cell>
          <cell r="P2624" t="str">
            <v>Jember</v>
          </cell>
          <cell r="Q2624" t="str">
            <v>Jember</v>
          </cell>
          <cell r="R2624" t="str">
            <v>Jember</v>
          </cell>
          <cell r="S2624" t="str">
            <v>B Agronomis</v>
          </cell>
          <cell r="T2624" t="str">
            <v>Wira</v>
          </cell>
          <cell r="U2624">
            <v>30</v>
          </cell>
        </row>
        <row r="2625">
          <cell r="E2625" t="str">
            <v>C25000794</v>
          </cell>
          <cell r="F2625"/>
          <cell r="G2625">
            <v>200000000</v>
          </cell>
          <cell r="H2625" t="str">
            <v>Ariyani</v>
          </cell>
          <cell r="I2625" t="str">
            <v>Fira</v>
          </cell>
          <cell r="J2625" t="str">
            <v>New 06/08/22</v>
          </cell>
          <cell r="K2625" t="str">
            <v>KU</v>
          </cell>
          <cell r="L2625" t="str">
            <v>FARM02</v>
          </cell>
          <cell r="M2625" t="str">
            <v>Farm Adi Tani/Fitri Amalia</v>
          </cell>
          <cell r="N2625" t="str">
            <v>Fitri Amalia</v>
          </cell>
          <cell r="O2625" t="str">
            <v>Keputih Tegal VII/68 RT.005/RW.008, Kel. Keputih Kec. Sukolilo</v>
          </cell>
          <cell r="P2625" t="str">
            <v>Surabaya</v>
          </cell>
          <cell r="Q2625" t="str">
            <v>Keputih Tegal VII/68 RT.005/RW.008, Kel. Keputih Kec. Sukolilo</v>
          </cell>
          <cell r="R2625" t="str">
            <v>Surabaya</v>
          </cell>
          <cell r="S2625" t="str">
            <v>F Utara1</v>
          </cell>
          <cell r="T2625" t="str">
            <v>Tomi</v>
          </cell>
          <cell r="U2625">
            <v>0</v>
          </cell>
        </row>
        <row r="2626">
          <cell r="E2626" t="str">
            <v>C25000797</v>
          </cell>
          <cell r="F2626"/>
          <cell r="G2626">
            <v>200000000</v>
          </cell>
          <cell r="H2626" t="str">
            <v>Ariyani</v>
          </cell>
          <cell r="I2626" t="str">
            <v>Fira</v>
          </cell>
          <cell r="J2626" t="str">
            <v>New 06/08/22</v>
          </cell>
          <cell r="K2626" t="str">
            <v>KU</v>
          </cell>
          <cell r="L2626" t="str">
            <v>FARM02</v>
          </cell>
          <cell r="M2626" t="str">
            <v>Farm Adi Tani/Fitri Amalia</v>
          </cell>
          <cell r="N2626" t="str">
            <v>Fitri Amalia</v>
          </cell>
          <cell r="O2626" t="str">
            <v>Keputih Tegal VII/68 RT.005/RW.008, Kel. Keputih Kec. Sukolilo</v>
          </cell>
          <cell r="P2626" t="str">
            <v>Surabaya</v>
          </cell>
          <cell r="Q2626" t="str">
            <v>Keputih Tegal VII/68 RT.005/RW.008, Kel. Keputih Kec. Sukolilo</v>
          </cell>
          <cell r="R2626" t="str">
            <v>Surabaya</v>
          </cell>
          <cell r="S2626" t="str">
            <v>F Utara1</v>
          </cell>
          <cell r="T2626" t="str">
            <v>Tomi</v>
          </cell>
          <cell r="U2626">
            <v>0</v>
          </cell>
        </row>
        <row r="2627">
          <cell r="E2627" t="str">
            <v>D25014933</v>
          </cell>
          <cell r="F2627"/>
          <cell r="G2627">
            <v>200000000</v>
          </cell>
          <cell r="H2627" t="str">
            <v>Ariyani</v>
          </cell>
          <cell r="I2627" t="str">
            <v>Fira</v>
          </cell>
          <cell r="J2627" t="str">
            <v>New 06/08/22</v>
          </cell>
          <cell r="K2627" t="str">
            <v>KU</v>
          </cell>
          <cell r="L2627" t="str">
            <v>FARM02</v>
          </cell>
          <cell r="M2627" t="str">
            <v>Farm Adi Tani/Fitri Amalia</v>
          </cell>
          <cell r="N2627" t="str">
            <v>Fitri Amalia</v>
          </cell>
          <cell r="O2627" t="str">
            <v>Keputih Tegal VII/68 RT.005/RW.008, Kel. Keputih Kec. Sukolilo</v>
          </cell>
          <cell r="P2627" t="str">
            <v>Surabaya</v>
          </cell>
          <cell r="Q2627" t="str">
            <v>Keputih Tegal VII/68 RT.005/RW.008, Kel. Keputih Kec. Sukolilo</v>
          </cell>
          <cell r="R2627" t="str">
            <v>Surabaya</v>
          </cell>
          <cell r="S2627" t="str">
            <v>F Utara1</v>
          </cell>
          <cell r="T2627" t="str">
            <v>Tomi</v>
          </cell>
          <cell r="U2627">
            <v>0</v>
          </cell>
        </row>
        <row r="2628">
          <cell r="E2628" t="str">
            <v>B25012688</v>
          </cell>
          <cell r="F2628"/>
          <cell r="G2628">
            <v>200000000</v>
          </cell>
          <cell r="H2628" t="str">
            <v>Ariyani</v>
          </cell>
          <cell r="I2628" t="str">
            <v>Fira</v>
          </cell>
          <cell r="J2628" t="str">
            <v>New 06/08/22</v>
          </cell>
          <cell r="K2628" t="str">
            <v>KU</v>
          </cell>
          <cell r="L2628" t="str">
            <v>FARM02</v>
          </cell>
          <cell r="M2628" t="str">
            <v>Farm Adi Tani/Fitri Amalia</v>
          </cell>
          <cell r="N2628" t="str">
            <v>Fitri Amalia</v>
          </cell>
          <cell r="O2628" t="str">
            <v>Keputih Tegal VII/68 RT.005/RW.008, Kel. Keputih Kec. Sukolilo</v>
          </cell>
          <cell r="P2628" t="str">
            <v>Surabaya</v>
          </cell>
          <cell r="Q2628" t="str">
            <v>Keputih Tegal VII/68 RT.005/RW.008, Kel. Keputih Kec. Sukolilo</v>
          </cell>
          <cell r="R2628" t="str">
            <v>Surabaya</v>
          </cell>
          <cell r="S2628" t="str">
            <v>F Utara1</v>
          </cell>
          <cell r="T2628" t="str">
            <v>Tomi</v>
          </cell>
          <cell r="U2628">
            <v>0</v>
          </cell>
        </row>
        <row r="2629">
          <cell r="E2629" t="str">
            <v>B25012697</v>
          </cell>
          <cell r="F2629"/>
          <cell r="G2629">
            <v>200000000</v>
          </cell>
          <cell r="H2629" t="str">
            <v>Ariyani</v>
          </cell>
          <cell r="I2629" t="str">
            <v>Fira</v>
          </cell>
          <cell r="J2629" t="str">
            <v>New 06/08/22</v>
          </cell>
          <cell r="K2629" t="str">
            <v>KU</v>
          </cell>
          <cell r="L2629" t="str">
            <v>FARM02</v>
          </cell>
          <cell r="M2629" t="str">
            <v>Farm Adi Tani/Fitri Amalia</v>
          </cell>
          <cell r="N2629" t="str">
            <v>Fitri Amalia</v>
          </cell>
          <cell r="O2629" t="str">
            <v>Keputih Tegal VII/68 RT.005/RW.008, Kel. Keputih Kec. Sukolilo</v>
          </cell>
          <cell r="P2629" t="str">
            <v>Surabaya</v>
          </cell>
          <cell r="Q2629" t="str">
            <v>Keputih Tegal VII/68 RT.005/RW.008, Kel. Keputih Kec. Sukolilo</v>
          </cell>
          <cell r="R2629" t="str">
            <v>Surabaya</v>
          </cell>
          <cell r="S2629" t="str">
            <v>F Utara1</v>
          </cell>
          <cell r="T2629" t="str">
            <v>Tomi</v>
          </cell>
          <cell r="U2629">
            <v>0</v>
          </cell>
        </row>
        <row r="2630">
          <cell r="E2630" t="str">
            <v>C25000802</v>
          </cell>
          <cell r="F2630"/>
          <cell r="G2630">
            <v>200000000</v>
          </cell>
          <cell r="H2630" t="str">
            <v>Ariyani</v>
          </cell>
          <cell r="I2630" t="str">
            <v>Fira</v>
          </cell>
          <cell r="J2630" t="str">
            <v>New 06/08/22</v>
          </cell>
          <cell r="K2630" t="str">
            <v>KU</v>
          </cell>
          <cell r="L2630" t="str">
            <v>FARM02</v>
          </cell>
          <cell r="M2630" t="str">
            <v>Farm Adi Tani/Fitri Amalia</v>
          </cell>
          <cell r="N2630" t="str">
            <v>Fitri Amalia</v>
          </cell>
          <cell r="O2630" t="str">
            <v>Keputih Tegal VII/68 RT.005/RW.008, Kel. Keputih Kec. Sukolilo</v>
          </cell>
          <cell r="P2630" t="str">
            <v>Surabaya</v>
          </cell>
          <cell r="Q2630" t="str">
            <v>Keputih Tegal VII/68 RT.005/RW.008, Kel. Keputih Kec. Sukolilo</v>
          </cell>
          <cell r="R2630" t="str">
            <v>Surabaya</v>
          </cell>
          <cell r="S2630" t="str">
            <v>F Utara1</v>
          </cell>
          <cell r="T2630" t="str">
            <v>Tomi</v>
          </cell>
          <cell r="U2630">
            <v>0</v>
          </cell>
        </row>
        <row r="2631">
          <cell r="E2631" t="str">
            <v>D25015024</v>
          </cell>
          <cell r="F2631"/>
          <cell r="G2631">
            <v>200000000</v>
          </cell>
          <cell r="H2631" t="str">
            <v>Ariyani</v>
          </cell>
          <cell r="I2631" t="str">
            <v>Fira</v>
          </cell>
          <cell r="J2631" t="str">
            <v>New 06/08/22</v>
          </cell>
          <cell r="K2631" t="str">
            <v>KU</v>
          </cell>
          <cell r="L2631" t="str">
            <v>FARM02</v>
          </cell>
          <cell r="M2631" t="str">
            <v>Farm Adi Tani/Fitri Amalia</v>
          </cell>
          <cell r="N2631" t="str">
            <v>Fitri Amalia</v>
          </cell>
          <cell r="O2631" t="str">
            <v>Keputih Tegal VII/68 RT.005/RW.008, Kel. Keputih Kec. Sukolilo</v>
          </cell>
          <cell r="P2631" t="str">
            <v>Surabaya</v>
          </cell>
          <cell r="Q2631" t="str">
            <v>Keputih Tegal VII/68 RT.005/RW.008, Kel. Keputih Kec. Sukolilo</v>
          </cell>
          <cell r="R2631" t="str">
            <v>Surabaya</v>
          </cell>
          <cell r="S2631" t="str">
            <v>F Utara1</v>
          </cell>
          <cell r="T2631" t="str">
            <v>Tomi</v>
          </cell>
          <cell r="U2631">
            <v>0</v>
          </cell>
        </row>
        <row r="2632">
          <cell r="E2632" t="str">
            <v>C25000806</v>
          </cell>
          <cell r="F2632"/>
          <cell r="G2632">
            <v>200000000</v>
          </cell>
          <cell r="H2632" t="str">
            <v>Ariyani</v>
          </cell>
          <cell r="I2632" t="str">
            <v>Fira</v>
          </cell>
          <cell r="J2632" t="str">
            <v>New 06/08/22</v>
          </cell>
          <cell r="K2632" t="str">
            <v>KU</v>
          </cell>
          <cell r="L2632" t="str">
            <v>FARM02</v>
          </cell>
          <cell r="M2632" t="str">
            <v>Farm Adi Tani/Fitri Amalia</v>
          </cell>
          <cell r="N2632" t="str">
            <v>Fitri Amalia</v>
          </cell>
          <cell r="O2632" t="str">
            <v>Keputih Tegal VII/68 RT.005/RW.008, Kel. Keputih Kec. Sukolilo</v>
          </cell>
          <cell r="P2632" t="str">
            <v>Surabaya</v>
          </cell>
          <cell r="Q2632" t="str">
            <v>Keputih Tegal VII/68 RT.005/RW.008, Kel. Keputih Kec. Sukolilo</v>
          </cell>
          <cell r="R2632" t="str">
            <v>Surabaya</v>
          </cell>
          <cell r="S2632" t="str">
            <v>F Utara1</v>
          </cell>
          <cell r="T2632" t="str">
            <v>Tomi</v>
          </cell>
          <cell r="U2632">
            <v>0</v>
          </cell>
        </row>
        <row r="2633">
          <cell r="E2633" t="str">
            <v>D25015062</v>
          </cell>
          <cell r="F2633"/>
          <cell r="G2633">
            <v>200000000</v>
          </cell>
          <cell r="H2633" t="str">
            <v>Ariyani</v>
          </cell>
          <cell r="I2633" t="str">
            <v>Fira</v>
          </cell>
          <cell r="J2633" t="str">
            <v>New 06/08/22</v>
          </cell>
          <cell r="K2633" t="str">
            <v>KU</v>
          </cell>
          <cell r="L2633" t="str">
            <v>FARM02</v>
          </cell>
          <cell r="M2633" t="str">
            <v>Farm Adi Tani/Fitri Amalia</v>
          </cell>
          <cell r="N2633" t="str">
            <v>Fitri Amalia</v>
          </cell>
          <cell r="O2633" t="str">
            <v>Keputih Tegal VII/68 RT.005/RW.008, Kel. Keputih Kec. Sukolilo</v>
          </cell>
          <cell r="P2633" t="str">
            <v>Surabaya</v>
          </cell>
          <cell r="Q2633" t="str">
            <v>Keputih Tegal VII/68 RT.005/RW.008, Kel. Keputih Kec. Sukolilo</v>
          </cell>
          <cell r="R2633" t="str">
            <v>Surabaya</v>
          </cell>
          <cell r="S2633" t="str">
            <v>F Utara1</v>
          </cell>
          <cell r="T2633" t="str">
            <v>Tomi</v>
          </cell>
          <cell r="U2633">
            <v>0</v>
          </cell>
        </row>
        <row r="2634">
          <cell r="E2634" t="str">
            <v>C25000817</v>
          </cell>
          <cell r="F2634"/>
          <cell r="G2634">
            <v>200000000</v>
          </cell>
          <cell r="H2634" t="str">
            <v>Ariyani</v>
          </cell>
          <cell r="I2634" t="str">
            <v>Fira</v>
          </cell>
          <cell r="J2634" t="str">
            <v>New 06/08/22</v>
          </cell>
          <cell r="K2634" t="str">
            <v>KU</v>
          </cell>
          <cell r="L2634" t="str">
            <v>FARM02</v>
          </cell>
          <cell r="M2634" t="str">
            <v>Farm Adi Tani/Fitri Amalia</v>
          </cell>
          <cell r="N2634" t="str">
            <v>Fitri Amalia</v>
          </cell>
          <cell r="O2634" t="str">
            <v>Keputih Tegal VII/68 RT.005/RW.008, Kel. Keputih Kec. Sukolilo</v>
          </cell>
          <cell r="P2634" t="str">
            <v>Surabaya</v>
          </cell>
          <cell r="Q2634" t="str">
            <v>Keputih Tegal VII/68 RT.005/RW.008, Kel. Keputih Kec. Sukolilo</v>
          </cell>
          <cell r="R2634" t="str">
            <v>Surabaya</v>
          </cell>
          <cell r="S2634" t="str">
            <v>F Utara1</v>
          </cell>
          <cell r="T2634" t="str">
            <v>Tomi</v>
          </cell>
          <cell r="U2634">
            <v>0</v>
          </cell>
        </row>
        <row r="2635">
          <cell r="E2635" t="str">
            <v>C25000820</v>
          </cell>
          <cell r="F2635"/>
          <cell r="G2635">
            <v>200000000</v>
          </cell>
          <cell r="H2635" t="str">
            <v>Ariyani</v>
          </cell>
          <cell r="I2635" t="str">
            <v>Fira</v>
          </cell>
          <cell r="J2635" t="str">
            <v>New 06/08/22</v>
          </cell>
          <cell r="K2635" t="str">
            <v>KU</v>
          </cell>
          <cell r="L2635" t="str">
            <v>FARM02</v>
          </cell>
          <cell r="M2635" t="str">
            <v>Farm Adi Tani/Fitri Amalia</v>
          </cell>
          <cell r="N2635" t="str">
            <v>Fitri Amalia</v>
          </cell>
          <cell r="O2635" t="str">
            <v>Keputih Tegal VII/68 RT.005/RW.008, Kel. Keputih Kec. Sukolilo</v>
          </cell>
          <cell r="P2635" t="str">
            <v>Surabaya</v>
          </cell>
          <cell r="Q2635" t="str">
            <v>Keputih Tegal VII/68 RT.005/RW.008, Kel. Keputih Kec. Sukolilo</v>
          </cell>
          <cell r="R2635" t="str">
            <v>Surabaya</v>
          </cell>
          <cell r="S2635" t="str">
            <v>F Utara1</v>
          </cell>
          <cell r="T2635" t="str">
            <v>Tomi</v>
          </cell>
          <cell r="U2635">
            <v>0</v>
          </cell>
        </row>
        <row r="2636">
          <cell r="E2636" t="str">
            <v>C25000833</v>
          </cell>
          <cell r="F2636"/>
          <cell r="G2636">
            <v>200000000</v>
          </cell>
          <cell r="H2636" t="str">
            <v>Ariyani</v>
          </cell>
          <cell r="I2636" t="str">
            <v>Fira</v>
          </cell>
          <cell r="J2636" t="str">
            <v>New 06/08/22</v>
          </cell>
          <cell r="K2636" t="str">
            <v>KU</v>
          </cell>
          <cell r="L2636" t="str">
            <v>FARM02</v>
          </cell>
          <cell r="M2636" t="str">
            <v>Farm Adi Tani/Fitri Amalia</v>
          </cell>
          <cell r="N2636" t="str">
            <v>Fitri Amalia</v>
          </cell>
          <cell r="O2636" t="str">
            <v>Keputih Tegal VII/68 RT.005/RW.008, Kel. Keputih Kec. Sukolilo</v>
          </cell>
          <cell r="P2636" t="str">
            <v>Surabaya</v>
          </cell>
          <cell r="Q2636" t="str">
            <v>Keputih Tegal VII/68 RT.005/RW.008, Kel. Keputih Kec. Sukolilo</v>
          </cell>
          <cell r="R2636" t="str">
            <v>Surabaya</v>
          </cell>
          <cell r="S2636" t="str">
            <v>F Utara1</v>
          </cell>
          <cell r="T2636" t="str">
            <v>Tomi</v>
          </cell>
          <cell r="U2636">
            <v>0</v>
          </cell>
        </row>
        <row r="2637">
          <cell r="E2637" t="str">
            <v>C25000833</v>
          </cell>
          <cell r="F2637"/>
          <cell r="G2637">
            <v>200000000</v>
          </cell>
          <cell r="H2637" t="str">
            <v>Ariyani</v>
          </cell>
          <cell r="I2637" t="str">
            <v>Fira</v>
          </cell>
          <cell r="J2637" t="str">
            <v>New 06/08/22</v>
          </cell>
          <cell r="K2637" t="str">
            <v>KU</v>
          </cell>
          <cell r="L2637" t="str">
            <v>FARM02</v>
          </cell>
          <cell r="M2637" t="str">
            <v>Farm Adi Tani/Fitri Amalia</v>
          </cell>
          <cell r="N2637" t="str">
            <v>Fitri Amalia</v>
          </cell>
          <cell r="O2637" t="str">
            <v>Keputih Tegal VII/68 RT.005/RW.008, Kel. Keputih Kec. Sukolilo</v>
          </cell>
          <cell r="P2637" t="str">
            <v>Surabaya</v>
          </cell>
          <cell r="Q2637" t="str">
            <v>Keputih Tegal VII/68 RT.005/RW.008, Kel. Keputih Kec. Sukolilo</v>
          </cell>
          <cell r="R2637" t="str">
            <v>Surabaya</v>
          </cell>
          <cell r="S2637" t="str">
            <v>F Utara1</v>
          </cell>
          <cell r="T2637" t="str">
            <v>Tomi</v>
          </cell>
          <cell r="U2637">
            <v>0</v>
          </cell>
        </row>
        <row r="2638">
          <cell r="E2638" t="str">
            <v>C25000834</v>
          </cell>
          <cell r="F2638"/>
          <cell r="G2638">
            <v>200000000</v>
          </cell>
          <cell r="H2638" t="str">
            <v>Ariyani</v>
          </cell>
          <cell r="I2638" t="str">
            <v>Fira</v>
          </cell>
          <cell r="J2638" t="str">
            <v>New 06/08/22</v>
          </cell>
          <cell r="K2638" t="str">
            <v>KU</v>
          </cell>
          <cell r="L2638" t="str">
            <v>FARM02</v>
          </cell>
          <cell r="M2638" t="str">
            <v>Farm Adi Tani/Fitri Amalia</v>
          </cell>
          <cell r="N2638" t="str">
            <v>Fitri Amalia</v>
          </cell>
          <cell r="O2638" t="str">
            <v>Keputih Tegal VII/68 RT.005/RW.008, Kel. Keputih Kec. Sukolilo</v>
          </cell>
          <cell r="P2638" t="str">
            <v>Surabaya</v>
          </cell>
          <cell r="Q2638" t="str">
            <v>Keputih Tegal VII/68 RT.005/RW.008, Kel. Keputih Kec. Sukolilo</v>
          </cell>
          <cell r="R2638" t="str">
            <v>Surabaya</v>
          </cell>
          <cell r="S2638" t="str">
            <v>F Utara1</v>
          </cell>
          <cell r="T2638" t="str">
            <v>Tomi</v>
          </cell>
          <cell r="U2638">
            <v>0</v>
          </cell>
        </row>
        <row r="2639">
          <cell r="E2639" t="str">
            <v>D25015367</v>
          </cell>
          <cell r="F2639"/>
          <cell r="G2639">
            <v>200000000</v>
          </cell>
          <cell r="H2639" t="str">
            <v>Ariyani</v>
          </cell>
          <cell r="I2639" t="str">
            <v>Fira</v>
          </cell>
          <cell r="J2639" t="str">
            <v>New 06/08/22</v>
          </cell>
          <cell r="K2639" t="str">
            <v>KU</v>
          </cell>
          <cell r="L2639" t="str">
            <v>FARM02</v>
          </cell>
          <cell r="M2639" t="str">
            <v>Farm Adi Tani/Fitri Amalia</v>
          </cell>
          <cell r="N2639" t="str">
            <v>Fitri Amalia</v>
          </cell>
          <cell r="O2639" t="str">
            <v>Keputih Tegal VII/68 RT.005/RW.008, Kel. Keputih Kec. Sukolilo</v>
          </cell>
          <cell r="P2639" t="str">
            <v>Surabaya</v>
          </cell>
          <cell r="Q2639" t="str">
            <v>Keputih Tegal VII/68 RT.005/RW.008, Kel. Keputih Kec. Sukolilo</v>
          </cell>
          <cell r="R2639" t="str">
            <v>Surabaya</v>
          </cell>
          <cell r="S2639" t="str">
            <v>F Utara1</v>
          </cell>
          <cell r="T2639" t="str">
            <v>Tomi</v>
          </cell>
          <cell r="U2639">
            <v>0</v>
          </cell>
        </row>
        <row r="2640">
          <cell r="E2640" t="str">
            <v>C25000838</v>
          </cell>
          <cell r="F2640"/>
          <cell r="G2640">
            <v>200000000</v>
          </cell>
          <cell r="H2640" t="str">
            <v>Ariyani</v>
          </cell>
          <cell r="I2640" t="str">
            <v>Fira</v>
          </cell>
          <cell r="J2640" t="str">
            <v>New 06/08/22</v>
          </cell>
          <cell r="K2640" t="str">
            <v>KU</v>
          </cell>
          <cell r="L2640" t="str">
            <v>FARM02</v>
          </cell>
          <cell r="M2640" t="str">
            <v>Farm Adi Tani/Fitri Amalia</v>
          </cell>
          <cell r="N2640" t="str">
            <v>Fitri Amalia</v>
          </cell>
          <cell r="O2640" t="str">
            <v>Keputih Tegal VII/68 RT.005/RW.008, Kel. Keputih Kec. Sukolilo</v>
          </cell>
          <cell r="P2640" t="str">
            <v>Surabaya</v>
          </cell>
          <cell r="Q2640" t="str">
            <v>Keputih Tegal VII/68 RT.005/RW.008, Kel. Keputih Kec. Sukolilo</v>
          </cell>
          <cell r="R2640" t="str">
            <v>Surabaya</v>
          </cell>
          <cell r="S2640" t="str">
            <v>F Utara1</v>
          </cell>
          <cell r="T2640" t="str">
            <v>Tomi</v>
          </cell>
          <cell r="U2640">
            <v>0</v>
          </cell>
        </row>
        <row r="2641">
          <cell r="E2641" t="str">
            <v>C25000840</v>
          </cell>
          <cell r="F2641"/>
          <cell r="G2641">
            <v>200000000</v>
          </cell>
          <cell r="H2641" t="str">
            <v>Ariyani</v>
          </cell>
          <cell r="I2641" t="str">
            <v>Fira</v>
          </cell>
          <cell r="J2641" t="str">
            <v>New 06/08/22</v>
          </cell>
          <cell r="K2641" t="str">
            <v>KU</v>
          </cell>
          <cell r="L2641" t="str">
            <v>FARM02</v>
          </cell>
          <cell r="M2641" t="str">
            <v>Farm Adi Tani/Fitri Amalia</v>
          </cell>
          <cell r="N2641" t="str">
            <v>Fitri Amalia</v>
          </cell>
          <cell r="O2641" t="str">
            <v>Keputih Tegal VII/68 RT.005/RW.008, Kel. Keputih Kec. Sukolilo</v>
          </cell>
          <cell r="P2641" t="str">
            <v>Surabaya</v>
          </cell>
          <cell r="Q2641" t="str">
            <v>Keputih Tegal VII/68 RT.005/RW.008, Kel. Keputih Kec. Sukolilo</v>
          </cell>
          <cell r="R2641" t="str">
            <v>Surabaya</v>
          </cell>
          <cell r="S2641" t="str">
            <v>F Utara1</v>
          </cell>
          <cell r="T2641" t="str">
            <v>Tomi</v>
          </cell>
          <cell r="U2641">
            <v>0</v>
          </cell>
        </row>
        <row r="2642">
          <cell r="E2642" t="str">
            <v>C25000845</v>
          </cell>
          <cell r="F2642"/>
          <cell r="G2642">
            <v>200000000</v>
          </cell>
          <cell r="H2642" t="str">
            <v>Ariyani</v>
          </cell>
          <cell r="I2642" t="str">
            <v>Fira</v>
          </cell>
          <cell r="J2642" t="str">
            <v>New 06/08/22</v>
          </cell>
          <cell r="K2642" t="str">
            <v>KU</v>
          </cell>
          <cell r="L2642" t="str">
            <v>FARM02</v>
          </cell>
          <cell r="M2642" t="str">
            <v>Farm Adi Tani/Fitri Amalia</v>
          </cell>
          <cell r="N2642" t="str">
            <v>Fitri Amalia</v>
          </cell>
          <cell r="O2642" t="str">
            <v>Keputih Tegal VII/68 RT.005/RW.008, Kel. Keputih Kec. Sukolilo</v>
          </cell>
          <cell r="P2642" t="str">
            <v>Surabaya</v>
          </cell>
          <cell r="Q2642" t="str">
            <v>Keputih Tegal VII/68 RT.005/RW.008, Kel. Keputih Kec. Sukolilo</v>
          </cell>
          <cell r="R2642" t="str">
            <v>Surabaya</v>
          </cell>
          <cell r="S2642" t="str">
            <v>F Utara1</v>
          </cell>
          <cell r="T2642" t="str">
            <v>Tomi</v>
          </cell>
          <cell r="U2642">
            <v>0</v>
          </cell>
        </row>
        <row r="2643">
          <cell r="E2643" t="str">
            <v>C25000858</v>
          </cell>
          <cell r="F2643"/>
          <cell r="G2643">
            <v>200000000</v>
          </cell>
          <cell r="H2643" t="str">
            <v>Ariyani</v>
          </cell>
          <cell r="I2643" t="str">
            <v>Fira</v>
          </cell>
          <cell r="J2643" t="str">
            <v>New 06/08/22</v>
          </cell>
          <cell r="K2643" t="str">
            <v>KU</v>
          </cell>
          <cell r="L2643" t="str">
            <v>FARM02</v>
          </cell>
          <cell r="M2643" t="str">
            <v>Farm Adi Tani/Fitri Amalia</v>
          </cell>
          <cell r="N2643" t="str">
            <v>Fitri Amalia</v>
          </cell>
          <cell r="O2643" t="str">
            <v>Keputih Tegal VII/68 RT.005/RW.008, Kel. Keputih Kec. Sukolilo</v>
          </cell>
          <cell r="P2643" t="str">
            <v>Surabaya</v>
          </cell>
          <cell r="Q2643" t="str">
            <v>Keputih Tegal VII/68 RT.005/RW.008, Kel. Keputih Kec. Sukolilo</v>
          </cell>
          <cell r="R2643" t="str">
            <v>Surabaya</v>
          </cell>
          <cell r="S2643" t="str">
            <v>F Utara1</v>
          </cell>
          <cell r="T2643" t="str">
            <v>Tomi</v>
          </cell>
          <cell r="U2643">
            <v>0</v>
          </cell>
        </row>
        <row r="2644">
          <cell r="E2644" t="str">
            <v>C25000859</v>
          </cell>
          <cell r="F2644"/>
          <cell r="G2644">
            <v>200000000</v>
          </cell>
          <cell r="H2644" t="str">
            <v>Ariyani</v>
          </cell>
          <cell r="I2644" t="str">
            <v>Fira</v>
          </cell>
          <cell r="J2644" t="str">
            <v>New 06/08/22</v>
          </cell>
          <cell r="K2644" t="str">
            <v>KU</v>
          </cell>
          <cell r="L2644" t="str">
            <v>FARM02</v>
          </cell>
          <cell r="M2644" t="str">
            <v>Farm Adi Tani/Fitri Amalia</v>
          </cell>
          <cell r="N2644" t="str">
            <v>Fitri Amalia</v>
          </cell>
          <cell r="O2644" t="str">
            <v>Keputih Tegal VII/68 RT.005/RW.008, Kel. Keputih Kec. Sukolilo</v>
          </cell>
          <cell r="P2644" t="str">
            <v>Surabaya</v>
          </cell>
          <cell r="Q2644" t="str">
            <v>Keputih Tegal VII/68 RT.005/RW.008, Kel. Keputih Kec. Sukolilo</v>
          </cell>
          <cell r="R2644" t="str">
            <v>Surabaya</v>
          </cell>
          <cell r="S2644" t="str">
            <v>F Utara1</v>
          </cell>
          <cell r="T2644" t="str">
            <v>Tomi</v>
          </cell>
          <cell r="U2644">
            <v>0</v>
          </cell>
        </row>
        <row r="2645">
          <cell r="E2645" t="str">
            <v>C25000862</v>
          </cell>
          <cell r="F2645"/>
          <cell r="G2645">
            <v>200000000</v>
          </cell>
          <cell r="H2645" t="str">
            <v>Ariyani</v>
          </cell>
          <cell r="I2645" t="str">
            <v>Fira</v>
          </cell>
          <cell r="J2645" t="str">
            <v>New 06/08/22</v>
          </cell>
          <cell r="K2645" t="str">
            <v>KU</v>
          </cell>
          <cell r="L2645" t="str">
            <v>FARM02</v>
          </cell>
          <cell r="M2645" t="str">
            <v>Farm Adi Tani/Fitri Amalia</v>
          </cell>
          <cell r="N2645" t="str">
            <v>Fitri Amalia</v>
          </cell>
          <cell r="O2645" t="str">
            <v>Keputih Tegal VII/68 RT.005/RW.008, Kel. Keputih Kec. Sukolilo</v>
          </cell>
          <cell r="P2645" t="str">
            <v>Surabaya</v>
          </cell>
          <cell r="Q2645" t="str">
            <v>Keputih Tegal VII/68 RT.005/RW.008, Kel. Keputih Kec. Sukolilo</v>
          </cell>
          <cell r="R2645" t="str">
            <v>Surabaya</v>
          </cell>
          <cell r="S2645" t="str">
            <v>F Utara1</v>
          </cell>
          <cell r="T2645" t="str">
            <v>Tomi</v>
          </cell>
          <cell r="U2645">
            <v>0</v>
          </cell>
        </row>
        <row r="2646">
          <cell r="E2646" t="str">
            <v>C25000863</v>
          </cell>
          <cell r="F2646"/>
          <cell r="G2646">
            <v>200000000</v>
          </cell>
          <cell r="H2646" t="str">
            <v>Ariyani</v>
          </cell>
          <cell r="I2646" t="str">
            <v>Fira</v>
          </cell>
          <cell r="J2646" t="str">
            <v>New 06/08/22</v>
          </cell>
          <cell r="K2646" t="str">
            <v>KU</v>
          </cell>
          <cell r="L2646" t="str">
            <v>FARM02</v>
          </cell>
          <cell r="M2646" t="str">
            <v>Farm Adi Tani/Fitri Amalia</v>
          </cell>
          <cell r="N2646" t="str">
            <v>Fitri Amalia</v>
          </cell>
          <cell r="O2646" t="str">
            <v>Keputih Tegal VII/68 RT.005/RW.008, Kel. Keputih Kec. Sukolilo</v>
          </cell>
          <cell r="P2646" t="str">
            <v>Surabaya</v>
          </cell>
          <cell r="Q2646" t="str">
            <v>Keputih Tegal VII/68 RT.005/RW.008, Kel. Keputih Kec. Sukolilo</v>
          </cell>
          <cell r="R2646" t="str">
            <v>Surabaya</v>
          </cell>
          <cell r="S2646" t="str">
            <v>F Utara1</v>
          </cell>
          <cell r="T2646" t="str">
            <v>Tomi</v>
          </cell>
          <cell r="U2646">
            <v>0</v>
          </cell>
        </row>
        <row r="2647">
          <cell r="E2647" t="str">
            <v>D25015659</v>
          </cell>
          <cell r="F2647"/>
          <cell r="G2647">
            <v>200000000</v>
          </cell>
          <cell r="H2647" t="str">
            <v>Ariyani</v>
          </cell>
          <cell r="I2647" t="str">
            <v>Fira</v>
          </cell>
          <cell r="J2647" t="str">
            <v>New 06/08/22</v>
          </cell>
          <cell r="K2647" t="str">
            <v>KU</v>
          </cell>
          <cell r="L2647" t="str">
            <v>FARM02</v>
          </cell>
          <cell r="M2647" t="str">
            <v>Farm Adi Tani/Fitri Amalia</v>
          </cell>
          <cell r="N2647" t="str">
            <v>Fitri Amalia</v>
          </cell>
          <cell r="O2647" t="str">
            <v>Keputih Tegal VII/68 RT.005/RW.008, Kel. Keputih Kec. Sukolilo</v>
          </cell>
          <cell r="P2647" t="str">
            <v>Surabaya</v>
          </cell>
          <cell r="Q2647" t="str">
            <v>Keputih Tegal VII/68 RT.005/RW.008, Kel. Keputih Kec. Sukolilo</v>
          </cell>
          <cell r="R2647" t="str">
            <v>Surabaya</v>
          </cell>
          <cell r="S2647" t="str">
            <v>F Utara1</v>
          </cell>
          <cell r="T2647" t="str">
            <v>Tomi</v>
          </cell>
          <cell r="U2647">
            <v>0</v>
          </cell>
        </row>
        <row r="2648">
          <cell r="E2648" t="str">
            <v>C25000866</v>
          </cell>
          <cell r="F2648"/>
          <cell r="G2648">
            <v>200000000</v>
          </cell>
          <cell r="H2648" t="str">
            <v>Ariyani</v>
          </cell>
          <cell r="I2648" t="str">
            <v>Fira</v>
          </cell>
          <cell r="J2648" t="str">
            <v>New 06/08/22</v>
          </cell>
          <cell r="K2648" t="str">
            <v>KU</v>
          </cell>
          <cell r="L2648" t="str">
            <v>FARM02</v>
          </cell>
          <cell r="M2648" t="str">
            <v>Farm Adi Tani/Fitri Amalia</v>
          </cell>
          <cell r="N2648" t="str">
            <v>Fitri Amalia</v>
          </cell>
          <cell r="O2648" t="str">
            <v>Keputih Tegal VII/68 RT.005/RW.008, Kel. Keputih Kec. Sukolilo</v>
          </cell>
          <cell r="P2648" t="str">
            <v>Surabaya</v>
          </cell>
          <cell r="Q2648" t="str">
            <v>Keputih Tegal VII/68 RT.005/RW.008, Kel. Keputih Kec. Sukolilo</v>
          </cell>
          <cell r="R2648" t="str">
            <v>Surabaya</v>
          </cell>
          <cell r="S2648" t="str">
            <v>F Utara1</v>
          </cell>
          <cell r="T2648" t="str">
            <v>Tomi</v>
          </cell>
          <cell r="U2648">
            <v>0</v>
          </cell>
        </row>
        <row r="2649">
          <cell r="E2649" t="str">
            <v>C25000872</v>
          </cell>
          <cell r="F2649"/>
          <cell r="G2649">
            <v>200000000</v>
          </cell>
          <cell r="H2649" t="str">
            <v>Ariyani</v>
          </cell>
          <cell r="I2649" t="str">
            <v>Fira</v>
          </cell>
          <cell r="J2649" t="str">
            <v>New 06/08/22</v>
          </cell>
          <cell r="K2649" t="str">
            <v>KU</v>
          </cell>
          <cell r="L2649" t="str">
            <v>FARM02</v>
          </cell>
          <cell r="M2649" t="str">
            <v>Farm Adi Tani/Fitri Amalia</v>
          </cell>
          <cell r="N2649" t="str">
            <v>Fitri Amalia</v>
          </cell>
          <cell r="O2649" t="str">
            <v>Keputih Tegal VII/68 RT.005/RW.008, Kel. Keputih Kec. Sukolilo</v>
          </cell>
          <cell r="P2649" t="str">
            <v>Surabaya</v>
          </cell>
          <cell r="Q2649" t="str">
            <v>Keputih Tegal VII/68 RT.005/RW.008, Kel. Keputih Kec. Sukolilo</v>
          </cell>
          <cell r="R2649" t="str">
            <v>Surabaya</v>
          </cell>
          <cell r="S2649" t="str">
            <v>F Utara1</v>
          </cell>
          <cell r="T2649" t="str">
            <v>Tomi</v>
          </cell>
          <cell r="U2649">
            <v>0</v>
          </cell>
        </row>
        <row r="2650">
          <cell r="E2650" t="str">
            <v>C25000873</v>
          </cell>
          <cell r="F2650"/>
          <cell r="G2650">
            <v>200000000</v>
          </cell>
          <cell r="H2650" t="str">
            <v>Ariyani</v>
          </cell>
          <cell r="I2650" t="str">
            <v>Fira</v>
          </cell>
          <cell r="J2650" t="str">
            <v>New 06/08/22</v>
          </cell>
          <cell r="K2650" t="str">
            <v>KU</v>
          </cell>
          <cell r="L2650" t="str">
            <v>FARM02</v>
          </cell>
          <cell r="M2650" t="str">
            <v>Farm Adi Tani/Fitri Amalia</v>
          </cell>
          <cell r="N2650" t="str">
            <v>Fitri Amalia</v>
          </cell>
          <cell r="O2650" t="str">
            <v>Keputih Tegal VII/68 RT.005/RW.008, Kel. Keputih Kec. Sukolilo</v>
          </cell>
          <cell r="P2650" t="str">
            <v>Surabaya</v>
          </cell>
          <cell r="Q2650" t="str">
            <v>Keputih Tegal VII/68 RT.005/RW.008, Kel. Keputih Kec. Sukolilo</v>
          </cell>
          <cell r="R2650" t="str">
            <v>Surabaya</v>
          </cell>
          <cell r="S2650" t="str">
            <v>F Utara1</v>
          </cell>
          <cell r="T2650" t="str">
            <v>Tomi</v>
          </cell>
          <cell r="U2650">
            <v>0</v>
          </cell>
        </row>
        <row r="2651">
          <cell r="E2651" t="str">
            <v>D25015736</v>
          </cell>
          <cell r="F2651"/>
          <cell r="G2651">
            <v>200000000</v>
          </cell>
          <cell r="H2651" t="str">
            <v>Ariyani</v>
          </cell>
          <cell r="I2651" t="str">
            <v>Fira</v>
          </cell>
          <cell r="J2651" t="str">
            <v>New 06/08/22</v>
          </cell>
          <cell r="K2651" t="str">
            <v>KU</v>
          </cell>
          <cell r="L2651" t="str">
            <v>FARM02</v>
          </cell>
          <cell r="M2651" t="str">
            <v>Farm Adi Tani/Fitri Amalia</v>
          </cell>
          <cell r="N2651" t="str">
            <v>Fitri Amalia</v>
          </cell>
          <cell r="O2651" t="str">
            <v>Keputih Tegal VII/68 RT.005/RW.008, Kel. Keputih Kec. Sukolilo</v>
          </cell>
          <cell r="P2651" t="str">
            <v>Surabaya</v>
          </cell>
          <cell r="Q2651" t="str">
            <v>Keputih Tegal VII/68 RT.005/RW.008, Kel. Keputih Kec. Sukolilo</v>
          </cell>
          <cell r="R2651" t="str">
            <v>Surabaya</v>
          </cell>
          <cell r="S2651" t="str">
            <v>F Utara1</v>
          </cell>
          <cell r="T2651" t="str">
            <v>Tomi</v>
          </cell>
          <cell r="U2651">
            <v>0</v>
          </cell>
        </row>
        <row r="2652">
          <cell r="E2652" t="str">
            <v>C25000876</v>
          </cell>
          <cell r="F2652"/>
          <cell r="G2652">
            <v>200000000</v>
          </cell>
          <cell r="H2652" t="str">
            <v>Ariyani</v>
          </cell>
          <cell r="I2652" t="str">
            <v>Fira</v>
          </cell>
          <cell r="J2652" t="str">
            <v>New 06/08/22</v>
          </cell>
          <cell r="K2652" t="str">
            <v>KU</v>
          </cell>
          <cell r="L2652" t="str">
            <v>FARM02</v>
          </cell>
          <cell r="M2652" t="str">
            <v>Farm Adi Tani/Fitri Amalia</v>
          </cell>
          <cell r="N2652" t="str">
            <v>Fitri Amalia</v>
          </cell>
          <cell r="O2652" t="str">
            <v>Keputih Tegal VII/68 RT.005/RW.008, Kel. Keputih Kec. Sukolilo</v>
          </cell>
          <cell r="P2652" t="str">
            <v>Surabaya</v>
          </cell>
          <cell r="Q2652" t="str">
            <v>Keputih Tegal VII/68 RT.005/RW.008, Kel. Keputih Kec. Sukolilo</v>
          </cell>
          <cell r="R2652" t="str">
            <v>Surabaya</v>
          </cell>
          <cell r="S2652" t="str">
            <v>F Utara1</v>
          </cell>
          <cell r="T2652" t="str">
            <v>Tomi</v>
          </cell>
          <cell r="U2652">
            <v>0</v>
          </cell>
        </row>
        <row r="2653">
          <cell r="E2653" t="str">
            <v>C25000877</v>
          </cell>
          <cell r="F2653"/>
          <cell r="G2653">
            <v>200000000</v>
          </cell>
          <cell r="H2653" t="str">
            <v>Ariyani</v>
          </cell>
          <cell r="I2653" t="str">
            <v>Fira</v>
          </cell>
          <cell r="J2653" t="str">
            <v>New 06/08/22</v>
          </cell>
          <cell r="K2653" t="str">
            <v>KU</v>
          </cell>
          <cell r="L2653" t="str">
            <v>FARM02</v>
          </cell>
          <cell r="M2653" t="str">
            <v>Farm Adi Tani/Fitri Amalia</v>
          </cell>
          <cell r="N2653" t="str">
            <v>Fitri Amalia</v>
          </cell>
          <cell r="O2653" t="str">
            <v>Keputih Tegal VII/68 RT.005/RW.008, Kel. Keputih Kec. Sukolilo</v>
          </cell>
          <cell r="P2653" t="str">
            <v>Surabaya</v>
          </cell>
          <cell r="Q2653" t="str">
            <v>Keputih Tegal VII/68 RT.005/RW.008, Kel. Keputih Kec. Sukolilo</v>
          </cell>
          <cell r="R2653" t="str">
            <v>Surabaya</v>
          </cell>
          <cell r="S2653" t="str">
            <v>F Utara1</v>
          </cell>
          <cell r="T2653" t="str">
            <v>Tomi</v>
          </cell>
          <cell r="U2653">
            <v>0</v>
          </cell>
        </row>
        <row r="2654">
          <cell r="E2654" t="str">
            <v>C25000878</v>
          </cell>
          <cell r="F2654"/>
          <cell r="G2654">
            <v>200000000</v>
          </cell>
          <cell r="H2654" t="str">
            <v>Ariyani</v>
          </cell>
          <cell r="I2654" t="str">
            <v>Fira</v>
          </cell>
          <cell r="J2654" t="str">
            <v>New 06/08/22</v>
          </cell>
          <cell r="K2654" t="str">
            <v>KU</v>
          </cell>
          <cell r="L2654" t="str">
            <v>FARM02</v>
          </cell>
          <cell r="M2654" t="str">
            <v>Farm Adi Tani/Fitri Amalia</v>
          </cell>
          <cell r="N2654" t="str">
            <v>Fitri Amalia</v>
          </cell>
          <cell r="O2654" t="str">
            <v>Keputih Tegal VII/68 RT.005/RW.008, Kel. Keputih Kec. Sukolilo</v>
          </cell>
          <cell r="P2654" t="str">
            <v>Surabaya</v>
          </cell>
          <cell r="Q2654" t="str">
            <v>Keputih Tegal VII/68 RT.005/RW.008, Kel. Keputih Kec. Sukolilo</v>
          </cell>
          <cell r="R2654" t="str">
            <v>Surabaya</v>
          </cell>
          <cell r="S2654" t="str">
            <v>F Utara1</v>
          </cell>
          <cell r="T2654" t="str">
            <v>Tomi</v>
          </cell>
          <cell r="U2654">
            <v>0</v>
          </cell>
        </row>
        <row r="2655">
          <cell r="E2655" t="str">
            <v>C25000879</v>
          </cell>
          <cell r="F2655"/>
          <cell r="G2655">
            <v>200000000</v>
          </cell>
          <cell r="H2655" t="str">
            <v>Ariyani</v>
          </cell>
          <cell r="I2655" t="str">
            <v>Fira</v>
          </cell>
          <cell r="J2655" t="str">
            <v>New 06/08/22</v>
          </cell>
          <cell r="K2655" t="str">
            <v>KU</v>
          </cell>
          <cell r="L2655" t="str">
            <v>FARM02</v>
          </cell>
          <cell r="M2655" t="str">
            <v>Farm Adi Tani/Fitri Amalia</v>
          </cell>
          <cell r="N2655" t="str">
            <v>Fitri Amalia</v>
          </cell>
          <cell r="O2655" t="str">
            <v>Keputih Tegal VII/68 RT.005/RW.008, Kel. Keputih Kec. Sukolilo</v>
          </cell>
          <cell r="P2655" t="str">
            <v>Surabaya</v>
          </cell>
          <cell r="Q2655" t="str">
            <v>Keputih Tegal VII/68 RT.005/RW.008, Kel. Keputih Kec. Sukolilo</v>
          </cell>
          <cell r="R2655" t="str">
            <v>Surabaya</v>
          </cell>
          <cell r="S2655" t="str">
            <v>F Utara1</v>
          </cell>
          <cell r="T2655" t="str">
            <v>Tomi</v>
          </cell>
          <cell r="U2655">
            <v>0</v>
          </cell>
        </row>
        <row r="2656">
          <cell r="E2656" t="str">
            <v>C25000882</v>
          </cell>
          <cell r="F2656"/>
          <cell r="G2656">
            <v>200000000</v>
          </cell>
          <cell r="H2656" t="str">
            <v>Ariyani</v>
          </cell>
          <cell r="I2656" t="str">
            <v>Fira</v>
          </cell>
          <cell r="J2656" t="str">
            <v>New 06/08/22</v>
          </cell>
          <cell r="K2656" t="str">
            <v>KU</v>
          </cell>
          <cell r="L2656" t="str">
            <v>FARM02</v>
          </cell>
          <cell r="M2656" t="str">
            <v>Farm Adi Tani/Fitri Amalia</v>
          </cell>
          <cell r="N2656" t="str">
            <v>Fitri Amalia</v>
          </cell>
          <cell r="O2656" t="str">
            <v>Keputih Tegal VII/68 RT.005/RW.008, Kel. Keputih Kec. Sukolilo</v>
          </cell>
          <cell r="P2656" t="str">
            <v>Surabaya</v>
          </cell>
          <cell r="Q2656" t="str">
            <v>Keputih Tegal VII/68 RT.005/RW.008, Kel. Keputih Kec. Sukolilo</v>
          </cell>
          <cell r="R2656" t="str">
            <v>Surabaya</v>
          </cell>
          <cell r="S2656" t="str">
            <v>F Utara1</v>
          </cell>
          <cell r="T2656" t="str">
            <v>Tomi</v>
          </cell>
          <cell r="U2656">
            <v>0</v>
          </cell>
        </row>
        <row r="2657">
          <cell r="E2657" t="str">
            <v>C25000883</v>
          </cell>
          <cell r="F2657"/>
          <cell r="G2657">
            <v>200000000</v>
          </cell>
          <cell r="H2657" t="str">
            <v>Ariyani</v>
          </cell>
          <cell r="I2657" t="str">
            <v>Fira</v>
          </cell>
          <cell r="J2657" t="str">
            <v>New 06/08/22</v>
          </cell>
          <cell r="K2657" t="str">
            <v>KU</v>
          </cell>
          <cell r="L2657" t="str">
            <v>FARM02</v>
          </cell>
          <cell r="M2657" t="str">
            <v>Farm Adi Tani/Fitri Amalia</v>
          </cell>
          <cell r="N2657" t="str">
            <v>Fitri Amalia</v>
          </cell>
          <cell r="O2657" t="str">
            <v>Keputih Tegal VII/68 RT.005/RW.008, Kel. Keputih Kec. Sukolilo</v>
          </cell>
          <cell r="P2657" t="str">
            <v>Surabaya</v>
          </cell>
          <cell r="Q2657" t="str">
            <v>Keputih Tegal VII/68 RT.005/RW.008, Kel. Keputih Kec. Sukolilo</v>
          </cell>
          <cell r="R2657" t="str">
            <v>Surabaya</v>
          </cell>
          <cell r="S2657" t="str">
            <v>F Utara1</v>
          </cell>
          <cell r="T2657" t="str">
            <v>Tomi</v>
          </cell>
          <cell r="U2657">
            <v>0</v>
          </cell>
        </row>
        <row r="2658">
          <cell r="E2658" t="str">
            <v>C25000884</v>
          </cell>
          <cell r="F2658"/>
          <cell r="G2658">
            <v>200000000</v>
          </cell>
          <cell r="H2658" t="str">
            <v>Ariyani</v>
          </cell>
          <cell r="I2658" t="str">
            <v>Fira</v>
          </cell>
          <cell r="J2658" t="str">
            <v>New 06/08/22</v>
          </cell>
          <cell r="K2658" t="str">
            <v>KU</v>
          </cell>
          <cell r="L2658" t="str">
            <v>FARM02</v>
          </cell>
          <cell r="M2658" t="str">
            <v>Farm Adi Tani/Fitri Amalia</v>
          </cell>
          <cell r="N2658" t="str">
            <v>Fitri Amalia</v>
          </cell>
          <cell r="O2658" t="str">
            <v>Keputih Tegal VII/68 RT.005/RW.008, Kel. Keputih Kec. Sukolilo</v>
          </cell>
          <cell r="P2658" t="str">
            <v>Surabaya</v>
          </cell>
          <cell r="Q2658" t="str">
            <v>Keputih Tegal VII/68 RT.005/RW.008, Kel. Keputih Kec. Sukolilo</v>
          </cell>
          <cell r="R2658" t="str">
            <v>Surabaya</v>
          </cell>
          <cell r="S2658" t="str">
            <v>F Utara1</v>
          </cell>
          <cell r="T2658" t="str">
            <v>Tomi</v>
          </cell>
          <cell r="U2658">
            <v>0</v>
          </cell>
        </row>
        <row r="2659">
          <cell r="E2659" t="str">
            <v>C25000893</v>
          </cell>
          <cell r="F2659"/>
          <cell r="G2659">
            <v>200000000</v>
          </cell>
          <cell r="H2659" t="str">
            <v>Ariyani</v>
          </cell>
          <cell r="I2659" t="str">
            <v>Fira</v>
          </cell>
          <cell r="J2659" t="str">
            <v>New 06/08/22</v>
          </cell>
          <cell r="K2659" t="str">
            <v>KU</v>
          </cell>
          <cell r="L2659" t="str">
            <v>FARM02</v>
          </cell>
          <cell r="M2659" t="str">
            <v>Farm Adi Tani/Fitri Amalia</v>
          </cell>
          <cell r="N2659" t="str">
            <v>Fitri Amalia</v>
          </cell>
          <cell r="O2659" t="str">
            <v>Keputih Tegal VII/68 RT.005/RW.008, Kel. Keputih Kec. Sukolilo</v>
          </cell>
          <cell r="P2659" t="str">
            <v>Surabaya</v>
          </cell>
          <cell r="Q2659" t="str">
            <v>Keputih Tegal VII/68 RT.005/RW.008, Kel. Keputih Kec. Sukolilo</v>
          </cell>
          <cell r="R2659" t="str">
            <v>Surabaya</v>
          </cell>
          <cell r="S2659" t="str">
            <v>F Utara1</v>
          </cell>
          <cell r="T2659" t="str">
            <v>Tomi</v>
          </cell>
          <cell r="U2659">
            <v>0</v>
          </cell>
        </row>
        <row r="2660">
          <cell r="E2660" t="str">
            <v>C25000894</v>
          </cell>
          <cell r="F2660"/>
          <cell r="G2660">
            <v>200000000</v>
          </cell>
          <cell r="H2660" t="str">
            <v>Ariyani</v>
          </cell>
          <cell r="I2660" t="str">
            <v>Fira</v>
          </cell>
          <cell r="J2660" t="str">
            <v>New 06/08/22</v>
          </cell>
          <cell r="K2660" t="str">
            <v>KU</v>
          </cell>
          <cell r="L2660" t="str">
            <v>FARM02</v>
          </cell>
          <cell r="M2660" t="str">
            <v>Farm Adi Tani/Fitri Amalia</v>
          </cell>
          <cell r="N2660" t="str">
            <v>Fitri Amalia</v>
          </cell>
          <cell r="O2660" t="str">
            <v>Keputih Tegal VII/68 RT.005/RW.008, Kel. Keputih Kec. Sukolilo</v>
          </cell>
          <cell r="P2660" t="str">
            <v>Surabaya</v>
          </cell>
          <cell r="Q2660" t="str">
            <v>Keputih Tegal VII/68 RT.005/RW.008, Kel. Keputih Kec. Sukolilo</v>
          </cell>
          <cell r="R2660" t="str">
            <v>Surabaya</v>
          </cell>
          <cell r="S2660" t="str">
            <v>F Utara1</v>
          </cell>
          <cell r="T2660" t="str">
            <v>Tomi</v>
          </cell>
          <cell r="U2660">
            <v>0</v>
          </cell>
        </row>
        <row r="2661">
          <cell r="E2661" t="str">
            <v>C25000895</v>
          </cell>
          <cell r="F2661"/>
          <cell r="G2661">
            <v>200000000</v>
          </cell>
          <cell r="H2661" t="str">
            <v>Ariyani</v>
          </cell>
          <cell r="I2661" t="str">
            <v>Fira</v>
          </cell>
          <cell r="J2661" t="str">
            <v>New 06/08/22</v>
          </cell>
          <cell r="K2661" t="str">
            <v>KU</v>
          </cell>
          <cell r="L2661" t="str">
            <v>FARM02</v>
          </cell>
          <cell r="M2661" t="str">
            <v>Farm Adi Tani/Fitri Amalia</v>
          </cell>
          <cell r="N2661" t="str">
            <v>Fitri Amalia</v>
          </cell>
          <cell r="O2661" t="str">
            <v>Keputih Tegal VII/68 RT.005/RW.008, Kel. Keputih Kec. Sukolilo</v>
          </cell>
          <cell r="P2661" t="str">
            <v>Surabaya</v>
          </cell>
          <cell r="Q2661" t="str">
            <v>Keputih Tegal VII/68 RT.005/RW.008, Kel. Keputih Kec. Sukolilo</v>
          </cell>
          <cell r="R2661" t="str">
            <v>Surabaya</v>
          </cell>
          <cell r="S2661" t="str">
            <v>F Utara1</v>
          </cell>
          <cell r="T2661" t="str">
            <v>Tomi</v>
          </cell>
          <cell r="U2661">
            <v>0</v>
          </cell>
        </row>
        <row r="2662">
          <cell r="E2662" t="str">
            <v>C25000901</v>
          </cell>
          <cell r="F2662"/>
          <cell r="G2662">
            <v>200000000</v>
          </cell>
          <cell r="H2662" t="str">
            <v>Ariyani</v>
          </cell>
          <cell r="I2662" t="str">
            <v>Fira</v>
          </cell>
          <cell r="J2662" t="str">
            <v>New 06/08/22</v>
          </cell>
          <cell r="K2662" t="str">
            <v>KU</v>
          </cell>
          <cell r="L2662" t="str">
            <v>FARM02</v>
          </cell>
          <cell r="M2662" t="str">
            <v>Farm Adi Tani/Fitri Amalia</v>
          </cell>
          <cell r="N2662" t="str">
            <v>Fitri Amalia</v>
          </cell>
          <cell r="O2662" t="str">
            <v>Keputih Tegal VII/68 RT.005/RW.008, Kel. Keputih Kec. Sukolilo</v>
          </cell>
          <cell r="P2662" t="str">
            <v>Surabaya</v>
          </cell>
          <cell r="Q2662" t="str">
            <v>Keputih Tegal VII/68 RT.005/RW.008, Kel. Keputih Kec. Sukolilo</v>
          </cell>
          <cell r="R2662" t="str">
            <v>Surabaya</v>
          </cell>
          <cell r="S2662" t="str">
            <v>F Utara1</v>
          </cell>
          <cell r="T2662" t="str">
            <v>Tomi</v>
          </cell>
          <cell r="U2662">
            <v>0</v>
          </cell>
        </row>
        <row r="2663">
          <cell r="E2663" t="str">
            <v>C25000902</v>
          </cell>
          <cell r="F2663"/>
          <cell r="G2663">
            <v>200000000</v>
          </cell>
          <cell r="H2663" t="str">
            <v>Ariyani</v>
          </cell>
          <cell r="I2663" t="str">
            <v>Fira</v>
          </cell>
          <cell r="J2663" t="str">
            <v>New 06/08/22</v>
          </cell>
          <cell r="K2663" t="str">
            <v>KU</v>
          </cell>
          <cell r="L2663" t="str">
            <v>FARM02</v>
          </cell>
          <cell r="M2663" t="str">
            <v>Farm Adi Tani/Fitri Amalia</v>
          </cell>
          <cell r="N2663" t="str">
            <v>Fitri Amalia</v>
          </cell>
          <cell r="O2663" t="str">
            <v>Keputih Tegal VII/68 RT.005/RW.008, Kel. Keputih Kec. Sukolilo</v>
          </cell>
          <cell r="P2663" t="str">
            <v>Surabaya</v>
          </cell>
          <cell r="Q2663" t="str">
            <v>Keputih Tegal VII/68 RT.005/RW.008, Kel. Keputih Kec. Sukolilo</v>
          </cell>
          <cell r="R2663" t="str">
            <v>Surabaya</v>
          </cell>
          <cell r="S2663" t="str">
            <v>F Utara1</v>
          </cell>
          <cell r="T2663" t="str">
            <v>Tomi</v>
          </cell>
          <cell r="U2663">
            <v>0</v>
          </cell>
        </row>
        <row r="2664">
          <cell r="E2664" t="str">
            <v>C25000904</v>
          </cell>
          <cell r="F2664"/>
          <cell r="G2664">
            <v>200000000</v>
          </cell>
          <cell r="H2664" t="str">
            <v>Ariyani</v>
          </cell>
          <cell r="I2664" t="str">
            <v>Fira</v>
          </cell>
          <cell r="J2664" t="str">
            <v>New 06/08/22</v>
          </cell>
          <cell r="K2664" t="str">
            <v>KU</v>
          </cell>
          <cell r="L2664" t="str">
            <v>FARM02</v>
          </cell>
          <cell r="M2664" t="str">
            <v>Farm Adi Tani/Fitri Amalia</v>
          </cell>
          <cell r="N2664" t="str">
            <v>Fitri Amalia</v>
          </cell>
          <cell r="O2664" t="str">
            <v>Keputih Tegal VII/68 RT.005/RW.008, Kel. Keputih Kec. Sukolilo</v>
          </cell>
          <cell r="P2664" t="str">
            <v>Surabaya</v>
          </cell>
          <cell r="Q2664" t="str">
            <v>Keputih Tegal VII/68 RT.005/RW.008, Kel. Keputih Kec. Sukolilo</v>
          </cell>
          <cell r="R2664" t="str">
            <v>Surabaya</v>
          </cell>
          <cell r="S2664" t="str">
            <v>F Utara1</v>
          </cell>
          <cell r="T2664" t="str">
            <v>Tomi</v>
          </cell>
          <cell r="U2664">
            <v>0</v>
          </cell>
        </row>
        <row r="2665">
          <cell r="E2665" t="str">
            <v>C25000906</v>
          </cell>
          <cell r="F2665"/>
          <cell r="G2665">
            <v>200000000</v>
          </cell>
          <cell r="H2665" t="str">
            <v>Ariyani</v>
          </cell>
          <cell r="I2665" t="str">
            <v>Fira</v>
          </cell>
          <cell r="J2665" t="str">
            <v>New 06/08/22</v>
          </cell>
          <cell r="K2665" t="str">
            <v>KU</v>
          </cell>
          <cell r="L2665" t="str">
            <v>FARM02</v>
          </cell>
          <cell r="M2665" t="str">
            <v>Farm Adi Tani/Fitri Amalia</v>
          </cell>
          <cell r="N2665" t="str">
            <v>Fitri Amalia</v>
          </cell>
          <cell r="O2665" t="str">
            <v>Keputih Tegal VII/68 RT.005/RW.008, Kel. Keputih Kec. Sukolilo</v>
          </cell>
          <cell r="P2665" t="str">
            <v>Surabaya</v>
          </cell>
          <cell r="Q2665" t="str">
            <v>Keputih Tegal VII/68 RT.005/RW.008, Kel. Keputih Kec. Sukolilo</v>
          </cell>
          <cell r="R2665" t="str">
            <v>Surabaya</v>
          </cell>
          <cell r="S2665" t="str">
            <v>F Utara1</v>
          </cell>
          <cell r="T2665" t="str">
            <v>Tomi</v>
          </cell>
          <cell r="U2665">
            <v>0</v>
          </cell>
        </row>
        <row r="2666">
          <cell r="E2666" t="str">
            <v>C25000907</v>
          </cell>
          <cell r="F2666"/>
          <cell r="G2666">
            <v>200000000</v>
          </cell>
          <cell r="H2666" t="str">
            <v>Ariyani</v>
          </cell>
          <cell r="I2666" t="str">
            <v>Fira</v>
          </cell>
          <cell r="J2666" t="str">
            <v>New 06/08/22</v>
          </cell>
          <cell r="K2666" t="str">
            <v>KU</v>
          </cell>
          <cell r="L2666" t="str">
            <v>FARM02</v>
          </cell>
          <cell r="M2666" t="str">
            <v>Farm Adi Tani/Fitri Amalia</v>
          </cell>
          <cell r="N2666" t="str">
            <v>Fitri Amalia</v>
          </cell>
          <cell r="O2666" t="str">
            <v>Keputih Tegal VII/68 RT.005/RW.008, Kel. Keputih Kec. Sukolilo</v>
          </cell>
          <cell r="P2666" t="str">
            <v>Surabaya</v>
          </cell>
          <cell r="Q2666" t="str">
            <v>Keputih Tegal VII/68 RT.005/RW.008, Kel. Keputih Kec. Sukolilo</v>
          </cell>
          <cell r="R2666" t="str">
            <v>Surabaya</v>
          </cell>
          <cell r="S2666" t="str">
            <v>F Utara1</v>
          </cell>
          <cell r="T2666" t="str">
            <v>Tomi</v>
          </cell>
          <cell r="U2666">
            <v>0</v>
          </cell>
        </row>
        <row r="2667">
          <cell r="E2667" t="str">
            <v>C25000915</v>
          </cell>
          <cell r="F2667"/>
          <cell r="G2667">
            <v>200000000</v>
          </cell>
          <cell r="H2667" t="str">
            <v>Ariyani</v>
          </cell>
          <cell r="I2667" t="str">
            <v>Fira</v>
          </cell>
          <cell r="J2667" t="str">
            <v>New 06/08/22</v>
          </cell>
          <cell r="K2667" t="str">
            <v>KU</v>
          </cell>
          <cell r="L2667" t="str">
            <v>FARM02</v>
          </cell>
          <cell r="M2667" t="str">
            <v>Farm Adi Tani/Fitri Amalia</v>
          </cell>
          <cell r="N2667" t="str">
            <v>Fitri Amalia</v>
          </cell>
          <cell r="O2667" t="str">
            <v>Keputih Tegal VII/68 RT.005/RW.008, Kel. Keputih Kec. Sukolilo</v>
          </cell>
          <cell r="P2667" t="str">
            <v>Surabaya</v>
          </cell>
          <cell r="Q2667" t="str">
            <v>Keputih Tegal VII/68 RT.005/RW.008, Kel. Keputih Kec. Sukolilo</v>
          </cell>
          <cell r="R2667" t="str">
            <v>Surabaya</v>
          </cell>
          <cell r="S2667" t="str">
            <v>F Utara1</v>
          </cell>
          <cell r="T2667" t="str">
            <v>Tomi</v>
          </cell>
          <cell r="U2667">
            <v>0</v>
          </cell>
        </row>
        <row r="2668">
          <cell r="E2668" t="str">
            <v>C25000917</v>
          </cell>
          <cell r="F2668"/>
          <cell r="G2668">
            <v>200000000</v>
          </cell>
          <cell r="H2668" t="str">
            <v>Ariyani</v>
          </cell>
          <cell r="I2668" t="str">
            <v>Fira</v>
          </cell>
          <cell r="J2668" t="str">
            <v>New 06/08/22</v>
          </cell>
          <cell r="K2668" t="str">
            <v>KU</v>
          </cell>
          <cell r="L2668" t="str">
            <v>FARM02</v>
          </cell>
          <cell r="M2668" t="str">
            <v>Farm Adi Tani/Fitri Amalia</v>
          </cell>
          <cell r="N2668" t="str">
            <v>Fitri Amalia</v>
          </cell>
          <cell r="O2668" t="str">
            <v>Keputih Tegal VII/68 RT.005/RW.008, Kel. Keputih Kec. Sukolilo</v>
          </cell>
          <cell r="P2668" t="str">
            <v>Surabaya</v>
          </cell>
          <cell r="Q2668" t="str">
            <v>Keputih Tegal VII/68 RT.005/RW.008, Kel. Keputih Kec. Sukolilo</v>
          </cell>
          <cell r="R2668" t="str">
            <v>Surabaya</v>
          </cell>
          <cell r="S2668" t="str">
            <v>F Utara1</v>
          </cell>
          <cell r="T2668" t="str">
            <v>Tomi</v>
          </cell>
          <cell r="U2668">
            <v>0</v>
          </cell>
        </row>
        <row r="2669">
          <cell r="E2669" t="str">
            <v>D25015255</v>
          </cell>
          <cell r="F2669"/>
          <cell r="G2669">
            <v>1000</v>
          </cell>
          <cell r="H2669" t="str">
            <v>Faris</v>
          </cell>
          <cell r="I2669" t="str">
            <v>Syahra</v>
          </cell>
          <cell r="J2669" t="str">
            <v>New 29/10/22</v>
          </cell>
          <cell r="K2669" t="str">
            <v>COD</v>
          </cell>
          <cell r="L2669" t="str">
            <v>FARM03</v>
          </cell>
          <cell r="M2669" t="str">
            <v>Farma Tani/Riza</v>
          </cell>
          <cell r="N2669" t="str">
            <v>Riza Maisaroh</v>
          </cell>
          <cell r="O2669" t="str">
            <v>KP. Palangan Timur RT.001/RW.001, Kel. Palangan, Kec. Jangkar</v>
          </cell>
          <cell r="P2669" t="str">
            <v>Situbondo</v>
          </cell>
          <cell r="Q2669" t="str">
            <v>KP. Palangan Timur RT.001/RW.001, Kel. Palangan, Kec. Jangkar</v>
          </cell>
          <cell r="R2669" t="str">
            <v>Situbondo</v>
          </cell>
          <cell r="S2669" t="str">
            <v>N Bdw Stb</v>
          </cell>
          <cell r="T2669" t="str">
            <v>Wira</v>
          </cell>
          <cell r="U2669">
            <v>0</v>
          </cell>
        </row>
        <row r="2670">
          <cell r="E2670" t="str">
            <v>Z25002572</v>
          </cell>
          <cell r="F2670"/>
          <cell r="G2670">
            <v>1000</v>
          </cell>
          <cell r="H2670" t="str">
            <v>Reni</v>
          </cell>
          <cell r="I2670" t="str">
            <v>Fira</v>
          </cell>
          <cell r="J2670"/>
          <cell r="K2670" t="str">
            <v>KU</v>
          </cell>
          <cell r="L2670" t="str">
            <v>FATH03</v>
          </cell>
          <cell r="M2670" t="str">
            <v>Fathur Roziq</v>
          </cell>
          <cell r="N2670" t="str">
            <v>Fathur Roziq</v>
          </cell>
          <cell r="O2670" t="str">
            <v>Ds. Takerharjo,  RT.004/RW.004 Kel. Takerharjo, Kec. Solokuro</v>
          </cell>
          <cell r="P2670" t="str">
            <v>Lamongan</v>
          </cell>
          <cell r="Q2670" t="str">
            <v>Takerharjo,  RT.004/RW.004 Kel. Takerharjo, Kec. Solokuro</v>
          </cell>
          <cell r="R2670" t="str">
            <v>Lamongan</v>
          </cell>
          <cell r="S2670" t="str">
            <v>F Utara1</v>
          </cell>
          <cell r="T2670" t="str">
            <v>Dian</v>
          </cell>
          <cell r="U2670">
            <v>0</v>
          </cell>
        </row>
        <row r="2671">
          <cell r="E2671" t="str">
            <v>Z25002804</v>
          </cell>
          <cell r="F2671"/>
          <cell r="G2671">
            <v>1000</v>
          </cell>
          <cell r="H2671" t="str">
            <v>Reni</v>
          </cell>
          <cell r="I2671" t="str">
            <v>Fira</v>
          </cell>
          <cell r="J2671"/>
          <cell r="K2671" t="str">
            <v>KU</v>
          </cell>
          <cell r="L2671" t="str">
            <v>FATH03</v>
          </cell>
          <cell r="M2671" t="str">
            <v>Fathur Roziq</v>
          </cell>
          <cell r="N2671" t="str">
            <v>Fathur Roziq</v>
          </cell>
          <cell r="O2671" t="str">
            <v>Ds. Takerharjo,  RT.004/RW.004 Kel. Takerharjo, Kec. Solokuro</v>
          </cell>
          <cell r="P2671" t="str">
            <v>Lamongan</v>
          </cell>
          <cell r="Q2671" t="str">
            <v>Takerharjo,  RT.004/RW.004 Kel. Takerharjo, Kec. Solokuro</v>
          </cell>
          <cell r="R2671" t="str">
            <v>Lamongan</v>
          </cell>
          <cell r="S2671" t="str">
            <v>F Utara1</v>
          </cell>
          <cell r="T2671" t="str">
            <v>Dian</v>
          </cell>
          <cell r="U2671">
            <v>0</v>
          </cell>
        </row>
        <row r="2672">
          <cell r="E2672" t="str">
            <v>D25010853</v>
          </cell>
          <cell r="F2672"/>
          <cell r="G2672">
            <v>20000000</v>
          </cell>
          <cell r="H2672" t="str">
            <v>Ariyani</v>
          </cell>
          <cell r="I2672" t="str">
            <v>Fira</v>
          </cell>
          <cell r="J2672" t="str">
            <v>New 15/08/22</v>
          </cell>
          <cell r="K2672" t="str">
            <v>KU</v>
          </cell>
          <cell r="L2672" t="str">
            <v>FEBB02</v>
          </cell>
          <cell r="M2672" t="str">
            <v>Febri Catur Nugroho</v>
          </cell>
          <cell r="N2672" t="str">
            <v>Febri Catur Nugroho</v>
          </cell>
          <cell r="O2672" t="str">
            <v>Krajan 1 RT.003/RW.001, Kel. Cukur Gondang Kec. Grati</v>
          </cell>
          <cell r="P2672" t="str">
            <v>Pasuruan</v>
          </cell>
          <cell r="Q2672" t="str">
            <v>Karang Selem, Cukur Gondang, Kec. Grati</v>
          </cell>
          <cell r="R2672" t="str">
            <v>Pasuruan</v>
          </cell>
          <cell r="S2672" t="str">
            <v>F Utara1</v>
          </cell>
          <cell r="T2672" t="str">
            <v>Tomi</v>
          </cell>
          <cell r="U2672">
            <v>30</v>
          </cell>
        </row>
        <row r="2673">
          <cell r="E2673" t="str">
            <v>B25009459</v>
          </cell>
          <cell r="F2673"/>
          <cell r="G2673">
            <v>20000000</v>
          </cell>
          <cell r="H2673" t="str">
            <v>Ariyani</v>
          </cell>
          <cell r="I2673" t="str">
            <v>Fira</v>
          </cell>
          <cell r="J2673" t="str">
            <v>New 15/08/22</v>
          </cell>
          <cell r="K2673" t="str">
            <v>KU</v>
          </cell>
          <cell r="L2673" t="str">
            <v>FEBB02</v>
          </cell>
          <cell r="M2673" t="str">
            <v>Febri Catur Nugroho</v>
          </cell>
          <cell r="N2673" t="str">
            <v>Febri Catur Nugroho</v>
          </cell>
          <cell r="O2673" t="str">
            <v>Krajan 1 RT.003/RW.001, Kel. Cukur Gondang Kec. Grati</v>
          </cell>
          <cell r="P2673" t="str">
            <v>Pasuruan</v>
          </cell>
          <cell r="Q2673" t="str">
            <v>Karang Selem, Cukur Gondang, Kec. Grati</v>
          </cell>
          <cell r="R2673" t="str">
            <v>Pasuruan</v>
          </cell>
          <cell r="S2673" t="str">
            <v>F Utara1</v>
          </cell>
          <cell r="T2673" t="str">
            <v>Tomi</v>
          </cell>
          <cell r="U2673">
            <v>30</v>
          </cell>
        </row>
        <row r="2674">
          <cell r="E2674" t="str">
            <v>D25013099</v>
          </cell>
          <cell r="F2674"/>
          <cell r="G2674">
            <v>20000000</v>
          </cell>
          <cell r="H2674" t="str">
            <v>Ariyani</v>
          </cell>
          <cell r="I2674" t="str">
            <v>Fira</v>
          </cell>
          <cell r="J2674" t="str">
            <v>New 15/08/22</v>
          </cell>
          <cell r="K2674" t="str">
            <v>KU</v>
          </cell>
          <cell r="L2674" t="str">
            <v>FEBB02</v>
          </cell>
          <cell r="M2674" t="str">
            <v>Febri Catur Nugroho</v>
          </cell>
          <cell r="N2674" t="str">
            <v>Febri Catur Nugroho</v>
          </cell>
          <cell r="O2674" t="str">
            <v>Krajan 1 RT.003/RW.001, Kel. Cukur Gondang Kec. Grati</v>
          </cell>
          <cell r="P2674" t="str">
            <v>Pasuruan</v>
          </cell>
          <cell r="Q2674" t="str">
            <v>Karang Selem, Cukur Gondang, Kec. Grati</v>
          </cell>
          <cell r="R2674" t="str">
            <v>Pasuruan</v>
          </cell>
          <cell r="S2674" t="str">
            <v>F Utara1</v>
          </cell>
          <cell r="T2674" t="str">
            <v>Tomi</v>
          </cell>
          <cell r="U2674">
            <v>30</v>
          </cell>
        </row>
        <row r="2675">
          <cell r="E2675" t="str">
            <v>D25013364</v>
          </cell>
          <cell r="F2675"/>
          <cell r="G2675">
            <v>20000000</v>
          </cell>
          <cell r="H2675" t="str">
            <v>Ariyani</v>
          </cell>
          <cell r="I2675" t="str">
            <v>Fira</v>
          </cell>
          <cell r="J2675" t="str">
            <v>New 15/08/22</v>
          </cell>
          <cell r="K2675" t="str">
            <v>KU</v>
          </cell>
          <cell r="L2675" t="str">
            <v>FEBB02</v>
          </cell>
          <cell r="M2675" t="str">
            <v>Febri Catur Nugroho</v>
          </cell>
          <cell r="N2675" t="str">
            <v>Febri Catur Nugroho</v>
          </cell>
          <cell r="O2675" t="str">
            <v>Krajan 1 RT.003/RW.001, Kel. Cukur Gondang Kec. Grati</v>
          </cell>
          <cell r="P2675" t="str">
            <v>Pasuruan</v>
          </cell>
          <cell r="Q2675" t="str">
            <v>Karang Selem, Cukur Gondang, Kec. Grati</v>
          </cell>
          <cell r="R2675" t="str">
            <v>Pasuruan</v>
          </cell>
          <cell r="S2675" t="str">
            <v>F Utara1</v>
          </cell>
          <cell r="T2675" t="str">
            <v>Tomi</v>
          </cell>
          <cell r="U2675">
            <v>30</v>
          </cell>
        </row>
        <row r="2676">
          <cell r="E2676" t="str">
            <v>B25011784</v>
          </cell>
          <cell r="F2676"/>
          <cell r="G2676">
            <v>20000000</v>
          </cell>
          <cell r="H2676" t="str">
            <v>Ariyani</v>
          </cell>
          <cell r="I2676" t="str">
            <v>Fira</v>
          </cell>
          <cell r="J2676" t="str">
            <v>New 15/08/22</v>
          </cell>
          <cell r="K2676" t="str">
            <v>KU</v>
          </cell>
          <cell r="L2676" t="str">
            <v>FEBB02</v>
          </cell>
          <cell r="M2676" t="str">
            <v>Febri Catur Nugroho</v>
          </cell>
          <cell r="N2676" t="str">
            <v>Febri Catur Nugroho</v>
          </cell>
          <cell r="O2676" t="str">
            <v>Krajan 1 RT.003/RW.001, Kel. Cukur Gondang Kec. Grati</v>
          </cell>
          <cell r="P2676" t="str">
            <v>Pasuruan</v>
          </cell>
          <cell r="Q2676" t="str">
            <v>Karang Selem, Cukur Gondang, Kec. Grati</v>
          </cell>
          <cell r="R2676" t="str">
            <v>Pasuruan</v>
          </cell>
          <cell r="S2676" t="str">
            <v>F Utara1</v>
          </cell>
          <cell r="T2676" t="str">
            <v>Tomi</v>
          </cell>
          <cell r="U2676">
            <v>30</v>
          </cell>
        </row>
        <row r="2677">
          <cell r="E2677" t="str">
            <v>D25014221</v>
          </cell>
          <cell r="F2677"/>
          <cell r="G2677">
            <v>20000000</v>
          </cell>
          <cell r="H2677" t="str">
            <v>Ariyani</v>
          </cell>
          <cell r="I2677" t="str">
            <v>Fira</v>
          </cell>
          <cell r="J2677" t="str">
            <v>New 15/08/22</v>
          </cell>
          <cell r="K2677" t="str">
            <v>KU</v>
          </cell>
          <cell r="L2677" t="str">
            <v>FEBB02</v>
          </cell>
          <cell r="M2677" t="str">
            <v>Febri Catur Nugroho</v>
          </cell>
          <cell r="N2677" t="str">
            <v>Febri Catur Nugroho</v>
          </cell>
          <cell r="O2677" t="str">
            <v>Krajan 1 RT.003/RW.001, Kel. Cukur Gondang Kec. Grati</v>
          </cell>
          <cell r="P2677" t="str">
            <v>Pasuruan</v>
          </cell>
          <cell r="Q2677" t="str">
            <v>Karang Selem, Cukur Gondang, Kec. Grati</v>
          </cell>
          <cell r="R2677" t="str">
            <v>Pasuruan</v>
          </cell>
          <cell r="S2677" t="str">
            <v>F Utara1</v>
          </cell>
          <cell r="T2677" t="str">
            <v>Tomi</v>
          </cell>
          <cell r="U2677">
            <v>30</v>
          </cell>
        </row>
        <row r="2678">
          <cell r="E2678" t="str">
            <v>B25012173</v>
          </cell>
          <cell r="F2678"/>
          <cell r="G2678">
            <v>20000000</v>
          </cell>
          <cell r="H2678" t="str">
            <v>Ariyani</v>
          </cell>
          <cell r="I2678" t="str">
            <v>Fira</v>
          </cell>
          <cell r="J2678" t="str">
            <v>New 15/08/22</v>
          </cell>
          <cell r="K2678" t="str">
            <v>KU</v>
          </cell>
          <cell r="L2678" t="str">
            <v>FEBB02</v>
          </cell>
          <cell r="M2678" t="str">
            <v>Febri Catur Nugroho</v>
          </cell>
          <cell r="N2678" t="str">
            <v>Febri Catur Nugroho</v>
          </cell>
          <cell r="O2678" t="str">
            <v>Krajan 1 RT.003/RW.001, Kel. Cukur Gondang Kec. Grati</v>
          </cell>
          <cell r="P2678" t="str">
            <v>Pasuruan</v>
          </cell>
          <cell r="Q2678" t="str">
            <v>Karang Selem, Cukur Gondang, Kec. Grati</v>
          </cell>
          <cell r="R2678" t="str">
            <v>Pasuruan</v>
          </cell>
          <cell r="S2678" t="str">
            <v>F Utara1</v>
          </cell>
          <cell r="T2678" t="str">
            <v>Tomi</v>
          </cell>
          <cell r="U2678">
            <v>60</v>
          </cell>
        </row>
        <row r="2679">
          <cell r="E2679" t="str">
            <v>B25012188</v>
          </cell>
          <cell r="F2679"/>
          <cell r="G2679">
            <v>20000000</v>
          </cell>
          <cell r="H2679" t="str">
            <v>Ariyani</v>
          </cell>
          <cell r="I2679" t="str">
            <v>Fira</v>
          </cell>
          <cell r="J2679" t="str">
            <v>New 15/08/22</v>
          </cell>
          <cell r="K2679" t="str">
            <v>KU</v>
          </cell>
          <cell r="L2679" t="str">
            <v>FEBB02</v>
          </cell>
          <cell r="M2679" t="str">
            <v>Febri Catur Nugroho</v>
          </cell>
          <cell r="N2679" t="str">
            <v>Febri Catur Nugroho</v>
          </cell>
          <cell r="O2679" t="str">
            <v>Krajan 1 RT.003/RW.001, Kel. Cukur Gondang Kec. Grati</v>
          </cell>
          <cell r="P2679" t="str">
            <v>Pasuruan</v>
          </cell>
          <cell r="Q2679" t="str">
            <v>Karang Selem, Cukur Gondang, Kec. Grati</v>
          </cell>
          <cell r="R2679" t="str">
            <v>Pasuruan</v>
          </cell>
          <cell r="S2679" t="str">
            <v>F Utara1</v>
          </cell>
          <cell r="T2679" t="str">
            <v>Tomi</v>
          </cell>
          <cell r="U2679">
            <v>30</v>
          </cell>
        </row>
        <row r="2680">
          <cell r="E2680" t="str">
            <v>B25013072</v>
          </cell>
          <cell r="F2680"/>
          <cell r="G2680">
            <v>20000000</v>
          </cell>
          <cell r="H2680" t="str">
            <v>Ariyani</v>
          </cell>
          <cell r="I2680" t="str">
            <v>Fira</v>
          </cell>
          <cell r="J2680" t="str">
            <v>New 15/08/22</v>
          </cell>
          <cell r="K2680" t="str">
            <v>KU</v>
          </cell>
          <cell r="L2680" t="str">
            <v>FEBB02</v>
          </cell>
          <cell r="M2680" t="str">
            <v>Febri Catur Nugroho</v>
          </cell>
          <cell r="N2680" t="str">
            <v>Febri Catur Nugroho</v>
          </cell>
          <cell r="O2680" t="str">
            <v>Krajan 1 RT.003/RW.001, Kel. Cukur Gondang Kec. Grati</v>
          </cell>
          <cell r="P2680" t="str">
            <v>Pasuruan</v>
          </cell>
          <cell r="Q2680" t="str">
            <v>Karang Selem, Cukur Gondang, Kec. Grati</v>
          </cell>
          <cell r="R2680" t="str">
            <v>Pasuruan</v>
          </cell>
          <cell r="S2680" t="str">
            <v>F Utara1</v>
          </cell>
          <cell r="T2680" t="str">
            <v>Tomi</v>
          </cell>
          <cell r="U2680">
            <v>30</v>
          </cell>
        </row>
        <row r="2681">
          <cell r="E2681" t="str">
            <v>B25013093</v>
          </cell>
          <cell r="F2681"/>
          <cell r="G2681">
            <v>20000000</v>
          </cell>
          <cell r="H2681" t="str">
            <v>Ariyani</v>
          </cell>
          <cell r="I2681" t="str">
            <v>Fira</v>
          </cell>
          <cell r="J2681" t="str">
            <v>New 15/08/22</v>
          </cell>
          <cell r="K2681" t="str">
            <v>KU</v>
          </cell>
          <cell r="L2681" t="str">
            <v>FEBB02</v>
          </cell>
          <cell r="M2681" t="str">
            <v>Febri Catur Nugroho</v>
          </cell>
          <cell r="N2681" t="str">
            <v>Febri Catur Nugroho</v>
          </cell>
          <cell r="O2681" t="str">
            <v>Krajan 1 RT.003/RW.001, Kel. Cukur Gondang Kec. Grati</v>
          </cell>
          <cell r="P2681" t="str">
            <v>Pasuruan</v>
          </cell>
          <cell r="Q2681" t="str">
            <v>Karang Selem, Cukur Gondang, Kec. Grati</v>
          </cell>
          <cell r="R2681" t="str">
            <v>Pasuruan</v>
          </cell>
          <cell r="S2681" t="str">
            <v>F Utara1</v>
          </cell>
          <cell r="T2681" t="str">
            <v>Tomi</v>
          </cell>
          <cell r="U2681">
            <v>30</v>
          </cell>
        </row>
        <row r="2682">
          <cell r="E2682" t="str">
            <v>B25013464</v>
          </cell>
          <cell r="F2682"/>
          <cell r="G2682">
            <v>20000000</v>
          </cell>
          <cell r="H2682" t="str">
            <v>Ariyani</v>
          </cell>
          <cell r="I2682" t="str">
            <v>Fira</v>
          </cell>
          <cell r="J2682" t="str">
            <v>New 15/08/22</v>
          </cell>
          <cell r="K2682" t="str">
            <v>KU</v>
          </cell>
          <cell r="L2682" t="str">
            <v>FEBB02</v>
          </cell>
          <cell r="M2682" t="str">
            <v>Febri Catur Nugroho</v>
          </cell>
          <cell r="N2682" t="str">
            <v>Febri Catur Nugroho</v>
          </cell>
          <cell r="O2682" t="str">
            <v>Krajan 1 RT.003/RW.001, Kel. Cukur Gondang Kec. Grati</v>
          </cell>
          <cell r="P2682" t="str">
            <v>Pasuruan</v>
          </cell>
          <cell r="Q2682" t="str">
            <v>Karang Selem, Cukur Gondang, Kec. Grati</v>
          </cell>
          <cell r="R2682" t="str">
            <v>Pasuruan</v>
          </cell>
          <cell r="S2682" t="str">
            <v>F Utara1</v>
          </cell>
          <cell r="T2682" t="str">
            <v>Tomi</v>
          </cell>
          <cell r="U2682">
            <v>30</v>
          </cell>
        </row>
        <row r="2683">
          <cell r="E2683" t="str">
            <v>B25013513</v>
          </cell>
          <cell r="F2683"/>
          <cell r="G2683">
            <v>20000000</v>
          </cell>
          <cell r="H2683" t="str">
            <v>Ariyani</v>
          </cell>
          <cell r="I2683" t="str">
            <v>Fira</v>
          </cell>
          <cell r="J2683" t="str">
            <v>New 15/08/22</v>
          </cell>
          <cell r="K2683" t="str">
            <v>KU</v>
          </cell>
          <cell r="L2683" t="str">
            <v>FEBB02</v>
          </cell>
          <cell r="M2683" t="str">
            <v>Febri Catur Nugroho</v>
          </cell>
          <cell r="N2683" t="str">
            <v>Febri Catur Nugroho</v>
          </cell>
          <cell r="O2683" t="str">
            <v>Krajan 1 RT.003/RW.001, Kel. Cukur Gondang Kec. Grati</v>
          </cell>
          <cell r="P2683" t="str">
            <v>Pasuruan</v>
          </cell>
          <cell r="Q2683" t="str">
            <v>Karang Selem, Cukur Gondang, Kec. Grati</v>
          </cell>
          <cell r="R2683" t="str">
            <v>Pasuruan</v>
          </cell>
          <cell r="S2683" t="str">
            <v>F Utara1</v>
          </cell>
          <cell r="T2683" t="str">
            <v>Tomi</v>
          </cell>
          <cell r="U2683">
            <v>30</v>
          </cell>
        </row>
        <row r="2684">
          <cell r="E2684" t="str">
            <v>B25013821</v>
          </cell>
          <cell r="F2684"/>
          <cell r="G2684">
            <v>20000000</v>
          </cell>
          <cell r="H2684" t="str">
            <v>Ariyani</v>
          </cell>
          <cell r="I2684" t="str">
            <v>Fira</v>
          </cell>
          <cell r="J2684" t="str">
            <v>New 15/08/22</v>
          </cell>
          <cell r="K2684" t="str">
            <v>KU</v>
          </cell>
          <cell r="L2684" t="str">
            <v>FEBB02</v>
          </cell>
          <cell r="M2684" t="str">
            <v>Febri Catur Nugroho</v>
          </cell>
          <cell r="N2684" t="str">
            <v>Febri Catur Nugroho</v>
          </cell>
          <cell r="O2684" t="str">
            <v>Krajan 1 RT.003/RW.001, Kel. Cukur Gondang Kec. Grati</v>
          </cell>
          <cell r="P2684" t="str">
            <v>Pasuruan</v>
          </cell>
          <cell r="Q2684" t="str">
            <v>Karang Selem, Cukur Gondang, Kec. Grati</v>
          </cell>
          <cell r="R2684" t="str">
            <v>Pasuruan</v>
          </cell>
          <cell r="S2684" t="str">
            <v>F Utara1</v>
          </cell>
          <cell r="T2684" t="str">
            <v>Tomi</v>
          </cell>
          <cell r="U2684">
            <v>30</v>
          </cell>
        </row>
        <row r="2685">
          <cell r="E2685" t="str">
            <v>B25013827</v>
          </cell>
          <cell r="F2685"/>
          <cell r="G2685">
            <v>20000000</v>
          </cell>
          <cell r="H2685" t="str">
            <v>Ariyani</v>
          </cell>
          <cell r="I2685" t="str">
            <v>Fira</v>
          </cell>
          <cell r="J2685" t="str">
            <v>New 15/08/22</v>
          </cell>
          <cell r="K2685" t="str">
            <v>KU</v>
          </cell>
          <cell r="L2685" t="str">
            <v>FEBB02</v>
          </cell>
          <cell r="M2685" t="str">
            <v>Febri Catur Nugroho</v>
          </cell>
          <cell r="N2685" t="str">
            <v>Febri Catur Nugroho</v>
          </cell>
          <cell r="O2685" t="str">
            <v>Krajan 1 RT.003/RW.001, Kel. Cukur Gondang Kec. Grati</v>
          </cell>
          <cell r="P2685" t="str">
            <v>Pasuruan</v>
          </cell>
          <cell r="Q2685" t="str">
            <v>Karang Selem, Cukur Gondang, Kec. Grati</v>
          </cell>
          <cell r="R2685" t="str">
            <v>Pasuruan</v>
          </cell>
          <cell r="S2685" t="str">
            <v>F Utara1</v>
          </cell>
          <cell r="T2685" t="str">
            <v>Tomi</v>
          </cell>
          <cell r="U2685">
            <v>30</v>
          </cell>
        </row>
        <row r="2686">
          <cell r="E2686" t="str">
            <v>B25009608</v>
          </cell>
          <cell r="F2686"/>
          <cell r="G2686">
            <v>150000000</v>
          </cell>
          <cell r="H2686" t="str">
            <v>Hendra</v>
          </cell>
          <cell r="I2686" t="str">
            <v>Tiya</v>
          </cell>
          <cell r="J2686"/>
          <cell r="K2686" t="str">
            <v>KU</v>
          </cell>
          <cell r="L2686" t="str">
            <v>FERY01</v>
          </cell>
          <cell r="M2686" t="str">
            <v>Feryan Tantoni</v>
          </cell>
          <cell r="N2686" t="str">
            <v>Feryan Tantoni</v>
          </cell>
          <cell r="O2686" t="str">
            <v>Perum Korpri Blok A, No.08, RT.019, Kel. Juata Permai, Kec. Tarakan Utara</v>
          </cell>
          <cell r="P2686" t="str">
            <v>Tarakan</v>
          </cell>
          <cell r="Q2686" t="str">
            <v>Perum Korpri Blok A, No.08, RT.019, Kel. Juata Permai, Kec. Tarakan Utara</v>
          </cell>
          <cell r="R2686" t="str">
            <v>Tarakan</v>
          </cell>
          <cell r="S2686" t="str">
            <v>E Luar Pulau1</v>
          </cell>
          <cell r="T2686" t="str">
            <v>Non SE &amp; JSE</v>
          </cell>
          <cell r="U2686">
            <v>45</v>
          </cell>
        </row>
        <row r="2687">
          <cell r="E2687" t="str">
            <v>B25009669</v>
          </cell>
          <cell r="F2687"/>
          <cell r="G2687">
            <v>150000000</v>
          </cell>
          <cell r="H2687" t="str">
            <v>Hendra</v>
          </cell>
          <cell r="I2687" t="str">
            <v>Tiya</v>
          </cell>
          <cell r="J2687"/>
          <cell r="K2687" t="str">
            <v>KU</v>
          </cell>
          <cell r="L2687" t="str">
            <v>FERY01</v>
          </cell>
          <cell r="M2687" t="str">
            <v>Feryan Tantoni</v>
          </cell>
          <cell r="N2687" t="str">
            <v>Feryan Tantoni</v>
          </cell>
          <cell r="O2687" t="str">
            <v>Perum Korpri Blok A, No.08, RT.019, Kel. Juata Permai, Kec. Tarakan Utara</v>
          </cell>
          <cell r="P2687" t="str">
            <v>Tarakan</v>
          </cell>
          <cell r="Q2687" t="str">
            <v>Perum Korpri Blok A, No.08, RT.019, Kel. Juata Permai, Kec. Tarakan Utara</v>
          </cell>
          <cell r="R2687" t="str">
            <v>Tarakan</v>
          </cell>
          <cell r="S2687" t="str">
            <v>E Luar Pulau1</v>
          </cell>
          <cell r="T2687" t="str">
            <v>Non SE &amp; JSE</v>
          </cell>
          <cell r="U2687">
            <v>45</v>
          </cell>
        </row>
        <row r="2688">
          <cell r="E2688" t="str">
            <v>D25011872</v>
          </cell>
          <cell r="F2688"/>
          <cell r="G2688">
            <v>150000000</v>
          </cell>
          <cell r="H2688" t="str">
            <v>Hendra</v>
          </cell>
          <cell r="I2688" t="str">
            <v>Tiya</v>
          </cell>
          <cell r="J2688"/>
          <cell r="K2688" t="str">
            <v>KU</v>
          </cell>
          <cell r="L2688" t="str">
            <v>FERY01</v>
          </cell>
          <cell r="M2688" t="str">
            <v>Feryan Tantoni</v>
          </cell>
          <cell r="N2688" t="str">
            <v>Feryan Tantoni</v>
          </cell>
          <cell r="O2688" t="str">
            <v>Perum Korpri Blok A, No.08, RT.019, Kel. Juata Permai, Kec. Tarakan Utara</v>
          </cell>
          <cell r="P2688" t="str">
            <v>Tarakan</v>
          </cell>
          <cell r="Q2688" t="str">
            <v>Perum Korpri Blok A, No.08, RT.019, Kel. Juata Permai, Kec. Tarakan Utara</v>
          </cell>
          <cell r="R2688" t="str">
            <v>Tarakan</v>
          </cell>
          <cell r="S2688" t="str">
            <v>E Luar Pulau1</v>
          </cell>
          <cell r="T2688" t="str">
            <v>Non SE &amp; JSE</v>
          </cell>
          <cell r="U2688">
            <v>45</v>
          </cell>
        </row>
        <row r="2689">
          <cell r="E2689" t="str">
            <v>B25010035</v>
          </cell>
          <cell r="F2689"/>
          <cell r="G2689">
            <v>150000000</v>
          </cell>
          <cell r="H2689" t="str">
            <v>Hendra</v>
          </cell>
          <cell r="I2689" t="str">
            <v>Tiya</v>
          </cell>
          <cell r="J2689"/>
          <cell r="K2689" t="str">
            <v>KU</v>
          </cell>
          <cell r="L2689" t="str">
            <v>FERY01</v>
          </cell>
          <cell r="M2689" t="str">
            <v>Feryan Tantoni</v>
          </cell>
          <cell r="N2689" t="str">
            <v>Feryan Tantoni</v>
          </cell>
          <cell r="O2689" t="str">
            <v>Perum Korpri Blok A, No.08, RT.019, Kel. Juata Permai, Kec. Tarakan Utara</v>
          </cell>
          <cell r="P2689" t="str">
            <v>Tarakan</v>
          </cell>
          <cell r="Q2689" t="str">
            <v>Perum Korpri Blok A, No.08, RT.019, Kel. Juata Permai, Kec. Tarakan Utara</v>
          </cell>
          <cell r="R2689" t="str">
            <v>Tarakan</v>
          </cell>
          <cell r="S2689" t="str">
            <v>E Luar Pulau1</v>
          </cell>
          <cell r="T2689" t="str">
            <v>Non SE &amp; JSE</v>
          </cell>
          <cell r="U2689">
            <v>45</v>
          </cell>
        </row>
        <row r="2690">
          <cell r="E2690" t="str">
            <v>D25012040</v>
          </cell>
          <cell r="F2690"/>
          <cell r="G2690">
            <v>150000000</v>
          </cell>
          <cell r="H2690" t="str">
            <v>Hendra</v>
          </cell>
          <cell r="I2690" t="str">
            <v>Tiya</v>
          </cell>
          <cell r="J2690"/>
          <cell r="K2690" t="str">
            <v>KU</v>
          </cell>
          <cell r="L2690" t="str">
            <v>FERY01</v>
          </cell>
          <cell r="M2690" t="str">
            <v>Feryan Tantoni</v>
          </cell>
          <cell r="N2690" t="str">
            <v>Feryan Tantoni</v>
          </cell>
          <cell r="O2690" t="str">
            <v>Perum Korpri Blok A, No.08, RT.019, Kel. Juata Permai, Kec. Tarakan Utara</v>
          </cell>
          <cell r="P2690" t="str">
            <v>Tarakan</v>
          </cell>
          <cell r="Q2690" t="str">
            <v>Perum Korpri Blok A, No.08, RT.019, Kel. Juata Permai, Kec. Tarakan Utara</v>
          </cell>
          <cell r="R2690" t="str">
            <v>Tarakan</v>
          </cell>
          <cell r="S2690" t="str">
            <v>E Luar Pulau1</v>
          </cell>
          <cell r="T2690" t="str">
            <v>Non SE &amp; JSE</v>
          </cell>
          <cell r="U2690">
            <v>45</v>
          </cell>
        </row>
        <row r="2691">
          <cell r="E2691" t="str">
            <v>B25010239</v>
          </cell>
          <cell r="F2691"/>
          <cell r="G2691">
            <v>150000000</v>
          </cell>
          <cell r="H2691" t="str">
            <v>Hendra</v>
          </cell>
          <cell r="I2691" t="str">
            <v>Tiya</v>
          </cell>
          <cell r="J2691"/>
          <cell r="K2691" t="str">
            <v>KU</v>
          </cell>
          <cell r="L2691" t="str">
            <v>FERY01</v>
          </cell>
          <cell r="M2691" t="str">
            <v>Feryan Tantoni</v>
          </cell>
          <cell r="N2691" t="str">
            <v>Feryan Tantoni</v>
          </cell>
          <cell r="O2691" t="str">
            <v>Perum Korpri Blok A, No.08, RT.019, Kel. Juata Permai, Kec. Tarakan Utara</v>
          </cell>
          <cell r="P2691" t="str">
            <v>Tarakan</v>
          </cell>
          <cell r="Q2691" t="str">
            <v>Perum Korpri Blok A, No.08, RT.019, Kel. Juata Permai, Kec. Tarakan Utara</v>
          </cell>
          <cell r="R2691" t="str">
            <v>Tarakan</v>
          </cell>
          <cell r="S2691" t="str">
            <v>E Luar Pulau1</v>
          </cell>
          <cell r="T2691" t="str">
            <v>Non SE &amp; JSE</v>
          </cell>
          <cell r="U2691">
            <v>45</v>
          </cell>
        </row>
        <row r="2692">
          <cell r="E2692" t="str">
            <v>D25012133</v>
          </cell>
          <cell r="F2692"/>
          <cell r="G2692">
            <v>150000000</v>
          </cell>
          <cell r="H2692" t="str">
            <v>Hendra</v>
          </cell>
          <cell r="I2692" t="str">
            <v>Tiya</v>
          </cell>
          <cell r="J2692"/>
          <cell r="K2692" t="str">
            <v>KU</v>
          </cell>
          <cell r="L2692" t="str">
            <v>FERY01</v>
          </cell>
          <cell r="M2692" t="str">
            <v>Feryan Tantoni</v>
          </cell>
          <cell r="N2692" t="str">
            <v>Feryan Tantoni</v>
          </cell>
          <cell r="O2692" t="str">
            <v>Perum Korpri Blok A, No.08, RT.019, Kel. Juata Permai, Kec. Tarakan Utara</v>
          </cell>
          <cell r="P2692" t="str">
            <v>Tarakan</v>
          </cell>
          <cell r="Q2692" t="str">
            <v>Perum Korpri Blok A, No.08, RT.019, Kel. Juata Permai, Kec. Tarakan Utara</v>
          </cell>
          <cell r="R2692" t="str">
            <v>Tarakan</v>
          </cell>
          <cell r="S2692" t="str">
            <v>E Luar Pulau1</v>
          </cell>
          <cell r="T2692" t="str">
            <v>Non SE &amp; JSE</v>
          </cell>
          <cell r="U2692">
            <v>45</v>
          </cell>
        </row>
        <row r="2693">
          <cell r="E2693" t="str">
            <v>B25011127</v>
          </cell>
          <cell r="F2693"/>
          <cell r="G2693">
            <v>150000000</v>
          </cell>
          <cell r="H2693" t="str">
            <v>Hendra</v>
          </cell>
          <cell r="I2693" t="str">
            <v>Tiya</v>
          </cell>
          <cell r="J2693"/>
          <cell r="K2693" t="str">
            <v>KU</v>
          </cell>
          <cell r="L2693" t="str">
            <v>FERY01</v>
          </cell>
          <cell r="M2693" t="str">
            <v>Feryan Tantoni</v>
          </cell>
          <cell r="N2693" t="str">
            <v>Feryan Tantoni</v>
          </cell>
          <cell r="O2693" t="str">
            <v>Perum Korpri Blok A, No.08, RT.019, Kel. Juata Permai, Kec. Tarakan Utara</v>
          </cell>
          <cell r="P2693" t="str">
            <v>Tarakan</v>
          </cell>
          <cell r="Q2693" t="str">
            <v>Perum Korpri Blok A, No.08, RT.019, Kel. Juata Permai, Kec. Tarakan Utara</v>
          </cell>
          <cell r="R2693" t="str">
            <v>Tarakan</v>
          </cell>
          <cell r="S2693" t="str">
            <v>E Luar Pulau1</v>
          </cell>
          <cell r="T2693" t="str">
            <v>Non SE &amp; JSE</v>
          </cell>
          <cell r="U2693">
            <v>45</v>
          </cell>
        </row>
        <row r="2694">
          <cell r="E2694" t="str">
            <v>D25013347</v>
          </cell>
          <cell r="F2694"/>
          <cell r="G2694">
            <v>150000000</v>
          </cell>
          <cell r="H2694" t="str">
            <v>Hendra</v>
          </cell>
          <cell r="I2694" t="str">
            <v>Tiya</v>
          </cell>
          <cell r="J2694"/>
          <cell r="K2694" t="str">
            <v>KU</v>
          </cell>
          <cell r="L2694" t="str">
            <v>FERY01</v>
          </cell>
          <cell r="M2694" t="str">
            <v>Feryan Tantoni</v>
          </cell>
          <cell r="N2694" t="str">
            <v>Feryan Tantoni</v>
          </cell>
          <cell r="O2694" t="str">
            <v>Perum Korpri Blok A, No.08, RT.019, Kel. Juata Permai, Kec. Tarakan Utara</v>
          </cell>
          <cell r="P2694" t="str">
            <v>Tarakan</v>
          </cell>
          <cell r="Q2694" t="str">
            <v>Perum Korpri Blok A, No.08, RT.019, Kel. Juata Permai, Kec. Tarakan Utara</v>
          </cell>
          <cell r="R2694" t="str">
            <v>Tarakan</v>
          </cell>
          <cell r="S2694" t="str">
            <v>E Luar Pulau1</v>
          </cell>
          <cell r="T2694" t="str">
            <v>Non SE &amp; JSE</v>
          </cell>
          <cell r="U2694">
            <v>45</v>
          </cell>
        </row>
        <row r="2695">
          <cell r="E2695" t="str">
            <v>B25011131</v>
          </cell>
          <cell r="F2695"/>
          <cell r="G2695">
            <v>150000000</v>
          </cell>
          <cell r="H2695" t="str">
            <v>Hendra</v>
          </cell>
          <cell r="I2695" t="str">
            <v>Tiya</v>
          </cell>
          <cell r="J2695"/>
          <cell r="K2695" t="str">
            <v>KU</v>
          </cell>
          <cell r="L2695" t="str">
            <v>FERY01</v>
          </cell>
          <cell r="M2695" t="str">
            <v>Feryan Tantoni</v>
          </cell>
          <cell r="N2695" t="str">
            <v>Feryan Tantoni</v>
          </cell>
          <cell r="O2695" t="str">
            <v>Perum Korpri Blok A, No.08, RT.019, Kel. Juata Permai, Kec. Tarakan Utara</v>
          </cell>
          <cell r="P2695" t="str">
            <v>Tarakan</v>
          </cell>
          <cell r="Q2695" t="str">
            <v>Perum Korpri Blok A, No.08, RT.019, Kel. Juata Permai, Kec. Tarakan Utara</v>
          </cell>
          <cell r="R2695" t="str">
            <v>Tarakan</v>
          </cell>
          <cell r="S2695" t="str">
            <v>E Luar Pulau1</v>
          </cell>
          <cell r="T2695" t="str">
            <v>Non SE &amp; JSE</v>
          </cell>
          <cell r="U2695">
            <v>45</v>
          </cell>
        </row>
        <row r="2696">
          <cell r="E2696" t="str">
            <v>B25011142</v>
          </cell>
          <cell r="F2696"/>
          <cell r="G2696">
            <v>150000000</v>
          </cell>
          <cell r="H2696" t="str">
            <v>Hendra</v>
          </cell>
          <cell r="I2696" t="str">
            <v>Tiya</v>
          </cell>
          <cell r="J2696"/>
          <cell r="K2696" t="str">
            <v>KU</v>
          </cell>
          <cell r="L2696" t="str">
            <v>FERY01</v>
          </cell>
          <cell r="M2696" t="str">
            <v>Feryan Tantoni</v>
          </cell>
          <cell r="N2696" t="str">
            <v>Feryan Tantoni</v>
          </cell>
          <cell r="O2696" t="str">
            <v>Perum Korpri Blok A, No.08, RT.019, Kel. Juata Permai, Kec. Tarakan Utara</v>
          </cell>
          <cell r="P2696" t="str">
            <v>Tarakan</v>
          </cell>
          <cell r="Q2696" t="str">
            <v>Perum Korpri Blok A, No.08, RT.019, Kel. Juata Permai, Kec. Tarakan Utara</v>
          </cell>
          <cell r="R2696" t="str">
            <v>Tarakan</v>
          </cell>
          <cell r="S2696" t="str">
            <v>E Luar Pulau1</v>
          </cell>
          <cell r="T2696" t="str">
            <v>Non SE &amp; JSE</v>
          </cell>
          <cell r="U2696">
            <v>45</v>
          </cell>
        </row>
        <row r="2697">
          <cell r="E2697" t="str">
            <v>D25013465</v>
          </cell>
          <cell r="F2697"/>
          <cell r="G2697">
            <v>150000000</v>
          </cell>
          <cell r="H2697" t="str">
            <v>Hendra</v>
          </cell>
          <cell r="I2697" t="str">
            <v>Tiya</v>
          </cell>
          <cell r="J2697"/>
          <cell r="K2697" t="str">
            <v>KU</v>
          </cell>
          <cell r="L2697" t="str">
            <v>FERY01</v>
          </cell>
          <cell r="M2697" t="str">
            <v>Feryan Tantoni</v>
          </cell>
          <cell r="N2697" t="str">
            <v>Feryan Tantoni</v>
          </cell>
          <cell r="O2697" t="str">
            <v>Perum Korpri Blok A, No.08, RT.019, Kel. Juata Permai, Kec. Tarakan Utara</v>
          </cell>
          <cell r="P2697" t="str">
            <v>Tarakan</v>
          </cell>
          <cell r="Q2697" t="str">
            <v>Perum Korpri Blok A, No.08, RT.019, Kel. Juata Permai, Kec. Tarakan Utara</v>
          </cell>
          <cell r="R2697" t="str">
            <v>Tarakan</v>
          </cell>
          <cell r="S2697" t="str">
            <v>E Luar Pulau1</v>
          </cell>
          <cell r="T2697" t="str">
            <v>Non SE &amp; JSE</v>
          </cell>
          <cell r="U2697">
            <v>45</v>
          </cell>
        </row>
        <row r="2698">
          <cell r="E2698" t="str">
            <v>B25011242</v>
          </cell>
          <cell r="F2698"/>
          <cell r="G2698">
            <v>150000000</v>
          </cell>
          <cell r="H2698" t="str">
            <v>Hendra</v>
          </cell>
          <cell r="I2698" t="str">
            <v>Tiya</v>
          </cell>
          <cell r="J2698"/>
          <cell r="K2698" t="str">
            <v>KU</v>
          </cell>
          <cell r="L2698" t="str">
            <v>FERY01</v>
          </cell>
          <cell r="M2698" t="str">
            <v>Feryan Tantoni</v>
          </cell>
          <cell r="N2698" t="str">
            <v>Feryan Tantoni</v>
          </cell>
          <cell r="O2698" t="str">
            <v>Perum Korpri Blok A, No.08, RT.019, Kel. Juata Permai, Kec. Tarakan Utara</v>
          </cell>
          <cell r="P2698" t="str">
            <v>Tarakan</v>
          </cell>
          <cell r="Q2698" t="str">
            <v>Perum Korpri Blok A, No.08, RT.019, Kel. Juata Permai, Kec. Tarakan Utara</v>
          </cell>
          <cell r="R2698" t="str">
            <v>Tarakan</v>
          </cell>
          <cell r="S2698" t="str">
            <v>E Luar Pulau1</v>
          </cell>
          <cell r="T2698" t="str">
            <v>Non SE &amp; JSE</v>
          </cell>
          <cell r="U2698">
            <v>45</v>
          </cell>
        </row>
        <row r="2699">
          <cell r="E2699" t="str">
            <v>D25013939</v>
          </cell>
          <cell r="F2699"/>
          <cell r="G2699">
            <v>150000000</v>
          </cell>
          <cell r="H2699" t="str">
            <v>Hendra</v>
          </cell>
          <cell r="I2699" t="str">
            <v>Tiya</v>
          </cell>
          <cell r="J2699"/>
          <cell r="K2699" t="str">
            <v>KU</v>
          </cell>
          <cell r="L2699" t="str">
            <v>FERY01</v>
          </cell>
          <cell r="M2699" t="str">
            <v>Feryan Tantoni</v>
          </cell>
          <cell r="N2699" t="str">
            <v>Feryan Tantoni</v>
          </cell>
          <cell r="O2699" t="str">
            <v>Perum Korpri Blok A, No.08, RT.019, Kel. Juata Permai, Kec. Tarakan Utara</v>
          </cell>
          <cell r="P2699" t="str">
            <v>Tarakan</v>
          </cell>
          <cell r="Q2699" t="str">
            <v>Perum Korpri Blok A, No.08, RT.019, Kel. Juata Permai, Kec. Tarakan Utara</v>
          </cell>
          <cell r="R2699" t="str">
            <v>Tarakan</v>
          </cell>
          <cell r="S2699" t="str">
            <v>E Luar Pulau1</v>
          </cell>
          <cell r="T2699" t="str">
            <v>Non SE &amp; JSE</v>
          </cell>
          <cell r="U2699">
            <v>45</v>
          </cell>
        </row>
        <row r="2700">
          <cell r="E2700" t="str">
            <v>B25011786</v>
          </cell>
          <cell r="F2700"/>
          <cell r="G2700">
            <v>150000000</v>
          </cell>
          <cell r="H2700" t="str">
            <v>Hendra</v>
          </cell>
          <cell r="I2700" t="str">
            <v>Tiya</v>
          </cell>
          <cell r="J2700"/>
          <cell r="K2700" t="str">
            <v>KU</v>
          </cell>
          <cell r="L2700" t="str">
            <v>FERY01</v>
          </cell>
          <cell r="M2700" t="str">
            <v>Feryan Tantoni</v>
          </cell>
          <cell r="N2700" t="str">
            <v>Feryan Tantoni</v>
          </cell>
          <cell r="O2700" t="str">
            <v>Perum Korpri Blok A, No.08, RT.019, Kel. Juata Permai, Kec. Tarakan Utara</v>
          </cell>
          <cell r="P2700" t="str">
            <v>Tarakan</v>
          </cell>
          <cell r="Q2700" t="str">
            <v>Perum Korpri Blok A, No.08, RT.019, Kel. Juata Permai, Kec. Tarakan Utara</v>
          </cell>
          <cell r="R2700" t="str">
            <v>Tarakan</v>
          </cell>
          <cell r="S2700" t="str">
            <v>E Luar Pulau1</v>
          </cell>
          <cell r="T2700" t="str">
            <v>Non SE &amp; JSE</v>
          </cell>
          <cell r="U2700">
            <v>45</v>
          </cell>
        </row>
        <row r="2701">
          <cell r="E2701" t="str">
            <v>B25011924</v>
          </cell>
          <cell r="F2701"/>
          <cell r="G2701">
            <v>150000000</v>
          </cell>
          <cell r="H2701" t="str">
            <v>Hendra</v>
          </cell>
          <cell r="I2701" t="str">
            <v>Tiya</v>
          </cell>
          <cell r="J2701"/>
          <cell r="K2701" t="str">
            <v>KU</v>
          </cell>
          <cell r="L2701" t="str">
            <v>FERY01</v>
          </cell>
          <cell r="M2701" t="str">
            <v>Feryan Tantoni</v>
          </cell>
          <cell r="N2701" t="str">
            <v>Feryan Tantoni</v>
          </cell>
          <cell r="O2701" t="str">
            <v>Perum Korpri Blok A, No.08, RT.019, Kel. Juata Permai, Kec. Tarakan Utara</v>
          </cell>
          <cell r="P2701" t="str">
            <v>Tarakan</v>
          </cell>
          <cell r="Q2701" t="str">
            <v>Perum Korpri Blok A, No.08, RT.019, Kel. Juata Permai, Kec. Tarakan Utara</v>
          </cell>
          <cell r="R2701" t="str">
            <v>Tarakan</v>
          </cell>
          <cell r="S2701" t="str">
            <v>E Luar Pulau1</v>
          </cell>
          <cell r="T2701" t="str">
            <v>Non SE &amp; JSE</v>
          </cell>
          <cell r="U2701">
            <v>45</v>
          </cell>
        </row>
        <row r="2702">
          <cell r="E2702" t="str">
            <v>D25014164</v>
          </cell>
          <cell r="F2702"/>
          <cell r="G2702">
            <v>150000000</v>
          </cell>
          <cell r="H2702" t="str">
            <v>Hendra</v>
          </cell>
          <cell r="I2702" t="str">
            <v>Tiya</v>
          </cell>
          <cell r="J2702"/>
          <cell r="K2702" t="str">
            <v>KU</v>
          </cell>
          <cell r="L2702" t="str">
            <v>FERY01</v>
          </cell>
          <cell r="M2702" t="str">
            <v>Feryan Tantoni</v>
          </cell>
          <cell r="N2702" t="str">
            <v>Feryan Tantoni</v>
          </cell>
          <cell r="O2702" t="str">
            <v>Perum Korpri Blok A, No.08, RT.019, Kel. Juata Permai, Kec. Tarakan Utara</v>
          </cell>
          <cell r="P2702" t="str">
            <v>Tarakan</v>
          </cell>
          <cell r="Q2702" t="str">
            <v>Perum Korpri Blok A, No.08, RT.019, Kel. Juata Permai, Kec. Tarakan Utara</v>
          </cell>
          <cell r="R2702" t="str">
            <v>Tarakan</v>
          </cell>
          <cell r="S2702" t="str">
            <v>E Luar Pulau1</v>
          </cell>
          <cell r="T2702" t="str">
            <v>Non SE &amp; JSE</v>
          </cell>
          <cell r="U2702">
            <v>45</v>
          </cell>
        </row>
        <row r="2703">
          <cell r="E2703" t="str">
            <v>D25014493</v>
          </cell>
          <cell r="F2703"/>
          <cell r="G2703">
            <v>150000000</v>
          </cell>
          <cell r="H2703" t="str">
            <v>Hendra</v>
          </cell>
          <cell r="I2703" t="str">
            <v>Tiya</v>
          </cell>
          <cell r="J2703"/>
          <cell r="K2703" t="str">
            <v>KU</v>
          </cell>
          <cell r="L2703" t="str">
            <v>FERY01</v>
          </cell>
          <cell r="M2703" t="str">
            <v>Feryan Tantoni</v>
          </cell>
          <cell r="N2703" t="str">
            <v>Feryan Tantoni</v>
          </cell>
          <cell r="O2703" t="str">
            <v>Perum Korpri Blok A, No.08, RT.019, Kel. Juata Permai, Kec. Tarakan Utara</v>
          </cell>
          <cell r="P2703" t="str">
            <v>Tarakan</v>
          </cell>
          <cell r="Q2703" t="str">
            <v>Perum Korpri Blok A, No.08, RT.019, Kel. Juata Permai, Kec. Tarakan Utara</v>
          </cell>
          <cell r="R2703" t="str">
            <v>Tarakan</v>
          </cell>
          <cell r="S2703" t="str">
            <v>E Luar Pulau1</v>
          </cell>
          <cell r="T2703" t="str">
            <v>Non SE &amp; JSE</v>
          </cell>
          <cell r="U2703">
            <v>45</v>
          </cell>
        </row>
        <row r="2704">
          <cell r="E2704" t="str">
            <v>B25012989</v>
          </cell>
          <cell r="F2704"/>
          <cell r="G2704">
            <v>150000000</v>
          </cell>
          <cell r="H2704" t="str">
            <v>Hendra</v>
          </cell>
          <cell r="I2704" t="str">
            <v>Tiya</v>
          </cell>
          <cell r="J2704"/>
          <cell r="K2704" t="str">
            <v>KU</v>
          </cell>
          <cell r="L2704" t="str">
            <v>FERY01</v>
          </cell>
          <cell r="M2704" t="str">
            <v>Feryan Tantoni</v>
          </cell>
          <cell r="N2704" t="str">
            <v>Feryan Tantoni</v>
          </cell>
          <cell r="O2704" t="str">
            <v>Perum Korpri Blok A, No.08, RT.019, Kel. Juata Permai, Kec. Tarakan Utara</v>
          </cell>
          <cell r="P2704" t="str">
            <v>Tarakan</v>
          </cell>
          <cell r="Q2704" t="str">
            <v>Perum Korpri Blok A, No.08, RT.019, Kel. Juata Permai, Kec. Tarakan Utara</v>
          </cell>
          <cell r="R2704" t="str">
            <v>Tarakan</v>
          </cell>
          <cell r="S2704" t="str">
            <v>E Luar Pulau1</v>
          </cell>
          <cell r="T2704" t="str">
            <v>Non SE &amp; JSE</v>
          </cell>
          <cell r="U2704">
            <v>45</v>
          </cell>
        </row>
        <row r="2705">
          <cell r="E2705" t="str">
            <v>D25015301</v>
          </cell>
          <cell r="F2705"/>
          <cell r="G2705">
            <v>150000000</v>
          </cell>
          <cell r="H2705" t="str">
            <v>Hendra</v>
          </cell>
          <cell r="I2705" t="str">
            <v>Tiya</v>
          </cell>
          <cell r="J2705"/>
          <cell r="K2705" t="str">
            <v>KU</v>
          </cell>
          <cell r="L2705" t="str">
            <v>FERY01</v>
          </cell>
          <cell r="M2705" t="str">
            <v>Feryan Tantoni</v>
          </cell>
          <cell r="N2705" t="str">
            <v>Feryan Tantoni</v>
          </cell>
          <cell r="O2705" t="str">
            <v>Perum Korpri Blok A, No.08, RT.019, Kel. Juata Permai, Kec. Tarakan Utara</v>
          </cell>
          <cell r="P2705" t="str">
            <v>Tarakan</v>
          </cell>
          <cell r="Q2705" t="str">
            <v>Perum Korpri Blok A, No.08, RT.019, Kel. Juata Permai, Kec. Tarakan Utara</v>
          </cell>
          <cell r="R2705" t="str">
            <v>Tarakan</v>
          </cell>
          <cell r="S2705" t="str">
            <v>E Luar Pulau1</v>
          </cell>
          <cell r="T2705" t="str">
            <v>Non SE &amp; JSE</v>
          </cell>
          <cell r="U2705">
            <v>45</v>
          </cell>
        </row>
        <row r="2706">
          <cell r="E2706" t="str">
            <v>D25015304</v>
          </cell>
          <cell r="F2706"/>
          <cell r="G2706">
            <v>150000000</v>
          </cell>
          <cell r="H2706" t="str">
            <v>Hendra</v>
          </cell>
          <cell r="I2706" t="str">
            <v>Tiya</v>
          </cell>
          <cell r="J2706"/>
          <cell r="K2706" t="str">
            <v>KU</v>
          </cell>
          <cell r="L2706" t="str">
            <v>FERY01</v>
          </cell>
          <cell r="M2706" t="str">
            <v>Feryan Tantoni</v>
          </cell>
          <cell r="N2706" t="str">
            <v>Feryan Tantoni</v>
          </cell>
          <cell r="O2706" t="str">
            <v>Perum Korpri Blok A, No.08, RT.019, Kel. Juata Permai, Kec. Tarakan Utara</v>
          </cell>
          <cell r="P2706" t="str">
            <v>Tarakan</v>
          </cell>
          <cell r="Q2706" t="str">
            <v>Perum Korpri Blok A, No.08, RT.019, Kel. Juata Permai, Kec. Tarakan Utara</v>
          </cell>
          <cell r="R2706" t="str">
            <v>Tarakan</v>
          </cell>
          <cell r="S2706" t="str">
            <v>E Luar Pulau1</v>
          </cell>
          <cell r="T2706" t="str">
            <v>Non SE &amp; JSE</v>
          </cell>
          <cell r="U2706">
            <v>45</v>
          </cell>
        </row>
        <row r="2707">
          <cell r="E2707" t="str">
            <v>D25015595</v>
          </cell>
          <cell r="F2707"/>
          <cell r="G2707">
            <v>150000000</v>
          </cell>
          <cell r="H2707" t="str">
            <v>Hendra</v>
          </cell>
          <cell r="I2707" t="str">
            <v>Tiya</v>
          </cell>
          <cell r="J2707"/>
          <cell r="K2707" t="str">
            <v>KU</v>
          </cell>
          <cell r="L2707" t="str">
            <v>FERY01</v>
          </cell>
          <cell r="M2707" t="str">
            <v>Feryan Tantoni</v>
          </cell>
          <cell r="N2707" t="str">
            <v>Feryan Tantoni</v>
          </cell>
          <cell r="O2707" t="str">
            <v>Perum Korpri Blok A, No.08, RT.019, Kel. Juata Permai, Kec. Tarakan Utara</v>
          </cell>
          <cell r="P2707" t="str">
            <v>Tarakan</v>
          </cell>
          <cell r="Q2707" t="str">
            <v>Perum Korpri Blok A, No.08, RT.019, Kel. Juata Permai, Kec. Tarakan Utara</v>
          </cell>
          <cell r="R2707" t="str">
            <v>Tarakan</v>
          </cell>
          <cell r="S2707" t="str">
            <v>E Luar Pulau1</v>
          </cell>
          <cell r="T2707" t="str">
            <v>Non SE &amp; JSE</v>
          </cell>
          <cell r="U2707">
            <v>45</v>
          </cell>
        </row>
        <row r="2708">
          <cell r="E2708" t="str">
            <v>B25013394</v>
          </cell>
          <cell r="F2708"/>
          <cell r="G2708">
            <v>150000000</v>
          </cell>
          <cell r="H2708" t="str">
            <v>Hendra</v>
          </cell>
          <cell r="I2708" t="str">
            <v>Tiya</v>
          </cell>
          <cell r="J2708"/>
          <cell r="K2708" t="str">
            <v>KU</v>
          </cell>
          <cell r="L2708" t="str">
            <v>FERY01</v>
          </cell>
          <cell r="M2708" t="str">
            <v>Feryan Tantoni</v>
          </cell>
          <cell r="N2708" t="str">
            <v>Feryan Tantoni</v>
          </cell>
          <cell r="O2708" t="str">
            <v>Perum Korpri Blok A, No.08, RT.019, Kel. Juata Permai, Kec. Tarakan Utara</v>
          </cell>
          <cell r="P2708" t="str">
            <v>Tarakan</v>
          </cell>
          <cell r="Q2708" t="str">
            <v>Perum Korpri Blok A, No.08, RT.019, Kel. Juata Permai, Kec. Tarakan Utara</v>
          </cell>
          <cell r="R2708" t="str">
            <v>Tarakan</v>
          </cell>
          <cell r="S2708" t="str">
            <v>E Luar Pulau1</v>
          </cell>
          <cell r="T2708" t="str">
            <v>Non SE &amp; JSE</v>
          </cell>
          <cell r="U2708">
            <v>45</v>
          </cell>
        </row>
        <row r="2709">
          <cell r="E2709" t="str">
            <v>D25015631</v>
          </cell>
          <cell r="F2709"/>
          <cell r="G2709">
            <v>150000000</v>
          </cell>
          <cell r="H2709" t="str">
            <v>Hendra</v>
          </cell>
          <cell r="I2709" t="str">
            <v>Tiya</v>
          </cell>
          <cell r="J2709"/>
          <cell r="K2709" t="str">
            <v>KU</v>
          </cell>
          <cell r="L2709" t="str">
            <v>FERY01</v>
          </cell>
          <cell r="M2709" t="str">
            <v>Feryan Tantoni</v>
          </cell>
          <cell r="N2709" t="str">
            <v>Feryan Tantoni</v>
          </cell>
          <cell r="O2709" t="str">
            <v>Perum Korpri Blok A, No.08, RT.019, Kel. Juata Permai, Kec. Tarakan Utara</v>
          </cell>
          <cell r="P2709" t="str">
            <v>Tarakan</v>
          </cell>
          <cell r="Q2709" t="str">
            <v>Perum Korpri Blok A, No.08, RT.019, Kel. Juata Permai, Kec. Tarakan Utara</v>
          </cell>
          <cell r="R2709" t="str">
            <v>Tarakan</v>
          </cell>
          <cell r="S2709" t="str">
            <v>E Luar Pulau1</v>
          </cell>
          <cell r="T2709" t="str">
            <v>Non SE &amp; JSE</v>
          </cell>
          <cell r="U2709">
            <v>45</v>
          </cell>
        </row>
        <row r="2710">
          <cell r="E2710" t="str">
            <v>D25015704</v>
          </cell>
          <cell r="F2710"/>
          <cell r="G2710">
            <v>150000000</v>
          </cell>
          <cell r="H2710" t="str">
            <v>Hendra</v>
          </cell>
          <cell r="I2710" t="str">
            <v>Tiya</v>
          </cell>
          <cell r="J2710"/>
          <cell r="K2710" t="str">
            <v>KU</v>
          </cell>
          <cell r="L2710" t="str">
            <v>FERY01</v>
          </cell>
          <cell r="M2710" t="str">
            <v>Feryan Tantoni</v>
          </cell>
          <cell r="N2710" t="str">
            <v>Feryan Tantoni</v>
          </cell>
          <cell r="O2710" t="str">
            <v>Perum Korpri Blok A, No.08, RT.019, Kel. Juata Permai, Kec. Tarakan Utara</v>
          </cell>
          <cell r="P2710" t="str">
            <v>Tarakan</v>
          </cell>
          <cell r="Q2710" t="str">
            <v>Perum Korpri Blok A, No.08, RT.019, Kel. Juata Permai, Kec. Tarakan Utara</v>
          </cell>
          <cell r="R2710" t="str">
            <v>Tarakan</v>
          </cell>
          <cell r="S2710" t="str">
            <v>E Luar Pulau1</v>
          </cell>
          <cell r="T2710" t="str">
            <v>Non SE &amp; JSE</v>
          </cell>
          <cell r="U2710">
            <v>45</v>
          </cell>
        </row>
        <row r="2711">
          <cell r="E2711" t="str">
            <v>B25013543</v>
          </cell>
          <cell r="F2711"/>
          <cell r="G2711">
            <v>150000000</v>
          </cell>
          <cell r="H2711" t="str">
            <v>Hendra</v>
          </cell>
          <cell r="I2711" t="str">
            <v>Tiya</v>
          </cell>
          <cell r="J2711"/>
          <cell r="K2711" t="str">
            <v>KU</v>
          </cell>
          <cell r="L2711" t="str">
            <v>FERY01</v>
          </cell>
          <cell r="M2711" t="str">
            <v>Feryan Tantoni</v>
          </cell>
          <cell r="N2711" t="str">
            <v>Feryan Tantoni</v>
          </cell>
          <cell r="O2711" t="str">
            <v>Perum Korpri Blok A, No.08, RT.019, Kel. Juata Permai, Kec. Tarakan Utara</v>
          </cell>
          <cell r="P2711" t="str">
            <v>Tarakan</v>
          </cell>
          <cell r="Q2711" t="str">
            <v>Perum Korpri Blok A, No.08, RT.019, Kel. Juata Permai, Kec. Tarakan Utara</v>
          </cell>
          <cell r="R2711" t="str">
            <v>Tarakan</v>
          </cell>
          <cell r="S2711" t="str">
            <v>E Luar Pulau1</v>
          </cell>
          <cell r="T2711" t="str">
            <v>Non SE &amp; JSE</v>
          </cell>
          <cell r="U2711">
            <v>45</v>
          </cell>
        </row>
        <row r="2712">
          <cell r="E2712" t="str">
            <v>B25013639</v>
          </cell>
          <cell r="F2712"/>
          <cell r="G2712">
            <v>150000000</v>
          </cell>
          <cell r="H2712" t="str">
            <v>Hendra</v>
          </cell>
          <cell r="I2712" t="str">
            <v>Tiya</v>
          </cell>
          <cell r="J2712"/>
          <cell r="K2712" t="str">
            <v>KU</v>
          </cell>
          <cell r="L2712" t="str">
            <v>FERY01</v>
          </cell>
          <cell r="M2712" t="str">
            <v>Feryan Tantoni</v>
          </cell>
          <cell r="N2712" t="str">
            <v>Feryan Tantoni</v>
          </cell>
          <cell r="O2712" t="str">
            <v>Perum Korpri Blok A, No.08, RT.019, Kel. Juata Permai, Kec. Tarakan Utara</v>
          </cell>
          <cell r="P2712" t="str">
            <v>Tarakan</v>
          </cell>
          <cell r="Q2712" t="str">
            <v>Perum Korpri Blok A, No.08, RT.019, Kel. Juata Permai, Kec. Tarakan Utara</v>
          </cell>
          <cell r="R2712" t="str">
            <v>Tarakan</v>
          </cell>
          <cell r="S2712" t="str">
            <v>E Luar Pulau1</v>
          </cell>
          <cell r="T2712" t="str">
            <v>Non SE &amp; JSE</v>
          </cell>
          <cell r="U2712">
            <v>45</v>
          </cell>
        </row>
        <row r="2713">
          <cell r="E2713" t="str">
            <v>B25013908</v>
          </cell>
          <cell r="F2713"/>
          <cell r="G2713">
            <v>150000000</v>
          </cell>
          <cell r="H2713" t="str">
            <v>Hendra</v>
          </cell>
          <cell r="I2713" t="str">
            <v>Tiya</v>
          </cell>
          <cell r="J2713"/>
          <cell r="K2713" t="str">
            <v>KU</v>
          </cell>
          <cell r="L2713" t="str">
            <v>FERY01</v>
          </cell>
          <cell r="M2713" t="str">
            <v>Feryan Tantoni</v>
          </cell>
          <cell r="N2713" t="str">
            <v>Feryan Tantoni</v>
          </cell>
          <cell r="O2713" t="str">
            <v>Perum Korpri Blok A, No.08, RT.019, Kel. Juata Permai, Kec. Tarakan Utara</v>
          </cell>
          <cell r="P2713" t="str">
            <v>Tarakan</v>
          </cell>
          <cell r="Q2713" t="str">
            <v>Perum Korpri Blok A, No.08, RT.019, Kel. Juata Permai, Kec. Tarakan Utara</v>
          </cell>
          <cell r="R2713" t="str">
            <v>Tarakan</v>
          </cell>
          <cell r="S2713" t="str">
            <v>E Luar Pulau1</v>
          </cell>
          <cell r="T2713" t="str">
            <v>Non SE &amp; JSE</v>
          </cell>
          <cell r="U2713">
            <v>45</v>
          </cell>
        </row>
        <row r="2714">
          <cell r="E2714" t="str">
            <v>D25012066</v>
          </cell>
          <cell r="F2714"/>
          <cell r="G2714">
            <v>20000000</v>
          </cell>
          <cell r="H2714" t="str">
            <v>Yuyun</v>
          </cell>
          <cell r="I2714" t="str">
            <v>Farida</v>
          </cell>
          <cell r="J2714" t="str">
            <v>New 16/03/21</v>
          </cell>
          <cell r="K2714" t="str">
            <v>KU</v>
          </cell>
          <cell r="L2714" t="str">
            <v>FORT02</v>
          </cell>
          <cell r="M2714" t="str">
            <v>Fortuna Tani/Heru</v>
          </cell>
          <cell r="N2714" t="str">
            <v>Heru Pamungkas</v>
          </cell>
          <cell r="O2714" t="str">
            <v>Griya Panti Raya D-7 RT.001/RW.006 , Kel. Panti, Kec. Panti</v>
          </cell>
          <cell r="P2714" t="str">
            <v>Jember</v>
          </cell>
          <cell r="Q2714" t="str">
            <v>Griya Panti Raya D-7 RT.001/RW.006 , Kel. Panti, Kec. Panti</v>
          </cell>
          <cell r="R2714" t="str">
            <v>Jember</v>
          </cell>
          <cell r="S2714" t="str">
            <v>L Kota1</v>
          </cell>
          <cell r="T2714" t="str">
            <v>Wira</v>
          </cell>
          <cell r="U2714">
            <v>30</v>
          </cell>
        </row>
        <row r="2715">
          <cell r="E2715" t="str">
            <v>D25012378</v>
          </cell>
          <cell r="F2715"/>
          <cell r="G2715">
            <v>20000000</v>
          </cell>
          <cell r="H2715" t="str">
            <v>Yuyun</v>
          </cell>
          <cell r="I2715" t="str">
            <v>Farida</v>
          </cell>
          <cell r="J2715" t="str">
            <v>New 16/03/21</v>
          </cell>
          <cell r="K2715" t="str">
            <v>KU</v>
          </cell>
          <cell r="L2715" t="str">
            <v>FORT02</v>
          </cell>
          <cell r="M2715" t="str">
            <v>Fortuna Tani/Heru</v>
          </cell>
          <cell r="N2715" t="str">
            <v>Heru Pamungkas</v>
          </cell>
          <cell r="O2715" t="str">
            <v>Griya Panti Raya D-7 RT.001/RW.006 , Kel. Panti, Kec. Panti</v>
          </cell>
          <cell r="P2715" t="str">
            <v>Jember</v>
          </cell>
          <cell r="Q2715" t="str">
            <v>Griya Panti Raya D-7 RT.001/RW.006 , Kel. Panti, Kec. Panti</v>
          </cell>
          <cell r="R2715" t="str">
            <v>Jember</v>
          </cell>
          <cell r="S2715" t="str">
            <v>L Kota1</v>
          </cell>
          <cell r="T2715" t="str">
            <v>Wira</v>
          </cell>
          <cell r="U2715">
            <v>30</v>
          </cell>
        </row>
        <row r="2716">
          <cell r="E2716" t="str">
            <v>B25010621</v>
          </cell>
          <cell r="F2716"/>
          <cell r="G2716">
            <v>20000000</v>
          </cell>
          <cell r="H2716" t="str">
            <v>Yuyun</v>
          </cell>
          <cell r="I2716" t="str">
            <v>Farida</v>
          </cell>
          <cell r="J2716" t="str">
            <v>New 16/03/21</v>
          </cell>
          <cell r="K2716" t="str">
            <v>KU</v>
          </cell>
          <cell r="L2716" t="str">
            <v>FORT02</v>
          </cell>
          <cell r="M2716" t="str">
            <v>Fortuna Tani/Heru</v>
          </cell>
          <cell r="N2716" t="str">
            <v>Heru Pamungkas</v>
          </cell>
          <cell r="O2716" t="str">
            <v>Griya Panti Raya D-7 RT.001/RW.006 , Kel. Panti, Kec. Panti</v>
          </cell>
          <cell r="P2716" t="str">
            <v>Jember</v>
          </cell>
          <cell r="Q2716" t="str">
            <v>Griya Panti Raya D-7 RT.001/RW.006 , Kel. Panti, Kec. Panti</v>
          </cell>
          <cell r="R2716" t="str">
            <v>Jember</v>
          </cell>
          <cell r="S2716" t="str">
            <v>L Kota1</v>
          </cell>
          <cell r="T2716" t="str">
            <v>Wira</v>
          </cell>
          <cell r="U2716">
            <v>30</v>
          </cell>
        </row>
        <row r="2717">
          <cell r="E2717" t="str">
            <v>B25010622</v>
          </cell>
          <cell r="F2717"/>
          <cell r="G2717">
            <v>20000000</v>
          </cell>
          <cell r="H2717" t="str">
            <v>Yuyun</v>
          </cell>
          <cell r="I2717" t="str">
            <v>Farida</v>
          </cell>
          <cell r="J2717" t="str">
            <v>New 16/03/21</v>
          </cell>
          <cell r="K2717" t="str">
            <v>KU</v>
          </cell>
          <cell r="L2717" t="str">
            <v>FORT02</v>
          </cell>
          <cell r="M2717" t="str">
            <v>Fortuna Tani/Heru</v>
          </cell>
          <cell r="N2717" t="str">
            <v>Heru Pamungkas</v>
          </cell>
          <cell r="O2717" t="str">
            <v>Griya Panti Raya D-7 RT.001/RW.006 , Kel. Panti, Kec. Panti</v>
          </cell>
          <cell r="P2717" t="str">
            <v>Jember</v>
          </cell>
          <cell r="Q2717" t="str">
            <v>Griya Panti Raya D-7 RT.001/RW.006 , Kel. Panti, Kec. Panti</v>
          </cell>
          <cell r="R2717" t="str">
            <v>Jember</v>
          </cell>
          <cell r="S2717" t="str">
            <v>L Kota1</v>
          </cell>
          <cell r="T2717" t="str">
            <v>Wira</v>
          </cell>
          <cell r="U2717">
            <v>30</v>
          </cell>
        </row>
        <row r="2718">
          <cell r="E2718" t="str">
            <v>D25014198</v>
          </cell>
          <cell r="F2718"/>
          <cell r="G2718">
            <v>20000000</v>
          </cell>
          <cell r="H2718" t="str">
            <v>Yuyun</v>
          </cell>
          <cell r="I2718" t="str">
            <v>Farida</v>
          </cell>
          <cell r="J2718" t="str">
            <v>New 16/03/21</v>
          </cell>
          <cell r="K2718" t="str">
            <v>KU</v>
          </cell>
          <cell r="L2718" t="str">
            <v>FORT02</v>
          </cell>
          <cell r="M2718" t="str">
            <v>Fortuna Tani/Heru</v>
          </cell>
          <cell r="N2718" t="str">
            <v>Heru Pamungkas</v>
          </cell>
          <cell r="O2718" t="str">
            <v>Griya Panti Raya D-7 RT.001/RW.006 , Kel. Panti, Kec. Panti</v>
          </cell>
          <cell r="P2718" t="str">
            <v>Jember</v>
          </cell>
          <cell r="Q2718" t="str">
            <v>Griya Panti Raya D-7 RT.001/RW.006 , Kel. Panti, Kec. Panti</v>
          </cell>
          <cell r="R2718" t="str">
            <v>Jember</v>
          </cell>
          <cell r="S2718" t="str">
            <v>L Kota1</v>
          </cell>
          <cell r="T2718" t="str">
            <v>Wira</v>
          </cell>
          <cell r="U2718">
            <v>30</v>
          </cell>
        </row>
        <row r="2719">
          <cell r="E2719" t="str">
            <v>D25014449</v>
          </cell>
          <cell r="F2719"/>
          <cell r="G2719">
            <v>20000000</v>
          </cell>
          <cell r="H2719" t="str">
            <v>Yuyun</v>
          </cell>
          <cell r="I2719" t="str">
            <v>Farida</v>
          </cell>
          <cell r="J2719" t="str">
            <v>New 16/03/21</v>
          </cell>
          <cell r="K2719" t="str">
            <v>KU</v>
          </cell>
          <cell r="L2719" t="str">
            <v>FORT02</v>
          </cell>
          <cell r="M2719" t="str">
            <v>Fortuna Tani/Heru</v>
          </cell>
          <cell r="N2719" t="str">
            <v>Heru Pamungkas</v>
          </cell>
          <cell r="O2719" t="str">
            <v>Griya Panti Raya D-7 RT.001/RW.006 , Kel. Panti, Kec. Panti</v>
          </cell>
          <cell r="P2719" t="str">
            <v>Jember</v>
          </cell>
          <cell r="Q2719" t="str">
            <v>Griya Panti Raya D-7 RT.001/RW.006 , Kel. Panti, Kec. Panti</v>
          </cell>
          <cell r="R2719" t="str">
            <v>Jember</v>
          </cell>
          <cell r="S2719" t="str">
            <v>L Kota1</v>
          </cell>
          <cell r="T2719" t="str">
            <v>Wira</v>
          </cell>
          <cell r="U2719">
            <v>30</v>
          </cell>
        </row>
        <row r="2720">
          <cell r="E2720" t="str">
            <v>A25001975</v>
          </cell>
          <cell r="F2720"/>
          <cell r="G2720">
            <v>10000000</v>
          </cell>
          <cell r="H2720" t="str">
            <v>Ariyani</v>
          </cell>
          <cell r="I2720" t="str">
            <v>Fira</v>
          </cell>
          <cell r="J2720"/>
          <cell r="K2720" t="str">
            <v>KU</v>
          </cell>
          <cell r="L2720" t="str">
            <v>GANE01</v>
          </cell>
          <cell r="M2720" t="str">
            <v>Ganesha</v>
          </cell>
          <cell r="N2720" t="str">
            <v>Ibnu Sutowo</v>
          </cell>
          <cell r="O2720" t="str">
            <v>Jl. Rambipuji No.373 RT.003/RW.004 Gumelar, Balung, Kab. Jember</v>
          </cell>
          <cell r="P2720" t="str">
            <v>Jember</v>
          </cell>
          <cell r="Q2720" t="str">
            <v>Balung</v>
          </cell>
          <cell r="R2720" t="str">
            <v>Jember</v>
          </cell>
          <cell r="S2720" t="str">
            <v>L Kota3</v>
          </cell>
          <cell r="T2720" t="str">
            <v>Wira</v>
          </cell>
          <cell r="U2720">
            <v>0</v>
          </cell>
        </row>
        <row r="2721">
          <cell r="E2721" t="str">
            <v>D25016150</v>
          </cell>
          <cell r="F2721"/>
          <cell r="G2721">
            <v>10000000</v>
          </cell>
          <cell r="H2721" t="str">
            <v>Ariyani</v>
          </cell>
          <cell r="I2721" t="str">
            <v>Fira</v>
          </cell>
          <cell r="J2721"/>
          <cell r="K2721" t="str">
            <v>KU</v>
          </cell>
          <cell r="L2721" t="str">
            <v>GANE01</v>
          </cell>
          <cell r="M2721" t="str">
            <v>Ganesha</v>
          </cell>
          <cell r="N2721" t="str">
            <v>Ibnu Sutowo</v>
          </cell>
          <cell r="O2721" t="str">
            <v>Jl. Rambipuji No.373 RT.003/RW.004 Gumelar, Balung, Kab. Jember</v>
          </cell>
          <cell r="P2721" t="str">
            <v>Jember</v>
          </cell>
          <cell r="Q2721" t="str">
            <v>Balung</v>
          </cell>
          <cell r="R2721" t="str">
            <v>Jember</v>
          </cell>
          <cell r="S2721" t="str">
            <v>L Kota3</v>
          </cell>
          <cell r="T2721" t="str">
            <v>Wira</v>
          </cell>
          <cell r="U2721">
            <v>0</v>
          </cell>
        </row>
        <row r="2722">
          <cell r="E2722" t="str">
            <v>Z25002080</v>
          </cell>
          <cell r="F2722"/>
          <cell r="G2722">
            <v>1000000000</v>
          </cell>
          <cell r="H2722" t="str">
            <v>Reni</v>
          </cell>
          <cell r="I2722" t="str">
            <v>Farida</v>
          </cell>
          <cell r="J2722"/>
          <cell r="K2722" t="str">
            <v>KU</v>
          </cell>
          <cell r="L2722" t="str">
            <v>GANG01</v>
          </cell>
          <cell r="M2722" t="str">
            <v>Gangsar Tani/Noto, H</v>
          </cell>
          <cell r="N2722" t="str">
            <v>Noto, H</v>
          </cell>
          <cell r="O2722" t="str">
            <v>Jl. Dewi Sartika No. 15</v>
          </cell>
          <cell r="P2722" t="str">
            <v>Batu</v>
          </cell>
          <cell r="Q2722" t="str">
            <v>Jl. Dewi Sartika No. 15</v>
          </cell>
          <cell r="R2722" t="str">
            <v>Batu</v>
          </cell>
          <cell r="S2722" t="str">
            <v>F Utara1</v>
          </cell>
          <cell r="T2722" t="str">
            <v>Tomi</v>
          </cell>
          <cell r="U2722">
            <v>60</v>
          </cell>
        </row>
        <row r="2723">
          <cell r="E2723" t="str">
            <v>Z25002110</v>
          </cell>
          <cell r="F2723"/>
          <cell r="G2723">
            <v>1000000000</v>
          </cell>
          <cell r="H2723" t="str">
            <v>Reni</v>
          </cell>
          <cell r="I2723" t="str">
            <v>Farida</v>
          </cell>
          <cell r="J2723"/>
          <cell r="K2723" t="str">
            <v>KU</v>
          </cell>
          <cell r="L2723" t="str">
            <v>GANG01</v>
          </cell>
          <cell r="M2723" t="str">
            <v>Gangsar Tani/Noto, H</v>
          </cell>
          <cell r="N2723" t="str">
            <v>Noto, H</v>
          </cell>
          <cell r="O2723" t="str">
            <v>Jl. Dewi Sartika No. 15</v>
          </cell>
          <cell r="P2723" t="str">
            <v>Batu</v>
          </cell>
          <cell r="Q2723" t="str">
            <v>Jl. Dewi Sartika No. 15</v>
          </cell>
          <cell r="R2723" t="str">
            <v>Batu</v>
          </cell>
          <cell r="S2723" t="str">
            <v>F Utara1</v>
          </cell>
          <cell r="T2723" t="str">
            <v>Tomi</v>
          </cell>
          <cell r="U2723">
            <v>45</v>
          </cell>
        </row>
        <row r="2724">
          <cell r="E2724" t="str">
            <v>Z25002181</v>
          </cell>
          <cell r="F2724"/>
          <cell r="G2724">
            <v>1000000000</v>
          </cell>
          <cell r="H2724" t="str">
            <v>Reni</v>
          </cell>
          <cell r="I2724" t="str">
            <v>Farida</v>
          </cell>
          <cell r="J2724"/>
          <cell r="K2724" t="str">
            <v>KU</v>
          </cell>
          <cell r="L2724" t="str">
            <v>GANG01</v>
          </cell>
          <cell r="M2724" t="str">
            <v>Gangsar Tani/Noto, H</v>
          </cell>
          <cell r="N2724" t="str">
            <v>Noto, H</v>
          </cell>
          <cell r="O2724" t="str">
            <v>Jl. Dewi Sartika No. 15</v>
          </cell>
          <cell r="P2724" t="str">
            <v>Batu</v>
          </cell>
          <cell r="Q2724" t="str">
            <v>Jl. Dewi Sartika No. 15</v>
          </cell>
          <cell r="R2724" t="str">
            <v>Batu</v>
          </cell>
          <cell r="S2724" t="str">
            <v>F Utara1</v>
          </cell>
          <cell r="T2724" t="str">
            <v>Tomi</v>
          </cell>
          <cell r="U2724">
            <v>45</v>
          </cell>
        </row>
        <row r="2725">
          <cell r="E2725" t="str">
            <v>Z25002218</v>
          </cell>
          <cell r="F2725"/>
          <cell r="G2725">
            <v>1000000000</v>
          </cell>
          <cell r="H2725" t="str">
            <v>Reni</v>
          </cell>
          <cell r="I2725" t="str">
            <v>Farida</v>
          </cell>
          <cell r="J2725"/>
          <cell r="K2725" t="str">
            <v>KU</v>
          </cell>
          <cell r="L2725" t="str">
            <v>GANG01</v>
          </cell>
          <cell r="M2725" t="str">
            <v>Gangsar Tani/Noto, H</v>
          </cell>
          <cell r="N2725" t="str">
            <v>Noto, H</v>
          </cell>
          <cell r="O2725" t="str">
            <v>Jl. Dewi Sartika No. 15</v>
          </cell>
          <cell r="P2725" t="str">
            <v>Batu</v>
          </cell>
          <cell r="Q2725" t="str">
            <v>Jl. Dewi Sartika No. 15</v>
          </cell>
          <cell r="R2725" t="str">
            <v>Batu</v>
          </cell>
          <cell r="S2725" t="str">
            <v>F Utara1</v>
          </cell>
          <cell r="T2725" t="str">
            <v>Tomi</v>
          </cell>
          <cell r="U2725">
            <v>45</v>
          </cell>
        </row>
        <row r="2726">
          <cell r="E2726" t="str">
            <v>Z25002274</v>
          </cell>
          <cell r="F2726"/>
          <cell r="G2726">
            <v>1000000000</v>
          </cell>
          <cell r="H2726" t="str">
            <v>Reni</v>
          </cell>
          <cell r="I2726" t="str">
            <v>Farida</v>
          </cell>
          <cell r="J2726"/>
          <cell r="K2726" t="str">
            <v>KU</v>
          </cell>
          <cell r="L2726" t="str">
            <v>GANG01</v>
          </cell>
          <cell r="M2726" t="str">
            <v>Gangsar Tani/Noto, H</v>
          </cell>
          <cell r="N2726" t="str">
            <v>Noto, H</v>
          </cell>
          <cell r="O2726" t="str">
            <v>Jl. Dewi Sartika No. 15</v>
          </cell>
          <cell r="P2726" t="str">
            <v>Batu</v>
          </cell>
          <cell r="Q2726" t="str">
            <v>Jl. Dewi Sartika No. 15</v>
          </cell>
          <cell r="R2726" t="str">
            <v>Batu</v>
          </cell>
          <cell r="S2726" t="str">
            <v>F Utara1</v>
          </cell>
          <cell r="T2726" t="str">
            <v>Tomi</v>
          </cell>
          <cell r="U2726">
            <v>45</v>
          </cell>
        </row>
        <row r="2727">
          <cell r="E2727" t="str">
            <v>Z25002275</v>
          </cell>
          <cell r="F2727"/>
          <cell r="G2727">
            <v>1000000000</v>
          </cell>
          <cell r="H2727" t="str">
            <v>Reni</v>
          </cell>
          <cell r="I2727" t="str">
            <v>Farida</v>
          </cell>
          <cell r="J2727"/>
          <cell r="K2727" t="str">
            <v>KU</v>
          </cell>
          <cell r="L2727" t="str">
            <v>GANG01</v>
          </cell>
          <cell r="M2727" t="str">
            <v>Gangsar Tani/Noto, H</v>
          </cell>
          <cell r="N2727" t="str">
            <v>Noto, H</v>
          </cell>
          <cell r="O2727" t="str">
            <v>Jl. Dewi Sartika No. 15</v>
          </cell>
          <cell r="P2727" t="str">
            <v>Batu</v>
          </cell>
          <cell r="Q2727" t="str">
            <v>Jl. Dewi Sartika No. 15</v>
          </cell>
          <cell r="R2727" t="str">
            <v>Batu</v>
          </cell>
          <cell r="S2727" t="str">
            <v>F Utara1</v>
          </cell>
          <cell r="T2727" t="str">
            <v>Tomi</v>
          </cell>
          <cell r="U2727">
            <v>45</v>
          </cell>
        </row>
        <row r="2728">
          <cell r="E2728" t="str">
            <v>Z25002699</v>
          </cell>
          <cell r="F2728"/>
          <cell r="G2728">
            <v>1000000000</v>
          </cell>
          <cell r="H2728" t="str">
            <v>Reni</v>
          </cell>
          <cell r="I2728" t="str">
            <v>Farida</v>
          </cell>
          <cell r="J2728"/>
          <cell r="K2728" t="str">
            <v>KU</v>
          </cell>
          <cell r="L2728" t="str">
            <v>GANG01</v>
          </cell>
          <cell r="M2728" t="str">
            <v>Gangsar Tani/Noto, H</v>
          </cell>
          <cell r="N2728" t="str">
            <v>Noto, H</v>
          </cell>
          <cell r="O2728" t="str">
            <v>Jl. Dewi Sartika No. 15</v>
          </cell>
          <cell r="P2728" t="str">
            <v>Batu</v>
          </cell>
          <cell r="Q2728" t="str">
            <v>Jl. Dewi Sartika No. 15</v>
          </cell>
          <cell r="R2728" t="str">
            <v>Batu</v>
          </cell>
          <cell r="S2728" t="str">
            <v>F Utara1</v>
          </cell>
          <cell r="T2728" t="str">
            <v>Tomi</v>
          </cell>
          <cell r="U2728">
            <v>45</v>
          </cell>
        </row>
        <row r="2729">
          <cell r="E2729" t="str">
            <v>Z25002700</v>
          </cell>
          <cell r="F2729"/>
          <cell r="G2729">
            <v>1000000000</v>
          </cell>
          <cell r="H2729" t="str">
            <v>Reni</v>
          </cell>
          <cell r="I2729" t="str">
            <v>Farida</v>
          </cell>
          <cell r="J2729"/>
          <cell r="K2729" t="str">
            <v>KU</v>
          </cell>
          <cell r="L2729" t="str">
            <v>GANG01</v>
          </cell>
          <cell r="M2729" t="str">
            <v>Gangsar Tani/Noto, H</v>
          </cell>
          <cell r="N2729" t="str">
            <v>Noto, H</v>
          </cell>
          <cell r="O2729" t="str">
            <v>Jl. Dewi Sartika No. 15</v>
          </cell>
          <cell r="P2729" t="str">
            <v>Batu</v>
          </cell>
          <cell r="Q2729" t="str">
            <v>Jl. Dewi Sartika No. 15</v>
          </cell>
          <cell r="R2729" t="str">
            <v>Batu</v>
          </cell>
          <cell r="S2729" t="str">
            <v>F Utara1</v>
          </cell>
          <cell r="T2729" t="str">
            <v>Tomi</v>
          </cell>
          <cell r="U2729">
            <v>60</v>
          </cell>
        </row>
        <row r="2730">
          <cell r="E2730" t="str">
            <v>Z25002703</v>
          </cell>
          <cell r="F2730"/>
          <cell r="G2730">
            <v>1000000000</v>
          </cell>
          <cell r="H2730" t="str">
            <v>Reni</v>
          </cell>
          <cell r="I2730" t="str">
            <v>Farida</v>
          </cell>
          <cell r="J2730"/>
          <cell r="K2730" t="str">
            <v>KU</v>
          </cell>
          <cell r="L2730" t="str">
            <v>GANG01</v>
          </cell>
          <cell r="M2730" t="str">
            <v>Gangsar Tani/Noto, H</v>
          </cell>
          <cell r="N2730" t="str">
            <v>Noto, H</v>
          </cell>
          <cell r="O2730" t="str">
            <v>Jl. Dewi Sartika No. 15</v>
          </cell>
          <cell r="P2730" t="str">
            <v>Batu</v>
          </cell>
          <cell r="Q2730" t="str">
            <v>Jl. Dewi Sartika No. 15</v>
          </cell>
          <cell r="R2730" t="str">
            <v>Batu</v>
          </cell>
          <cell r="S2730" t="str">
            <v>F Utara1</v>
          </cell>
          <cell r="T2730" t="str">
            <v>Tomi</v>
          </cell>
          <cell r="U2730">
            <v>60</v>
          </cell>
        </row>
        <row r="2731">
          <cell r="E2731" t="str">
            <v>D25016148</v>
          </cell>
          <cell r="F2731"/>
          <cell r="G2731">
            <v>20000000</v>
          </cell>
          <cell r="H2731" t="str">
            <v>Zakia</v>
          </cell>
          <cell r="I2731" t="str">
            <v>Tiya</v>
          </cell>
          <cell r="J2731" t="str">
            <v>New 07/04/20</v>
          </cell>
          <cell r="K2731" t="str">
            <v>KU</v>
          </cell>
          <cell r="L2731" t="str">
            <v>GANG02</v>
          </cell>
          <cell r="M2731" t="str">
            <v>Gangsar Tani/Saiful</v>
          </cell>
          <cell r="N2731" t="str">
            <v>Saiful Anam</v>
          </cell>
          <cell r="O2731" t="str">
            <v xml:space="preserve">Dusun. Kasim RT:004/RW:008, Kel. Plogo  Kec. Selopuro, Kab. Blitar </v>
          </cell>
          <cell r="P2731" t="str">
            <v>Blitar</v>
          </cell>
          <cell r="Q2731" t="str">
            <v xml:space="preserve">Dusun. Kasim RT:004/RW:008, Kel. Plogo  Kec. Selopuro, Kab. Blitar </v>
          </cell>
          <cell r="R2731" t="str">
            <v>Blitar</v>
          </cell>
          <cell r="S2731" t="str">
            <v>D Barat1</v>
          </cell>
          <cell r="T2731" t="str">
            <v>Tomi</v>
          </cell>
          <cell r="U2731">
            <v>0</v>
          </cell>
        </row>
        <row r="2732">
          <cell r="E2732" t="str">
            <v>D25015326</v>
          </cell>
          <cell r="F2732"/>
          <cell r="G2732">
            <v>1000</v>
          </cell>
          <cell r="H2732" t="str">
            <v>Ariyani</v>
          </cell>
          <cell r="I2732" t="str">
            <v>Fira</v>
          </cell>
          <cell r="J2732" t="str">
            <v>New 09/09/24</v>
          </cell>
          <cell r="K2732" t="str">
            <v>CBD</v>
          </cell>
          <cell r="L2732" t="str">
            <v>GARD02</v>
          </cell>
          <cell r="M2732" t="str">
            <v>Garda Tani Indonesia, PT</v>
          </cell>
          <cell r="N2732" t="str">
            <v>Garda Tani Indonesia, PT</v>
          </cell>
          <cell r="O2732" t="str">
            <v>Jl. Tidar No. 226, Tembok Dukuh, Bubutan</v>
          </cell>
          <cell r="P2732" t="str">
            <v>Surabaya</v>
          </cell>
          <cell r="Q2732" t="str">
            <v xml:space="preserve"> Jl. Tidar No. 226, Tembok Dukuh, Bubutan </v>
          </cell>
          <cell r="R2732" t="str">
            <v>Surabaya</v>
          </cell>
          <cell r="S2732" t="str">
            <v>F Utara1</v>
          </cell>
          <cell r="T2732" t="str">
            <v>Tomi</v>
          </cell>
          <cell r="U2732">
            <v>0</v>
          </cell>
        </row>
        <row r="2733">
          <cell r="E2733" t="str">
            <v>D25015327</v>
          </cell>
          <cell r="F2733"/>
          <cell r="G2733">
            <v>1000</v>
          </cell>
          <cell r="H2733" t="str">
            <v>Ariyani</v>
          </cell>
          <cell r="I2733" t="str">
            <v>Fira</v>
          </cell>
          <cell r="J2733" t="str">
            <v>New 09/09/24</v>
          </cell>
          <cell r="K2733" t="str">
            <v>CBD</v>
          </cell>
          <cell r="L2733" t="str">
            <v>GARD02</v>
          </cell>
          <cell r="M2733" t="str">
            <v>Garda Tani Indonesia, PT</v>
          </cell>
          <cell r="N2733" t="str">
            <v>Garda Tani Indonesia, PT</v>
          </cell>
          <cell r="O2733" t="str">
            <v>Jl. Tidar No. 226, Tembok Dukuh, Bubutan</v>
          </cell>
          <cell r="P2733" t="str">
            <v>Surabaya</v>
          </cell>
          <cell r="Q2733" t="str">
            <v xml:space="preserve"> Jl. Tidar No. 226, Tembok Dukuh, Bubutan </v>
          </cell>
          <cell r="R2733" t="str">
            <v>Surabaya</v>
          </cell>
          <cell r="S2733" t="str">
            <v>F Utara1</v>
          </cell>
          <cell r="T2733" t="str">
            <v>Tomi</v>
          </cell>
          <cell r="U2733">
            <v>0</v>
          </cell>
        </row>
        <row r="2734">
          <cell r="E2734" t="str">
            <v>B25013951</v>
          </cell>
          <cell r="F2734"/>
          <cell r="G2734">
            <v>1000</v>
          </cell>
          <cell r="H2734" t="str">
            <v>Ariyani</v>
          </cell>
          <cell r="I2734" t="str">
            <v>Fira</v>
          </cell>
          <cell r="J2734" t="str">
            <v>New 09/09/24</v>
          </cell>
          <cell r="K2734" t="str">
            <v>CBD</v>
          </cell>
          <cell r="L2734" t="str">
            <v>GARD02</v>
          </cell>
          <cell r="M2734" t="str">
            <v>Garda Tani Indonesia, PT</v>
          </cell>
          <cell r="N2734" t="str">
            <v>Garda Tani Indonesia, PT</v>
          </cell>
          <cell r="O2734" t="str">
            <v>Jl. Tidar No. 226, Tembok Dukuh, Bubutan</v>
          </cell>
          <cell r="P2734" t="str">
            <v>Surabaya</v>
          </cell>
          <cell r="Q2734" t="str">
            <v xml:space="preserve"> Jl. Tidar No. 226, Tembok Dukuh, Bubutan </v>
          </cell>
          <cell r="R2734" t="str">
            <v>Surabaya</v>
          </cell>
          <cell r="S2734" t="str">
            <v>F Utara1</v>
          </cell>
          <cell r="T2734" t="str">
            <v>Tomi</v>
          </cell>
          <cell r="U2734">
            <v>0</v>
          </cell>
        </row>
        <row r="2735">
          <cell r="E2735" t="str">
            <v>B25013959</v>
          </cell>
          <cell r="F2735"/>
          <cell r="G2735">
            <v>1000</v>
          </cell>
          <cell r="H2735" t="str">
            <v>Ariyani</v>
          </cell>
          <cell r="I2735" t="str">
            <v>Fira</v>
          </cell>
          <cell r="J2735" t="str">
            <v>New 09/09/24</v>
          </cell>
          <cell r="K2735" t="str">
            <v>CBD</v>
          </cell>
          <cell r="L2735" t="str">
            <v>GARD02</v>
          </cell>
          <cell r="M2735" t="str">
            <v>Garda Tani Indonesia, PT</v>
          </cell>
          <cell r="N2735" t="str">
            <v>Garda Tani Indonesia, PT</v>
          </cell>
          <cell r="O2735" t="str">
            <v>Jl. Tidar No. 226, Tembok Dukuh, Bubutan</v>
          </cell>
          <cell r="P2735" t="str">
            <v>Surabaya</v>
          </cell>
          <cell r="Q2735" t="str">
            <v xml:space="preserve"> Jl. Tidar No. 226, Tembok Dukuh, Bubutan </v>
          </cell>
          <cell r="R2735" t="str">
            <v>Surabaya</v>
          </cell>
          <cell r="S2735" t="str">
            <v>F Utara1</v>
          </cell>
          <cell r="T2735" t="str">
            <v>Tomi</v>
          </cell>
          <cell r="U2735">
            <v>0</v>
          </cell>
        </row>
        <row r="2736">
          <cell r="E2736" t="str">
            <v>Z25002694</v>
          </cell>
          <cell r="F2736"/>
          <cell r="G2736">
            <v>1000</v>
          </cell>
          <cell r="H2736" t="str">
            <v>Reni</v>
          </cell>
          <cell r="I2736" t="str">
            <v>Farida</v>
          </cell>
          <cell r="J2736"/>
          <cell r="K2736" t="str">
            <v>COD</v>
          </cell>
          <cell r="L2736" t="str">
            <v>GASA01</v>
          </cell>
          <cell r="M2736" t="str">
            <v>Gasar Tani/Warno</v>
          </cell>
          <cell r="N2736" t="str">
            <v>Kholid Mawardi</v>
          </cell>
          <cell r="O2736" t="str">
            <v>DR. Wahidin SHD IA RT.001/RW.005, Des. Kebomas, Kec. Kebomas</v>
          </cell>
          <cell r="P2736" t="str">
            <v>Ngawi</v>
          </cell>
          <cell r="Q2736" t="str">
            <v>Kedunggalar - Durenan</v>
          </cell>
          <cell r="R2736" t="str">
            <v>Ngawi</v>
          </cell>
          <cell r="S2736" t="str">
            <v>D Barat1</v>
          </cell>
          <cell r="T2736" t="str">
            <v>Dian</v>
          </cell>
          <cell r="U2736">
            <v>0</v>
          </cell>
        </row>
        <row r="2737">
          <cell r="E2737" t="str">
            <v>D25014855</v>
          </cell>
          <cell r="F2737"/>
          <cell r="G2737">
            <v>1000</v>
          </cell>
          <cell r="H2737" t="str">
            <v>Hendra</v>
          </cell>
          <cell r="I2737" t="str">
            <v>Tiya</v>
          </cell>
          <cell r="J2737" t="str">
            <v>New 08/07/25</v>
          </cell>
          <cell r="K2737" t="str">
            <v>CBD</v>
          </cell>
          <cell r="L2737" t="str">
            <v>GEMA03</v>
          </cell>
          <cell r="M2737" t="str">
            <v>Gemar Tani</v>
          </cell>
          <cell r="N2737" t="str">
            <v>Rahman. S.Pt</v>
          </cell>
          <cell r="O2737" t="str">
            <v>Kadek II RT.000/RW.000 , Kel. Segala Anyar Kec. Pujut</v>
          </cell>
          <cell r="P2737" t="str">
            <v>Lombok Tengah</v>
          </cell>
          <cell r="Q2737" t="str">
            <v>Kadek II RT.000/RW.000 , Kel. Segala Anyar Kec. Pujut</v>
          </cell>
          <cell r="R2737" t="str">
            <v>Lombok Tengah</v>
          </cell>
          <cell r="S2737" t="str">
            <v>E Luar Pulau1</v>
          </cell>
          <cell r="T2737" t="str">
            <v>Muhlisin</v>
          </cell>
          <cell r="U2737">
            <v>15</v>
          </cell>
        </row>
        <row r="2738">
          <cell r="E2738" t="str">
            <v>D25013890</v>
          </cell>
          <cell r="F2738"/>
          <cell r="G2738">
            <v>75000000</v>
          </cell>
          <cell r="H2738" t="str">
            <v>Yuyun</v>
          </cell>
          <cell r="I2738" t="str">
            <v>Farida</v>
          </cell>
          <cell r="J2738"/>
          <cell r="K2738" t="str">
            <v>KU</v>
          </cell>
          <cell r="L2738" t="str">
            <v>GEMI01</v>
          </cell>
          <cell r="M2738" t="str">
            <v>Gemilang, Toko</v>
          </cell>
          <cell r="N2738" t="str">
            <v>Yunita Wijaya</v>
          </cell>
          <cell r="O2738" t="str">
            <v>Dsn. Krajan, RT.002/RW.001, Jenggawah</v>
          </cell>
          <cell r="P2738" t="str">
            <v>Jember</v>
          </cell>
          <cell r="Q2738" t="str">
            <v>Dsn. Krajan, RT.002/RW.001, Jenggawah</v>
          </cell>
          <cell r="R2738" t="str">
            <v>Jember</v>
          </cell>
          <cell r="S2738" t="str">
            <v>L Kota2</v>
          </cell>
          <cell r="T2738" t="str">
            <v>Wira</v>
          </cell>
          <cell r="U2738">
            <v>30</v>
          </cell>
        </row>
        <row r="2739">
          <cell r="E2739" t="str">
            <v>D25014381</v>
          </cell>
          <cell r="F2739"/>
          <cell r="G2739">
            <v>75000000</v>
          </cell>
          <cell r="H2739" t="str">
            <v>Yuyun</v>
          </cell>
          <cell r="I2739" t="str">
            <v>Farida</v>
          </cell>
          <cell r="J2739"/>
          <cell r="K2739" t="str">
            <v>KU</v>
          </cell>
          <cell r="L2739" t="str">
            <v>GEMI01</v>
          </cell>
          <cell r="M2739" t="str">
            <v>Gemilang, Toko</v>
          </cell>
          <cell r="N2739" t="str">
            <v>Yunita Wijaya</v>
          </cell>
          <cell r="O2739" t="str">
            <v>Dsn. Krajan, RT.002/RW.001, Jenggawah</v>
          </cell>
          <cell r="P2739" t="str">
            <v>Jember</v>
          </cell>
          <cell r="Q2739" t="str">
            <v>Dsn. Krajan, RT.002/RW.001, Jenggawah</v>
          </cell>
          <cell r="R2739" t="str">
            <v>Jember</v>
          </cell>
          <cell r="S2739" t="str">
            <v>L Kota2</v>
          </cell>
          <cell r="T2739" t="str">
            <v>Wira</v>
          </cell>
          <cell r="U2739">
            <v>30</v>
          </cell>
        </row>
        <row r="2740">
          <cell r="E2740" t="str">
            <v>D25015205</v>
          </cell>
          <cell r="F2740"/>
          <cell r="G2740">
            <v>75000000</v>
          </cell>
          <cell r="H2740" t="str">
            <v>Yuyun</v>
          </cell>
          <cell r="I2740" t="str">
            <v>Farida</v>
          </cell>
          <cell r="J2740"/>
          <cell r="K2740" t="str">
            <v>KU</v>
          </cell>
          <cell r="L2740" t="str">
            <v>GEMI01</v>
          </cell>
          <cell r="M2740" t="str">
            <v>Gemilang, Toko</v>
          </cell>
          <cell r="N2740" t="str">
            <v>Yunita Wijaya</v>
          </cell>
          <cell r="O2740" t="str">
            <v>Dsn. Krajan, RT.002/RW.001, Jenggawah</v>
          </cell>
          <cell r="P2740" t="str">
            <v>Jember</v>
          </cell>
          <cell r="Q2740" t="str">
            <v>Dsn. Krajan, RT.002/RW.001, Jenggawah</v>
          </cell>
          <cell r="R2740" t="str">
            <v>Jember</v>
          </cell>
          <cell r="S2740" t="str">
            <v>L Kota2</v>
          </cell>
          <cell r="T2740" t="str">
            <v>Wira</v>
          </cell>
          <cell r="U2740">
            <v>30</v>
          </cell>
        </row>
        <row r="2741">
          <cell r="E2741" t="str">
            <v>B25013194</v>
          </cell>
          <cell r="F2741"/>
          <cell r="G2741">
            <v>75000000</v>
          </cell>
          <cell r="H2741" t="str">
            <v>Yuyun</v>
          </cell>
          <cell r="I2741" t="str">
            <v>Farida</v>
          </cell>
          <cell r="J2741"/>
          <cell r="K2741" t="str">
            <v>KU</v>
          </cell>
          <cell r="L2741" t="str">
            <v>GEMI01</v>
          </cell>
          <cell r="M2741" t="str">
            <v>Gemilang, Toko</v>
          </cell>
          <cell r="N2741" t="str">
            <v>Yunita Wijaya</v>
          </cell>
          <cell r="O2741" t="str">
            <v>Dsn. Krajan, RT.002/RW.001, Jenggawah</v>
          </cell>
          <cell r="P2741" t="str">
            <v>Jember</v>
          </cell>
          <cell r="Q2741" t="str">
            <v>Dsn. Krajan, RT.002/RW.001, Jenggawah</v>
          </cell>
          <cell r="R2741" t="str">
            <v>Jember</v>
          </cell>
          <cell r="S2741" t="str">
            <v>L Kota2</v>
          </cell>
          <cell r="T2741" t="str">
            <v>Wira</v>
          </cell>
          <cell r="U2741">
            <v>30</v>
          </cell>
        </row>
        <row r="2742">
          <cell r="E2742" t="str">
            <v>B25013549</v>
          </cell>
          <cell r="F2742"/>
          <cell r="G2742">
            <v>75000000</v>
          </cell>
          <cell r="H2742" t="str">
            <v>Yuyun</v>
          </cell>
          <cell r="I2742" t="str">
            <v>Farida</v>
          </cell>
          <cell r="J2742"/>
          <cell r="K2742" t="str">
            <v>KU</v>
          </cell>
          <cell r="L2742" t="str">
            <v>GEMI01</v>
          </cell>
          <cell r="M2742" t="str">
            <v>Gemilang, Toko</v>
          </cell>
          <cell r="N2742" t="str">
            <v>Yunita Wijaya</v>
          </cell>
          <cell r="O2742" t="str">
            <v>Dsn. Krajan, RT.002/RW.001, Jenggawah</v>
          </cell>
          <cell r="P2742" t="str">
            <v>Jember</v>
          </cell>
          <cell r="Q2742" t="str">
            <v>Dsn. Krajan, RT.002/RW.001, Jenggawah</v>
          </cell>
          <cell r="R2742" t="str">
            <v>Jember</v>
          </cell>
          <cell r="S2742" t="str">
            <v>L Kota2</v>
          </cell>
          <cell r="T2742" t="str">
            <v>Wira</v>
          </cell>
          <cell r="U2742">
            <v>30</v>
          </cell>
        </row>
        <row r="2743">
          <cell r="E2743" t="str">
            <v>B25013579</v>
          </cell>
          <cell r="F2743"/>
          <cell r="G2743">
            <v>75000000</v>
          </cell>
          <cell r="H2743" t="str">
            <v>Yuyun</v>
          </cell>
          <cell r="I2743" t="str">
            <v>Farida</v>
          </cell>
          <cell r="J2743"/>
          <cell r="K2743" t="str">
            <v>KU</v>
          </cell>
          <cell r="L2743" t="str">
            <v>GEMI01</v>
          </cell>
          <cell r="M2743" t="str">
            <v>Gemilang, Toko</v>
          </cell>
          <cell r="N2743" t="str">
            <v>Yunita Wijaya</v>
          </cell>
          <cell r="O2743" t="str">
            <v>Dsn. Krajan, RT.002/RW.001, Jenggawah</v>
          </cell>
          <cell r="P2743" t="str">
            <v>Jember</v>
          </cell>
          <cell r="Q2743" t="str">
            <v>Dsn. Krajan, RT.002/RW.001, Jenggawah</v>
          </cell>
          <cell r="R2743" t="str">
            <v>Jember</v>
          </cell>
          <cell r="S2743" t="str">
            <v>L Kota2</v>
          </cell>
          <cell r="T2743" t="str">
            <v>Wira</v>
          </cell>
          <cell r="U2743">
            <v>30</v>
          </cell>
        </row>
        <row r="2744">
          <cell r="E2744" t="str">
            <v>B25013768</v>
          </cell>
          <cell r="F2744"/>
          <cell r="G2744">
            <v>75000000</v>
          </cell>
          <cell r="H2744" t="str">
            <v>Yuyun</v>
          </cell>
          <cell r="I2744" t="str">
            <v>Farida</v>
          </cell>
          <cell r="J2744"/>
          <cell r="K2744" t="str">
            <v>KU</v>
          </cell>
          <cell r="L2744" t="str">
            <v>GEMI01</v>
          </cell>
          <cell r="M2744" t="str">
            <v>Gemilang, Toko</v>
          </cell>
          <cell r="N2744" t="str">
            <v>Yunita Wijaya</v>
          </cell>
          <cell r="O2744" t="str">
            <v>Dsn. Krajan, RT.002/RW.001, Jenggawah</v>
          </cell>
          <cell r="P2744" t="str">
            <v>Jember</v>
          </cell>
          <cell r="Q2744" t="str">
            <v>Dsn. Krajan, RT.002/RW.001, Jenggawah</v>
          </cell>
          <cell r="R2744" t="str">
            <v>Jember</v>
          </cell>
          <cell r="S2744" t="str">
            <v>L Kota2</v>
          </cell>
          <cell r="T2744" t="str">
            <v>Wira</v>
          </cell>
          <cell r="U2744">
            <v>30</v>
          </cell>
        </row>
        <row r="2745">
          <cell r="E2745" t="str">
            <v>B25011128</v>
          </cell>
          <cell r="F2745"/>
          <cell r="G2745">
            <v>10000000</v>
          </cell>
          <cell r="H2745" t="str">
            <v>Yuyun</v>
          </cell>
          <cell r="I2745" t="str">
            <v>Farida</v>
          </cell>
          <cell r="J2745" t="str">
            <v>New 28/08/24</v>
          </cell>
          <cell r="K2745" t="str">
            <v>KU</v>
          </cell>
          <cell r="L2745" t="str">
            <v>GHAN01</v>
          </cell>
          <cell r="M2745" t="str">
            <v>Ghanesa Tani/Erviana</v>
          </cell>
          <cell r="N2745" t="str">
            <v>Erviana</v>
          </cell>
          <cell r="O2745" t="str">
            <v>Dusun Sulakdoro RT.005/RW.006, Kel. Lojejer, Kec. Wuluhan</v>
          </cell>
          <cell r="P2745" t="str">
            <v>Jember</v>
          </cell>
          <cell r="Q2745" t="str">
            <v>Dusun Sulakdoro RT.005/RW.006, Kel. Lojejer, Kec. Wuluhan</v>
          </cell>
          <cell r="R2745" t="str">
            <v>Jember</v>
          </cell>
          <cell r="S2745" t="str">
            <v>L Kota2</v>
          </cell>
          <cell r="T2745" t="str">
            <v>Efendi</v>
          </cell>
          <cell r="U2745">
            <v>30</v>
          </cell>
        </row>
        <row r="2746">
          <cell r="E2746" t="str">
            <v>B25011128</v>
          </cell>
          <cell r="F2746"/>
          <cell r="G2746">
            <v>10000000</v>
          </cell>
          <cell r="H2746" t="str">
            <v>Yuyun</v>
          </cell>
          <cell r="I2746" t="str">
            <v>Farida</v>
          </cell>
          <cell r="J2746" t="str">
            <v>New 28/08/24</v>
          </cell>
          <cell r="K2746" t="str">
            <v>KU</v>
          </cell>
          <cell r="L2746" t="str">
            <v>GHAN01</v>
          </cell>
          <cell r="M2746" t="str">
            <v>Ghanesa Tani/Erviana</v>
          </cell>
          <cell r="N2746" t="str">
            <v>Erviana</v>
          </cell>
          <cell r="O2746" t="str">
            <v>Dusun Sulakdoro RT.005/RW.006, Kel. Lojejer, Kec. Wuluhan</v>
          </cell>
          <cell r="P2746" t="str">
            <v>Jember</v>
          </cell>
          <cell r="Q2746" t="str">
            <v>Dusun Sulakdoro RT.005/RW.006, Kel. Lojejer, Kec. Wuluhan</v>
          </cell>
          <cell r="R2746" t="str">
            <v>Jember</v>
          </cell>
          <cell r="S2746" t="str">
            <v>L Kota2</v>
          </cell>
          <cell r="T2746" t="str">
            <v>Efendi</v>
          </cell>
          <cell r="U2746">
            <v>30</v>
          </cell>
        </row>
        <row r="2747">
          <cell r="E2747" t="str">
            <v>B25013242</v>
          </cell>
          <cell r="F2747"/>
          <cell r="G2747">
            <v>10000000</v>
          </cell>
          <cell r="H2747" t="str">
            <v>Yuyun</v>
          </cell>
          <cell r="I2747" t="str">
            <v>Farida</v>
          </cell>
          <cell r="J2747" t="str">
            <v>New 28/08/24</v>
          </cell>
          <cell r="K2747" t="str">
            <v>KU</v>
          </cell>
          <cell r="L2747" t="str">
            <v>GHAN01</v>
          </cell>
          <cell r="M2747" t="str">
            <v>Ghanesa Tani/Erviana</v>
          </cell>
          <cell r="N2747" t="str">
            <v>Erviana</v>
          </cell>
          <cell r="O2747" t="str">
            <v>Dusun Sulakdoro RT.005/RW.006, Kel. Lojejer, Kec. Wuluhan</v>
          </cell>
          <cell r="P2747" t="str">
            <v>Jember</v>
          </cell>
          <cell r="Q2747" t="str">
            <v>Dusun Sulakdoro RT.005/RW.006, Kel. Lojejer, Kec. Wuluhan</v>
          </cell>
          <cell r="R2747" t="str">
            <v>Jember</v>
          </cell>
          <cell r="S2747" t="str">
            <v>L Kota2</v>
          </cell>
          <cell r="T2747" t="str">
            <v>Efendi</v>
          </cell>
          <cell r="U2747">
            <v>30</v>
          </cell>
        </row>
        <row r="2748">
          <cell r="E2748" t="str">
            <v>B25013243</v>
          </cell>
          <cell r="F2748"/>
          <cell r="G2748">
            <v>10000000</v>
          </cell>
          <cell r="H2748" t="str">
            <v>Yuyun</v>
          </cell>
          <cell r="I2748" t="str">
            <v>Farida</v>
          </cell>
          <cell r="J2748" t="str">
            <v>New 28/08/24</v>
          </cell>
          <cell r="K2748" t="str">
            <v>KU</v>
          </cell>
          <cell r="L2748" t="str">
            <v>GHAN01</v>
          </cell>
          <cell r="M2748" t="str">
            <v>Ghanesa Tani/Erviana</v>
          </cell>
          <cell r="N2748" t="str">
            <v>Erviana</v>
          </cell>
          <cell r="O2748" t="str">
            <v>Dusun Sulakdoro RT.005/RW.006, Kel. Lojejer, Kec. Wuluhan</v>
          </cell>
          <cell r="P2748" t="str">
            <v>Jember</v>
          </cell>
          <cell r="Q2748" t="str">
            <v>Dusun Sulakdoro RT.005/RW.006, Kel. Lojejer, Kec. Wuluhan</v>
          </cell>
          <cell r="R2748" t="str">
            <v>Jember</v>
          </cell>
          <cell r="S2748" t="str">
            <v>L Kota2</v>
          </cell>
          <cell r="T2748" t="str">
            <v>Efendi</v>
          </cell>
          <cell r="U2748">
            <v>0</v>
          </cell>
        </row>
        <row r="2749">
          <cell r="E2749" t="str">
            <v>B25008314</v>
          </cell>
          <cell r="F2749"/>
          <cell r="G2749">
            <v>3500000000</v>
          </cell>
          <cell r="H2749" t="str">
            <v>Hendra</v>
          </cell>
          <cell r="I2749" t="str">
            <v>Tiya</v>
          </cell>
          <cell r="J2749" t="str">
            <v>New 02/09/24</v>
          </cell>
          <cell r="K2749" t="str">
            <v>KU</v>
          </cell>
          <cell r="L2749" t="str">
            <v>GILA02</v>
          </cell>
          <cell r="M2749" t="str">
            <v>Gilang Perkasa Utama, PT</v>
          </cell>
          <cell r="N2749" t="str">
            <v>Gilang Perkasa Utama, PT</v>
          </cell>
          <cell r="O2749" t="str">
            <v>Komplek Pergudangan Sukarami Jl Gubernur H Muhammad Ali Amin Blok G.1, Alang-Alang Lebar, Alang-Alang Lebar</v>
          </cell>
          <cell r="P2749" t="str">
            <v>Palembang - Sumsel</v>
          </cell>
          <cell r="Q2749" t="str">
            <v>Komplek Pergudangan Sukarami Jl Gubernur H Muhammad Ali Amin Blok G.1, Alang-Alang Lebar, Alang-Alang Lebar</v>
          </cell>
          <cell r="R2749" t="str">
            <v>Palembang - Sumsel</v>
          </cell>
          <cell r="S2749" t="str">
            <v>E Luar Pulau1</v>
          </cell>
          <cell r="T2749" t="str">
            <v>Non SE &amp; JSE</v>
          </cell>
          <cell r="U2749">
            <v>90</v>
          </cell>
        </row>
        <row r="2750">
          <cell r="E2750" t="str">
            <v>D25010169</v>
          </cell>
          <cell r="F2750"/>
          <cell r="G2750">
            <v>3500000000</v>
          </cell>
          <cell r="H2750" t="str">
            <v>Hendra</v>
          </cell>
          <cell r="I2750" t="str">
            <v>Tiya</v>
          </cell>
          <cell r="J2750" t="str">
            <v>New 02/09/24</v>
          </cell>
          <cell r="K2750" t="str">
            <v>KU</v>
          </cell>
          <cell r="L2750" t="str">
            <v>GILA02</v>
          </cell>
          <cell r="M2750" t="str">
            <v>Gilang Perkasa Utama, PT</v>
          </cell>
          <cell r="N2750" t="str">
            <v>Gilang Perkasa Utama, PT</v>
          </cell>
          <cell r="O2750" t="str">
            <v>Komplek Pergudangan Sukarami Jl Gubernur H Muhammad Ali Amin Blok G.1, Alang-Alang Lebar, Alang-Alang Lebar</v>
          </cell>
          <cell r="P2750" t="str">
            <v>Palembang - Sumsel</v>
          </cell>
          <cell r="Q2750" t="str">
            <v>Komplek Pergudangan Sukarami Jl Gubernur H Muhammad Ali Amin Blok G.1, Alang-Alang Lebar, Alang-Alang Lebar</v>
          </cell>
          <cell r="R2750" t="str">
            <v>Palembang - Sumsel</v>
          </cell>
          <cell r="S2750" t="str">
            <v>E Luar Pulau1</v>
          </cell>
          <cell r="T2750" t="str">
            <v>Non SE &amp; JSE</v>
          </cell>
          <cell r="U2750">
            <v>90</v>
          </cell>
        </row>
        <row r="2751">
          <cell r="E2751" t="str">
            <v>B25009125</v>
          </cell>
          <cell r="F2751"/>
          <cell r="G2751">
            <v>3500000000</v>
          </cell>
          <cell r="H2751" t="str">
            <v>Hendra</v>
          </cell>
          <cell r="I2751" t="str">
            <v>Tiya</v>
          </cell>
          <cell r="J2751" t="str">
            <v>New 02/09/24</v>
          </cell>
          <cell r="K2751" t="str">
            <v>KU</v>
          </cell>
          <cell r="L2751" t="str">
            <v>GILA02</v>
          </cell>
          <cell r="M2751" t="str">
            <v>Gilang Perkasa Utama, PT</v>
          </cell>
          <cell r="N2751" t="str">
            <v>Gilang Perkasa Utama, PT</v>
          </cell>
          <cell r="O2751" t="str">
            <v>Komplek Pergudangan Sukarami Jl Gubernur H Muhammad Ali Amin Blok G.1, Alang-Alang Lebar, Alang-Alang Lebar</v>
          </cell>
          <cell r="P2751" t="str">
            <v>Palembang - Sumsel</v>
          </cell>
          <cell r="Q2751" t="str">
            <v>Komplek Pergudangan Sukarami Jl Gubernur H Muhammad Ali Amin Blok G.1, Alang-Alang Lebar, Alang-Alang Lebar</v>
          </cell>
          <cell r="R2751" t="str">
            <v>Palembang - Sumsel</v>
          </cell>
          <cell r="S2751" t="str">
            <v>E Luar Pulau1</v>
          </cell>
          <cell r="T2751" t="str">
            <v>Non SE &amp; JSE</v>
          </cell>
          <cell r="U2751">
            <v>90</v>
          </cell>
        </row>
        <row r="2752">
          <cell r="E2752" t="str">
            <v>B25009444</v>
          </cell>
          <cell r="F2752"/>
          <cell r="G2752">
            <v>3500000000</v>
          </cell>
          <cell r="H2752" t="str">
            <v>Hendra</v>
          </cell>
          <cell r="I2752" t="str">
            <v>Tiya</v>
          </cell>
          <cell r="J2752" t="str">
            <v>New 02/09/24</v>
          </cell>
          <cell r="K2752" t="str">
            <v>KU</v>
          </cell>
          <cell r="L2752" t="str">
            <v>GILA02</v>
          </cell>
          <cell r="M2752" t="str">
            <v>Gilang Perkasa Utama, PT</v>
          </cell>
          <cell r="N2752" t="str">
            <v>Gilang Perkasa Utama, PT</v>
          </cell>
          <cell r="O2752" t="str">
            <v>Komplek Pergudangan Sukarami Jl Gubernur H Muhammad Ali Amin Blok G.1, Alang-Alang Lebar, Alang-Alang Lebar</v>
          </cell>
          <cell r="P2752" t="str">
            <v>Palembang - Sumsel</v>
          </cell>
          <cell r="Q2752" t="str">
            <v>Komplek Pergudangan Sukarami Jl Gubernur H Muhammad Ali Amin Blok G.1, Alang-Alang Lebar, Alang-Alang Lebar</v>
          </cell>
          <cell r="R2752" t="str">
            <v>Palembang - Sumsel</v>
          </cell>
          <cell r="S2752" t="str">
            <v>E Luar Pulau1</v>
          </cell>
          <cell r="T2752" t="str">
            <v>Non SE &amp; JSE</v>
          </cell>
          <cell r="U2752">
            <v>60</v>
          </cell>
        </row>
        <row r="2753">
          <cell r="E2753" t="str">
            <v>B25009444</v>
          </cell>
          <cell r="F2753"/>
          <cell r="G2753">
            <v>3500000000</v>
          </cell>
          <cell r="H2753" t="str">
            <v>Hendra</v>
          </cell>
          <cell r="I2753" t="str">
            <v>Tiya</v>
          </cell>
          <cell r="J2753" t="str">
            <v>New 02/09/24</v>
          </cell>
          <cell r="K2753" t="str">
            <v>KU</v>
          </cell>
          <cell r="L2753" t="str">
            <v>GILA02</v>
          </cell>
          <cell r="M2753" t="str">
            <v>Gilang Perkasa Utama, PT</v>
          </cell>
          <cell r="N2753" t="str">
            <v>Gilang Perkasa Utama, PT</v>
          </cell>
          <cell r="O2753" t="str">
            <v>Komplek Pergudangan Sukarami Jl Gubernur H Muhammad Ali Amin Blok G.1, Alang-Alang Lebar, Alang-Alang Lebar</v>
          </cell>
          <cell r="P2753" t="str">
            <v>Palembang - Sumsel</v>
          </cell>
          <cell r="Q2753" t="str">
            <v>Komplek Pergudangan Sukarami Jl Gubernur H Muhammad Ali Amin Blok G.1, Alang-Alang Lebar, Alang-Alang Lebar</v>
          </cell>
          <cell r="R2753" t="str">
            <v>Palembang - Sumsel</v>
          </cell>
          <cell r="S2753" t="str">
            <v>E Luar Pulau1</v>
          </cell>
          <cell r="T2753" t="str">
            <v>Non SE &amp; JSE</v>
          </cell>
          <cell r="U2753">
            <v>60</v>
          </cell>
        </row>
        <row r="2754">
          <cell r="E2754" t="str">
            <v>B25009493</v>
          </cell>
          <cell r="F2754"/>
          <cell r="G2754">
            <v>3500000000</v>
          </cell>
          <cell r="H2754" t="str">
            <v>Hendra</v>
          </cell>
          <cell r="I2754" t="str">
            <v>Tiya</v>
          </cell>
          <cell r="J2754" t="str">
            <v>New 02/09/24</v>
          </cell>
          <cell r="K2754" t="str">
            <v>KU</v>
          </cell>
          <cell r="L2754" t="str">
            <v>GILA02</v>
          </cell>
          <cell r="M2754" t="str">
            <v>Gilang Perkasa Utama, PT</v>
          </cell>
          <cell r="N2754" t="str">
            <v>Gilang Perkasa Utama, PT</v>
          </cell>
          <cell r="O2754" t="str">
            <v>Komplek Pergudangan Sukarami Jl Gubernur H Muhammad Ali Amin Blok G.1, Alang-Alang Lebar, Alang-Alang Lebar</v>
          </cell>
          <cell r="P2754" t="str">
            <v>Palembang - Sumsel</v>
          </cell>
          <cell r="Q2754" t="str">
            <v>Komplek Pergudangan Sukarami Jl Gubernur H Muhammad Ali Amin Blok G.1, Alang-Alang Lebar, Alang-Alang Lebar</v>
          </cell>
          <cell r="R2754" t="str">
            <v>Palembang - Sumsel</v>
          </cell>
          <cell r="S2754" t="str">
            <v>E Luar Pulau1</v>
          </cell>
          <cell r="T2754" t="str">
            <v>Non SE &amp; JSE</v>
          </cell>
          <cell r="U2754">
            <v>60</v>
          </cell>
        </row>
        <row r="2755">
          <cell r="E2755" t="str">
            <v>B25009493</v>
          </cell>
          <cell r="F2755"/>
          <cell r="G2755">
            <v>3500000000</v>
          </cell>
          <cell r="H2755" t="str">
            <v>Hendra</v>
          </cell>
          <cell r="I2755" t="str">
            <v>Tiya</v>
          </cell>
          <cell r="J2755" t="str">
            <v>New 02/09/24</v>
          </cell>
          <cell r="K2755" t="str">
            <v>KU</v>
          </cell>
          <cell r="L2755" t="str">
            <v>GILA02</v>
          </cell>
          <cell r="M2755" t="str">
            <v>Gilang Perkasa Utama, PT</v>
          </cell>
          <cell r="N2755" t="str">
            <v>Gilang Perkasa Utama, PT</v>
          </cell>
          <cell r="O2755" t="str">
            <v>Komplek Pergudangan Sukarami Jl Gubernur H Muhammad Ali Amin Blok G.1, Alang-Alang Lebar, Alang-Alang Lebar</v>
          </cell>
          <cell r="P2755" t="str">
            <v>Palembang - Sumsel</v>
          </cell>
          <cell r="Q2755" t="str">
            <v>Komplek Pergudangan Sukarami Jl Gubernur H Muhammad Ali Amin Blok G.1, Alang-Alang Lebar, Alang-Alang Lebar</v>
          </cell>
          <cell r="R2755" t="str">
            <v>Palembang - Sumsel</v>
          </cell>
          <cell r="S2755" t="str">
            <v>E Luar Pulau1</v>
          </cell>
          <cell r="T2755" t="str">
            <v>Non SE &amp; JSE</v>
          </cell>
          <cell r="U2755">
            <v>60</v>
          </cell>
        </row>
        <row r="2756">
          <cell r="E2756" t="str">
            <v>D25015494</v>
          </cell>
          <cell r="F2756"/>
          <cell r="G2756">
            <v>500000000</v>
          </cell>
          <cell r="H2756" t="str">
            <v>Zakia</v>
          </cell>
          <cell r="I2756" t="str">
            <v>Tiya</v>
          </cell>
          <cell r="J2756"/>
          <cell r="K2756" t="str">
            <v>KU</v>
          </cell>
          <cell r="L2756" t="str">
            <v>GIRI01</v>
          </cell>
          <cell r="M2756" t="str">
            <v>Giri Putri, UD</v>
          </cell>
          <cell r="N2756" t="str">
            <v>I Made Arya Wira Martha</v>
          </cell>
          <cell r="O2756" t="str">
            <v>JL. Abimanyu, Guwang Sukawati, Gianyar</v>
          </cell>
          <cell r="P2756" t="str">
            <v>Bali</v>
          </cell>
          <cell r="Q2756" t="str">
            <v>Jl. Maruti Br. Dangin Jalan Guwang Sukawati, Gianyar</v>
          </cell>
          <cell r="R2756" t="str">
            <v>Bali</v>
          </cell>
          <cell r="S2756" t="str">
            <v>S Bali3</v>
          </cell>
          <cell r="T2756" t="str">
            <v>Wira</v>
          </cell>
          <cell r="U2756">
            <v>30</v>
          </cell>
        </row>
        <row r="2757">
          <cell r="E2757" t="str">
            <v>T25001533K</v>
          </cell>
          <cell r="F2757"/>
          <cell r="G2757">
            <v>20000000</v>
          </cell>
          <cell r="H2757" t="str">
            <v>Zakia</v>
          </cell>
          <cell r="I2757" t="str">
            <v>Tiya</v>
          </cell>
          <cell r="J2757" t="str">
            <v>New 12/08/23</v>
          </cell>
          <cell r="K2757" t="str">
            <v>KU</v>
          </cell>
          <cell r="L2757" t="str">
            <v>GOTA01</v>
          </cell>
          <cell r="M2757" t="str">
            <v>Gota, Toko/Pujiono</v>
          </cell>
          <cell r="N2757" t="str">
            <v>Pujiono</v>
          </cell>
          <cell r="O2757" t="str">
            <v>Dsn. Tegalrejo RT.013/RW.003,Kel. Kebonrejo, Kec. Kepung</v>
          </cell>
          <cell r="P2757" t="str">
            <v>Kediri</v>
          </cell>
          <cell r="Q2757" t="str">
            <v>Dsn. Mulyorejo, Kampung Baru RT.018/RW.006, Kec. Kepung</v>
          </cell>
          <cell r="R2757" t="str">
            <v>Kediri</v>
          </cell>
          <cell r="S2757" t="str">
            <v>D Barat1</v>
          </cell>
          <cell r="T2757" t="str">
            <v>Tomi</v>
          </cell>
          <cell r="U2757">
            <v>120</v>
          </cell>
        </row>
        <row r="2758">
          <cell r="E2758" t="str">
            <v>B25014072</v>
          </cell>
          <cell r="F2758"/>
          <cell r="G2758">
            <v>20000000</v>
          </cell>
          <cell r="H2758" t="str">
            <v>Zakia</v>
          </cell>
          <cell r="I2758" t="str">
            <v>Tiya</v>
          </cell>
          <cell r="J2758" t="str">
            <v>New 12/08/23</v>
          </cell>
          <cell r="K2758" t="str">
            <v>KU</v>
          </cell>
          <cell r="L2758" t="str">
            <v>GOTA01</v>
          </cell>
          <cell r="M2758" t="str">
            <v>Gota, Toko/Pujiono</v>
          </cell>
          <cell r="N2758" t="str">
            <v>Pujiono</v>
          </cell>
          <cell r="O2758" t="str">
            <v>Dsn. Tegalrejo RT.013/RW.003,Kel. Kebonrejo, Kec. Kepung</v>
          </cell>
          <cell r="P2758" t="str">
            <v>Kediri</v>
          </cell>
          <cell r="Q2758" t="str">
            <v>Dsn. Mulyorejo, Kampung Baru RT.018/RW.006, Kec. Kepung</v>
          </cell>
          <cell r="R2758" t="str">
            <v>Kediri</v>
          </cell>
          <cell r="S2758" t="str">
            <v>D Barat1</v>
          </cell>
          <cell r="T2758" t="str">
            <v>Tomi</v>
          </cell>
          <cell r="U2758">
            <v>0</v>
          </cell>
        </row>
        <row r="2759">
          <cell r="E2759" t="str">
            <v>T25001617</v>
          </cell>
          <cell r="F2759"/>
          <cell r="G2759">
            <v>20000000</v>
          </cell>
          <cell r="H2759" t="str">
            <v>Zakia</v>
          </cell>
          <cell r="I2759" t="str">
            <v>Tiya</v>
          </cell>
          <cell r="J2759" t="str">
            <v>New 12/08/23</v>
          </cell>
          <cell r="K2759" t="str">
            <v>KU</v>
          </cell>
          <cell r="L2759" t="str">
            <v>GOTA01</v>
          </cell>
          <cell r="M2759" t="str">
            <v>Gota, Toko/Pujiono</v>
          </cell>
          <cell r="N2759" t="str">
            <v>Pujiono</v>
          </cell>
          <cell r="O2759" t="str">
            <v>Dsn. Tegalrejo RT.013/RW.003,Kel. Kebonrejo, Kec. Kepung</v>
          </cell>
          <cell r="P2759" t="str">
            <v>Kediri</v>
          </cell>
          <cell r="Q2759" t="str">
            <v>Dsn. Mulyorejo, Kampung Baru RT.018/RW.006, Kec. Kepung</v>
          </cell>
          <cell r="R2759" t="str">
            <v>Kediri</v>
          </cell>
          <cell r="S2759" t="str">
            <v>D Barat1</v>
          </cell>
          <cell r="T2759" t="str">
            <v>Tomi</v>
          </cell>
          <cell r="U2759">
            <v>30</v>
          </cell>
        </row>
        <row r="2760">
          <cell r="E2760" t="str">
            <v>D25010282</v>
          </cell>
          <cell r="F2760"/>
          <cell r="G2760">
            <v>6000000000</v>
          </cell>
          <cell r="H2760" t="str">
            <v>Hendra</v>
          </cell>
          <cell r="I2760" t="str">
            <v>Tiya</v>
          </cell>
          <cell r="J2760" t="str">
            <v>New 06/05/20</v>
          </cell>
          <cell r="K2760" t="str">
            <v>BG</v>
          </cell>
          <cell r="L2760" t="str">
            <v>GRAH03</v>
          </cell>
          <cell r="M2760" t="str">
            <v>Graha Agro Makmur, PT/Darwin</v>
          </cell>
          <cell r="N2760" t="str">
            <v>Graha Agro Makmur, PT</v>
          </cell>
          <cell r="O2760" t="str">
            <v>Jl. Irian Barat Pasar VI No 219, Kel. Percut Kec. Percut Sei Tuan</v>
          </cell>
          <cell r="P2760" t="str">
            <v>Deli Serdang - Sumut</v>
          </cell>
          <cell r="Q2760" t="str">
            <v>Jl. Irian Barat Pasar VI No 219, Kel. Percut Kec. Percut Sei Tuan</v>
          </cell>
          <cell r="R2760" t="str">
            <v>Deli Serdang - Sumut</v>
          </cell>
          <cell r="S2760" t="str">
            <v>E Luar Pulau1</v>
          </cell>
          <cell r="T2760" t="str">
            <v>Non SE &amp; JSE</v>
          </cell>
          <cell r="U2760">
            <v>60</v>
          </cell>
        </row>
        <row r="2761">
          <cell r="E2761" t="str">
            <v>D25010283</v>
          </cell>
          <cell r="F2761"/>
          <cell r="G2761">
            <v>6000000000</v>
          </cell>
          <cell r="H2761" t="str">
            <v>Hendra</v>
          </cell>
          <cell r="I2761" t="str">
            <v>Tiya</v>
          </cell>
          <cell r="J2761" t="str">
            <v>New 06/05/20</v>
          </cell>
          <cell r="K2761" t="str">
            <v>BG</v>
          </cell>
          <cell r="L2761" t="str">
            <v>GRAH03</v>
          </cell>
          <cell r="M2761" t="str">
            <v>Graha Agro Makmur, PT/Darwin</v>
          </cell>
          <cell r="N2761" t="str">
            <v>Graha Agro Makmur, PT</v>
          </cell>
          <cell r="O2761" t="str">
            <v>Jl. Irian Barat Pasar VI No 219, Kel. Percut Kec. Percut Sei Tuan</v>
          </cell>
          <cell r="P2761" t="str">
            <v>Deli Serdang - Sumut</v>
          </cell>
          <cell r="Q2761" t="str">
            <v>Jl. Irian Barat Pasar VI No 219, Kel. Percut Kec. Percut Sei Tuan</v>
          </cell>
          <cell r="R2761" t="str">
            <v>Deli Serdang - Sumut</v>
          </cell>
          <cell r="S2761" t="str">
            <v>E Luar Pulau1</v>
          </cell>
          <cell r="T2761" t="str">
            <v>Non SE &amp; JSE</v>
          </cell>
          <cell r="U2761">
            <v>60</v>
          </cell>
        </row>
        <row r="2762">
          <cell r="E2762" t="str">
            <v>D25010284</v>
          </cell>
          <cell r="F2762"/>
          <cell r="G2762">
            <v>6000000000</v>
          </cell>
          <cell r="H2762" t="str">
            <v>Hendra</v>
          </cell>
          <cell r="I2762" t="str">
            <v>Tiya</v>
          </cell>
          <cell r="J2762" t="str">
            <v>New 06/05/20</v>
          </cell>
          <cell r="K2762" t="str">
            <v>BG</v>
          </cell>
          <cell r="L2762" t="str">
            <v>GRAH03</v>
          </cell>
          <cell r="M2762" t="str">
            <v>Graha Agro Makmur, PT/Darwin</v>
          </cell>
          <cell r="N2762" t="str">
            <v>Graha Agro Makmur, PT</v>
          </cell>
          <cell r="O2762" t="str">
            <v>Jl. Irian Barat Pasar VI No 219, Kel. Percut Kec. Percut Sei Tuan</v>
          </cell>
          <cell r="P2762" t="str">
            <v>Deli Serdang - Sumut</v>
          </cell>
          <cell r="Q2762" t="str">
            <v>Jl. Irian Barat Pasar VI No 219, Kel. Percut Kec. Percut Sei Tuan</v>
          </cell>
          <cell r="R2762" t="str">
            <v>Deli Serdang - Sumut</v>
          </cell>
          <cell r="S2762" t="str">
            <v>E Luar Pulau1</v>
          </cell>
          <cell r="T2762" t="str">
            <v>Non SE &amp; JSE</v>
          </cell>
          <cell r="U2762">
            <v>60</v>
          </cell>
        </row>
        <row r="2763">
          <cell r="E2763" t="str">
            <v>D25010285</v>
          </cell>
          <cell r="F2763"/>
          <cell r="G2763">
            <v>6000000000</v>
          </cell>
          <cell r="H2763" t="str">
            <v>Hendra</v>
          </cell>
          <cell r="I2763" t="str">
            <v>Tiya</v>
          </cell>
          <cell r="J2763" t="str">
            <v>New 06/05/20</v>
          </cell>
          <cell r="K2763" t="str">
            <v>BG</v>
          </cell>
          <cell r="L2763" t="str">
            <v>GRAH03</v>
          </cell>
          <cell r="M2763" t="str">
            <v>Graha Agro Makmur, PT/Darwin</v>
          </cell>
          <cell r="N2763" t="str">
            <v>Graha Agro Makmur, PT</v>
          </cell>
          <cell r="O2763" t="str">
            <v>Jl. Irian Barat Pasar VI No 219, Kel. Percut Kec. Percut Sei Tuan</v>
          </cell>
          <cell r="P2763" t="str">
            <v>Deli Serdang - Sumut</v>
          </cell>
          <cell r="Q2763" t="str">
            <v>Jl. Irian Barat Pasar VI No 219, Kel. Percut Kec. Percut Sei Tuan</v>
          </cell>
          <cell r="R2763" t="str">
            <v>Deli Serdang - Sumut</v>
          </cell>
          <cell r="S2763" t="str">
            <v>E Luar Pulau1</v>
          </cell>
          <cell r="T2763" t="str">
            <v>Non SE &amp; JSE</v>
          </cell>
          <cell r="U2763">
            <v>60</v>
          </cell>
        </row>
        <row r="2764">
          <cell r="E2764" t="str">
            <v>D25010286</v>
          </cell>
          <cell r="F2764"/>
          <cell r="G2764">
            <v>6000000000</v>
          </cell>
          <cell r="H2764" t="str">
            <v>Hendra</v>
          </cell>
          <cell r="I2764" t="str">
            <v>Tiya</v>
          </cell>
          <cell r="J2764" t="str">
            <v>New 06/05/20</v>
          </cell>
          <cell r="K2764" t="str">
            <v>BG</v>
          </cell>
          <cell r="L2764" t="str">
            <v>GRAH03</v>
          </cell>
          <cell r="M2764" t="str">
            <v>Graha Agro Makmur, PT/Darwin</v>
          </cell>
          <cell r="N2764" t="str">
            <v>Graha Agro Makmur, PT</v>
          </cell>
          <cell r="O2764" t="str">
            <v>Jl. Irian Barat Pasar VI No 219, Kel. Percut Kec. Percut Sei Tuan</v>
          </cell>
          <cell r="P2764" t="str">
            <v>Deli Serdang - Sumut</v>
          </cell>
          <cell r="Q2764" t="str">
            <v>Jl. Irian Barat Pasar VI No 219, Kel. Percut Kec. Percut Sei Tuan</v>
          </cell>
          <cell r="R2764" t="str">
            <v>Deli Serdang - Sumut</v>
          </cell>
          <cell r="S2764" t="str">
            <v>E Luar Pulau1</v>
          </cell>
          <cell r="T2764" t="str">
            <v>Non SE &amp; JSE</v>
          </cell>
          <cell r="U2764">
            <v>60</v>
          </cell>
        </row>
        <row r="2765">
          <cell r="E2765" t="str">
            <v>D25010301</v>
          </cell>
          <cell r="F2765"/>
          <cell r="G2765">
            <v>6000000000</v>
          </cell>
          <cell r="H2765" t="str">
            <v>Hendra</v>
          </cell>
          <cell r="I2765" t="str">
            <v>Tiya</v>
          </cell>
          <cell r="J2765" t="str">
            <v>New 06/05/20</v>
          </cell>
          <cell r="K2765" t="str">
            <v>BG</v>
          </cell>
          <cell r="L2765" t="str">
            <v>GRAH03</v>
          </cell>
          <cell r="M2765" t="str">
            <v>Graha Agro Makmur, PT/Darwin</v>
          </cell>
          <cell r="N2765" t="str">
            <v>Graha Agro Makmur, PT</v>
          </cell>
          <cell r="O2765" t="str">
            <v>Jl. Irian Barat Pasar VI No 219, Kel. Percut Kec. Percut Sei Tuan</v>
          </cell>
          <cell r="P2765" t="str">
            <v>Deli Serdang - Sumut</v>
          </cell>
          <cell r="Q2765" t="str">
            <v>Jl. Irian Barat Pasar VI No 219, Kel. Percut Kec. Percut Sei Tuan</v>
          </cell>
          <cell r="R2765" t="str">
            <v>Deli Serdang - Sumut</v>
          </cell>
          <cell r="S2765" t="str">
            <v>E Luar Pulau1</v>
          </cell>
          <cell r="T2765" t="str">
            <v>Non SE &amp; JSE</v>
          </cell>
          <cell r="U2765">
            <v>60</v>
          </cell>
        </row>
        <row r="2766">
          <cell r="E2766" t="str">
            <v>D25013650</v>
          </cell>
          <cell r="F2766"/>
          <cell r="G2766">
            <v>6000000000</v>
          </cell>
          <cell r="H2766" t="str">
            <v>Hendra</v>
          </cell>
          <cell r="I2766" t="str">
            <v>Tiya</v>
          </cell>
          <cell r="J2766" t="str">
            <v>New 06/05/20</v>
          </cell>
          <cell r="K2766" t="str">
            <v>BG</v>
          </cell>
          <cell r="L2766" t="str">
            <v>GRAH03</v>
          </cell>
          <cell r="M2766" t="str">
            <v>Graha Agro Makmur, PT/Darwin</v>
          </cell>
          <cell r="N2766" t="str">
            <v>Graha Agro Makmur, PT</v>
          </cell>
          <cell r="O2766" t="str">
            <v>Jl. Irian Barat Pasar VI No 219, Kel. Percut Kec. Percut Sei Tuan</v>
          </cell>
          <cell r="P2766" t="str">
            <v>Deli Serdang - Sumut</v>
          </cell>
          <cell r="Q2766" t="str">
            <v>Jl. Irian Barat Pasar VI No 219, Kel. Percut Kec. Percut Sei Tuan</v>
          </cell>
          <cell r="R2766" t="str">
            <v>Deli Serdang - Sumut</v>
          </cell>
          <cell r="S2766" t="str">
            <v>E Luar Pulau1</v>
          </cell>
          <cell r="T2766" t="str">
            <v>Non SE &amp; JSE</v>
          </cell>
          <cell r="U2766">
            <v>60</v>
          </cell>
        </row>
        <row r="2767">
          <cell r="E2767" t="str">
            <v>D25013651</v>
          </cell>
          <cell r="F2767"/>
          <cell r="G2767">
            <v>6000000000</v>
          </cell>
          <cell r="H2767" t="str">
            <v>Hendra</v>
          </cell>
          <cell r="I2767" t="str">
            <v>Tiya</v>
          </cell>
          <cell r="J2767" t="str">
            <v>New 06/05/20</v>
          </cell>
          <cell r="K2767" t="str">
            <v>BG</v>
          </cell>
          <cell r="L2767" t="str">
            <v>GRAH03</v>
          </cell>
          <cell r="M2767" t="str">
            <v>Graha Agro Makmur, PT/Darwin</v>
          </cell>
          <cell r="N2767" t="str">
            <v>Graha Agro Makmur, PT</v>
          </cell>
          <cell r="O2767" t="str">
            <v>Jl. Irian Barat Pasar VI No 219, Kel. Percut Kec. Percut Sei Tuan</v>
          </cell>
          <cell r="P2767" t="str">
            <v>Deli Serdang - Sumut</v>
          </cell>
          <cell r="Q2767" t="str">
            <v>Jl. Irian Barat Pasar VI No 219, Kel. Percut Kec. Percut Sei Tuan</v>
          </cell>
          <cell r="R2767" t="str">
            <v>Deli Serdang - Sumut</v>
          </cell>
          <cell r="S2767" t="str">
            <v>E Luar Pulau1</v>
          </cell>
          <cell r="T2767" t="str">
            <v>Non SE &amp; JSE</v>
          </cell>
          <cell r="U2767">
            <v>60</v>
          </cell>
        </row>
        <row r="2768">
          <cell r="E2768" t="str">
            <v>D25013652</v>
          </cell>
          <cell r="F2768"/>
          <cell r="G2768">
            <v>6000000000</v>
          </cell>
          <cell r="H2768" t="str">
            <v>Hendra</v>
          </cell>
          <cell r="I2768" t="str">
            <v>Tiya</v>
          </cell>
          <cell r="J2768" t="str">
            <v>New 06/05/20</v>
          </cell>
          <cell r="K2768" t="str">
            <v>BG</v>
          </cell>
          <cell r="L2768" t="str">
            <v>GRAH03</v>
          </cell>
          <cell r="M2768" t="str">
            <v>Graha Agro Makmur, PT/Darwin</v>
          </cell>
          <cell r="N2768" t="str">
            <v>Graha Agro Makmur, PT</v>
          </cell>
          <cell r="O2768" t="str">
            <v>Jl. Irian Barat Pasar VI No 219, Kel. Percut Kec. Percut Sei Tuan</v>
          </cell>
          <cell r="P2768" t="str">
            <v>Deli Serdang - Sumut</v>
          </cell>
          <cell r="Q2768" t="str">
            <v>Jl. Irian Barat Pasar VI No 219, Kel. Percut Kec. Percut Sei Tuan</v>
          </cell>
          <cell r="R2768" t="str">
            <v>Deli Serdang - Sumut</v>
          </cell>
          <cell r="S2768" t="str">
            <v>E Luar Pulau1</v>
          </cell>
          <cell r="T2768" t="str">
            <v>Non SE &amp; JSE</v>
          </cell>
          <cell r="U2768">
            <v>60</v>
          </cell>
        </row>
        <row r="2769">
          <cell r="E2769" t="str">
            <v>D25013710</v>
          </cell>
          <cell r="F2769"/>
          <cell r="G2769">
            <v>6000000000</v>
          </cell>
          <cell r="H2769" t="str">
            <v>Hendra</v>
          </cell>
          <cell r="I2769" t="str">
            <v>Tiya</v>
          </cell>
          <cell r="J2769" t="str">
            <v>New 06/05/20</v>
          </cell>
          <cell r="K2769" t="str">
            <v>BG</v>
          </cell>
          <cell r="L2769" t="str">
            <v>GRAH03</v>
          </cell>
          <cell r="M2769" t="str">
            <v>Graha Agro Makmur, PT/Darwin</v>
          </cell>
          <cell r="N2769" t="str">
            <v>Graha Agro Makmur, PT</v>
          </cell>
          <cell r="O2769" t="str">
            <v>Jl. Irian Barat Pasar VI No 219, Kel. Percut Kec. Percut Sei Tuan</v>
          </cell>
          <cell r="P2769" t="str">
            <v>Deli Serdang - Sumut</v>
          </cell>
          <cell r="Q2769" t="str">
            <v>Jl. Irian Barat Pasar VI No 219, Kel. Percut Kec. Percut Sei Tuan</v>
          </cell>
          <cell r="R2769" t="str">
            <v>Deli Serdang - Sumut</v>
          </cell>
          <cell r="S2769" t="str">
            <v>E Luar Pulau1</v>
          </cell>
          <cell r="T2769" t="str">
            <v>Non SE &amp; JSE</v>
          </cell>
          <cell r="U2769">
            <v>60</v>
          </cell>
        </row>
        <row r="2770">
          <cell r="E2770" t="str">
            <v>B25012216</v>
          </cell>
          <cell r="F2770"/>
          <cell r="G2770">
            <v>6000000000</v>
          </cell>
          <cell r="H2770" t="str">
            <v>Hendra</v>
          </cell>
          <cell r="I2770" t="str">
            <v>Tiya</v>
          </cell>
          <cell r="J2770" t="str">
            <v>New 06/05/20</v>
          </cell>
          <cell r="K2770" t="str">
            <v>BG</v>
          </cell>
          <cell r="L2770" t="str">
            <v>GRAH03</v>
          </cell>
          <cell r="M2770" t="str">
            <v>Graha Agro Makmur, PT/Darwin</v>
          </cell>
          <cell r="N2770" t="str">
            <v>Graha Agro Makmur, PT</v>
          </cell>
          <cell r="O2770" t="str">
            <v>Jl. Irian Barat Pasar VI No 219, Kel. Percut Kec. Percut Sei Tuan</v>
          </cell>
          <cell r="P2770" t="str">
            <v>Deli Serdang - Sumut</v>
          </cell>
          <cell r="Q2770" t="str">
            <v>Jl. Irian Barat Pasar VI No 219, Kel. Percut Kec. Percut Sei Tuan</v>
          </cell>
          <cell r="R2770" t="str">
            <v>Deli Serdang - Sumut</v>
          </cell>
          <cell r="S2770" t="str">
            <v>E Luar Pulau1</v>
          </cell>
          <cell r="T2770" t="str">
            <v>Non SE &amp; JSE</v>
          </cell>
          <cell r="U2770">
            <v>60</v>
          </cell>
        </row>
        <row r="2771">
          <cell r="E2771" t="str">
            <v>B25012582</v>
          </cell>
          <cell r="F2771"/>
          <cell r="G2771">
            <v>6000000000</v>
          </cell>
          <cell r="H2771" t="str">
            <v>Hendra</v>
          </cell>
          <cell r="I2771" t="str">
            <v>Tiya</v>
          </cell>
          <cell r="J2771" t="str">
            <v>New 06/05/20</v>
          </cell>
          <cell r="K2771" t="str">
            <v>BG</v>
          </cell>
          <cell r="L2771" t="str">
            <v>GRAH03</v>
          </cell>
          <cell r="M2771" t="str">
            <v>Graha Agro Makmur, PT/Darwin</v>
          </cell>
          <cell r="N2771" t="str">
            <v>Graha Agro Makmur, PT</v>
          </cell>
          <cell r="O2771" t="str">
            <v>Jl. Irian Barat Pasar VI No 219, Kel. Percut Kec. Percut Sei Tuan</v>
          </cell>
          <cell r="P2771" t="str">
            <v>Deli Serdang - Sumut</v>
          </cell>
          <cell r="Q2771" t="str">
            <v>Jl. Irian Barat Pasar VI No 219, Kel. Percut Kec. Percut Sei Tuan</v>
          </cell>
          <cell r="R2771" t="str">
            <v>Deli Serdang - Sumut</v>
          </cell>
          <cell r="S2771" t="str">
            <v>E Luar Pulau1</v>
          </cell>
          <cell r="T2771" t="str">
            <v>Non SE &amp; JSE</v>
          </cell>
          <cell r="U2771">
            <v>60</v>
          </cell>
        </row>
        <row r="2772">
          <cell r="E2772" t="str">
            <v>B25012625</v>
          </cell>
          <cell r="F2772"/>
          <cell r="G2772">
            <v>6000000000</v>
          </cell>
          <cell r="H2772" t="str">
            <v>Hendra</v>
          </cell>
          <cell r="I2772" t="str">
            <v>Tiya</v>
          </cell>
          <cell r="J2772" t="str">
            <v>New 06/05/20</v>
          </cell>
          <cell r="K2772" t="str">
            <v>BG</v>
          </cell>
          <cell r="L2772" t="str">
            <v>GRAH03</v>
          </cell>
          <cell r="M2772" t="str">
            <v>Graha Agro Makmur, PT/Darwin</v>
          </cell>
          <cell r="N2772" t="str">
            <v>Graha Agro Makmur, PT</v>
          </cell>
          <cell r="O2772" t="str">
            <v>Jl. Irian Barat Pasar VI No 219, Kel. Percut Kec. Percut Sei Tuan</v>
          </cell>
          <cell r="P2772" t="str">
            <v>Deli Serdang - Sumut</v>
          </cell>
          <cell r="Q2772" t="str">
            <v>Jl. Irian Barat Pasar VI No 219, Kel. Percut Kec. Percut Sei Tuan</v>
          </cell>
          <cell r="R2772" t="str">
            <v>Deli Serdang - Sumut</v>
          </cell>
          <cell r="S2772" t="str">
            <v>E Luar Pulau1</v>
          </cell>
          <cell r="T2772" t="str">
            <v>Non SE &amp; JSE</v>
          </cell>
          <cell r="U2772">
            <v>60</v>
          </cell>
        </row>
        <row r="2773">
          <cell r="E2773" t="str">
            <v>D25015406</v>
          </cell>
          <cell r="F2773"/>
          <cell r="G2773">
            <v>6000000000</v>
          </cell>
          <cell r="H2773" t="str">
            <v>Hendra</v>
          </cell>
          <cell r="I2773" t="str">
            <v>Tiya</v>
          </cell>
          <cell r="J2773" t="str">
            <v>New 06/05/20</v>
          </cell>
          <cell r="K2773" t="str">
            <v>BG</v>
          </cell>
          <cell r="L2773" t="str">
            <v>GRAH03</v>
          </cell>
          <cell r="M2773" t="str">
            <v>Graha Agro Makmur, PT/Darwin</v>
          </cell>
          <cell r="N2773" t="str">
            <v>Graha Agro Makmur, PT</v>
          </cell>
          <cell r="O2773" t="str">
            <v>Jl. Irian Barat Pasar VI No 219, Kel. Percut Kec. Percut Sei Tuan</v>
          </cell>
          <cell r="P2773" t="str">
            <v>Deli Serdang - Sumut</v>
          </cell>
          <cell r="Q2773" t="str">
            <v>Jl. Irian Barat Pasar VI No 219, Kel. Percut Kec. Percut Sei Tuan</v>
          </cell>
          <cell r="R2773" t="str">
            <v>Deli Serdang - Sumut</v>
          </cell>
          <cell r="S2773" t="str">
            <v>E Luar Pulau1</v>
          </cell>
          <cell r="T2773" t="str">
            <v>Non SE &amp; JSE</v>
          </cell>
          <cell r="U2773">
            <v>60</v>
          </cell>
        </row>
        <row r="2774">
          <cell r="E2774" t="str">
            <v>D25015407</v>
          </cell>
          <cell r="F2774"/>
          <cell r="G2774">
            <v>6000000000</v>
          </cell>
          <cell r="H2774" t="str">
            <v>Hendra</v>
          </cell>
          <cell r="I2774" t="str">
            <v>Tiya</v>
          </cell>
          <cell r="J2774" t="str">
            <v>New 06/05/20</v>
          </cell>
          <cell r="K2774" t="str">
            <v>BG</v>
          </cell>
          <cell r="L2774" t="str">
            <v>GRAH03</v>
          </cell>
          <cell r="M2774" t="str">
            <v>Graha Agro Makmur, PT/Darwin</v>
          </cell>
          <cell r="N2774" t="str">
            <v>Graha Agro Makmur, PT</v>
          </cell>
          <cell r="O2774" t="str">
            <v>Jl. Irian Barat Pasar VI No 219, Kel. Percut Kec. Percut Sei Tuan</v>
          </cell>
          <cell r="P2774" t="str">
            <v>Deli Serdang - Sumut</v>
          </cell>
          <cell r="Q2774" t="str">
            <v>Jl. Irian Barat Pasar VI No 219, Kel. Percut Kec. Percut Sei Tuan</v>
          </cell>
          <cell r="R2774" t="str">
            <v>Deli Serdang - Sumut</v>
          </cell>
          <cell r="S2774" t="str">
            <v>E Luar Pulau1</v>
          </cell>
          <cell r="T2774" t="str">
            <v>Non SE &amp; JSE</v>
          </cell>
          <cell r="U2774">
            <v>60</v>
          </cell>
        </row>
        <row r="2775">
          <cell r="E2775" t="str">
            <v>D25015408</v>
          </cell>
          <cell r="F2775"/>
          <cell r="G2775">
            <v>6000000000</v>
          </cell>
          <cell r="H2775" t="str">
            <v>Hendra</v>
          </cell>
          <cell r="I2775" t="str">
            <v>Tiya</v>
          </cell>
          <cell r="J2775" t="str">
            <v>New 06/05/20</v>
          </cell>
          <cell r="K2775" t="str">
            <v>BG</v>
          </cell>
          <cell r="L2775" t="str">
            <v>GRAH03</v>
          </cell>
          <cell r="M2775" t="str">
            <v>Graha Agro Makmur, PT/Darwin</v>
          </cell>
          <cell r="N2775" t="str">
            <v>Graha Agro Makmur, PT</v>
          </cell>
          <cell r="O2775" t="str">
            <v>Jl. Irian Barat Pasar VI No 219, Kel. Percut Kec. Percut Sei Tuan</v>
          </cell>
          <cell r="P2775" t="str">
            <v>Deli Serdang - Sumut</v>
          </cell>
          <cell r="Q2775" t="str">
            <v>Jl. Irian Barat Pasar VI No 219, Kel. Percut Kec. Percut Sei Tuan</v>
          </cell>
          <cell r="R2775" t="str">
            <v>Deli Serdang - Sumut</v>
          </cell>
          <cell r="S2775" t="str">
            <v>E Luar Pulau1</v>
          </cell>
          <cell r="T2775" t="str">
            <v>Non SE &amp; JSE</v>
          </cell>
          <cell r="U2775">
            <v>60</v>
          </cell>
        </row>
        <row r="2776">
          <cell r="E2776" t="str">
            <v>B25013184</v>
          </cell>
          <cell r="F2776"/>
          <cell r="G2776">
            <v>6000000000</v>
          </cell>
          <cell r="H2776" t="str">
            <v>Hendra</v>
          </cell>
          <cell r="I2776" t="str">
            <v>Tiya</v>
          </cell>
          <cell r="J2776" t="str">
            <v>New 06/05/20</v>
          </cell>
          <cell r="K2776" t="str">
            <v>BG</v>
          </cell>
          <cell r="L2776" t="str">
            <v>GRAH03</v>
          </cell>
          <cell r="M2776" t="str">
            <v>Graha Agro Makmur, PT/Darwin</v>
          </cell>
          <cell r="N2776" t="str">
            <v>Graha Agro Makmur, PT</v>
          </cell>
          <cell r="O2776" t="str">
            <v>Jl. Irian Barat Pasar VI No 219, Kel. Percut Kec. Percut Sei Tuan</v>
          </cell>
          <cell r="P2776" t="str">
            <v>Deli Serdang - Sumut</v>
          </cell>
          <cell r="Q2776" t="str">
            <v>Jl. Irian Barat Pasar VI No 219, Kel. Percut Kec. Percut Sei Tuan</v>
          </cell>
          <cell r="R2776" t="str">
            <v>Deli Serdang - Sumut</v>
          </cell>
          <cell r="S2776" t="str">
            <v>E Luar Pulau1</v>
          </cell>
          <cell r="T2776" t="str">
            <v>Non SE &amp; JSE</v>
          </cell>
          <cell r="U2776">
            <v>60</v>
          </cell>
        </row>
        <row r="2777">
          <cell r="E2777" t="str">
            <v>D25015442</v>
          </cell>
          <cell r="F2777"/>
          <cell r="G2777">
            <v>6000000000</v>
          </cell>
          <cell r="H2777" t="str">
            <v>Hendra</v>
          </cell>
          <cell r="I2777" t="str">
            <v>Tiya</v>
          </cell>
          <cell r="J2777" t="str">
            <v>New 06/05/20</v>
          </cell>
          <cell r="K2777" t="str">
            <v>BG</v>
          </cell>
          <cell r="L2777" t="str">
            <v>GRAH03</v>
          </cell>
          <cell r="M2777" t="str">
            <v>Graha Agro Makmur, PT/Darwin</v>
          </cell>
          <cell r="N2777" t="str">
            <v>Graha Agro Makmur, PT</v>
          </cell>
          <cell r="O2777" t="str">
            <v>Jl. Irian Barat Pasar VI No 219, Kel. Percut Kec. Percut Sei Tuan</v>
          </cell>
          <cell r="P2777" t="str">
            <v>Deli Serdang - Sumut</v>
          </cell>
          <cell r="Q2777" t="str">
            <v>Jl. Irian Barat Pasar VI No 219, Kel. Percut Kec. Percut Sei Tuan</v>
          </cell>
          <cell r="R2777" t="str">
            <v>Deli Serdang - Sumut</v>
          </cell>
          <cell r="S2777" t="str">
            <v>E Luar Pulau1</v>
          </cell>
          <cell r="T2777" t="str">
            <v>Non SE &amp; JSE</v>
          </cell>
          <cell r="U2777">
            <v>60</v>
          </cell>
        </row>
        <row r="2778">
          <cell r="E2778" t="str">
            <v>B25013246</v>
          </cell>
          <cell r="F2778"/>
          <cell r="G2778">
            <v>6000000000</v>
          </cell>
          <cell r="H2778" t="str">
            <v>Hendra</v>
          </cell>
          <cell r="I2778" t="str">
            <v>Tiya</v>
          </cell>
          <cell r="J2778" t="str">
            <v>New 06/05/20</v>
          </cell>
          <cell r="K2778" t="str">
            <v>BG</v>
          </cell>
          <cell r="L2778" t="str">
            <v>GRAH03</v>
          </cell>
          <cell r="M2778" t="str">
            <v>Graha Agro Makmur, PT/Darwin</v>
          </cell>
          <cell r="N2778" t="str">
            <v>Graha Agro Makmur, PT</v>
          </cell>
          <cell r="O2778" t="str">
            <v>Jl. Irian Barat Pasar VI No 219, Kel. Percut Kec. Percut Sei Tuan</v>
          </cell>
          <cell r="P2778" t="str">
            <v>Deli Serdang - Sumut</v>
          </cell>
          <cell r="Q2778" t="str">
            <v>Jl. Irian Barat Pasar VI No 219, Kel. Percut Kec. Percut Sei Tuan</v>
          </cell>
          <cell r="R2778" t="str">
            <v>Deli Serdang - Sumut</v>
          </cell>
          <cell r="S2778" t="str">
            <v>E Luar Pulau1</v>
          </cell>
          <cell r="T2778" t="str">
            <v>Non SE &amp; JSE</v>
          </cell>
          <cell r="U2778">
            <v>60</v>
          </cell>
        </row>
        <row r="2779">
          <cell r="E2779" t="str">
            <v>D25015478</v>
          </cell>
          <cell r="F2779"/>
          <cell r="G2779">
            <v>6000000000</v>
          </cell>
          <cell r="H2779" t="str">
            <v>Hendra</v>
          </cell>
          <cell r="I2779" t="str">
            <v>Tiya</v>
          </cell>
          <cell r="J2779" t="str">
            <v>New 06/05/20</v>
          </cell>
          <cell r="K2779" t="str">
            <v>BG</v>
          </cell>
          <cell r="L2779" t="str">
            <v>GRAH03</v>
          </cell>
          <cell r="M2779" t="str">
            <v>Graha Agro Makmur, PT/Darwin</v>
          </cell>
          <cell r="N2779" t="str">
            <v>Graha Agro Makmur, PT</v>
          </cell>
          <cell r="O2779" t="str">
            <v>Jl. Irian Barat Pasar VI No 219, Kel. Percut Kec. Percut Sei Tuan</v>
          </cell>
          <cell r="P2779" t="str">
            <v>Deli Serdang - Sumut</v>
          </cell>
          <cell r="Q2779" t="str">
            <v>Jl. Irian Barat Pasar VI No 219, Kel. Percut Kec. Percut Sei Tuan</v>
          </cell>
          <cell r="R2779" t="str">
            <v>Deli Serdang - Sumut</v>
          </cell>
          <cell r="S2779" t="str">
            <v>E Luar Pulau1</v>
          </cell>
          <cell r="T2779" t="str">
            <v>Non SE &amp; JSE</v>
          </cell>
          <cell r="U2779">
            <v>60</v>
          </cell>
        </row>
        <row r="2780">
          <cell r="E2780" t="str">
            <v>D25013260</v>
          </cell>
          <cell r="F2780"/>
          <cell r="G2780">
            <v>20000000</v>
          </cell>
          <cell r="H2780" t="str">
            <v>Faris</v>
          </cell>
          <cell r="I2780" t="str">
            <v>Syahra</v>
          </cell>
          <cell r="J2780" t="str">
            <v>New 04/01/2025</v>
          </cell>
          <cell r="K2780" t="str">
            <v>CBD</v>
          </cell>
          <cell r="L2780" t="str">
            <v>GREE01</v>
          </cell>
          <cell r="M2780" t="str">
            <v>Green Tani</v>
          </cell>
          <cell r="N2780" t="str">
            <v>Ferik Junaidi</v>
          </cell>
          <cell r="O2780" t="str">
            <v>Maskuning Kulon RT.001/RW.001 , Kel. Maskuning Kulon, Kec. Pujer</v>
          </cell>
          <cell r="P2780" t="str">
            <v>Bondowoso</v>
          </cell>
          <cell r="Q2780" t="str">
            <v>Maskuning Kulon RT.001/RW.001 , Kel. Maskuning Kulon, Kec. Pujer</v>
          </cell>
          <cell r="R2780" t="str">
            <v>Bondowoso</v>
          </cell>
          <cell r="S2780" t="str">
            <v>N Bdw Stb</v>
          </cell>
          <cell r="T2780" t="str">
            <v>Wira</v>
          </cell>
          <cell r="U2780">
            <v>60</v>
          </cell>
        </row>
        <row r="2781">
          <cell r="E2781" t="str">
            <v>B25012755</v>
          </cell>
          <cell r="F2781"/>
          <cell r="G2781">
            <v>20000000</v>
          </cell>
          <cell r="H2781" t="str">
            <v>Faris</v>
          </cell>
          <cell r="I2781" t="str">
            <v>Syahra</v>
          </cell>
          <cell r="J2781" t="str">
            <v>New 04/01/2025</v>
          </cell>
          <cell r="K2781" t="str">
            <v>CBD</v>
          </cell>
          <cell r="L2781" t="str">
            <v>GREE01</v>
          </cell>
          <cell r="M2781" t="str">
            <v>Green Tani</v>
          </cell>
          <cell r="N2781" t="str">
            <v>Ferik Junaidi</v>
          </cell>
          <cell r="O2781" t="str">
            <v>Maskuning Kulon RT.001/RW.001 , Kel. Maskuning Kulon, Kec. Pujer</v>
          </cell>
          <cell r="P2781" t="str">
            <v>Bondowoso</v>
          </cell>
          <cell r="Q2781" t="str">
            <v>Maskuning Kulon RT.001/RW.001 , Kel. Maskuning Kulon, Kec. Pujer</v>
          </cell>
          <cell r="R2781" t="str">
            <v>Bondowoso</v>
          </cell>
          <cell r="S2781" t="str">
            <v>N Bdw Stb</v>
          </cell>
          <cell r="T2781" t="str">
            <v>Wira</v>
          </cell>
          <cell r="U2781">
            <v>60</v>
          </cell>
        </row>
        <row r="2782">
          <cell r="E2782" t="str">
            <v>B25012756</v>
          </cell>
          <cell r="F2782"/>
          <cell r="G2782">
            <v>20000000</v>
          </cell>
          <cell r="H2782" t="str">
            <v>Faris</v>
          </cell>
          <cell r="I2782" t="str">
            <v>Syahra</v>
          </cell>
          <cell r="J2782" t="str">
            <v>New 04/01/2025</v>
          </cell>
          <cell r="K2782" t="str">
            <v>CBD</v>
          </cell>
          <cell r="L2782" t="str">
            <v>GREE01</v>
          </cell>
          <cell r="M2782" t="str">
            <v>Green Tani</v>
          </cell>
          <cell r="N2782" t="str">
            <v>Ferik Junaidi</v>
          </cell>
          <cell r="O2782" t="str">
            <v>Maskuning Kulon RT.001/RW.001 , Kel. Maskuning Kulon, Kec. Pujer</v>
          </cell>
          <cell r="P2782" t="str">
            <v>Bondowoso</v>
          </cell>
          <cell r="Q2782" t="str">
            <v>Maskuning Kulon RT.001/RW.001 , Kel. Maskuning Kulon, Kec. Pujer</v>
          </cell>
          <cell r="R2782" t="str">
            <v>Bondowoso</v>
          </cell>
          <cell r="S2782" t="str">
            <v>N Bdw Stb</v>
          </cell>
          <cell r="T2782" t="str">
            <v>Wira</v>
          </cell>
          <cell r="U2782">
            <v>0</v>
          </cell>
        </row>
        <row r="2783">
          <cell r="E2783" t="str">
            <v>D25015098</v>
          </cell>
          <cell r="F2783"/>
          <cell r="G2783">
            <v>20000000</v>
          </cell>
          <cell r="H2783" t="str">
            <v>Faris</v>
          </cell>
          <cell r="I2783" t="str">
            <v>Syahra</v>
          </cell>
          <cell r="J2783" t="str">
            <v>New 04/01/2025</v>
          </cell>
          <cell r="K2783" t="str">
            <v>CBD</v>
          </cell>
          <cell r="L2783" t="str">
            <v>GREE01</v>
          </cell>
          <cell r="M2783" t="str">
            <v>Green Tani</v>
          </cell>
          <cell r="N2783" t="str">
            <v>Ferik Junaidi</v>
          </cell>
          <cell r="O2783" t="str">
            <v>Maskuning Kulon RT.001/RW.001 , Kel. Maskuning Kulon, Kec. Pujer</v>
          </cell>
          <cell r="P2783" t="str">
            <v>Bondowoso</v>
          </cell>
          <cell r="Q2783" t="str">
            <v>Maskuning Kulon RT.001/RW.001 , Kel. Maskuning Kulon, Kec. Pujer</v>
          </cell>
          <cell r="R2783" t="str">
            <v>Bondowoso</v>
          </cell>
          <cell r="S2783" t="str">
            <v>N Bdw Stb</v>
          </cell>
          <cell r="T2783" t="str">
            <v>Wira</v>
          </cell>
          <cell r="U2783">
            <v>60</v>
          </cell>
        </row>
        <row r="2784">
          <cell r="E2784" t="str">
            <v>D25015385</v>
          </cell>
          <cell r="F2784"/>
          <cell r="G2784">
            <v>20000000</v>
          </cell>
          <cell r="H2784" t="str">
            <v>Faris</v>
          </cell>
          <cell r="I2784" t="str">
            <v>Syahra</v>
          </cell>
          <cell r="J2784" t="str">
            <v>New 04/01/2025</v>
          </cell>
          <cell r="K2784" t="str">
            <v>CBD</v>
          </cell>
          <cell r="L2784" t="str">
            <v>GREE01</v>
          </cell>
          <cell r="M2784" t="str">
            <v>Green Tani</v>
          </cell>
          <cell r="N2784" t="str">
            <v>Ferik Junaidi</v>
          </cell>
          <cell r="O2784" t="str">
            <v>Maskuning Kulon RT.001/RW.001 , Kel. Maskuning Kulon, Kec. Pujer</v>
          </cell>
          <cell r="P2784" t="str">
            <v>Bondowoso</v>
          </cell>
          <cell r="Q2784" t="str">
            <v>Maskuning Kulon RT.001/RW.001 , Kel. Maskuning Kulon, Kec. Pujer</v>
          </cell>
          <cell r="R2784" t="str">
            <v>Bondowoso</v>
          </cell>
          <cell r="S2784" t="str">
            <v>N Bdw Stb</v>
          </cell>
          <cell r="T2784" t="str">
            <v>Wira</v>
          </cell>
          <cell r="U2784">
            <v>0</v>
          </cell>
        </row>
        <row r="2785">
          <cell r="E2785" t="str">
            <v>D25015435</v>
          </cell>
          <cell r="F2785"/>
          <cell r="G2785">
            <v>20000000</v>
          </cell>
          <cell r="H2785" t="str">
            <v>Faris</v>
          </cell>
          <cell r="I2785" t="str">
            <v>Syahra</v>
          </cell>
          <cell r="J2785" t="str">
            <v>New 04/01/2025</v>
          </cell>
          <cell r="K2785" t="str">
            <v>CBD</v>
          </cell>
          <cell r="L2785" t="str">
            <v>GREE01</v>
          </cell>
          <cell r="M2785" t="str">
            <v>Green Tani</v>
          </cell>
          <cell r="N2785" t="str">
            <v>Ferik Junaidi</v>
          </cell>
          <cell r="O2785" t="str">
            <v>Maskuning Kulon RT.001/RW.001 , Kel. Maskuning Kulon, Kec. Pujer</v>
          </cell>
          <cell r="P2785" t="str">
            <v>Bondowoso</v>
          </cell>
          <cell r="Q2785" t="str">
            <v>Maskuning Kulon RT.001/RW.001 , Kel. Maskuning Kulon, Kec. Pujer</v>
          </cell>
          <cell r="R2785" t="str">
            <v>Bondowoso</v>
          </cell>
          <cell r="S2785" t="str">
            <v>N Bdw Stb</v>
          </cell>
          <cell r="T2785" t="str">
            <v>Wira</v>
          </cell>
          <cell r="U2785">
            <v>0</v>
          </cell>
        </row>
        <row r="2786">
          <cell r="E2786" t="str">
            <v>T25001556K</v>
          </cell>
          <cell r="F2786"/>
          <cell r="G2786">
            <v>20000000</v>
          </cell>
          <cell r="H2786" t="str">
            <v>Faris</v>
          </cell>
          <cell r="I2786" t="str">
            <v>Syahra</v>
          </cell>
          <cell r="J2786" t="str">
            <v>New 04/01/2025</v>
          </cell>
          <cell r="K2786" t="str">
            <v>CBD</v>
          </cell>
          <cell r="L2786" t="str">
            <v>GREE01</v>
          </cell>
          <cell r="M2786" t="str">
            <v>Green Tani</v>
          </cell>
          <cell r="N2786" t="str">
            <v>Ferik Junaidi</v>
          </cell>
          <cell r="O2786" t="str">
            <v>Maskuning Kulon RT.001/RW.001 , Kel. Maskuning Kulon, Kec. Pujer</v>
          </cell>
          <cell r="P2786" t="str">
            <v>Bondowoso</v>
          </cell>
          <cell r="Q2786" t="str">
            <v>Maskuning Kulon RT.001/RW.001 , Kel. Maskuning Kulon, Kec. Pujer</v>
          </cell>
          <cell r="R2786" t="str">
            <v>Bondowoso</v>
          </cell>
          <cell r="S2786" t="str">
            <v>N Bdw Stb</v>
          </cell>
          <cell r="T2786" t="str">
            <v>Wira</v>
          </cell>
          <cell r="U2786">
            <v>120</v>
          </cell>
        </row>
        <row r="2787">
          <cell r="E2787" t="str">
            <v>T25001589</v>
          </cell>
          <cell r="F2787"/>
          <cell r="G2787">
            <v>20000000</v>
          </cell>
          <cell r="H2787" t="str">
            <v>Faris</v>
          </cell>
          <cell r="I2787" t="str">
            <v>Syahra</v>
          </cell>
          <cell r="J2787" t="str">
            <v>New 04/01/2025</v>
          </cell>
          <cell r="K2787" t="str">
            <v>CBD</v>
          </cell>
          <cell r="L2787" t="str">
            <v>GREE01</v>
          </cell>
          <cell r="M2787" t="str">
            <v>Green Tani</v>
          </cell>
          <cell r="N2787" t="str">
            <v>Ferik Junaidi</v>
          </cell>
          <cell r="O2787" t="str">
            <v>Maskuning Kulon RT.001/RW.001 , Kel. Maskuning Kulon, Kec. Pujer</v>
          </cell>
          <cell r="P2787" t="str">
            <v>Bondowoso</v>
          </cell>
          <cell r="Q2787" t="str">
            <v>Maskuning Kulon RT.001/RW.001 , Kel. Maskuning Kulon, Kec. Pujer</v>
          </cell>
          <cell r="R2787" t="str">
            <v>Bondowoso</v>
          </cell>
          <cell r="S2787" t="str">
            <v>N Bdw Stb</v>
          </cell>
          <cell r="T2787" t="str">
            <v>Wira</v>
          </cell>
          <cell r="U2787">
            <v>0</v>
          </cell>
        </row>
        <row r="2788">
          <cell r="E2788" t="str">
            <v>B25011315</v>
          </cell>
          <cell r="F2788"/>
          <cell r="G2788">
            <v>30000000</v>
          </cell>
          <cell r="H2788" t="str">
            <v>Zakia</v>
          </cell>
          <cell r="I2788" t="str">
            <v>Tiya</v>
          </cell>
          <cell r="J2788"/>
          <cell r="K2788" t="str">
            <v>Tunai</v>
          </cell>
          <cell r="L2788" t="str">
            <v>GRIA01</v>
          </cell>
          <cell r="M2788" t="str">
            <v>Gria Tani/Agus</v>
          </cell>
          <cell r="N2788" t="str">
            <v>Agus Amirudin</v>
          </cell>
          <cell r="O2788" t="str">
            <v>Kebonagung I, RT.003/RW.001 Kel. Kebunagung, Kec. Wonodadi</v>
          </cell>
          <cell r="P2788" t="str">
            <v>Blitar</v>
          </cell>
          <cell r="Q2788" t="str">
            <v>Ds. Kebonagung Wonodadi</v>
          </cell>
          <cell r="R2788" t="str">
            <v>Blitar</v>
          </cell>
          <cell r="S2788" t="str">
            <v>D Barat1</v>
          </cell>
          <cell r="T2788" t="str">
            <v>Tomi</v>
          </cell>
          <cell r="U2788">
            <v>30</v>
          </cell>
        </row>
        <row r="2789">
          <cell r="E2789" t="str">
            <v>D25015104</v>
          </cell>
          <cell r="F2789"/>
          <cell r="G2789">
            <v>10000000</v>
          </cell>
          <cell r="H2789" t="str">
            <v>Faris</v>
          </cell>
          <cell r="I2789" t="str">
            <v>Syahra</v>
          </cell>
          <cell r="J2789" t="str">
            <v>New 29/10/22</v>
          </cell>
          <cell r="K2789" t="str">
            <v>KU</v>
          </cell>
          <cell r="L2789" t="str">
            <v>GRIY02</v>
          </cell>
          <cell r="M2789" t="str">
            <v>Griya Putra Tani/Jainul</v>
          </cell>
          <cell r="N2789" t="str">
            <v>Jainul Mutakim</v>
          </cell>
          <cell r="O2789" t="str">
            <v>Sugihwaras RT.001/RW.003, Kel. Bumiharjo, Kec. Glenmore</v>
          </cell>
          <cell r="P2789" t="str">
            <v>Banyuwangi</v>
          </cell>
          <cell r="Q2789" t="str">
            <v>Sugihwaras RT.001/RW.003, Kel. Bumiharjo, Kec. Glenmore</v>
          </cell>
          <cell r="R2789" t="str">
            <v>Banyuwangi</v>
          </cell>
          <cell r="S2789" t="str">
            <v>H Bwi3</v>
          </cell>
          <cell r="T2789" t="str">
            <v>Hafid</v>
          </cell>
          <cell r="U2789">
            <v>30</v>
          </cell>
        </row>
        <row r="2790">
          <cell r="E2790" t="str">
            <v>B25013086</v>
          </cell>
          <cell r="F2790"/>
          <cell r="G2790">
            <v>10000000</v>
          </cell>
          <cell r="H2790" t="str">
            <v>Faris</v>
          </cell>
          <cell r="I2790" t="str">
            <v>Syahra</v>
          </cell>
          <cell r="J2790" t="str">
            <v>New 29/10/22</v>
          </cell>
          <cell r="K2790" t="str">
            <v>KU</v>
          </cell>
          <cell r="L2790" t="str">
            <v>GRIY02</v>
          </cell>
          <cell r="M2790" t="str">
            <v>Griya Putra Tani/Jainul</v>
          </cell>
          <cell r="N2790" t="str">
            <v>Jainul Mutakim</v>
          </cell>
          <cell r="O2790" t="str">
            <v>Sugihwaras RT.001/RW.003, Kel. Bumiharjo, Kec. Glenmore</v>
          </cell>
          <cell r="P2790" t="str">
            <v>Banyuwangi</v>
          </cell>
          <cell r="Q2790" t="str">
            <v>Sugihwaras RT.001/RW.003, Kel. Bumiharjo, Kec. Glenmore</v>
          </cell>
          <cell r="R2790" t="str">
            <v>Banyuwangi</v>
          </cell>
          <cell r="S2790" t="str">
            <v>H Bwi3</v>
          </cell>
          <cell r="T2790" t="str">
            <v>Hafid</v>
          </cell>
          <cell r="U2790">
            <v>30</v>
          </cell>
        </row>
        <row r="2791">
          <cell r="E2791" t="str">
            <v>B25013721</v>
          </cell>
          <cell r="F2791"/>
          <cell r="G2791">
            <v>10000000</v>
          </cell>
          <cell r="H2791" t="str">
            <v>Faris</v>
          </cell>
          <cell r="I2791" t="str">
            <v>Syahra</v>
          </cell>
          <cell r="J2791" t="str">
            <v>New 29/10/22</v>
          </cell>
          <cell r="K2791" t="str">
            <v>KU</v>
          </cell>
          <cell r="L2791" t="str">
            <v>GRIY02</v>
          </cell>
          <cell r="M2791" t="str">
            <v>Griya Putra Tani/Jainul</v>
          </cell>
          <cell r="N2791" t="str">
            <v>Jainul Mutakim</v>
          </cell>
          <cell r="O2791" t="str">
            <v>Sugihwaras RT.001/RW.003, Kel. Bumiharjo, Kec. Glenmore</v>
          </cell>
          <cell r="P2791" t="str">
            <v>Banyuwangi</v>
          </cell>
          <cell r="Q2791" t="str">
            <v>Sugihwaras RT.001/RW.003, Kel. Bumiharjo, Kec. Glenmore</v>
          </cell>
          <cell r="R2791" t="str">
            <v>Banyuwangi</v>
          </cell>
          <cell r="S2791" t="str">
            <v>H Bwi3</v>
          </cell>
          <cell r="T2791" t="str">
            <v>Hafid</v>
          </cell>
          <cell r="U2791">
            <v>30</v>
          </cell>
        </row>
        <row r="2792">
          <cell r="E2792" t="str">
            <v>B25009886</v>
          </cell>
          <cell r="F2792"/>
          <cell r="G2792">
            <v>25000000</v>
          </cell>
          <cell r="H2792" t="str">
            <v>Yuyun</v>
          </cell>
          <cell r="I2792" t="str">
            <v>Farida</v>
          </cell>
          <cell r="J2792" t="str">
            <v>New 26/09/22</v>
          </cell>
          <cell r="K2792" t="str">
            <v>KU</v>
          </cell>
          <cell r="L2792" t="str">
            <v>GRIY01</v>
          </cell>
          <cell r="M2792" t="str">
            <v>Griya Tani/Sri</v>
          </cell>
          <cell r="N2792" t="str">
            <v>Sri Wahyuni</v>
          </cell>
          <cell r="O2792" t="str">
            <v>Dusun Muneng RT.006/RW.016, Kel. Kraton Kec. Kencong</v>
          </cell>
          <cell r="P2792" t="str">
            <v>Jember</v>
          </cell>
          <cell r="Q2792" t="str">
            <v>Dusun Muneng RT.006/RW.016, Kel. Kraton Kec. Kencong</v>
          </cell>
          <cell r="R2792" t="str">
            <v>Jember</v>
          </cell>
          <cell r="S2792" t="str">
            <v>L Kota2</v>
          </cell>
          <cell r="T2792" t="str">
            <v>Wira</v>
          </cell>
          <cell r="U2792">
            <v>30</v>
          </cell>
        </row>
        <row r="2793">
          <cell r="E2793" t="str">
            <v>B25009892</v>
          </cell>
          <cell r="F2793"/>
          <cell r="G2793">
            <v>25000000</v>
          </cell>
          <cell r="H2793" t="str">
            <v>Yuyun</v>
          </cell>
          <cell r="I2793" t="str">
            <v>Farida</v>
          </cell>
          <cell r="J2793" t="str">
            <v>New 26/09/22</v>
          </cell>
          <cell r="K2793" t="str">
            <v>KU</v>
          </cell>
          <cell r="L2793" t="str">
            <v>GRIY01</v>
          </cell>
          <cell r="M2793" t="str">
            <v>Griya Tani/Sri</v>
          </cell>
          <cell r="N2793" t="str">
            <v>Sri Wahyuni</v>
          </cell>
          <cell r="O2793" t="str">
            <v>Dusun Muneng RT.006/RW.016, Kel. Kraton Kec. Kencong</v>
          </cell>
          <cell r="P2793" t="str">
            <v>Jember</v>
          </cell>
          <cell r="Q2793" t="str">
            <v>Dusun Muneng RT.006/RW.016, Kel. Kraton Kec. Kencong</v>
          </cell>
          <cell r="R2793" t="str">
            <v>Jember</v>
          </cell>
          <cell r="S2793" t="str">
            <v>L Kota2</v>
          </cell>
          <cell r="T2793" t="str">
            <v>Wira</v>
          </cell>
          <cell r="U2793">
            <v>30</v>
          </cell>
        </row>
        <row r="2794">
          <cell r="E2794" t="str">
            <v>D25012593</v>
          </cell>
          <cell r="F2794"/>
          <cell r="G2794">
            <v>25000000</v>
          </cell>
          <cell r="H2794" t="str">
            <v>Yuyun</v>
          </cell>
          <cell r="I2794" t="str">
            <v>Farida</v>
          </cell>
          <cell r="J2794" t="str">
            <v>New 26/09/22</v>
          </cell>
          <cell r="K2794" t="str">
            <v>KU</v>
          </cell>
          <cell r="L2794" t="str">
            <v>GRIY01</v>
          </cell>
          <cell r="M2794" t="str">
            <v>Griya Tani/Sri</v>
          </cell>
          <cell r="N2794" t="str">
            <v>Sri Wahyuni</v>
          </cell>
          <cell r="O2794" t="str">
            <v>Dusun Muneng RT.006/RW.016, Kel. Kraton Kec. Kencong</v>
          </cell>
          <cell r="P2794" t="str">
            <v>Jember</v>
          </cell>
          <cell r="Q2794" t="str">
            <v>Dusun Muneng RT.006/RW.016, Kel. Kraton Kec. Kencong</v>
          </cell>
          <cell r="R2794" t="str">
            <v>Jember</v>
          </cell>
          <cell r="S2794" t="str">
            <v>L Kota2</v>
          </cell>
          <cell r="T2794" t="str">
            <v>Wira</v>
          </cell>
          <cell r="U2794">
            <v>30</v>
          </cell>
        </row>
        <row r="2795">
          <cell r="E2795" t="str">
            <v>B25012493</v>
          </cell>
          <cell r="F2795"/>
          <cell r="G2795">
            <v>25000000</v>
          </cell>
          <cell r="H2795" t="str">
            <v>Yuyun</v>
          </cell>
          <cell r="I2795" t="str">
            <v>Farida</v>
          </cell>
          <cell r="J2795" t="str">
            <v>New 26/09/22</v>
          </cell>
          <cell r="K2795" t="str">
            <v>KU</v>
          </cell>
          <cell r="L2795" t="str">
            <v>GRIY01</v>
          </cell>
          <cell r="M2795" t="str">
            <v>Griya Tani/Sri</v>
          </cell>
          <cell r="N2795" t="str">
            <v>Sri Wahyuni</v>
          </cell>
          <cell r="O2795" t="str">
            <v>Dusun Muneng RT.006/RW.016, Kel. Kraton Kec. Kencong</v>
          </cell>
          <cell r="P2795" t="str">
            <v>Jember</v>
          </cell>
          <cell r="Q2795" t="str">
            <v>Dusun Muneng RT.006/RW.016, Kel. Kraton Kec. Kencong</v>
          </cell>
          <cell r="R2795" t="str">
            <v>Jember</v>
          </cell>
          <cell r="S2795" t="str">
            <v>L Kota2</v>
          </cell>
          <cell r="T2795" t="str">
            <v>Wira</v>
          </cell>
          <cell r="U2795">
            <v>30</v>
          </cell>
        </row>
        <row r="2796">
          <cell r="E2796" t="str">
            <v>B25012494</v>
          </cell>
          <cell r="F2796"/>
          <cell r="G2796">
            <v>25000000</v>
          </cell>
          <cell r="H2796" t="str">
            <v>Yuyun</v>
          </cell>
          <cell r="I2796" t="str">
            <v>Farida</v>
          </cell>
          <cell r="J2796" t="str">
            <v>New 26/09/22</v>
          </cell>
          <cell r="K2796" t="str">
            <v>KU</v>
          </cell>
          <cell r="L2796" t="str">
            <v>GRIY01</v>
          </cell>
          <cell r="M2796" t="str">
            <v>Griya Tani/Sri</v>
          </cell>
          <cell r="N2796" t="str">
            <v>Sri Wahyuni</v>
          </cell>
          <cell r="O2796" t="str">
            <v>Dusun Muneng RT.006/RW.016, Kel. Kraton Kec. Kencong</v>
          </cell>
          <cell r="P2796" t="str">
            <v>Jember</v>
          </cell>
          <cell r="Q2796" t="str">
            <v>Dusun Muneng RT.006/RW.016, Kel. Kraton Kec. Kencong</v>
          </cell>
          <cell r="R2796" t="str">
            <v>Jember</v>
          </cell>
          <cell r="S2796" t="str">
            <v>L Kota2</v>
          </cell>
          <cell r="T2796" t="str">
            <v>Wira</v>
          </cell>
          <cell r="U2796">
            <v>30</v>
          </cell>
        </row>
        <row r="2797">
          <cell r="E2797" t="str">
            <v>B25013803</v>
          </cell>
          <cell r="F2797"/>
          <cell r="G2797">
            <v>25000000</v>
          </cell>
          <cell r="H2797" t="str">
            <v>Yuyun</v>
          </cell>
          <cell r="I2797" t="str">
            <v>Farida</v>
          </cell>
          <cell r="J2797" t="str">
            <v>New 26/09/22</v>
          </cell>
          <cell r="K2797" t="str">
            <v>KU</v>
          </cell>
          <cell r="L2797" t="str">
            <v>GRIY01</v>
          </cell>
          <cell r="M2797" t="str">
            <v>Griya Tani/Sri</v>
          </cell>
          <cell r="N2797" t="str">
            <v>Sri Wahyuni</v>
          </cell>
          <cell r="O2797" t="str">
            <v>Dusun Muneng RT.006/RW.016, Kel. Kraton Kec. Kencong</v>
          </cell>
          <cell r="P2797" t="str">
            <v>Jember</v>
          </cell>
          <cell r="Q2797" t="str">
            <v>Dusun Muneng RT.006/RW.016, Kel. Kraton Kec. Kencong</v>
          </cell>
          <cell r="R2797" t="str">
            <v>Jember</v>
          </cell>
          <cell r="S2797" t="str">
            <v>L Kota2</v>
          </cell>
          <cell r="T2797" t="str">
            <v>Wira</v>
          </cell>
          <cell r="U2797">
            <v>30</v>
          </cell>
        </row>
        <row r="2798">
          <cell r="E2798" t="str">
            <v>B25013804</v>
          </cell>
          <cell r="F2798"/>
          <cell r="G2798">
            <v>25000000</v>
          </cell>
          <cell r="H2798" t="str">
            <v>Yuyun</v>
          </cell>
          <cell r="I2798" t="str">
            <v>Farida</v>
          </cell>
          <cell r="J2798" t="str">
            <v>New 26/09/22</v>
          </cell>
          <cell r="K2798" t="str">
            <v>KU</v>
          </cell>
          <cell r="L2798" t="str">
            <v>GRIY01</v>
          </cell>
          <cell r="M2798" t="str">
            <v>Griya Tani/Sri</v>
          </cell>
          <cell r="N2798" t="str">
            <v>Sri Wahyuni</v>
          </cell>
          <cell r="O2798" t="str">
            <v>Dusun Muneng RT.006/RW.016, Kel. Kraton Kec. Kencong</v>
          </cell>
          <cell r="P2798" t="str">
            <v>Jember</v>
          </cell>
          <cell r="Q2798" t="str">
            <v>Dusun Muneng RT.006/RW.016, Kel. Kraton Kec. Kencong</v>
          </cell>
          <cell r="R2798" t="str">
            <v>Jember</v>
          </cell>
          <cell r="S2798" t="str">
            <v>L Kota2</v>
          </cell>
          <cell r="T2798" t="str">
            <v>Wira</v>
          </cell>
          <cell r="U2798">
            <v>30</v>
          </cell>
        </row>
        <row r="2799">
          <cell r="E2799" t="str">
            <v>D25016197</v>
          </cell>
          <cell r="F2799"/>
          <cell r="G2799">
            <v>25000000</v>
          </cell>
          <cell r="H2799" t="str">
            <v>Yuyun</v>
          </cell>
          <cell r="I2799" t="str">
            <v>Farida</v>
          </cell>
          <cell r="J2799" t="str">
            <v>New 26/09/22</v>
          </cell>
          <cell r="K2799" t="str">
            <v>KU</v>
          </cell>
          <cell r="L2799" t="str">
            <v>GRIY01</v>
          </cell>
          <cell r="M2799" t="str">
            <v>Griya Tani/Sri</v>
          </cell>
          <cell r="N2799" t="str">
            <v>Sri Wahyuni</v>
          </cell>
          <cell r="O2799" t="str">
            <v>Dusun Muneng RT.006/RW.016, Kel. Kraton Kec. Kencong</v>
          </cell>
          <cell r="P2799" t="str">
            <v>Jember</v>
          </cell>
          <cell r="Q2799" t="str">
            <v>Dusun Muneng RT.006/RW.016, Kel. Kraton Kec. Kencong</v>
          </cell>
          <cell r="R2799" t="str">
            <v>Jember</v>
          </cell>
          <cell r="S2799" t="str">
            <v>L Kota2</v>
          </cell>
          <cell r="T2799" t="str">
            <v>Wira</v>
          </cell>
          <cell r="U2799">
            <v>30</v>
          </cell>
        </row>
        <row r="2800">
          <cell r="E2800" t="str">
            <v>Z25001888</v>
          </cell>
          <cell r="F2800"/>
          <cell r="G2800">
            <v>170000000</v>
          </cell>
          <cell r="H2800" t="str">
            <v>Ariyani</v>
          </cell>
          <cell r="I2800" t="str">
            <v>Fira</v>
          </cell>
          <cell r="J2800"/>
          <cell r="K2800" t="str">
            <v>Tunai</v>
          </cell>
          <cell r="L2800" t="str">
            <v>GUDA02</v>
          </cell>
          <cell r="M2800" t="str">
            <v>Gudang Barokah/Ishak</v>
          </cell>
          <cell r="N2800" t="str">
            <v>Ishak</v>
          </cell>
          <cell r="O2800" t="str">
            <v>Jl. Raya Pajarakan Condong RT.001/RW.005, Selogudig Wetan Pejarakan</v>
          </cell>
          <cell r="P2800" t="str">
            <v>Probolinggo</v>
          </cell>
          <cell r="Q2800" t="str">
            <v>Jl. Raya Pajarakan Condong RT.001/RW.005, Selogudig Wetan Pejarakan</v>
          </cell>
          <cell r="R2800" t="str">
            <v>Probolinggo</v>
          </cell>
          <cell r="S2800" t="str">
            <v>G Prob2</v>
          </cell>
          <cell r="T2800" t="str">
            <v>Wira</v>
          </cell>
          <cell r="U2800">
            <v>30</v>
          </cell>
        </row>
        <row r="2801">
          <cell r="E2801" t="str">
            <v>N25000058</v>
          </cell>
          <cell r="F2801"/>
          <cell r="G2801">
            <v>170000000</v>
          </cell>
          <cell r="H2801" t="str">
            <v>Ariyani</v>
          </cell>
          <cell r="I2801" t="str">
            <v>Fira</v>
          </cell>
          <cell r="J2801"/>
          <cell r="K2801" t="str">
            <v>Tunai</v>
          </cell>
          <cell r="L2801" t="str">
            <v>GUDA02</v>
          </cell>
          <cell r="M2801" t="str">
            <v>Gudang Barokah/Ishak</v>
          </cell>
          <cell r="N2801" t="str">
            <v>Ishak</v>
          </cell>
          <cell r="O2801" t="str">
            <v>Jl. Raya Pajarakan Condong RT.001/RW.005, Selogudig Wetan Pejarakan</v>
          </cell>
          <cell r="P2801" t="str">
            <v>Probolinggo</v>
          </cell>
          <cell r="Q2801" t="str">
            <v>Jl. Raya Pajarakan Condong RT.001/RW.005, Selogudig Wetan Pejarakan</v>
          </cell>
          <cell r="R2801" t="str">
            <v>Probolinggo</v>
          </cell>
          <cell r="S2801" t="str">
            <v>G Prob2</v>
          </cell>
          <cell r="T2801" t="str">
            <v>Wira</v>
          </cell>
          <cell r="U2801">
            <v>30</v>
          </cell>
        </row>
        <row r="2802">
          <cell r="E2802" t="str">
            <v>Z25002234</v>
          </cell>
          <cell r="F2802"/>
          <cell r="G2802">
            <v>170000000</v>
          </cell>
          <cell r="H2802" t="str">
            <v>Ariyani</v>
          </cell>
          <cell r="I2802" t="str">
            <v>Fira</v>
          </cell>
          <cell r="J2802"/>
          <cell r="K2802" t="str">
            <v>Tunai</v>
          </cell>
          <cell r="L2802" t="str">
            <v>GUDA02</v>
          </cell>
          <cell r="M2802" t="str">
            <v>Gudang Barokah/Ishak</v>
          </cell>
          <cell r="N2802" t="str">
            <v>Ishak</v>
          </cell>
          <cell r="O2802" t="str">
            <v>Jl. Raya Pajarakan Condong RT.001/RW.005, Selogudig Wetan Pejarakan</v>
          </cell>
          <cell r="P2802" t="str">
            <v>Probolinggo</v>
          </cell>
          <cell r="Q2802" t="str">
            <v>Jl. Raya Pajarakan Condong RT.001/RW.005, Selogudig Wetan Pejarakan</v>
          </cell>
          <cell r="R2802" t="str">
            <v>Probolinggo</v>
          </cell>
          <cell r="S2802" t="str">
            <v>G Prob2</v>
          </cell>
          <cell r="T2802" t="str">
            <v>Wira</v>
          </cell>
          <cell r="U2802">
            <v>30</v>
          </cell>
        </row>
        <row r="2803">
          <cell r="E2803" t="str">
            <v>Z25002373</v>
          </cell>
          <cell r="F2803"/>
          <cell r="G2803">
            <v>170000000</v>
          </cell>
          <cell r="H2803" t="str">
            <v>Ariyani</v>
          </cell>
          <cell r="I2803" t="str">
            <v>Fira</v>
          </cell>
          <cell r="J2803"/>
          <cell r="K2803" t="str">
            <v>Tunai</v>
          </cell>
          <cell r="L2803" t="str">
            <v>GUDA02</v>
          </cell>
          <cell r="M2803" t="str">
            <v>Gudang Barokah/Ishak</v>
          </cell>
          <cell r="N2803" t="str">
            <v>Ishak</v>
          </cell>
          <cell r="O2803" t="str">
            <v>Jl. Raya Pajarakan Condong RT.001/RW.005, Selogudig Wetan Pejarakan</v>
          </cell>
          <cell r="P2803" t="str">
            <v>Probolinggo</v>
          </cell>
          <cell r="Q2803" t="str">
            <v>Jl. Raya Pajarakan Condong RT.001/RW.005, Selogudig Wetan Pejarakan</v>
          </cell>
          <cell r="R2803" t="str">
            <v>Probolinggo</v>
          </cell>
          <cell r="S2803" t="str">
            <v>G Prob2</v>
          </cell>
          <cell r="T2803" t="str">
            <v>Wira</v>
          </cell>
          <cell r="U2803">
            <v>30</v>
          </cell>
        </row>
        <row r="2804">
          <cell r="E2804" t="str">
            <v>Z25002374</v>
          </cell>
          <cell r="F2804"/>
          <cell r="G2804">
            <v>170000000</v>
          </cell>
          <cell r="H2804" t="str">
            <v>Ariyani</v>
          </cell>
          <cell r="I2804" t="str">
            <v>Fira</v>
          </cell>
          <cell r="J2804"/>
          <cell r="K2804" t="str">
            <v>Tunai</v>
          </cell>
          <cell r="L2804" t="str">
            <v>GUDA02</v>
          </cell>
          <cell r="M2804" t="str">
            <v>Gudang Barokah/Ishak</v>
          </cell>
          <cell r="N2804" t="str">
            <v>Ishak</v>
          </cell>
          <cell r="O2804" t="str">
            <v>Jl. Raya Pajarakan Condong RT.001/RW.005, Selogudig Wetan Pejarakan</v>
          </cell>
          <cell r="P2804" t="str">
            <v>Probolinggo</v>
          </cell>
          <cell r="Q2804" t="str">
            <v>Jl. Raya Pajarakan Condong RT.001/RW.005, Selogudig Wetan Pejarakan</v>
          </cell>
          <cell r="R2804" t="str">
            <v>Probolinggo</v>
          </cell>
          <cell r="S2804" t="str">
            <v>G Prob2</v>
          </cell>
          <cell r="T2804" t="str">
            <v>Wira</v>
          </cell>
          <cell r="U2804">
            <v>30</v>
          </cell>
        </row>
        <row r="2805">
          <cell r="E2805" t="str">
            <v>Z25002518</v>
          </cell>
          <cell r="F2805"/>
          <cell r="G2805">
            <v>170000000</v>
          </cell>
          <cell r="H2805" t="str">
            <v>Ariyani</v>
          </cell>
          <cell r="I2805" t="str">
            <v>Fira</v>
          </cell>
          <cell r="J2805"/>
          <cell r="K2805" t="str">
            <v>Tunai</v>
          </cell>
          <cell r="L2805" t="str">
            <v>GUDA02</v>
          </cell>
          <cell r="M2805" t="str">
            <v>Gudang Barokah/Ishak</v>
          </cell>
          <cell r="N2805" t="str">
            <v>Ishak</v>
          </cell>
          <cell r="O2805" t="str">
            <v>Jl. Raya Pajarakan Condong RT.001/RW.005, Selogudig Wetan Pejarakan</v>
          </cell>
          <cell r="P2805" t="str">
            <v>Probolinggo</v>
          </cell>
          <cell r="Q2805" t="str">
            <v>Jl. Raya Pajarakan Condong RT.001/RW.005, Selogudig Wetan Pejarakan</v>
          </cell>
          <cell r="R2805" t="str">
            <v>Probolinggo</v>
          </cell>
          <cell r="S2805" t="str">
            <v>G Prob2</v>
          </cell>
          <cell r="T2805" t="str">
            <v>Wira</v>
          </cell>
          <cell r="U2805">
            <v>30</v>
          </cell>
        </row>
        <row r="2806">
          <cell r="E2806" t="str">
            <v>Z25002630</v>
          </cell>
          <cell r="F2806"/>
          <cell r="G2806">
            <v>170000000</v>
          </cell>
          <cell r="H2806" t="str">
            <v>Ariyani</v>
          </cell>
          <cell r="I2806" t="str">
            <v>Fira</v>
          </cell>
          <cell r="J2806"/>
          <cell r="K2806" t="str">
            <v>Tunai</v>
          </cell>
          <cell r="L2806" t="str">
            <v>GUDA02</v>
          </cell>
          <cell r="M2806" t="str">
            <v>Gudang Barokah/Ishak</v>
          </cell>
          <cell r="N2806" t="str">
            <v>Ishak</v>
          </cell>
          <cell r="O2806" t="str">
            <v>Jl. Raya Pajarakan Condong RT.001/RW.005, Selogudig Wetan Pejarakan</v>
          </cell>
          <cell r="P2806" t="str">
            <v>Probolinggo</v>
          </cell>
          <cell r="Q2806" t="str">
            <v>Jl. Raya Pajarakan Condong RT.001/RW.005, Selogudig Wetan Pejarakan</v>
          </cell>
          <cell r="R2806" t="str">
            <v>Probolinggo</v>
          </cell>
          <cell r="S2806" t="str">
            <v>G Prob2</v>
          </cell>
          <cell r="T2806" t="str">
            <v>Wira</v>
          </cell>
          <cell r="U2806">
            <v>30</v>
          </cell>
        </row>
        <row r="2807">
          <cell r="E2807" t="str">
            <v>L25000054</v>
          </cell>
          <cell r="F2807"/>
          <cell r="G2807">
            <v>170000000</v>
          </cell>
          <cell r="H2807" t="str">
            <v>Ariyani</v>
          </cell>
          <cell r="I2807" t="str">
            <v>Fira</v>
          </cell>
          <cell r="J2807"/>
          <cell r="K2807" t="str">
            <v>Tunai</v>
          </cell>
          <cell r="L2807" t="str">
            <v>GUDA02</v>
          </cell>
          <cell r="M2807" t="str">
            <v>Gudang Barokah/Ishak</v>
          </cell>
          <cell r="N2807" t="str">
            <v>Ishak</v>
          </cell>
          <cell r="O2807" t="str">
            <v>Jl. Raya Pajarakan Condong RT.001/RW.005, Selogudig Wetan Pejarakan</v>
          </cell>
          <cell r="P2807" t="str">
            <v>Probolinggo</v>
          </cell>
          <cell r="Q2807" t="str">
            <v>Jl. Raya Pajarakan Condong RT.001/RW.005, Selogudig Wetan Pejarakan</v>
          </cell>
          <cell r="R2807" t="str">
            <v>Probolinggo</v>
          </cell>
          <cell r="S2807" t="str">
            <v>G Prob2</v>
          </cell>
          <cell r="T2807" t="str">
            <v>Wira</v>
          </cell>
          <cell r="U2807">
            <v>30</v>
          </cell>
        </row>
        <row r="2808">
          <cell r="E2808" t="str">
            <v>Z25002818</v>
          </cell>
          <cell r="F2808"/>
          <cell r="G2808">
            <v>170000000</v>
          </cell>
          <cell r="H2808" t="str">
            <v>Ariyani</v>
          </cell>
          <cell r="I2808" t="str">
            <v>Fira</v>
          </cell>
          <cell r="J2808"/>
          <cell r="K2808" t="str">
            <v>Tunai</v>
          </cell>
          <cell r="L2808" t="str">
            <v>GUDA02</v>
          </cell>
          <cell r="M2808" t="str">
            <v>Gudang Barokah/Ishak</v>
          </cell>
          <cell r="N2808" t="str">
            <v>Ishak</v>
          </cell>
          <cell r="O2808" t="str">
            <v>Jl. Raya Pajarakan Condong RT.001/RW.005, Selogudig Wetan Pejarakan</v>
          </cell>
          <cell r="P2808" t="str">
            <v>Probolinggo</v>
          </cell>
          <cell r="Q2808" t="str">
            <v>Jl. Raya Pajarakan Condong RT.001/RW.005, Selogudig Wetan Pejarakan</v>
          </cell>
          <cell r="R2808" t="str">
            <v>Probolinggo</v>
          </cell>
          <cell r="S2808" t="str">
            <v>G Prob2</v>
          </cell>
          <cell r="T2808" t="str">
            <v>Wira</v>
          </cell>
          <cell r="U2808">
            <v>30</v>
          </cell>
        </row>
        <row r="2809">
          <cell r="E2809" t="str">
            <v>Z25002830</v>
          </cell>
          <cell r="F2809"/>
          <cell r="G2809">
            <v>170000000</v>
          </cell>
          <cell r="H2809" t="str">
            <v>Ariyani</v>
          </cell>
          <cell r="I2809" t="str">
            <v>Fira</v>
          </cell>
          <cell r="J2809"/>
          <cell r="K2809" t="str">
            <v>Tunai</v>
          </cell>
          <cell r="L2809" t="str">
            <v>GUDA02</v>
          </cell>
          <cell r="M2809" t="str">
            <v>Gudang Barokah/Ishak</v>
          </cell>
          <cell r="N2809" t="str">
            <v>Ishak</v>
          </cell>
          <cell r="O2809" t="str">
            <v>Jl. Raya Pajarakan Condong RT.001/RW.005, Selogudig Wetan Pejarakan</v>
          </cell>
          <cell r="P2809" t="str">
            <v>Probolinggo</v>
          </cell>
          <cell r="Q2809" t="str">
            <v>Jl. Raya Pajarakan Condong RT.001/RW.005, Selogudig Wetan Pejarakan</v>
          </cell>
          <cell r="R2809" t="str">
            <v>Probolinggo</v>
          </cell>
          <cell r="S2809" t="str">
            <v>G Prob2</v>
          </cell>
          <cell r="T2809" t="str">
            <v>Wira</v>
          </cell>
          <cell r="U2809">
            <v>30</v>
          </cell>
        </row>
        <row r="2810">
          <cell r="E2810" t="str">
            <v>D25013630</v>
          </cell>
          <cell r="F2810"/>
          <cell r="G2810">
            <v>1350000000</v>
          </cell>
          <cell r="H2810" t="str">
            <v>Hendra</v>
          </cell>
          <cell r="I2810" t="str">
            <v>Tiya</v>
          </cell>
          <cell r="J2810"/>
          <cell r="K2810" t="str">
            <v>KU</v>
          </cell>
          <cell r="L2810" t="str">
            <v>GUNA02</v>
          </cell>
          <cell r="M2810" t="str">
            <v>Guna Adi Tani</v>
          </cell>
          <cell r="N2810" t="str">
            <v>Guna Adi Tani Mandiri, CV</v>
          </cell>
          <cell r="O2810" t="str">
            <v>BTN Tolotongga Asri No. 02 RT.007/RW.003, Kel. Ule, Kec. Asakota</v>
          </cell>
          <cell r="P2810" t="str">
            <v>Bima</v>
          </cell>
          <cell r="Q2810" t="str">
            <v>BTN Tolongga Asri No. 02, Kel. Ule</v>
          </cell>
          <cell r="R2810" t="str">
            <v>Bima</v>
          </cell>
          <cell r="S2810" t="str">
            <v>E Luar Pulau1</v>
          </cell>
          <cell r="T2810" t="str">
            <v>Muhlisin</v>
          </cell>
          <cell r="U2810">
            <v>45</v>
          </cell>
        </row>
        <row r="2811">
          <cell r="E2811" t="str">
            <v>D25014461</v>
          </cell>
          <cell r="F2811"/>
          <cell r="G2811">
            <v>1350000000</v>
          </cell>
          <cell r="H2811" t="str">
            <v>Hendra</v>
          </cell>
          <cell r="I2811" t="str">
            <v>Tiya</v>
          </cell>
          <cell r="J2811"/>
          <cell r="K2811" t="str">
            <v>KU</v>
          </cell>
          <cell r="L2811" t="str">
            <v>GUNA02</v>
          </cell>
          <cell r="M2811" t="str">
            <v>Guna Adi Tani</v>
          </cell>
          <cell r="N2811" t="str">
            <v>Guna Adi Tani Mandiri, CV</v>
          </cell>
          <cell r="O2811" t="str">
            <v>BTN Tolotongga Asri No. 02 RT.007/RW.003, Kel. Ule, Kec. Asakota</v>
          </cell>
          <cell r="P2811" t="str">
            <v>Bima</v>
          </cell>
          <cell r="Q2811" t="str">
            <v>BTN Tolongga Asri No. 02, Kel. Ule</v>
          </cell>
          <cell r="R2811" t="str">
            <v>Bima</v>
          </cell>
          <cell r="S2811" t="str">
            <v>E Luar Pulau1</v>
          </cell>
          <cell r="T2811" t="str">
            <v>Muhlisin</v>
          </cell>
          <cell r="U2811">
            <v>45</v>
          </cell>
        </row>
        <row r="2812">
          <cell r="E2812" t="str">
            <v>B25012927</v>
          </cell>
          <cell r="F2812"/>
          <cell r="G2812">
            <v>1350000000</v>
          </cell>
          <cell r="H2812" t="str">
            <v>Hendra</v>
          </cell>
          <cell r="I2812" t="str">
            <v>Tiya</v>
          </cell>
          <cell r="J2812"/>
          <cell r="K2812" t="str">
            <v>KU</v>
          </cell>
          <cell r="L2812" t="str">
            <v>GUNA02</v>
          </cell>
          <cell r="M2812" t="str">
            <v>Guna Adi Tani</v>
          </cell>
          <cell r="N2812" t="str">
            <v>Guna Adi Tani Mandiri, CV</v>
          </cell>
          <cell r="O2812" t="str">
            <v>BTN Tolotongga Asri No. 02 RT.007/RW.003, Kel. Ule, Kec. Asakota</v>
          </cell>
          <cell r="P2812" t="str">
            <v>Bima</v>
          </cell>
          <cell r="Q2812" t="str">
            <v>BTN Tolongga Asri No. 02, Kel. Ule</v>
          </cell>
          <cell r="R2812" t="str">
            <v>Bima</v>
          </cell>
          <cell r="S2812" t="str">
            <v>E Luar Pulau1</v>
          </cell>
          <cell r="T2812" t="str">
            <v>Muhlisin</v>
          </cell>
          <cell r="U2812">
            <v>45</v>
          </cell>
        </row>
        <row r="2813">
          <cell r="E2813" t="str">
            <v>D25015219</v>
          </cell>
          <cell r="F2813"/>
          <cell r="G2813">
            <v>1350000000</v>
          </cell>
          <cell r="H2813" t="str">
            <v>Hendra</v>
          </cell>
          <cell r="I2813" t="str">
            <v>Tiya</v>
          </cell>
          <cell r="J2813"/>
          <cell r="K2813" t="str">
            <v>KU</v>
          </cell>
          <cell r="L2813" t="str">
            <v>GUNA02</v>
          </cell>
          <cell r="M2813" t="str">
            <v>Guna Adi Tani</v>
          </cell>
          <cell r="N2813" t="str">
            <v>Guna Adi Tani Mandiri, CV</v>
          </cell>
          <cell r="O2813" t="str">
            <v>BTN Tolotongga Asri No. 02 RT.007/RW.003, Kel. Ule, Kec. Asakota</v>
          </cell>
          <cell r="P2813" t="str">
            <v>Bima</v>
          </cell>
          <cell r="Q2813" t="str">
            <v>BTN Tolongga Asri No. 02, Kel. Ule</v>
          </cell>
          <cell r="R2813" t="str">
            <v>Bima</v>
          </cell>
          <cell r="S2813" t="str">
            <v>E Luar Pulau1</v>
          </cell>
          <cell r="T2813" t="str">
            <v>Muhlisin</v>
          </cell>
          <cell r="U2813">
            <v>45</v>
          </cell>
        </row>
        <row r="2814">
          <cell r="E2814" t="str">
            <v>B25013273</v>
          </cell>
          <cell r="F2814"/>
          <cell r="G2814">
            <v>1350000000</v>
          </cell>
          <cell r="H2814" t="str">
            <v>Hendra</v>
          </cell>
          <cell r="I2814" t="str">
            <v>Tiya</v>
          </cell>
          <cell r="J2814"/>
          <cell r="K2814" t="str">
            <v>KU</v>
          </cell>
          <cell r="L2814" t="str">
            <v>GUNA02</v>
          </cell>
          <cell r="M2814" t="str">
            <v>Guna Adi Tani</v>
          </cell>
          <cell r="N2814" t="str">
            <v>Guna Adi Tani Mandiri, CV</v>
          </cell>
          <cell r="O2814" t="str">
            <v>BTN Tolotongga Asri No. 02 RT.007/RW.003, Kel. Ule, Kec. Asakota</v>
          </cell>
          <cell r="P2814" t="str">
            <v>Bima</v>
          </cell>
          <cell r="Q2814" t="str">
            <v>BTN Tolongga Asri No. 02, Kel. Ule</v>
          </cell>
          <cell r="R2814" t="str">
            <v>Bima</v>
          </cell>
          <cell r="S2814" t="str">
            <v>E Luar Pulau1</v>
          </cell>
          <cell r="T2814" t="str">
            <v>Muhlisin</v>
          </cell>
          <cell r="U2814">
            <v>15</v>
          </cell>
        </row>
        <row r="2815">
          <cell r="E2815" t="str">
            <v>D25015531</v>
          </cell>
          <cell r="F2815"/>
          <cell r="G2815">
            <v>1350000000</v>
          </cell>
          <cell r="H2815" t="str">
            <v>Hendra</v>
          </cell>
          <cell r="I2815" t="str">
            <v>Tiya</v>
          </cell>
          <cell r="J2815"/>
          <cell r="K2815" t="str">
            <v>KU</v>
          </cell>
          <cell r="L2815" t="str">
            <v>GUNA02</v>
          </cell>
          <cell r="M2815" t="str">
            <v>Guna Adi Tani</v>
          </cell>
          <cell r="N2815" t="str">
            <v>Guna Adi Tani Mandiri, CV</v>
          </cell>
          <cell r="O2815" t="str">
            <v>BTN Tolotongga Asri No. 02 RT.007/RW.003, Kel. Ule, Kec. Asakota</v>
          </cell>
          <cell r="P2815" t="str">
            <v>Bima</v>
          </cell>
          <cell r="Q2815" t="str">
            <v>BTN Tolongga Asri No. 02, Kel. Ule</v>
          </cell>
          <cell r="R2815" t="str">
            <v>Bima</v>
          </cell>
          <cell r="S2815" t="str">
            <v>E Luar Pulau1</v>
          </cell>
          <cell r="T2815" t="str">
            <v>Muhlisin</v>
          </cell>
          <cell r="U2815">
            <v>45</v>
          </cell>
        </row>
        <row r="2816">
          <cell r="E2816" t="str">
            <v>D25015587</v>
          </cell>
          <cell r="F2816"/>
          <cell r="G2816">
            <v>1350000000</v>
          </cell>
          <cell r="H2816" t="str">
            <v>Hendra</v>
          </cell>
          <cell r="I2816" t="str">
            <v>Tiya</v>
          </cell>
          <cell r="J2816"/>
          <cell r="K2816" t="str">
            <v>KU</v>
          </cell>
          <cell r="L2816" t="str">
            <v>GUNA02</v>
          </cell>
          <cell r="M2816" t="str">
            <v>Guna Adi Tani</v>
          </cell>
          <cell r="N2816" t="str">
            <v>Guna Adi Tani Mandiri, CV</v>
          </cell>
          <cell r="O2816" t="str">
            <v>BTN Tolotongga Asri No. 02 RT.007/RW.003, Kel. Ule, Kec. Asakota</v>
          </cell>
          <cell r="P2816" t="str">
            <v>Bima</v>
          </cell>
          <cell r="Q2816" t="str">
            <v>BTN Tolongga Asri No. 02, Kel. Ule</v>
          </cell>
          <cell r="R2816" t="str">
            <v>Bima</v>
          </cell>
          <cell r="S2816" t="str">
            <v>E Luar Pulau1</v>
          </cell>
          <cell r="T2816" t="str">
            <v>Muhlisin</v>
          </cell>
          <cell r="U2816">
            <v>45</v>
          </cell>
        </row>
        <row r="2817">
          <cell r="E2817" t="str">
            <v>B25013607</v>
          </cell>
          <cell r="F2817"/>
          <cell r="G2817">
            <v>1350000000</v>
          </cell>
          <cell r="H2817" t="str">
            <v>Hendra</v>
          </cell>
          <cell r="I2817" t="str">
            <v>Tiya</v>
          </cell>
          <cell r="J2817"/>
          <cell r="K2817" t="str">
            <v>KU</v>
          </cell>
          <cell r="L2817" t="str">
            <v>GUNA02</v>
          </cell>
          <cell r="M2817" t="str">
            <v>Guna Adi Tani</v>
          </cell>
          <cell r="N2817" t="str">
            <v>Guna Adi Tani Mandiri, CV</v>
          </cell>
          <cell r="O2817" t="str">
            <v>BTN Tolotongga Asri No. 02 RT.007/RW.003, Kel. Ule, Kec. Asakota</v>
          </cell>
          <cell r="P2817" t="str">
            <v>Bima</v>
          </cell>
          <cell r="Q2817" t="str">
            <v>BTN Tolongga Asri No. 02, Kel. Ule</v>
          </cell>
          <cell r="R2817" t="str">
            <v>Bima</v>
          </cell>
          <cell r="S2817" t="str">
            <v>E Luar Pulau1</v>
          </cell>
          <cell r="T2817" t="str">
            <v>Muhlisin</v>
          </cell>
          <cell r="U2817">
            <v>45</v>
          </cell>
        </row>
        <row r="2818">
          <cell r="E2818" t="str">
            <v>D25010781</v>
          </cell>
          <cell r="F2818"/>
          <cell r="G2818">
            <v>2600000000</v>
          </cell>
          <cell r="H2818" t="str">
            <v>Faris</v>
          </cell>
          <cell r="I2818" t="str">
            <v>Syahra</v>
          </cell>
          <cell r="J2818"/>
          <cell r="K2818" t="str">
            <v>KU</v>
          </cell>
          <cell r="L2818" t="str">
            <v>GUNU01</v>
          </cell>
          <cell r="M2818" t="str">
            <v>Gunung Semeru</v>
          </cell>
          <cell r="N2818" t="str">
            <v>Semeru Megaraya Agro, PT</v>
          </cell>
          <cell r="O2818" t="str">
            <v>Gajah Mada No. 380 Genteng RT.008 RW.004 Genteng Kulon, Kab. Banyuwangi</v>
          </cell>
          <cell r="P2818" t="str">
            <v>Banyuwangi</v>
          </cell>
          <cell r="Q2818" t="str">
            <v>Gajah Mada No. 380 Genteng RT.008 RW.004 Genteng Kulon, Kab. Banyuwangi</v>
          </cell>
          <cell r="R2818" t="str">
            <v>Banyuwangi</v>
          </cell>
          <cell r="S2818" t="str">
            <v>H Bwi2</v>
          </cell>
          <cell r="T2818" t="str">
            <v>Hafid</v>
          </cell>
          <cell r="U2818">
            <v>60</v>
          </cell>
        </row>
        <row r="2819">
          <cell r="E2819" t="str">
            <v>D25010782</v>
          </cell>
          <cell r="F2819"/>
          <cell r="G2819">
            <v>2600000000</v>
          </cell>
          <cell r="H2819" t="str">
            <v>Faris</v>
          </cell>
          <cell r="I2819" t="str">
            <v>Syahra</v>
          </cell>
          <cell r="J2819"/>
          <cell r="K2819" t="str">
            <v>KU</v>
          </cell>
          <cell r="L2819" t="str">
            <v>GUNU01</v>
          </cell>
          <cell r="M2819" t="str">
            <v>Gunung Semeru</v>
          </cell>
          <cell r="N2819" t="str">
            <v>Semeru Megaraya Agro, PT</v>
          </cell>
          <cell r="O2819" t="str">
            <v>Gajah Mada No. 380 Genteng RT.008 RW.004 Genteng Kulon, Kab. Banyuwangi</v>
          </cell>
          <cell r="P2819" t="str">
            <v>Banyuwangi</v>
          </cell>
          <cell r="Q2819" t="str">
            <v>Gajah Mada No. 380 Genteng RT.008 RW.004 Genteng Kulon, Kab. Banyuwangi</v>
          </cell>
          <cell r="R2819" t="str">
            <v>Banyuwangi</v>
          </cell>
          <cell r="S2819" t="str">
            <v>H Bwi2</v>
          </cell>
          <cell r="T2819" t="str">
            <v>Hafid</v>
          </cell>
          <cell r="U2819">
            <v>60</v>
          </cell>
        </row>
        <row r="2820">
          <cell r="E2820" t="str">
            <v>B25008961</v>
          </cell>
          <cell r="F2820"/>
          <cell r="G2820">
            <v>2600000000</v>
          </cell>
          <cell r="H2820" t="str">
            <v>Faris</v>
          </cell>
          <cell r="I2820" t="str">
            <v>Syahra</v>
          </cell>
          <cell r="J2820"/>
          <cell r="K2820" t="str">
            <v>KU</v>
          </cell>
          <cell r="L2820" t="str">
            <v>GUNU01</v>
          </cell>
          <cell r="M2820" t="str">
            <v>Gunung Semeru</v>
          </cell>
          <cell r="N2820" t="str">
            <v>Semeru Megaraya Agro, PT</v>
          </cell>
          <cell r="O2820" t="str">
            <v>Gajah Mada No. 380 Genteng RT.008 RW.004 Genteng Kulon, Kab. Banyuwangi</v>
          </cell>
          <cell r="P2820" t="str">
            <v>Banyuwangi</v>
          </cell>
          <cell r="Q2820" t="str">
            <v>Gajah Mada No. 380 Genteng RT.008 RW.004 Genteng Kulon, Kab. Banyuwangi</v>
          </cell>
          <cell r="R2820" t="str">
            <v>Banyuwangi</v>
          </cell>
          <cell r="S2820" t="str">
            <v>H Bwi2</v>
          </cell>
          <cell r="T2820" t="str">
            <v>Hafid</v>
          </cell>
          <cell r="U2820">
            <v>60</v>
          </cell>
        </row>
        <row r="2821">
          <cell r="E2821" t="str">
            <v>D25011008</v>
          </cell>
          <cell r="F2821"/>
          <cell r="G2821">
            <v>2600000000</v>
          </cell>
          <cell r="H2821" t="str">
            <v>Faris</v>
          </cell>
          <cell r="I2821" t="str">
            <v>Syahra</v>
          </cell>
          <cell r="J2821"/>
          <cell r="K2821" t="str">
            <v>KU</v>
          </cell>
          <cell r="L2821" t="str">
            <v>GUNU01</v>
          </cell>
          <cell r="M2821" t="str">
            <v>Gunung Semeru</v>
          </cell>
          <cell r="N2821" t="str">
            <v>Semeru Megaraya Agro, PT</v>
          </cell>
          <cell r="O2821" t="str">
            <v>Gajah Mada No. 380 Genteng RT.008 RW.004 Genteng Kulon, Kab. Banyuwangi</v>
          </cell>
          <cell r="P2821" t="str">
            <v>Banyuwangi</v>
          </cell>
          <cell r="Q2821" t="str">
            <v>Gajah Mada No. 380 Genteng RT.008 RW.004 Genteng Kulon, Kab. Banyuwangi</v>
          </cell>
          <cell r="R2821" t="str">
            <v>Banyuwangi</v>
          </cell>
          <cell r="S2821" t="str">
            <v>H Bwi2</v>
          </cell>
          <cell r="T2821" t="str">
            <v>Hafid</v>
          </cell>
          <cell r="U2821">
            <v>60</v>
          </cell>
        </row>
        <row r="2822">
          <cell r="E2822" t="str">
            <v>D25011242</v>
          </cell>
          <cell r="F2822"/>
          <cell r="G2822">
            <v>2600000000</v>
          </cell>
          <cell r="H2822" t="str">
            <v>Faris</v>
          </cell>
          <cell r="I2822" t="str">
            <v>Syahra</v>
          </cell>
          <cell r="J2822"/>
          <cell r="K2822" t="str">
            <v>KU</v>
          </cell>
          <cell r="L2822" t="str">
            <v>GUNU01</v>
          </cell>
          <cell r="M2822" t="str">
            <v>Gunung Semeru</v>
          </cell>
          <cell r="N2822" t="str">
            <v>Semeru Megaraya Agro, PT</v>
          </cell>
          <cell r="O2822" t="str">
            <v>Gajah Mada No. 380 Genteng RT.008 RW.004 Genteng Kulon, Kab. Banyuwangi</v>
          </cell>
          <cell r="P2822" t="str">
            <v>Banyuwangi</v>
          </cell>
          <cell r="Q2822" t="str">
            <v>Gajah Mada No. 380 Genteng RT.008 RW.004 Genteng Kulon, Kab. Banyuwangi</v>
          </cell>
          <cell r="R2822" t="str">
            <v>Banyuwangi</v>
          </cell>
          <cell r="S2822" t="str">
            <v>H Bwi2</v>
          </cell>
          <cell r="T2822" t="str">
            <v>Hafid</v>
          </cell>
          <cell r="U2822">
            <v>60</v>
          </cell>
        </row>
        <row r="2823">
          <cell r="E2823" t="str">
            <v>B25009359</v>
          </cell>
          <cell r="F2823"/>
          <cell r="G2823">
            <v>2600000000</v>
          </cell>
          <cell r="H2823" t="str">
            <v>Faris</v>
          </cell>
          <cell r="I2823" t="str">
            <v>Syahra</v>
          </cell>
          <cell r="J2823"/>
          <cell r="K2823" t="str">
            <v>KU</v>
          </cell>
          <cell r="L2823" t="str">
            <v>GUNU01</v>
          </cell>
          <cell r="M2823" t="str">
            <v>Gunung Semeru</v>
          </cell>
          <cell r="N2823" t="str">
            <v>Semeru Megaraya Agro, PT</v>
          </cell>
          <cell r="O2823" t="str">
            <v>Gajah Mada No. 380 Genteng RT.008 RW.004 Genteng Kulon, Kab. Banyuwangi</v>
          </cell>
          <cell r="P2823" t="str">
            <v>Banyuwangi</v>
          </cell>
          <cell r="Q2823" t="str">
            <v>Gajah Mada No. 380 Genteng RT.008 RW.004 Genteng Kulon, Kab. Banyuwangi</v>
          </cell>
          <cell r="R2823" t="str">
            <v>Banyuwangi</v>
          </cell>
          <cell r="S2823" t="str">
            <v>H Bwi2</v>
          </cell>
          <cell r="T2823" t="str">
            <v>Hafid</v>
          </cell>
          <cell r="U2823">
            <v>60</v>
          </cell>
        </row>
        <row r="2824">
          <cell r="E2824" t="str">
            <v>B25009772</v>
          </cell>
          <cell r="F2824"/>
          <cell r="G2824">
            <v>2600000000</v>
          </cell>
          <cell r="H2824" t="str">
            <v>Faris</v>
          </cell>
          <cell r="I2824" t="str">
            <v>Syahra</v>
          </cell>
          <cell r="J2824"/>
          <cell r="K2824" t="str">
            <v>KU</v>
          </cell>
          <cell r="L2824" t="str">
            <v>GUNU01</v>
          </cell>
          <cell r="M2824" t="str">
            <v>Gunung Semeru</v>
          </cell>
          <cell r="N2824" t="str">
            <v>Semeru Megaraya Agro, PT</v>
          </cell>
          <cell r="O2824" t="str">
            <v>Gajah Mada No. 380 Genteng RT.008 RW.004 Genteng Kulon, Kab. Banyuwangi</v>
          </cell>
          <cell r="P2824" t="str">
            <v>Banyuwangi</v>
          </cell>
          <cell r="Q2824" t="str">
            <v>Gajah Mada No. 380 Genteng RT.008 RW.004 Genteng Kulon, Kab. Banyuwangi</v>
          </cell>
          <cell r="R2824" t="str">
            <v>Banyuwangi</v>
          </cell>
          <cell r="S2824" t="str">
            <v>H Bwi2</v>
          </cell>
          <cell r="T2824" t="str">
            <v>Hafid</v>
          </cell>
          <cell r="U2824">
            <v>60</v>
          </cell>
        </row>
        <row r="2825">
          <cell r="E2825" t="str">
            <v>B25009786</v>
          </cell>
          <cell r="F2825"/>
          <cell r="G2825">
            <v>2600000000</v>
          </cell>
          <cell r="H2825" t="str">
            <v>Faris</v>
          </cell>
          <cell r="I2825" t="str">
            <v>Syahra</v>
          </cell>
          <cell r="J2825"/>
          <cell r="K2825" t="str">
            <v>KU</v>
          </cell>
          <cell r="L2825" t="str">
            <v>GUNU01</v>
          </cell>
          <cell r="M2825" t="str">
            <v>Gunung Semeru</v>
          </cell>
          <cell r="N2825" t="str">
            <v>Semeru Megaraya Agro, PT</v>
          </cell>
          <cell r="O2825" t="str">
            <v>Gajah Mada No. 380 Genteng RT.008 RW.004 Genteng Kulon, Kab. Banyuwangi</v>
          </cell>
          <cell r="P2825" t="str">
            <v>Banyuwangi</v>
          </cell>
          <cell r="Q2825" t="str">
            <v>Gajah Mada No. 380 Genteng RT.008 RW.004 Genteng Kulon, Kab. Banyuwangi</v>
          </cell>
          <cell r="R2825" t="str">
            <v>Banyuwangi</v>
          </cell>
          <cell r="S2825" t="str">
            <v>H Bwi2</v>
          </cell>
          <cell r="T2825" t="str">
            <v>Hafid</v>
          </cell>
          <cell r="U2825">
            <v>60</v>
          </cell>
        </row>
        <row r="2826">
          <cell r="E2826" t="str">
            <v>B25009876</v>
          </cell>
          <cell r="F2826"/>
          <cell r="G2826">
            <v>2600000000</v>
          </cell>
          <cell r="H2826" t="str">
            <v>Faris</v>
          </cell>
          <cell r="I2826" t="str">
            <v>Syahra</v>
          </cell>
          <cell r="J2826"/>
          <cell r="K2826" t="str">
            <v>KU</v>
          </cell>
          <cell r="L2826" t="str">
            <v>GUNU01</v>
          </cell>
          <cell r="M2826" t="str">
            <v>Gunung Semeru</v>
          </cell>
          <cell r="N2826" t="str">
            <v>Semeru Megaraya Agro, PT</v>
          </cell>
          <cell r="O2826" t="str">
            <v>Gajah Mada No. 380 Genteng RT.008 RW.004 Genteng Kulon, Kab. Banyuwangi</v>
          </cell>
          <cell r="P2826" t="str">
            <v>Banyuwangi</v>
          </cell>
          <cell r="Q2826" t="str">
            <v>Gajah Mada No. 380 Genteng RT.008 RW.004 Genteng Kulon, Kab. Banyuwangi</v>
          </cell>
          <cell r="R2826" t="str">
            <v>Banyuwangi</v>
          </cell>
          <cell r="S2826" t="str">
            <v>H Bwi2</v>
          </cell>
          <cell r="T2826" t="str">
            <v>Hafid</v>
          </cell>
          <cell r="U2826">
            <v>60</v>
          </cell>
        </row>
        <row r="2827">
          <cell r="E2827" t="str">
            <v>B25009876</v>
          </cell>
          <cell r="F2827"/>
          <cell r="G2827">
            <v>2600000000</v>
          </cell>
          <cell r="H2827" t="str">
            <v>Faris</v>
          </cell>
          <cell r="I2827" t="str">
            <v>Syahra</v>
          </cell>
          <cell r="J2827"/>
          <cell r="K2827" t="str">
            <v>KU</v>
          </cell>
          <cell r="L2827" t="str">
            <v>GUNU01</v>
          </cell>
          <cell r="M2827" t="str">
            <v>Gunung Semeru</v>
          </cell>
          <cell r="N2827" t="str">
            <v>Semeru Megaraya Agro, PT</v>
          </cell>
          <cell r="O2827" t="str">
            <v>Gajah Mada No. 380 Genteng RT.008 RW.004 Genteng Kulon, Kab. Banyuwangi</v>
          </cell>
          <cell r="P2827" t="str">
            <v>Banyuwangi</v>
          </cell>
          <cell r="Q2827" t="str">
            <v>Gajah Mada No. 380 Genteng RT.008 RW.004 Genteng Kulon, Kab. Banyuwangi</v>
          </cell>
          <cell r="R2827" t="str">
            <v>Banyuwangi</v>
          </cell>
          <cell r="S2827" t="str">
            <v>H Bwi2</v>
          </cell>
          <cell r="T2827" t="str">
            <v>Hafid</v>
          </cell>
          <cell r="U2827">
            <v>60</v>
          </cell>
        </row>
        <row r="2828">
          <cell r="E2828" t="str">
            <v>B25009939</v>
          </cell>
          <cell r="F2828"/>
          <cell r="G2828">
            <v>2600000000</v>
          </cell>
          <cell r="H2828" t="str">
            <v>Faris</v>
          </cell>
          <cell r="I2828" t="str">
            <v>Syahra</v>
          </cell>
          <cell r="J2828"/>
          <cell r="K2828" t="str">
            <v>KU</v>
          </cell>
          <cell r="L2828" t="str">
            <v>GUNU01</v>
          </cell>
          <cell r="M2828" t="str">
            <v>Gunung Semeru</v>
          </cell>
          <cell r="N2828" t="str">
            <v>Semeru Megaraya Agro, PT</v>
          </cell>
          <cell r="O2828" t="str">
            <v>Gajah Mada No. 380 Genteng RT.008 RW.004 Genteng Kulon, Kab. Banyuwangi</v>
          </cell>
          <cell r="P2828" t="str">
            <v>Banyuwangi</v>
          </cell>
          <cell r="Q2828" t="str">
            <v>Gajah Mada No. 380 Genteng RT.008 RW.004 Genteng Kulon, Kab. Banyuwangi</v>
          </cell>
          <cell r="R2828" t="str">
            <v>Banyuwangi</v>
          </cell>
          <cell r="S2828" t="str">
            <v>H Bwi2</v>
          </cell>
          <cell r="T2828" t="str">
            <v>Hafid</v>
          </cell>
          <cell r="U2828">
            <v>60</v>
          </cell>
        </row>
        <row r="2829">
          <cell r="E2829" t="str">
            <v>B25010033</v>
          </cell>
          <cell r="F2829"/>
          <cell r="G2829">
            <v>2600000000</v>
          </cell>
          <cell r="H2829" t="str">
            <v>Faris</v>
          </cell>
          <cell r="I2829" t="str">
            <v>Syahra</v>
          </cell>
          <cell r="J2829"/>
          <cell r="K2829" t="str">
            <v>KU</v>
          </cell>
          <cell r="L2829" t="str">
            <v>GUNU01</v>
          </cell>
          <cell r="M2829" t="str">
            <v>Gunung Semeru</v>
          </cell>
          <cell r="N2829" t="str">
            <v>Semeru Megaraya Agro, PT</v>
          </cell>
          <cell r="O2829" t="str">
            <v>Gajah Mada No. 380 Genteng RT.008 RW.004 Genteng Kulon, Kab. Banyuwangi</v>
          </cell>
          <cell r="P2829" t="str">
            <v>Banyuwangi</v>
          </cell>
          <cell r="Q2829" t="str">
            <v>Gajah Mada No. 380 Genteng RT.008 RW.004 Genteng Kulon, Kab. Banyuwangi</v>
          </cell>
          <cell r="R2829" t="str">
            <v>Banyuwangi</v>
          </cell>
          <cell r="S2829" t="str">
            <v>H Bwi2</v>
          </cell>
          <cell r="T2829" t="str">
            <v>Hafid</v>
          </cell>
          <cell r="U2829">
            <v>60</v>
          </cell>
        </row>
        <row r="2830">
          <cell r="E2830" t="str">
            <v>D25012496</v>
          </cell>
          <cell r="F2830"/>
          <cell r="G2830">
            <v>2600000000</v>
          </cell>
          <cell r="H2830" t="str">
            <v>Faris</v>
          </cell>
          <cell r="I2830" t="str">
            <v>Syahra</v>
          </cell>
          <cell r="J2830"/>
          <cell r="K2830" t="str">
            <v>KU</v>
          </cell>
          <cell r="L2830" t="str">
            <v>GUNU01</v>
          </cell>
          <cell r="M2830" t="str">
            <v>Gunung Semeru</v>
          </cell>
          <cell r="N2830" t="str">
            <v>Semeru Megaraya Agro, PT</v>
          </cell>
          <cell r="O2830" t="str">
            <v>Gajah Mada No. 380 Genteng RT.008 RW.004 Genteng Kulon, Kab. Banyuwangi</v>
          </cell>
          <cell r="P2830" t="str">
            <v>Banyuwangi</v>
          </cell>
          <cell r="Q2830" t="str">
            <v>Gajah Mada No. 380 Genteng RT.008 RW.004 Genteng Kulon, Kab. Banyuwangi</v>
          </cell>
          <cell r="R2830" t="str">
            <v>Banyuwangi</v>
          </cell>
          <cell r="S2830" t="str">
            <v>H Bwi2</v>
          </cell>
          <cell r="T2830" t="str">
            <v>Hafid</v>
          </cell>
          <cell r="U2830">
            <v>60</v>
          </cell>
        </row>
        <row r="2831">
          <cell r="E2831" t="str">
            <v>B25010651</v>
          </cell>
          <cell r="F2831"/>
          <cell r="G2831">
            <v>2600000000</v>
          </cell>
          <cell r="H2831" t="str">
            <v>Faris</v>
          </cell>
          <cell r="I2831" t="str">
            <v>Syahra</v>
          </cell>
          <cell r="J2831"/>
          <cell r="K2831" t="str">
            <v>KU</v>
          </cell>
          <cell r="L2831" t="str">
            <v>GUNU01</v>
          </cell>
          <cell r="M2831" t="str">
            <v>Gunung Semeru</v>
          </cell>
          <cell r="N2831" t="str">
            <v>Semeru Megaraya Agro, PT</v>
          </cell>
          <cell r="O2831" t="str">
            <v>Gajah Mada No. 380 Genteng RT.008 RW.004 Genteng Kulon, Kab. Banyuwangi</v>
          </cell>
          <cell r="P2831" t="str">
            <v>Banyuwangi</v>
          </cell>
          <cell r="Q2831" t="str">
            <v>Gajah Mada No. 380 Genteng RT.008 RW.004 Genteng Kulon, Kab. Banyuwangi</v>
          </cell>
          <cell r="R2831" t="str">
            <v>Banyuwangi</v>
          </cell>
          <cell r="S2831" t="str">
            <v>H Bwi2</v>
          </cell>
          <cell r="T2831" t="str">
            <v>Hafid</v>
          </cell>
          <cell r="U2831">
            <v>60</v>
          </cell>
        </row>
        <row r="2832">
          <cell r="E2832" t="str">
            <v>D25012709</v>
          </cell>
          <cell r="F2832"/>
          <cell r="G2832">
            <v>2600000000</v>
          </cell>
          <cell r="H2832" t="str">
            <v>Faris</v>
          </cell>
          <cell r="I2832" t="str">
            <v>Syahra</v>
          </cell>
          <cell r="J2832"/>
          <cell r="K2832" t="str">
            <v>KU</v>
          </cell>
          <cell r="L2832" t="str">
            <v>GUNU01</v>
          </cell>
          <cell r="M2832" t="str">
            <v>Gunung Semeru</v>
          </cell>
          <cell r="N2832" t="str">
            <v>Semeru Megaraya Agro, PT</v>
          </cell>
          <cell r="O2832" t="str">
            <v>Gajah Mada No. 380 Genteng RT.008 RW.004 Genteng Kulon, Kab. Banyuwangi</v>
          </cell>
          <cell r="P2832" t="str">
            <v>Banyuwangi</v>
          </cell>
          <cell r="Q2832" t="str">
            <v>Gajah Mada No. 380 Genteng RT.008 RW.004 Genteng Kulon, Kab. Banyuwangi</v>
          </cell>
          <cell r="R2832" t="str">
            <v>Banyuwangi</v>
          </cell>
          <cell r="S2832" t="str">
            <v>H Bwi2</v>
          </cell>
          <cell r="T2832" t="str">
            <v>Hafid</v>
          </cell>
          <cell r="U2832">
            <v>60</v>
          </cell>
        </row>
        <row r="2833">
          <cell r="E2833" t="str">
            <v>D25012765</v>
          </cell>
          <cell r="F2833"/>
          <cell r="G2833">
            <v>2600000000</v>
          </cell>
          <cell r="H2833" t="str">
            <v>Faris</v>
          </cell>
          <cell r="I2833" t="str">
            <v>Syahra</v>
          </cell>
          <cell r="J2833"/>
          <cell r="K2833" t="str">
            <v>KU</v>
          </cell>
          <cell r="L2833" t="str">
            <v>GUNU01</v>
          </cell>
          <cell r="M2833" t="str">
            <v>Gunung Semeru</v>
          </cell>
          <cell r="N2833" t="str">
            <v>Semeru Megaraya Agro, PT</v>
          </cell>
          <cell r="O2833" t="str">
            <v>Gajah Mada No. 380 Genteng RT.008 RW.004 Genteng Kulon, Kab. Banyuwangi</v>
          </cell>
          <cell r="P2833" t="str">
            <v>Banyuwangi</v>
          </cell>
          <cell r="Q2833" t="str">
            <v>Gajah Mada No. 380 Genteng RT.008 RW.004 Genteng Kulon, Kab. Banyuwangi</v>
          </cell>
          <cell r="R2833" t="str">
            <v>Banyuwangi</v>
          </cell>
          <cell r="S2833" t="str">
            <v>H Bwi2</v>
          </cell>
          <cell r="T2833" t="str">
            <v>Hafid</v>
          </cell>
          <cell r="U2833">
            <v>60</v>
          </cell>
        </row>
        <row r="2834">
          <cell r="E2834" t="str">
            <v>D25012896</v>
          </cell>
          <cell r="F2834"/>
          <cell r="G2834">
            <v>2600000000</v>
          </cell>
          <cell r="H2834" t="str">
            <v>Faris</v>
          </cell>
          <cell r="I2834" t="str">
            <v>Syahra</v>
          </cell>
          <cell r="J2834"/>
          <cell r="K2834" t="str">
            <v>KU</v>
          </cell>
          <cell r="L2834" t="str">
            <v>GUNU01</v>
          </cell>
          <cell r="M2834" t="str">
            <v>Gunung Semeru</v>
          </cell>
          <cell r="N2834" t="str">
            <v>Semeru Megaraya Agro, PT</v>
          </cell>
          <cell r="O2834" t="str">
            <v>Gajah Mada No. 380 Genteng RT.008 RW.004 Genteng Kulon, Kab. Banyuwangi</v>
          </cell>
          <cell r="P2834" t="str">
            <v>Banyuwangi</v>
          </cell>
          <cell r="Q2834" t="str">
            <v>Gajah Mada No. 380 Genteng RT.008 RW.004 Genteng Kulon, Kab. Banyuwangi</v>
          </cell>
          <cell r="R2834" t="str">
            <v>Banyuwangi</v>
          </cell>
          <cell r="S2834" t="str">
            <v>H Bwi2</v>
          </cell>
          <cell r="T2834" t="str">
            <v>Hafid</v>
          </cell>
          <cell r="U2834">
            <v>60</v>
          </cell>
        </row>
        <row r="2835">
          <cell r="E2835" t="str">
            <v>D25013186</v>
          </cell>
          <cell r="F2835"/>
          <cell r="G2835">
            <v>2600000000</v>
          </cell>
          <cell r="H2835" t="str">
            <v>Faris</v>
          </cell>
          <cell r="I2835" t="str">
            <v>Syahra</v>
          </cell>
          <cell r="J2835"/>
          <cell r="K2835" t="str">
            <v>KU</v>
          </cell>
          <cell r="L2835" t="str">
            <v>GUNU01</v>
          </cell>
          <cell r="M2835" t="str">
            <v>Gunung Semeru</v>
          </cell>
          <cell r="N2835" t="str">
            <v>Semeru Megaraya Agro, PT</v>
          </cell>
          <cell r="O2835" t="str">
            <v>Gajah Mada No. 380 Genteng RT.008 RW.004 Genteng Kulon, Kab. Banyuwangi</v>
          </cell>
          <cell r="P2835" t="str">
            <v>Banyuwangi</v>
          </cell>
          <cell r="Q2835" t="str">
            <v>Gajah Mada No. 380 Genteng RT.008 RW.004 Genteng Kulon, Kab. Banyuwangi</v>
          </cell>
          <cell r="R2835" t="str">
            <v>Banyuwangi</v>
          </cell>
          <cell r="S2835" t="str">
            <v>H Bwi2</v>
          </cell>
          <cell r="T2835" t="str">
            <v>Hafid</v>
          </cell>
          <cell r="U2835">
            <v>60</v>
          </cell>
        </row>
        <row r="2836">
          <cell r="E2836" t="str">
            <v>D25013286</v>
          </cell>
          <cell r="F2836"/>
          <cell r="G2836">
            <v>2600000000</v>
          </cell>
          <cell r="H2836" t="str">
            <v>Faris</v>
          </cell>
          <cell r="I2836" t="str">
            <v>Syahra</v>
          </cell>
          <cell r="J2836"/>
          <cell r="K2836" t="str">
            <v>KU</v>
          </cell>
          <cell r="L2836" t="str">
            <v>GUNU01</v>
          </cell>
          <cell r="M2836" t="str">
            <v>Gunung Semeru</v>
          </cell>
          <cell r="N2836" t="str">
            <v>Semeru Megaraya Agro, PT</v>
          </cell>
          <cell r="O2836" t="str">
            <v>Gajah Mada No. 380 Genteng RT.008 RW.004 Genteng Kulon, Kab. Banyuwangi</v>
          </cell>
          <cell r="P2836" t="str">
            <v>Banyuwangi</v>
          </cell>
          <cell r="Q2836" t="str">
            <v>Gajah Mada No. 380 Genteng RT.008 RW.004 Genteng Kulon, Kab. Banyuwangi</v>
          </cell>
          <cell r="R2836" t="str">
            <v>Banyuwangi</v>
          </cell>
          <cell r="S2836" t="str">
            <v>H Bwi2</v>
          </cell>
          <cell r="T2836" t="str">
            <v>Hafid</v>
          </cell>
          <cell r="U2836">
            <v>60</v>
          </cell>
        </row>
        <row r="2837">
          <cell r="E2837" t="str">
            <v>B25011185</v>
          </cell>
          <cell r="F2837"/>
          <cell r="G2837">
            <v>2600000000</v>
          </cell>
          <cell r="H2837" t="str">
            <v>Faris</v>
          </cell>
          <cell r="I2837" t="str">
            <v>Syahra</v>
          </cell>
          <cell r="J2837"/>
          <cell r="K2837" t="str">
            <v>KU</v>
          </cell>
          <cell r="L2837" t="str">
            <v>GUNU01</v>
          </cell>
          <cell r="M2837" t="str">
            <v>Gunung Semeru</v>
          </cell>
          <cell r="N2837" t="str">
            <v>Semeru Megaraya Agro, PT</v>
          </cell>
          <cell r="O2837" t="str">
            <v>Gajah Mada No. 380 Genteng RT.008 RW.004 Genteng Kulon, Kab. Banyuwangi</v>
          </cell>
          <cell r="P2837" t="str">
            <v>Banyuwangi</v>
          </cell>
          <cell r="Q2837" t="str">
            <v>Gajah Mada No. 380 Genteng RT.008 RW.004 Genteng Kulon, Kab. Banyuwangi</v>
          </cell>
          <cell r="R2837" t="str">
            <v>Banyuwangi</v>
          </cell>
          <cell r="S2837" t="str">
            <v>H Bwi2</v>
          </cell>
          <cell r="T2837" t="str">
            <v>Hafid</v>
          </cell>
          <cell r="U2837">
            <v>60</v>
          </cell>
        </row>
        <row r="2838">
          <cell r="E2838" t="str">
            <v>B25011286</v>
          </cell>
          <cell r="F2838"/>
          <cell r="G2838">
            <v>2600000000</v>
          </cell>
          <cell r="H2838" t="str">
            <v>Faris</v>
          </cell>
          <cell r="I2838" t="str">
            <v>Syahra</v>
          </cell>
          <cell r="J2838"/>
          <cell r="K2838" t="str">
            <v>KU</v>
          </cell>
          <cell r="L2838" t="str">
            <v>GUNU01</v>
          </cell>
          <cell r="M2838" t="str">
            <v>Gunung Semeru</v>
          </cell>
          <cell r="N2838" t="str">
            <v>Semeru Megaraya Agro, PT</v>
          </cell>
          <cell r="O2838" t="str">
            <v>Gajah Mada No. 380 Genteng RT.008 RW.004 Genteng Kulon, Kab. Banyuwangi</v>
          </cell>
          <cell r="P2838" t="str">
            <v>Banyuwangi</v>
          </cell>
          <cell r="Q2838" t="str">
            <v>Gajah Mada No. 380 Genteng RT.008 RW.004 Genteng Kulon, Kab. Banyuwangi</v>
          </cell>
          <cell r="R2838" t="str">
            <v>Banyuwangi</v>
          </cell>
          <cell r="S2838" t="str">
            <v>H Bwi2</v>
          </cell>
          <cell r="T2838" t="str">
            <v>Hafid</v>
          </cell>
          <cell r="U2838">
            <v>60</v>
          </cell>
        </row>
        <row r="2839">
          <cell r="E2839" t="str">
            <v>B25011312</v>
          </cell>
          <cell r="F2839"/>
          <cell r="G2839">
            <v>2600000000</v>
          </cell>
          <cell r="H2839" t="str">
            <v>Faris</v>
          </cell>
          <cell r="I2839" t="str">
            <v>Syahra</v>
          </cell>
          <cell r="J2839"/>
          <cell r="K2839" t="str">
            <v>KU</v>
          </cell>
          <cell r="L2839" t="str">
            <v>GUNU01</v>
          </cell>
          <cell r="M2839" t="str">
            <v>Gunung Semeru</v>
          </cell>
          <cell r="N2839" t="str">
            <v>Semeru Megaraya Agro, PT</v>
          </cell>
          <cell r="O2839" t="str">
            <v>Gajah Mada No. 380 Genteng RT.008 RW.004 Genteng Kulon, Kab. Banyuwangi</v>
          </cell>
          <cell r="P2839" t="str">
            <v>Banyuwangi</v>
          </cell>
          <cell r="Q2839" t="str">
            <v>Gajah Mada No. 380 Genteng RT.008 RW.004 Genteng Kulon, Kab. Banyuwangi</v>
          </cell>
          <cell r="R2839" t="str">
            <v>Banyuwangi</v>
          </cell>
          <cell r="S2839" t="str">
            <v>H Bwi2</v>
          </cell>
          <cell r="T2839" t="str">
            <v>Hafid</v>
          </cell>
          <cell r="U2839">
            <v>60</v>
          </cell>
        </row>
        <row r="2840">
          <cell r="E2840" t="str">
            <v>B25011338</v>
          </cell>
          <cell r="F2840"/>
          <cell r="G2840">
            <v>2600000000</v>
          </cell>
          <cell r="H2840" t="str">
            <v>Faris</v>
          </cell>
          <cell r="I2840" t="str">
            <v>Syahra</v>
          </cell>
          <cell r="J2840"/>
          <cell r="K2840" t="str">
            <v>KU</v>
          </cell>
          <cell r="L2840" t="str">
            <v>GUNU01</v>
          </cell>
          <cell r="M2840" t="str">
            <v>Gunung Semeru</v>
          </cell>
          <cell r="N2840" t="str">
            <v>Semeru Megaraya Agro, PT</v>
          </cell>
          <cell r="O2840" t="str">
            <v>Gajah Mada No. 380 Genteng RT.008 RW.004 Genteng Kulon, Kab. Banyuwangi</v>
          </cell>
          <cell r="P2840" t="str">
            <v>Banyuwangi</v>
          </cell>
          <cell r="Q2840" t="str">
            <v>Gajah Mada No. 380 Genteng RT.008 RW.004 Genteng Kulon, Kab. Banyuwangi</v>
          </cell>
          <cell r="R2840" t="str">
            <v>Banyuwangi</v>
          </cell>
          <cell r="S2840" t="str">
            <v>H Bwi2</v>
          </cell>
          <cell r="T2840" t="str">
            <v>Hafid</v>
          </cell>
          <cell r="U2840">
            <v>60</v>
          </cell>
        </row>
        <row r="2841">
          <cell r="E2841" t="str">
            <v>D25013849</v>
          </cell>
          <cell r="F2841"/>
          <cell r="G2841">
            <v>2600000000</v>
          </cell>
          <cell r="H2841" t="str">
            <v>Faris</v>
          </cell>
          <cell r="I2841" t="str">
            <v>Syahra</v>
          </cell>
          <cell r="J2841"/>
          <cell r="K2841" t="str">
            <v>KU</v>
          </cell>
          <cell r="L2841" t="str">
            <v>GUNU01</v>
          </cell>
          <cell r="M2841" t="str">
            <v>Gunung Semeru</v>
          </cell>
          <cell r="N2841" t="str">
            <v>Semeru Megaraya Agro, PT</v>
          </cell>
          <cell r="O2841" t="str">
            <v>Gajah Mada No. 380 Genteng RT.008 RW.004 Genteng Kulon, Kab. Banyuwangi</v>
          </cell>
          <cell r="P2841" t="str">
            <v>Banyuwangi</v>
          </cell>
          <cell r="Q2841" t="str">
            <v>Gajah Mada No. 380 Genteng RT.008 RW.004 Genteng Kulon, Kab. Banyuwangi</v>
          </cell>
          <cell r="R2841" t="str">
            <v>Banyuwangi</v>
          </cell>
          <cell r="S2841" t="str">
            <v>H Bwi2</v>
          </cell>
          <cell r="T2841" t="str">
            <v>Hafid</v>
          </cell>
          <cell r="U2841">
            <v>60</v>
          </cell>
        </row>
        <row r="2842">
          <cell r="E2842" t="str">
            <v>B25011756</v>
          </cell>
          <cell r="F2842"/>
          <cell r="G2842">
            <v>2600000000</v>
          </cell>
          <cell r="H2842" t="str">
            <v>Faris</v>
          </cell>
          <cell r="I2842" t="str">
            <v>Syahra</v>
          </cell>
          <cell r="J2842"/>
          <cell r="K2842" t="str">
            <v>KU</v>
          </cell>
          <cell r="L2842" t="str">
            <v>GUNU01</v>
          </cell>
          <cell r="M2842" t="str">
            <v>Gunung Semeru</v>
          </cell>
          <cell r="N2842" t="str">
            <v>Semeru Megaraya Agro, PT</v>
          </cell>
          <cell r="O2842" t="str">
            <v>Gajah Mada No. 380 Genteng RT.008 RW.004 Genteng Kulon, Kab. Banyuwangi</v>
          </cell>
          <cell r="P2842" t="str">
            <v>Banyuwangi</v>
          </cell>
          <cell r="Q2842" t="str">
            <v>Gajah Mada No. 380 Genteng RT.008 RW.004 Genteng Kulon, Kab. Banyuwangi</v>
          </cell>
          <cell r="R2842" t="str">
            <v>Banyuwangi</v>
          </cell>
          <cell r="S2842" t="str">
            <v>H Bwi2</v>
          </cell>
          <cell r="T2842" t="str">
            <v>Hafid</v>
          </cell>
          <cell r="U2842">
            <v>60</v>
          </cell>
        </row>
        <row r="2843">
          <cell r="E2843" t="str">
            <v>B25012093</v>
          </cell>
          <cell r="F2843"/>
          <cell r="G2843">
            <v>2600000000</v>
          </cell>
          <cell r="H2843" t="str">
            <v>Faris</v>
          </cell>
          <cell r="I2843" t="str">
            <v>Syahra</v>
          </cell>
          <cell r="J2843"/>
          <cell r="K2843" t="str">
            <v>KU</v>
          </cell>
          <cell r="L2843" t="str">
            <v>GUNU01</v>
          </cell>
          <cell r="M2843" t="str">
            <v>Gunung Semeru</v>
          </cell>
          <cell r="N2843" t="str">
            <v>Semeru Megaraya Agro, PT</v>
          </cell>
          <cell r="O2843" t="str">
            <v>Gajah Mada No. 380 Genteng RT.008 RW.004 Genteng Kulon, Kab. Banyuwangi</v>
          </cell>
          <cell r="P2843" t="str">
            <v>Banyuwangi</v>
          </cell>
          <cell r="Q2843" t="str">
            <v>Gajah Mada No. 380 Genteng RT.008 RW.004 Genteng Kulon, Kab. Banyuwangi</v>
          </cell>
          <cell r="R2843" t="str">
            <v>Banyuwangi</v>
          </cell>
          <cell r="S2843" t="str">
            <v>H Bwi2</v>
          </cell>
          <cell r="T2843" t="str">
            <v>Hafid</v>
          </cell>
          <cell r="U2843">
            <v>60</v>
          </cell>
        </row>
        <row r="2844">
          <cell r="E2844" t="str">
            <v>B25012492</v>
          </cell>
          <cell r="F2844"/>
          <cell r="G2844">
            <v>2600000000</v>
          </cell>
          <cell r="H2844" t="str">
            <v>Faris</v>
          </cell>
          <cell r="I2844" t="str">
            <v>Syahra</v>
          </cell>
          <cell r="J2844"/>
          <cell r="K2844" t="str">
            <v>KU</v>
          </cell>
          <cell r="L2844" t="str">
            <v>GUNU01</v>
          </cell>
          <cell r="M2844" t="str">
            <v>Gunung Semeru</v>
          </cell>
          <cell r="N2844" t="str">
            <v>Semeru Megaraya Agro, PT</v>
          </cell>
          <cell r="O2844" t="str">
            <v>Gajah Mada No. 380 Genteng RT.008 RW.004 Genteng Kulon, Kab. Banyuwangi</v>
          </cell>
          <cell r="P2844" t="str">
            <v>Banyuwangi</v>
          </cell>
          <cell r="Q2844" t="str">
            <v>Gajah Mada No. 380 Genteng RT.008 RW.004 Genteng Kulon, Kab. Banyuwangi</v>
          </cell>
          <cell r="R2844" t="str">
            <v>Banyuwangi</v>
          </cell>
          <cell r="S2844" t="str">
            <v>H Bwi2</v>
          </cell>
          <cell r="T2844" t="str">
            <v>Hafid</v>
          </cell>
          <cell r="U2844">
            <v>60</v>
          </cell>
        </row>
        <row r="2845">
          <cell r="E2845" t="str">
            <v>D25014811</v>
          </cell>
          <cell r="F2845"/>
          <cell r="G2845">
            <v>2600000000</v>
          </cell>
          <cell r="H2845" t="str">
            <v>Faris</v>
          </cell>
          <cell r="I2845" t="str">
            <v>Syahra</v>
          </cell>
          <cell r="J2845"/>
          <cell r="K2845" t="str">
            <v>KU</v>
          </cell>
          <cell r="L2845" t="str">
            <v>GUNU01</v>
          </cell>
          <cell r="M2845" t="str">
            <v>Gunung Semeru</v>
          </cell>
          <cell r="N2845" t="str">
            <v>Semeru Megaraya Agro, PT</v>
          </cell>
          <cell r="O2845" t="str">
            <v>Gajah Mada No. 380 Genteng RT.008 RW.004 Genteng Kulon, Kab. Banyuwangi</v>
          </cell>
          <cell r="P2845" t="str">
            <v>Banyuwangi</v>
          </cell>
          <cell r="Q2845" t="str">
            <v>Gajah Mada No. 380 Genteng RT.008 RW.004 Genteng Kulon, Kab. Banyuwangi</v>
          </cell>
          <cell r="R2845" t="str">
            <v>Banyuwangi</v>
          </cell>
          <cell r="S2845" t="str">
            <v>H Bwi2</v>
          </cell>
          <cell r="T2845" t="str">
            <v>Hafid</v>
          </cell>
          <cell r="U2845">
            <v>60</v>
          </cell>
        </row>
        <row r="2846">
          <cell r="E2846" t="str">
            <v>D25014812</v>
          </cell>
          <cell r="F2846"/>
          <cell r="G2846">
            <v>2600000000</v>
          </cell>
          <cell r="H2846" t="str">
            <v>Faris</v>
          </cell>
          <cell r="I2846" t="str">
            <v>Syahra</v>
          </cell>
          <cell r="J2846"/>
          <cell r="K2846" t="str">
            <v>KU</v>
          </cell>
          <cell r="L2846" t="str">
            <v>GUNU01</v>
          </cell>
          <cell r="M2846" t="str">
            <v>Gunung Semeru</v>
          </cell>
          <cell r="N2846" t="str">
            <v>Semeru Megaraya Agro, PT</v>
          </cell>
          <cell r="O2846" t="str">
            <v>Gajah Mada No. 380 Genteng RT.008 RW.004 Genteng Kulon, Kab. Banyuwangi</v>
          </cell>
          <cell r="P2846" t="str">
            <v>Banyuwangi</v>
          </cell>
          <cell r="Q2846" t="str">
            <v>Gajah Mada No. 380 Genteng RT.008 RW.004 Genteng Kulon, Kab. Banyuwangi</v>
          </cell>
          <cell r="R2846" t="str">
            <v>Banyuwangi</v>
          </cell>
          <cell r="S2846" t="str">
            <v>H Bwi2</v>
          </cell>
          <cell r="T2846" t="str">
            <v>Hafid</v>
          </cell>
          <cell r="U2846">
            <v>60</v>
          </cell>
        </row>
        <row r="2847">
          <cell r="E2847" t="str">
            <v>D25014947</v>
          </cell>
          <cell r="F2847"/>
          <cell r="G2847">
            <v>2600000000</v>
          </cell>
          <cell r="H2847" t="str">
            <v>Faris</v>
          </cell>
          <cell r="I2847" t="str">
            <v>Syahra</v>
          </cell>
          <cell r="J2847"/>
          <cell r="K2847" t="str">
            <v>KU</v>
          </cell>
          <cell r="L2847" t="str">
            <v>GUNU01</v>
          </cell>
          <cell r="M2847" t="str">
            <v>Gunung Semeru</v>
          </cell>
          <cell r="N2847" t="str">
            <v>Semeru Megaraya Agro, PT</v>
          </cell>
          <cell r="O2847" t="str">
            <v>Gajah Mada No. 380 Genteng RT.008 RW.004 Genteng Kulon, Kab. Banyuwangi</v>
          </cell>
          <cell r="P2847" t="str">
            <v>Banyuwangi</v>
          </cell>
          <cell r="Q2847" t="str">
            <v>Gajah Mada No. 380 Genteng RT.008 RW.004 Genteng Kulon, Kab. Banyuwangi</v>
          </cell>
          <cell r="R2847" t="str">
            <v>Banyuwangi</v>
          </cell>
          <cell r="S2847" t="str">
            <v>H Bwi2</v>
          </cell>
          <cell r="T2847" t="str">
            <v>Hafid</v>
          </cell>
          <cell r="U2847">
            <v>60</v>
          </cell>
        </row>
        <row r="2848">
          <cell r="E2848" t="str">
            <v>D25015213</v>
          </cell>
          <cell r="F2848"/>
          <cell r="G2848">
            <v>2600000000</v>
          </cell>
          <cell r="H2848" t="str">
            <v>Faris</v>
          </cell>
          <cell r="I2848" t="str">
            <v>Syahra</v>
          </cell>
          <cell r="J2848"/>
          <cell r="K2848" t="str">
            <v>KU</v>
          </cell>
          <cell r="L2848" t="str">
            <v>GUNU01</v>
          </cell>
          <cell r="M2848" t="str">
            <v>Gunung Semeru</v>
          </cell>
          <cell r="N2848" t="str">
            <v>Semeru Megaraya Agro, PT</v>
          </cell>
          <cell r="O2848" t="str">
            <v>Gajah Mada No. 380 Genteng RT.008 RW.004 Genteng Kulon, Kab. Banyuwangi</v>
          </cell>
          <cell r="P2848" t="str">
            <v>Banyuwangi</v>
          </cell>
          <cell r="Q2848" t="str">
            <v>Gajah Mada No. 380 Genteng RT.008 RW.004 Genteng Kulon, Kab. Banyuwangi</v>
          </cell>
          <cell r="R2848" t="str">
            <v>Banyuwangi</v>
          </cell>
          <cell r="S2848" t="str">
            <v>H Bwi2</v>
          </cell>
          <cell r="T2848" t="str">
            <v>Hafid</v>
          </cell>
          <cell r="U2848">
            <v>60</v>
          </cell>
        </row>
        <row r="2849">
          <cell r="E2849" t="str">
            <v>B25012976</v>
          </cell>
          <cell r="F2849"/>
          <cell r="G2849">
            <v>2600000000</v>
          </cell>
          <cell r="H2849" t="str">
            <v>Faris</v>
          </cell>
          <cell r="I2849" t="str">
            <v>Syahra</v>
          </cell>
          <cell r="J2849"/>
          <cell r="K2849" t="str">
            <v>KU</v>
          </cell>
          <cell r="L2849" t="str">
            <v>GUNU01</v>
          </cell>
          <cell r="M2849" t="str">
            <v>Gunung Semeru</v>
          </cell>
          <cell r="N2849" t="str">
            <v>Semeru Megaraya Agro, PT</v>
          </cell>
          <cell r="O2849" t="str">
            <v>Gajah Mada No. 380 Genteng RT.008 RW.004 Genteng Kulon, Kab. Banyuwangi</v>
          </cell>
          <cell r="P2849" t="str">
            <v>Banyuwangi</v>
          </cell>
          <cell r="Q2849" t="str">
            <v>Gajah Mada No. 380 Genteng RT.008 RW.004 Genteng Kulon, Kab. Banyuwangi</v>
          </cell>
          <cell r="R2849" t="str">
            <v>Banyuwangi</v>
          </cell>
          <cell r="S2849" t="str">
            <v>H Bwi2</v>
          </cell>
          <cell r="T2849" t="str">
            <v>Hafid</v>
          </cell>
          <cell r="U2849">
            <v>60</v>
          </cell>
        </row>
        <row r="2850">
          <cell r="E2850" t="str">
            <v>D25015469</v>
          </cell>
          <cell r="F2850"/>
          <cell r="G2850">
            <v>2600000000</v>
          </cell>
          <cell r="H2850" t="str">
            <v>Faris</v>
          </cell>
          <cell r="I2850" t="str">
            <v>Syahra</v>
          </cell>
          <cell r="J2850"/>
          <cell r="K2850" t="str">
            <v>KU</v>
          </cell>
          <cell r="L2850" t="str">
            <v>GUNU01</v>
          </cell>
          <cell r="M2850" t="str">
            <v>Gunung Semeru</v>
          </cell>
          <cell r="N2850" t="str">
            <v>Semeru Megaraya Agro, PT</v>
          </cell>
          <cell r="O2850" t="str">
            <v>Gajah Mada No. 380 Genteng RT.008 RW.004 Genteng Kulon, Kab. Banyuwangi</v>
          </cell>
          <cell r="P2850" t="str">
            <v>Banyuwangi</v>
          </cell>
          <cell r="Q2850" t="str">
            <v>Gajah Mada No. 380 Genteng RT.008 RW.004 Genteng Kulon, Kab. Banyuwangi</v>
          </cell>
          <cell r="R2850" t="str">
            <v>Banyuwangi</v>
          </cell>
          <cell r="S2850" t="str">
            <v>H Bwi2</v>
          </cell>
          <cell r="T2850" t="str">
            <v>Hafid</v>
          </cell>
          <cell r="U2850">
            <v>60</v>
          </cell>
        </row>
        <row r="2851">
          <cell r="E2851" t="str">
            <v>B25013275</v>
          </cell>
          <cell r="F2851"/>
          <cell r="G2851">
            <v>2600000000</v>
          </cell>
          <cell r="H2851" t="str">
            <v>Faris</v>
          </cell>
          <cell r="I2851" t="str">
            <v>Syahra</v>
          </cell>
          <cell r="J2851"/>
          <cell r="K2851" t="str">
            <v>KU</v>
          </cell>
          <cell r="L2851" t="str">
            <v>GUNU01</v>
          </cell>
          <cell r="M2851" t="str">
            <v>Gunung Semeru</v>
          </cell>
          <cell r="N2851" t="str">
            <v>Semeru Megaraya Agro, PT</v>
          </cell>
          <cell r="O2851" t="str">
            <v>Gajah Mada No. 380 Genteng RT.008 RW.004 Genteng Kulon, Kab. Banyuwangi</v>
          </cell>
          <cell r="P2851" t="str">
            <v>Banyuwangi</v>
          </cell>
          <cell r="Q2851" t="str">
            <v>Gajah Mada No. 380 Genteng RT.008 RW.004 Genteng Kulon, Kab. Banyuwangi</v>
          </cell>
          <cell r="R2851" t="str">
            <v>Banyuwangi</v>
          </cell>
          <cell r="S2851" t="str">
            <v>H Bwi2</v>
          </cell>
          <cell r="T2851" t="str">
            <v>Hafid</v>
          </cell>
          <cell r="U2851">
            <v>60</v>
          </cell>
        </row>
        <row r="2852">
          <cell r="E2852" t="str">
            <v>B25013478</v>
          </cell>
          <cell r="F2852"/>
          <cell r="G2852">
            <v>2600000000</v>
          </cell>
          <cell r="H2852" t="str">
            <v>Faris</v>
          </cell>
          <cell r="I2852" t="str">
            <v>Syahra</v>
          </cell>
          <cell r="J2852"/>
          <cell r="K2852" t="str">
            <v>KU</v>
          </cell>
          <cell r="L2852" t="str">
            <v>GUNU01</v>
          </cell>
          <cell r="M2852" t="str">
            <v>Gunung Semeru</v>
          </cell>
          <cell r="N2852" t="str">
            <v>Semeru Megaraya Agro, PT</v>
          </cell>
          <cell r="O2852" t="str">
            <v>Gajah Mada No. 380 Genteng RT.008 RW.004 Genteng Kulon, Kab. Banyuwangi</v>
          </cell>
          <cell r="P2852" t="str">
            <v>Banyuwangi</v>
          </cell>
          <cell r="Q2852" t="str">
            <v>Gajah Mada No. 380 Genteng RT.008 RW.004 Genteng Kulon, Kab. Banyuwangi</v>
          </cell>
          <cell r="R2852" t="str">
            <v>Banyuwangi</v>
          </cell>
          <cell r="S2852" t="str">
            <v>H Bwi2</v>
          </cell>
          <cell r="T2852" t="str">
            <v>Hafid</v>
          </cell>
          <cell r="U2852">
            <v>60</v>
          </cell>
        </row>
        <row r="2853">
          <cell r="E2853" t="str">
            <v>D25016084</v>
          </cell>
          <cell r="F2853"/>
          <cell r="G2853">
            <v>1000</v>
          </cell>
          <cell r="H2853" t="str">
            <v>Yuyun</v>
          </cell>
          <cell r="I2853" t="str">
            <v>Farida</v>
          </cell>
          <cell r="J2853" t="str">
            <v>New 10/08/23</v>
          </cell>
          <cell r="K2853" t="str">
            <v>KU</v>
          </cell>
          <cell r="L2853" t="str">
            <v>BAHR03</v>
          </cell>
          <cell r="M2853" t="str">
            <v>H Bahri</v>
          </cell>
          <cell r="N2853" t="str">
            <v>M Bahri H</v>
          </cell>
          <cell r="O2853" t="str">
            <v>Dusun Krajan RT.008/RW.003, Kel. Sanenrejo, Kec. Tempurejo</v>
          </cell>
          <cell r="P2853" t="str">
            <v>Jember</v>
          </cell>
          <cell r="Q2853" t="str">
            <v>Sanenrejo</v>
          </cell>
          <cell r="R2853" t="str">
            <v>Jember</v>
          </cell>
          <cell r="S2853" t="str">
            <v>L Kota3</v>
          </cell>
          <cell r="T2853" t="str">
            <v>Wira</v>
          </cell>
          <cell r="U2853">
            <v>0</v>
          </cell>
        </row>
        <row r="2854">
          <cell r="E2854" t="str">
            <v>B25008852</v>
          </cell>
          <cell r="F2854"/>
          <cell r="G2854">
            <v>75000000</v>
          </cell>
          <cell r="H2854" t="str">
            <v>Hendra</v>
          </cell>
          <cell r="I2854" t="str">
            <v>Tiya</v>
          </cell>
          <cell r="J2854" t="str">
            <v>New 26/06/20</v>
          </cell>
          <cell r="K2854" t="str">
            <v>KU</v>
          </cell>
          <cell r="L2854" t="str">
            <v>HADI08</v>
          </cell>
          <cell r="M2854" t="str">
            <v>Hadi Putra, UD</v>
          </cell>
          <cell r="N2854" t="str">
            <v>Lalu Suherman</v>
          </cell>
          <cell r="O2854" t="str">
            <v>Dusun Darmaji, Kel. Darmaji, Kec. Kopang</v>
          </cell>
          <cell r="P2854" t="str">
            <v>Lombok Tengah</v>
          </cell>
          <cell r="Q2854" t="str">
            <v>Dusun Darmaji, Kel. Darmaji, Kec. Kopang</v>
          </cell>
          <cell r="R2854" t="str">
            <v>Lombok Tengah</v>
          </cell>
          <cell r="S2854" t="str">
            <v>E Luar Pulau1</v>
          </cell>
          <cell r="T2854" t="str">
            <v>Muhlisin</v>
          </cell>
          <cell r="U2854">
            <v>45</v>
          </cell>
        </row>
        <row r="2855">
          <cell r="E2855" t="str">
            <v>B25008853</v>
          </cell>
          <cell r="F2855"/>
          <cell r="G2855">
            <v>75000000</v>
          </cell>
          <cell r="H2855" t="str">
            <v>Hendra</v>
          </cell>
          <cell r="I2855" t="str">
            <v>Tiya</v>
          </cell>
          <cell r="J2855" t="str">
            <v>New 26/06/20</v>
          </cell>
          <cell r="K2855" t="str">
            <v>KU</v>
          </cell>
          <cell r="L2855" t="str">
            <v>HADI08</v>
          </cell>
          <cell r="M2855" t="str">
            <v>Hadi Putra, UD</v>
          </cell>
          <cell r="N2855" t="str">
            <v>Lalu Suherman</v>
          </cell>
          <cell r="O2855" t="str">
            <v>Dusun Darmaji, Kel. Darmaji, Kec. Kopang</v>
          </cell>
          <cell r="P2855" t="str">
            <v>Lombok Tengah</v>
          </cell>
          <cell r="Q2855" t="str">
            <v>Dusun Darmaji, Kel. Darmaji, Kec. Kopang</v>
          </cell>
          <cell r="R2855" t="str">
            <v>Lombok Tengah</v>
          </cell>
          <cell r="S2855" t="str">
            <v>E Luar Pulau1</v>
          </cell>
          <cell r="T2855" t="str">
            <v>Muhlisin</v>
          </cell>
          <cell r="U2855">
            <v>45</v>
          </cell>
        </row>
        <row r="2856">
          <cell r="E2856" t="str">
            <v>B25008855</v>
          </cell>
          <cell r="F2856"/>
          <cell r="G2856">
            <v>75000000</v>
          </cell>
          <cell r="H2856" t="str">
            <v>Hendra</v>
          </cell>
          <cell r="I2856" t="str">
            <v>Tiya</v>
          </cell>
          <cell r="J2856" t="str">
            <v>New 26/06/20</v>
          </cell>
          <cell r="K2856" t="str">
            <v>KU</v>
          </cell>
          <cell r="L2856" t="str">
            <v>HADI08</v>
          </cell>
          <cell r="M2856" t="str">
            <v>Hadi Putra, UD</v>
          </cell>
          <cell r="N2856" t="str">
            <v>Lalu Suherman</v>
          </cell>
          <cell r="O2856" t="str">
            <v>Dusun Darmaji, Kel. Darmaji, Kec. Kopang</v>
          </cell>
          <cell r="P2856" t="str">
            <v>Lombok Tengah</v>
          </cell>
          <cell r="Q2856" t="str">
            <v>Dusun Darmaji, Kel. Darmaji, Kec. Kopang</v>
          </cell>
          <cell r="R2856" t="str">
            <v>Lombok Tengah</v>
          </cell>
          <cell r="S2856" t="str">
            <v>E Luar Pulau1</v>
          </cell>
          <cell r="T2856" t="str">
            <v>Muhlisin</v>
          </cell>
          <cell r="U2856">
            <v>45</v>
          </cell>
        </row>
        <row r="2857">
          <cell r="E2857" t="str">
            <v>B25008861</v>
          </cell>
          <cell r="F2857"/>
          <cell r="G2857">
            <v>75000000</v>
          </cell>
          <cell r="H2857" t="str">
            <v>Hendra</v>
          </cell>
          <cell r="I2857" t="str">
            <v>Tiya</v>
          </cell>
          <cell r="J2857" t="str">
            <v>New 26/06/20</v>
          </cell>
          <cell r="K2857" t="str">
            <v>KU</v>
          </cell>
          <cell r="L2857" t="str">
            <v>HADI08</v>
          </cell>
          <cell r="M2857" t="str">
            <v>Hadi Putra, UD</v>
          </cell>
          <cell r="N2857" t="str">
            <v>Lalu Suherman</v>
          </cell>
          <cell r="O2857" t="str">
            <v>Dusun Darmaji, Kel. Darmaji, Kec. Kopang</v>
          </cell>
          <cell r="P2857" t="str">
            <v>Lombok Tengah</v>
          </cell>
          <cell r="Q2857" t="str">
            <v>Dusun Darmaji, Kel. Darmaji, Kec. Kopang</v>
          </cell>
          <cell r="R2857" t="str">
            <v>Lombok Tengah</v>
          </cell>
          <cell r="S2857" t="str">
            <v>E Luar Pulau1</v>
          </cell>
          <cell r="T2857" t="str">
            <v>Muhlisin</v>
          </cell>
          <cell r="U2857">
            <v>45</v>
          </cell>
        </row>
        <row r="2858">
          <cell r="E2858" t="str">
            <v>D25013990</v>
          </cell>
          <cell r="F2858"/>
          <cell r="G2858">
            <v>75000000</v>
          </cell>
          <cell r="H2858" t="str">
            <v>Hendra</v>
          </cell>
          <cell r="I2858" t="str">
            <v>Tiya</v>
          </cell>
          <cell r="J2858" t="str">
            <v>New 26/06/20</v>
          </cell>
          <cell r="K2858" t="str">
            <v>KU</v>
          </cell>
          <cell r="L2858" t="str">
            <v>HADI08</v>
          </cell>
          <cell r="M2858" t="str">
            <v>Hadi Putra, UD</v>
          </cell>
          <cell r="N2858" t="str">
            <v>Lalu Suherman</v>
          </cell>
          <cell r="O2858" t="str">
            <v>Dusun Darmaji, Kel. Darmaji, Kec. Kopang</v>
          </cell>
          <cell r="P2858" t="str">
            <v>Lombok Tengah</v>
          </cell>
          <cell r="Q2858" t="str">
            <v>Dusun Darmaji, Kel. Darmaji, Kec. Kopang</v>
          </cell>
          <cell r="R2858" t="str">
            <v>Lombok Tengah</v>
          </cell>
          <cell r="S2858" t="str">
            <v>E Luar Pulau1</v>
          </cell>
          <cell r="T2858" t="str">
            <v>Muhlisin</v>
          </cell>
          <cell r="U2858">
            <v>45</v>
          </cell>
        </row>
        <row r="2859">
          <cell r="E2859" t="str">
            <v>D25013991</v>
          </cell>
          <cell r="F2859"/>
          <cell r="G2859">
            <v>75000000</v>
          </cell>
          <cell r="H2859" t="str">
            <v>Hendra</v>
          </cell>
          <cell r="I2859" t="str">
            <v>Tiya</v>
          </cell>
          <cell r="J2859" t="str">
            <v>New 26/06/20</v>
          </cell>
          <cell r="K2859" t="str">
            <v>KU</v>
          </cell>
          <cell r="L2859" t="str">
            <v>HADI08</v>
          </cell>
          <cell r="M2859" t="str">
            <v>Hadi Putra, UD</v>
          </cell>
          <cell r="N2859" t="str">
            <v>Lalu Suherman</v>
          </cell>
          <cell r="O2859" t="str">
            <v>Dusun Darmaji, Kel. Darmaji, Kec. Kopang</v>
          </cell>
          <cell r="P2859" t="str">
            <v>Lombok Tengah</v>
          </cell>
          <cell r="Q2859" t="str">
            <v>Dusun Darmaji, Kel. Darmaji, Kec. Kopang</v>
          </cell>
          <cell r="R2859" t="str">
            <v>Lombok Tengah</v>
          </cell>
          <cell r="S2859" t="str">
            <v>E Luar Pulau1</v>
          </cell>
          <cell r="T2859" t="str">
            <v>Muhlisin</v>
          </cell>
          <cell r="U2859">
            <v>45</v>
          </cell>
        </row>
        <row r="2860">
          <cell r="E2860" t="str">
            <v>B25013716</v>
          </cell>
          <cell r="F2860"/>
          <cell r="G2860">
            <v>75000000</v>
          </cell>
          <cell r="H2860" t="str">
            <v>Hendra</v>
          </cell>
          <cell r="I2860" t="str">
            <v>Tiya</v>
          </cell>
          <cell r="J2860" t="str">
            <v>New 26/06/20</v>
          </cell>
          <cell r="K2860" t="str">
            <v>KU</v>
          </cell>
          <cell r="L2860" t="str">
            <v>HADI08</v>
          </cell>
          <cell r="M2860" t="str">
            <v>Hadi Putra, UD</v>
          </cell>
          <cell r="N2860" t="str">
            <v>Lalu Suherman</v>
          </cell>
          <cell r="O2860" t="str">
            <v>Dusun Darmaji, Kel. Darmaji, Kec. Kopang</v>
          </cell>
          <cell r="P2860" t="str">
            <v>Lombok Tengah</v>
          </cell>
          <cell r="Q2860" t="str">
            <v>Dusun Darmaji, Kel. Darmaji, Kec. Kopang</v>
          </cell>
          <cell r="R2860" t="str">
            <v>Lombok Tengah</v>
          </cell>
          <cell r="S2860" t="str">
            <v>E Luar Pulau1</v>
          </cell>
          <cell r="T2860" t="str">
            <v>Muhlisin</v>
          </cell>
          <cell r="U2860">
            <v>45</v>
          </cell>
        </row>
        <row r="2861">
          <cell r="E2861" t="str">
            <v>D25016070</v>
          </cell>
          <cell r="F2861"/>
          <cell r="G2861">
            <v>75000000</v>
          </cell>
          <cell r="H2861" t="str">
            <v>Hendra</v>
          </cell>
          <cell r="I2861" t="str">
            <v>Tiya</v>
          </cell>
          <cell r="J2861" t="str">
            <v>New 26/06/20</v>
          </cell>
          <cell r="K2861" t="str">
            <v>KU</v>
          </cell>
          <cell r="L2861" t="str">
            <v>HADI08</v>
          </cell>
          <cell r="M2861" t="str">
            <v>Hadi Putra, UD</v>
          </cell>
          <cell r="N2861" t="str">
            <v>Lalu Suherman</v>
          </cell>
          <cell r="O2861" t="str">
            <v>Dusun Darmaji, Kel. Darmaji, Kec. Kopang</v>
          </cell>
          <cell r="P2861" t="str">
            <v>Lombok Tengah</v>
          </cell>
          <cell r="Q2861" t="str">
            <v>Dusun Darmaji, Kel. Darmaji, Kec. Kopang</v>
          </cell>
          <cell r="R2861" t="str">
            <v>Lombok Tengah</v>
          </cell>
          <cell r="S2861" t="str">
            <v>E Luar Pulau1</v>
          </cell>
          <cell r="T2861" t="str">
            <v>Muhlisin</v>
          </cell>
          <cell r="U2861">
            <v>45</v>
          </cell>
        </row>
        <row r="2862">
          <cell r="E2862" t="str">
            <v>B25013203</v>
          </cell>
          <cell r="F2862"/>
          <cell r="G2862">
            <v>1000</v>
          </cell>
          <cell r="H2862" t="str">
            <v>Yuyun</v>
          </cell>
          <cell r="I2862" t="str">
            <v>Syahra</v>
          </cell>
          <cell r="J2862"/>
          <cell r="K2862" t="str">
            <v>KU</v>
          </cell>
          <cell r="L2862" t="str">
            <v>HADI06</v>
          </cell>
          <cell r="M2862" t="str">
            <v>Hadi/MIA</v>
          </cell>
          <cell r="N2862" t="str">
            <v>Hadi Riyanto</v>
          </cell>
          <cell r="O2862" t="str">
            <v>Ds. Limbangan, RT.08/RW.01 Limbangan Kersana, Kab. Brebes</v>
          </cell>
          <cell r="P2862" t="str">
            <v>Brebes</v>
          </cell>
          <cell r="Q2862" t="str">
            <v>Brebes</v>
          </cell>
          <cell r="R2862" t="str">
            <v>Brebes</v>
          </cell>
          <cell r="S2862" t="str">
            <v>B Agronomis</v>
          </cell>
          <cell r="T2862" t="str">
            <v>OTHERS</v>
          </cell>
          <cell r="U2862">
            <v>243</v>
          </cell>
        </row>
        <row r="2863">
          <cell r="E2863" t="str">
            <v>B25013215</v>
          </cell>
          <cell r="F2863"/>
          <cell r="G2863">
            <v>1000</v>
          </cell>
          <cell r="H2863" t="str">
            <v>Yuyun</v>
          </cell>
          <cell r="I2863" t="str">
            <v>Syahra</v>
          </cell>
          <cell r="J2863"/>
          <cell r="K2863" t="str">
            <v>KU</v>
          </cell>
          <cell r="L2863" t="str">
            <v>HADI06</v>
          </cell>
          <cell r="M2863" t="str">
            <v>Hadi/MIA</v>
          </cell>
          <cell r="N2863" t="str">
            <v>Hadi Riyanto</v>
          </cell>
          <cell r="O2863" t="str">
            <v>Ds. Limbangan, RT.08/RW.01 Limbangan Kersana, Kab. Brebes</v>
          </cell>
          <cell r="P2863" t="str">
            <v>Brebes</v>
          </cell>
          <cell r="Q2863" t="str">
            <v>Brebes</v>
          </cell>
          <cell r="R2863" t="str">
            <v>Brebes</v>
          </cell>
          <cell r="S2863" t="str">
            <v>B Agronomis</v>
          </cell>
          <cell r="T2863" t="str">
            <v>OTHERS</v>
          </cell>
          <cell r="U2863">
            <v>243</v>
          </cell>
        </row>
        <row r="2864">
          <cell r="E2864" t="str">
            <v>B25013285</v>
          </cell>
          <cell r="F2864"/>
          <cell r="G2864">
            <v>1000</v>
          </cell>
          <cell r="H2864" t="str">
            <v>Yuyun</v>
          </cell>
          <cell r="I2864" t="str">
            <v>Syahra</v>
          </cell>
          <cell r="J2864"/>
          <cell r="K2864" t="str">
            <v>KU</v>
          </cell>
          <cell r="L2864" t="str">
            <v>HADI06</v>
          </cell>
          <cell r="M2864" t="str">
            <v>Hadi/MIA</v>
          </cell>
          <cell r="N2864" t="str">
            <v>Hadi Riyanto</v>
          </cell>
          <cell r="O2864" t="str">
            <v>Ds. Limbangan, RT.08/RW.01 Limbangan Kersana, Kab. Brebes</v>
          </cell>
          <cell r="P2864" t="str">
            <v>Brebes</v>
          </cell>
          <cell r="Q2864" t="str">
            <v>Brebes</v>
          </cell>
          <cell r="R2864" t="str">
            <v>Brebes</v>
          </cell>
          <cell r="S2864" t="str">
            <v>B Agronomis</v>
          </cell>
          <cell r="T2864" t="str">
            <v>OTHERS</v>
          </cell>
          <cell r="U2864">
            <v>243</v>
          </cell>
        </row>
        <row r="2865">
          <cell r="E2865" t="str">
            <v>T24000345</v>
          </cell>
          <cell r="F2865"/>
          <cell r="G2865">
            <v>1000</v>
          </cell>
          <cell r="H2865" t="str">
            <v>Others</v>
          </cell>
          <cell r="I2865" t="str">
            <v>Exclusive</v>
          </cell>
          <cell r="J2865" t="str">
            <v>New 18/03/24</v>
          </cell>
          <cell r="K2865" t="str">
            <v>KU</v>
          </cell>
          <cell r="L2865" t="str">
            <v>HAFI08</v>
          </cell>
          <cell r="M2865" t="str">
            <v>Hafid/Karisma</v>
          </cell>
          <cell r="N2865" t="str">
            <v>Muhammad Nur Hafid</v>
          </cell>
          <cell r="O2865" t="str">
            <v>Dusun Pekulo RT.002/RW.002, Ds. Kepundungan Kec. Srono</v>
          </cell>
          <cell r="P2865" t="str">
            <v>Banyuwangi</v>
          </cell>
          <cell r="Q2865" t="str">
            <v>Dusun Pekulo RT.002/RW.002, Ds. Kepundungan Kec. Srono</v>
          </cell>
          <cell r="R2865" t="str">
            <v>Banyuwangi</v>
          </cell>
          <cell r="S2865" t="str">
            <v>H Bwi2</v>
          </cell>
          <cell r="T2865" t="str">
            <v>Hafid</v>
          </cell>
          <cell r="U2865">
            <v>0</v>
          </cell>
        </row>
        <row r="2866">
          <cell r="E2866" t="str">
            <v>T24000347</v>
          </cell>
          <cell r="F2866"/>
          <cell r="G2866">
            <v>1000</v>
          </cell>
          <cell r="H2866" t="str">
            <v>Others</v>
          </cell>
          <cell r="I2866" t="str">
            <v>Exclusive</v>
          </cell>
          <cell r="J2866" t="str">
            <v>New 18/03/24</v>
          </cell>
          <cell r="K2866" t="str">
            <v>KU</v>
          </cell>
          <cell r="L2866" t="str">
            <v>HAFI08</v>
          </cell>
          <cell r="M2866" t="str">
            <v>Hafid/Karisma</v>
          </cell>
          <cell r="N2866" t="str">
            <v>Muhammad Nur Hafid</v>
          </cell>
          <cell r="O2866" t="str">
            <v>Dusun Pekulo RT.002/RW.002, Ds. Kepundungan Kec. Srono</v>
          </cell>
          <cell r="P2866" t="str">
            <v>Banyuwangi</v>
          </cell>
          <cell r="Q2866" t="str">
            <v>Dusun Pekulo RT.002/RW.002, Ds. Kepundungan Kec. Srono</v>
          </cell>
          <cell r="R2866" t="str">
            <v>Banyuwangi</v>
          </cell>
          <cell r="S2866" t="str">
            <v>H Bwi2</v>
          </cell>
          <cell r="T2866" t="str">
            <v>Hafid</v>
          </cell>
          <cell r="U2866">
            <v>0</v>
          </cell>
        </row>
        <row r="2867">
          <cell r="E2867" t="str">
            <v>T24001188</v>
          </cell>
          <cell r="F2867"/>
          <cell r="G2867">
            <v>1000</v>
          </cell>
          <cell r="H2867" t="str">
            <v>Others</v>
          </cell>
          <cell r="I2867" t="str">
            <v>Exclusive</v>
          </cell>
          <cell r="J2867" t="str">
            <v>New 18/03/24</v>
          </cell>
          <cell r="K2867" t="str">
            <v>KU</v>
          </cell>
          <cell r="L2867" t="str">
            <v>HAFI08</v>
          </cell>
          <cell r="M2867" t="str">
            <v>Hafid/Karisma</v>
          </cell>
          <cell r="N2867" t="str">
            <v>Muhammad Nur Hafid</v>
          </cell>
          <cell r="O2867" t="str">
            <v>Dusun Pekulo RT.002/RW.002, Ds. Kepundungan Kec. Srono</v>
          </cell>
          <cell r="P2867" t="str">
            <v>Banyuwangi</v>
          </cell>
          <cell r="Q2867" t="str">
            <v>Dusun Pekulo RT.002/RW.002, Ds. Kepundungan Kec. Srono</v>
          </cell>
          <cell r="R2867" t="str">
            <v>Banyuwangi</v>
          </cell>
          <cell r="S2867" t="str">
            <v>H Bwi2</v>
          </cell>
          <cell r="T2867" t="str">
            <v>Hafid</v>
          </cell>
          <cell r="U2867">
            <v>0</v>
          </cell>
        </row>
        <row r="2868">
          <cell r="E2868" t="str">
            <v>T25001525</v>
          </cell>
          <cell r="F2868"/>
          <cell r="G2868">
            <v>1000</v>
          </cell>
          <cell r="H2868" t="str">
            <v>Reni</v>
          </cell>
          <cell r="I2868" t="str">
            <v>Farida</v>
          </cell>
          <cell r="J2868" t="str">
            <v>New 13/10//25</v>
          </cell>
          <cell r="K2868" t="str">
            <v>KU</v>
          </cell>
          <cell r="L2868" t="str">
            <v>HAMI08</v>
          </cell>
          <cell r="M2868" t="str">
            <v>Hamira Agro Lestari/Mishbahul</v>
          </cell>
          <cell r="N2868" t="str">
            <v>Mishbahul Munir Amrullah</v>
          </cell>
          <cell r="O2868" t="str">
            <v>Jalan Krajan RT.002, Leran Kulon, Palang</v>
          </cell>
          <cell r="P2868" t="str">
            <v>Tuban</v>
          </cell>
          <cell r="Q2868" t="str">
            <v>Jl. Pemuda RT.007/RW.002, Kel. Dermalang, Kec. Mlansi</v>
          </cell>
          <cell r="R2868" t="str">
            <v>Tuban</v>
          </cell>
          <cell r="S2868" t="str">
            <v>F Utara1</v>
          </cell>
          <cell r="T2868" t="str">
            <v>Dian</v>
          </cell>
          <cell r="U2868">
            <v>0</v>
          </cell>
        </row>
        <row r="2869">
          <cell r="E2869" t="str">
            <v>E23005476</v>
          </cell>
          <cell r="F2869"/>
          <cell r="G2869">
            <v>1000</v>
          </cell>
          <cell r="H2869" t="str">
            <v>Yuyun</v>
          </cell>
          <cell r="I2869" t="str">
            <v>Farida</v>
          </cell>
          <cell r="J2869"/>
          <cell r="K2869" t="str">
            <v>KU</v>
          </cell>
          <cell r="L2869" t="str">
            <v>HANC 01</v>
          </cell>
          <cell r="M2869" t="str">
            <v>Han Cin</v>
          </cell>
          <cell r="N2869" t="str">
            <v>Han Cin</v>
          </cell>
          <cell r="O2869" t="str">
            <v>Jember</v>
          </cell>
          <cell r="P2869" t="str">
            <v>Jember</v>
          </cell>
          <cell r="Q2869" t="str">
            <v>Jember</v>
          </cell>
          <cell r="R2869" t="str">
            <v>Jember</v>
          </cell>
          <cell r="S2869" t="str">
            <v>L Kota1</v>
          </cell>
          <cell r="T2869" t="str">
            <v>Wira</v>
          </cell>
          <cell r="U2869">
            <v>0</v>
          </cell>
        </row>
        <row r="2870">
          <cell r="E2870" t="str">
            <v>O23000040</v>
          </cell>
          <cell r="F2870"/>
          <cell r="G2870">
            <v>1000</v>
          </cell>
          <cell r="H2870" t="str">
            <v>Yuyun</v>
          </cell>
          <cell r="I2870" t="str">
            <v>Farida</v>
          </cell>
          <cell r="J2870"/>
          <cell r="K2870" t="str">
            <v>KU</v>
          </cell>
          <cell r="L2870" t="str">
            <v>HANC 01</v>
          </cell>
          <cell r="M2870" t="str">
            <v>Han Cin</v>
          </cell>
          <cell r="N2870" t="str">
            <v>Han Cin</v>
          </cell>
          <cell r="O2870" t="str">
            <v>Jember</v>
          </cell>
          <cell r="P2870" t="str">
            <v>Jember</v>
          </cell>
          <cell r="Q2870" t="str">
            <v>Jember</v>
          </cell>
          <cell r="R2870" t="str">
            <v>Jember</v>
          </cell>
          <cell r="S2870" t="str">
            <v>L Kota1</v>
          </cell>
          <cell r="T2870" t="str">
            <v>Wira</v>
          </cell>
          <cell r="U2870">
            <v>0</v>
          </cell>
        </row>
        <row r="2871">
          <cell r="E2871" t="str">
            <v>E23005501</v>
          </cell>
          <cell r="F2871"/>
          <cell r="G2871">
            <v>1000</v>
          </cell>
          <cell r="H2871" t="str">
            <v>Yuyun</v>
          </cell>
          <cell r="I2871" t="str">
            <v>Farida</v>
          </cell>
          <cell r="J2871"/>
          <cell r="K2871" t="str">
            <v>KU</v>
          </cell>
          <cell r="L2871" t="str">
            <v>HANC 01</v>
          </cell>
          <cell r="M2871" t="str">
            <v>Han Cin</v>
          </cell>
          <cell r="N2871" t="str">
            <v>Han Cin</v>
          </cell>
          <cell r="O2871" t="str">
            <v>Jember</v>
          </cell>
          <cell r="P2871" t="str">
            <v>Jember</v>
          </cell>
          <cell r="Q2871" t="str">
            <v>Jember</v>
          </cell>
          <cell r="R2871" t="str">
            <v>Jember</v>
          </cell>
          <cell r="S2871" t="str">
            <v>L Kota1</v>
          </cell>
          <cell r="T2871" t="str">
            <v>Wira</v>
          </cell>
          <cell r="U2871">
            <v>0</v>
          </cell>
        </row>
        <row r="2872">
          <cell r="E2872" t="str">
            <v>O23000041</v>
          </cell>
          <cell r="F2872"/>
          <cell r="G2872">
            <v>1000</v>
          </cell>
          <cell r="H2872" t="str">
            <v>Yuyun</v>
          </cell>
          <cell r="I2872" t="str">
            <v>Farida</v>
          </cell>
          <cell r="J2872"/>
          <cell r="K2872" t="str">
            <v>KU</v>
          </cell>
          <cell r="L2872" t="str">
            <v>HANC 01</v>
          </cell>
          <cell r="M2872" t="str">
            <v>Han Cin</v>
          </cell>
          <cell r="N2872" t="str">
            <v>Han Cin</v>
          </cell>
          <cell r="O2872" t="str">
            <v>Jember</v>
          </cell>
          <cell r="P2872" t="str">
            <v>Jember</v>
          </cell>
          <cell r="Q2872" t="str">
            <v>Jember</v>
          </cell>
          <cell r="R2872" t="str">
            <v>Jember</v>
          </cell>
          <cell r="S2872" t="str">
            <v>L Kota1</v>
          </cell>
          <cell r="T2872" t="str">
            <v>Wira</v>
          </cell>
          <cell r="U2872">
            <v>0</v>
          </cell>
        </row>
        <row r="2873">
          <cell r="E2873" t="str">
            <v>O23000042</v>
          </cell>
          <cell r="F2873"/>
          <cell r="G2873">
            <v>1000</v>
          </cell>
          <cell r="H2873" t="str">
            <v>Yuyun</v>
          </cell>
          <cell r="I2873" t="str">
            <v>Farida</v>
          </cell>
          <cell r="J2873"/>
          <cell r="K2873" t="str">
            <v>KU</v>
          </cell>
          <cell r="L2873" t="str">
            <v>HANC 01</v>
          </cell>
          <cell r="M2873" t="str">
            <v>Han Cin</v>
          </cell>
          <cell r="N2873" t="str">
            <v>Han Cin</v>
          </cell>
          <cell r="O2873" t="str">
            <v>Jember</v>
          </cell>
          <cell r="P2873" t="str">
            <v>Jember</v>
          </cell>
          <cell r="Q2873" t="str">
            <v>Jember</v>
          </cell>
          <cell r="R2873" t="str">
            <v>Jember</v>
          </cell>
          <cell r="S2873" t="str">
            <v>L Kota1</v>
          </cell>
          <cell r="T2873" t="str">
            <v>Wira</v>
          </cell>
          <cell r="U2873">
            <v>0</v>
          </cell>
        </row>
        <row r="2874">
          <cell r="E2874" t="str">
            <v>E23005700</v>
          </cell>
          <cell r="F2874"/>
          <cell r="G2874">
            <v>1000</v>
          </cell>
          <cell r="H2874" t="str">
            <v>Yuyun</v>
          </cell>
          <cell r="I2874" t="str">
            <v>Farida</v>
          </cell>
          <cell r="J2874"/>
          <cell r="K2874" t="str">
            <v>KU</v>
          </cell>
          <cell r="L2874" t="str">
            <v>HANC 01</v>
          </cell>
          <cell r="M2874" t="str">
            <v>Han Cin</v>
          </cell>
          <cell r="N2874" t="str">
            <v>Han Cin</v>
          </cell>
          <cell r="O2874" t="str">
            <v>Jember</v>
          </cell>
          <cell r="P2874" t="str">
            <v>Jember</v>
          </cell>
          <cell r="Q2874" t="str">
            <v>Jember</v>
          </cell>
          <cell r="R2874" t="str">
            <v>Jember</v>
          </cell>
          <cell r="S2874" t="str">
            <v>L Kota1</v>
          </cell>
          <cell r="T2874" t="str">
            <v>Wira</v>
          </cell>
          <cell r="U2874">
            <v>0</v>
          </cell>
        </row>
        <row r="2875">
          <cell r="E2875" t="str">
            <v>T25000574</v>
          </cell>
          <cell r="F2875"/>
          <cell r="G2875">
            <v>1000</v>
          </cell>
          <cell r="H2875" t="str">
            <v>Yuyun</v>
          </cell>
          <cell r="I2875" t="str">
            <v>Farida</v>
          </cell>
          <cell r="J2875"/>
          <cell r="K2875" t="str">
            <v>KU</v>
          </cell>
          <cell r="L2875" t="str">
            <v>HANC 01</v>
          </cell>
          <cell r="M2875" t="str">
            <v>Han Cin</v>
          </cell>
          <cell r="N2875" t="str">
            <v>Han Cin</v>
          </cell>
          <cell r="O2875" t="str">
            <v>Jember</v>
          </cell>
          <cell r="P2875" t="str">
            <v>Jember</v>
          </cell>
          <cell r="Q2875" t="str">
            <v>Jember</v>
          </cell>
          <cell r="R2875" t="str">
            <v>Jember</v>
          </cell>
          <cell r="S2875" t="str">
            <v>L Kota1</v>
          </cell>
          <cell r="T2875" t="str">
            <v>Wira</v>
          </cell>
          <cell r="U2875">
            <v>0</v>
          </cell>
        </row>
        <row r="2876">
          <cell r="E2876" t="str">
            <v>T25000653</v>
          </cell>
          <cell r="F2876"/>
          <cell r="G2876">
            <v>1000</v>
          </cell>
          <cell r="H2876" t="str">
            <v>Yuyun</v>
          </cell>
          <cell r="I2876" t="str">
            <v>Farida</v>
          </cell>
          <cell r="J2876"/>
          <cell r="K2876" t="str">
            <v>KU</v>
          </cell>
          <cell r="L2876" t="str">
            <v>HANC 01</v>
          </cell>
          <cell r="M2876" t="str">
            <v>Han Cin</v>
          </cell>
          <cell r="N2876" t="str">
            <v>Han Cin</v>
          </cell>
          <cell r="O2876" t="str">
            <v>Jember</v>
          </cell>
          <cell r="P2876" t="str">
            <v>Jember</v>
          </cell>
          <cell r="Q2876" t="str">
            <v>Jember</v>
          </cell>
          <cell r="R2876" t="str">
            <v>Jember</v>
          </cell>
          <cell r="S2876" t="str">
            <v>L Kota1</v>
          </cell>
          <cell r="T2876" t="str">
            <v>Wira</v>
          </cell>
          <cell r="U2876">
            <v>0</v>
          </cell>
        </row>
        <row r="2877">
          <cell r="E2877" t="str">
            <v>B25008183</v>
          </cell>
          <cell r="F2877"/>
          <cell r="G2877">
            <v>1000</v>
          </cell>
          <cell r="H2877" t="str">
            <v>Yuyun</v>
          </cell>
          <cell r="I2877" t="str">
            <v>Farida</v>
          </cell>
          <cell r="J2877"/>
          <cell r="K2877" t="str">
            <v>KU</v>
          </cell>
          <cell r="L2877" t="str">
            <v>HANC 01</v>
          </cell>
          <cell r="M2877" t="str">
            <v>Han Cin</v>
          </cell>
          <cell r="N2877" t="str">
            <v>Han Cin</v>
          </cell>
          <cell r="O2877" t="str">
            <v>Jember</v>
          </cell>
          <cell r="P2877" t="str">
            <v>Jember</v>
          </cell>
          <cell r="Q2877" t="str">
            <v>Jember</v>
          </cell>
          <cell r="R2877" t="str">
            <v>Jember</v>
          </cell>
          <cell r="S2877" t="str">
            <v>L Kota1</v>
          </cell>
          <cell r="T2877" t="str">
            <v>Wira</v>
          </cell>
          <cell r="U2877">
            <v>30</v>
          </cell>
        </row>
        <row r="2878">
          <cell r="E2878" t="str">
            <v>D25015397</v>
          </cell>
          <cell r="F2878"/>
          <cell r="G2878">
            <v>1000</v>
          </cell>
          <cell r="H2878" t="str">
            <v>Yuyun</v>
          </cell>
          <cell r="I2878" t="str">
            <v>Farida</v>
          </cell>
          <cell r="J2878"/>
          <cell r="K2878" t="str">
            <v>KU</v>
          </cell>
          <cell r="L2878" t="str">
            <v>HANC 01</v>
          </cell>
          <cell r="M2878" t="str">
            <v>Han Cin</v>
          </cell>
          <cell r="N2878" t="str">
            <v>Han Cin</v>
          </cell>
          <cell r="O2878" t="str">
            <v>Jember</v>
          </cell>
          <cell r="P2878" t="str">
            <v>Jember</v>
          </cell>
          <cell r="Q2878" t="str">
            <v>Jember</v>
          </cell>
          <cell r="R2878" t="str">
            <v>Jember</v>
          </cell>
          <cell r="S2878" t="str">
            <v>L Kota1</v>
          </cell>
          <cell r="T2878" t="str">
            <v>Wira</v>
          </cell>
          <cell r="U2878">
            <v>0</v>
          </cell>
        </row>
        <row r="2879">
          <cell r="E2879" t="str">
            <v>D25015846</v>
          </cell>
          <cell r="F2879"/>
          <cell r="G2879">
            <v>1000</v>
          </cell>
          <cell r="H2879" t="str">
            <v>Yuyun</v>
          </cell>
          <cell r="I2879" t="str">
            <v>Farida</v>
          </cell>
          <cell r="J2879"/>
          <cell r="K2879" t="str">
            <v>KU</v>
          </cell>
          <cell r="L2879" t="str">
            <v>HANC 01</v>
          </cell>
          <cell r="M2879" t="str">
            <v>Han Cin</v>
          </cell>
          <cell r="N2879" t="str">
            <v>Han Cin</v>
          </cell>
          <cell r="O2879" t="str">
            <v>Jember</v>
          </cell>
          <cell r="P2879" t="str">
            <v>Jember</v>
          </cell>
          <cell r="Q2879" t="str">
            <v>Jember</v>
          </cell>
          <cell r="R2879" t="str">
            <v>Jember</v>
          </cell>
          <cell r="S2879" t="str">
            <v>L Kota1</v>
          </cell>
          <cell r="T2879" t="str">
            <v>Wira</v>
          </cell>
          <cell r="U2879">
            <v>0</v>
          </cell>
        </row>
        <row r="2880">
          <cell r="E2880" t="str">
            <v>B25008819</v>
          </cell>
          <cell r="F2880"/>
          <cell r="G2880">
            <v>30000000</v>
          </cell>
          <cell r="H2880" t="str">
            <v>Reni</v>
          </cell>
          <cell r="I2880" t="str">
            <v>Farida</v>
          </cell>
          <cell r="J2880" t="str">
            <v>New 15/06/23</v>
          </cell>
          <cell r="K2880" t="str">
            <v>KU</v>
          </cell>
          <cell r="L2880" t="str">
            <v>HAND06</v>
          </cell>
          <cell r="M2880" t="str">
            <v>Handal Tani/Handal</v>
          </cell>
          <cell r="N2880" t="str">
            <v>Mochammad Handal W.</v>
          </cell>
          <cell r="O2880" t="str">
            <v>Jl. Raya Tulusbesar RT.001/RW.001, Tulusbesar, Tumpang</v>
          </cell>
          <cell r="P2880" t="str">
            <v>Malang</v>
          </cell>
          <cell r="Q2880" t="str">
            <v>Jl. Raya Tulusbesar 13-31, Kemulan, Tumpang</v>
          </cell>
          <cell r="R2880" t="str">
            <v>Malang</v>
          </cell>
          <cell r="S2880" t="str">
            <v>F Utara1</v>
          </cell>
          <cell r="T2880" t="str">
            <v>Tomi</v>
          </cell>
          <cell r="U2880">
            <v>60</v>
          </cell>
        </row>
        <row r="2881">
          <cell r="E2881" t="str">
            <v>B25008819</v>
          </cell>
          <cell r="F2881"/>
          <cell r="G2881">
            <v>30000000</v>
          </cell>
          <cell r="H2881" t="str">
            <v>Reni</v>
          </cell>
          <cell r="I2881" t="str">
            <v>Farida</v>
          </cell>
          <cell r="J2881" t="str">
            <v>New 15/06/23</v>
          </cell>
          <cell r="K2881" t="str">
            <v>KU</v>
          </cell>
          <cell r="L2881" t="str">
            <v>HAND06</v>
          </cell>
          <cell r="M2881" t="str">
            <v>Handal Tani/Handal</v>
          </cell>
          <cell r="N2881" t="str">
            <v>Mochammad Handal W.</v>
          </cell>
          <cell r="O2881" t="str">
            <v>Jl. Raya Tulusbesar RT.001/RW.001, Tulusbesar, Tumpang</v>
          </cell>
          <cell r="P2881" t="str">
            <v>Malang</v>
          </cell>
          <cell r="Q2881" t="str">
            <v>Jl. Raya Tulusbesar 13-31, Kemulan, Tumpang</v>
          </cell>
          <cell r="R2881" t="str">
            <v>Malang</v>
          </cell>
          <cell r="S2881" t="str">
            <v>F Utara1</v>
          </cell>
          <cell r="T2881" t="str">
            <v>Tomi</v>
          </cell>
          <cell r="U2881">
            <v>60</v>
          </cell>
        </row>
        <row r="2882">
          <cell r="E2882" t="str">
            <v>B25010706</v>
          </cell>
          <cell r="F2882"/>
          <cell r="G2882">
            <v>30000000</v>
          </cell>
          <cell r="H2882" t="str">
            <v>Reni</v>
          </cell>
          <cell r="I2882" t="str">
            <v>Farida</v>
          </cell>
          <cell r="J2882" t="str">
            <v>New 15/06/23</v>
          </cell>
          <cell r="K2882" t="str">
            <v>KU</v>
          </cell>
          <cell r="L2882" t="str">
            <v>HAND06</v>
          </cell>
          <cell r="M2882" t="str">
            <v>Handal Tani/Handal</v>
          </cell>
          <cell r="N2882" t="str">
            <v>Mochammad Handal W.</v>
          </cell>
          <cell r="O2882" t="str">
            <v>Jl. Raya Tulusbesar RT.001/RW.001, Tulusbesar, Tumpang</v>
          </cell>
          <cell r="P2882" t="str">
            <v>Malang</v>
          </cell>
          <cell r="Q2882" t="str">
            <v>Jl. Raya Tulusbesar 13-31, Kemulan, Tumpang</v>
          </cell>
          <cell r="R2882" t="str">
            <v>Malang</v>
          </cell>
          <cell r="S2882" t="str">
            <v>F Utara1</v>
          </cell>
          <cell r="T2882" t="str">
            <v>Tomi</v>
          </cell>
          <cell r="U2882">
            <v>60</v>
          </cell>
        </row>
        <row r="2883">
          <cell r="E2883" t="str">
            <v>T25001386</v>
          </cell>
          <cell r="F2883"/>
          <cell r="G2883">
            <v>30000000</v>
          </cell>
          <cell r="H2883" t="str">
            <v>Reni</v>
          </cell>
          <cell r="I2883" t="str">
            <v>Farida</v>
          </cell>
          <cell r="J2883" t="str">
            <v>New 15/06/23</v>
          </cell>
          <cell r="K2883" t="str">
            <v>KU</v>
          </cell>
          <cell r="L2883" t="str">
            <v>HAND06</v>
          </cell>
          <cell r="M2883" t="str">
            <v>Handal Tani/Handal</v>
          </cell>
          <cell r="N2883" t="str">
            <v>Mochammad Handal W.</v>
          </cell>
          <cell r="O2883" t="str">
            <v>Jl. Raya Tulusbesar RT.001/RW.001, Tulusbesar, Tumpang</v>
          </cell>
          <cell r="P2883" t="str">
            <v>Malang</v>
          </cell>
          <cell r="Q2883" t="str">
            <v>Jl. Raya Tulusbesar 13-31, Kemulan, Tumpang</v>
          </cell>
          <cell r="R2883" t="str">
            <v>Malang</v>
          </cell>
          <cell r="S2883" t="str">
            <v>F Utara1</v>
          </cell>
          <cell r="T2883" t="str">
            <v>Tomi</v>
          </cell>
          <cell r="U2883">
            <v>60</v>
          </cell>
        </row>
        <row r="2884">
          <cell r="E2884" t="str">
            <v>B25012862</v>
          </cell>
          <cell r="F2884"/>
          <cell r="G2884">
            <v>30000000</v>
          </cell>
          <cell r="H2884" t="str">
            <v>Reni</v>
          </cell>
          <cell r="I2884" t="str">
            <v>Farida</v>
          </cell>
          <cell r="J2884" t="str">
            <v>New 15/06/23</v>
          </cell>
          <cell r="K2884" t="str">
            <v>KU</v>
          </cell>
          <cell r="L2884" t="str">
            <v>HAND06</v>
          </cell>
          <cell r="M2884" t="str">
            <v>Handal Tani/Handal</v>
          </cell>
          <cell r="N2884" t="str">
            <v>Mochammad Handal W.</v>
          </cell>
          <cell r="O2884" t="str">
            <v>Jl. Raya Tulusbesar RT.001/RW.001, Tulusbesar, Tumpang</v>
          </cell>
          <cell r="P2884" t="str">
            <v>Malang</v>
          </cell>
          <cell r="Q2884" t="str">
            <v>Jl. Raya Tulusbesar 13-31, Kemulan, Tumpang</v>
          </cell>
          <cell r="R2884" t="str">
            <v>Malang</v>
          </cell>
          <cell r="S2884" t="str">
            <v>F Utara1</v>
          </cell>
          <cell r="T2884" t="str">
            <v>Tomi</v>
          </cell>
          <cell r="U2884">
            <v>0</v>
          </cell>
        </row>
        <row r="2885">
          <cell r="E2885" t="str">
            <v>B25013739</v>
          </cell>
          <cell r="F2885"/>
          <cell r="G2885">
            <v>30000000</v>
          </cell>
          <cell r="H2885" t="str">
            <v>Reni</v>
          </cell>
          <cell r="I2885" t="str">
            <v>Farida</v>
          </cell>
          <cell r="J2885" t="str">
            <v>New 15/06/23</v>
          </cell>
          <cell r="K2885" t="str">
            <v>KU</v>
          </cell>
          <cell r="L2885" t="str">
            <v>HAND06</v>
          </cell>
          <cell r="M2885" t="str">
            <v>Handal Tani/Handal</v>
          </cell>
          <cell r="N2885" t="str">
            <v>Mochammad Handal W.</v>
          </cell>
          <cell r="O2885" t="str">
            <v>Jl. Raya Tulusbesar RT.001/RW.001, Tulusbesar, Tumpang</v>
          </cell>
          <cell r="P2885" t="str">
            <v>Malang</v>
          </cell>
          <cell r="Q2885" t="str">
            <v>Jl. Raya Tulusbesar 13-31, Kemulan, Tumpang</v>
          </cell>
          <cell r="R2885" t="str">
            <v>Malang</v>
          </cell>
          <cell r="S2885" t="str">
            <v>F Utara1</v>
          </cell>
          <cell r="T2885" t="str">
            <v>Tomi</v>
          </cell>
          <cell r="U2885">
            <v>60</v>
          </cell>
        </row>
        <row r="2886">
          <cell r="E2886" t="str">
            <v>L25000050</v>
          </cell>
          <cell r="F2886"/>
          <cell r="G2886">
            <v>1000</v>
          </cell>
          <cell r="H2886" t="str">
            <v>Others</v>
          </cell>
          <cell r="I2886" t="str">
            <v>Exclusive</v>
          </cell>
          <cell r="J2886" t="str">
            <v>New 22/10/25</v>
          </cell>
          <cell r="K2886" t="str">
            <v>KU</v>
          </cell>
          <cell r="L2886" t="str">
            <v>HAND09</v>
          </cell>
          <cell r="M2886" t="str">
            <v>Handang/Mitoku</v>
          </cell>
          <cell r="N2886" t="str">
            <v>Handang/Mitoku</v>
          </cell>
          <cell r="O2886" t="str">
            <v>Jember</v>
          </cell>
          <cell r="P2886" t="str">
            <v>Jember</v>
          </cell>
          <cell r="Q2886" t="str">
            <v>Jember</v>
          </cell>
          <cell r="R2886" t="str">
            <v>Jember</v>
          </cell>
          <cell r="S2886" t="str">
            <v>B Agronomis</v>
          </cell>
          <cell r="T2886" t="str">
            <v>OTHERS</v>
          </cell>
          <cell r="U2886">
            <v>0</v>
          </cell>
        </row>
        <row r="2887">
          <cell r="E2887" t="str">
            <v>D25011044</v>
          </cell>
          <cell r="F2887"/>
          <cell r="G2887">
            <v>100000000</v>
          </cell>
          <cell r="H2887" t="str">
            <v>Faris</v>
          </cell>
          <cell r="I2887" t="str">
            <v>Syahra</v>
          </cell>
          <cell r="J2887"/>
          <cell r="K2887" t="str">
            <v>Tunai</v>
          </cell>
          <cell r="L2887" t="str">
            <v>HAND01</v>
          </cell>
          <cell r="M2887" t="str">
            <v>Handayani, UD</v>
          </cell>
          <cell r="N2887" t="str">
            <v>Siti Suci Nurani</v>
          </cell>
          <cell r="O2887" t="str">
            <v>Jl. Anggrek No.02, RT.002/RW.002, Kel. Boyolangu, Kec. Giri</v>
          </cell>
          <cell r="P2887" t="str">
            <v>Banyuwangi</v>
          </cell>
          <cell r="Q2887" t="str">
            <v>Anggrek No. 2 Banyuwangi</v>
          </cell>
          <cell r="R2887" t="str">
            <v>Banyuwangi</v>
          </cell>
          <cell r="S2887" t="str">
            <v>H Bwi1</v>
          </cell>
          <cell r="T2887" t="str">
            <v>Hafid</v>
          </cell>
          <cell r="U2887">
            <v>60</v>
          </cell>
        </row>
        <row r="2888">
          <cell r="E2888" t="str">
            <v>B25010044</v>
          </cell>
          <cell r="F2888"/>
          <cell r="G2888">
            <v>750000000</v>
          </cell>
          <cell r="H2888" t="str">
            <v>Hendra</v>
          </cell>
          <cell r="I2888" t="str">
            <v>Tiya</v>
          </cell>
          <cell r="J2888"/>
          <cell r="K2888" t="str">
            <v>KU</v>
          </cell>
          <cell r="L2888" t="str">
            <v>HARA11</v>
          </cell>
          <cell r="M2888" t="str">
            <v>Harapan Agro Tani, PT</v>
          </cell>
          <cell r="N2888" t="str">
            <v>Amerta Agro Gemilang, PT</v>
          </cell>
          <cell r="O2888" t="str">
            <v>JL. Pelita Marga Mas C 5 RT.004/RW.003, Gaddong, Bontoala</v>
          </cell>
          <cell r="P2888" t="str">
            <v>Makasar - SULSEL</v>
          </cell>
          <cell r="Q2888" t="str">
            <v>Jl. Pelita Marga Mas No. C5 Gaddong, Bontoala</v>
          </cell>
          <cell r="R2888" t="str">
            <v>Makasar - SULSEL</v>
          </cell>
          <cell r="S2888" t="str">
            <v>E Luar Pulau1</v>
          </cell>
          <cell r="T2888" t="str">
            <v>Non SE &amp; JSE</v>
          </cell>
          <cell r="U2888">
            <v>45</v>
          </cell>
        </row>
        <row r="2889">
          <cell r="E2889" t="str">
            <v>B25010126</v>
          </cell>
          <cell r="F2889"/>
          <cell r="G2889">
            <v>750000000</v>
          </cell>
          <cell r="H2889" t="str">
            <v>Hendra</v>
          </cell>
          <cell r="I2889" t="str">
            <v>Tiya</v>
          </cell>
          <cell r="J2889"/>
          <cell r="K2889" t="str">
            <v>KU</v>
          </cell>
          <cell r="L2889" t="str">
            <v>HARA11</v>
          </cell>
          <cell r="M2889" t="str">
            <v>Harapan Agro Tani, PT</v>
          </cell>
          <cell r="N2889" t="str">
            <v>Amerta Agro Gemilang, PT</v>
          </cell>
          <cell r="O2889" t="str">
            <v>JL. Pelita Marga Mas C 5 RT.004/RW.003, Gaddong, Bontoala</v>
          </cell>
          <cell r="P2889" t="str">
            <v>Makasar - SULSEL</v>
          </cell>
          <cell r="Q2889" t="str">
            <v>Jl. Pelita Marga Mas No. C5 Gaddong, Bontoala</v>
          </cell>
          <cell r="R2889" t="str">
            <v>Makasar - SULSEL</v>
          </cell>
          <cell r="S2889" t="str">
            <v>E Luar Pulau1</v>
          </cell>
          <cell r="T2889" t="str">
            <v>Non SE &amp; JSE</v>
          </cell>
          <cell r="U2889">
            <v>45</v>
          </cell>
        </row>
        <row r="2890">
          <cell r="E2890" t="str">
            <v>B25010126</v>
          </cell>
          <cell r="F2890"/>
          <cell r="G2890">
            <v>750000000</v>
          </cell>
          <cell r="H2890" t="str">
            <v>Hendra</v>
          </cell>
          <cell r="I2890" t="str">
            <v>Tiya</v>
          </cell>
          <cell r="J2890"/>
          <cell r="K2890" t="str">
            <v>KU</v>
          </cell>
          <cell r="L2890" t="str">
            <v>HARA11</v>
          </cell>
          <cell r="M2890" t="str">
            <v>Harapan Agro Tani, PT</v>
          </cell>
          <cell r="N2890" t="str">
            <v>Amerta Agro Gemilang, PT</v>
          </cell>
          <cell r="O2890" t="str">
            <v>JL. Pelita Marga Mas C 5 RT.004/RW.003, Gaddong, Bontoala</v>
          </cell>
          <cell r="P2890" t="str">
            <v>Makasar - SULSEL</v>
          </cell>
          <cell r="Q2890" t="str">
            <v>Jl. Pelita Marga Mas No. C5 Gaddong, Bontoala</v>
          </cell>
          <cell r="R2890" t="str">
            <v>Makasar - SULSEL</v>
          </cell>
          <cell r="S2890" t="str">
            <v>E Luar Pulau1</v>
          </cell>
          <cell r="T2890" t="str">
            <v>Non SE &amp; JSE</v>
          </cell>
          <cell r="U2890">
            <v>45</v>
          </cell>
        </row>
        <row r="2891">
          <cell r="E2891" t="str">
            <v>B25010533</v>
          </cell>
          <cell r="F2891"/>
          <cell r="G2891">
            <v>750000000</v>
          </cell>
          <cell r="H2891" t="str">
            <v>Hendra</v>
          </cell>
          <cell r="I2891" t="str">
            <v>Tiya</v>
          </cell>
          <cell r="J2891"/>
          <cell r="K2891" t="str">
            <v>KU</v>
          </cell>
          <cell r="L2891" t="str">
            <v>HARA11</v>
          </cell>
          <cell r="M2891" t="str">
            <v>Harapan Agro Tani, PT</v>
          </cell>
          <cell r="N2891" t="str">
            <v>Amerta Agro Gemilang, PT</v>
          </cell>
          <cell r="O2891" t="str">
            <v>JL. Pelita Marga Mas C 5 RT.004/RW.003, Gaddong, Bontoala</v>
          </cell>
          <cell r="P2891" t="str">
            <v>Makasar - SULSEL</v>
          </cell>
          <cell r="Q2891" t="str">
            <v>Jl. Pelita Marga Mas No. C5 Gaddong, Bontoala</v>
          </cell>
          <cell r="R2891" t="str">
            <v>Makasar - SULSEL</v>
          </cell>
          <cell r="S2891" t="str">
            <v>E Luar Pulau1</v>
          </cell>
          <cell r="T2891" t="str">
            <v>Non SE &amp; JSE</v>
          </cell>
          <cell r="U2891">
            <v>45</v>
          </cell>
        </row>
        <row r="2892">
          <cell r="E2892" t="str">
            <v>B25010536</v>
          </cell>
          <cell r="F2892"/>
          <cell r="G2892">
            <v>750000000</v>
          </cell>
          <cell r="H2892" t="str">
            <v>Hendra</v>
          </cell>
          <cell r="I2892" t="str">
            <v>Tiya</v>
          </cell>
          <cell r="J2892"/>
          <cell r="K2892" t="str">
            <v>KU</v>
          </cell>
          <cell r="L2892" t="str">
            <v>HARA11</v>
          </cell>
          <cell r="M2892" t="str">
            <v>Harapan Agro Tani, PT</v>
          </cell>
          <cell r="N2892" t="str">
            <v>Amerta Agro Gemilang, PT</v>
          </cell>
          <cell r="O2892" t="str">
            <v>JL. Pelita Marga Mas C 5 RT.004/RW.003, Gaddong, Bontoala</v>
          </cell>
          <cell r="P2892" t="str">
            <v>Makasar - SULSEL</v>
          </cell>
          <cell r="Q2892" t="str">
            <v>Jl. Pelita Marga Mas No. C5 Gaddong, Bontoala</v>
          </cell>
          <cell r="R2892" t="str">
            <v>Makasar - SULSEL</v>
          </cell>
          <cell r="S2892" t="str">
            <v>E Luar Pulau1</v>
          </cell>
          <cell r="T2892" t="str">
            <v>Non SE &amp; JSE</v>
          </cell>
          <cell r="U2892">
            <v>45</v>
          </cell>
        </row>
        <row r="2893">
          <cell r="E2893" t="str">
            <v>B25011505</v>
          </cell>
          <cell r="F2893"/>
          <cell r="G2893">
            <v>750000000</v>
          </cell>
          <cell r="H2893" t="str">
            <v>Hendra</v>
          </cell>
          <cell r="I2893" t="str">
            <v>Tiya</v>
          </cell>
          <cell r="J2893"/>
          <cell r="K2893" t="str">
            <v>KU</v>
          </cell>
          <cell r="L2893" t="str">
            <v>HARA11</v>
          </cell>
          <cell r="M2893" t="str">
            <v>Harapan Agro Tani, PT</v>
          </cell>
          <cell r="N2893" t="str">
            <v>Amerta Agro Gemilang, PT</v>
          </cell>
          <cell r="O2893" t="str">
            <v>JL. Pelita Marga Mas C 5 RT.004/RW.003, Gaddong, Bontoala</v>
          </cell>
          <cell r="P2893" t="str">
            <v>Makasar - SULSEL</v>
          </cell>
          <cell r="Q2893" t="str">
            <v>Jl. Pelita Marga Mas No. C5 Gaddong, Bontoala</v>
          </cell>
          <cell r="R2893" t="str">
            <v>Makasar - SULSEL</v>
          </cell>
          <cell r="S2893" t="str">
            <v>E Luar Pulau1</v>
          </cell>
          <cell r="T2893" t="str">
            <v>Non SE &amp; JSE</v>
          </cell>
          <cell r="U2893">
            <v>45</v>
          </cell>
        </row>
        <row r="2894">
          <cell r="E2894" t="str">
            <v>D25013740</v>
          </cell>
          <cell r="F2894"/>
          <cell r="G2894">
            <v>750000000</v>
          </cell>
          <cell r="H2894" t="str">
            <v>Hendra</v>
          </cell>
          <cell r="I2894" t="str">
            <v>Tiya</v>
          </cell>
          <cell r="J2894"/>
          <cell r="K2894" t="str">
            <v>KU</v>
          </cell>
          <cell r="L2894" t="str">
            <v>HARA11</v>
          </cell>
          <cell r="M2894" t="str">
            <v>Harapan Agro Tani, PT</v>
          </cell>
          <cell r="N2894" t="str">
            <v>Amerta Agro Gemilang, PT</v>
          </cell>
          <cell r="O2894" t="str">
            <v>JL. Pelita Marga Mas C 5 RT.004/RW.003, Gaddong, Bontoala</v>
          </cell>
          <cell r="P2894" t="str">
            <v>Makasar - SULSEL</v>
          </cell>
          <cell r="Q2894" t="str">
            <v>Jl. Pelita Marga Mas No. C5 Gaddong, Bontoala</v>
          </cell>
          <cell r="R2894" t="str">
            <v>Makasar - SULSEL</v>
          </cell>
          <cell r="S2894" t="str">
            <v>E Luar Pulau1</v>
          </cell>
          <cell r="T2894" t="str">
            <v>Non SE &amp; JSE</v>
          </cell>
          <cell r="U2894">
            <v>45</v>
          </cell>
        </row>
        <row r="2895">
          <cell r="E2895" t="str">
            <v>D25013807</v>
          </cell>
          <cell r="F2895"/>
          <cell r="G2895">
            <v>750000000</v>
          </cell>
          <cell r="H2895" t="str">
            <v>Hendra</v>
          </cell>
          <cell r="I2895" t="str">
            <v>Tiya</v>
          </cell>
          <cell r="J2895"/>
          <cell r="K2895" t="str">
            <v>KU</v>
          </cell>
          <cell r="L2895" t="str">
            <v>HARA11</v>
          </cell>
          <cell r="M2895" t="str">
            <v>Harapan Agro Tani, PT</v>
          </cell>
          <cell r="N2895" t="str">
            <v>Amerta Agro Gemilang, PT</v>
          </cell>
          <cell r="O2895" t="str">
            <v>JL. Pelita Marga Mas C 5 RT.004/RW.003, Gaddong, Bontoala</v>
          </cell>
          <cell r="P2895" t="str">
            <v>Makasar - SULSEL</v>
          </cell>
          <cell r="Q2895" t="str">
            <v>Jl. Pelita Marga Mas No. C5 Gaddong, Bontoala</v>
          </cell>
          <cell r="R2895" t="str">
            <v>Makasar - SULSEL</v>
          </cell>
          <cell r="S2895" t="str">
            <v>E Luar Pulau1</v>
          </cell>
          <cell r="T2895" t="str">
            <v>Non SE &amp; JSE</v>
          </cell>
          <cell r="U2895">
            <v>45</v>
          </cell>
        </row>
        <row r="2896">
          <cell r="E2896" t="str">
            <v>B25011721</v>
          </cell>
          <cell r="F2896"/>
          <cell r="G2896">
            <v>750000000</v>
          </cell>
          <cell r="H2896" t="str">
            <v>Hendra</v>
          </cell>
          <cell r="I2896" t="str">
            <v>Tiya</v>
          </cell>
          <cell r="J2896"/>
          <cell r="K2896" t="str">
            <v>KU</v>
          </cell>
          <cell r="L2896" t="str">
            <v>HARA11</v>
          </cell>
          <cell r="M2896" t="str">
            <v>Harapan Agro Tani, PT</v>
          </cell>
          <cell r="N2896" t="str">
            <v>Amerta Agro Gemilang, PT</v>
          </cell>
          <cell r="O2896" t="str">
            <v>JL. Pelita Marga Mas C 5 RT.004/RW.003, Gaddong, Bontoala</v>
          </cell>
          <cell r="P2896" t="str">
            <v>Makasar - SULSEL</v>
          </cell>
          <cell r="Q2896" t="str">
            <v>Jl. Pelita Marga Mas No. C5 Gaddong, Bontoala</v>
          </cell>
          <cell r="R2896" t="str">
            <v>Makasar - SULSEL</v>
          </cell>
          <cell r="S2896" t="str">
            <v>E Luar Pulau1</v>
          </cell>
          <cell r="T2896" t="str">
            <v>Non SE &amp; JSE</v>
          </cell>
          <cell r="U2896">
            <v>45</v>
          </cell>
        </row>
        <row r="2897">
          <cell r="E2897" t="str">
            <v>D25015317</v>
          </cell>
          <cell r="F2897"/>
          <cell r="G2897">
            <v>750000000</v>
          </cell>
          <cell r="H2897" t="str">
            <v>Hendra</v>
          </cell>
          <cell r="I2897" t="str">
            <v>Tiya</v>
          </cell>
          <cell r="J2897"/>
          <cell r="K2897" t="str">
            <v>KU</v>
          </cell>
          <cell r="L2897" t="str">
            <v>HARA11</v>
          </cell>
          <cell r="M2897" t="str">
            <v>Harapan Agro Tani, PT</v>
          </cell>
          <cell r="N2897" t="str">
            <v>Amerta Agro Gemilang, PT</v>
          </cell>
          <cell r="O2897" t="str">
            <v>JL. Pelita Marga Mas C 5 RT.004/RW.003, Gaddong, Bontoala</v>
          </cell>
          <cell r="P2897" t="str">
            <v>Makasar - SULSEL</v>
          </cell>
          <cell r="Q2897" t="str">
            <v>Jl. Pelita Marga Mas No. C5 Gaddong, Bontoala</v>
          </cell>
          <cell r="R2897" t="str">
            <v>Makasar - SULSEL</v>
          </cell>
          <cell r="S2897" t="str">
            <v>E Luar Pulau1</v>
          </cell>
          <cell r="T2897" t="str">
            <v>Non SE &amp; JSE</v>
          </cell>
          <cell r="U2897">
            <v>45</v>
          </cell>
        </row>
        <row r="2898">
          <cell r="E2898" t="str">
            <v>D25015910</v>
          </cell>
          <cell r="F2898"/>
          <cell r="G2898">
            <v>750000000</v>
          </cell>
          <cell r="H2898" t="str">
            <v>Hendra</v>
          </cell>
          <cell r="I2898" t="str">
            <v>Tiya</v>
          </cell>
          <cell r="J2898"/>
          <cell r="K2898" t="str">
            <v>KU</v>
          </cell>
          <cell r="L2898" t="str">
            <v>HARA11</v>
          </cell>
          <cell r="M2898" t="str">
            <v>Harapan Agro Tani, PT</v>
          </cell>
          <cell r="N2898" t="str">
            <v>Amerta Agro Gemilang, PT</v>
          </cell>
          <cell r="O2898" t="str">
            <v>JL. Pelita Marga Mas C 5 RT.004/RW.003, Gaddong, Bontoala</v>
          </cell>
          <cell r="P2898" t="str">
            <v>Makasar - SULSEL</v>
          </cell>
          <cell r="Q2898" t="str">
            <v>Jl. Pelita Marga Mas No. C5 Gaddong, Bontoala</v>
          </cell>
          <cell r="R2898" t="str">
            <v>Makasar - SULSEL</v>
          </cell>
          <cell r="S2898" t="str">
            <v>E Luar Pulau1</v>
          </cell>
          <cell r="T2898" t="str">
            <v>Non SE &amp; JSE</v>
          </cell>
          <cell r="U2898">
            <v>45</v>
          </cell>
        </row>
        <row r="2899">
          <cell r="E2899" t="str">
            <v>D25011445</v>
          </cell>
          <cell r="F2899"/>
          <cell r="G2899">
            <v>125000000</v>
          </cell>
          <cell r="H2899" t="str">
            <v>Faris</v>
          </cell>
          <cell r="I2899" t="str">
            <v>Syahra</v>
          </cell>
          <cell r="J2899" t="str">
            <v>New 08/02/22</v>
          </cell>
          <cell r="K2899" t="str">
            <v>KU</v>
          </cell>
          <cell r="L2899" t="str">
            <v>HARA15</v>
          </cell>
          <cell r="M2899" t="str">
            <v>Harapan Jaya/Hadi Maruf</v>
          </cell>
          <cell r="N2899" t="str">
            <v>Hadi Ma'ruf</v>
          </cell>
          <cell r="O2899" t="str">
            <v>Kedungsumur, RT.043/RW.006, Kel. Kedunggebang, Kec. Tegaldlimo</v>
          </cell>
          <cell r="P2899" t="str">
            <v>Banyuwangi</v>
          </cell>
          <cell r="Q2899" t="str">
            <v>Kedungsumur, RT.043/RW.006, Kel. Kedunggebang, Kec. Tegaldlimo</v>
          </cell>
          <cell r="R2899" t="str">
            <v>Banyuwangi</v>
          </cell>
          <cell r="S2899" t="str">
            <v>H Bwi2</v>
          </cell>
          <cell r="T2899" t="str">
            <v>Hafid</v>
          </cell>
          <cell r="U2899">
            <v>60</v>
          </cell>
        </row>
        <row r="2900">
          <cell r="E2900" t="str">
            <v>D25011445</v>
          </cell>
          <cell r="F2900"/>
          <cell r="G2900">
            <v>125000000</v>
          </cell>
          <cell r="H2900" t="str">
            <v>Faris</v>
          </cell>
          <cell r="I2900" t="str">
            <v>Syahra</v>
          </cell>
          <cell r="J2900" t="str">
            <v>New 08/02/22</v>
          </cell>
          <cell r="K2900" t="str">
            <v>KU</v>
          </cell>
          <cell r="L2900" t="str">
            <v>HARA15</v>
          </cell>
          <cell r="M2900" t="str">
            <v>Harapan Jaya/Hadi Maruf</v>
          </cell>
          <cell r="N2900" t="str">
            <v>Hadi Ma'ruf</v>
          </cell>
          <cell r="O2900" t="str">
            <v>Kedungsumur, RT.043/RW.006, Kel. Kedunggebang, Kec. Tegaldlimo</v>
          </cell>
          <cell r="P2900" t="str">
            <v>Banyuwangi</v>
          </cell>
          <cell r="Q2900" t="str">
            <v>Kedungsumur, RT.043/RW.006, Kel. Kedunggebang, Kec. Tegaldlimo</v>
          </cell>
          <cell r="R2900" t="str">
            <v>Banyuwangi</v>
          </cell>
          <cell r="S2900" t="str">
            <v>H Bwi2</v>
          </cell>
          <cell r="T2900" t="str">
            <v>Hafid</v>
          </cell>
          <cell r="U2900">
            <v>60</v>
          </cell>
        </row>
        <row r="2901">
          <cell r="E2901" t="str">
            <v>B25010664</v>
          </cell>
          <cell r="F2901"/>
          <cell r="G2901">
            <v>125000000</v>
          </cell>
          <cell r="H2901" t="str">
            <v>Faris</v>
          </cell>
          <cell r="I2901" t="str">
            <v>Syahra</v>
          </cell>
          <cell r="J2901" t="str">
            <v>New 08/02/22</v>
          </cell>
          <cell r="K2901" t="str">
            <v>KU</v>
          </cell>
          <cell r="L2901" t="str">
            <v>HARA15</v>
          </cell>
          <cell r="M2901" t="str">
            <v>Harapan Jaya/Hadi Maruf</v>
          </cell>
          <cell r="N2901" t="str">
            <v>Hadi Ma'ruf</v>
          </cell>
          <cell r="O2901" t="str">
            <v>Kedungsumur, RT.043/RW.006, Kel. Kedunggebang, Kec. Tegaldlimo</v>
          </cell>
          <cell r="P2901" t="str">
            <v>Banyuwangi</v>
          </cell>
          <cell r="Q2901" t="str">
            <v>Kedungsumur, RT.043/RW.006, Kel. Kedunggebang, Kec. Tegaldlimo</v>
          </cell>
          <cell r="R2901" t="str">
            <v>Banyuwangi</v>
          </cell>
          <cell r="S2901" t="str">
            <v>H Bwi2</v>
          </cell>
          <cell r="T2901" t="str">
            <v>Hafid</v>
          </cell>
          <cell r="U2901">
            <v>60</v>
          </cell>
        </row>
        <row r="2902">
          <cell r="E2902" t="str">
            <v>B25011854</v>
          </cell>
          <cell r="F2902"/>
          <cell r="G2902">
            <v>125000000</v>
          </cell>
          <cell r="H2902" t="str">
            <v>Faris</v>
          </cell>
          <cell r="I2902" t="str">
            <v>Syahra</v>
          </cell>
          <cell r="J2902" t="str">
            <v>New 08/02/22</v>
          </cell>
          <cell r="K2902" t="str">
            <v>KU</v>
          </cell>
          <cell r="L2902" t="str">
            <v>HARA15</v>
          </cell>
          <cell r="M2902" t="str">
            <v>Harapan Jaya/Hadi Maruf</v>
          </cell>
          <cell r="N2902" t="str">
            <v>Hadi Ma'ruf</v>
          </cell>
          <cell r="O2902" t="str">
            <v>Kedungsumur, RT.043/RW.006, Kel. Kedunggebang, Kec. Tegaldlimo</v>
          </cell>
          <cell r="P2902" t="str">
            <v>Banyuwangi</v>
          </cell>
          <cell r="Q2902" t="str">
            <v>Kedungsumur, RT.043/RW.006, Kel. Kedunggebang, Kec. Tegaldlimo</v>
          </cell>
          <cell r="R2902" t="str">
            <v>Banyuwangi</v>
          </cell>
          <cell r="S2902" t="str">
            <v>H Bwi2</v>
          </cell>
          <cell r="T2902" t="str">
            <v>Hafid</v>
          </cell>
          <cell r="U2902">
            <v>60</v>
          </cell>
        </row>
        <row r="2903">
          <cell r="E2903" t="str">
            <v>D25014056</v>
          </cell>
          <cell r="F2903"/>
          <cell r="G2903">
            <v>125000000</v>
          </cell>
          <cell r="H2903" t="str">
            <v>Faris</v>
          </cell>
          <cell r="I2903" t="str">
            <v>Syahra</v>
          </cell>
          <cell r="J2903" t="str">
            <v>New 08/02/22</v>
          </cell>
          <cell r="K2903" t="str">
            <v>KU</v>
          </cell>
          <cell r="L2903" t="str">
            <v>HARA15</v>
          </cell>
          <cell r="M2903" t="str">
            <v>Harapan Jaya/Hadi Maruf</v>
          </cell>
          <cell r="N2903" t="str">
            <v>Hadi Ma'ruf</v>
          </cell>
          <cell r="O2903" t="str">
            <v>Kedungsumur, RT.043/RW.006, Kel. Kedunggebang, Kec. Tegaldlimo</v>
          </cell>
          <cell r="P2903" t="str">
            <v>Banyuwangi</v>
          </cell>
          <cell r="Q2903" t="str">
            <v>Kedungsumur, RT.043/RW.006, Kel. Kedunggebang, Kec. Tegaldlimo</v>
          </cell>
          <cell r="R2903" t="str">
            <v>Banyuwangi</v>
          </cell>
          <cell r="S2903" t="str">
            <v>H Bwi2</v>
          </cell>
          <cell r="T2903" t="str">
            <v>Hafid</v>
          </cell>
          <cell r="U2903">
            <v>30</v>
          </cell>
        </row>
        <row r="2904">
          <cell r="E2904" t="str">
            <v>D25014450</v>
          </cell>
          <cell r="F2904"/>
          <cell r="G2904">
            <v>125000000</v>
          </cell>
          <cell r="H2904" t="str">
            <v>Faris</v>
          </cell>
          <cell r="I2904" t="str">
            <v>Syahra</v>
          </cell>
          <cell r="J2904" t="str">
            <v>New 08/02/22</v>
          </cell>
          <cell r="K2904" t="str">
            <v>KU</v>
          </cell>
          <cell r="L2904" t="str">
            <v>HARA15</v>
          </cell>
          <cell r="M2904" t="str">
            <v>Harapan Jaya/Hadi Maruf</v>
          </cell>
          <cell r="N2904" t="str">
            <v>Hadi Ma'ruf</v>
          </cell>
          <cell r="O2904" t="str">
            <v>Kedungsumur, RT.043/RW.006, Kel. Kedunggebang, Kec. Tegaldlimo</v>
          </cell>
          <cell r="P2904" t="str">
            <v>Banyuwangi</v>
          </cell>
          <cell r="Q2904" t="str">
            <v>Kedungsumur, RT.043/RW.006, Kel. Kedunggebang, Kec. Tegaldlimo</v>
          </cell>
          <cell r="R2904" t="str">
            <v>Banyuwangi</v>
          </cell>
          <cell r="S2904" t="str">
            <v>H Bwi2</v>
          </cell>
          <cell r="T2904" t="str">
            <v>Hafid</v>
          </cell>
          <cell r="U2904">
            <v>30</v>
          </cell>
        </row>
        <row r="2905">
          <cell r="E2905" t="str">
            <v>T25001430</v>
          </cell>
          <cell r="F2905"/>
          <cell r="G2905">
            <v>125000000</v>
          </cell>
          <cell r="H2905" t="str">
            <v>Faris</v>
          </cell>
          <cell r="I2905" t="str">
            <v>Syahra</v>
          </cell>
          <cell r="J2905" t="str">
            <v>New 08/02/22</v>
          </cell>
          <cell r="K2905" t="str">
            <v>KU</v>
          </cell>
          <cell r="L2905" t="str">
            <v>HARA15</v>
          </cell>
          <cell r="M2905" t="str">
            <v>Harapan Jaya/Hadi Maruf</v>
          </cell>
          <cell r="N2905" t="str">
            <v>Hadi Ma'ruf</v>
          </cell>
          <cell r="O2905" t="str">
            <v>Kedungsumur, RT.043/RW.006, Kel. Kedunggebang, Kec. Tegaldlimo</v>
          </cell>
          <cell r="P2905" t="str">
            <v>Banyuwangi</v>
          </cell>
          <cell r="Q2905" t="str">
            <v>Kedungsumur, RT.043/RW.006, Kel. Kedunggebang, Kec. Tegaldlimo</v>
          </cell>
          <cell r="R2905" t="str">
            <v>Banyuwangi</v>
          </cell>
          <cell r="S2905" t="str">
            <v>H Bwi2</v>
          </cell>
          <cell r="T2905" t="str">
            <v>Hafid</v>
          </cell>
          <cell r="U2905">
            <v>60</v>
          </cell>
        </row>
        <row r="2906">
          <cell r="E2906" t="str">
            <v>B25012355</v>
          </cell>
          <cell r="F2906"/>
          <cell r="G2906">
            <v>125000000</v>
          </cell>
          <cell r="H2906" t="str">
            <v>Faris</v>
          </cell>
          <cell r="I2906" t="str">
            <v>Syahra</v>
          </cell>
          <cell r="J2906" t="str">
            <v>New 08/02/22</v>
          </cell>
          <cell r="K2906" t="str">
            <v>KU</v>
          </cell>
          <cell r="L2906" t="str">
            <v>HARA15</v>
          </cell>
          <cell r="M2906" t="str">
            <v>Harapan Jaya/Hadi Maruf</v>
          </cell>
          <cell r="N2906" t="str">
            <v>Hadi Ma'ruf</v>
          </cell>
          <cell r="O2906" t="str">
            <v>Kedungsumur, RT.043/RW.006, Kel. Kedunggebang, Kec. Tegaldlimo</v>
          </cell>
          <cell r="P2906" t="str">
            <v>Banyuwangi</v>
          </cell>
          <cell r="Q2906" t="str">
            <v>Kedungsumur, RT.043/RW.006, Kel. Kedunggebang, Kec. Tegaldlimo</v>
          </cell>
          <cell r="R2906" t="str">
            <v>Banyuwangi</v>
          </cell>
          <cell r="S2906" t="str">
            <v>H Bwi2</v>
          </cell>
          <cell r="T2906" t="str">
            <v>Hafid</v>
          </cell>
          <cell r="U2906">
            <v>30</v>
          </cell>
        </row>
        <row r="2907">
          <cell r="E2907" t="str">
            <v>D25015218</v>
          </cell>
          <cell r="F2907"/>
          <cell r="G2907">
            <v>1000</v>
          </cell>
          <cell r="H2907" t="str">
            <v>Yuyun</v>
          </cell>
          <cell r="I2907" t="str">
            <v>Farida</v>
          </cell>
          <cell r="J2907" t="str">
            <v>New 11/06/25</v>
          </cell>
          <cell r="K2907" t="str">
            <v>CBD</v>
          </cell>
          <cell r="L2907" t="str">
            <v>HARA20</v>
          </cell>
          <cell r="M2907" t="str">
            <v>Harapan Maju/Anwar</v>
          </cell>
          <cell r="N2907" t="str">
            <v>Anwar Musadad</v>
          </cell>
          <cell r="O2907" t="str">
            <v>Dusun Krajan Lor RT.002/RW.002 , Kel. Sumberrejo Kec. Ambulu</v>
          </cell>
          <cell r="P2907" t="str">
            <v>Jember</v>
          </cell>
          <cell r="Q2907" t="str">
            <v>Krajan Kidul , Kel. Sumberrejo Kec. Ambulu</v>
          </cell>
          <cell r="R2907" t="str">
            <v>Jember</v>
          </cell>
          <cell r="S2907" t="str">
            <v>L Kota1</v>
          </cell>
          <cell r="T2907" t="str">
            <v>Wira</v>
          </cell>
          <cell r="U2907">
            <v>0</v>
          </cell>
        </row>
        <row r="2908">
          <cell r="E2908" t="str">
            <v>T25001398</v>
          </cell>
          <cell r="F2908"/>
          <cell r="G2908">
            <v>1000</v>
          </cell>
          <cell r="H2908" t="str">
            <v>Reni</v>
          </cell>
          <cell r="I2908" t="str">
            <v>Farida</v>
          </cell>
          <cell r="J2908"/>
          <cell r="K2908" t="str">
            <v>KU</v>
          </cell>
          <cell r="L2908" t="str">
            <v>HARA08</v>
          </cell>
          <cell r="M2908" t="str">
            <v>Harapan Makmur/Suwarjono</v>
          </cell>
          <cell r="N2908" t="str">
            <v>Suwarjono</v>
          </cell>
          <cell r="O2908" t="str">
            <v>Dsn. Mlaten, RT.024/RW.011, Ngrami Sukomoro, Kab. Nganjuk</v>
          </cell>
          <cell r="P2908" t="str">
            <v>Nganjuk</v>
          </cell>
          <cell r="Q2908" t="str">
            <v>Dsn. Mlaten, RT.024/RW.011, Ngrami Sukomoro, Kab. Nganjuk</v>
          </cell>
          <cell r="R2908" t="str">
            <v>Nganjuk</v>
          </cell>
          <cell r="S2908" t="str">
            <v>D Barat1</v>
          </cell>
          <cell r="T2908" t="str">
            <v>Dian</v>
          </cell>
          <cell r="U2908">
            <v>60</v>
          </cell>
        </row>
        <row r="2909">
          <cell r="E2909" t="str">
            <v>B25010201</v>
          </cell>
          <cell r="F2909"/>
          <cell r="G2909">
            <v>1000000000</v>
          </cell>
          <cell r="H2909" t="str">
            <v>Faris</v>
          </cell>
          <cell r="I2909" t="str">
            <v>Syahra</v>
          </cell>
          <cell r="J2909"/>
          <cell r="K2909" t="str">
            <v>KU</v>
          </cell>
          <cell r="L2909" t="str">
            <v>HARA06</v>
          </cell>
          <cell r="M2909" t="str">
            <v>Harapan, UD/Julik</v>
          </cell>
          <cell r="N2909" t="str">
            <v>Doni Dwi Atmoko</v>
          </cell>
          <cell r="O2909" t="str">
            <v>Dsn. Palurejo, RT.002/RW.017, , Ds. Tembokrejo, Muncar</v>
          </cell>
          <cell r="P2909" t="str">
            <v>Banyuwangi</v>
          </cell>
          <cell r="Q2909" t="str">
            <v>Dsn. Palurejo 2 No.19, Ds. Tembokrejo, Muncar</v>
          </cell>
          <cell r="R2909" t="str">
            <v>Banyuwangi</v>
          </cell>
          <cell r="S2909" t="str">
            <v>H Bwi2</v>
          </cell>
          <cell r="T2909" t="str">
            <v>Hafid</v>
          </cell>
          <cell r="U2909">
            <v>30</v>
          </cell>
        </row>
        <row r="2910">
          <cell r="E2910" t="str">
            <v>B25010243</v>
          </cell>
          <cell r="F2910"/>
          <cell r="G2910">
            <v>1000000000</v>
          </cell>
          <cell r="H2910" t="str">
            <v>Faris</v>
          </cell>
          <cell r="I2910" t="str">
            <v>Syahra</v>
          </cell>
          <cell r="J2910"/>
          <cell r="K2910" t="str">
            <v>KU</v>
          </cell>
          <cell r="L2910" t="str">
            <v>HARA06</v>
          </cell>
          <cell r="M2910" t="str">
            <v>Harapan, UD/Julik</v>
          </cell>
          <cell r="N2910" t="str">
            <v>Doni Dwi Atmoko</v>
          </cell>
          <cell r="O2910" t="str">
            <v>Dsn. Palurejo, RT.002/RW.017, , Ds. Tembokrejo, Muncar</v>
          </cell>
          <cell r="P2910" t="str">
            <v>Banyuwangi</v>
          </cell>
          <cell r="Q2910" t="str">
            <v>Dsn. Palurejo 2 No.19, Ds. Tembokrejo, Muncar</v>
          </cell>
          <cell r="R2910" t="str">
            <v>Banyuwangi</v>
          </cell>
          <cell r="S2910" t="str">
            <v>H Bwi2</v>
          </cell>
          <cell r="T2910" t="str">
            <v>Hafid</v>
          </cell>
          <cell r="U2910">
            <v>30</v>
          </cell>
        </row>
        <row r="2911">
          <cell r="E2911" t="str">
            <v>B25011858</v>
          </cell>
          <cell r="F2911"/>
          <cell r="G2911">
            <v>1000000000</v>
          </cell>
          <cell r="H2911" t="str">
            <v>Faris</v>
          </cell>
          <cell r="I2911" t="str">
            <v>Syahra</v>
          </cell>
          <cell r="J2911"/>
          <cell r="K2911" t="str">
            <v>KU</v>
          </cell>
          <cell r="L2911" t="str">
            <v>HARA06</v>
          </cell>
          <cell r="M2911" t="str">
            <v>Harapan, UD/Julik</v>
          </cell>
          <cell r="N2911" t="str">
            <v>Doni Dwi Atmoko</v>
          </cell>
          <cell r="O2911" t="str">
            <v>Dsn. Palurejo, RT.002/RW.017, , Ds. Tembokrejo, Muncar</v>
          </cell>
          <cell r="P2911" t="str">
            <v>Banyuwangi</v>
          </cell>
          <cell r="Q2911" t="str">
            <v>Dsn. Palurejo 2 No.19, Ds. Tembokrejo, Muncar</v>
          </cell>
          <cell r="R2911" t="str">
            <v>Banyuwangi</v>
          </cell>
          <cell r="S2911" t="str">
            <v>H Bwi2</v>
          </cell>
          <cell r="T2911" t="str">
            <v>Hafid</v>
          </cell>
          <cell r="U2911">
            <v>30</v>
          </cell>
        </row>
        <row r="2912">
          <cell r="E2912" t="str">
            <v>D25015378</v>
          </cell>
          <cell r="F2912"/>
          <cell r="G2912">
            <v>1000000000</v>
          </cell>
          <cell r="H2912" t="str">
            <v>Faris</v>
          </cell>
          <cell r="I2912" t="str">
            <v>Syahra</v>
          </cell>
          <cell r="J2912"/>
          <cell r="K2912" t="str">
            <v>KU</v>
          </cell>
          <cell r="L2912" t="str">
            <v>HARA06</v>
          </cell>
          <cell r="M2912" t="str">
            <v>Harapan, UD/Julik</v>
          </cell>
          <cell r="N2912" t="str">
            <v>Doni Dwi Atmoko</v>
          </cell>
          <cell r="O2912" t="str">
            <v>Dsn. Palurejo, RT.002/RW.017, , Ds. Tembokrejo, Muncar</v>
          </cell>
          <cell r="P2912" t="str">
            <v>Banyuwangi</v>
          </cell>
          <cell r="Q2912" t="str">
            <v>Dsn. Palurejo 2 No.19, Ds. Tembokrejo, Muncar</v>
          </cell>
          <cell r="R2912" t="str">
            <v>Banyuwangi</v>
          </cell>
          <cell r="S2912" t="str">
            <v>H Bwi2</v>
          </cell>
          <cell r="T2912" t="str">
            <v>Hafid</v>
          </cell>
          <cell r="U2912">
            <v>90</v>
          </cell>
        </row>
        <row r="2913">
          <cell r="E2913" t="str">
            <v>D25013502</v>
          </cell>
          <cell r="F2913"/>
          <cell r="G2913">
            <v>15000000</v>
          </cell>
          <cell r="H2913" t="str">
            <v>Reni</v>
          </cell>
          <cell r="I2913" t="str">
            <v>Farida</v>
          </cell>
          <cell r="J2913" t="str">
            <v>New 08/05/20</v>
          </cell>
          <cell r="K2913" t="str">
            <v>KU, Tunai</v>
          </cell>
          <cell r="L2913" t="str">
            <v>HARI06</v>
          </cell>
          <cell r="M2913" t="str">
            <v>Hari Tani, UD/Amin</v>
          </cell>
          <cell r="N2913" t="str">
            <v>Amin Tohari</v>
          </cell>
          <cell r="O2913" t="str">
            <v>Dukuh Nambak Tengah RT.002/RW.001, Kel. Nambak, Kec. Bungkal</v>
          </cell>
          <cell r="P2913" t="str">
            <v>Ponorogo</v>
          </cell>
          <cell r="Q2913" t="str">
            <v>Dukuh Nambak Tengah RT.002/RW.001, Kel. Nambak, Kec. Bungkal</v>
          </cell>
          <cell r="R2913" t="str">
            <v>Ponorogo</v>
          </cell>
          <cell r="S2913" t="str">
            <v>D Barat1</v>
          </cell>
          <cell r="T2913" t="str">
            <v>Dian</v>
          </cell>
          <cell r="U2913">
            <v>60</v>
          </cell>
        </row>
        <row r="2914">
          <cell r="E2914" t="str">
            <v>D25014355</v>
          </cell>
          <cell r="F2914"/>
          <cell r="G2914">
            <v>15000000</v>
          </cell>
          <cell r="H2914" t="str">
            <v>Reni</v>
          </cell>
          <cell r="I2914" t="str">
            <v>Farida</v>
          </cell>
          <cell r="J2914" t="str">
            <v>New 08/05/20</v>
          </cell>
          <cell r="K2914" t="str">
            <v>KU, Tunai</v>
          </cell>
          <cell r="L2914" t="str">
            <v>HARI06</v>
          </cell>
          <cell r="M2914" t="str">
            <v>Hari Tani, UD/Amin</v>
          </cell>
          <cell r="N2914" t="str">
            <v>Amin Tohari</v>
          </cell>
          <cell r="O2914" t="str">
            <v>Dukuh Nambak Tengah RT.002/RW.001, Kel. Nambak, Kec. Bungkal</v>
          </cell>
          <cell r="P2914" t="str">
            <v>Ponorogo</v>
          </cell>
          <cell r="Q2914" t="str">
            <v>Dukuh Nambak Tengah RT.002/RW.001, Kel. Nambak, Kec. Bungkal</v>
          </cell>
          <cell r="R2914" t="str">
            <v>Ponorogo</v>
          </cell>
          <cell r="S2914" t="str">
            <v>D Barat1</v>
          </cell>
          <cell r="T2914" t="str">
            <v>Dian</v>
          </cell>
          <cell r="U2914">
            <v>60</v>
          </cell>
        </row>
        <row r="2915">
          <cell r="E2915" t="str">
            <v>T25001421</v>
          </cell>
          <cell r="F2915"/>
          <cell r="G2915">
            <v>15000000</v>
          </cell>
          <cell r="H2915" t="str">
            <v>Reni</v>
          </cell>
          <cell r="I2915" t="str">
            <v>Farida</v>
          </cell>
          <cell r="J2915" t="str">
            <v>New 08/05/20</v>
          </cell>
          <cell r="K2915" t="str">
            <v>KU, Tunai</v>
          </cell>
          <cell r="L2915" t="str">
            <v>HARI06</v>
          </cell>
          <cell r="M2915" t="str">
            <v>Hari Tani, UD/Amin</v>
          </cell>
          <cell r="N2915" t="str">
            <v>Amin Tohari</v>
          </cell>
          <cell r="O2915" t="str">
            <v>Dukuh Nambak Tengah RT.002/RW.001, Kel. Nambak, Kec. Bungkal</v>
          </cell>
          <cell r="P2915" t="str">
            <v>Ponorogo</v>
          </cell>
          <cell r="Q2915" t="str">
            <v>Dukuh Nambak Tengah RT.002/RW.001, Kel. Nambak, Kec. Bungkal</v>
          </cell>
          <cell r="R2915" t="str">
            <v>Ponorogo</v>
          </cell>
          <cell r="S2915" t="str">
            <v>D Barat1</v>
          </cell>
          <cell r="T2915" t="str">
            <v>Dian</v>
          </cell>
          <cell r="U2915">
            <v>60</v>
          </cell>
        </row>
        <row r="2916">
          <cell r="E2916" t="str">
            <v>D25015654</v>
          </cell>
          <cell r="F2916"/>
          <cell r="G2916">
            <v>15000000</v>
          </cell>
          <cell r="H2916" t="str">
            <v>Reni</v>
          </cell>
          <cell r="I2916" t="str">
            <v>Farida</v>
          </cell>
          <cell r="J2916" t="str">
            <v>New 08/05/20</v>
          </cell>
          <cell r="K2916" t="str">
            <v>KU, Tunai</v>
          </cell>
          <cell r="L2916" t="str">
            <v>HARI06</v>
          </cell>
          <cell r="M2916" t="str">
            <v>Hari Tani, UD/Amin</v>
          </cell>
          <cell r="N2916" t="str">
            <v>Amin Tohari</v>
          </cell>
          <cell r="O2916" t="str">
            <v>Dukuh Nambak Tengah RT.002/RW.001, Kel. Nambak, Kec. Bungkal</v>
          </cell>
          <cell r="P2916" t="str">
            <v>Ponorogo</v>
          </cell>
          <cell r="Q2916" t="str">
            <v>Dukuh Nambak Tengah RT.002/RW.001, Kel. Nambak, Kec. Bungkal</v>
          </cell>
          <cell r="R2916" t="str">
            <v>Ponorogo</v>
          </cell>
          <cell r="S2916" t="str">
            <v>D Barat1</v>
          </cell>
          <cell r="T2916" t="str">
            <v>Dian</v>
          </cell>
          <cell r="U2916">
            <v>60</v>
          </cell>
        </row>
        <row r="2917">
          <cell r="E2917" t="str">
            <v>T25001058</v>
          </cell>
          <cell r="F2917"/>
          <cell r="G2917">
            <v>30000000</v>
          </cell>
          <cell r="H2917" t="str">
            <v>Reni</v>
          </cell>
          <cell r="I2917" t="str">
            <v>Fira</v>
          </cell>
          <cell r="J2917" t="str">
            <v>New 05/11/20</v>
          </cell>
          <cell r="K2917" t="str">
            <v>KU</v>
          </cell>
          <cell r="L2917" t="str">
            <v>HARI08</v>
          </cell>
          <cell r="M2917" t="str">
            <v>Harian Jaya</v>
          </cell>
          <cell r="N2917" t="str">
            <v>Ahmad Adi Insan Al-Khamid</v>
          </cell>
          <cell r="O2917" t="str">
            <v>Dradahblumbang RT.003/RW.003, Kel. Dradahblumbang Kec. Kedungpring</v>
          </cell>
          <cell r="P2917" t="str">
            <v>Lamongan</v>
          </cell>
          <cell r="Q2917" t="str">
            <v>Dradahblumbang RT.003/RW.003, Kel. Dradahblumbang Kec. Kedungpring</v>
          </cell>
          <cell r="R2917" t="str">
            <v>Lamongan</v>
          </cell>
          <cell r="S2917" t="str">
            <v>F Utara1</v>
          </cell>
          <cell r="T2917" t="str">
            <v>Dian</v>
          </cell>
          <cell r="U2917">
            <v>60</v>
          </cell>
        </row>
        <row r="2918">
          <cell r="E2918" t="str">
            <v>T25001058</v>
          </cell>
          <cell r="F2918"/>
          <cell r="G2918">
            <v>30000000</v>
          </cell>
          <cell r="H2918" t="str">
            <v>Reni</v>
          </cell>
          <cell r="I2918" t="str">
            <v>Fira</v>
          </cell>
          <cell r="J2918" t="str">
            <v>New 05/11/20</v>
          </cell>
          <cell r="K2918" t="str">
            <v>KU</v>
          </cell>
          <cell r="L2918" t="str">
            <v>HARI08</v>
          </cell>
          <cell r="M2918" t="str">
            <v>Harian Jaya</v>
          </cell>
          <cell r="N2918" t="str">
            <v>Ahmad Adi Insan Al-Khamid</v>
          </cell>
          <cell r="O2918" t="str">
            <v>Dradahblumbang RT.003/RW.003, Kel. Dradahblumbang Kec. Kedungpring</v>
          </cell>
          <cell r="P2918" t="str">
            <v>Lamongan</v>
          </cell>
          <cell r="Q2918" t="str">
            <v>Dradahblumbang RT.003/RW.003, Kel. Dradahblumbang Kec. Kedungpring</v>
          </cell>
          <cell r="R2918" t="str">
            <v>Lamongan</v>
          </cell>
          <cell r="S2918" t="str">
            <v>F Utara1</v>
          </cell>
          <cell r="T2918" t="str">
            <v>Dian</v>
          </cell>
          <cell r="U2918">
            <v>60</v>
          </cell>
        </row>
        <row r="2919">
          <cell r="E2919" t="str">
            <v>T25001058</v>
          </cell>
          <cell r="F2919"/>
          <cell r="G2919">
            <v>30000000</v>
          </cell>
          <cell r="H2919" t="str">
            <v>Reni</v>
          </cell>
          <cell r="I2919" t="str">
            <v>Fira</v>
          </cell>
          <cell r="J2919" t="str">
            <v>New 05/11/20</v>
          </cell>
          <cell r="K2919" t="str">
            <v>KU</v>
          </cell>
          <cell r="L2919" t="str">
            <v>HARI08</v>
          </cell>
          <cell r="M2919" t="str">
            <v>Harian Jaya</v>
          </cell>
          <cell r="N2919" t="str">
            <v>Ahmad Adi Insan Al-Khamid</v>
          </cell>
          <cell r="O2919" t="str">
            <v>Dradahblumbang RT.003/RW.003, Kel. Dradahblumbang Kec. Kedungpring</v>
          </cell>
          <cell r="P2919" t="str">
            <v>Lamongan</v>
          </cell>
          <cell r="Q2919" t="str">
            <v>Dradahblumbang RT.003/RW.003, Kel. Dradahblumbang Kec. Kedungpring</v>
          </cell>
          <cell r="R2919" t="str">
            <v>Lamongan</v>
          </cell>
          <cell r="S2919" t="str">
            <v>F Utara1</v>
          </cell>
          <cell r="T2919" t="str">
            <v>Dian</v>
          </cell>
          <cell r="U2919">
            <v>60</v>
          </cell>
        </row>
        <row r="2920">
          <cell r="E2920" t="str">
            <v>T25001310</v>
          </cell>
          <cell r="F2920"/>
          <cell r="G2920">
            <v>30000000</v>
          </cell>
          <cell r="H2920" t="str">
            <v>Reni</v>
          </cell>
          <cell r="I2920" t="str">
            <v>Fira</v>
          </cell>
          <cell r="J2920" t="str">
            <v>New 05/11/20</v>
          </cell>
          <cell r="K2920" t="str">
            <v>KU</v>
          </cell>
          <cell r="L2920" t="str">
            <v>HARI08</v>
          </cell>
          <cell r="M2920" t="str">
            <v>Harian Jaya</v>
          </cell>
          <cell r="N2920" t="str">
            <v>Ahmad Adi Insan Al-Khamid</v>
          </cell>
          <cell r="O2920" t="str">
            <v>Dradahblumbang RT.003/RW.003, Kel. Dradahblumbang Kec. Kedungpring</v>
          </cell>
          <cell r="P2920" t="str">
            <v>Lamongan</v>
          </cell>
          <cell r="Q2920" t="str">
            <v>Dradahblumbang RT.003/RW.003, Kel. Dradahblumbang Kec. Kedungpring</v>
          </cell>
          <cell r="R2920" t="str">
            <v>Lamongan</v>
          </cell>
          <cell r="S2920" t="str">
            <v>F Utara1</v>
          </cell>
          <cell r="T2920" t="str">
            <v>Dian</v>
          </cell>
          <cell r="U2920">
            <v>60</v>
          </cell>
        </row>
        <row r="2921">
          <cell r="E2921" t="str">
            <v>B25011915</v>
          </cell>
          <cell r="F2921"/>
          <cell r="G2921">
            <v>30000000</v>
          </cell>
          <cell r="H2921" t="str">
            <v>Reni</v>
          </cell>
          <cell r="I2921" t="str">
            <v>Fira</v>
          </cell>
          <cell r="J2921" t="str">
            <v>New 05/11/20</v>
          </cell>
          <cell r="K2921" t="str">
            <v>KU</v>
          </cell>
          <cell r="L2921" t="str">
            <v>HARI08</v>
          </cell>
          <cell r="M2921" t="str">
            <v>Harian Jaya</v>
          </cell>
          <cell r="N2921" t="str">
            <v>Ahmad Adi Insan Al-Khamid</v>
          </cell>
          <cell r="O2921" t="str">
            <v>Dradahblumbang RT.003/RW.003, Kel. Dradahblumbang Kec. Kedungpring</v>
          </cell>
          <cell r="P2921" t="str">
            <v>Lamongan</v>
          </cell>
          <cell r="Q2921" t="str">
            <v>Dradahblumbang RT.003/RW.003, Kel. Dradahblumbang Kec. Kedungpring</v>
          </cell>
          <cell r="R2921" t="str">
            <v>Lamongan</v>
          </cell>
          <cell r="S2921" t="str">
            <v>F Utara1</v>
          </cell>
          <cell r="T2921" t="str">
            <v>Dian</v>
          </cell>
          <cell r="U2921">
            <v>60</v>
          </cell>
        </row>
        <row r="2922">
          <cell r="E2922" t="str">
            <v>T25001490</v>
          </cell>
          <cell r="F2922"/>
          <cell r="G2922">
            <v>30000000</v>
          </cell>
          <cell r="H2922" t="str">
            <v>Reni</v>
          </cell>
          <cell r="I2922" t="str">
            <v>Fira</v>
          </cell>
          <cell r="J2922" t="str">
            <v>New 05/11/20</v>
          </cell>
          <cell r="K2922" t="str">
            <v>KU</v>
          </cell>
          <cell r="L2922" t="str">
            <v>HARI08</v>
          </cell>
          <cell r="M2922" t="str">
            <v>Harian Jaya</v>
          </cell>
          <cell r="N2922" t="str">
            <v>Ahmad Adi Insan Al-Khamid</v>
          </cell>
          <cell r="O2922" t="str">
            <v>Dradahblumbang RT.003/RW.003, Kel. Dradahblumbang Kec. Kedungpring</v>
          </cell>
          <cell r="P2922" t="str">
            <v>Lamongan</v>
          </cell>
          <cell r="Q2922" t="str">
            <v>Dradahblumbang RT.003/RW.003, Kel. Dradahblumbang Kec. Kedungpring</v>
          </cell>
          <cell r="R2922" t="str">
            <v>Lamongan</v>
          </cell>
          <cell r="S2922" t="str">
            <v>F Utara1</v>
          </cell>
          <cell r="T2922" t="str">
            <v>Dian</v>
          </cell>
          <cell r="U2922">
            <v>60</v>
          </cell>
        </row>
        <row r="2923">
          <cell r="E2923" t="str">
            <v>T25001526</v>
          </cell>
          <cell r="F2923"/>
          <cell r="G2923">
            <v>30000000</v>
          </cell>
          <cell r="H2923" t="str">
            <v>Reni</v>
          </cell>
          <cell r="I2923" t="str">
            <v>Fira</v>
          </cell>
          <cell r="J2923" t="str">
            <v>New 05/11/20</v>
          </cell>
          <cell r="K2923" t="str">
            <v>KU</v>
          </cell>
          <cell r="L2923" t="str">
            <v>HARI08</v>
          </cell>
          <cell r="M2923" t="str">
            <v>Harian Jaya</v>
          </cell>
          <cell r="N2923" t="str">
            <v>Ahmad Adi Insan Al-Khamid</v>
          </cell>
          <cell r="O2923" t="str">
            <v>Dradahblumbang RT.003/RW.003, Kel. Dradahblumbang Kec. Kedungpring</v>
          </cell>
          <cell r="P2923" t="str">
            <v>Lamongan</v>
          </cell>
          <cell r="Q2923" t="str">
            <v>Dradahblumbang RT.003/RW.003, Kel. Dradahblumbang Kec. Kedungpring</v>
          </cell>
          <cell r="R2923" t="str">
            <v>Lamongan</v>
          </cell>
          <cell r="S2923" t="str">
            <v>F Utara1</v>
          </cell>
          <cell r="T2923" t="str">
            <v>Dian</v>
          </cell>
          <cell r="U2923">
            <v>60</v>
          </cell>
        </row>
        <row r="2924">
          <cell r="E2924" t="str">
            <v>B25013153</v>
          </cell>
          <cell r="F2924"/>
          <cell r="G2924">
            <v>30000000</v>
          </cell>
          <cell r="H2924" t="str">
            <v>Reni</v>
          </cell>
          <cell r="I2924" t="str">
            <v>Fira</v>
          </cell>
          <cell r="J2924" t="str">
            <v>New 05/11/20</v>
          </cell>
          <cell r="K2924" t="str">
            <v>KU</v>
          </cell>
          <cell r="L2924" t="str">
            <v>HARI08</v>
          </cell>
          <cell r="M2924" t="str">
            <v>Harian Jaya</v>
          </cell>
          <cell r="N2924" t="str">
            <v>Ahmad Adi Insan Al-Khamid</v>
          </cell>
          <cell r="O2924" t="str">
            <v>Dradahblumbang RT.003/RW.003, Kel. Dradahblumbang Kec. Kedungpring</v>
          </cell>
          <cell r="P2924" t="str">
            <v>Lamongan</v>
          </cell>
          <cell r="Q2924" t="str">
            <v>Dradahblumbang RT.003/RW.003, Kel. Dradahblumbang Kec. Kedungpring</v>
          </cell>
          <cell r="R2924" t="str">
            <v>Lamongan</v>
          </cell>
          <cell r="S2924" t="str">
            <v>F Utara1</v>
          </cell>
          <cell r="T2924" t="str">
            <v>Dian</v>
          </cell>
          <cell r="U2924">
            <v>60</v>
          </cell>
        </row>
        <row r="2925">
          <cell r="E2925" t="str">
            <v>Z25001590</v>
          </cell>
          <cell r="F2925"/>
          <cell r="G2925">
            <v>80000000</v>
          </cell>
          <cell r="H2925" t="str">
            <v>Ariyani</v>
          </cell>
          <cell r="I2925" t="str">
            <v>Fira</v>
          </cell>
          <cell r="J2925"/>
          <cell r="K2925" t="str">
            <v>KU</v>
          </cell>
          <cell r="L2925" t="str">
            <v>HARI01</v>
          </cell>
          <cell r="M2925" t="str">
            <v>Hariyono Sby</v>
          </cell>
          <cell r="N2925" t="str">
            <v>Hariyono</v>
          </cell>
          <cell r="O2925" t="str">
            <v>Ruko Palma Galeria</v>
          </cell>
          <cell r="P2925" t="str">
            <v>Surabaya</v>
          </cell>
          <cell r="Q2925" t="str">
            <v>Ruko Palma Galeria</v>
          </cell>
          <cell r="R2925" t="str">
            <v>Surabaya</v>
          </cell>
          <cell r="S2925" t="str">
            <v>F Utara1</v>
          </cell>
          <cell r="T2925" t="str">
            <v>Tomi</v>
          </cell>
          <cell r="U2925">
            <v>30</v>
          </cell>
        </row>
        <row r="2926">
          <cell r="E2926" t="str">
            <v>Z25001625</v>
          </cell>
          <cell r="F2926"/>
          <cell r="G2926">
            <v>80000000</v>
          </cell>
          <cell r="H2926" t="str">
            <v>Ariyani</v>
          </cell>
          <cell r="I2926" t="str">
            <v>Fira</v>
          </cell>
          <cell r="J2926"/>
          <cell r="K2926" t="str">
            <v>KU</v>
          </cell>
          <cell r="L2926" t="str">
            <v>HARI01</v>
          </cell>
          <cell r="M2926" t="str">
            <v>Hariyono Sby</v>
          </cell>
          <cell r="N2926" t="str">
            <v>Hariyono</v>
          </cell>
          <cell r="O2926" t="str">
            <v>Ruko Palma Galeria</v>
          </cell>
          <cell r="P2926" t="str">
            <v>Surabaya</v>
          </cell>
          <cell r="Q2926" t="str">
            <v>Ruko Palma Galeria</v>
          </cell>
          <cell r="R2926" t="str">
            <v>Surabaya</v>
          </cell>
          <cell r="S2926" t="str">
            <v>F Utara1</v>
          </cell>
          <cell r="T2926" t="str">
            <v>Tomi</v>
          </cell>
          <cell r="U2926">
            <v>30</v>
          </cell>
        </row>
        <row r="2927">
          <cell r="E2927" t="str">
            <v>Z25001639</v>
          </cell>
          <cell r="F2927"/>
          <cell r="G2927">
            <v>80000000</v>
          </cell>
          <cell r="H2927" t="str">
            <v>Ariyani</v>
          </cell>
          <cell r="I2927" t="str">
            <v>Fira</v>
          </cell>
          <cell r="J2927"/>
          <cell r="K2927" t="str">
            <v>KU</v>
          </cell>
          <cell r="L2927" t="str">
            <v>HARI01</v>
          </cell>
          <cell r="M2927" t="str">
            <v>Hariyono Sby</v>
          </cell>
          <cell r="N2927" t="str">
            <v>Hariyono</v>
          </cell>
          <cell r="O2927" t="str">
            <v>Ruko Palma Galeria</v>
          </cell>
          <cell r="P2927" t="str">
            <v>Surabaya</v>
          </cell>
          <cell r="Q2927" t="str">
            <v>Ruko Palma Galeria</v>
          </cell>
          <cell r="R2927" t="str">
            <v>Surabaya</v>
          </cell>
          <cell r="S2927" t="str">
            <v>F Utara1</v>
          </cell>
          <cell r="T2927" t="str">
            <v>Tomi</v>
          </cell>
          <cell r="U2927">
            <v>30</v>
          </cell>
        </row>
        <row r="2928">
          <cell r="E2928" t="str">
            <v>Z25002669</v>
          </cell>
          <cell r="F2928"/>
          <cell r="G2928">
            <v>80000000</v>
          </cell>
          <cell r="H2928" t="str">
            <v>Ariyani</v>
          </cell>
          <cell r="I2928" t="str">
            <v>Fira</v>
          </cell>
          <cell r="J2928"/>
          <cell r="K2928" t="str">
            <v>KU</v>
          </cell>
          <cell r="L2928" t="str">
            <v>HARI01</v>
          </cell>
          <cell r="M2928" t="str">
            <v>Hariyono Sby</v>
          </cell>
          <cell r="N2928" t="str">
            <v>Hariyono</v>
          </cell>
          <cell r="O2928" t="str">
            <v>Ruko Palma Galeria</v>
          </cell>
          <cell r="P2928" t="str">
            <v>Surabaya</v>
          </cell>
          <cell r="Q2928" t="str">
            <v>Ruko Palma Galeria</v>
          </cell>
          <cell r="R2928" t="str">
            <v>Surabaya</v>
          </cell>
          <cell r="S2928" t="str">
            <v>F Utara1</v>
          </cell>
          <cell r="T2928" t="str">
            <v>Tomi</v>
          </cell>
          <cell r="U2928">
            <v>30</v>
          </cell>
        </row>
        <row r="2929">
          <cell r="E2929" t="str">
            <v>B25009559</v>
          </cell>
          <cell r="F2929"/>
          <cell r="G2929">
            <v>12000000000</v>
          </cell>
          <cell r="H2929" t="str">
            <v>Yuyun</v>
          </cell>
          <cell r="I2929" t="str">
            <v>Syahra</v>
          </cell>
          <cell r="J2929"/>
          <cell r="K2929" t="str">
            <v>KU</v>
          </cell>
          <cell r="L2929" t="str">
            <v>FAST07</v>
          </cell>
          <cell r="M2929" t="str">
            <v>Harry Santoso</v>
          </cell>
          <cell r="N2929" t="str">
            <v>Forum Agro Sukses Timur, PT</v>
          </cell>
          <cell r="O2929" t="str">
            <v>Jl. Merak No. 88 RT.001/RW.005, Kel. Jubung, Kec. Sukorambi</v>
          </cell>
          <cell r="P2929" t="str">
            <v>Jember</v>
          </cell>
          <cell r="Q2929" t="str">
            <v>Jl. Merak No. 88 RT.001/RW.005, Kel. Jubung, Kec. Sukorambi</v>
          </cell>
          <cell r="R2929" t="str">
            <v>Jember</v>
          </cell>
          <cell r="S2929" t="str">
            <v>J Group</v>
          </cell>
          <cell r="T2929" t="str">
            <v>Wira</v>
          </cell>
          <cell r="U2929">
            <v>30</v>
          </cell>
        </row>
        <row r="2930">
          <cell r="E2930" t="str">
            <v>D25011449</v>
          </cell>
          <cell r="F2930"/>
          <cell r="G2930">
            <v>12000000000</v>
          </cell>
          <cell r="H2930" t="str">
            <v>Yuyun</v>
          </cell>
          <cell r="I2930" t="str">
            <v>Syahra</v>
          </cell>
          <cell r="J2930"/>
          <cell r="K2930" t="str">
            <v>KU</v>
          </cell>
          <cell r="L2930" t="str">
            <v>FAST07</v>
          </cell>
          <cell r="M2930" t="str">
            <v>Harry Santoso</v>
          </cell>
          <cell r="N2930" t="str">
            <v>Forum Agro Sukses Timur, PT</v>
          </cell>
          <cell r="O2930" t="str">
            <v>Jl. Merak No. 88 RT.001/RW.005, Kel. Jubung, Kec. Sukorambi</v>
          </cell>
          <cell r="P2930" t="str">
            <v>Jember</v>
          </cell>
          <cell r="Q2930" t="str">
            <v>Jl. Merak No. 88 RT.001/RW.005, Kel. Jubung, Kec. Sukorambi</v>
          </cell>
          <cell r="R2930" t="str">
            <v>Jember</v>
          </cell>
          <cell r="S2930" t="str">
            <v>J Group</v>
          </cell>
          <cell r="T2930" t="str">
            <v>Wira</v>
          </cell>
          <cell r="U2930">
            <v>30</v>
          </cell>
        </row>
        <row r="2931">
          <cell r="E2931" t="str">
            <v>D25011537</v>
          </cell>
          <cell r="F2931"/>
          <cell r="G2931">
            <v>12000000000</v>
          </cell>
          <cell r="H2931" t="str">
            <v>Yuyun</v>
          </cell>
          <cell r="I2931" t="str">
            <v>Syahra</v>
          </cell>
          <cell r="J2931"/>
          <cell r="K2931" t="str">
            <v>KU</v>
          </cell>
          <cell r="L2931" t="str">
            <v>FAST07</v>
          </cell>
          <cell r="M2931" t="str">
            <v>Harry Santoso</v>
          </cell>
          <cell r="N2931" t="str">
            <v>Forum Agro Sukses Timur, PT</v>
          </cell>
          <cell r="O2931" t="str">
            <v>Jl. Merak No. 88 RT.001/RW.005, Kel. Jubung, Kec. Sukorambi</v>
          </cell>
          <cell r="P2931" t="str">
            <v>Jember</v>
          </cell>
          <cell r="Q2931" t="str">
            <v>Jl. Merak No. 88 RT.001/RW.005, Kel. Jubung, Kec. Sukorambi</v>
          </cell>
          <cell r="R2931" t="str">
            <v>Jember</v>
          </cell>
          <cell r="S2931" t="str">
            <v>J Group</v>
          </cell>
          <cell r="T2931" t="str">
            <v>Wira</v>
          </cell>
          <cell r="U2931">
            <v>30</v>
          </cell>
        </row>
        <row r="2932">
          <cell r="E2932" t="str">
            <v>B25009655</v>
          </cell>
          <cell r="F2932"/>
          <cell r="G2932">
            <v>12000000000</v>
          </cell>
          <cell r="H2932" t="str">
            <v>Yuyun</v>
          </cell>
          <cell r="I2932" t="str">
            <v>Syahra</v>
          </cell>
          <cell r="J2932"/>
          <cell r="K2932" t="str">
            <v>KU</v>
          </cell>
          <cell r="L2932" t="str">
            <v>FAST07</v>
          </cell>
          <cell r="M2932" t="str">
            <v>Harry Santoso</v>
          </cell>
          <cell r="N2932" t="str">
            <v>Forum Agro Sukses Timur, PT</v>
          </cell>
          <cell r="O2932" t="str">
            <v>Jl. Merak No. 88 RT.001/RW.005, Kel. Jubung, Kec. Sukorambi</v>
          </cell>
          <cell r="P2932" t="str">
            <v>Jember</v>
          </cell>
          <cell r="Q2932" t="str">
            <v>Jl. Merak No. 88 RT.001/RW.005, Kel. Jubung, Kec. Sukorambi</v>
          </cell>
          <cell r="R2932" t="str">
            <v>Jember</v>
          </cell>
          <cell r="S2932" t="str">
            <v>J Group</v>
          </cell>
          <cell r="T2932" t="str">
            <v>Wira</v>
          </cell>
          <cell r="U2932">
            <v>30</v>
          </cell>
        </row>
        <row r="2933">
          <cell r="E2933" t="str">
            <v>B25009656</v>
          </cell>
          <cell r="F2933"/>
          <cell r="G2933">
            <v>12000000000</v>
          </cell>
          <cell r="H2933" t="str">
            <v>Yuyun</v>
          </cell>
          <cell r="I2933" t="str">
            <v>Syahra</v>
          </cell>
          <cell r="J2933"/>
          <cell r="K2933" t="str">
            <v>KU</v>
          </cell>
          <cell r="L2933" t="str">
            <v>FAST07</v>
          </cell>
          <cell r="M2933" t="str">
            <v>Harry Santoso</v>
          </cell>
          <cell r="N2933" t="str">
            <v>Forum Agro Sukses Timur, PT</v>
          </cell>
          <cell r="O2933" t="str">
            <v>Jl. Merak No. 88 RT.001/RW.005, Kel. Jubung, Kec. Sukorambi</v>
          </cell>
          <cell r="P2933" t="str">
            <v>Jember</v>
          </cell>
          <cell r="Q2933" t="str">
            <v>Jl. Merak No. 88 RT.001/RW.005, Kel. Jubung, Kec. Sukorambi</v>
          </cell>
          <cell r="R2933" t="str">
            <v>Jember</v>
          </cell>
          <cell r="S2933" t="str">
            <v>J Group</v>
          </cell>
          <cell r="T2933" t="str">
            <v>Wira</v>
          </cell>
          <cell r="U2933">
            <v>30</v>
          </cell>
        </row>
        <row r="2934">
          <cell r="E2934" t="str">
            <v>B25009726</v>
          </cell>
          <cell r="F2934"/>
          <cell r="G2934">
            <v>12000000000</v>
          </cell>
          <cell r="H2934" t="str">
            <v>Yuyun</v>
          </cell>
          <cell r="I2934" t="str">
            <v>Syahra</v>
          </cell>
          <cell r="J2934"/>
          <cell r="K2934" t="str">
            <v>KU</v>
          </cell>
          <cell r="L2934" t="str">
            <v>FAST07</v>
          </cell>
          <cell r="M2934" t="str">
            <v>Harry Santoso</v>
          </cell>
          <cell r="N2934" t="str">
            <v>Forum Agro Sukses Timur, PT</v>
          </cell>
          <cell r="O2934" t="str">
            <v>Jl. Merak No. 88 RT.001/RW.005, Kel. Jubung, Kec. Sukorambi</v>
          </cell>
          <cell r="P2934" t="str">
            <v>Jember</v>
          </cell>
          <cell r="Q2934" t="str">
            <v>Jl. Merak No. 88 RT.001/RW.005, Kel. Jubung, Kec. Sukorambi</v>
          </cell>
          <cell r="R2934" t="str">
            <v>Jember</v>
          </cell>
          <cell r="S2934" t="str">
            <v>J Group</v>
          </cell>
          <cell r="T2934" t="str">
            <v>Wira</v>
          </cell>
          <cell r="U2934">
            <v>30</v>
          </cell>
        </row>
        <row r="2935">
          <cell r="E2935" t="str">
            <v>B25009788</v>
          </cell>
          <cell r="F2935"/>
          <cell r="G2935">
            <v>12000000000</v>
          </cell>
          <cell r="H2935" t="str">
            <v>Yuyun</v>
          </cell>
          <cell r="I2935" t="str">
            <v>Syahra</v>
          </cell>
          <cell r="J2935"/>
          <cell r="K2935" t="str">
            <v>KU</v>
          </cell>
          <cell r="L2935" t="str">
            <v>FAST07</v>
          </cell>
          <cell r="M2935" t="str">
            <v>Harry Santoso</v>
          </cell>
          <cell r="N2935" t="str">
            <v>Forum Agro Sukses Timur, PT</v>
          </cell>
          <cell r="O2935" t="str">
            <v>Jl. Merak No. 88 RT.001/RW.005, Kel. Jubung, Kec. Sukorambi</v>
          </cell>
          <cell r="P2935" t="str">
            <v>Jember</v>
          </cell>
          <cell r="Q2935" t="str">
            <v>Jl. Merak No. 88 RT.001/RW.005, Kel. Jubung, Kec. Sukorambi</v>
          </cell>
          <cell r="R2935" t="str">
            <v>Jember</v>
          </cell>
          <cell r="S2935" t="str">
            <v>J Group</v>
          </cell>
          <cell r="T2935" t="str">
            <v>Wira</v>
          </cell>
          <cell r="U2935">
            <v>30</v>
          </cell>
        </row>
        <row r="2936">
          <cell r="E2936" t="str">
            <v>B25009789</v>
          </cell>
          <cell r="F2936"/>
          <cell r="G2936">
            <v>12000000000</v>
          </cell>
          <cell r="H2936" t="str">
            <v>Yuyun</v>
          </cell>
          <cell r="I2936" t="str">
            <v>Syahra</v>
          </cell>
          <cell r="J2936"/>
          <cell r="K2936" t="str">
            <v>KU</v>
          </cell>
          <cell r="L2936" t="str">
            <v>FAST07</v>
          </cell>
          <cell r="M2936" t="str">
            <v>Harry Santoso</v>
          </cell>
          <cell r="N2936" t="str">
            <v>Forum Agro Sukses Timur, PT</v>
          </cell>
          <cell r="O2936" t="str">
            <v>Jl. Merak No. 88 RT.001/RW.005, Kel. Jubung, Kec. Sukorambi</v>
          </cell>
          <cell r="P2936" t="str">
            <v>Jember</v>
          </cell>
          <cell r="Q2936" t="str">
            <v>Jl. Merak No. 88 RT.001/RW.005, Kel. Jubung, Kec. Sukorambi</v>
          </cell>
          <cell r="R2936" t="str">
            <v>Jember</v>
          </cell>
          <cell r="S2936" t="str">
            <v>J Group</v>
          </cell>
          <cell r="T2936" t="str">
            <v>Wira</v>
          </cell>
          <cell r="U2936">
            <v>30</v>
          </cell>
        </row>
        <row r="2937">
          <cell r="E2937" t="str">
            <v>D25011725</v>
          </cell>
          <cell r="F2937"/>
          <cell r="G2937">
            <v>12000000000</v>
          </cell>
          <cell r="H2937" t="str">
            <v>Yuyun</v>
          </cell>
          <cell r="I2937" t="str">
            <v>Syahra</v>
          </cell>
          <cell r="J2937"/>
          <cell r="K2937" t="str">
            <v>KU</v>
          </cell>
          <cell r="L2937" t="str">
            <v>FAST07</v>
          </cell>
          <cell r="M2937" t="str">
            <v>Harry Santoso</v>
          </cell>
          <cell r="N2937" t="str">
            <v>Forum Agro Sukses Timur, PT</v>
          </cell>
          <cell r="O2937" t="str">
            <v>Jl. Merak No. 88 RT.001/RW.005, Kel. Jubung, Kec. Sukorambi</v>
          </cell>
          <cell r="P2937" t="str">
            <v>Jember</v>
          </cell>
          <cell r="Q2937" t="str">
            <v>Jl. Merak No. 88 RT.001/RW.005, Kel. Jubung, Kec. Sukorambi</v>
          </cell>
          <cell r="R2937" t="str">
            <v>Jember</v>
          </cell>
          <cell r="S2937" t="str">
            <v>J Group</v>
          </cell>
          <cell r="T2937" t="str">
            <v>Wira</v>
          </cell>
          <cell r="U2937">
            <v>30</v>
          </cell>
        </row>
        <row r="2938">
          <cell r="E2938" t="str">
            <v>B25009858</v>
          </cell>
          <cell r="F2938"/>
          <cell r="G2938">
            <v>12000000000</v>
          </cell>
          <cell r="H2938" t="str">
            <v>Yuyun</v>
          </cell>
          <cell r="I2938" t="str">
            <v>Syahra</v>
          </cell>
          <cell r="J2938"/>
          <cell r="K2938" t="str">
            <v>KU</v>
          </cell>
          <cell r="L2938" t="str">
            <v>FAST07</v>
          </cell>
          <cell r="M2938" t="str">
            <v>Harry Santoso</v>
          </cell>
          <cell r="N2938" t="str">
            <v>Forum Agro Sukses Timur, PT</v>
          </cell>
          <cell r="O2938" t="str">
            <v>Jl. Merak No. 88 RT.001/RW.005, Kel. Jubung, Kec. Sukorambi</v>
          </cell>
          <cell r="P2938" t="str">
            <v>Jember</v>
          </cell>
          <cell r="Q2938" t="str">
            <v>Jl. Merak No. 88 RT.001/RW.005, Kel. Jubung, Kec. Sukorambi</v>
          </cell>
          <cell r="R2938" t="str">
            <v>Jember</v>
          </cell>
          <cell r="S2938" t="str">
            <v>J Group</v>
          </cell>
          <cell r="T2938" t="str">
            <v>Wira</v>
          </cell>
          <cell r="U2938">
            <v>30</v>
          </cell>
        </row>
        <row r="2939">
          <cell r="E2939" t="str">
            <v>B25009860</v>
          </cell>
          <cell r="F2939"/>
          <cell r="G2939">
            <v>12000000000</v>
          </cell>
          <cell r="H2939" t="str">
            <v>Yuyun</v>
          </cell>
          <cell r="I2939" t="str">
            <v>Syahra</v>
          </cell>
          <cell r="J2939"/>
          <cell r="K2939" t="str">
            <v>KU</v>
          </cell>
          <cell r="L2939" t="str">
            <v>FAST07</v>
          </cell>
          <cell r="M2939" t="str">
            <v>Harry Santoso</v>
          </cell>
          <cell r="N2939" t="str">
            <v>Forum Agro Sukses Timur, PT</v>
          </cell>
          <cell r="O2939" t="str">
            <v>Jl. Merak No. 88 RT.001/RW.005, Kel. Jubung, Kec. Sukorambi</v>
          </cell>
          <cell r="P2939" t="str">
            <v>Jember</v>
          </cell>
          <cell r="Q2939" t="str">
            <v>Jl. Merak No. 88 RT.001/RW.005, Kel. Jubung, Kec. Sukorambi</v>
          </cell>
          <cell r="R2939" t="str">
            <v>Jember</v>
          </cell>
          <cell r="S2939" t="str">
            <v>J Group</v>
          </cell>
          <cell r="T2939" t="str">
            <v>Wira</v>
          </cell>
          <cell r="U2939">
            <v>30</v>
          </cell>
        </row>
        <row r="2940">
          <cell r="E2940" t="str">
            <v>B25009899</v>
          </cell>
          <cell r="F2940"/>
          <cell r="G2940">
            <v>12000000000</v>
          </cell>
          <cell r="H2940" t="str">
            <v>Yuyun</v>
          </cell>
          <cell r="I2940" t="str">
            <v>Syahra</v>
          </cell>
          <cell r="J2940"/>
          <cell r="K2940" t="str">
            <v>KU</v>
          </cell>
          <cell r="L2940" t="str">
            <v>FAST07</v>
          </cell>
          <cell r="M2940" t="str">
            <v>Harry Santoso</v>
          </cell>
          <cell r="N2940" t="str">
            <v>Forum Agro Sukses Timur, PT</v>
          </cell>
          <cell r="O2940" t="str">
            <v>Jl. Merak No. 88 RT.001/RW.005, Kel. Jubung, Kec. Sukorambi</v>
          </cell>
          <cell r="P2940" t="str">
            <v>Jember</v>
          </cell>
          <cell r="Q2940" t="str">
            <v>Jl. Merak No. 88 RT.001/RW.005, Kel. Jubung, Kec. Sukorambi</v>
          </cell>
          <cell r="R2940" t="str">
            <v>Jember</v>
          </cell>
          <cell r="S2940" t="str">
            <v>J Group</v>
          </cell>
          <cell r="T2940" t="str">
            <v>Wira</v>
          </cell>
          <cell r="U2940">
            <v>30</v>
          </cell>
        </row>
        <row r="2941">
          <cell r="E2941" t="str">
            <v>D25011833</v>
          </cell>
          <cell r="F2941"/>
          <cell r="G2941">
            <v>12000000000</v>
          </cell>
          <cell r="H2941" t="str">
            <v>Yuyun</v>
          </cell>
          <cell r="I2941" t="str">
            <v>Syahra</v>
          </cell>
          <cell r="J2941"/>
          <cell r="K2941" t="str">
            <v>KU</v>
          </cell>
          <cell r="L2941" t="str">
            <v>FAST07</v>
          </cell>
          <cell r="M2941" t="str">
            <v>Harry Santoso</v>
          </cell>
          <cell r="N2941" t="str">
            <v>Forum Agro Sukses Timur, PT</v>
          </cell>
          <cell r="O2941" t="str">
            <v>Jl. Merak No. 88 RT.001/RW.005, Kel. Jubung, Kec. Sukorambi</v>
          </cell>
          <cell r="P2941" t="str">
            <v>Jember</v>
          </cell>
          <cell r="Q2941" t="str">
            <v>Jl. Merak No. 88 RT.001/RW.005, Kel. Jubung, Kec. Sukorambi</v>
          </cell>
          <cell r="R2941" t="str">
            <v>Jember</v>
          </cell>
          <cell r="S2941" t="str">
            <v>J Group</v>
          </cell>
          <cell r="T2941" t="str">
            <v>Wira</v>
          </cell>
          <cell r="U2941">
            <v>30</v>
          </cell>
        </row>
        <row r="2942">
          <cell r="E2942" t="str">
            <v>B25009978</v>
          </cell>
          <cell r="F2942"/>
          <cell r="G2942">
            <v>12000000000</v>
          </cell>
          <cell r="H2942" t="str">
            <v>Yuyun</v>
          </cell>
          <cell r="I2942" t="str">
            <v>Syahra</v>
          </cell>
          <cell r="J2942"/>
          <cell r="K2942" t="str">
            <v>KU</v>
          </cell>
          <cell r="L2942" t="str">
            <v>FAST07</v>
          </cell>
          <cell r="M2942" t="str">
            <v>Harry Santoso</v>
          </cell>
          <cell r="N2942" t="str">
            <v>Forum Agro Sukses Timur, PT</v>
          </cell>
          <cell r="O2942" t="str">
            <v>Jl. Merak No. 88 RT.001/RW.005, Kel. Jubung, Kec. Sukorambi</v>
          </cell>
          <cell r="P2942" t="str">
            <v>Jember</v>
          </cell>
          <cell r="Q2942" t="str">
            <v>Jl. Merak No. 88 RT.001/RW.005, Kel. Jubung, Kec. Sukorambi</v>
          </cell>
          <cell r="R2942" t="str">
            <v>Jember</v>
          </cell>
          <cell r="S2942" t="str">
            <v>J Group</v>
          </cell>
          <cell r="T2942" t="str">
            <v>Wira</v>
          </cell>
          <cell r="U2942">
            <v>30</v>
          </cell>
        </row>
        <row r="2943">
          <cell r="E2943" t="str">
            <v>B25009979</v>
          </cell>
          <cell r="F2943"/>
          <cell r="G2943">
            <v>12000000000</v>
          </cell>
          <cell r="H2943" t="str">
            <v>Yuyun</v>
          </cell>
          <cell r="I2943" t="str">
            <v>Syahra</v>
          </cell>
          <cell r="J2943"/>
          <cell r="K2943" t="str">
            <v>KU</v>
          </cell>
          <cell r="L2943" t="str">
            <v>FAST07</v>
          </cell>
          <cell r="M2943" t="str">
            <v>Harry Santoso</v>
          </cell>
          <cell r="N2943" t="str">
            <v>Forum Agro Sukses Timur, PT</v>
          </cell>
          <cell r="O2943" t="str">
            <v>Jl. Merak No. 88 RT.001/RW.005, Kel. Jubung, Kec. Sukorambi</v>
          </cell>
          <cell r="P2943" t="str">
            <v>Jember</v>
          </cell>
          <cell r="Q2943" t="str">
            <v>Jl. Merak No. 88 RT.001/RW.005, Kel. Jubung, Kec. Sukorambi</v>
          </cell>
          <cell r="R2943" t="str">
            <v>Jember</v>
          </cell>
          <cell r="S2943" t="str">
            <v>J Group</v>
          </cell>
          <cell r="T2943" t="str">
            <v>Wira</v>
          </cell>
          <cell r="U2943">
            <v>30</v>
          </cell>
        </row>
        <row r="2944">
          <cell r="E2944" t="str">
            <v>B25010006</v>
          </cell>
          <cell r="F2944"/>
          <cell r="G2944">
            <v>12000000000</v>
          </cell>
          <cell r="H2944" t="str">
            <v>Yuyun</v>
          </cell>
          <cell r="I2944" t="str">
            <v>Syahra</v>
          </cell>
          <cell r="J2944"/>
          <cell r="K2944" t="str">
            <v>KU</v>
          </cell>
          <cell r="L2944" t="str">
            <v>FAST07</v>
          </cell>
          <cell r="M2944" t="str">
            <v>Harry Santoso</v>
          </cell>
          <cell r="N2944" t="str">
            <v>Forum Agro Sukses Timur, PT</v>
          </cell>
          <cell r="O2944" t="str">
            <v>Jl. Merak No. 88 RT.001/RW.005, Kel. Jubung, Kec. Sukorambi</v>
          </cell>
          <cell r="P2944" t="str">
            <v>Jember</v>
          </cell>
          <cell r="Q2944" t="str">
            <v>Jl. Merak No. 88 RT.001/RW.005, Kel. Jubung, Kec. Sukorambi</v>
          </cell>
          <cell r="R2944" t="str">
            <v>Jember</v>
          </cell>
          <cell r="S2944" t="str">
            <v>J Group</v>
          </cell>
          <cell r="T2944" t="str">
            <v>Wira</v>
          </cell>
          <cell r="U2944">
            <v>30</v>
          </cell>
        </row>
        <row r="2945">
          <cell r="E2945" t="str">
            <v>B25010007</v>
          </cell>
          <cell r="F2945"/>
          <cell r="G2945">
            <v>12000000000</v>
          </cell>
          <cell r="H2945" t="str">
            <v>Yuyun</v>
          </cell>
          <cell r="I2945" t="str">
            <v>Syahra</v>
          </cell>
          <cell r="J2945"/>
          <cell r="K2945" t="str">
            <v>KU</v>
          </cell>
          <cell r="L2945" t="str">
            <v>FAST07</v>
          </cell>
          <cell r="M2945" t="str">
            <v>Harry Santoso</v>
          </cell>
          <cell r="N2945" t="str">
            <v>Forum Agro Sukses Timur, PT</v>
          </cell>
          <cell r="O2945" t="str">
            <v>Jl. Merak No. 88 RT.001/RW.005, Kel. Jubung, Kec. Sukorambi</v>
          </cell>
          <cell r="P2945" t="str">
            <v>Jember</v>
          </cell>
          <cell r="Q2945" t="str">
            <v>Jl. Merak No. 88 RT.001/RW.005, Kel. Jubung, Kec. Sukorambi</v>
          </cell>
          <cell r="R2945" t="str">
            <v>Jember</v>
          </cell>
          <cell r="S2945" t="str">
            <v>J Group</v>
          </cell>
          <cell r="T2945" t="str">
            <v>Wira</v>
          </cell>
          <cell r="U2945">
            <v>30</v>
          </cell>
        </row>
        <row r="2946">
          <cell r="E2946" t="str">
            <v>D25011936</v>
          </cell>
          <cell r="F2946"/>
          <cell r="G2946">
            <v>12000000000</v>
          </cell>
          <cell r="H2946" t="str">
            <v>Yuyun</v>
          </cell>
          <cell r="I2946" t="str">
            <v>Syahra</v>
          </cell>
          <cell r="J2946"/>
          <cell r="K2946" t="str">
            <v>KU</v>
          </cell>
          <cell r="L2946" t="str">
            <v>FAST07</v>
          </cell>
          <cell r="M2946" t="str">
            <v>Harry Santoso</v>
          </cell>
          <cell r="N2946" t="str">
            <v>Forum Agro Sukses Timur, PT</v>
          </cell>
          <cell r="O2946" t="str">
            <v>Jl. Merak No. 88 RT.001/RW.005, Kel. Jubung, Kec. Sukorambi</v>
          </cell>
          <cell r="P2946" t="str">
            <v>Jember</v>
          </cell>
          <cell r="Q2946" t="str">
            <v>Jl. Merak No. 88 RT.001/RW.005, Kel. Jubung, Kec. Sukorambi</v>
          </cell>
          <cell r="R2946" t="str">
            <v>Jember</v>
          </cell>
          <cell r="S2946" t="str">
            <v>J Group</v>
          </cell>
          <cell r="T2946" t="str">
            <v>Wira</v>
          </cell>
          <cell r="U2946">
            <v>30</v>
          </cell>
        </row>
        <row r="2947">
          <cell r="E2947" t="str">
            <v>D25011938</v>
          </cell>
          <cell r="F2947"/>
          <cell r="G2947">
            <v>12000000000</v>
          </cell>
          <cell r="H2947" t="str">
            <v>Yuyun</v>
          </cell>
          <cell r="I2947" t="str">
            <v>Syahra</v>
          </cell>
          <cell r="J2947"/>
          <cell r="K2947" t="str">
            <v>KU</v>
          </cell>
          <cell r="L2947" t="str">
            <v>FAST07</v>
          </cell>
          <cell r="M2947" t="str">
            <v>Harry Santoso</v>
          </cell>
          <cell r="N2947" t="str">
            <v>Forum Agro Sukses Timur, PT</v>
          </cell>
          <cell r="O2947" t="str">
            <v>Jl. Merak No. 88 RT.001/RW.005, Kel. Jubung, Kec. Sukorambi</v>
          </cell>
          <cell r="P2947" t="str">
            <v>Jember</v>
          </cell>
          <cell r="Q2947" t="str">
            <v>Jl. Merak No. 88 RT.001/RW.005, Kel. Jubung, Kec. Sukorambi</v>
          </cell>
          <cell r="R2947" t="str">
            <v>Jember</v>
          </cell>
          <cell r="S2947" t="str">
            <v>J Group</v>
          </cell>
          <cell r="T2947" t="str">
            <v>Wira</v>
          </cell>
          <cell r="U2947">
            <v>30</v>
          </cell>
        </row>
        <row r="2948">
          <cell r="E2948" t="str">
            <v>D25012001</v>
          </cell>
          <cell r="F2948"/>
          <cell r="G2948">
            <v>12000000000</v>
          </cell>
          <cell r="H2948" t="str">
            <v>Yuyun</v>
          </cell>
          <cell r="I2948" t="str">
            <v>Syahra</v>
          </cell>
          <cell r="J2948"/>
          <cell r="K2948" t="str">
            <v>KU</v>
          </cell>
          <cell r="L2948" t="str">
            <v>FAST07</v>
          </cell>
          <cell r="M2948" t="str">
            <v>Harry Santoso</v>
          </cell>
          <cell r="N2948" t="str">
            <v>Forum Agro Sukses Timur, PT</v>
          </cell>
          <cell r="O2948" t="str">
            <v>Jl. Merak No. 88 RT.001/RW.005, Kel. Jubung, Kec. Sukorambi</v>
          </cell>
          <cell r="P2948" t="str">
            <v>Jember</v>
          </cell>
          <cell r="Q2948" t="str">
            <v>Jl. Merak No. 88 RT.001/RW.005, Kel. Jubung, Kec. Sukorambi</v>
          </cell>
          <cell r="R2948" t="str">
            <v>Jember</v>
          </cell>
          <cell r="S2948" t="str">
            <v>J Group</v>
          </cell>
          <cell r="T2948" t="str">
            <v>Wira</v>
          </cell>
          <cell r="U2948">
            <v>30</v>
          </cell>
        </row>
        <row r="2949">
          <cell r="E2949" t="str">
            <v>D25012043</v>
          </cell>
          <cell r="F2949"/>
          <cell r="G2949">
            <v>12000000000</v>
          </cell>
          <cell r="H2949" t="str">
            <v>Yuyun</v>
          </cell>
          <cell r="I2949" t="str">
            <v>Syahra</v>
          </cell>
          <cell r="J2949"/>
          <cell r="K2949" t="str">
            <v>KU</v>
          </cell>
          <cell r="L2949" t="str">
            <v>FAST07</v>
          </cell>
          <cell r="M2949" t="str">
            <v>Harry Santoso</v>
          </cell>
          <cell r="N2949" t="str">
            <v>Forum Agro Sukses Timur, PT</v>
          </cell>
          <cell r="O2949" t="str">
            <v>Jl. Merak No. 88 RT.001/RW.005, Kel. Jubung, Kec. Sukorambi</v>
          </cell>
          <cell r="P2949" t="str">
            <v>Jember</v>
          </cell>
          <cell r="Q2949" t="str">
            <v>Jl. Merak No. 88 RT.001/RW.005, Kel. Jubung, Kec. Sukorambi</v>
          </cell>
          <cell r="R2949" t="str">
            <v>Jember</v>
          </cell>
          <cell r="S2949" t="str">
            <v>J Group</v>
          </cell>
          <cell r="T2949" t="str">
            <v>Wira</v>
          </cell>
          <cell r="U2949">
            <v>30</v>
          </cell>
        </row>
        <row r="2950">
          <cell r="E2950" t="str">
            <v>D25012086</v>
          </cell>
          <cell r="F2950"/>
          <cell r="G2950">
            <v>12000000000</v>
          </cell>
          <cell r="H2950" t="str">
            <v>Yuyun</v>
          </cell>
          <cell r="I2950" t="str">
            <v>Syahra</v>
          </cell>
          <cell r="J2950"/>
          <cell r="K2950" t="str">
            <v>KU</v>
          </cell>
          <cell r="L2950" t="str">
            <v>FAST07</v>
          </cell>
          <cell r="M2950" t="str">
            <v>Harry Santoso</v>
          </cell>
          <cell r="N2950" t="str">
            <v>Forum Agro Sukses Timur, PT</v>
          </cell>
          <cell r="O2950" t="str">
            <v>Jl. Merak No. 88 RT.001/RW.005, Kel. Jubung, Kec. Sukorambi</v>
          </cell>
          <cell r="P2950" t="str">
            <v>Jember</v>
          </cell>
          <cell r="Q2950" t="str">
            <v>Jl. Merak No. 88 RT.001/RW.005, Kel. Jubung, Kec. Sukorambi</v>
          </cell>
          <cell r="R2950" t="str">
            <v>Jember</v>
          </cell>
          <cell r="S2950" t="str">
            <v>J Group</v>
          </cell>
          <cell r="T2950" t="str">
            <v>Wira</v>
          </cell>
          <cell r="U2950">
            <v>30</v>
          </cell>
        </row>
        <row r="2951">
          <cell r="E2951" t="str">
            <v>B25010233</v>
          </cell>
          <cell r="F2951"/>
          <cell r="G2951">
            <v>12000000000</v>
          </cell>
          <cell r="H2951" t="str">
            <v>Yuyun</v>
          </cell>
          <cell r="I2951" t="str">
            <v>Syahra</v>
          </cell>
          <cell r="J2951"/>
          <cell r="K2951" t="str">
            <v>KU</v>
          </cell>
          <cell r="L2951" t="str">
            <v>FAST07</v>
          </cell>
          <cell r="M2951" t="str">
            <v>Harry Santoso</v>
          </cell>
          <cell r="N2951" t="str">
            <v>Forum Agro Sukses Timur, PT</v>
          </cell>
          <cell r="O2951" t="str">
            <v>Jl. Merak No. 88 RT.001/RW.005, Kel. Jubung, Kec. Sukorambi</v>
          </cell>
          <cell r="P2951" t="str">
            <v>Jember</v>
          </cell>
          <cell r="Q2951" t="str">
            <v>Jl. Merak No. 88 RT.001/RW.005, Kel. Jubung, Kec. Sukorambi</v>
          </cell>
          <cell r="R2951" t="str">
            <v>Jember</v>
          </cell>
          <cell r="S2951" t="str">
            <v>J Group</v>
          </cell>
          <cell r="T2951" t="str">
            <v>Wira</v>
          </cell>
          <cell r="U2951">
            <v>30</v>
          </cell>
        </row>
        <row r="2952">
          <cell r="E2952" t="str">
            <v>B25010234</v>
          </cell>
          <cell r="F2952"/>
          <cell r="G2952">
            <v>12000000000</v>
          </cell>
          <cell r="H2952" t="str">
            <v>Yuyun</v>
          </cell>
          <cell r="I2952" t="str">
            <v>Syahra</v>
          </cell>
          <cell r="J2952"/>
          <cell r="K2952" t="str">
            <v>KU</v>
          </cell>
          <cell r="L2952" t="str">
            <v>FAST07</v>
          </cell>
          <cell r="M2952" t="str">
            <v>Harry Santoso</v>
          </cell>
          <cell r="N2952" t="str">
            <v>Forum Agro Sukses Timur, PT</v>
          </cell>
          <cell r="O2952" t="str">
            <v>Jl. Merak No. 88 RT.001/RW.005, Kel. Jubung, Kec. Sukorambi</v>
          </cell>
          <cell r="P2952" t="str">
            <v>Jember</v>
          </cell>
          <cell r="Q2952" t="str">
            <v>Jl. Merak No. 88 RT.001/RW.005, Kel. Jubung, Kec. Sukorambi</v>
          </cell>
          <cell r="R2952" t="str">
            <v>Jember</v>
          </cell>
          <cell r="S2952" t="str">
            <v>J Group</v>
          </cell>
          <cell r="T2952" t="str">
            <v>Wira</v>
          </cell>
          <cell r="U2952">
            <v>30</v>
          </cell>
        </row>
        <row r="2953">
          <cell r="E2953" t="str">
            <v>D25012207</v>
          </cell>
          <cell r="F2953"/>
          <cell r="G2953">
            <v>12000000000</v>
          </cell>
          <cell r="H2953" t="str">
            <v>Yuyun</v>
          </cell>
          <cell r="I2953" t="str">
            <v>Syahra</v>
          </cell>
          <cell r="J2953"/>
          <cell r="K2953" t="str">
            <v>KU</v>
          </cell>
          <cell r="L2953" t="str">
            <v>FAST07</v>
          </cell>
          <cell r="M2953" t="str">
            <v>Harry Santoso</v>
          </cell>
          <cell r="N2953" t="str">
            <v>Forum Agro Sukses Timur, PT</v>
          </cell>
          <cell r="O2953" t="str">
            <v>Jl. Merak No. 88 RT.001/RW.005, Kel. Jubung, Kec. Sukorambi</v>
          </cell>
          <cell r="P2953" t="str">
            <v>Jember</v>
          </cell>
          <cell r="Q2953" t="str">
            <v>Jl. Merak No. 88 RT.001/RW.005, Kel. Jubung, Kec. Sukorambi</v>
          </cell>
          <cell r="R2953" t="str">
            <v>Jember</v>
          </cell>
          <cell r="S2953" t="str">
            <v>J Group</v>
          </cell>
          <cell r="T2953" t="str">
            <v>Wira</v>
          </cell>
          <cell r="U2953">
            <v>30</v>
          </cell>
        </row>
        <row r="2954">
          <cell r="E2954" t="str">
            <v>B25010409</v>
          </cell>
          <cell r="F2954"/>
          <cell r="G2954">
            <v>12000000000</v>
          </cell>
          <cell r="H2954" t="str">
            <v>Yuyun</v>
          </cell>
          <cell r="I2954" t="str">
            <v>Syahra</v>
          </cell>
          <cell r="J2954"/>
          <cell r="K2954" t="str">
            <v>KU</v>
          </cell>
          <cell r="L2954" t="str">
            <v>FAST07</v>
          </cell>
          <cell r="M2954" t="str">
            <v>Harry Santoso</v>
          </cell>
          <cell r="N2954" t="str">
            <v>Forum Agro Sukses Timur, PT</v>
          </cell>
          <cell r="O2954" t="str">
            <v>Jl. Merak No. 88 RT.001/RW.005, Kel. Jubung, Kec. Sukorambi</v>
          </cell>
          <cell r="P2954" t="str">
            <v>Jember</v>
          </cell>
          <cell r="Q2954" t="str">
            <v>Jl. Merak No. 88 RT.001/RW.005, Kel. Jubung, Kec. Sukorambi</v>
          </cell>
          <cell r="R2954" t="str">
            <v>Jember</v>
          </cell>
          <cell r="S2954" t="str">
            <v>J Group</v>
          </cell>
          <cell r="T2954" t="str">
            <v>Wira</v>
          </cell>
          <cell r="U2954">
            <v>30</v>
          </cell>
        </row>
        <row r="2955">
          <cell r="E2955" t="str">
            <v>D25012308</v>
          </cell>
          <cell r="F2955"/>
          <cell r="G2955">
            <v>12000000000</v>
          </cell>
          <cell r="H2955" t="str">
            <v>Yuyun</v>
          </cell>
          <cell r="I2955" t="str">
            <v>Syahra</v>
          </cell>
          <cell r="J2955"/>
          <cell r="K2955" t="str">
            <v>KU</v>
          </cell>
          <cell r="L2955" t="str">
            <v>FAST07</v>
          </cell>
          <cell r="M2955" t="str">
            <v>Harry Santoso</v>
          </cell>
          <cell r="N2955" t="str">
            <v>Forum Agro Sukses Timur, PT</v>
          </cell>
          <cell r="O2955" t="str">
            <v>Jl. Merak No. 88 RT.001/RW.005, Kel. Jubung, Kec. Sukorambi</v>
          </cell>
          <cell r="P2955" t="str">
            <v>Jember</v>
          </cell>
          <cell r="Q2955" t="str">
            <v>Jl. Merak No. 88 RT.001/RW.005, Kel. Jubung, Kec. Sukorambi</v>
          </cell>
          <cell r="R2955" t="str">
            <v>Jember</v>
          </cell>
          <cell r="S2955" t="str">
            <v>J Group</v>
          </cell>
          <cell r="T2955" t="str">
            <v>Wira</v>
          </cell>
          <cell r="U2955">
            <v>30</v>
          </cell>
        </row>
        <row r="2956">
          <cell r="E2956" t="str">
            <v>D25012309</v>
          </cell>
          <cell r="F2956"/>
          <cell r="G2956">
            <v>12000000000</v>
          </cell>
          <cell r="H2956" t="str">
            <v>Yuyun</v>
          </cell>
          <cell r="I2956" t="str">
            <v>Syahra</v>
          </cell>
          <cell r="J2956"/>
          <cell r="K2956" t="str">
            <v>KU</v>
          </cell>
          <cell r="L2956" t="str">
            <v>FAST07</v>
          </cell>
          <cell r="M2956" t="str">
            <v>Harry Santoso</v>
          </cell>
          <cell r="N2956" t="str">
            <v>Forum Agro Sukses Timur, PT</v>
          </cell>
          <cell r="O2956" t="str">
            <v>Jl. Merak No. 88 RT.001/RW.005, Kel. Jubung, Kec. Sukorambi</v>
          </cell>
          <cell r="P2956" t="str">
            <v>Jember</v>
          </cell>
          <cell r="Q2956" t="str">
            <v>Jl. Merak No. 88 RT.001/RW.005, Kel. Jubung, Kec. Sukorambi</v>
          </cell>
          <cell r="R2956" t="str">
            <v>Jember</v>
          </cell>
          <cell r="S2956" t="str">
            <v>J Group</v>
          </cell>
          <cell r="T2956" t="str">
            <v>Wira</v>
          </cell>
          <cell r="U2956">
            <v>30</v>
          </cell>
        </row>
        <row r="2957">
          <cell r="E2957" t="str">
            <v>D25012317</v>
          </cell>
          <cell r="F2957"/>
          <cell r="G2957">
            <v>12000000000</v>
          </cell>
          <cell r="H2957" t="str">
            <v>Yuyun</v>
          </cell>
          <cell r="I2957" t="str">
            <v>Syahra</v>
          </cell>
          <cell r="J2957"/>
          <cell r="K2957" t="str">
            <v>KU</v>
          </cell>
          <cell r="L2957" t="str">
            <v>FAST07</v>
          </cell>
          <cell r="M2957" t="str">
            <v>Harry Santoso</v>
          </cell>
          <cell r="N2957" t="str">
            <v>Forum Agro Sukses Timur, PT</v>
          </cell>
          <cell r="O2957" t="str">
            <v>Jl. Merak No. 88 RT.001/RW.005, Kel. Jubung, Kec. Sukorambi</v>
          </cell>
          <cell r="P2957" t="str">
            <v>Jember</v>
          </cell>
          <cell r="Q2957" t="str">
            <v>Jl. Merak No. 88 RT.001/RW.005, Kel. Jubung, Kec. Sukorambi</v>
          </cell>
          <cell r="R2957" t="str">
            <v>Jember</v>
          </cell>
          <cell r="S2957" t="str">
            <v>J Group</v>
          </cell>
          <cell r="T2957" t="str">
            <v>Wira</v>
          </cell>
          <cell r="U2957">
            <v>30</v>
          </cell>
        </row>
        <row r="2958">
          <cell r="E2958" t="str">
            <v>D25012348</v>
          </cell>
          <cell r="F2958"/>
          <cell r="G2958">
            <v>12000000000</v>
          </cell>
          <cell r="H2958" t="str">
            <v>Yuyun</v>
          </cell>
          <cell r="I2958" t="str">
            <v>Syahra</v>
          </cell>
          <cell r="J2958"/>
          <cell r="K2958" t="str">
            <v>KU</v>
          </cell>
          <cell r="L2958" t="str">
            <v>FAST07</v>
          </cell>
          <cell r="M2958" t="str">
            <v>Harry Santoso</v>
          </cell>
          <cell r="N2958" t="str">
            <v>Forum Agro Sukses Timur, PT</v>
          </cell>
          <cell r="O2958" t="str">
            <v>Jl. Merak No. 88 RT.001/RW.005, Kel. Jubung, Kec. Sukorambi</v>
          </cell>
          <cell r="P2958" t="str">
            <v>Jember</v>
          </cell>
          <cell r="Q2958" t="str">
            <v>Jl. Merak No. 88 RT.001/RW.005, Kel. Jubung, Kec. Sukorambi</v>
          </cell>
          <cell r="R2958" t="str">
            <v>Jember</v>
          </cell>
          <cell r="S2958" t="str">
            <v>J Group</v>
          </cell>
          <cell r="T2958" t="str">
            <v>Wira</v>
          </cell>
          <cell r="U2958">
            <v>30</v>
          </cell>
        </row>
        <row r="2959">
          <cell r="E2959" t="str">
            <v>D25012379</v>
          </cell>
          <cell r="F2959"/>
          <cell r="G2959">
            <v>12000000000</v>
          </cell>
          <cell r="H2959" t="str">
            <v>Yuyun</v>
          </cell>
          <cell r="I2959" t="str">
            <v>Syahra</v>
          </cell>
          <cell r="J2959"/>
          <cell r="K2959" t="str">
            <v>KU</v>
          </cell>
          <cell r="L2959" t="str">
            <v>FAST07</v>
          </cell>
          <cell r="M2959" t="str">
            <v>Harry Santoso</v>
          </cell>
          <cell r="N2959" t="str">
            <v>Forum Agro Sukses Timur, PT</v>
          </cell>
          <cell r="O2959" t="str">
            <v>Jl. Merak No. 88 RT.001/RW.005, Kel. Jubung, Kec. Sukorambi</v>
          </cell>
          <cell r="P2959" t="str">
            <v>Jember</v>
          </cell>
          <cell r="Q2959" t="str">
            <v>Jl. Merak No. 88 RT.001/RW.005, Kel. Jubung, Kec. Sukorambi</v>
          </cell>
          <cell r="R2959" t="str">
            <v>Jember</v>
          </cell>
          <cell r="S2959" t="str">
            <v>J Group</v>
          </cell>
          <cell r="T2959" t="str">
            <v>Wira</v>
          </cell>
          <cell r="U2959">
            <v>30</v>
          </cell>
        </row>
        <row r="2960">
          <cell r="E2960" t="str">
            <v>B25010474</v>
          </cell>
          <cell r="F2960"/>
          <cell r="G2960">
            <v>12000000000</v>
          </cell>
          <cell r="H2960" t="str">
            <v>Yuyun</v>
          </cell>
          <cell r="I2960" t="str">
            <v>Syahra</v>
          </cell>
          <cell r="J2960"/>
          <cell r="K2960" t="str">
            <v>KU</v>
          </cell>
          <cell r="L2960" t="str">
            <v>FAST07</v>
          </cell>
          <cell r="M2960" t="str">
            <v>Harry Santoso</v>
          </cell>
          <cell r="N2960" t="str">
            <v>Forum Agro Sukses Timur, PT</v>
          </cell>
          <cell r="O2960" t="str">
            <v>Jl. Merak No. 88 RT.001/RW.005, Kel. Jubung, Kec. Sukorambi</v>
          </cell>
          <cell r="P2960" t="str">
            <v>Jember</v>
          </cell>
          <cell r="Q2960" t="str">
            <v>Jl. Merak No. 88 RT.001/RW.005, Kel. Jubung, Kec. Sukorambi</v>
          </cell>
          <cell r="R2960" t="str">
            <v>Jember</v>
          </cell>
          <cell r="S2960" t="str">
            <v>J Group</v>
          </cell>
          <cell r="T2960" t="str">
            <v>Wira</v>
          </cell>
          <cell r="U2960">
            <v>30</v>
          </cell>
        </row>
        <row r="2961">
          <cell r="E2961" t="str">
            <v>D25012400</v>
          </cell>
          <cell r="F2961"/>
          <cell r="G2961">
            <v>12000000000</v>
          </cell>
          <cell r="H2961" t="str">
            <v>Yuyun</v>
          </cell>
          <cell r="I2961" t="str">
            <v>Syahra</v>
          </cell>
          <cell r="J2961"/>
          <cell r="K2961" t="str">
            <v>KU</v>
          </cell>
          <cell r="L2961" t="str">
            <v>FAST07</v>
          </cell>
          <cell r="M2961" t="str">
            <v>Harry Santoso</v>
          </cell>
          <cell r="N2961" t="str">
            <v>Forum Agro Sukses Timur, PT</v>
          </cell>
          <cell r="O2961" t="str">
            <v>Jl. Merak No. 88 RT.001/RW.005, Kel. Jubung, Kec. Sukorambi</v>
          </cell>
          <cell r="P2961" t="str">
            <v>Jember</v>
          </cell>
          <cell r="Q2961" t="str">
            <v>Jl. Merak No. 88 RT.001/RW.005, Kel. Jubung, Kec. Sukorambi</v>
          </cell>
          <cell r="R2961" t="str">
            <v>Jember</v>
          </cell>
          <cell r="S2961" t="str">
            <v>J Group</v>
          </cell>
          <cell r="T2961" t="str">
            <v>Wira</v>
          </cell>
          <cell r="U2961">
            <v>30</v>
          </cell>
        </row>
        <row r="2962">
          <cell r="E2962" t="str">
            <v>D25012412</v>
          </cell>
          <cell r="F2962"/>
          <cell r="G2962">
            <v>12000000000</v>
          </cell>
          <cell r="H2962" t="str">
            <v>Yuyun</v>
          </cell>
          <cell r="I2962" t="str">
            <v>Syahra</v>
          </cell>
          <cell r="J2962"/>
          <cell r="K2962" t="str">
            <v>KU</v>
          </cell>
          <cell r="L2962" t="str">
            <v>FAST07</v>
          </cell>
          <cell r="M2962" t="str">
            <v>Harry Santoso</v>
          </cell>
          <cell r="N2962" t="str">
            <v>Forum Agro Sukses Timur, PT</v>
          </cell>
          <cell r="O2962" t="str">
            <v>Jl. Merak No. 88 RT.001/RW.005, Kel. Jubung, Kec. Sukorambi</v>
          </cell>
          <cell r="P2962" t="str">
            <v>Jember</v>
          </cell>
          <cell r="Q2962" t="str">
            <v>Jl. Merak No. 88 RT.001/RW.005, Kel. Jubung, Kec. Sukorambi</v>
          </cell>
          <cell r="R2962" t="str">
            <v>Jember</v>
          </cell>
          <cell r="S2962" t="str">
            <v>J Group</v>
          </cell>
          <cell r="T2962" t="str">
            <v>Wira</v>
          </cell>
          <cell r="U2962">
            <v>30</v>
          </cell>
        </row>
        <row r="2963">
          <cell r="E2963" t="str">
            <v>D25012480</v>
          </cell>
          <cell r="F2963"/>
          <cell r="G2963">
            <v>12000000000</v>
          </cell>
          <cell r="H2963" t="str">
            <v>Yuyun</v>
          </cell>
          <cell r="I2963" t="str">
            <v>Syahra</v>
          </cell>
          <cell r="J2963"/>
          <cell r="K2963" t="str">
            <v>KU</v>
          </cell>
          <cell r="L2963" t="str">
            <v>FAST07</v>
          </cell>
          <cell r="M2963" t="str">
            <v>Harry Santoso</v>
          </cell>
          <cell r="N2963" t="str">
            <v>Forum Agro Sukses Timur, PT</v>
          </cell>
          <cell r="O2963" t="str">
            <v>Jl. Merak No. 88 RT.001/RW.005, Kel. Jubung, Kec. Sukorambi</v>
          </cell>
          <cell r="P2963" t="str">
            <v>Jember</v>
          </cell>
          <cell r="Q2963" t="str">
            <v>Jl. Merak No. 88 RT.001/RW.005, Kel. Jubung, Kec. Sukorambi</v>
          </cell>
          <cell r="R2963" t="str">
            <v>Jember</v>
          </cell>
          <cell r="S2963" t="str">
            <v>J Group</v>
          </cell>
          <cell r="T2963" t="str">
            <v>Wira</v>
          </cell>
          <cell r="U2963">
            <v>30</v>
          </cell>
        </row>
        <row r="2964">
          <cell r="E2964" t="str">
            <v>D25012481</v>
          </cell>
          <cell r="F2964"/>
          <cell r="G2964">
            <v>12000000000</v>
          </cell>
          <cell r="H2964" t="str">
            <v>Yuyun</v>
          </cell>
          <cell r="I2964" t="str">
            <v>Syahra</v>
          </cell>
          <cell r="J2964"/>
          <cell r="K2964" t="str">
            <v>KU</v>
          </cell>
          <cell r="L2964" t="str">
            <v>FAST07</v>
          </cell>
          <cell r="M2964" t="str">
            <v>Harry Santoso</v>
          </cell>
          <cell r="N2964" t="str">
            <v>Forum Agro Sukses Timur, PT</v>
          </cell>
          <cell r="O2964" t="str">
            <v>Jl. Merak No. 88 RT.001/RW.005, Kel. Jubung, Kec. Sukorambi</v>
          </cell>
          <cell r="P2964" t="str">
            <v>Jember</v>
          </cell>
          <cell r="Q2964" t="str">
            <v>Jl. Merak No. 88 RT.001/RW.005, Kel. Jubung, Kec. Sukorambi</v>
          </cell>
          <cell r="R2964" t="str">
            <v>Jember</v>
          </cell>
          <cell r="S2964" t="str">
            <v>J Group</v>
          </cell>
          <cell r="T2964" t="str">
            <v>Wira</v>
          </cell>
          <cell r="U2964">
            <v>30</v>
          </cell>
        </row>
        <row r="2965">
          <cell r="E2965" t="str">
            <v>D25012566</v>
          </cell>
          <cell r="F2965"/>
          <cell r="G2965">
            <v>12000000000</v>
          </cell>
          <cell r="H2965" t="str">
            <v>Yuyun</v>
          </cell>
          <cell r="I2965" t="str">
            <v>Syahra</v>
          </cell>
          <cell r="J2965"/>
          <cell r="K2965" t="str">
            <v>KU</v>
          </cell>
          <cell r="L2965" t="str">
            <v>FAST07</v>
          </cell>
          <cell r="M2965" t="str">
            <v>Harry Santoso</v>
          </cell>
          <cell r="N2965" t="str">
            <v>Forum Agro Sukses Timur, PT</v>
          </cell>
          <cell r="O2965" t="str">
            <v>Jl. Merak No. 88 RT.001/RW.005, Kel. Jubung, Kec. Sukorambi</v>
          </cell>
          <cell r="P2965" t="str">
            <v>Jember</v>
          </cell>
          <cell r="Q2965" t="str">
            <v>Jl. Merak No. 88 RT.001/RW.005, Kel. Jubung, Kec. Sukorambi</v>
          </cell>
          <cell r="R2965" t="str">
            <v>Jember</v>
          </cell>
          <cell r="S2965" t="str">
            <v>J Group</v>
          </cell>
          <cell r="T2965" t="str">
            <v>Wira</v>
          </cell>
          <cell r="U2965">
            <v>30</v>
          </cell>
        </row>
        <row r="2966">
          <cell r="E2966" t="str">
            <v>D25012570</v>
          </cell>
          <cell r="F2966"/>
          <cell r="G2966">
            <v>12000000000</v>
          </cell>
          <cell r="H2966" t="str">
            <v>Yuyun</v>
          </cell>
          <cell r="I2966" t="str">
            <v>Syahra</v>
          </cell>
          <cell r="J2966"/>
          <cell r="K2966" t="str">
            <v>KU</v>
          </cell>
          <cell r="L2966" t="str">
            <v>FAST07</v>
          </cell>
          <cell r="M2966" t="str">
            <v>Harry Santoso</v>
          </cell>
          <cell r="N2966" t="str">
            <v>Forum Agro Sukses Timur, PT</v>
          </cell>
          <cell r="O2966" t="str">
            <v>Jl. Merak No. 88 RT.001/RW.005, Kel. Jubung, Kec. Sukorambi</v>
          </cell>
          <cell r="P2966" t="str">
            <v>Jember</v>
          </cell>
          <cell r="Q2966" t="str">
            <v>Jl. Merak No. 88 RT.001/RW.005, Kel. Jubung, Kec. Sukorambi</v>
          </cell>
          <cell r="R2966" t="str">
            <v>Jember</v>
          </cell>
          <cell r="S2966" t="str">
            <v>J Group</v>
          </cell>
          <cell r="T2966" t="str">
            <v>Wira</v>
          </cell>
          <cell r="U2966">
            <v>30</v>
          </cell>
        </row>
        <row r="2967">
          <cell r="E2967" t="str">
            <v>D25012615</v>
          </cell>
          <cell r="F2967"/>
          <cell r="G2967">
            <v>12000000000</v>
          </cell>
          <cell r="H2967" t="str">
            <v>Yuyun</v>
          </cell>
          <cell r="I2967" t="str">
            <v>Syahra</v>
          </cell>
          <cell r="J2967"/>
          <cell r="K2967" t="str">
            <v>KU</v>
          </cell>
          <cell r="L2967" t="str">
            <v>FAST07</v>
          </cell>
          <cell r="M2967" t="str">
            <v>Harry Santoso</v>
          </cell>
          <cell r="N2967" t="str">
            <v>Forum Agro Sukses Timur, PT</v>
          </cell>
          <cell r="O2967" t="str">
            <v>Jl. Merak No. 88 RT.001/RW.005, Kel. Jubung, Kec. Sukorambi</v>
          </cell>
          <cell r="P2967" t="str">
            <v>Jember</v>
          </cell>
          <cell r="Q2967" t="str">
            <v>Jl. Merak No. 88 RT.001/RW.005, Kel. Jubung, Kec. Sukorambi</v>
          </cell>
          <cell r="R2967" t="str">
            <v>Jember</v>
          </cell>
          <cell r="S2967" t="str">
            <v>J Group</v>
          </cell>
          <cell r="T2967" t="str">
            <v>Wira</v>
          </cell>
          <cell r="U2967">
            <v>30</v>
          </cell>
        </row>
        <row r="2968">
          <cell r="E2968" t="str">
            <v>D25012663</v>
          </cell>
          <cell r="F2968"/>
          <cell r="G2968">
            <v>12000000000</v>
          </cell>
          <cell r="H2968" t="str">
            <v>Yuyun</v>
          </cell>
          <cell r="I2968" t="str">
            <v>Syahra</v>
          </cell>
          <cell r="J2968"/>
          <cell r="K2968" t="str">
            <v>KU</v>
          </cell>
          <cell r="L2968" t="str">
            <v>FAST07</v>
          </cell>
          <cell r="M2968" t="str">
            <v>Harry Santoso</v>
          </cell>
          <cell r="N2968" t="str">
            <v>Forum Agro Sukses Timur, PT</v>
          </cell>
          <cell r="O2968" t="str">
            <v>Jl. Merak No. 88 RT.001/RW.005, Kel. Jubung, Kec. Sukorambi</v>
          </cell>
          <cell r="P2968" t="str">
            <v>Jember</v>
          </cell>
          <cell r="Q2968" t="str">
            <v>Jl. Merak No. 88 RT.001/RW.005, Kel. Jubung, Kec. Sukorambi</v>
          </cell>
          <cell r="R2968" t="str">
            <v>Jember</v>
          </cell>
          <cell r="S2968" t="str">
            <v>J Group</v>
          </cell>
          <cell r="T2968" t="str">
            <v>Wira</v>
          </cell>
          <cell r="U2968">
            <v>30</v>
          </cell>
        </row>
        <row r="2969">
          <cell r="E2969" t="str">
            <v>D25012673</v>
          </cell>
          <cell r="F2969"/>
          <cell r="G2969">
            <v>12000000000</v>
          </cell>
          <cell r="H2969" t="str">
            <v>Yuyun</v>
          </cell>
          <cell r="I2969" t="str">
            <v>Syahra</v>
          </cell>
          <cell r="J2969"/>
          <cell r="K2969" t="str">
            <v>KU</v>
          </cell>
          <cell r="L2969" t="str">
            <v>FAST07</v>
          </cell>
          <cell r="M2969" t="str">
            <v>Harry Santoso</v>
          </cell>
          <cell r="N2969" t="str">
            <v>Forum Agro Sukses Timur, PT</v>
          </cell>
          <cell r="O2969" t="str">
            <v>Jl. Merak No. 88 RT.001/RW.005, Kel. Jubung, Kec. Sukorambi</v>
          </cell>
          <cell r="P2969" t="str">
            <v>Jember</v>
          </cell>
          <cell r="Q2969" t="str">
            <v>Jl. Merak No. 88 RT.001/RW.005, Kel. Jubung, Kec. Sukorambi</v>
          </cell>
          <cell r="R2969" t="str">
            <v>Jember</v>
          </cell>
          <cell r="S2969" t="str">
            <v>J Group</v>
          </cell>
          <cell r="T2969" t="str">
            <v>Wira</v>
          </cell>
          <cell r="U2969">
            <v>30</v>
          </cell>
        </row>
        <row r="2970">
          <cell r="E2970" t="str">
            <v>D25012674</v>
          </cell>
          <cell r="F2970"/>
          <cell r="G2970">
            <v>12000000000</v>
          </cell>
          <cell r="H2970" t="str">
            <v>Yuyun</v>
          </cell>
          <cell r="I2970" t="str">
            <v>Syahra</v>
          </cell>
          <cell r="J2970"/>
          <cell r="K2970" t="str">
            <v>KU</v>
          </cell>
          <cell r="L2970" t="str">
            <v>FAST07</v>
          </cell>
          <cell r="M2970" t="str">
            <v>Harry Santoso</v>
          </cell>
          <cell r="N2970" t="str">
            <v>Forum Agro Sukses Timur, PT</v>
          </cell>
          <cell r="O2970" t="str">
            <v>Jl. Merak No. 88 RT.001/RW.005, Kel. Jubung, Kec. Sukorambi</v>
          </cell>
          <cell r="P2970" t="str">
            <v>Jember</v>
          </cell>
          <cell r="Q2970" t="str">
            <v>Jl. Merak No. 88 RT.001/RW.005, Kel. Jubung, Kec. Sukorambi</v>
          </cell>
          <cell r="R2970" t="str">
            <v>Jember</v>
          </cell>
          <cell r="S2970" t="str">
            <v>J Group</v>
          </cell>
          <cell r="T2970" t="str">
            <v>Wira</v>
          </cell>
          <cell r="U2970">
            <v>30</v>
          </cell>
        </row>
        <row r="2971">
          <cell r="E2971" t="str">
            <v>D25012708</v>
          </cell>
          <cell r="F2971"/>
          <cell r="G2971">
            <v>12000000000</v>
          </cell>
          <cell r="H2971" t="str">
            <v>Yuyun</v>
          </cell>
          <cell r="I2971" t="str">
            <v>Syahra</v>
          </cell>
          <cell r="J2971"/>
          <cell r="K2971" t="str">
            <v>KU</v>
          </cell>
          <cell r="L2971" t="str">
            <v>FAST07</v>
          </cell>
          <cell r="M2971" t="str">
            <v>Harry Santoso</v>
          </cell>
          <cell r="N2971" t="str">
            <v>Forum Agro Sukses Timur, PT</v>
          </cell>
          <cell r="O2971" t="str">
            <v>Jl. Merak No. 88 RT.001/RW.005, Kel. Jubung, Kec. Sukorambi</v>
          </cell>
          <cell r="P2971" t="str">
            <v>Jember</v>
          </cell>
          <cell r="Q2971" t="str">
            <v>Jl. Merak No. 88 RT.001/RW.005, Kel. Jubung, Kec. Sukorambi</v>
          </cell>
          <cell r="R2971" t="str">
            <v>Jember</v>
          </cell>
          <cell r="S2971" t="str">
            <v>J Group</v>
          </cell>
          <cell r="T2971" t="str">
            <v>Wira</v>
          </cell>
          <cell r="U2971">
            <v>30</v>
          </cell>
        </row>
        <row r="2972">
          <cell r="E2972" t="str">
            <v>D25012777</v>
          </cell>
          <cell r="F2972"/>
          <cell r="G2972">
            <v>12000000000</v>
          </cell>
          <cell r="H2972" t="str">
            <v>Yuyun</v>
          </cell>
          <cell r="I2972" t="str">
            <v>Syahra</v>
          </cell>
          <cell r="J2972"/>
          <cell r="K2972" t="str">
            <v>KU</v>
          </cell>
          <cell r="L2972" t="str">
            <v>FAST07</v>
          </cell>
          <cell r="M2972" t="str">
            <v>Harry Santoso</v>
          </cell>
          <cell r="N2972" t="str">
            <v>Forum Agro Sukses Timur, PT</v>
          </cell>
          <cell r="O2972" t="str">
            <v>Jl. Merak No. 88 RT.001/RW.005, Kel. Jubung, Kec. Sukorambi</v>
          </cell>
          <cell r="P2972" t="str">
            <v>Jember</v>
          </cell>
          <cell r="Q2972" t="str">
            <v>Jl. Merak No. 88 RT.001/RW.005, Kel. Jubung, Kec. Sukorambi</v>
          </cell>
          <cell r="R2972" t="str">
            <v>Jember</v>
          </cell>
          <cell r="S2972" t="str">
            <v>J Group</v>
          </cell>
          <cell r="T2972" t="str">
            <v>Wira</v>
          </cell>
          <cell r="U2972">
            <v>30</v>
          </cell>
        </row>
        <row r="2973">
          <cell r="E2973" t="str">
            <v>D25012778</v>
          </cell>
          <cell r="F2973"/>
          <cell r="G2973">
            <v>12000000000</v>
          </cell>
          <cell r="H2973" t="str">
            <v>Yuyun</v>
          </cell>
          <cell r="I2973" t="str">
            <v>Syahra</v>
          </cell>
          <cell r="J2973"/>
          <cell r="K2973" t="str">
            <v>KU</v>
          </cell>
          <cell r="L2973" t="str">
            <v>FAST07</v>
          </cell>
          <cell r="M2973" t="str">
            <v>Harry Santoso</v>
          </cell>
          <cell r="N2973" t="str">
            <v>Forum Agro Sukses Timur, PT</v>
          </cell>
          <cell r="O2973" t="str">
            <v>Jl. Merak No. 88 RT.001/RW.005, Kel. Jubung, Kec. Sukorambi</v>
          </cell>
          <cell r="P2973" t="str">
            <v>Jember</v>
          </cell>
          <cell r="Q2973" t="str">
            <v>Jl. Merak No. 88 RT.001/RW.005, Kel. Jubung, Kec. Sukorambi</v>
          </cell>
          <cell r="R2973" t="str">
            <v>Jember</v>
          </cell>
          <cell r="S2973" t="str">
            <v>J Group</v>
          </cell>
          <cell r="T2973" t="str">
            <v>Wira</v>
          </cell>
          <cell r="U2973">
            <v>30</v>
          </cell>
        </row>
        <row r="2974">
          <cell r="E2974" t="str">
            <v>D25012870</v>
          </cell>
          <cell r="F2974"/>
          <cell r="G2974">
            <v>12000000000</v>
          </cell>
          <cell r="H2974" t="str">
            <v>Yuyun</v>
          </cell>
          <cell r="I2974" t="str">
            <v>Syahra</v>
          </cell>
          <cell r="J2974"/>
          <cell r="K2974" t="str">
            <v>KU</v>
          </cell>
          <cell r="L2974" t="str">
            <v>FAST07</v>
          </cell>
          <cell r="M2974" t="str">
            <v>Harry Santoso</v>
          </cell>
          <cell r="N2974" t="str">
            <v>Forum Agro Sukses Timur, PT</v>
          </cell>
          <cell r="O2974" t="str">
            <v>Jl. Merak No. 88 RT.001/RW.005, Kel. Jubung, Kec. Sukorambi</v>
          </cell>
          <cell r="P2974" t="str">
            <v>Jember</v>
          </cell>
          <cell r="Q2974" t="str">
            <v>Jl. Merak No. 88 RT.001/RW.005, Kel. Jubung, Kec. Sukorambi</v>
          </cell>
          <cell r="R2974" t="str">
            <v>Jember</v>
          </cell>
          <cell r="S2974" t="str">
            <v>J Group</v>
          </cell>
          <cell r="T2974" t="str">
            <v>Wira</v>
          </cell>
          <cell r="U2974">
            <v>30</v>
          </cell>
        </row>
        <row r="2975">
          <cell r="E2975" t="str">
            <v>D25012906</v>
          </cell>
          <cell r="F2975"/>
          <cell r="G2975">
            <v>12000000000</v>
          </cell>
          <cell r="H2975" t="str">
            <v>Yuyun</v>
          </cell>
          <cell r="I2975" t="str">
            <v>Syahra</v>
          </cell>
          <cell r="J2975"/>
          <cell r="K2975" t="str">
            <v>KU</v>
          </cell>
          <cell r="L2975" t="str">
            <v>FAST07</v>
          </cell>
          <cell r="M2975" t="str">
            <v>Harry Santoso</v>
          </cell>
          <cell r="N2975" t="str">
            <v>Forum Agro Sukses Timur, PT</v>
          </cell>
          <cell r="O2975" t="str">
            <v>Jl. Merak No. 88 RT.001/RW.005, Kel. Jubung, Kec. Sukorambi</v>
          </cell>
          <cell r="P2975" t="str">
            <v>Jember</v>
          </cell>
          <cell r="Q2975" t="str">
            <v>Jl. Merak No. 88 RT.001/RW.005, Kel. Jubung, Kec. Sukorambi</v>
          </cell>
          <cell r="R2975" t="str">
            <v>Jember</v>
          </cell>
          <cell r="S2975" t="str">
            <v>J Group</v>
          </cell>
          <cell r="T2975" t="str">
            <v>Wira</v>
          </cell>
          <cell r="U2975">
            <v>30</v>
          </cell>
        </row>
        <row r="2976">
          <cell r="E2976" t="str">
            <v>D25012929</v>
          </cell>
          <cell r="F2976"/>
          <cell r="G2976">
            <v>12000000000</v>
          </cell>
          <cell r="H2976" t="str">
            <v>Yuyun</v>
          </cell>
          <cell r="I2976" t="str">
            <v>Syahra</v>
          </cell>
          <cell r="J2976"/>
          <cell r="K2976" t="str">
            <v>KU</v>
          </cell>
          <cell r="L2976" t="str">
            <v>FAST07</v>
          </cell>
          <cell r="M2976" t="str">
            <v>Harry Santoso</v>
          </cell>
          <cell r="N2976" t="str">
            <v>Forum Agro Sukses Timur, PT</v>
          </cell>
          <cell r="O2976" t="str">
            <v>Jl. Merak No. 88 RT.001/RW.005, Kel. Jubung, Kec. Sukorambi</v>
          </cell>
          <cell r="P2976" t="str">
            <v>Jember</v>
          </cell>
          <cell r="Q2976" t="str">
            <v>Jl. Merak No. 88 RT.001/RW.005, Kel. Jubung, Kec. Sukorambi</v>
          </cell>
          <cell r="R2976" t="str">
            <v>Jember</v>
          </cell>
          <cell r="S2976" t="str">
            <v>J Group</v>
          </cell>
          <cell r="T2976" t="str">
            <v>Wira</v>
          </cell>
          <cell r="U2976">
            <v>30</v>
          </cell>
        </row>
        <row r="2977">
          <cell r="E2977" t="str">
            <v>D25012930</v>
          </cell>
          <cell r="F2977"/>
          <cell r="G2977">
            <v>12000000000</v>
          </cell>
          <cell r="H2977" t="str">
            <v>Yuyun</v>
          </cell>
          <cell r="I2977" t="str">
            <v>Syahra</v>
          </cell>
          <cell r="J2977"/>
          <cell r="K2977" t="str">
            <v>KU</v>
          </cell>
          <cell r="L2977" t="str">
            <v>FAST07</v>
          </cell>
          <cell r="M2977" t="str">
            <v>Harry Santoso</v>
          </cell>
          <cell r="N2977" t="str">
            <v>Forum Agro Sukses Timur, PT</v>
          </cell>
          <cell r="O2977" t="str">
            <v>Jl. Merak No. 88 RT.001/RW.005, Kel. Jubung, Kec. Sukorambi</v>
          </cell>
          <cell r="P2977" t="str">
            <v>Jember</v>
          </cell>
          <cell r="Q2977" t="str">
            <v>Jl. Merak No. 88 RT.001/RW.005, Kel. Jubung, Kec. Sukorambi</v>
          </cell>
          <cell r="R2977" t="str">
            <v>Jember</v>
          </cell>
          <cell r="S2977" t="str">
            <v>J Group</v>
          </cell>
          <cell r="T2977" t="str">
            <v>Wira</v>
          </cell>
          <cell r="U2977">
            <v>30</v>
          </cell>
        </row>
        <row r="2978">
          <cell r="E2978" t="str">
            <v>D25013022</v>
          </cell>
          <cell r="F2978"/>
          <cell r="G2978">
            <v>12000000000</v>
          </cell>
          <cell r="H2978" t="str">
            <v>Yuyun</v>
          </cell>
          <cell r="I2978" t="str">
            <v>Syahra</v>
          </cell>
          <cell r="J2978"/>
          <cell r="K2978" t="str">
            <v>KU</v>
          </cell>
          <cell r="L2978" t="str">
            <v>FAST07</v>
          </cell>
          <cell r="M2978" t="str">
            <v>Harry Santoso</v>
          </cell>
          <cell r="N2978" t="str">
            <v>Forum Agro Sukses Timur, PT</v>
          </cell>
          <cell r="O2978" t="str">
            <v>Jl. Merak No. 88 RT.001/RW.005, Kel. Jubung, Kec. Sukorambi</v>
          </cell>
          <cell r="P2978" t="str">
            <v>Jember</v>
          </cell>
          <cell r="Q2978" t="str">
            <v>Jl. Merak No. 88 RT.001/RW.005, Kel. Jubung, Kec. Sukorambi</v>
          </cell>
          <cell r="R2978" t="str">
            <v>Jember</v>
          </cell>
          <cell r="S2978" t="str">
            <v>J Group</v>
          </cell>
          <cell r="T2978" t="str">
            <v>Wira</v>
          </cell>
          <cell r="U2978">
            <v>30</v>
          </cell>
        </row>
        <row r="2979">
          <cell r="E2979" t="str">
            <v>D25013023</v>
          </cell>
          <cell r="F2979"/>
          <cell r="G2979">
            <v>12000000000</v>
          </cell>
          <cell r="H2979" t="str">
            <v>Yuyun</v>
          </cell>
          <cell r="I2979" t="str">
            <v>Syahra</v>
          </cell>
          <cell r="J2979"/>
          <cell r="K2979" t="str">
            <v>KU</v>
          </cell>
          <cell r="L2979" t="str">
            <v>FAST07</v>
          </cell>
          <cell r="M2979" t="str">
            <v>Harry Santoso</v>
          </cell>
          <cell r="N2979" t="str">
            <v>Forum Agro Sukses Timur, PT</v>
          </cell>
          <cell r="O2979" t="str">
            <v>Jl. Merak No. 88 RT.001/RW.005, Kel. Jubung, Kec. Sukorambi</v>
          </cell>
          <cell r="P2979" t="str">
            <v>Jember</v>
          </cell>
          <cell r="Q2979" t="str">
            <v>Jl. Merak No. 88 RT.001/RW.005, Kel. Jubung, Kec. Sukorambi</v>
          </cell>
          <cell r="R2979" t="str">
            <v>Jember</v>
          </cell>
          <cell r="S2979" t="str">
            <v>J Group</v>
          </cell>
          <cell r="T2979" t="str">
            <v>Wira</v>
          </cell>
          <cell r="U2979">
            <v>30</v>
          </cell>
        </row>
        <row r="2980">
          <cell r="E2980" t="str">
            <v>D25013061</v>
          </cell>
          <cell r="F2980"/>
          <cell r="G2980">
            <v>12000000000</v>
          </cell>
          <cell r="H2980" t="str">
            <v>Yuyun</v>
          </cell>
          <cell r="I2980" t="str">
            <v>Syahra</v>
          </cell>
          <cell r="J2980"/>
          <cell r="K2980" t="str">
            <v>KU</v>
          </cell>
          <cell r="L2980" t="str">
            <v>FAST07</v>
          </cell>
          <cell r="M2980" t="str">
            <v>Harry Santoso</v>
          </cell>
          <cell r="N2980" t="str">
            <v>Forum Agro Sukses Timur, PT</v>
          </cell>
          <cell r="O2980" t="str">
            <v>Jl. Merak No. 88 RT.001/RW.005, Kel. Jubung, Kec. Sukorambi</v>
          </cell>
          <cell r="P2980" t="str">
            <v>Jember</v>
          </cell>
          <cell r="Q2980" t="str">
            <v>Jl. Merak No. 88 RT.001/RW.005, Kel. Jubung, Kec. Sukorambi</v>
          </cell>
          <cell r="R2980" t="str">
            <v>Jember</v>
          </cell>
          <cell r="S2980" t="str">
            <v>J Group</v>
          </cell>
          <cell r="T2980" t="str">
            <v>Wira</v>
          </cell>
          <cell r="U2980">
            <v>30</v>
          </cell>
        </row>
        <row r="2981">
          <cell r="E2981" t="str">
            <v>D25013062</v>
          </cell>
          <cell r="F2981"/>
          <cell r="G2981">
            <v>12000000000</v>
          </cell>
          <cell r="H2981" t="str">
            <v>Yuyun</v>
          </cell>
          <cell r="I2981" t="str">
            <v>Syahra</v>
          </cell>
          <cell r="J2981"/>
          <cell r="K2981" t="str">
            <v>KU</v>
          </cell>
          <cell r="L2981" t="str">
            <v>FAST07</v>
          </cell>
          <cell r="M2981" t="str">
            <v>Harry Santoso</v>
          </cell>
          <cell r="N2981" t="str">
            <v>Forum Agro Sukses Timur, PT</v>
          </cell>
          <cell r="O2981" t="str">
            <v>Jl. Merak No. 88 RT.001/RW.005, Kel. Jubung, Kec. Sukorambi</v>
          </cell>
          <cell r="P2981" t="str">
            <v>Jember</v>
          </cell>
          <cell r="Q2981" t="str">
            <v>Jl. Merak No. 88 RT.001/RW.005, Kel. Jubung, Kec. Sukorambi</v>
          </cell>
          <cell r="R2981" t="str">
            <v>Jember</v>
          </cell>
          <cell r="S2981" t="str">
            <v>J Group</v>
          </cell>
          <cell r="T2981" t="str">
            <v>Wira</v>
          </cell>
          <cell r="U2981">
            <v>30</v>
          </cell>
        </row>
        <row r="2982">
          <cell r="E2982" t="str">
            <v>D25013089</v>
          </cell>
          <cell r="F2982"/>
          <cell r="G2982">
            <v>12000000000</v>
          </cell>
          <cell r="H2982" t="str">
            <v>Yuyun</v>
          </cell>
          <cell r="I2982" t="str">
            <v>Syahra</v>
          </cell>
          <cell r="J2982"/>
          <cell r="K2982" t="str">
            <v>KU</v>
          </cell>
          <cell r="L2982" t="str">
            <v>FAST07</v>
          </cell>
          <cell r="M2982" t="str">
            <v>Harry Santoso</v>
          </cell>
          <cell r="N2982" t="str">
            <v>Forum Agro Sukses Timur, PT</v>
          </cell>
          <cell r="O2982" t="str">
            <v>Jl. Merak No. 88 RT.001/RW.005, Kel. Jubung, Kec. Sukorambi</v>
          </cell>
          <cell r="P2982" t="str">
            <v>Jember</v>
          </cell>
          <cell r="Q2982" t="str">
            <v>Jl. Merak No. 88 RT.001/RW.005, Kel. Jubung, Kec. Sukorambi</v>
          </cell>
          <cell r="R2982" t="str">
            <v>Jember</v>
          </cell>
          <cell r="S2982" t="str">
            <v>J Group</v>
          </cell>
          <cell r="T2982" t="str">
            <v>Wira</v>
          </cell>
          <cell r="U2982">
            <v>30</v>
          </cell>
        </row>
        <row r="2983">
          <cell r="E2983" t="str">
            <v>D25013131</v>
          </cell>
          <cell r="F2983"/>
          <cell r="G2983">
            <v>12000000000</v>
          </cell>
          <cell r="H2983" t="str">
            <v>Yuyun</v>
          </cell>
          <cell r="I2983" t="str">
            <v>Syahra</v>
          </cell>
          <cell r="J2983"/>
          <cell r="K2983" t="str">
            <v>KU</v>
          </cell>
          <cell r="L2983" t="str">
            <v>FAST07</v>
          </cell>
          <cell r="M2983" t="str">
            <v>Harry Santoso</v>
          </cell>
          <cell r="N2983" t="str">
            <v>Forum Agro Sukses Timur, PT</v>
          </cell>
          <cell r="O2983" t="str">
            <v>Jl. Merak No. 88 RT.001/RW.005, Kel. Jubung, Kec. Sukorambi</v>
          </cell>
          <cell r="P2983" t="str">
            <v>Jember</v>
          </cell>
          <cell r="Q2983" t="str">
            <v>Jl. Merak No. 88 RT.001/RW.005, Kel. Jubung, Kec. Sukorambi</v>
          </cell>
          <cell r="R2983" t="str">
            <v>Jember</v>
          </cell>
          <cell r="S2983" t="str">
            <v>J Group</v>
          </cell>
          <cell r="T2983" t="str">
            <v>Wira</v>
          </cell>
          <cell r="U2983">
            <v>30</v>
          </cell>
        </row>
        <row r="2984">
          <cell r="E2984" t="str">
            <v>D25013211</v>
          </cell>
          <cell r="F2984"/>
          <cell r="G2984">
            <v>12000000000</v>
          </cell>
          <cell r="H2984" t="str">
            <v>Yuyun</v>
          </cell>
          <cell r="I2984" t="str">
            <v>Syahra</v>
          </cell>
          <cell r="J2984"/>
          <cell r="K2984" t="str">
            <v>KU</v>
          </cell>
          <cell r="L2984" t="str">
            <v>FAST07</v>
          </cell>
          <cell r="M2984" t="str">
            <v>Harry Santoso</v>
          </cell>
          <cell r="N2984" t="str">
            <v>Forum Agro Sukses Timur, PT</v>
          </cell>
          <cell r="O2984" t="str">
            <v>Jl. Merak No. 88 RT.001/RW.005, Kel. Jubung, Kec. Sukorambi</v>
          </cell>
          <cell r="P2984" t="str">
            <v>Jember</v>
          </cell>
          <cell r="Q2984" t="str">
            <v>Jl. Merak No. 88 RT.001/RW.005, Kel. Jubung, Kec. Sukorambi</v>
          </cell>
          <cell r="R2984" t="str">
            <v>Jember</v>
          </cell>
          <cell r="S2984" t="str">
            <v>J Group</v>
          </cell>
          <cell r="T2984" t="str">
            <v>Wira</v>
          </cell>
          <cell r="U2984">
            <v>30</v>
          </cell>
        </row>
        <row r="2985">
          <cell r="E2985" t="str">
            <v>D25013231</v>
          </cell>
          <cell r="F2985"/>
          <cell r="G2985">
            <v>12000000000</v>
          </cell>
          <cell r="H2985" t="str">
            <v>Yuyun</v>
          </cell>
          <cell r="I2985" t="str">
            <v>Syahra</v>
          </cell>
          <cell r="J2985"/>
          <cell r="K2985" t="str">
            <v>KU</v>
          </cell>
          <cell r="L2985" t="str">
            <v>FAST07</v>
          </cell>
          <cell r="M2985" t="str">
            <v>Harry Santoso</v>
          </cell>
          <cell r="N2985" t="str">
            <v>Forum Agro Sukses Timur, PT</v>
          </cell>
          <cell r="O2985" t="str">
            <v>Jl. Merak No. 88 RT.001/RW.005, Kel. Jubung, Kec. Sukorambi</v>
          </cell>
          <cell r="P2985" t="str">
            <v>Jember</v>
          </cell>
          <cell r="Q2985" t="str">
            <v>Jl. Merak No. 88 RT.001/RW.005, Kel. Jubung, Kec. Sukorambi</v>
          </cell>
          <cell r="R2985" t="str">
            <v>Jember</v>
          </cell>
          <cell r="S2985" t="str">
            <v>J Group</v>
          </cell>
          <cell r="T2985" t="str">
            <v>Wira</v>
          </cell>
          <cell r="U2985">
            <v>30</v>
          </cell>
        </row>
        <row r="2986">
          <cell r="E2986" t="str">
            <v>D25013240</v>
          </cell>
          <cell r="F2986"/>
          <cell r="G2986">
            <v>12000000000</v>
          </cell>
          <cell r="H2986" t="str">
            <v>Yuyun</v>
          </cell>
          <cell r="I2986" t="str">
            <v>Syahra</v>
          </cell>
          <cell r="J2986"/>
          <cell r="K2986" t="str">
            <v>KU</v>
          </cell>
          <cell r="L2986" t="str">
            <v>FAST07</v>
          </cell>
          <cell r="M2986" t="str">
            <v>Harry Santoso</v>
          </cell>
          <cell r="N2986" t="str">
            <v>Forum Agro Sukses Timur, PT</v>
          </cell>
          <cell r="O2986" t="str">
            <v>Jl. Merak No. 88 RT.001/RW.005, Kel. Jubung, Kec. Sukorambi</v>
          </cell>
          <cell r="P2986" t="str">
            <v>Jember</v>
          </cell>
          <cell r="Q2986" t="str">
            <v>Jl. Merak No. 88 RT.001/RW.005, Kel. Jubung, Kec. Sukorambi</v>
          </cell>
          <cell r="R2986" t="str">
            <v>Jember</v>
          </cell>
          <cell r="S2986" t="str">
            <v>J Group</v>
          </cell>
          <cell r="T2986" t="str">
            <v>Wira</v>
          </cell>
          <cell r="U2986">
            <v>30</v>
          </cell>
        </row>
        <row r="2987">
          <cell r="E2987" t="str">
            <v>D25013262</v>
          </cell>
          <cell r="F2987"/>
          <cell r="G2987">
            <v>12000000000</v>
          </cell>
          <cell r="H2987" t="str">
            <v>Yuyun</v>
          </cell>
          <cell r="I2987" t="str">
            <v>Syahra</v>
          </cell>
          <cell r="J2987"/>
          <cell r="K2987" t="str">
            <v>KU</v>
          </cell>
          <cell r="L2987" t="str">
            <v>FAST07</v>
          </cell>
          <cell r="M2987" t="str">
            <v>Harry Santoso</v>
          </cell>
          <cell r="N2987" t="str">
            <v>Forum Agro Sukses Timur, PT</v>
          </cell>
          <cell r="O2987" t="str">
            <v>Jl. Merak No. 88 RT.001/RW.005, Kel. Jubung, Kec. Sukorambi</v>
          </cell>
          <cell r="P2987" t="str">
            <v>Jember</v>
          </cell>
          <cell r="Q2987" t="str">
            <v>Jl. Merak No. 88 RT.001/RW.005, Kel. Jubung, Kec. Sukorambi</v>
          </cell>
          <cell r="R2987" t="str">
            <v>Jember</v>
          </cell>
          <cell r="S2987" t="str">
            <v>J Group</v>
          </cell>
          <cell r="T2987" t="str">
            <v>Wira</v>
          </cell>
          <cell r="U2987">
            <v>30</v>
          </cell>
        </row>
        <row r="2988">
          <cell r="E2988" t="str">
            <v>D25013268</v>
          </cell>
          <cell r="F2988"/>
          <cell r="G2988">
            <v>12000000000</v>
          </cell>
          <cell r="H2988" t="str">
            <v>Yuyun</v>
          </cell>
          <cell r="I2988" t="str">
            <v>Syahra</v>
          </cell>
          <cell r="J2988"/>
          <cell r="K2988" t="str">
            <v>KU</v>
          </cell>
          <cell r="L2988" t="str">
            <v>FAST07</v>
          </cell>
          <cell r="M2988" t="str">
            <v>Harry Santoso</v>
          </cell>
          <cell r="N2988" t="str">
            <v>Forum Agro Sukses Timur, PT</v>
          </cell>
          <cell r="O2988" t="str">
            <v>Jl. Merak No. 88 RT.001/RW.005, Kel. Jubung, Kec. Sukorambi</v>
          </cell>
          <cell r="P2988" t="str">
            <v>Jember</v>
          </cell>
          <cell r="Q2988" t="str">
            <v>Jl. Merak No. 88 RT.001/RW.005, Kel. Jubung, Kec. Sukorambi</v>
          </cell>
          <cell r="R2988" t="str">
            <v>Jember</v>
          </cell>
          <cell r="S2988" t="str">
            <v>J Group</v>
          </cell>
          <cell r="T2988" t="str">
            <v>Wira</v>
          </cell>
          <cell r="U2988">
            <v>30</v>
          </cell>
        </row>
        <row r="2989">
          <cell r="E2989" t="str">
            <v>B25011220</v>
          </cell>
          <cell r="F2989"/>
          <cell r="G2989">
            <v>12000000000</v>
          </cell>
          <cell r="H2989" t="str">
            <v>Yuyun</v>
          </cell>
          <cell r="I2989" t="str">
            <v>Syahra</v>
          </cell>
          <cell r="J2989"/>
          <cell r="K2989" t="str">
            <v>KU</v>
          </cell>
          <cell r="L2989" t="str">
            <v>FAST07</v>
          </cell>
          <cell r="M2989" t="str">
            <v>Harry Santoso</v>
          </cell>
          <cell r="N2989" t="str">
            <v>Forum Agro Sukses Timur, PT</v>
          </cell>
          <cell r="O2989" t="str">
            <v>Jl. Merak No. 88 RT.001/RW.005, Kel. Jubung, Kec. Sukorambi</v>
          </cell>
          <cell r="P2989" t="str">
            <v>Jember</v>
          </cell>
          <cell r="Q2989" t="str">
            <v>Jl. Merak No. 88 RT.001/RW.005, Kel. Jubung, Kec. Sukorambi</v>
          </cell>
          <cell r="R2989" t="str">
            <v>Jember</v>
          </cell>
          <cell r="S2989" t="str">
            <v>J Group</v>
          </cell>
          <cell r="T2989" t="str">
            <v>Wira</v>
          </cell>
          <cell r="U2989">
            <v>30</v>
          </cell>
        </row>
        <row r="2990">
          <cell r="E2990" t="str">
            <v>D25013466</v>
          </cell>
          <cell r="F2990"/>
          <cell r="G2990">
            <v>12000000000</v>
          </cell>
          <cell r="H2990" t="str">
            <v>Yuyun</v>
          </cell>
          <cell r="I2990" t="str">
            <v>Syahra</v>
          </cell>
          <cell r="J2990"/>
          <cell r="K2990" t="str">
            <v>KU</v>
          </cell>
          <cell r="L2990" t="str">
            <v>FAST07</v>
          </cell>
          <cell r="M2990" t="str">
            <v>Harry Santoso</v>
          </cell>
          <cell r="N2990" t="str">
            <v>Forum Agro Sukses Timur, PT</v>
          </cell>
          <cell r="O2990" t="str">
            <v>Jl. Merak No. 88 RT.001/RW.005, Kel. Jubung, Kec. Sukorambi</v>
          </cell>
          <cell r="P2990" t="str">
            <v>Jember</v>
          </cell>
          <cell r="Q2990" t="str">
            <v>Jl. Merak No. 88 RT.001/RW.005, Kel. Jubung, Kec. Sukorambi</v>
          </cell>
          <cell r="R2990" t="str">
            <v>Jember</v>
          </cell>
          <cell r="S2990" t="str">
            <v>J Group</v>
          </cell>
          <cell r="T2990" t="str">
            <v>Wira</v>
          </cell>
          <cell r="U2990">
            <v>30</v>
          </cell>
        </row>
        <row r="2991">
          <cell r="E2991" t="str">
            <v>B25011280</v>
          </cell>
          <cell r="F2991"/>
          <cell r="G2991">
            <v>12000000000</v>
          </cell>
          <cell r="H2991" t="str">
            <v>Yuyun</v>
          </cell>
          <cell r="I2991" t="str">
            <v>Syahra</v>
          </cell>
          <cell r="J2991"/>
          <cell r="K2991" t="str">
            <v>KU</v>
          </cell>
          <cell r="L2991" t="str">
            <v>FAST07</v>
          </cell>
          <cell r="M2991" t="str">
            <v>Harry Santoso</v>
          </cell>
          <cell r="N2991" t="str">
            <v>Forum Agro Sukses Timur, PT</v>
          </cell>
          <cell r="O2991" t="str">
            <v>Jl. Merak No. 88 RT.001/RW.005, Kel. Jubung, Kec. Sukorambi</v>
          </cell>
          <cell r="P2991" t="str">
            <v>Jember</v>
          </cell>
          <cell r="Q2991" t="str">
            <v>Jl. Merak No. 88 RT.001/RW.005, Kel. Jubung, Kec. Sukorambi</v>
          </cell>
          <cell r="R2991" t="str">
            <v>Jember</v>
          </cell>
          <cell r="S2991" t="str">
            <v>J Group</v>
          </cell>
          <cell r="T2991" t="str">
            <v>Wira</v>
          </cell>
          <cell r="U2991">
            <v>30</v>
          </cell>
        </row>
        <row r="2992">
          <cell r="E2992" t="str">
            <v>B25011361</v>
          </cell>
          <cell r="F2992"/>
          <cell r="G2992">
            <v>12000000000</v>
          </cell>
          <cell r="H2992" t="str">
            <v>Yuyun</v>
          </cell>
          <cell r="I2992" t="str">
            <v>Syahra</v>
          </cell>
          <cell r="J2992"/>
          <cell r="K2992" t="str">
            <v>KU</v>
          </cell>
          <cell r="L2992" t="str">
            <v>FAST07</v>
          </cell>
          <cell r="M2992" t="str">
            <v>Harry Santoso</v>
          </cell>
          <cell r="N2992" t="str">
            <v>Forum Agro Sukses Timur, PT</v>
          </cell>
          <cell r="O2992" t="str">
            <v>Jl. Merak No. 88 RT.001/RW.005, Kel. Jubung, Kec. Sukorambi</v>
          </cell>
          <cell r="P2992" t="str">
            <v>Jember</v>
          </cell>
          <cell r="Q2992" t="str">
            <v>Jl. Merak No. 88 RT.001/RW.005, Kel. Jubung, Kec. Sukorambi</v>
          </cell>
          <cell r="R2992" t="str">
            <v>Jember</v>
          </cell>
          <cell r="S2992" t="str">
            <v>J Group</v>
          </cell>
          <cell r="T2992" t="str">
            <v>Wira</v>
          </cell>
          <cell r="U2992">
            <v>30</v>
          </cell>
        </row>
        <row r="2993">
          <cell r="E2993" t="str">
            <v>D25013512</v>
          </cell>
          <cell r="F2993"/>
          <cell r="G2993">
            <v>12000000000</v>
          </cell>
          <cell r="H2993" t="str">
            <v>Yuyun</v>
          </cell>
          <cell r="I2993" t="str">
            <v>Syahra</v>
          </cell>
          <cell r="J2993"/>
          <cell r="K2993" t="str">
            <v>KU</v>
          </cell>
          <cell r="L2993" t="str">
            <v>FAST07</v>
          </cell>
          <cell r="M2993" t="str">
            <v>Harry Santoso</v>
          </cell>
          <cell r="N2993" t="str">
            <v>Forum Agro Sukses Timur, PT</v>
          </cell>
          <cell r="O2993" t="str">
            <v>Jl. Merak No. 88 RT.001/RW.005, Kel. Jubung, Kec. Sukorambi</v>
          </cell>
          <cell r="P2993" t="str">
            <v>Jember</v>
          </cell>
          <cell r="Q2993" t="str">
            <v>Jl. Merak No. 88 RT.001/RW.005, Kel. Jubung, Kec. Sukorambi</v>
          </cell>
          <cell r="R2993" t="str">
            <v>Jember</v>
          </cell>
          <cell r="S2993" t="str">
            <v>J Group</v>
          </cell>
          <cell r="T2993" t="str">
            <v>Wira</v>
          </cell>
          <cell r="U2993">
            <v>30</v>
          </cell>
        </row>
        <row r="2994">
          <cell r="E2994" t="str">
            <v>D25013627</v>
          </cell>
          <cell r="F2994"/>
          <cell r="G2994">
            <v>12000000000</v>
          </cell>
          <cell r="H2994" t="str">
            <v>Yuyun</v>
          </cell>
          <cell r="I2994" t="str">
            <v>Syahra</v>
          </cell>
          <cell r="J2994"/>
          <cell r="K2994" t="str">
            <v>KU</v>
          </cell>
          <cell r="L2994" t="str">
            <v>FAST07</v>
          </cell>
          <cell r="M2994" t="str">
            <v>Harry Santoso</v>
          </cell>
          <cell r="N2994" t="str">
            <v>Forum Agro Sukses Timur, PT</v>
          </cell>
          <cell r="O2994" t="str">
            <v>Jl. Merak No. 88 RT.001/RW.005, Kel. Jubung, Kec. Sukorambi</v>
          </cell>
          <cell r="P2994" t="str">
            <v>Jember</v>
          </cell>
          <cell r="Q2994" t="str">
            <v>Jl. Merak No. 88 RT.001/RW.005, Kel. Jubung, Kec. Sukorambi</v>
          </cell>
          <cell r="R2994" t="str">
            <v>Jember</v>
          </cell>
          <cell r="S2994" t="str">
            <v>J Group</v>
          </cell>
          <cell r="T2994" t="str">
            <v>Wira</v>
          </cell>
          <cell r="U2994">
            <v>30</v>
          </cell>
        </row>
        <row r="2995">
          <cell r="E2995" t="str">
            <v>D25013628</v>
          </cell>
          <cell r="F2995"/>
          <cell r="G2995">
            <v>12000000000</v>
          </cell>
          <cell r="H2995" t="str">
            <v>Yuyun</v>
          </cell>
          <cell r="I2995" t="str">
            <v>Syahra</v>
          </cell>
          <cell r="J2995"/>
          <cell r="K2995" t="str">
            <v>KU</v>
          </cell>
          <cell r="L2995" t="str">
            <v>FAST07</v>
          </cell>
          <cell r="M2995" t="str">
            <v>Harry Santoso</v>
          </cell>
          <cell r="N2995" t="str">
            <v>Forum Agro Sukses Timur, PT</v>
          </cell>
          <cell r="O2995" t="str">
            <v>Jl. Merak No. 88 RT.001/RW.005, Kel. Jubung, Kec. Sukorambi</v>
          </cell>
          <cell r="P2995" t="str">
            <v>Jember</v>
          </cell>
          <cell r="Q2995" t="str">
            <v>Jl. Merak No. 88 RT.001/RW.005, Kel. Jubung, Kec. Sukorambi</v>
          </cell>
          <cell r="R2995" t="str">
            <v>Jember</v>
          </cell>
          <cell r="S2995" t="str">
            <v>J Group</v>
          </cell>
          <cell r="T2995" t="str">
            <v>Wira</v>
          </cell>
          <cell r="U2995">
            <v>30</v>
          </cell>
        </row>
        <row r="2996">
          <cell r="E2996" t="str">
            <v>D25013703</v>
          </cell>
          <cell r="F2996"/>
          <cell r="G2996">
            <v>12000000000</v>
          </cell>
          <cell r="H2996" t="str">
            <v>Yuyun</v>
          </cell>
          <cell r="I2996" t="str">
            <v>Syahra</v>
          </cell>
          <cell r="J2996"/>
          <cell r="K2996" t="str">
            <v>KU</v>
          </cell>
          <cell r="L2996" t="str">
            <v>FAST07</v>
          </cell>
          <cell r="M2996" t="str">
            <v>Harry Santoso</v>
          </cell>
          <cell r="N2996" t="str">
            <v>Forum Agro Sukses Timur, PT</v>
          </cell>
          <cell r="O2996" t="str">
            <v>Jl. Merak No. 88 RT.001/RW.005, Kel. Jubung, Kec. Sukorambi</v>
          </cell>
          <cell r="P2996" t="str">
            <v>Jember</v>
          </cell>
          <cell r="Q2996" t="str">
            <v>Jl. Merak No. 88 RT.001/RW.005, Kel. Jubung, Kec. Sukorambi</v>
          </cell>
          <cell r="R2996" t="str">
            <v>Jember</v>
          </cell>
          <cell r="S2996" t="str">
            <v>J Group</v>
          </cell>
          <cell r="T2996" t="str">
            <v>Wira</v>
          </cell>
          <cell r="U2996">
            <v>30</v>
          </cell>
        </row>
        <row r="2997">
          <cell r="E2997" t="str">
            <v>B25011542</v>
          </cell>
          <cell r="F2997"/>
          <cell r="G2997">
            <v>12000000000</v>
          </cell>
          <cell r="H2997" t="str">
            <v>Yuyun</v>
          </cell>
          <cell r="I2997" t="str">
            <v>Syahra</v>
          </cell>
          <cell r="J2997"/>
          <cell r="K2997" t="str">
            <v>KU</v>
          </cell>
          <cell r="L2997" t="str">
            <v>FAST07</v>
          </cell>
          <cell r="M2997" t="str">
            <v>Harry Santoso</v>
          </cell>
          <cell r="N2997" t="str">
            <v>Forum Agro Sukses Timur, PT</v>
          </cell>
          <cell r="O2997" t="str">
            <v>Jl. Merak No. 88 RT.001/RW.005, Kel. Jubung, Kec. Sukorambi</v>
          </cell>
          <cell r="P2997" t="str">
            <v>Jember</v>
          </cell>
          <cell r="Q2997" t="str">
            <v>Jl. Merak No. 88 RT.001/RW.005, Kel. Jubung, Kec. Sukorambi</v>
          </cell>
          <cell r="R2997" t="str">
            <v>Jember</v>
          </cell>
          <cell r="S2997" t="str">
            <v>J Group</v>
          </cell>
          <cell r="T2997" t="str">
            <v>Wira</v>
          </cell>
          <cell r="U2997">
            <v>30</v>
          </cell>
        </row>
        <row r="2998">
          <cell r="E2998" t="str">
            <v>D25013747</v>
          </cell>
          <cell r="F2998"/>
          <cell r="G2998">
            <v>12000000000</v>
          </cell>
          <cell r="H2998" t="str">
            <v>Yuyun</v>
          </cell>
          <cell r="I2998" t="str">
            <v>Syahra</v>
          </cell>
          <cell r="J2998"/>
          <cell r="K2998" t="str">
            <v>KU</v>
          </cell>
          <cell r="L2998" t="str">
            <v>FAST07</v>
          </cell>
          <cell r="M2998" t="str">
            <v>Harry Santoso</v>
          </cell>
          <cell r="N2998" t="str">
            <v>Forum Agro Sukses Timur, PT</v>
          </cell>
          <cell r="O2998" t="str">
            <v>Jl. Merak No. 88 RT.001/RW.005, Kel. Jubung, Kec. Sukorambi</v>
          </cell>
          <cell r="P2998" t="str">
            <v>Jember</v>
          </cell>
          <cell r="Q2998" t="str">
            <v>Jl. Merak No. 88 RT.001/RW.005, Kel. Jubung, Kec. Sukorambi</v>
          </cell>
          <cell r="R2998" t="str">
            <v>Jember</v>
          </cell>
          <cell r="S2998" t="str">
            <v>J Group</v>
          </cell>
          <cell r="T2998" t="str">
            <v>Wira</v>
          </cell>
          <cell r="U2998">
            <v>30</v>
          </cell>
        </row>
        <row r="2999">
          <cell r="E2999" t="str">
            <v>D25013865</v>
          </cell>
          <cell r="F2999"/>
          <cell r="G2999">
            <v>12000000000</v>
          </cell>
          <cell r="H2999" t="str">
            <v>Yuyun</v>
          </cell>
          <cell r="I2999" t="str">
            <v>Syahra</v>
          </cell>
          <cell r="J2999"/>
          <cell r="K2999" t="str">
            <v>KU</v>
          </cell>
          <cell r="L2999" t="str">
            <v>FAST07</v>
          </cell>
          <cell r="M2999" t="str">
            <v>Harry Santoso</v>
          </cell>
          <cell r="N2999" t="str">
            <v>Forum Agro Sukses Timur, PT</v>
          </cell>
          <cell r="O2999" t="str">
            <v>Jl. Merak No. 88 RT.001/RW.005, Kel. Jubung, Kec. Sukorambi</v>
          </cell>
          <cell r="P2999" t="str">
            <v>Jember</v>
          </cell>
          <cell r="Q2999" t="str">
            <v>Jl. Merak No. 88 RT.001/RW.005, Kel. Jubung, Kec. Sukorambi</v>
          </cell>
          <cell r="R2999" t="str">
            <v>Jember</v>
          </cell>
          <cell r="S2999" t="str">
            <v>J Group</v>
          </cell>
          <cell r="T2999" t="str">
            <v>Wira</v>
          </cell>
          <cell r="U2999">
            <v>30</v>
          </cell>
        </row>
        <row r="3000">
          <cell r="E3000" t="str">
            <v>D25013886</v>
          </cell>
          <cell r="F3000"/>
          <cell r="G3000">
            <v>12000000000</v>
          </cell>
          <cell r="H3000" t="str">
            <v>Yuyun</v>
          </cell>
          <cell r="I3000" t="str">
            <v>Syahra</v>
          </cell>
          <cell r="J3000"/>
          <cell r="K3000" t="str">
            <v>KU</v>
          </cell>
          <cell r="L3000" t="str">
            <v>FAST07</v>
          </cell>
          <cell r="M3000" t="str">
            <v>Harry Santoso</v>
          </cell>
          <cell r="N3000" t="str">
            <v>Forum Agro Sukses Timur, PT</v>
          </cell>
          <cell r="O3000" t="str">
            <v>Jl. Merak No. 88 RT.001/RW.005, Kel. Jubung, Kec. Sukorambi</v>
          </cell>
          <cell r="P3000" t="str">
            <v>Jember</v>
          </cell>
          <cell r="Q3000" t="str">
            <v>Jl. Merak No. 88 RT.001/RW.005, Kel. Jubung, Kec. Sukorambi</v>
          </cell>
          <cell r="R3000" t="str">
            <v>Jember</v>
          </cell>
          <cell r="S3000" t="str">
            <v>J Group</v>
          </cell>
          <cell r="T3000" t="str">
            <v>Wira</v>
          </cell>
          <cell r="U3000">
            <v>30</v>
          </cell>
        </row>
        <row r="3001">
          <cell r="E3001" t="str">
            <v>D25013887</v>
          </cell>
          <cell r="F3001"/>
          <cell r="G3001">
            <v>12000000000</v>
          </cell>
          <cell r="H3001" t="str">
            <v>Yuyun</v>
          </cell>
          <cell r="I3001" t="str">
            <v>Syahra</v>
          </cell>
          <cell r="J3001"/>
          <cell r="K3001" t="str">
            <v>KU</v>
          </cell>
          <cell r="L3001" t="str">
            <v>FAST07</v>
          </cell>
          <cell r="M3001" t="str">
            <v>Harry Santoso</v>
          </cell>
          <cell r="N3001" t="str">
            <v>Forum Agro Sukses Timur, PT</v>
          </cell>
          <cell r="O3001" t="str">
            <v>Jl. Merak No. 88 RT.001/RW.005, Kel. Jubung, Kec. Sukorambi</v>
          </cell>
          <cell r="P3001" t="str">
            <v>Jember</v>
          </cell>
          <cell r="Q3001" t="str">
            <v>Jl. Merak No. 88 RT.001/RW.005, Kel. Jubung, Kec. Sukorambi</v>
          </cell>
          <cell r="R3001" t="str">
            <v>Jember</v>
          </cell>
          <cell r="S3001" t="str">
            <v>J Group</v>
          </cell>
          <cell r="T3001" t="str">
            <v>Wira</v>
          </cell>
          <cell r="U3001">
            <v>30</v>
          </cell>
        </row>
        <row r="3002">
          <cell r="E3002" t="str">
            <v>D25013949</v>
          </cell>
          <cell r="F3002"/>
          <cell r="G3002">
            <v>12000000000</v>
          </cell>
          <cell r="H3002" t="str">
            <v>Yuyun</v>
          </cell>
          <cell r="I3002" t="str">
            <v>Syahra</v>
          </cell>
          <cell r="J3002"/>
          <cell r="K3002" t="str">
            <v>KU</v>
          </cell>
          <cell r="L3002" t="str">
            <v>FAST07</v>
          </cell>
          <cell r="M3002" t="str">
            <v>Harry Santoso</v>
          </cell>
          <cell r="N3002" t="str">
            <v>Forum Agro Sukses Timur, PT</v>
          </cell>
          <cell r="O3002" t="str">
            <v>Jl. Merak No. 88 RT.001/RW.005, Kel. Jubung, Kec. Sukorambi</v>
          </cell>
          <cell r="P3002" t="str">
            <v>Jember</v>
          </cell>
          <cell r="Q3002" t="str">
            <v>Jl. Merak No. 88 RT.001/RW.005, Kel. Jubung, Kec. Sukorambi</v>
          </cell>
          <cell r="R3002" t="str">
            <v>Jember</v>
          </cell>
          <cell r="S3002" t="str">
            <v>J Group</v>
          </cell>
          <cell r="T3002" t="str">
            <v>Wira</v>
          </cell>
          <cell r="U3002">
            <v>30</v>
          </cell>
        </row>
        <row r="3003">
          <cell r="E3003" t="str">
            <v>D25013950</v>
          </cell>
          <cell r="F3003"/>
          <cell r="G3003">
            <v>12000000000</v>
          </cell>
          <cell r="H3003" t="str">
            <v>Yuyun</v>
          </cell>
          <cell r="I3003" t="str">
            <v>Syahra</v>
          </cell>
          <cell r="J3003"/>
          <cell r="K3003" t="str">
            <v>KU</v>
          </cell>
          <cell r="L3003" t="str">
            <v>FAST07</v>
          </cell>
          <cell r="M3003" t="str">
            <v>Harry Santoso</v>
          </cell>
          <cell r="N3003" t="str">
            <v>Forum Agro Sukses Timur, PT</v>
          </cell>
          <cell r="O3003" t="str">
            <v>Jl. Merak No. 88 RT.001/RW.005, Kel. Jubung, Kec. Sukorambi</v>
          </cell>
          <cell r="P3003" t="str">
            <v>Jember</v>
          </cell>
          <cell r="Q3003" t="str">
            <v>Jl. Merak No. 88 RT.001/RW.005, Kel. Jubung, Kec. Sukorambi</v>
          </cell>
          <cell r="R3003" t="str">
            <v>Jember</v>
          </cell>
          <cell r="S3003" t="str">
            <v>J Group</v>
          </cell>
          <cell r="T3003" t="str">
            <v>Wira</v>
          </cell>
          <cell r="U3003">
            <v>30</v>
          </cell>
        </row>
        <row r="3004">
          <cell r="E3004" t="str">
            <v>B25011772</v>
          </cell>
          <cell r="F3004"/>
          <cell r="G3004">
            <v>12000000000</v>
          </cell>
          <cell r="H3004" t="str">
            <v>Yuyun</v>
          </cell>
          <cell r="I3004" t="str">
            <v>Syahra</v>
          </cell>
          <cell r="J3004"/>
          <cell r="K3004" t="str">
            <v>KU</v>
          </cell>
          <cell r="L3004" t="str">
            <v>FAST07</v>
          </cell>
          <cell r="M3004" t="str">
            <v>Harry Santoso</v>
          </cell>
          <cell r="N3004" t="str">
            <v>Forum Agro Sukses Timur, PT</v>
          </cell>
          <cell r="O3004" t="str">
            <v>Jl. Merak No. 88 RT.001/RW.005, Kel. Jubung, Kec. Sukorambi</v>
          </cell>
          <cell r="P3004" t="str">
            <v>Jember</v>
          </cell>
          <cell r="Q3004" t="str">
            <v>Jl. Merak No. 88 RT.001/RW.005, Kel. Jubung, Kec. Sukorambi</v>
          </cell>
          <cell r="R3004" t="str">
            <v>Jember</v>
          </cell>
          <cell r="S3004" t="str">
            <v>J Group</v>
          </cell>
          <cell r="T3004" t="str">
            <v>Wira</v>
          </cell>
          <cell r="U3004">
            <v>30</v>
          </cell>
        </row>
        <row r="3005">
          <cell r="E3005" t="str">
            <v>B25011773</v>
          </cell>
          <cell r="F3005"/>
          <cell r="G3005">
            <v>12000000000</v>
          </cell>
          <cell r="H3005" t="str">
            <v>Yuyun</v>
          </cell>
          <cell r="I3005" t="str">
            <v>Syahra</v>
          </cell>
          <cell r="J3005"/>
          <cell r="K3005" t="str">
            <v>KU</v>
          </cell>
          <cell r="L3005" t="str">
            <v>FAST07</v>
          </cell>
          <cell r="M3005" t="str">
            <v>Harry Santoso</v>
          </cell>
          <cell r="N3005" t="str">
            <v>Forum Agro Sukses Timur, PT</v>
          </cell>
          <cell r="O3005" t="str">
            <v>Jl. Merak No. 88 RT.001/RW.005, Kel. Jubung, Kec. Sukorambi</v>
          </cell>
          <cell r="P3005" t="str">
            <v>Jember</v>
          </cell>
          <cell r="Q3005" t="str">
            <v>Jl. Merak No. 88 RT.001/RW.005, Kel. Jubung, Kec. Sukorambi</v>
          </cell>
          <cell r="R3005" t="str">
            <v>Jember</v>
          </cell>
          <cell r="S3005" t="str">
            <v>J Group</v>
          </cell>
          <cell r="T3005" t="str">
            <v>Wira</v>
          </cell>
          <cell r="U3005">
            <v>30</v>
          </cell>
        </row>
        <row r="3006">
          <cell r="E3006" t="str">
            <v>B25011798</v>
          </cell>
          <cell r="F3006"/>
          <cell r="G3006">
            <v>12000000000</v>
          </cell>
          <cell r="H3006" t="str">
            <v>Yuyun</v>
          </cell>
          <cell r="I3006" t="str">
            <v>Syahra</v>
          </cell>
          <cell r="J3006"/>
          <cell r="K3006" t="str">
            <v>KU</v>
          </cell>
          <cell r="L3006" t="str">
            <v>FAST07</v>
          </cell>
          <cell r="M3006" t="str">
            <v>Harry Santoso</v>
          </cell>
          <cell r="N3006" t="str">
            <v>Forum Agro Sukses Timur, PT</v>
          </cell>
          <cell r="O3006" t="str">
            <v>Jl. Merak No. 88 RT.001/RW.005, Kel. Jubung, Kec. Sukorambi</v>
          </cell>
          <cell r="P3006" t="str">
            <v>Jember</v>
          </cell>
          <cell r="Q3006" t="str">
            <v>Jl. Merak No. 88 RT.001/RW.005, Kel. Jubung, Kec. Sukorambi</v>
          </cell>
          <cell r="R3006" t="str">
            <v>Jember</v>
          </cell>
          <cell r="S3006" t="str">
            <v>J Group</v>
          </cell>
          <cell r="T3006" t="str">
            <v>Wira</v>
          </cell>
          <cell r="U3006">
            <v>30</v>
          </cell>
        </row>
        <row r="3007">
          <cell r="E3007">
            <v>250105</v>
          </cell>
          <cell r="F3007"/>
          <cell r="G3007">
            <v>12000000000</v>
          </cell>
          <cell r="H3007" t="str">
            <v>Yuyun</v>
          </cell>
          <cell r="I3007" t="str">
            <v>Syahra</v>
          </cell>
          <cell r="J3007"/>
          <cell r="K3007" t="str">
            <v>KU</v>
          </cell>
          <cell r="L3007" t="str">
            <v>FAST07</v>
          </cell>
          <cell r="M3007" t="str">
            <v>Harry Santoso</v>
          </cell>
          <cell r="N3007" t="str">
            <v>Forum Agro Sukses Timur, PT</v>
          </cell>
          <cell r="O3007" t="str">
            <v>Jl. Merak No. 88 RT.001/RW.005, Kel. Jubung, Kec. Sukorambi</v>
          </cell>
          <cell r="P3007" t="str">
            <v>Jember</v>
          </cell>
          <cell r="Q3007" t="str">
            <v>Jl. Merak No. 88 RT.001/RW.005, Kel. Jubung, Kec. Sukorambi</v>
          </cell>
          <cell r="R3007" t="str">
            <v>Jember</v>
          </cell>
          <cell r="S3007" t="str">
            <v>J Group</v>
          </cell>
          <cell r="T3007" t="str">
            <v>Wira</v>
          </cell>
          <cell r="U3007">
            <v>30</v>
          </cell>
        </row>
        <row r="3008">
          <cell r="E3008" t="str">
            <v>D25014060</v>
          </cell>
          <cell r="F3008"/>
          <cell r="G3008">
            <v>12000000000</v>
          </cell>
          <cell r="H3008" t="str">
            <v>Yuyun</v>
          </cell>
          <cell r="I3008" t="str">
            <v>Syahra</v>
          </cell>
          <cell r="J3008"/>
          <cell r="K3008" t="str">
            <v>KU</v>
          </cell>
          <cell r="L3008" t="str">
            <v>FAST07</v>
          </cell>
          <cell r="M3008" t="str">
            <v>Harry Santoso</v>
          </cell>
          <cell r="N3008" t="str">
            <v>Forum Agro Sukses Timur, PT</v>
          </cell>
          <cell r="O3008" t="str">
            <v>Jl. Merak No. 88 RT.001/RW.005, Kel. Jubung, Kec. Sukorambi</v>
          </cell>
          <cell r="P3008" t="str">
            <v>Jember</v>
          </cell>
          <cell r="Q3008" t="str">
            <v>Jl. Merak No. 88 RT.001/RW.005, Kel. Jubung, Kec. Sukorambi</v>
          </cell>
          <cell r="R3008" t="str">
            <v>Jember</v>
          </cell>
          <cell r="S3008" t="str">
            <v>J Group</v>
          </cell>
          <cell r="T3008" t="str">
            <v>Wira</v>
          </cell>
          <cell r="U3008">
            <v>30</v>
          </cell>
        </row>
        <row r="3009">
          <cell r="E3009" t="str">
            <v>D25014061</v>
          </cell>
          <cell r="F3009"/>
          <cell r="G3009">
            <v>12000000000</v>
          </cell>
          <cell r="H3009" t="str">
            <v>Yuyun</v>
          </cell>
          <cell r="I3009" t="str">
            <v>Syahra</v>
          </cell>
          <cell r="J3009"/>
          <cell r="K3009" t="str">
            <v>KU</v>
          </cell>
          <cell r="L3009" t="str">
            <v>FAST07</v>
          </cell>
          <cell r="M3009" t="str">
            <v>Harry Santoso</v>
          </cell>
          <cell r="N3009" t="str">
            <v>Forum Agro Sukses Timur, PT</v>
          </cell>
          <cell r="O3009" t="str">
            <v>Jl. Merak No. 88 RT.001/RW.005, Kel. Jubung, Kec. Sukorambi</v>
          </cell>
          <cell r="P3009" t="str">
            <v>Jember</v>
          </cell>
          <cell r="Q3009" t="str">
            <v>Jl. Merak No. 88 RT.001/RW.005, Kel. Jubung, Kec. Sukorambi</v>
          </cell>
          <cell r="R3009" t="str">
            <v>Jember</v>
          </cell>
          <cell r="S3009" t="str">
            <v>J Group</v>
          </cell>
          <cell r="T3009" t="str">
            <v>Wira</v>
          </cell>
          <cell r="U3009">
            <v>30</v>
          </cell>
        </row>
        <row r="3010">
          <cell r="E3010" t="str">
            <v>D25014104</v>
          </cell>
          <cell r="F3010"/>
          <cell r="G3010">
            <v>12000000000</v>
          </cell>
          <cell r="H3010" t="str">
            <v>Yuyun</v>
          </cell>
          <cell r="I3010" t="str">
            <v>Syahra</v>
          </cell>
          <cell r="J3010"/>
          <cell r="K3010" t="str">
            <v>KU</v>
          </cell>
          <cell r="L3010" t="str">
            <v>FAST07</v>
          </cell>
          <cell r="M3010" t="str">
            <v>Harry Santoso</v>
          </cell>
          <cell r="N3010" t="str">
            <v>Forum Agro Sukses Timur, PT</v>
          </cell>
          <cell r="O3010" t="str">
            <v>Jl. Merak No. 88 RT.001/RW.005, Kel. Jubung, Kec. Sukorambi</v>
          </cell>
          <cell r="P3010" t="str">
            <v>Jember</v>
          </cell>
          <cell r="Q3010" t="str">
            <v>Jl. Merak No. 88 RT.001/RW.005, Kel. Jubung, Kec. Sukorambi</v>
          </cell>
          <cell r="R3010" t="str">
            <v>Jember</v>
          </cell>
          <cell r="S3010" t="str">
            <v>J Group</v>
          </cell>
          <cell r="T3010" t="str">
            <v>Wira</v>
          </cell>
          <cell r="U3010">
            <v>30</v>
          </cell>
        </row>
        <row r="3011">
          <cell r="E3011" t="str">
            <v>D25014114</v>
          </cell>
          <cell r="F3011"/>
          <cell r="G3011">
            <v>12000000000</v>
          </cell>
          <cell r="H3011" t="str">
            <v>Yuyun</v>
          </cell>
          <cell r="I3011" t="str">
            <v>Syahra</v>
          </cell>
          <cell r="J3011"/>
          <cell r="K3011" t="str">
            <v>KU</v>
          </cell>
          <cell r="L3011" t="str">
            <v>FAST07</v>
          </cell>
          <cell r="M3011" t="str">
            <v>Harry Santoso</v>
          </cell>
          <cell r="N3011" t="str">
            <v>Forum Agro Sukses Timur, PT</v>
          </cell>
          <cell r="O3011" t="str">
            <v>Jl. Merak No. 88 RT.001/RW.005, Kel. Jubung, Kec. Sukorambi</v>
          </cell>
          <cell r="P3011" t="str">
            <v>Jember</v>
          </cell>
          <cell r="Q3011" t="str">
            <v>Jl. Merak No. 88 RT.001/RW.005, Kel. Jubung, Kec. Sukorambi</v>
          </cell>
          <cell r="R3011" t="str">
            <v>Jember</v>
          </cell>
          <cell r="S3011" t="str">
            <v>J Group</v>
          </cell>
          <cell r="T3011" t="str">
            <v>Wira</v>
          </cell>
          <cell r="U3011">
            <v>30</v>
          </cell>
        </row>
        <row r="3012">
          <cell r="E3012" t="str">
            <v>D25014136</v>
          </cell>
          <cell r="F3012"/>
          <cell r="G3012">
            <v>12000000000</v>
          </cell>
          <cell r="H3012" t="str">
            <v>Yuyun</v>
          </cell>
          <cell r="I3012" t="str">
            <v>Syahra</v>
          </cell>
          <cell r="J3012"/>
          <cell r="K3012" t="str">
            <v>KU</v>
          </cell>
          <cell r="L3012" t="str">
            <v>FAST07</v>
          </cell>
          <cell r="M3012" t="str">
            <v>Harry Santoso</v>
          </cell>
          <cell r="N3012" t="str">
            <v>Forum Agro Sukses Timur, PT</v>
          </cell>
          <cell r="O3012" t="str">
            <v>Jl. Merak No. 88 RT.001/RW.005, Kel. Jubung, Kec. Sukorambi</v>
          </cell>
          <cell r="P3012" t="str">
            <v>Jember</v>
          </cell>
          <cell r="Q3012" t="str">
            <v>Jl. Merak No. 88 RT.001/RW.005, Kel. Jubung, Kec. Sukorambi</v>
          </cell>
          <cell r="R3012" t="str">
            <v>Jember</v>
          </cell>
          <cell r="S3012" t="str">
            <v>J Group</v>
          </cell>
          <cell r="T3012" t="str">
            <v>Wira</v>
          </cell>
          <cell r="U3012">
            <v>30</v>
          </cell>
        </row>
        <row r="3013">
          <cell r="E3013" t="str">
            <v>B25011936</v>
          </cell>
          <cell r="F3013"/>
          <cell r="G3013">
            <v>12000000000</v>
          </cell>
          <cell r="H3013" t="str">
            <v>Yuyun</v>
          </cell>
          <cell r="I3013" t="str">
            <v>Syahra</v>
          </cell>
          <cell r="J3013"/>
          <cell r="K3013" t="str">
            <v>KU</v>
          </cell>
          <cell r="L3013" t="str">
            <v>FAST07</v>
          </cell>
          <cell r="M3013" t="str">
            <v>Harry Santoso</v>
          </cell>
          <cell r="N3013" t="str">
            <v>Forum Agro Sukses Timur, PT</v>
          </cell>
          <cell r="O3013" t="str">
            <v>Jl. Merak No. 88 RT.001/RW.005, Kel. Jubung, Kec. Sukorambi</v>
          </cell>
          <cell r="P3013" t="str">
            <v>Jember</v>
          </cell>
          <cell r="Q3013" t="str">
            <v>Jl. Merak No. 88 RT.001/RW.005, Kel. Jubung, Kec. Sukorambi</v>
          </cell>
          <cell r="R3013" t="str">
            <v>Jember</v>
          </cell>
          <cell r="S3013" t="str">
            <v>J Group</v>
          </cell>
          <cell r="T3013" t="str">
            <v>Wira</v>
          </cell>
          <cell r="U3013">
            <v>30</v>
          </cell>
        </row>
        <row r="3014">
          <cell r="E3014" t="str">
            <v>B25011947</v>
          </cell>
          <cell r="F3014"/>
          <cell r="G3014">
            <v>12000000000</v>
          </cell>
          <cell r="H3014" t="str">
            <v>Yuyun</v>
          </cell>
          <cell r="I3014" t="str">
            <v>Syahra</v>
          </cell>
          <cell r="J3014"/>
          <cell r="K3014" t="str">
            <v>KU</v>
          </cell>
          <cell r="L3014" t="str">
            <v>FAST07</v>
          </cell>
          <cell r="M3014" t="str">
            <v>Harry Santoso</v>
          </cell>
          <cell r="N3014" t="str">
            <v>Forum Agro Sukses Timur, PT</v>
          </cell>
          <cell r="O3014" t="str">
            <v>Jl. Merak No. 88 RT.001/RW.005, Kel. Jubung, Kec. Sukorambi</v>
          </cell>
          <cell r="P3014" t="str">
            <v>Jember</v>
          </cell>
          <cell r="Q3014" t="str">
            <v>Jl. Merak No. 88 RT.001/RW.005, Kel. Jubung, Kec. Sukorambi</v>
          </cell>
          <cell r="R3014" t="str">
            <v>Jember</v>
          </cell>
          <cell r="S3014" t="str">
            <v>J Group</v>
          </cell>
          <cell r="T3014" t="str">
            <v>Wira</v>
          </cell>
          <cell r="U3014">
            <v>30</v>
          </cell>
        </row>
        <row r="3015">
          <cell r="E3015" t="str">
            <v>B25011948</v>
          </cell>
          <cell r="F3015"/>
          <cell r="G3015">
            <v>12000000000</v>
          </cell>
          <cell r="H3015" t="str">
            <v>Yuyun</v>
          </cell>
          <cell r="I3015" t="str">
            <v>Syahra</v>
          </cell>
          <cell r="J3015"/>
          <cell r="K3015" t="str">
            <v>KU</v>
          </cell>
          <cell r="L3015" t="str">
            <v>FAST07</v>
          </cell>
          <cell r="M3015" t="str">
            <v>Harry Santoso</v>
          </cell>
          <cell r="N3015" t="str">
            <v>Forum Agro Sukses Timur, PT</v>
          </cell>
          <cell r="O3015" t="str">
            <v>Jl. Merak No. 88 RT.001/RW.005, Kel. Jubung, Kec. Sukorambi</v>
          </cell>
          <cell r="P3015" t="str">
            <v>Jember</v>
          </cell>
          <cell r="Q3015" t="str">
            <v>Jl. Merak No. 88 RT.001/RW.005, Kel. Jubung, Kec. Sukorambi</v>
          </cell>
          <cell r="R3015" t="str">
            <v>Jember</v>
          </cell>
          <cell r="S3015" t="str">
            <v>J Group</v>
          </cell>
          <cell r="T3015" t="str">
            <v>Wira</v>
          </cell>
          <cell r="U3015">
            <v>30</v>
          </cell>
        </row>
        <row r="3016">
          <cell r="E3016" t="str">
            <v>B25011975</v>
          </cell>
          <cell r="F3016"/>
          <cell r="G3016">
            <v>12000000000</v>
          </cell>
          <cell r="H3016" t="str">
            <v>Yuyun</v>
          </cell>
          <cell r="I3016" t="str">
            <v>Syahra</v>
          </cell>
          <cell r="J3016"/>
          <cell r="K3016" t="str">
            <v>KU</v>
          </cell>
          <cell r="L3016" t="str">
            <v>FAST07</v>
          </cell>
          <cell r="M3016" t="str">
            <v>Harry Santoso</v>
          </cell>
          <cell r="N3016" t="str">
            <v>Forum Agro Sukses Timur, PT</v>
          </cell>
          <cell r="O3016" t="str">
            <v>Jl. Merak No. 88 RT.001/RW.005, Kel. Jubung, Kec. Sukorambi</v>
          </cell>
          <cell r="P3016" t="str">
            <v>Jember</v>
          </cell>
          <cell r="Q3016" t="str">
            <v>Jl. Merak No. 88 RT.001/RW.005, Kel. Jubung, Kec. Sukorambi</v>
          </cell>
          <cell r="R3016" t="str">
            <v>Jember</v>
          </cell>
          <cell r="S3016" t="str">
            <v>J Group</v>
          </cell>
          <cell r="T3016" t="str">
            <v>Wira</v>
          </cell>
          <cell r="U3016">
            <v>30</v>
          </cell>
        </row>
        <row r="3017">
          <cell r="E3017" t="str">
            <v>D25014168</v>
          </cell>
          <cell r="F3017"/>
          <cell r="G3017">
            <v>12000000000</v>
          </cell>
          <cell r="H3017" t="str">
            <v>Yuyun</v>
          </cell>
          <cell r="I3017" t="str">
            <v>Syahra</v>
          </cell>
          <cell r="J3017"/>
          <cell r="K3017" t="str">
            <v>KU</v>
          </cell>
          <cell r="L3017" t="str">
            <v>FAST07</v>
          </cell>
          <cell r="M3017" t="str">
            <v>Harry Santoso</v>
          </cell>
          <cell r="N3017" t="str">
            <v>Forum Agro Sukses Timur, PT</v>
          </cell>
          <cell r="O3017" t="str">
            <v>Jl. Merak No. 88 RT.001/RW.005, Kel. Jubung, Kec. Sukorambi</v>
          </cell>
          <cell r="P3017" t="str">
            <v>Jember</v>
          </cell>
          <cell r="Q3017" t="str">
            <v>Jl. Merak No. 88 RT.001/RW.005, Kel. Jubung, Kec. Sukorambi</v>
          </cell>
          <cell r="R3017" t="str">
            <v>Jember</v>
          </cell>
          <cell r="S3017" t="str">
            <v>J Group</v>
          </cell>
          <cell r="T3017" t="str">
            <v>Wira</v>
          </cell>
          <cell r="U3017">
            <v>30</v>
          </cell>
        </row>
        <row r="3018">
          <cell r="E3018" t="str">
            <v>B25012092</v>
          </cell>
          <cell r="F3018"/>
          <cell r="G3018">
            <v>12000000000</v>
          </cell>
          <cell r="H3018" t="str">
            <v>Yuyun</v>
          </cell>
          <cell r="I3018" t="str">
            <v>Syahra</v>
          </cell>
          <cell r="J3018"/>
          <cell r="K3018" t="str">
            <v>KU</v>
          </cell>
          <cell r="L3018" t="str">
            <v>FAST07</v>
          </cell>
          <cell r="M3018" t="str">
            <v>Harry Santoso</v>
          </cell>
          <cell r="N3018" t="str">
            <v>Forum Agro Sukses Timur, PT</v>
          </cell>
          <cell r="O3018" t="str">
            <v>Jl. Merak No. 88 RT.001/RW.005, Kel. Jubung, Kec. Sukorambi</v>
          </cell>
          <cell r="P3018" t="str">
            <v>Jember</v>
          </cell>
          <cell r="Q3018" t="str">
            <v>Jl. Merak No. 88 RT.001/RW.005, Kel. Jubung, Kec. Sukorambi</v>
          </cell>
          <cell r="R3018" t="str">
            <v>Jember</v>
          </cell>
          <cell r="S3018" t="str">
            <v>J Group</v>
          </cell>
          <cell r="T3018" t="str">
            <v>Wira</v>
          </cell>
          <cell r="U3018">
            <v>30</v>
          </cell>
        </row>
        <row r="3019">
          <cell r="E3019" t="str">
            <v>D25014276</v>
          </cell>
          <cell r="F3019"/>
          <cell r="G3019">
            <v>12000000000</v>
          </cell>
          <cell r="H3019" t="str">
            <v>Yuyun</v>
          </cell>
          <cell r="I3019" t="str">
            <v>Syahra</v>
          </cell>
          <cell r="J3019"/>
          <cell r="K3019" t="str">
            <v>KU</v>
          </cell>
          <cell r="L3019" t="str">
            <v>FAST07</v>
          </cell>
          <cell r="M3019" t="str">
            <v>Harry Santoso</v>
          </cell>
          <cell r="N3019" t="str">
            <v>Forum Agro Sukses Timur, PT</v>
          </cell>
          <cell r="O3019" t="str">
            <v>Jl. Merak No. 88 RT.001/RW.005, Kel. Jubung, Kec. Sukorambi</v>
          </cell>
          <cell r="P3019" t="str">
            <v>Jember</v>
          </cell>
          <cell r="Q3019" t="str">
            <v>Jl. Merak No. 88 RT.001/RW.005, Kel. Jubung, Kec. Sukorambi</v>
          </cell>
          <cell r="R3019" t="str">
            <v>Jember</v>
          </cell>
          <cell r="S3019" t="str">
            <v>J Group</v>
          </cell>
          <cell r="T3019" t="str">
            <v>Wira</v>
          </cell>
          <cell r="U3019">
            <v>30</v>
          </cell>
        </row>
        <row r="3020">
          <cell r="E3020" t="str">
            <v>D25014277</v>
          </cell>
          <cell r="F3020"/>
          <cell r="G3020">
            <v>12000000000</v>
          </cell>
          <cell r="H3020" t="str">
            <v>Yuyun</v>
          </cell>
          <cell r="I3020" t="str">
            <v>Syahra</v>
          </cell>
          <cell r="J3020"/>
          <cell r="K3020" t="str">
            <v>KU</v>
          </cell>
          <cell r="L3020" t="str">
            <v>FAST07</v>
          </cell>
          <cell r="M3020" t="str">
            <v>Harry Santoso</v>
          </cell>
          <cell r="N3020" t="str">
            <v>Forum Agro Sukses Timur, PT</v>
          </cell>
          <cell r="O3020" t="str">
            <v>Jl. Merak No. 88 RT.001/RW.005, Kel. Jubung, Kec. Sukorambi</v>
          </cell>
          <cell r="P3020" t="str">
            <v>Jember</v>
          </cell>
          <cell r="Q3020" t="str">
            <v>Jl. Merak No. 88 RT.001/RW.005, Kel. Jubung, Kec. Sukorambi</v>
          </cell>
          <cell r="R3020" t="str">
            <v>Jember</v>
          </cell>
          <cell r="S3020" t="str">
            <v>J Group</v>
          </cell>
          <cell r="T3020" t="str">
            <v>Wira</v>
          </cell>
          <cell r="U3020">
            <v>30</v>
          </cell>
        </row>
        <row r="3021">
          <cell r="E3021" t="str">
            <v>D25014279</v>
          </cell>
          <cell r="F3021"/>
          <cell r="G3021">
            <v>12000000000</v>
          </cell>
          <cell r="H3021" t="str">
            <v>Yuyun</v>
          </cell>
          <cell r="I3021" t="str">
            <v>Syahra</v>
          </cell>
          <cell r="J3021"/>
          <cell r="K3021" t="str">
            <v>KU</v>
          </cell>
          <cell r="L3021" t="str">
            <v>FAST07</v>
          </cell>
          <cell r="M3021" t="str">
            <v>Harry Santoso</v>
          </cell>
          <cell r="N3021" t="str">
            <v>Forum Agro Sukses Timur, PT</v>
          </cell>
          <cell r="O3021" t="str">
            <v>Jl. Merak No. 88 RT.001/RW.005, Kel. Jubung, Kec. Sukorambi</v>
          </cell>
          <cell r="P3021" t="str">
            <v>Jember</v>
          </cell>
          <cell r="Q3021" t="str">
            <v>Jl. Merak No. 88 RT.001/RW.005, Kel. Jubung, Kec. Sukorambi</v>
          </cell>
          <cell r="R3021" t="str">
            <v>Jember</v>
          </cell>
          <cell r="S3021" t="str">
            <v>J Group</v>
          </cell>
          <cell r="T3021" t="str">
            <v>Wira</v>
          </cell>
          <cell r="U3021">
            <v>30</v>
          </cell>
        </row>
        <row r="3022">
          <cell r="E3022" t="str">
            <v>D25014298</v>
          </cell>
          <cell r="F3022"/>
          <cell r="G3022">
            <v>12000000000</v>
          </cell>
          <cell r="H3022" t="str">
            <v>Yuyun</v>
          </cell>
          <cell r="I3022" t="str">
            <v>Syahra</v>
          </cell>
          <cell r="J3022"/>
          <cell r="K3022" t="str">
            <v>KU</v>
          </cell>
          <cell r="L3022" t="str">
            <v>FAST07</v>
          </cell>
          <cell r="M3022" t="str">
            <v>Harry Santoso</v>
          </cell>
          <cell r="N3022" t="str">
            <v>Forum Agro Sukses Timur, PT</v>
          </cell>
          <cell r="O3022" t="str">
            <v>Jl. Merak No. 88 RT.001/RW.005, Kel. Jubung, Kec. Sukorambi</v>
          </cell>
          <cell r="P3022" t="str">
            <v>Jember</v>
          </cell>
          <cell r="Q3022" t="str">
            <v>Jl. Merak No. 88 RT.001/RW.005, Kel. Jubung, Kec. Sukorambi</v>
          </cell>
          <cell r="R3022" t="str">
            <v>Jember</v>
          </cell>
          <cell r="S3022" t="str">
            <v>J Group</v>
          </cell>
          <cell r="T3022" t="str">
            <v>Wira</v>
          </cell>
          <cell r="U3022">
            <v>30</v>
          </cell>
        </row>
        <row r="3023">
          <cell r="E3023" t="str">
            <v>D25014312</v>
          </cell>
          <cell r="F3023"/>
          <cell r="G3023">
            <v>12000000000</v>
          </cell>
          <cell r="H3023" t="str">
            <v>Yuyun</v>
          </cell>
          <cell r="I3023" t="str">
            <v>Syahra</v>
          </cell>
          <cell r="J3023"/>
          <cell r="K3023" t="str">
            <v>KU</v>
          </cell>
          <cell r="L3023" t="str">
            <v>FAST07</v>
          </cell>
          <cell r="M3023" t="str">
            <v>Harry Santoso</v>
          </cell>
          <cell r="N3023" t="str">
            <v>Forum Agro Sukses Timur, PT</v>
          </cell>
          <cell r="O3023" t="str">
            <v>Jl. Merak No. 88 RT.001/RW.005, Kel. Jubung, Kec. Sukorambi</v>
          </cell>
          <cell r="P3023" t="str">
            <v>Jember</v>
          </cell>
          <cell r="Q3023" t="str">
            <v>Jl. Merak No. 88 RT.001/RW.005, Kel. Jubung, Kec. Sukorambi</v>
          </cell>
          <cell r="R3023" t="str">
            <v>Jember</v>
          </cell>
          <cell r="S3023" t="str">
            <v>J Group</v>
          </cell>
          <cell r="T3023" t="str">
            <v>Wira</v>
          </cell>
          <cell r="U3023">
            <v>30</v>
          </cell>
        </row>
        <row r="3024">
          <cell r="E3024" t="str">
            <v>B25012118</v>
          </cell>
          <cell r="F3024"/>
          <cell r="G3024">
            <v>12000000000</v>
          </cell>
          <cell r="H3024" t="str">
            <v>Yuyun</v>
          </cell>
          <cell r="I3024" t="str">
            <v>Syahra</v>
          </cell>
          <cell r="J3024"/>
          <cell r="K3024" t="str">
            <v>KU</v>
          </cell>
          <cell r="L3024" t="str">
            <v>FAST07</v>
          </cell>
          <cell r="M3024" t="str">
            <v>Harry Santoso</v>
          </cell>
          <cell r="N3024" t="str">
            <v>Forum Agro Sukses Timur, PT</v>
          </cell>
          <cell r="O3024" t="str">
            <v>Jl. Merak No. 88 RT.001/RW.005, Kel. Jubung, Kec. Sukorambi</v>
          </cell>
          <cell r="P3024" t="str">
            <v>Jember</v>
          </cell>
          <cell r="Q3024" t="str">
            <v>Jl. Merak No. 88 RT.001/RW.005, Kel. Jubung, Kec. Sukorambi</v>
          </cell>
          <cell r="R3024" t="str">
            <v>Jember</v>
          </cell>
          <cell r="S3024" t="str">
            <v>J Group</v>
          </cell>
          <cell r="T3024" t="str">
            <v>Wira</v>
          </cell>
          <cell r="U3024">
            <v>30</v>
          </cell>
        </row>
        <row r="3025">
          <cell r="E3025" t="str">
            <v>B25012126</v>
          </cell>
          <cell r="F3025"/>
          <cell r="G3025">
            <v>12000000000</v>
          </cell>
          <cell r="H3025" t="str">
            <v>Yuyun</v>
          </cell>
          <cell r="I3025" t="str">
            <v>Syahra</v>
          </cell>
          <cell r="J3025"/>
          <cell r="K3025" t="str">
            <v>KU</v>
          </cell>
          <cell r="L3025" t="str">
            <v>FAST07</v>
          </cell>
          <cell r="M3025" t="str">
            <v>Harry Santoso</v>
          </cell>
          <cell r="N3025" t="str">
            <v>Forum Agro Sukses Timur, PT</v>
          </cell>
          <cell r="O3025" t="str">
            <v>Jl. Merak No. 88 RT.001/RW.005, Kel. Jubung, Kec. Sukorambi</v>
          </cell>
          <cell r="P3025" t="str">
            <v>Jember</v>
          </cell>
          <cell r="Q3025" t="str">
            <v>Jl. Merak No. 88 RT.001/RW.005, Kel. Jubung, Kec. Sukorambi</v>
          </cell>
          <cell r="R3025" t="str">
            <v>Jember</v>
          </cell>
          <cell r="S3025" t="str">
            <v>J Group</v>
          </cell>
          <cell r="T3025" t="str">
            <v>Wira</v>
          </cell>
          <cell r="U3025">
            <v>30</v>
          </cell>
        </row>
        <row r="3026">
          <cell r="E3026" t="str">
            <v>D25014413</v>
          </cell>
          <cell r="F3026"/>
          <cell r="G3026">
            <v>12000000000</v>
          </cell>
          <cell r="H3026" t="str">
            <v>Yuyun</v>
          </cell>
          <cell r="I3026" t="str">
            <v>Syahra</v>
          </cell>
          <cell r="J3026"/>
          <cell r="K3026" t="str">
            <v>KU</v>
          </cell>
          <cell r="L3026" t="str">
            <v>FAST07</v>
          </cell>
          <cell r="M3026" t="str">
            <v>Harry Santoso</v>
          </cell>
          <cell r="N3026" t="str">
            <v>Forum Agro Sukses Timur, PT</v>
          </cell>
          <cell r="O3026" t="str">
            <v>Jl. Merak No. 88 RT.001/RW.005, Kel. Jubung, Kec. Sukorambi</v>
          </cell>
          <cell r="P3026" t="str">
            <v>Jember</v>
          </cell>
          <cell r="Q3026" t="str">
            <v>Jl. Merak No. 88 RT.001/RW.005, Kel. Jubung, Kec. Sukorambi</v>
          </cell>
          <cell r="R3026" t="str">
            <v>Jember</v>
          </cell>
          <cell r="S3026" t="str">
            <v>J Group</v>
          </cell>
          <cell r="T3026" t="str">
            <v>Wira</v>
          </cell>
          <cell r="U3026">
            <v>30</v>
          </cell>
        </row>
        <row r="3027">
          <cell r="E3027" t="str">
            <v>D25014429</v>
          </cell>
          <cell r="F3027"/>
          <cell r="G3027">
            <v>12000000000</v>
          </cell>
          <cell r="H3027" t="str">
            <v>Yuyun</v>
          </cell>
          <cell r="I3027" t="str">
            <v>Syahra</v>
          </cell>
          <cell r="J3027"/>
          <cell r="K3027" t="str">
            <v>KU</v>
          </cell>
          <cell r="L3027" t="str">
            <v>FAST07</v>
          </cell>
          <cell r="M3027" t="str">
            <v>Harry Santoso</v>
          </cell>
          <cell r="N3027" t="str">
            <v>Forum Agro Sukses Timur, PT</v>
          </cell>
          <cell r="O3027" t="str">
            <v>Jl. Merak No. 88 RT.001/RW.005, Kel. Jubung, Kec. Sukorambi</v>
          </cell>
          <cell r="P3027" t="str">
            <v>Jember</v>
          </cell>
          <cell r="Q3027" t="str">
            <v>Jl. Merak No. 88 RT.001/RW.005, Kel. Jubung, Kec. Sukorambi</v>
          </cell>
          <cell r="R3027" t="str">
            <v>Jember</v>
          </cell>
          <cell r="S3027" t="str">
            <v>J Group</v>
          </cell>
          <cell r="T3027" t="str">
            <v>Wira</v>
          </cell>
          <cell r="U3027">
            <v>30</v>
          </cell>
        </row>
        <row r="3028">
          <cell r="E3028" t="str">
            <v>D25014430</v>
          </cell>
          <cell r="F3028"/>
          <cell r="G3028">
            <v>12000000000</v>
          </cell>
          <cell r="H3028" t="str">
            <v>Yuyun</v>
          </cell>
          <cell r="I3028" t="str">
            <v>Syahra</v>
          </cell>
          <cell r="J3028"/>
          <cell r="K3028" t="str">
            <v>KU</v>
          </cell>
          <cell r="L3028" t="str">
            <v>FAST07</v>
          </cell>
          <cell r="M3028" t="str">
            <v>Harry Santoso</v>
          </cell>
          <cell r="N3028" t="str">
            <v>Forum Agro Sukses Timur, PT</v>
          </cell>
          <cell r="O3028" t="str">
            <v>Jl. Merak No. 88 RT.001/RW.005, Kel. Jubung, Kec. Sukorambi</v>
          </cell>
          <cell r="P3028" t="str">
            <v>Jember</v>
          </cell>
          <cell r="Q3028" t="str">
            <v>Jl. Merak No. 88 RT.001/RW.005, Kel. Jubung, Kec. Sukorambi</v>
          </cell>
          <cell r="R3028" t="str">
            <v>Jember</v>
          </cell>
          <cell r="S3028" t="str">
            <v>J Group</v>
          </cell>
          <cell r="T3028" t="str">
            <v>Wira</v>
          </cell>
          <cell r="U3028">
            <v>30</v>
          </cell>
        </row>
        <row r="3029">
          <cell r="E3029" t="str">
            <v>B25012242</v>
          </cell>
          <cell r="F3029"/>
          <cell r="G3029">
            <v>12000000000</v>
          </cell>
          <cell r="H3029" t="str">
            <v>Yuyun</v>
          </cell>
          <cell r="I3029" t="str">
            <v>Syahra</v>
          </cell>
          <cell r="J3029"/>
          <cell r="K3029" t="str">
            <v>KU</v>
          </cell>
          <cell r="L3029" t="str">
            <v>FAST07</v>
          </cell>
          <cell r="M3029" t="str">
            <v>Harry Santoso</v>
          </cell>
          <cell r="N3029" t="str">
            <v>Forum Agro Sukses Timur, PT</v>
          </cell>
          <cell r="O3029" t="str">
            <v>Jl. Merak No. 88 RT.001/RW.005, Kel. Jubung, Kec. Sukorambi</v>
          </cell>
          <cell r="P3029" t="str">
            <v>Jember</v>
          </cell>
          <cell r="Q3029" t="str">
            <v>Jl. Merak No. 88 RT.001/RW.005, Kel. Jubung, Kec. Sukorambi</v>
          </cell>
          <cell r="R3029" t="str">
            <v>Jember</v>
          </cell>
          <cell r="S3029" t="str">
            <v>J Group</v>
          </cell>
          <cell r="T3029" t="str">
            <v>Wira</v>
          </cell>
          <cell r="U3029">
            <v>30</v>
          </cell>
        </row>
        <row r="3030">
          <cell r="E3030" t="str">
            <v>D25014485</v>
          </cell>
          <cell r="F3030"/>
          <cell r="G3030">
            <v>12000000000</v>
          </cell>
          <cell r="H3030" t="str">
            <v>Yuyun</v>
          </cell>
          <cell r="I3030" t="str">
            <v>Syahra</v>
          </cell>
          <cell r="J3030"/>
          <cell r="K3030" t="str">
            <v>KU</v>
          </cell>
          <cell r="L3030" t="str">
            <v>FAST07</v>
          </cell>
          <cell r="M3030" t="str">
            <v>Harry Santoso</v>
          </cell>
          <cell r="N3030" t="str">
            <v>Forum Agro Sukses Timur, PT</v>
          </cell>
          <cell r="O3030" t="str">
            <v>Jl. Merak No. 88 RT.001/RW.005, Kel. Jubung, Kec. Sukorambi</v>
          </cell>
          <cell r="P3030" t="str">
            <v>Jember</v>
          </cell>
          <cell r="Q3030" t="str">
            <v>Jl. Merak No. 88 RT.001/RW.005, Kel. Jubung, Kec. Sukorambi</v>
          </cell>
          <cell r="R3030" t="str">
            <v>Jember</v>
          </cell>
          <cell r="S3030" t="str">
            <v>J Group</v>
          </cell>
          <cell r="T3030" t="str">
            <v>Wira</v>
          </cell>
          <cell r="U3030">
            <v>30</v>
          </cell>
        </row>
        <row r="3031">
          <cell r="E3031" t="str">
            <v>D25014499</v>
          </cell>
          <cell r="F3031"/>
          <cell r="G3031">
            <v>12000000000</v>
          </cell>
          <cell r="H3031" t="str">
            <v>Yuyun</v>
          </cell>
          <cell r="I3031" t="str">
            <v>Syahra</v>
          </cell>
          <cell r="J3031"/>
          <cell r="K3031" t="str">
            <v>KU</v>
          </cell>
          <cell r="L3031" t="str">
            <v>FAST07</v>
          </cell>
          <cell r="M3031" t="str">
            <v>Harry Santoso</v>
          </cell>
          <cell r="N3031" t="str">
            <v>Forum Agro Sukses Timur, PT</v>
          </cell>
          <cell r="O3031" t="str">
            <v>Jl. Merak No. 88 RT.001/RW.005, Kel. Jubung, Kec. Sukorambi</v>
          </cell>
          <cell r="P3031" t="str">
            <v>Jember</v>
          </cell>
          <cell r="Q3031" t="str">
            <v>Jl. Merak No. 88 RT.001/RW.005, Kel. Jubung, Kec. Sukorambi</v>
          </cell>
          <cell r="R3031" t="str">
            <v>Jember</v>
          </cell>
          <cell r="S3031" t="str">
            <v>J Group</v>
          </cell>
          <cell r="T3031" t="str">
            <v>Wira</v>
          </cell>
          <cell r="U3031">
            <v>30</v>
          </cell>
        </row>
        <row r="3032">
          <cell r="E3032" t="str">
            <v>D25014535</v>
          </cell>
          <cell r="F3032"/>
          <cell r="G3032">
            <v>12000000000</v>
          </cell>
          <cell r="H3032" t="str">
            <v>Yuyun</v>
          </cell>
          <cell r="I3032" t="str">
            <v>Syahra</v>
          </cell>
          <cell r="J3032"/>
          <cell r="K3032" t="str">
            <v>KU</v>
          </cell>
          <cell r="L3032" t="str">
            <v>FAST07</v>
          </cell>
          <cell r="M3032" t="str">
            <v>Harry Santoso</v>
          </cell>
          <cell r="N3032" t="str">
            <v>Forum Agro Sukses Timur, PT</v>
          </cell>
          <cell r="O3032" t="str">
            <v>Jl. Merak No. 88 RT.001/RW.005, Kel. Jubung, Kec. Sukorambi</v>
          </cell>
          <cell r="P3032" t="str">
            <v>Jember</v>
          </cell>
          <cell r="Q3032" t="str">
            <v>Jl. Merak No. 88 RT.001/RW.005, Kel. Jubung, Kec. Sukorambi</v>
          </cell>
          <cell r="R3032" t="str">
            <v>Jember</v>
          </cell>
          <cell r="S3032" t="str">
            <v>J Group</v>
          </cell>
          <cell r="T3032" t="str">
            <v>Wira</v>
          </cell>
          <cell r="U3032">
            <v>30</v>
          </cell>
        </row>
        <row r="3033">
          <cell r="E3033" t="str">
            <v>D25014540</v>
          </cell>
          <cell r="F3033"/>
          <cell r="G3033">
            <v>12000000000</v>
          </cell>
          <cell r="H3033" t="str">
            <v>Yuyun</v>
          </cell>
          <cell r="I3033" t="str">
            <v>Syahra</v>
          </cell>
          <cell r="J3033"/>
          <cell r="K3033" t="str">
            <v>KU</v>
          </cell>
          <cell r="L3033" t="str">
            <v>FAST07</v>
          </cell>
          <cell r="M3033" t="str">
            <v>Harry Santoso</v>
          </cell>
          <cell r="N3033" t="str">
            <v>Forum Agro Sukses Timur, PT</v>
          </cell>
          <cell r="O3033" t="str">
            <v>Jl. Merak No. 88 RT.001/RW.005, Kel. Jubung, Kec. Sukorambi</v>
          </cell>
          <cell r="P3033" t="str">
            <v>Jember</v>
          </cell>
          <cell r="Q3033" t="str">
            <v>Jl. Merak No. 88 RT.001/RW.005, Kel. Jubung, Kec. Sukorambi</v>
          </cell>
          <cell r="R3033" t="str">
            <v>Jember</v>
          </cell>
          <cell r="S3033" t="str">
            <v>J Group</v>
          </cell>
          <cell r="T3033" t="str">
            <v>Wira</v>
          </cell>
          <cell r="U3033">
            <v>0</v>
          </cell>
        </row>
        <row r="3034">
          <cell r="E3034" t="str">
            <v>B25012329</v>
          </cell>
          <cell r="F3034"/>
          <cell r="G3034">
            <v>12000000000</v>
          </cell>
          <cell r="H3034" t="str">
            <v>Yuyun</v>
          </cell>
          <cell r="I3034" t="str">
            <v>Syahra</v>
          </cell>
          <cell r="J3034"/>
          <cell r="K3034" t="str">
            <v>KU</v>
          </cell>
          <cell r="L3034" t="str">
            <v>FAST07</v>
          </cell>
          <cell r="M3034" t="str">
            <v>Harry Santoso</v>
          </cell>
          <cell r="N3034" t="str">
            <v>Forum Agro Sukses Timur, PT</v>
          </cell>
          <cell r="O3034" t="str">
            <v>Jl. Merak No. 88 RT.001/RW.005, Kel. Jubung, Kec. Sukorambi</v>
          </cell>
          <cell r="P3034" t="str">
            <v>Jember</v>
          </cell>
          <cell r="Q3034" t="str">
            <v>Jl. Merak No. 88 RT.001/RW.005, Kel. Jubung, Kec. Sukorambi</v>
          </cell>
          <cell r="R3034" t="str">
            <v>Jember</v>
          </cell>
          <cell r="S3034" t="str">
            <v>J Group</v>
          </cell>
          <cell r="T3034" t="str">
            <v>Wira</v>
          </cell>
          <cell r="U3034">
            <v>30</v>
          </cell>
        </row>
        <row r="3035">
          <cell r="E3035" t="str">
            <v>B25012347</v>
          </cell>
          <cell r="F3035"/>
          <cell r="G3035">
            <v>12000000000</v>
          </cell>
          <cell r="H3035" t="str">
            <v>Yuyun</v>
          </cell>
          <cell r="I3035" t="str">
            <v>Syahra</v>
          </cell>
          <cell r="J3035"/>
          <cell r="K3035" t="str">
            <v>KU</v>
          </cell>
          <cell r="L3035" t="str">
            <v>FAST07</v>
          </cell>
          <cell r="M3035" t="str">
            <v>Harry Santoso</v>
          </cell>
          <cell r="N3035" t="str">
            <v>Forum Agro Sukses Timur, PT</v>
          </cell>
          <cell r="O3035" t="str">
            <v>Jl. Merak No. 88 RT.001/RW.005, Kel. Jubung, Kec. Sukorambi</v>
          </cell>
          <cell r="P3035" t="str">
            <v>Jember</v>
          </cell>
          <cell r="Q3035" t="str">
            <v>Jl. Merak No. 88 RT.001/RW.005, Kel. Jubung, Kec. Sukorambi</v>
          </cell>
          <cell r="R3035" t="str">
            <v>Jember</v>
          </cell>
          <cell r="S3035" t="str">
            <v>J Group</v>
          </cell>
          <cell r="T3035" t="str">
            <v>Wira</v>
          </cell>
          <cell r="U3035">
            <v>30</v>
          </cell>
        </row>
        <row r="3036">
          <cell r="E3036" t="str">
            <v>D25014601</v>
          </cell>
          <cell r="F3036"/>
          <cell r="G3036">
            <v>12000000000</v>
          </cell>
          <cell r="H3036" t="str">
            <v>Yuyun</v>
          </cell>
          <cell r="I3036" t="str">
            <v>Syahra</v>
          </cell>
          <cell r="J3036"/>
          <cell r="K3036" t="str">
            <v>KU</v>
          </cell>
          <cell r="L3036" t="str">
            <v>FAST07</v>
          </cell>
          <cell r="M3036" t="str">
            <v>Harry Santoso</v>
          </cell>
          <cell r="N3036" t="str">
            <v>Forum Agro Sukses Timur, PT</v>
          </cell>
          <cell r="O3036" t="str">
            <v>Jl. Merak No. 88 RT.001/RW.005, Kel. Jubung, Kec. Sukorambi</v>
          </cell>
          <cell r="P3036" t="str">
            <v>Jember</v>
          </cell>
          <cell r="Q3036" t="str">
            <v>Jl. Merak No. 88 RT.001/RW.005, Kel. Jubung, Kec. Sukorambi</v>
          </cell>
          <cell r="R3036" t="str">
            <v>Jember</v>
          </cell>
          <cell r="S3036" t="str">
            <v>J Group</v>
          </cell>
          <cell r="T3036" t="str">
            <v>Wira</v>
          </cell>
          <cell r="U3036">
            <v>30</v>
          </cell>
        </row>
        <row r="3037">
          <cell r="E3037" t="str">
            <v>B25012366</v>
          </cell>
          <cell r="F3037"/>
          <cell r="G3037">
            <v>12000000000</v>
          </cell>
          <cell r="H3037" t="str">
            <v>Yuyun</v>
          </cell>
          <cell r="I3037" t="str">
            <v>Syahra</v>
          </cell>
          <cell r="J3037"/>
          <cell r="K3037" t="str">
            <v>KU</v>
          </cell>
          <cell r="L3037" t="str">
            <v>FAST07</v>
          </cell>
          <cell r="M3037" t="str">
            <v>Harry Santoso</v>
          </cell>
          <cell r="N3037" t="str">
            <v>Forum Agro Sukses Timur, PT</v>
          </cell>
          <cell r="O3037" t="str">
            <v>Jl. Merak No. 88 RT.001/RW.005, Kel. Jubung, Kec. Sukorambi</v>
          </cell>
          <cell r="P3037" t="str">
            <v>Jember</v>
          </cell>
          <cell r="Q3037" t="str">
            <v>Jl. Merak No. 88 RT.001/RW.005, Kel. Jubung, Kec. Sukorambi</v>
          </cell>
          <cell r="R3037" t="str">
            <v>Jember</v>
          </cell>
          <cell r="S3037" t="str">
            <v>J Group</v>
          </cell>
          <cell r="T3037" t="str">
            <v>Wira</v>
          </cell>
          <cell r="U3037">
            <v>30</v>
          </cell>
        </row>
        <row r="3038">
          <cell r="E3038" t="str">
            <v>D25014682</v>
          </cell>
          <cell r="F3038"/>
          <cell r="G3038">
            <v>12000000000</v>
          </cell>
          <cell r="H3038" t="str">
            <v>Yuyun</v>
          </cell>
          <cell r="I3038" t="str">
            <v>Syahra</v>
          </cell>
          <cell r="J3038"/>
          <cell r="K3038" t="str">
            <v>KU</v>
          </cell>
          <cell r="L3038" t="str">
            <v>FAST07</v>
          </cell>
          <cell r="M3038" t="str">
            <v>Harry Santoso</v>
          </cell>
          <cell r="N3038" t="str">
            <v>Forum Agro Sukses Timur, PT</v>
          </cell>
          <cell r="O3038" t="str">
            <v>Jl. Merak No. 88 RT.001/RW.005, Kel. Jubung, Kec. Sukorambi</v>
          </cell>
          <cell r="P3038" t="str">
            <v>Jember</v>
          </cell>
          <cell r="Q3038" t="str">
            <v>Jl. Merak No. 88 RT.001/RW.005, Kel. Jubung, Kec. Sukorambi</v>
          </cell>
          <cell r="R3038" t="str">
            <v>Jember</v>
          </cell>
          <cell r="S3038" t="str">
            <v>J Group</v>
          </cell>
          <cell r="T3038" t="str">
            <v>Wira</v>
          </cell>
          <cell r="U3038">
            <v>30</v>
          </cell>
        </row>
        <row r="3039">
          <cell r="E3039" t="str">
            <v>D25014683</v>
          </cell>
          <cell r="F3039"/>
          <cell r="G3039">
            <v>12000000000</v>
          </cell>
          <cell r="H3039" t="str">
            <v>Yuyun</v>
          </cell>
          <cell r="I3039" t="str">
            <v>Syahra</v>
          </cell>
          <cell r="J3039"/>
          <cell r="K3039" t="str">
            <v>KU</v>
          </cell>
          <cell r="L3039" t="str">
            <v>FAST07</v>
          </cell>
          <cell r="M3039" t="str">
            <v>Harry Santoso</v>
          </cell>
          <cell r="N3039" t="str">
            <v>Forum Agro Sukses Timur, PT</v>
          </cell>
          <cell r="O3039" t="str">
            <v>Jl. Merak No. 88 RT.001/RW.005, Kel. Jubung, Kec. Sukorambi</v>
          </cell>
          <cell r="P3039" t="str">
            <v>Jember</v>
          </cell>
          <cell r="Q3039" t="str">
            <v>Jl. Merak No. 88 RT.001/RW.005, Kel. Jubung, Kec. Sukorambi</v>
          </cell>
          <cell r="R3039" t="str">
            <v>Jember</v>
          </cell>
          <cell r="S3039" t="str">
            <v>J Group</v>
          </cell>
          <cell r="T3039" t="str">
            <v>Wira</v>
          </cell>
          <cell r="U3039">
            <v>30</v>
          </cell>
        </row>
        <row r="3040">
          <cell r="E3040" t="str">
            <v>B25012448</v>
          </cell>
          <cell r="F3040"/>
          <cell r="G3040">
            <v>12000000000</v>
          </cell>
          <cell r="H3040" t="str">
            <v>Yuyun</v>
          </cell>
          <cell r="I3040" t="str">
            <v>Syahra</v>
          </cell>
          <cell r="J3040"/>
          <cell r="K3040" t="str">
            <v>KU</v>
          </cell>
          <cell r="L3040" t="str">
            <v>FAST07</v>
          </cell>
          <cell r="M3040" t="str">
            <v>Harry Santoso</v>
          </cell>
          <cell r="N3040" t="str">
            <v>Forum Agro Sukses Timur, PT</v>
          </cell>
          <cell r="O3040" t="str">
            <v>Jl. Merak No. 88 RT.001/RW.005, Kel. Jubung, Kec. Sukorambi</v>
          </cell>
          <cell r="P3040" t="str">
            <v>Jember</v>
          </cell>
          <cell r="Q3040" t="str">
            <v>Jl. Merak No. 88 RT.001/RW.005, Kel. Jubung, Kec. Sukorambi</v>
          </cell>
          <cell r="R3040" t="str">
            <v>Jember</v>
          </cell>
          <cell r="S3040" t="str">
            <v>J Group</v>
          </cell>
          <cell r="T3040" t="str">
            <v>Wira</v>
          </cell>
          <cell r="U3040">
            <v>30</v>
          </cell>
        </row>
        <row r="3041">
          <cell r="E3041" t="str">
            <v>B25012501</v>
          </cell>
          <cell r="F3041"/>
          <cell r="G3041">
            <v>12000000000</v>
          </cell>
          <cell r="H3041" t="str">
            <v>Yuyun</v>
          </cell>
          <cell r="I3041" t="str">
            <v>Syahra</v>
          </cell>
          <cell r="J3041"/>
          <cell r="K3041" t="str">
            <v>KU</v>
          </cell>
          <cell r="L3041" t="str">
            <v>FAST07</v>
          </cell>
          <cell r="M3041" t="str">
            <v>Harry Santoso</v>
          </cell>
          <cell r="N3041" t="str">
            <v>Forum Agro Sukses Timur, PT</v>
          </cell>
          <cell r="O3041" t="str">
            <v>Jl. Merak No. 88 RT.001/RW.005, Kel. Jubung, Kec. Sukorambi</v>
          </cell>
          <cell r="P3041" t="str">
            <v>Jember</v>
          </cell>
          <cell r="Q3041" t="str">
            <v>Jl. Merak No. 88 RT.001/RW.005, Kel. Jubung, Kec. Sukorambi</v>
          </cell>
          <cell r="R3041" t="str">
            <v>Jember</v>
          </cell>
          <cell r="S3041" t="str">
            <v>J Group</v>
          </cell>
          <cell r="T3041" t="str">
            <v>Wira</v>
          </cell>
          <cell r="U3041">
            <v>30</v>
          </cell>
        </row>
        <row r="3042">
          <cell r="E3042" t="str">
            <v>D25014738</v>
          </cell>
          <cell r="F3042"/>
          <cell r="G3042">
            <v>12000000000</v>
          </cell>
          <cell r="H3042" t="str">
            <v>Yuyun</v>
          </cell>
          <cell r="I3042" t="str">
            <v>Syahra</v>
          </cell>
          <cell r="J3042"/>
          <cell r="K3042" t="str">
            <v>KU</v>
          </cell>
          <cell r="L3042" t="str">
            <v>FAST07</v>
          </cell>
          <cell r="M3042" t="str">
            <v>Harry Santoso</v>
          </cell>
          <cell r="N3042" t="str">
            <v>Forum Agro Sukses Timur, PT</v>
          </cell>
          <cell r="O3042" t="str">
            <v>Jl. Merak No. 88 RT.001/RW.005, Kel. Jubung, Kec. Sukorambi</v>
          </cell>
          <cell r="P3042" t="str">
            <v>Jember</v>
          </cell>
          <cell r="Q3042" t="str">
            <v>Jl. Merak No. 88 RT.001/RW.005, Kel. Jubung, Kec. Sukorambi</v>
          </cell>
          <cell r="R3042" t="str">
            <v>Jember</v>
          </cell>
          <cell r="S3042" t="str">
            <v>J Group</v>
          </cell>
          <cell r="T3042" t="str">
            <v>Wira</v>
          </cell>
          <cell r="U3042">
            <v>30</v>
          </cell>
        </row>
        <row r="3043">
          <cell r="E3043" t="str">
            <v>D25014739</v>
          </cell>
          <cell r="F3043"/>
          <cell r="G3043">
            <v>12000000000</v>
          </cell>
          <cell r="H3043" t="str">
            <v>Yuyun</v>
          </cell>
          <cell r="I3043" t="str">
            <v>Syahra</v>
          </cell>
          <cell r="J3043"/>
          <cell r="K3043" t="str">
            <v>KU</v>
          </cell>
          <cell r="L3043" t="str">
            <v>FAST07</v>
          </cell>
          <cell r="M3043" t="str">
            <v>Harry Santoso</v>
          </cell>
          <cell r="N3043" t="str">
            <v>Forum Agro Sukses Timur, PT</v>
          </cell>
          <cell r="O3043" t="str">
            <v>Jl. Merak No. 88 RT.001/RW.005, Kel. Jubung, Kec. Sukorambi</v>
          </cell>
          <cell r="P3043" t="str">
            <v>Jember</v>
          </cell>
          <cell r="Q3043" t="str">
            <v>Jl. Merak No. 88 RT.001/RW.005, Kel. Jubung, Kec. Sukorambi</v>
          </cell>
          <cell r="R3043" t="str">
            <v>Jember</v>
          </cell>
          <cell r="S3043" t="str">
            <v>J Group</v>
          </cell>
          <cell r="T3043" t="str">
            <v>Wira</v>
          </cell>
          <cell r="U3043">
            <v>30</v>
          </cell>
        </row>
        <row r="3044">
          <cell r="E3044" t="str">
            <v>B25012509</v>
          </cell>
          <cell r="F3044"/>
          <cell r="G3044">
            <v>12000000000</v>
          </cell>
          <cell r="H3044" t="str">
            <v>Yuyun</v>
          </cell>
          <cell r="I3044" t="str">
            <v>Syahra</v>
          </cell>
          <cell r="J3044"/>
          <cell r="K3044" t="str">
            <v>KU</v>
          </cell>
          <cell r="L3044" t="str">
            <v>FAST07</v>
          </cell>
          <cell r="M3044" t="str">
            <v>Harry Santoso</v>
          </cell>
          <cell r="N3044" t="str">
            <v>Forum Agro Sukses Timur, PT</v>
          </cell>
          <cell r="O3044" t="str">
            <v>Jl. Merak No. 88 RT.001/RW.005, Kel. Jubung, Kec. Sukorambi</v>
          </cell>
          <cell r="P3044" t="str">
            <v>Jember</v>
          </cell>
          <cell r="Q3044" t="str">
            <v>Jl. Merak No. 88 RT.001/RW.005, Kel. Jubung, Kec. Sukorambi</v>
          </cell>
          <cell r="R3044" t="str">
            <v>Jember</v>
          </cell>
          <cell r="S3044" t="str">
            <v>J Group</v>
          </cell>
          <cell r="T3044" t="str">
            <v>Wira</v>
          </cell>
          <cell r="U3044">
            <v>30</v>
          </cell>
        </row>
        <row r="3045">
          <cell r="E3045" t="str">
            <v>B25012530</v>
          </cell>
          <cell r="F3045"/>
          <cell r="G3045">
            <v>12000000000</v>
          </cell>
          <cell r="H3045" t="str">
            <v>Yuyun</v>
          </cell>
          <cell r="I3045" t="str">
            <v>Syahra</v>
          </cell>
          <cell r="J3045"/>
          <cell r="K3045" t="str">
            <v>KU</v>
          </cell>
          <cell r="L3045" t="str">
            <v>FAST07</v>
          </cell>
          <cell r="M3045" t="str">
            <v>Harry Santoso</v>
          </cell>
          <cell r="N3045" t="str">
            <v>Forum Agro Sukses Timur, PT</v>
          </cell>
          <cell r="O3045" t="str">
            <v>Jl. Merak No. 88 RT.001/RW.005, Kel. Jubung, Kec. Sukorambi</v>
          </cell>
          <cell r="P3045" t="str">
            <v>Jember</v>
          </cell>
          <cell r="Q3045" t="str">
            <v>Jl. Merak No. 88 RT.001/RW.005, Kel. Jubung, Kec. Sukorambi</v>
          </cell>
          <cell r="R3045" t="str">
            <v>Jember</v>
          </cell>
          <cell r="S3045" t="str">
            <v>J Group</v>
          </cell>
          <cell r="T3045" t="str">
            <v>Wira</v>
          </cell>
          <cell r="U3045">
            <v>30</v>
          </cell>
        </row>
        <row r="3046">
          <cell r="E3046" t="str">
            <v>B25012531</v>
          </cell>
          <cell r="F3046"/>
          <cell r="G3046">
            <v>12000000000</v>
          </cell>
          <cell r="H3046" t="str">
            <v>Yuyun</v>
          </cell>
          <cell r="I3046" t="str">
            <v>Syahra</v>
          </cell>
          <cell r="J3046"/>
          <cell r="K3046" t="str">
            <v>KU</v>
          </cell>
          <cell r="L3046" t="str">
            <v>FAST07</v>
          </cell>
          <cell r="M3046" t="str">
            <v>Harry Santoso</v>
          </cell>
          <cell r="N3046" t="str">
            <v>Forum Agro Sukses Timur, PT</v>
          </cell>
          <cell r="O3046" t="str">
            <v>Jl. Merak No. 88 RT.001/RW.005, Kel. Jubung, Kec. Sukorambi</v>
          </cell>
          <cell r="P3046" t="str">
            <v>Jember</v>
          </cell>
          <cell r="Q3046" t="str">
            <v>Jl. Merak No. 88 RT.001/RW.005, Kel. Jubung, Kec. Sukorambi</v>
          </cell>
          <cell r="R3046" t="str">
            <v>Jember</v>
          </cell>
          <cell r="S3046" t="str">
            <v>J Group</v>
          </cell>
          <cell r="T3046" t="str">
            <v>Wira</v>
          </cell>
          <cell r="U3046">
            <v>30</v>
          </cell>
        </row>
        <row r="3047">
          <cell r="E3047" t="str">
            <v>D25014888</v>
          </cell>
          <cell r="F3047"/>
          <cell r="G3047">
            <v>12000000000</v>
          </cell>
          <cell r="H3047" t="str">
            <v>Yuyun</v>
          </cell>
          <cell r="I3047" t="str">
            <v>Syahra</v>
          </cell>
          <cell r="J3047"/>
          <cell r="K3047" t="str">
            <v>KU</v>
          </cell>
          <cell r="L3047" t="str">
            <v>FAST07</v>
          </cell>
          <cell r="M3047" t="str">
            <v>Harry Santoso</v>
          </cell>
          <cell r="N3047" t="str">
            <v>Forum Agro Sukses Timur, PT</v>
          </cell>
          <cell r="O3047" t="str">
            <v>Jl. Merak No. 88 RT.001/RW.005, Kel. Jubung, Kec. Sukorambi</v>
          </cell>
          <cell r="P3047" t="str">
            <v>Jember</v>
          </cell>
          <cell r="Q3047" t="str">
            <v>Jl. Merak No. 88 RT.001/RW.005, Kel. Jubung, Kec. Sukorambi</v>
          </cell>
          <cell r="R3047" t="str">
            <v>Jember</v>
          </cell>
          <cell r="S3047" t="str">
            <v>J Group</v>
          </cell>
          <cell r="T3047" t="str">
            <v>Wira</v>
          </cell>
          <cell r="U3047">
            <v>30</v>
          </cell>
        </row>
        <row r="3048">
          <cell r="E3048" t="str">
            <v>D25014898</v>
          </cell>
          <cell r="F3048"/>
          <cell r="G3048">
            <v>12000000000</v>
          </cell>
          <cell r="H3048" t="str">
            <v>Yuyun</v>
          </cell>
          <cell r="I3048" t="str">
            <v>Syahra</v>
          </cell>
          <cell r="J3048"/>
          <cell r="K3048" t="str">
            <v>KU</v>
          </cell>
          <cell r="L3048" t="str">
            <v>FAST07</v>
          </cell>
          <cell r="M3048" t="str">
            <v>Harry Santoso</v>
          </cell>
          <cell r="N3048" t="str">
            <v>Forum Agro Sukses Timur, PT</v>
          </cell>
          <cell r="O3048" t="str">
            <v>Jl. Merak No. 88 RT.001/RW.005, Kel. Jubung, Kec. Sukorambi</v>
          </cell>
          <cell r="P3048" t="str">
            <v>Jember</v>
          </cell>
          <cell r="Q3048" t="str">
            <v>Jl. Merak No. 88 RT.001/RW.005, Kel. Jubung, Kec. Sukorambi</v>
          </cell>
          <cell r="R3048" t="str">
            <v>Jember</v>
          </cell>
          <cell r="S3048" t="str">
            <v>J Group</v>
          </cell>
          <cell r="T3048" t="str">
            <v>Wira</v>
          </cell>
          <cell r="U3048">
            <v>30</v>
          </cell>
        </row>
        <row r="3049">
          <cell r="E3049" t="str">
            <v>D25014978</v>
          </cell>
          <cell r="F3049"/>
          <cell r="G3049">
            <v>12000000000</v>
          </cell>
          <cell r="H3049" t="str">
            <v>Yuyun</v>
          </cell>
          <cell r="I3049" t="str">
            <v>Syahra</v>
          </cell>
          <cell r="J3049"/>
          <cell r="K3049" t="str">
            <v>KU</v>
          </cell>
          <cell r="L3049" t="str">
            <v>FAST07</v>
          </cell>
          <cell r="M3049" t="str">
            <v>Harry Santoso</v>
          </cell>
          <cell r="N3049" t="str">
            <v>Forum Agro Sukses Timur, PT</v>
          </cell>
          <cell r="O3049" t="str">
            <v>Jl. Merak No. 88 RT.001/RW.005, Kel. Jubung, Kec. Sukorambi</v>
          </cell>
          <cell r="P3049" t="str">
            <v>Jember</v>
          </cell>
          <cell r="Q3049" t="str">
            <v>Jl. Merak No. 88 RT.001/RW.005, Kel. Jubung, Kec. Sukorambi</v>
          </cell>
          <cell r="R3049" t="str">
            <v>Jember</v>
          </cell>
          <cell r="S3049" t="str">
            <v>J Group</v>
          </cell>
          <cell r="T3049" t="str">
            <v>Wira</v>
          </cell>
          <cell r="U3049">
            <v>30</v>
          </cell>
        </row>
        <row r="3050">
          <cell r="E3050" t="str">
            <v>D25014981</v>
          </cell>
          <cell r="F3050"/>
          <cell r="G3050">
            <v>12000000000</v>
          </cell>
          <cell r="H3050" t="str">
            <v>Yuyun</v>
          </cell>
          <cell r="I3050" t="str">
            <v>Syahra</v>
          </cell>
          <cell r="J3050"/>
          <cell r="K3050" t="str">
            <v>KU</v>
          </cell>
          <cell r="L3050" t="str">
            <v>FAST07</v>
          </cell>
          <cell r="M3050" t="str">
            <v>Harry Santoso</v>
          </cell>
          <cell r="N3050" t="str">
            <v>Forum Agro Sukses Timur, PT</v>
          </cell>
          <cell r="O3050" t="str">
            <v>Jl. Merak No. 88 RT.001/RW.005, Kel. Jubung, Kec. Sukorambi</v>
          </cell>
          <cell r="P3050" t="str">
            <v>Jember</v>
          </cell>
          <cell r="Q3050" t="str">
            <v>Jl. Merak No. 88 RT.001/RW.005, Kel. Jubung, Kec. Sukorambi</v>
          </cell>
          <cell r="R3050" t="str">
            <v>Jember</v>
          </cell>
          <cell r="S3050" t="str">
            <v>J Group</v>
          </cell>
          <cell r="T3050" t="str">
            <v>Wira</v>
          </cell>
          <cell r="U3050">
            <v>30</v>
          </cell>
        </row>
        <row r="3051">
          <cell r="E3051" t="str">
            <v>D25015090</v>
          </cell>
          <cell r="F3051"/>
          <cell r="G3051">
            <v>12000000000</v>
          </cell>
          <cell r="H3051" t="str">
            <v>Yuyun</v>
          </cell>
          <cell r="I3051" t="str">
            <v>Syahra</v>
          </cell>
          <cell r="J3051"/>
          <cell r="K3051" t="str">
            <v>KU</v>
          </cell>
          <cell r="L3051" t="str">
            <v>FAST07</v>
          </cell>
          <cell r="M3051" t="str">
            <v>Harry Santoso</v>
          </cell>
          <cell r="N3051" t="str">
            <v>Forum Agro Sukses Timur, PT</v>
          </cell>
          <cell r="O3051" t="str">
            <v>Jl. Merak No. 88 RT.001/RW.005, Kel. Jubung, Kec. Sukorambi</v>
          </cell>
          <cell r="P3051" t="str">
            <v>Jember</v>
          </cell>
          <cell r="Q3051" t="str">
            <v>Jl. Merak No. 88 RT.001/RW.005, Kel. Jubung, Kec. Sukorambi</v>
          </cell>
          <cell r="R3051" t="str">
            <v>Jember</v>
          </cell>
          <cell r="S3051" t="str">
            <v>J Group</v>
          </cell>
          <cell r="T3051" t="str">
            <v>Wira</v>
          </cell>
          <cell r="U3051">
            <v>30</v>
          </cell>
        </row>
        <row r="3052">
          <cell r="E3052" t="str">
            <v>B25012830</v>
          </cell>
          <cell r="F3052"/>
          <cell r="G3052">
            <v>12000000000</v>
          </cell>
          <cell r="H3052" t="str">
            <v>Yuyun</v>
          </cell>
          <cell r="I3052" t="str">
            <v>Syahra</v>
          </cell>
          <cell r="J3052"/>
          <cell r="K3052" t="str">
            <v>KU</v>
          </cell>
          <cell r="L3052" t="str">
            <v>FAST07</v>
          </cell>
          <cell r="M3052" t="str">
            <v>Harry Santoso</v>
          </cell>
          <cell r="N3052" t="str">
            <v>Forum Agro Sukses Timur, PT</v>
          </cell>
          <cell r="O3052" t="str">
            <v>Jl. Merak No. 88 RT.001/RW.005, Kel. Jubung, Kec. Sukorambi</v>
          </cell>
          <cell r="P3052" t="str">
            <v>Jember</v>
          </cell>
          <cell r="Q3052" t="str">
            <v>Jl. Merak No. 88 RT.001/RW.005, Kel. Jubung, Kec. Sukorambi</v>
          </cell>
          <cell r="R3052" t="str">
            <v>Jember</v>
          </cell>
          <cell r="S3052" t="str">
            <v>J Group</v>
          </cell>
          <cell r="T3052" t="str">
            <v>Wira</v>
          </cell>
          <cell r="U3052">
            <v>30</v>
          </cell>
        </row>
        <row r="3053">
          <cell r="E3053" t="str">
            <v>B25012831</v>
          </cell>
          <cell r="F3053"/>
          <cell r="G3053">
            <v>12000000000</v>
          </cell>
          <cell r="H3053" t="str">
            <v>Yuyun</v>
          </cell>
          <cell r="I3053" t="str">
            <v>Syahra</v>
          </cell>
          <cell r="J3053"/>
          <cell r="K3053" t="str">
            <v>KU</v>
          </cell>
          <cell r="L3053" t="str">
            <v>FAST07</v>
          </cell>
          <cell r="M3053" t="str">
            <v>Harry Santoso</v>
          </cell>
          <cell r="N3053" t="str">
            <v>Forum Agro Sukses Timur, PT</v>
          </cell>
          <cell r="O3053" t="str">
            <v>Jl. Merak No. 88 RT.001/RW.005, Kel. Jubung, Kec. Sukorambi</v>
          </cell>
          <cell r="P3053" t="str">
            <v>Jember</v>
          </cell>
          <cell r="Q3053" t="str">
            <v>Jl. Merak No. 88 RT.001/RW.005, Kel. Jubung, Kec. Sukorambi</v>
          </cell>
          <cell r="R3053" t="str">
            <v>Jember</v>
          </cell>
          <cell r="S3053" t="str">
            <v>J Group</v>
          </cell>
          <cell r="T3053" t="str">
            <v>Wira</v>
          </cell>
          <cell r="U3053">
            <v>30</v>
          </cell>
        </row>
        <row r="3054">
          <cell r="E3054" t="str">
            <v>B25012855</v>
          </cell>
          <cell r="F3054"/>
          <cell r="G3054">
            <v>12000000000</v>
          </cell>
          <cell r="H3054" t="str">
            <v>Yuyun</v>
          </cell>
          <cell r="I3054" t="str">
            <v>Syahra</v>
          </cell>
          <cell r="J3054"/>
          <cell r="K3054" t="str">
            <v>KU</v>
          </cell>
          <cell r="L3054" t="str">
            <v>FAST07</v>
          </cell>
          <cell r="M3054" t="str">
            <v>Harry Santoso</v>
          </cell>
          <cell r="N3054" t="str">
            <v>Forum Agro Sukses Timur, PT</v>
          </cell>
          <cell r="O3054" t="str">
            <v>Jl. Merak No. 88 RT.001/RW.005, Kel. Jubung, Kec. Sukorambi</v>
          </cell>
          <cell r="P3054" t="str">
            <v>Jember</v>
          </cell>
          <cell r="Q3054" t="str">
            <v>Jl. Merak No. 88 RT.001/RW.005, Kel. Jubung, Kec. Sukorambi</v>
          </cell>
          <cell r="R3054" t="str">
            <v>Jember</v>
          </cell>
          <cell r="S3054" t="str">
            <v>J Group</v>
          </cell>
          <cell r="T3054" t="str">
            <v>Wira</v>
          </cell>
          <cell r="U3054">
            <v>30</v>
          </cell>
        </row>
        <row r="3055">
          <cell r="E3055" t="str">
            <v>B25012894</v>
          </cell>
          <cell r="F3055"/>
          <cell r="G3055">
            <v>12000000000</v>
          </cell>
          <cell r="H3055" t="str">
            <v>Yuyun</v>
          </cell>
          <cell r="I3055" t="str">
            <v>Syahra</v>
          </cell>
          <cell r="J3055"/>
          <cell r="K3055" t="str">
            <v>KU</v>
          </cell>
          <cell r="L3055" t="str">
            <v>FAST07</v>
          </cell>
          <cell r="M3055" t="str">
            <v>Harry Santoso</v>
          </cell>
          <cell r="N3055" t="str">
            <v>Forum Agro Sukses Timur, PT</v>
          </cell>
          <cell r="O3055" t="str">
            <v>Jl. Merak No. 88 RT.001/RW.005, Kel. Jubung, Kec. Sukorambi</v>
          </cell>
          <cell r="P3055" t="str">
            <v>Jember</v>
          </cell>
          <cell r="Q3055" t="str">
            <v>Jl. Merak No. 88 RT.001/RW.005, Kel. Jubung, Kec. Sukorambi</v>
          </cell>
          <cell r="R3055" t="str">
            <v>Jember</v>
          </cell>
          <cell r="S3055" t="str">
            <v>J Group</v>
          </cell>
          <cell r="T3055" t="str">
            <v>Wira</v>
          </cell>
          <cell r="U3055">
            <v>30</v>
          </cell>
        </row>
        <row r="3056">
          <cell r="E3056" t="str">
            <v>B25012895</v>
          </cell>
          <cell r="F3056"/>
          <cell r="G3056">
            <v>12000000000</v>
          </cell>
          <cell r="H3056" t="str">
            <v>Yuyun</v>
          </cell>
          <cell r="I3056" t="str">
            <v>Syahra</v>
          </cell>
          <cell r="J3056"/>
          <cell r="K3056" t="str">
            <v>KU</v>
          </cell>
          <cell r="L3056" t="str">
            <v>FAST07</v>
          </cell>
          <cell r="M3056" t="str">
            <v>Harry Santoso</v>
          </cell>
          <cell r="N3056" t="str">
            <v>Forum Agro Sukses Timur, PT</v>
          </cell>
          <cell r="O3056" t="str">
            <v>Jl. Merak No. 88 RT.001/RW.005, Kel. Jubung, Kec. Sukorambi</v>
          </cell>
          <cell r="P3056" t="str">
            <v>Jember</v>
          </cell>
          <cell r="Q3056" t="str">
            <v>Jl. Merak No. 88 RT.001/RW.005, Kel. Jubung, Kec. Sukorambi</v>
          </cell>
          <cell r="R3056" t="str">
            <v>Jember</v>
          </cell>
          <cell r="S3056" t="str">
            <v>J Group</v>
          </cell>
          <cell r="T3056" t="str">
            <v>Wira</v>
          </cell>
          <cell r="U3056">
            <v>30</v>
          </cell>
        </row>
        <row r="3057">
          <cell r="E3057" t="str">
            <v>B25012934</v>
          </cell>
          <cell r="F3057"/>
          <cell r="G3057">
            <v>12000000000</v>
          </cell>
          <cell r="H3057" t="str">
            <v>Yuyun</v>
          </cell>
          <cell r="I3057" t="str">
            <v>Syahra</v>
          </cell>
          <cell r="J3057"/>
          <cell r="K3057" t="str">
            <v>KU</v>
          </cell>
          <cell r="L3057" t="str">
            <v>FAST07</v>
          </cell>
          <cell r="M3057" t="str">
            <v>Harry Santoso</v>
          </cell>
          <cell r="N3057" t="str">
            <v>Forum Agro Sukses Timur, PT</v>
          </cell>
          <cell r="O3057" t="str">
            <v>Jl. Merak No. 88 RT.001/RW.005, Kel. Jubung, Kec. Sukorambi</v>
          </cell>
          <cell r="P3057" t="str">
            <v>Jember</v>
          </cell>
          <cell r="Q3057" t="str">
            <v>Jl. Merak No. 88 RT.001/RW.005, Kel. Jubung, Kec. Sukorambi</v>
          </cell>
          <cell r="R3057" t="str">
            <v>Jember</v>
          </cell>
          <cell r="S3057" t="str">
            <v>J Group</v>
          </cell>
          <cell r="T3057" t="str">
            <v>Wira</v>
          </cell>
          <cell r="U3057">
            <v>60</v>
          </cell>
        </row>
        <row r="3058">
          <cell r="E3058" t="str">
            <v>B25012970</v>
          </cell>
          <cell r="F3058"/>
          <cell r="G3058">
            <v>12000000000</v>
          </cell>
          <cell r="H3058" t="str">
            <v>Yuyun</v>
          </cell>
          <cell r="I3058" t="str">
            <v>Syahra</v>
          </cell>
          <cell r="J3058"/>
          <cell r="K3058" t="str">
            <v>KU</v>
          </cell>
          <cell r="L3058" t="str">
            <v>FAST07</v>
          </cell>
          <cell r="M3058" t="str">
            <v>Harry Santoso</v>
          </cell>
          <cell r="N3058" t="str">
            <v>Forum Agro Sukses Timur, PT</v>
          </cell>
          <cell r="O3058" t="str">
            <v>Jl. Merak No. 88 RT.001/RW.005, Kel. Jubung, Kec. Sukorambi</v>
          </cell>
          <cell r="P3058" t="str">
            <v>Jember</v>
          </cell>
          <cell r="Q3058" t="str">
            <v>Jl. Merak No. 88 RT.001/RW.005, Kel. Jubung, Kec. Sukorambi</v>
          </cell>
          <cell r="R3058" t="str">
            <v>Jember</v>
          </cell>
          <cell r="S3058" t="str">
            <v>J Group</v>
          </cell>
          <cell r="T3058" t="str">
            <v>Wira</v>
          </cell>
          <cell r="U3058">
            <v>30</v>
          </cell>
        </row>
        <row r="3059">
          <cell r="E3059" t="str">
            <v>B25012975</v>
          </cell>
          <cell r="F3059"/>
          <cell r="G3059">
            <v>12000000000</v>
          </cell>
          <cell r="H3059" t="str">
            <v>Yuyun</v>
          </cell>
          <cell r="I3059" t="str">
            <v>Syahra</v>
          </cell>
          <cell r="J3059"/>
          <cell r="K3059" t="str">
            <v>KU</v>
          </cell>
          <cell r="L3059" t="str">
            <v>FAST07</v>
          </cell>
          <cell r="M3059" t="str">
            <v>Harry Santoso</v>
          </cell>
          <cell r="N3059" t="str">
            <v>Forum Agro Sukses Timur, PT</v>
          </cell>
          <cell r="O3059" t="str">
            <v>Jl. Merak No. 88 RT.001/RW.005, Kel. Jubung, Kec. Sukorambi</v>
          </cell>
          <cell r="P3059" t="str">
            <v>Jember</v>
          </cell>
          <cell r="Q3059" t="str">
            <v>Jl. Merak No. 88 RT.001/RW.005, Kel. Jubung, Kec. Sukorambi</v>
          </cell>
          <cell r="R3059" t="str">
            <v>Jember</v>
          </cell>
          <cell r="S3059" t="str">
            <v>J Group</v>
          </cell>
          <cell r="T3059" t="str">
            <v>Wira</v>
          </cell>
          <cell r="U3059">
            <v>30</v>
          </cell>
        </row>
        <row r="3060">
          <cell r="E3060" t="str">
            <v>B25012990</v>
          </cell>
          <cell r="F3060"/>
          <cell r="G3060">
            <v>12000000000</v>
          </cell>
          <cell r="H3060" t="str">
            <v>Yuyun</v>
          </cell>
          <cell r="I3060" t="str">
            <v>Syahra</v>
          </cell>
          <cell r="J3060"/>
          <cell r="K3060" t="str">
            <v>KU</v>
          </cell>
          <cell r="L3060" t="str">
            <v>FAST07</v>
          </cell>
          <cell r="M3060" t="str">
            <v>Harry Santoso</v>
          </cell>
          <cell r="N3060" t="str">
            <v>Forum Agro Sukses Timur, PT</v>
          </cell>
          <cell r="O3060" t="str">
            <v>Jl. Merak No. 88 RT.001/RW.005, Kel. Jubung, Kec. Sukorambi</v>
          </cell>
          <cell r="P3060" t="str">
            <v>Jember</v>
          </cell>
          <cell r="Q3060" t="str">
            <v>Jl. Merak No. 88 RT.001/RW.005, Kel. Jubung, Kec. Sukorambi</v>
          </cell>
          <cell r="R3060" t="str">
            <v>Jember</v>
          </cell>
          <cell r="S3060" t="str">
            <v>J Group</v>
          </cell>
          <cell r="T3060" t="str">
            <v>Wira</v>
          </cell>
          <cell r="U3060">
            <v>30</v>
          </cell>
        </row>
        <row r="3061">
          <cell r="E3061" t="str">
            <v>D25015273</v>
          </cell>
          <cell r="F3061"/>
          <cell r="G3061">
            <v>12000000000</v>
          </cell>
          <cell r="H3061" t="str">
            <v>Yuyun</v>
          </cell>
          <cell r="I3061" t="str">
            <v>Syahra</v>
          </cell>
          <cell r="J3061"/>
          <cell r="K3061" t="str">
            <v>KU</v>
          </cell>
          <cell r="L3061" t="str">
            <v>FAST07</v>
          </cell>
          <cell r="M3061" t="str">
            <v>Harry Santoso</v>
          </cell>
          <cell r="N3061" t="str">
            <v>Forum Agro Sukses Timur, PT</v>
          </cell>
          <cell r="O3061" t="str">
            <v>Jl. Merak No. 88 RT.001/RW.005, Kel. Jubung, Kec. Sukorambi</v>
          </cell>
          <cell r="P3061" t="str">
            <v>Jember</v>
          </cell>
          <cell r="Q3061" t="str">
            <v>Jl. Merak No. 88 RT.001/RW.005, Kel. Jubung, Kec. Sukorambi</v>
          </cell>
          <cell r="R3061" t="str">
            <v>Jember</v>
          </cell>
          <cell r="S3061" t="str">
            <v>J Group</v>
          </cell>
          <cell r="T3061" t="str">
            <v>Wira</v>
          </cell>
          <cell r="U3061">
            <v>30</v>
          </cell>
        </row>
        <row r="3062">
          <cell r="E3062" t="str">
            <v>D25015347</v>
          </cell>
          <cell r="F3062"/>
          <cell r="G3062">
            <v>12000000000</v>
          </cell>
          <cell r="H3062" t="str">
            <v>Yuyun</v>
          </cell>
          <cell r="I3062" t="str">
            <v>Syahra</v>
          </cell>
          <cell r="J3062"/>
          <cell r="K3062" t="str">
            <v>KU</v>
          </cell>
          <cell r="L3062" t="str">
            <v>FAST07</v>
          </cell>
          <cell r="M3062" t="str">
            <v>Harry Santoso</v>
          </cell>
          <cell r="N3062" t="str">
            <v>Forum Agro Sukses Timur, PT</v>
          </cell>
          <cell r="O3062" t="str">
            <v>Jl. Merak No. 88 RT.001/RW.005, Kel. Jubung, Kec. Sukorambi</v>
          </cell>
          <cell r="P3062" t="str">
            <v>Jember</v>
          </cell>
          <cell r="Q3062" t="str">
            <v>Jl. Merak No. 88 RT.001/RW.005, Kel. Jubung, Kec. Sukorambi</v>
          </cell>
          <cell r="R3062" t="str">
            <v>Jember</v>
          </cell>
          <cell r="S3062" t="str">
            <v>J Group</v>
          </cell>
          <cell r="T3062" t="str">
            <v>Wira</v>
          </cell>
          <cell r="U3062">
            <v>30</v>
          </cell>
        </row>
        <row r="3063">
          <cell r="E3063" t="str">
            <v>D25015348</v>
          </cell>
          <cell r="F3063"/>
          <cell r="G3063">
            <v>12000000000</v>
          </cell>
          <cell r="H3063" t="str">
            <v>Yuyun</v>
          </cell>
          <cell r="I3063" t="str">
            <v>Syahra</v>
          </cell>
          <cell r="J3063"/>
          <cell r="K3063" t="str">
            <v>KU</v>
          </cell>
          <cell r="L3063" t="str">
            <v>FAST07</v>
          </cell>
          <cell r="M3063" t="str">
            <v>Harry Santoso</v>
          </cell>
          <cell r="N3063" t="str">
            <v>Forum Agro Sukses Timur, PT</v>
          </cell>
          <cell r="O3063" t="str">
            <v>Jl. Merak No. 88 RT.001/RW.005, Kel. Jubung, Kec. Sukorambi</v>
          </cell>
          <cell r="P3063" t="str">
            <v>Jember</v>
          </cell>
          <cell r="Q3063" t="str">
            <v>Jl. Merak No. 88 RT.001/RW.005, Kel. Jubung, Kec. Sukorambi</v>
          </cell>
          <cell r="R3063" t="str">
            <v>Jember</v>
          </cell>
          <cell r="S3063" t="str">
            <v>J Group</v>
          </cell>
          <cell r="T3063" t="str">
            <v>Wira</v>
          </cell>
          <cell r="U3063">
            <v>30</v>
          </cell>
        </row>
        <row r="3064">
          <cell r="E3064" t="str">
            <v>D25015452</v>
          </cell>
          <cell r="F3064"/>
          <cell r="G3064">
            <v>12000000000</v>
          </cell>
          <cell r="H3064" t="str">
            <v>Yuyun</v>
          </cell>
          <cell r="I3064" t="str">
            <v>Syahra</v>
          </cell>
          <cell r="J3064"/>
          <cell r="K3064" t="str">
            <v>KU</v>
          </cell>
          <cell r="L3064" t="str">
            <v>FAST07</v>
          </cell>
          <cell r="M3064" t="str">
            <v>Harry Santoso</v>
          </cell>
          <cell r="N3064" t="str">
            <v>Forum Agro Sukses Timur, PT</v>
          </cell>
          <cell r="O3064" t="str">
            <v>Jl. Merak No. 88 RT.001/RW.005, Kel. Jubung, Kec. Sukorambi</v>
          </cell>
          <cell r="P3064" t="str">
            <v>Jember</v>
          </cell>
          <cell r="Q3064" t="str">
            <v>Jl. Merak No. 88 RT.001/RW.005, Kel. Jubung, Kec. Sukorambi</v>
          </cell>
          <cell r="R3064" t="str">
            <v>Jember</v>
          </cell>
          <cell r="S3064" t="str">
            <v>J Group</v>
          </cell>
          <cell r="T3064" t="str">
            <v>Wira</v>
          </cell>
          <cell r="U3064">
            <v>30</v>
          </cell>
        </row>
        <row r="3065">
          <cell r="E3065" t="str">
            <v>D25015453</v>
          </cell>
          <cell r="F3065"/>
          <cell r="G3065">
            <v>12000000000</v>
          </cell>
          <cell r="H3065" t="str">
            <v>Yuyun</v>
          </cell>
          <cell r="I3065" t="str">
            <v>Syahra</v>
          </cell>
          <cell r="J3065"/>
          <cell r="K3065" t="str">
            <v>KU</v>
          </cell>
          <cell r="L3065" t="str">
            <v>FAST07</v>
          </cell>
          <cell r="M3065" t="str">
            <v>Harry Santoso</v>
          </cell>
          <cell r="N3065" t="str">
            <v>Forum Agro Sukses Timur, PT</v>
          </cell>
          <cell r="O3065" t="str">
            <v>Jl. Merak No. 88 RT.001/RW.005, Kel. Jubung, Kec. Sukorambi</v>
          </cell>
          <cell r="P3065" t="str">
            <v>Jember</v>
          </cell>
          <cell r="Q3065" t="str">
            <v>Jl. Merak No. 88 RT.001/RW.005, Kel. Jubung, Kec. Sukorambi</v>
          </cell>
          <cell r="R3065" t="str">
            <v>Jember</v>
          </cell>
          <cell r="S3065" t="str">
            <v>J Group</v>
          </cell>
          <cell r="T3065" t="str">
            <v>Wira</v>
          </cell>
          <cell r="U3065">
            <v>30</v>
          </cell>
        </row>
        <row r="3066">
          <cell r="E3066" t="str">
            <v>B25013205</v>
          </cell>
          <cell r="F3066"/>
          <cell r="G3066">
            <v>12000000000</v>
          </cell>
          <cell r="H3066" t="str">
            <v>Yuyun</v>
          </cell>
          <cell r="I3066" t="str">
            <v>Syahra</v>
          </cell>
          <cell r="J3066"/>
          <cell r="K3066" t="str">
            <v>KU</v>
          </cell>
          <cell r="L3066" t="str">
            <v>FAST07</v>
          </cell>
          <cell r="M3066" t="str">
            <v>Harry Santoso</v>
          </cell>
          <cell r="N3066" t="str">
            <v>Forum Agro Sukses Timur, PT</v>
          </cell>
          <cell r="O3066" t="str">
            <v>Jl. Merak No. 88 RT.001/RW.005, Kel. Jubung, Kec. Sukorambi</v>
          </cell>
          <cell r="P3066" t="str">
            <v>Jember</v>
          </cell>
          <cell r="Q3066" t="str">
            <v>Jl. Merak No. 88 RT.001/RW.005, Kel. Jubung, Kec. Sukorambi</v>
          </cell>
          <cell r="R3066" t="str">
            <v>Jember</v>
          </cell>
          <cell r="S3066" t="str">
            <v>J Group</v>
          </cell>
          <cell r="T3066" t="str">
            <v>Wira</v>
          </cell>
          <cell r="U3066">
            <v>30</v>
          </cell>
        </row>
        <row r="3067">
          <cell r="E3067" t="str">
            <v>B25013224</v>
          </cell>
          <cell r="F3067"/>
          <cell r="G3067">
            <v>12000000000</v>
          </cell>
          <cell r="H3067" t="str">
            <v>Yuyun</v>
          </cell>
          <cell r="I3067" t="str">
            <v>Syahra</v>
          </cell>
          <cell r="J3067"/>
          <cell r="K3067" t="str">
            <v>KU</v>
          </cell>
          <cell r="L3067" t="str">
            <v>FAST07</v>
          </cell>
          <cell r="M3067" t="str">
            <v>Harry Santoso</v>
          </cell>
          <cell r="N3067" t="str">
            <v>Forum Agro Sukses Timur, PT</v>
          </cell>
          <cell r="O3067" t="str">
            <v>Jl. Merak No. 88 RT.001/RW.005, Kel. Jubung, Kec. Sukorambi</v>
          </cell>
          <cell r="P3067" t="str">
            <v>Jember</v>
          </cell>
          <cell r="Q3067" t="str">
            <v>Jl. Merak No. 88 RT.001/RW.005, Kel. Jubung, Kec. Sukorambi</v>
          </cell>
          <cell r="R3067" t="str">
            <v>Jember</v>
          </cell>
          <cell r="S3067" t="str">
            <v>J Group</v>
          </cell>
          <cell r="T3067" t="str">
            <v>Wira</v>
          </cell>
          <cell r="U3067">
            <v>60</v>
          </cell>
        </row>
        <row r="3068">
          <cell r="E3068" t="str">
            <v>B25013356</v>
          </cell>
          <cell r="F3068"/>
          <cell r="G3068">
            <v>12000000000</v>
          </cell>
          <cell r="H3068" t="str">
            <v>Yuyun</v>
          </cell>
          <cell r="I3068" t="str">
            <v>Syahra</v>
          </cell>
          <cell r="J3068"/>
          <cell r="K3068" t="str">
            <v>KU</v>
          </cell>
          <cell r="L3068" t="str">
            <v>FAST07</v>
          </cell>
          <cell r="M3068" t="str">
            <v>Harry Santoso</v>
          </cell>
          <cell r="N3068" t="str">
            <v>Forum Agro Sukses Timur, PT</v>
          </cell>
          <cell r="O3068" t="str">
            <v>Jl. Merak No. 88 RT.001/RW.005, Kel. Jubung, Kec. Sukorambi</v>
          </cell>
          <cell r="P3068" t="str">
            <v>Jember</v>
          </cell>
          <cell r="Q3068" t="str">
            <v>Jl. Merak No. 88 RT.001/RW.005, Kel. Jubung, Kec. Sukorambi</v>
          </cell>
          <cell r="R3068" t="str">
            <v>Jember</v>
          </cell>
          <cell r="S3068" t="str">
            <v>J Group</v>
          </cell>
          <cell r="T3068" t="str">
            <v>Wira</v>
          </cell>
          <cell r="U3068">
            <v>30</v>
          </cell>
        </row>
        <row r="3069">
          <cell r="E3069" t="str">
            <v>B25013357</v>
          </cell>
          <cell r="F3069"/>
          <cell r="G3069">
            <v>12000000000</v>
          </cell>
          <cell r="H3069" t="str">
            <v>Yuyun</v>
          </cell>
          <cell r="I3069" t="str">
            <v>Syahra</v>
          </cell>
          <cell r="J3069"/>
          <cell r="K3069" t="str">
            <v>KU</v>
          </cell>
          <cell r="L3069" t="str">
            <v>FAST07</v>
          </cell>
          <cell r="M3069" t="str">
            <v>Harry Santoso</v>
          </cell>
          <cell r="N3069" t="str">
            <v>Forum Agro Sukses Timur, PT</v>
          </cell>
          <cell r="O3069" t="str">
            <v>Jl. Merak No. 88 RT.001/RW.005, Kel. Jubung, Kec. Sukorambi</v>
          </cell>
          <cell r="P3069" t="str">
            <v>Jember</v>
          </cell>
          <cell r="Q3069" t="str">
            <v>Jl. Merak No. 88 RT.001/RW.005, Kel. Jubung, Kec. Sukorambi</v>
          </cell>
          <cell r="R3069" t="str">
            <v>Jember</v>
          </cell>
          <cell r="S3069" t="str">
            <v>J Group</v>
          </cell>
          <cell r="T3069" t="str">
            <v>Wira</v>
          </cell>
          <cell r="U3069">
            <v>30</v>
          </cell>
        </row>
        <row r="3070">
          <cell r="E3070" t="str">
            <v>D25015592</v>
          </cell>
          <cell r="F3070"/>
          <cell r="G3070">
            <v>12000000000</v>
          </cell>
          <cell r="H3070" t="str">
            <v>Yuyun</v>
          </cell>
          <cell r="I3070" t="str">
            <v>Syahra</v>
          </cell>
          <cell r="J3070"/>
          <cell r="K3070" t="str">
            <v>KU</v>
          </cell>
          <cell r="L3070" t="str">
            <v>FAST07</v>
          </cell>
          <cell r="M3070" t="str">
            <v>Harry Santoso</v>
          </cell>
          <cell r="N3070" t="str">
            <v>Forum Agro Sukses Timur, PT</v>
          </cell>
          <cell r="O3070" t="str">
            <v>Jl. Merak No. 88 RT.001/RW.005, Kel. Jubung, Kec. Sukorambi</v>
          </cell>
          <cell r="P3070" t="str">
            <v>Jember</v>
          </cell>
          <cell r="Q3070" t="str">
            <v>Jl. Merak No. 88 RT.001/RW.005, Kel. Jubung, Kec. Sukorambi</v>
          </cell>
          <cell r="R3070" t="str">
            <v>Jember</v>
          </cell>
          <cell r="S3070" t="str">
            <v>J Group</v>
          </cell>
          <cell r="T3070" t="str">
            <v>Wira</v>
          </cell>
          <cell r="U3070">
            <v>0</v>
          </cell>
        </row>
        <row r="3071">
          <cell r="E3071" t="str">
            <v>D25015592</v>
          </cell>
          <cell r="F3071"/>
          <cell r="G3071">
            <v>12000000000</v>
          </cell>
          <cell r="H3071" t="str">
            <v>Yuyun</v>
          </cell>
          <cell r="I3071" t="str">
            <v>Syahra</v>
          </cell>
          <cell r="J3071"/>
          <cell r="K3071" t="str">
            <v>KU</v>
          </cell>
          <cell r="L3071" t="str">
            <v>FAST07</v>
          </cell>
          <cell r="M3071" t="str">
            <v>Harry Santoso</v>
          </cell>
          <cell r="N3071" t="str">
            <v>Forum Agro Sukses Timur, PT</v>
          </cell>
          <cell r="O3071" t="str">
            <v>Jl. Merak No. 88 RT.001/RW.005, Kel. Jubung, Kec. Sukorambi</v>
          </cell>
          <cell r="P3071" t="str">
            <v>Jember</v>
          </cell>
          <cell r="Q3071" t="str">
            <v>Jl. Merak No. 88 RT.001/RW.005, Kel. Jubung, Kec. Sukorambi</v>
          </cell>
          <cell r="R3071" t="str">
            <v>Jember</v>
          </cell>
          <cell r="S3071" t="str">
            <v>J Group</v>
          </cell>
          <cell r="T3071" t="str">
            <v>Wira</v>
          </cell>
          <cell r="U3071">
            <v>0</v>
          </cell>
        </row>
        <row r="3072">
          <cell r="E3072" t="str">
            <v>B25013474</v>
          </cell>
          <cell r="F3072"/>
          <cell r="G3072">
            <v>12000000000</v>
          </cell>
          <cell r="H3072" t="str">
            <v>Yuyun</v>
          </cell>
          <cell r="I3072" t="str">
            <v>Syahra</v>
          </cell>
          <cell r="J3072"/>
          <cell r="K3072" t="str">
            <v>KU</v>
          </cell>
          <cell r="L3072" t="str">
            <v>FAST07</v>
          </cell>
          <cell r="M3072" t="str">
            <v>Harry Santoso</v>
          </cell>
          <cell r="N3072" t="str">
            <v>Forum Agro Sukses Timur, PT</v>
          </cell>
          <cell r="O3072" t="str">
            <v>Jl. Merak No. 88 RT.001/RW.005, Kel. Jubung, Kec. Sukorambi</v>
          </cell>
          <cell r="P3072" t="str">
            <v>Jember</v>
          </cell>
          <cell r="Q3072" t="str">
            <v>Jl. Merak No. 88 RT.001/RW.005, Kel. Jubung, Kec. Sukorambi</v>
          </cell>
          <cell r="R3072" t="str">
            <v>Jember</v>
          </cell>
          <cell r="S3072" t="str">
            <v>J Group</v>
          </cell>
          <cell r="T3072" t="str">
            <v>Wira</v>
          </cell>
          <cell r="U3072">
            <v>30</v>
          </cell>
        </row>
        <row r="3073">
          <cell r="E3073" t="str">
            <v>B25013484</v>
          </cell>
          <cell r="F3073"/>
          <cell r="G3073">
            <v>12000000000</v>
          </cell>
          <cell r="H3073" t="str">
            <v>Yuyun</v>
          </cell>
          <cell r="I3073" t="str">
            <v>Syahra</v>
          </cell>
          <cell r="J3073"/>
          <cell r="K3073" t="str">
            <v>KU</v>
          </cell>
          <cell r="L3073" t="str">
            <v>FAST07</v>
          </cell>
          <cell r="M3073" t="str">
            <v>Harry Santoso</v>
          </cell>
          <cell r="N3073" t="str">
            <v>Forum Agro Sukses Timur, PT</v>
          </cell>
          <cell r="O3073" t="str">
            <v>Jl. Merak No. 88 RT.001/RW.005, Kel. Jubung, Kec. Sukorambi</v>
          </cell>
          <cell r="P3073" t="str">
            <v>Jember</v>
          </cell>
          <cell r="Q3073" t="str">
            <v>Jl. Merak No. 88 RT.001/RW.005, Kel. Jubung, Kec. Sukorambi</v>
          </cell>
          <cell r="R3073" t="str">
            <v>Jember</v>
          </cell>
          <cell r="S3073" t="str">
            <v>J Group</v>
          </cell>
          <cell r="T3073" t="str">
            <v>Wira</v>
          </cell>
          <cell r="U3073">
            <v>0</v>
          </cell>
        </row>
        <row r="3074">
          <cell r="E3074" t="str">
            <v>B25013484</v>
          </cell>
          <cell r="F3074"/>
          <cell r="G3074">
            <v>12000000000</v>
          </cell>
          <cell r="H3074" t="str">
            <v>Yuyun</v>
          </cell>
          <cell r="I3074" t="str">
            <v>Syahra</v>
          </cell>
          <cell r="J3074"/>
          <cell r="K3074" t="str">
            <v>KU</v>
          </cell>
          <cell r="L3074" t="str">
            <v>FAST07</v>
          </cell>
          <cell r="M3074" t="str">
            <v>Harry Santoso</v>
          </cell>
          <cell r="N3074" t="str">
            <v>Forum Agro Sukses Timur, PT</v>
          </cell>
          <cell r="O3074" t="str">
            <v>Jl. Merak No. 88 RT.001/RW.005, Kel. Jubung, Kec. Sukorambi</v>
          </cell>
          <cell r="P3074" t="str">
            <v>Jember</v>
          </cell>
          <cell r="Q3074" t="str">
            <v>Jl. Merak No. 88 RT.001/RW.005, Kel. Jubung, Kec. Sukorambi</v>
          </cell>
          <cell r="R3074" t="str">
            <v>Jember</v>
          </cell>
          <cell r="S3074" t="str">
            <v>J Group</v>
          </cell>
          <cell r="T3074" t="str">
            <v>Wira</v>
          </cell>
          <cell r="U3074">
            <v>0</v>
          </cell>
        </row>
        <row r="3075">
          <cell r="E3075" t="str">
            <v>D25015741</v>
          </cell>
          <cell r="F3075"/>
          <cell r="G3075">
            <v>12000000000</v>
          </cell>
          <cell r="H3075" t="str">
            <v>Yuyun</v>
          </cell>
          <cell r="I3075" t="str">
            <v>Syahra</v>
          </cell>
          <cell r="J3075"/>
          <cell r="K3075" t="str">
            <v>KU</v>
          </cell>
          <cell r="L3075" t="str">
            <v>FAST07</v>
          </cell>
          <cell r="M3075" t="str">
            <v>Harry Santoso</v>
          </cell>
          <cell r="N3075" t="str">
            <v>Forum Agro Sukses Timur, PT</v>
          </cell>
          <cell r="O3075" t="str">
            <v>Jl. Merak No. 88 RT.001/RW.005, Kel. Jubung, Kec. Sukorambi</v>
          </cell>
          <cell r="P3075" t="str">
            <v>Jember</v>
          </cell>
          <cell r="Q3075" t="str">
            <v>Jl. Merak No. 88 RT.001/RW.005, Kel. Jubung, Kec. Sukorambi</v>
          </cell>
          <cell r="R3075" t="str">
            <v>Jember</v>
          </cell>
          <cell r="S3075" t="str">
            <v>J Group</v>
          </cell>
          <cell r="T3075" t="str">
            <v>Wira</v>
          </cell>
          <cell r="U3075">
            <v>30</v>
          </cell>
        </row>
        <row r="3076">
          <cell r="E3076" t="str">
            <v>D25015888</v>
          </cell>
          <cell r="F3076"/>
          <cell r="G3076">
            <v>12000000000</v>
          </cell>
          <cell r="H3076" t="str">
            <v>Yuyun</v>
          </cell>
          <cell r="I3076" t="str">
            <v>Syahra</v>
          </cell>
          <cell r="J3076"/>
          <cell r="K3076" t="str">
            <v>KU</v>
          </cell>
          <cell r="L3076" t="str">
            <v>FAST07</v>
          </cell>
          <cell r="M3076" t="str">
            <v>Harry Santoso</v>
          </cell>
          <cell r="N3076" t="str">
            <v>Forum Agro Sukses Timur, PT</v>
          </cell>
          <cell r="O3076" t="str">
            <v>Jl. Merak No. 88 RT.001/RW.005, Kel. Jubung, Kec. Sukorambi</v>
          </cell>
          <cell r="P3076" t="str">
            <v>Jember</v>
          </cell>
          <cell r="Q3076" t="str">
            <v>Jl. Merak No. 88 RT.001/RW.005, Kel. Jubung, Kec. Sukorambi</v>
          </cell>
          <cell r="R3076" t="str">
            <v>Jember</v>
          </cell>
          <cell r="S3076" t="str">
            <v>J Group</v>
          </cell>
          <cell r="T3076" t="str">
            <v>Wira</v>
          </cell>
          <cell r="U3076">
            <v>30</v>
          </cell>
        </row>
        <row r="3077">
          <cell r="E3077" t="str">
            <v>D25015889</v>
          </cell>
          <cell r="F3077"/>
          <cell r="G3077">
            <v>12000000000</v>
          </cell>
          <cell r="H3077" t="str">
            <v>Yuyun</v>
          </cell>
          <cell r="I3077" t="str">
            <v>Syahra</v>
          </cell>
          <cell r="J3077"/>
          <cell r="K3077" t="str">
            <v>KU</v>
          </cell>
          <cell r="L3077" t="str">
            <v>FAST07</v>
          </cell>
          <cell r="M3077" t="str">
            <v>Harry Santoso</v>
          </cell>
          <cell r="N3077" t="str">
            <v>Forum Agro Sukses Timur, PT</v>
          </cell>
          <cell r="O3077" t="str">
            <v>Jl. Merak No. 88 RT.001/RW.005, Kel. Jubung, Kec. Sukorambi</v>
          </cell>
          <cell r="P3077" t="str">
            <v>Jember</v>
          </cell>
          <cell r="Q3077" t="str">
            <v>Jl. Merak No. 88 RT.001/RW.005, Kel. Jubung, Kec. Sukorambi</v>
          </cell>
          <cell r="R3077" t="str">
            <v>Jember</v>
          </cell>
          <cell r="S3077" t="str">
            <v>J Group</v>
          </cell>
          <cell r="T3077" t="str">
            <v>Wira</v>
          </cell>
          <cell r="U3077">
            <v>30</v>
          </cell>
        </row>
        <row r="3078">
          <cell r="E3078" t="str">
            <v>D25015961</v>
          </cell>
          <cell r="F3078"/>
          <cell r="G3078">
            <v>12000000000</v>
          </cell>
          <cell r="H3078" t="str">
            <v>Yuyun</v>
          </cell>
          <cell r="I3078" t="str">
            <v>Syahra</v>
          </cell>
          <cell r="J3078"/>
          <cell r="K3078" t="str">
            <v>KU</v>
          </cell>
          <cell r="L3078" t="str">
            <v>FAST07</v>
          </cell>
          <cell r="M3078" t="str">
            <v>Harry Santoso</v>
          </cell>
          <cell r="N3078" t="str">
            <v>Forum Agro Sukses Timur, PT</v>
          </cell>
          <cell r="O3078" t="str">
            <v>Jl. Merak No. 88 RT.001/RW.005, Kel. Jubung, Kec. Sukorambi</v>
          </cell>
          <cell r="P3078" t="str">
            <v>Jember</v>
          </cell>
          <cell r="Q3078" t="str">
            <v>Jl. Merak No. 88 RT.001/RW.005, Kel. Jubung, Kec. Sukorambi</v>
          </cell>
          <cell r="R3078" t="str">
            <v>Jember</v>
          </cell>
          <cell r="S3078" t="str">
            <v>J Group</v>
          </cell>
          <cell r="T3078" t="str">
            <v>Wira</v>
          </cell>
          <cell r="U3078">
            <v>30</v>
          </cell>
        </row>
        <row r="3079">
          <cell r="E3079" t="str">
            <v>D25016042</v>
          </cell>
          <cell r="F3079"/>
          <cell r="G3079">
            <v>12000000000</v>
          </cell>
          <cell r="H3079" t="str">
            <v>Yuyun</v>
          </cell>
          <cell r="I3079" t="str">
            <v>Syahra</v>
          </cell>
          <cell r="J3079"/>
          <cell r="K3079" t="str">
            <v>KU</v>
          </cell>
          <cell r="L3079" t="str">
            <v>FAST07</v>
          </cell>
          <cell r="M3079" t="str">
            <v>Harry Santoso</v>
          </cell>
          <cell r="N3079" t="str">
            <v>Forum Agro Sukses Timur, PT</v>
          </cell>
          <cell r="O3079" t="str">
            <v>Jl. Merak No. 88 RT.001/RW.005, Kel. Jubung, Kec. Sukorambi</v>
          </cell>
          <cell r="P3079" t="str">
            <v>Jember</v>
          </cell>
          <cell r="Q3079" t="str">
            <v>Jl. Merak No. 88 RT.001/RW.005, Kel. Jubung, Kec. Sukorambi</v>
          </cell>
          <cell r="R3079" t="str">
            <v>Jember</v>
          </cell>
          <cell r="S3079" t="str">
            <v>J Group</v>
          </cell>
          <cell r="T3079" t="str">
            <v>Wira</v>
          </cell>
          <cell r="U3079">
            <v>0</v>
          </cell>
        </row>
        <row r="3080">
          <cell r="E3080" t="str">
            <v>D25016043</v>
          </cell>
          <cell r="F3080"/>
          <cell r="G3080">
            <v>12000000000</v>
          </cell>
          <cell r="H3080" t="str">
            <v>Yuyun</v>
          </cell>
          <cell r="I3080" t="str">
            <v>Syahra</v>
          </cell>
          <cell r="J3080"/>
          <cell r="K3080" t="str">
            <v>KU</v>
          </cell>
          <cell r="L3080" t="str">
            <v>FAST07</v>
          </cell>
          <cell r="M3080" t="str">
            <v>Harry Santoso</v>
          </cell>
          <cell r="N3080" t="str">
            <v>Forum Agro Sukses Timur, PT</v>
          </cell>
          <cell r="O3080" t="str">
            <v>Jl. Merak No. 88 RT.001/RW.005, Kel. Jubung, Kec. Sukorambi</v>
          </cell>
          <cell r="P3080" t="str">
            <v>Jember</v>
          </cell>
          <cell r="Q3080" t="str">
            <v>Jl. Merak No. 88 RT.001/RW.005, Kel. Jubung, Kec. Sukorambi</v>
          </cell>
          <cell r="R3080" t="str">
            <v>Jember</v>
          </cell>
          <cell r="S3080" t="str">
            <v>J Group</v>
          </cell>
          <cell r="T3080" t="str">
            <v>Wira</v>
          </cell>
          <cell r="U3080">
            <v>30</v>
          </cell>
        </row>
        <row r="3081">
          <cell r="E3081" t="str">
            <v>B25013759</v>
          </cell>
          <cell r="F3081"/>
          <cell r="G3081">
            <v>12000000000</v>
          </cell>
          <cell r="H3081" t="str">
            <v>Yuyun</v>
          </cell>
          <cell r="I3081" t="str">
            <v>Syahra</v>
          </cell>
          <cell r="J3081"/>
          <cell r="K3081" t="str">
            <v>KU</v>
          </cell>
          <cell r="L3081" t="str">
            <v>FAST07</v>
          </cell>
          <cell r="M3081" t="str">
            <v>Harry Santoso</v>
          </cell>
          <cell r="N3081" t="str">
            <v>Forum Agro Sukses Timur, PT</v>
          </cell>
          <cell r="O3081" t="str">
            <v>Jl. Merak No. 88 RT.001/RW.005, Kel. Jubung, Kec. Sukorambi</v>
          </cell>
          <cell r="P3081" t="str">
            <v>Jember</v>
          </cell>
          <cell r="Q3081" t="str">
            <v>Jl. Merak No. 88 RT.001/RW.005, Kel. Jubung, Kec. Sukorambi</v>
          </cell>
          <cell r="R3081" t="str">
            <v>Jember</v>
          </cell>
          <cell r="S3081" t="str">
            <v>J Group</v>
          </cell>
          <cell r="T3081" t="str">
            <v>Wira</v>
          </cell>
          <cell r="U3081">
            <v>30</v>
          </cell>
        </row>
        <row r="3082">
          <cell r="E3082" t="str">
            <v>B25013836</v>
          </cell>
          <cell r="F3082"/>
          <cell r="G3082">
            <v>12000000000</v>
          </cell>
          <cell r="H3082" t="str">
            <v>Yuyun</v>
          </cell>
          <cell r="I3082" t="str">
            <v>Syahra</v>
          </cell>
          <cell r="J3082"/>
          <cell r="K3082" t="str">
            <v>KU</v>
          </cell>
          <cell r="L3082" t="str">
            <v>FAST07</v>
          </cell>
          <cell r="M3082" t="str">
            <v>Harry Santoso</v>
          </cell>
          <cell r="N3082" t="str">
            <v>Forum Agro Sukses Timur, PT</v>
          </cell>
          <cell r="O3082" t="str">
            <v>Jl. Merak No. 88 RT.001/RW.005, Kel. Jubung, Kec. Sukorambi</v>
          </cell>
          <cell r="P3082" t="str">
            <v>Jember</v>
          </cell>
          <cell r="Q3082" t="str">
            <v>Jl. Merak No. 88 RT.001/RW.005, Kel. Jubung, Kec. Sukorambi</v>
          </cell>
          <cell r="R3082" t="str">
            <v>Jember</v>
          </cell>
          <cell r="S3082" t="str">
            <v>J Group</v>
          </cell>
          <cell r="T3082" t="str">
            <v>Wira</v>
          </cell>
          <cell r="U3082">
            <v>30</v>
          </cell>
        </row>
        <row r="3083">
          <cell r="E3083" t="str">
            <v>B25013837</v>
          </cell>
          <cell r="F3083"/>
          <cell r="G3083">
            <v>12000000000</v>
          </cell>
          <cell r="H3083" t="str">
            <v>Yuyun</v>
          </cell>
          <cell r="I3083" t="str">
            <v>Syahra</v>
          </cell>
          <cell r="J3083"/>
          <cell r="K3083" t="str">
            <v>KU</v>
          </cell>
          <cell r="L3083" t="str">
            <v>FAST07</v>
          </cell>
          <cell r="M3083" t="str">
            <v>Harry Santoso</v>
          </cell>
          <cell r="N3083" t="str">
            <v>Forum Agro Sukses Timur, PT</v>
          </cell>
          <cell r="O3083" t="str">
            <v>Jl. Merak No. 88 RT.001/RW.005, Kel. Jubung, Kec. Sukorambi</v>
          </cell>
          <cell r="P3083" t="str">
            <v>Jember</v>
          </cell>
          <cell r="Q3083" t="str">
            <v>Jl. Merak No. 88 RT.001/RW.005, Kel. Jubung, Kec. Sukorambi</v>
          </cell>
          <cell r="R3083" t="str">
            <v>Jember</v>
          </cell>
          <cell r="S3083" t="str">
            <v>J Group</v>
          </cell>
          <cell r="T3083" t="str">
            <v>Wira</v>
          </cell>
          <cell r="U3083">
            <v>30</v>
          </cell>
        </row>
        <row r="3084">
          <cell r="E3084" t="str">
            <v>B25013917</v>
          </cell>
          <cell r="F3084"/>
          <cell r="G3084">
            <v>12000000000</v>
          </cell>
          <cell r="H3084" t="str">
            <v>Yuyun</v>
          </cell>
          <cell r="I3084" t="str">
            <v>Syahra</v>
          </cell>
          <cell r="J3084"/>
          <cell r="K3084" t="str">
            <v>KU</v>
          </cell>
          <cell r="L3084" t="str">
            <v>FAST07</v>
          </cell>
          <cell r="M3084" t="str">
            <v>Harry Santoso</v>
          </cell>
          <cell r="N3084" t="str">
            <v>Forum Agro Sukses Timur, PT</v>
          </cell>
          <cell r="O3084" t="str">
            <v>Jl. Merak No. 88 RT.001/RW.005, Kel. Jubung, Kec. Sukorambi</v>
          </cell>
          <cell r="P3084" t="str">
            <v>Jember</v>
          </cell>
          <cell r="Q3084" t="str">
            <v>Jl. Merak No. 88 RT.001/RW.005, Kel. Jubung, Kec. Sukorambi</v>
          </cell>
          <cell r="R3084" t="str">
            <v>Jember</v>
          </cell>
          <cell r="S3084" t="str">
            <v>J Group</v>
          </cell>
          <cell r="T3084" t="str">
            <v>Wira</v>
          </cell>
          <cell r="U3084">
            <v>30</v>
          </cell>
        </row>
        <row r="3085">
          <cell r="E3085" t="str">
            <v>B25013980</v>
          </cell>
          <cell r="F3085"/>
          <cell r="G3085">
            <v>12000000000</v>
          </cell>
          <cell r="H3085" t="str">
            <v>Yuyun</v>
          </cell>
          <cell r="I3085" t="str">
            <v>Syahra</v>
          </cell>
          <cell r="J3085"/>
          <cell r="K3085" t="str">
            <v>KU</v>
          </cell>
          <cell r="L3085" t="str">
            <v>FAST07</v>
          </cell>
          <cell r="M3085" t="str">
            <v>Harry Santoso</v>
          </cell>
          <cell r="N3085" t="str">
            <v>Forum Agro Sukses Timur, PT</v>
          </cell>
          <cell r="O3085" t="str">
            <v>Jl. Merak No. 88 RT.001/RW.005, Kel. Jubung, Kec. Sukorambi</v>
          </cell>
          <cell r="P3085" t="str">
            <v>Jember</v>
          </cell>
          <cell r="Q3085" t="str">
            <v>Jl. Merak No. 88 RT.001/RW.005, Kel. Jubung, Kec. Sukorambi</v>
          </cell>
          <cell r="R3085" t="str">
            <v>Jember</v>
          </cell>
          <cell r="S3085" t="str">
            <v>J Group</v>
          </cell>
          <cell r="T3085" t="str">
            <v>Wira</v>
          </cell>
          <cell r="U3085">
            <v>30</v>
          </cell>
        </row>
        <row r="3086">
          <cell r="E3086" t="str">
            <v>B25013981</v>
          </cell>
          <cell r="F3086"/>
          <cell r="G3086">
            <v>12000000000</v>
          </cell>
          <cell r="H3086" t="str">
            <v>Yuyun</v>
          </cell>
          <cell r="I3086" t="str">
            <v>Syahra</v>
          </cell>
          <cell r="J3086"/>
          <cell r="K3086" t="str">
            <v>KU</v>
          </cell>
          <cell r="L3086" t="str">
            <v>FAST07</v>
          </cell>
          <cell r="M3086" t="str">
            <v>Harry Santoso</v>
          </cell>
          <cell r="N3086" t="str">
            <v>Forum Agro Sukses Timur, PT</v>
          </cell>
          <cell r="O3086" t="str">
            <v>Jl. Merak No. 88 RT.001/RW.005, Kel. Jubung, Kec. Sukorambi</v>
          </cell>
          <cell r="P3086" t="str">
            <v>Jember</v>
          </cell>
          <cell r="Q3086" t="str">
            <v>Jl. Merak No. 88 RT.001/RW.005, Kel. Jubung, Kec. Sukorambi</v>
          </cell>
          <cell r="R3086" t="str">
            <v>Jember</v>
          </cell>
          <cell r="S3086" t="str">
            <v>J Group</v>
          </cell>
          <cell r="T3086" t="str">
            <v>Wira</v>
          </cell>
          <cell r="U3086">
            <v>30</v>
          </cell>
        </row>
        <row r="3087">
          <cell r="E3087" t="str">
            <v>B25014063</v>
          </cell>
          <cell r="F3087"/>
          <cell r="G3087">
            <v>12000000000</v>
          </cell>
          <cell r="H3087" t="str">
            <v>Yuyun</v>
          </cell>
          <cell r="I3087" t="str">
            <v>Syahra</v>
          </cell>
          <cell r="J3087"/>
          <cell r="K3087" t="str">
            <v>KU</v>
          </cell>
          <cell r="L3087" t="str">
            <v>FAST07</v>
          </cell>
          <cell r="M3087" t="str">
            <v>Harry Santoso</v>
          </cell>
          <cell r="N3087" t="str">
            <v>Forum Agro Sukses Timur, PT</v>
          </cell>
          <cell r="O3087" t="str">
            <v>Jl. Merak No. 88 RT.001/RW.005, Kel. Jubung, Kec. Sukorambi</v>
          </cell>
          <cell r="P3087" t="str">
            <v>Jember</v>
          </cell>
          <cell r="Q3087" t="str">
            <v>Jl. Merak No. 88 RT.001/RW.005, Kel. Jubung, Kec. Sukorambi</v>
          </cell>
          <cell r="R3087" t="str">
            <v>Jember</v>
          </cell>
          <cell r="S3087" t="str">
            <v>J Group</v>
          </cell>
          <cell r="T3087" t="str">
            <v>Wira</v>
          </cell>
          <cell r="U3087">
            <v>0</v>
          </cell>
        </row>
        <row r="3088">
          <cell r="E3088" t="str">
            <v>B25014064</v>
          </cell>
          <cell r="F3088"/>
          <cell r="G3088">
            <v>12000000000</v>
          </cell>
          <cell r="H3088" t="str">
            <v>Yuyun</v>
          </cell>
          <cell r="I3088" t="str">
            <v>Syahra</v>
          </cell>
          <cell r="J3088"/>
          <cell r="K3088" t="str">
            <v>KU</v>
          </cell>
          <cell r="L3088" t="str">
            <v>FAST07</v>
          </cell>
          <cell r="M3088" t="str">
            <v>Harry Santoso</v>
          </cell>
          <cell r="N3088" t="str">
            <v>Forum Agro Sukses Timur, PT</v>
          </cell>
          <cell r="O3088" t="str">
            <v>Jl. Merak No. 88 RT.001/RW.005, Kel. Jubung, Kec. Sukorambi</v>
          </cell>
          <cell r="P3088" t="str">
            <v>Jember</v>
          </cell>
          <cell r="Q3088" t="str">
            <v>Jl. Merak No. 88 RT.001/RW.005, Kel. Jubung, Kec. Sukorambi</v>
          </cell>
          <cell r="R3088" t="str">
            <v>Jember</v>
          </cell>
          <cell r="S3088" t="str">
            <v>J Group</v>
          </cell>
          <cell r="T3088" t="str">
            <v>Wira</v>
          </cell>
          <cell r="U3088">
            <v>30</v>
          </cell>
        </row>
        <row r="3089">
          <cell r="E3089" t="str">
            <v>B25010696</v>
          </cell>
          <cell r="F3089"/>
          <cell r="G3089">
            <v>10000000</v>
          </cell>
          <cell r="H3089" t="str">
            <v>Faris</v>
          </cell>
          <cell r="I3089" t="str">
            <v>Syahra</v>
          </cell>
          <cell r="J3089" t="str">
            <v>New 18/11/23</v>
          </cell>
          <cell r="K3089" t="str">
            <v>CBD</v>
          </cell>
          <cell r="L3089" t="str">
            <v>HART04</v>
          </cell>
          <cell r="M3089" t="str">
            <v>Harto Tani/Suhartini</v>
          </cell>
          <cell r="N3089" t="str">
            <v>Suhartini, AMd.Keb</v>
          </cell>
          <cell r="O3089" t="str">
            <v>Dusun Tempurejo RT.005/RW.004, Kel. Sidorejo, Kec. Purwoharjo</v>
          </cell>
          <cell r="P3089" t="str">
            <v>Banyuwangi</v>
          </cell>
          <cell r="Q3089" t="str">
            <v>Dusun Tempurejo, Kel. Sidorejo, Kec. Purwoharjo</v>
          </cell>
          <cell r="R3089" t="str">
            <v>Banyuwangi</v>
          </cell>
          <cell r="S3089" t="str">
            <v>H Bwi3</v>
          </cell>
          <cell r="T3089" t="str">
            <v>Hafid</v>
          </cell>
          <cell r="U3089">
            <v>30</v>
          </cell>
        </row>
        <row r="3090">
          <cell r="E3090" t="str">
            <v>B25010747</v>
          </cell>
          <cell r="F3090"/>
          <cell r="G3090">
            <v>10000000</v>
          </cell>
          <cell r="H3090" t="str">
            <v>Faris</v>
          </cell>
          <cell r="I3090" t="str">
            <v>Syahra</v>
          </cell>
          <cell r="J3090" t="str">
            <v>New 18/11/23</v>
          </cell>
          <cell r="K3090" t="str">
            <v>CBD</v>
          </cell>
          <cell r="L3090" t="str">
            <v>HART04</v>
          </cell>
          <cell r="M3090" t="str">
            <v>Harto Tani/Suhartini</v>
          </cell>
          <cell r="N3090" t="str">
            <v>Suhartini, AMd.Keb</v>
          </cell>
          <cell r="O3090" t="str">
            <v>Dusun Tempurejo RT.005/RW.004, Kel. Sidorejo, Kec. Purwoharjo</v>
          </cell>
          <cell r="P3090" t="str">
            <v>Banyuwangi</v>
          </cell>
          <cell r="Q3090" t="str">
            <v>Dusun Tempurejo, Kel. Sidorejo, Kec. Purwoharjo</v>
          </cell>
          <cell r="R3090" t="str">
            <v>Banyuwangi</v>
          </cell>
          <cell r="S3090" t="str">
            <v>H Bwi3</v>
          </cell>
          <cell r="T3090" t="str">
            <v>Hafid</v>
          </cell>
          <cell r="U3090">
            <v>30</v>
          </cell>
        </row>
        <row r="3091">
          <cell r="E3091" t="str">
            <v>B25011624</v>
          </cell>
          <cell r="F3091"/>
          <cell r="G3091">
            <v>10000000</v>
          </cell>
          <cell r="H3091" t="str">
            <v>Faris</v>
          </cell>
          <cell r="I3091" t="str">
            <v>Syahra</v>
          </cell>
          <cell r="J3091" t="str">
            <v>New 18/11/23</v>
          </cell>
          <cell r="K3091" t="str">
            <v>CBD</v>
          </cell>
          <cell r="L3091" t="str">
            <v>HART04</v>
          </cell>
          <cell r="M3091" t="str">
            <v>Harto Tani/Suhartini</v>
          </cell>
          <cell r="N3091" t="str">
            <v>Suhartini, AMd.Keb</v>
          </cell>
          <cell r="O3091" t="str">
            <v>Dusun Tempurejo RT.005/RW.004, Kel. Sidorejo, Kec. Purwoharjo</v>
          </cell>
          <cell r="P3091" t="str">
            <v>Banyuwangi</v>
          </cell>
          <cell r="Q3091" t="str">
            <v>Dusun Tempurejo, Kel. Sidorejo, Kec. Purwoharjo</v>
          </cell>
          <cell r="R3091" t="str">
            <v>Banyuwangi</v>
          </cell>
          <cell r="S3091" t="str">
            <v>H Bwi3</v>
          </cell>
          <cell r="T3091" t="str">
            <v>Hafid</v>
          </cell>
          <cell r="U3091">
            <v>30</v>
          </cell>
        </row>
        <row r="3092">
          <cell r="E3092" t="str">
            <v>B25012636</v>
          </cell>
          <cell r="F3092"/>
          <cell r="G3092">
            <v>10000000</v>
          </cell>
          <cell r="H3092" t="str">
            <v>Faris</v>
          </cell>
          <cell r="I3092" t="str">
            <v>Syahra</v>
          </cell>
          <cell r="J3092" t="str">
            <v>New 18/11/23</v>
          </cell>
          <cell r="K3092" t="str">
            <v>CBD</v>
          </cell>
          <cell r="L3092" t="str">
            <v>HART04</v>
          </cell>
          <cell r="M3092" t="str">
            <v>Harto Tani/Suhartini</v>
          </cell>
          <cell r="N3092" t="str">
            <v>Suhartini, AMd.Keb</v>
          </cell>
          <cell r="O3092" t="str">
            <v>Dusun Tempurejo RT.005/RW.004, Kel. Sidorejo, Kec. Purwoharjo</v>
          </cell>
          <cell r="P3092" t="str">
            <v>Banyuwangi</v>
          </cell>
          <cell r="Q3092" t="str">
            <v>Dusun Tempurejo, Kel. Sidorejo, Kec. Purwoharjo</v>
          </cell>
          <cell r="R3092" t="str">
            <v>Banyuwangi</v>
          </cell>
          <cell r="S3092" t="str">
            <v>H Bwi3</v>
          </cell>
          <cell r="T3092" t="str">
            <v>Hafid</v>
          </cell>
          <cell r="U3092">
            <v>30</v>
          </cell>
        </row>
        <row r="3093">
          <cell r="E3093" t="str">
            <v>T25001483</v>
          </cell>
          <cell r="F3093"/>
          <cell r="G3093">
            <v>10000000</v>
          </cell>
          <cell r="H3093" t="str">
            <v>Faris</v>
          </cell>
          <cell r="I3093" t="str">
            <v>Syahra</v>
          </cell>
          <cell r="J3093" t="str">
            <v>New 18/11/23</v>
          </cell>
          <cell r="K3093" t="str">
            <v>CBD</v>
          </cell>
          <cell r="L3093" t="str">
            <v>HART04</v>
          </cell>
          <cell r="M3093" t="str">
            <v>Harto Tani/Suhartini</v>
          </cell>
          <cell r="N3093" t="str">
            <v>Suhartini, AMd.Keb</v>
          </cell>
          <cell r="O3093" t="str">
            <v>Dusun Tempurejo RT.005/RW.004, Kel. Sidorejo, Kec. Purwoharjo</v>
          </cell>
          <cell r="P3093" t="str">
            <v>Banyuwangi</v>
          </cell>
          <cell r="Q3093" t="str">
            <v>Dusun Tempurejo, Kel. Sidorejo, Kec. Purwoharjo</v>
          </cell>
          <cell r="R3093" t="str">
            <v>Banyuwangi</v>
          </cell>
          <cell r="S3093" t="str">
            <v>H Bwi3</v>
          </cell>
          <cell r="T3093" t="str">
            <v>Hafid</v>
          </cell>
          <cell r="U3093">
            <v>60</v>
          </cell>
        </row>
        <row r="3094">
          <cell r="E3094" t="str">
            <v>B25013024</v>
          </cell>
          <cell r="F3094"/>
          <cell r="G3094">
            <v>10000000</v>
          </cell>
          <cell r="H3094" t="str">
            <v>Faris</v>
          </cell>
          <cell r="I3094" t="str">
            <v>Syahra</v>
          </cell>
          <cell r="J3094" t="str">
            <v>New 18/11/23</v>
          </cell>
          <cell r="K3094" t="str">
            <v>CBD</v>
          </cell>
          <cell r="L3094" t="str">
            <v>HART04</v>
          </cell>
          <cell r="M3094" t="str">
            <v>Harto Tani/Suhartini</v>
          </cell>
          <cell r="N3094" t="str">
            <v>Suhartini, AMd.Keb</v>
          </cell>
          <cell r="O3094" t="str">
            <v>Dusun Tempurejo RT.005/RW.004, Kel. Sidorejo, Kec. Purwoharjo</v>
          </cell>
          <cell r="P3094" t="str">
            <v>Banyuwangi</v>
          </cell>
          <cell r="Q3094" t="str">
            <v>Dusun Tempurejo, Kel. Sidorejo, Kec. Purwoharjo</v>
          </cell>
          <cell r="R3094" t="str">
            <v>Banyuwangi</v>
          </cell>
          <cell r="S3094" t="str">
            <v>H Bwi3</v>
          </cell>
          <cell r="T3094" t="str">
            <v>Hafid</v>
          </cell>
          <cell r="U3094">
            <v>30</v>
          </cell>
        </row>
        <row r="3095">
          <cell r="E3095" t="str">
            <v>B25013815</v>
          </cell>
          <cell r="F3095"/>
          <cell r="G3095">
            <v>10000000</v>
          </cell>
          <cell r="H3095" t="str">
            <v>Faris</v>
          </cell>
          <cell r="I3095" t="str">
            <v>Syahra</v>
          </cell>
          <cell r="J3095" t="str">
            <v>New 18/11/23</v>
          </cell>
          <cell r="K3095" t="str">
            <v>CBD</v>
          </cell>
          <cell r="L3095" t="str">
            <v>HART04</v>
          </cell>
          <cell r="M3095" t="str">
            <v>Harto Tani/Suhartini</v>
          </cell>
          <cell r="N3095" t="str">
            <v>Suhartini, AMd.Keb</v>
          </cell>
          <cell r="O3095" t="str">
            <v>Dusun Tempurejo RT.005/RW.004, Kel. Sidorejo, Kec. Purwoharjo</v>
          </cell>
          <cell r="P3095" t="str">
            <v>Banyuwangi</v>
          </cell>
          <cell r="Q3095" t="str">
            <v>Dusun Tempurejo, Kel. Sidorejo, Kec. Purwoharjo</v>
          </cell>
          <cell r="R3095" t="str">
            <v>Banyuwangi</v>
          </cell>
          <cell r="S3095" t="str">
            <v>H Bwi3</v>
          </cell>
          <cell r="T3095" t="str">
            <v>Hafid</v>
          </cell>
          <cell r="U3095">
            <v>30</v>
          </cell>
        </row>
        <row r="3096">
          <cell r="E3096" t="str">
            <v>B25013816</v>
          </cell>
          <cell r="F3096"/>
          <cell r="G3096">
            <v>10000000</v>
          </cell>
          <cell r="H3096" t="str">
            <v>Faris</v>
          </cell>
          <cell r="I3096" t="str">
            <v>Syahra</v>
          </cell>
          <cell r="J3096" t="str">
            <v>New 18/11/23</v>
          </cell>
          <cell r="K3096" t="str">
            <v>CBD</v>
          </cell>
          <cell r="L3096" t="str">
            <v>HART04</v>
          </cell>
          <cell r="M3096" t="str">
            <v>Harto Tani/Suhartini</v>
          </cell>
          <cell r="N3096" t="str">
            <v>Suhartini, AMd.Keb</v>
          </cell>
          <cell r="O3096" t="str">
            <v>Dusun Tempurejo RT.005/RW.004, Kel. Sidorejo, Kec. Purwoharjo</v>
          </cell>
          <cell r="P3096" t="str">
            <v>Banyuwangi</v>
          </cell>
          <cell r="Q3096" t="str">
            <v>Dusun Tempurejo, Kel. Sidorejo, Kec. Purwoharjo</v>
          </cell>
          <cell r="R3096" t="str">
            <v>Banyuwangi</v>
          </cell>
          <cell r="S3096" t="str">
            <v>H Bwi3</v>
          </cell>
          <cell r="T3096" t="str">
            <v>Hafid</v>
          </cell>
          <cell r="U3096">
            <v>30</v>
          </cell>
        </row>
        <row r="3097">
          <cell r="E3097" t="str">
            <v>D25013649</v>
          </cell>
          <cell r="F3097"/>
          <cell r="G3097">
            <v>20000000</v>
          </cell>
          <cell r="H3097" t="str">
            <v>Yuyun</v>
          </cell>
          <cell r="I3097" t="str">
            <v>Farida</v>
          </cell>
          <cell r="J3097" t="str">
            <v>New 19/08/24</v>
          </cell>
          <cell r="K3097" t="str">
            <v>KU</v>
          </cell>
          <cell r="L3097" t="str">
            <v>AGUS48</v>
          </cell>
          <cell r="M3097" t="str">
            <v>Hasil Tani/Agus Widandik</v>
          </cell>
          <cell r="N3097" t="str">
            <v>Agus Widandik</v>
          </cell>
          <cell r="O3097" t="str">
            <v>Dusun Krajan RT.001/RW.010, Kel. Mojosari, Kec. Puger</v>
          </cell>
          <cell r="P3097" t="str">
            <v>Jember</v>
          </cell>
          <cell r="Q3097" t="str">
            <v>Dusun Krajan RT.001/RW.010, Kel. Mojosari, Kec. Puger</v>
          </cell>
          <cell r="R3097" t="str">
            <v>Jember</v>
          </cell>
          <cell r="S3097" t="str">
            <v>L Kota3</v>
          </cell>
          <cell r="T3097" t="str">
            <v>Efendi</v>
          </cell>
          <cell r="U3097">
            <v>30</v>
          </cell>
        </row>
        <row r="3098">
          <cell r="E3098" t="str">
            <v>D25013649</v>
          </cell>
          <cell r="F3098"/>
          <cell r="G3098">
            <v>20000000</v>
          </cell>
          <cell r="H3098" t="str">
            <v>Yuyun</v>
          </cell>
          <cell r="I3098" t="str">
            <v>Farida</v>
          </cell>
          <cell r="J3098" t="str">
            <v>New 19/08/24</v>
          </cell>
          <cell r="K3098" t="str">
            <v>KU</v>
          </cell>
          <cell r="L3098" t="str">
            <v>AGUS48</v>
          </cell>
          <cell r="M3098" t="str">
            <v>Hasil Tani/Agus Widandik</v>
          </cell>
          <cell r="N3098" t="str">
            <v>Agus Widandik</v>
          </cell>
          <cell r="O3098" t="str">
            <v>Dusun Krajan RT.001/RW.010, Kel. Mojosari, Kec. Puger</v>
          </cell>
          <cell r="P3098" t="str">
            <v>Jember</v>
          </cell>
          <cell r="Q3098" t="str">
            <v>Dusun Krajan RT.001/RW.010, Kel. Mojosari, Kec. Puger</v>
          </cell>
          <cell r="R3098" t="str">
            <v>Jember</v>
          </cell>
          <cell r="S3098" t="str">
            <v>L Kota3</v>
          </cell>
          <cell r="T3098" t="str">
            <v>Efendi</v>
          </cell>
          <cell r="U3098">
            <v>30</v>
          </cell>
        </row>
        <row r="3099">
          <cell r="E3099" t="str">
            <v>D25014595</v>
          </cell>
          <cell r="F3099"/>
          <cell r="G3099">
            <v>20000000</v>
          </cell>
          <cell r="H3099" t="str">
            <v>Yuyun</v>
          </cell>
          <cell r="I3099" t="str">
            <v>Farida</v>
          </cell>
          <cell r="J3099" t="str">
            <v>New 19/08/24</v>
          </cell>
          <cell r="K3099" t="str">
            <v>KU</v>
          </cell>
          <cell r="L3099" t="str">
            <v>AGUS48</v>
          </cell>
          <cell r="M3099" t="str">
            <v>Hasil Tani/Agus Widandik</v>
          </cell>
          <cell r="N3099" t="str">
            <v>Agus Widandik</v>
          </cell>
          <cell r="O3099" t="str">
            <v>Dusun Krajan RT.001/RW.010, Kel. Mojosari, Kec. Puger</v>
          </cell>
          <cell r="P3099" t="str">
            <v>Jember</v>
          </cell>
          <cell r="Q3099" t="str">
            <v>Dusun Krajan RT.001/RW.010, Kel. Mojosari, Kec. Puger</v>
          </cell>
          <cell r="R3099" t="str">
            <v>Jember</v>
          </cell>
          <cell r="S3099" t="str">
            <v>L Kota3</v>
          </cell>
          <cell r="T3099" t="str">
            <v>Efendi</v>
          </cell>
          <cell r="U3099">
            <v>30</v>
          </cell>
        </row>
        <row r="3100">
          <cell r="E3100" t="str">
            <v>D25014902</v>
          </cell>
          <cell r="F3100"/>
          <cell r="G3100">
            <v>20000000</v>
          </cell>
          <cell r="H3100" t="str">
            <v>Yuyun</v>
          </cell>
          <cell r="I3100" t="str">
            <v>Farida</v>
          </cell>
          <cell r="J3100" t="str">
            <v>New 19/08/24</v>
          </cell>
          <cell r="K3100" t="str">
            <v>KU</v>
          </cell>
          <cell r="L3100" t="str">
            <v>AGUS48</v>
          </cell>
          <cell r="M3100" t="str">
            <v>Hasil Tani/Agus Widandik</v>
          </cell>
          <cell r="N3100" t="str">
            <v>Agus Widandik</v>
          </cell>
          <cell r="O3100" t="str">
            <v>Dusun Krajan RT.001/RW.010, Kel. Mojosari, Kec. Puger</v>
          </cell>
          <cell r="P3100" t="str">
            <v>Jember</v>
          </cell>
          <cell r="Q3100" t="str">
            <v>Dusun Krajan RT.001/RW.010, Kel. Mojosari, Kec. Puger</v>
          </cell>
          <cell r="R3100" t="str">
            <v>Jember</v>
          </cell>
          <cell r="S3100" t="str">
            <v>L Kota3</v>
          </cell>
          <cell r="T3100" t="str">
            <v>Efendi</v>
          </cell>
          <cell r="U3100">
            <v>30</v>
          </cell>
        </row>
        <row r="3101">
          <cell r="E3101" t="str">
            <v>D25015001</v>
          </cell>
          <cell r="F3101"/>
          <cell r="G3101">
            <v>20000000</v>
          </cell>
          <cell r="H3101" t="str">
            <v>Yuyun</v>
          </cell>
          <cell r="I3101" t="str">
            <v>Farida</v>
          </cell>
          <cell r="J3101" t="str">
            <v>New 19/08/24</v>
          </cell>
          <cell r="K3101" t="str">
            <v>KU</v>
          </cell>
          <cell r="L3101" t="str">
            <v>AGUS48</v>
          </cell>
          <cell r="M3101" t="str">
            <v>Hasil Tani/Agus Widandik</v>
          </cell>
          <cell r="N3101" t="str">
            <v>Agus Widandik</v>
          </cell>
          <cell r="O3101" t="str">
            <v>Dusun Krajan RT.001/RW.010, Kel. Mojosari, Kec. Puger</v>
          </cell>
          <cell r="P3101" t="str">
            <v>Jember</v>
          </cell>
          <cell r="Q3101" t="str">
            <v>Dusun Krajan RT.001/RW.010, Kel. Mojosari, Kec. Puger</v>
          </cell>
          <cell r="R3101" t="str">
            <v>Jember</v>
          </cell>
          <cell r="S3101" t="str">
            <v>L Kota3</v>
          </cell>
          <cell r="T3101" t="str">
            <v>Efendi</v>
          </cell>
          <cell r="U3101">
            <v>30</v>
          </cell>
        </row>
        <row r="3102">
          <cell r="E3102" t="str">
            <v>D25015012</v>
          </cell>
          <cell r="F3102"/>
          <cell r="G3102">
            <v>20000000</v>
          </cell>
          <cell r="H3102" t="str">
            <v>Yuyun</v>
          </cell>
          <cell r="I3102" t="str">
            <v>Farida</v>
          </cell>
          <cell r="J3102" t="str">
            <v>New 19/08/24</v>
          </cell>
          <cell r="K3102" t="str">
            <v>KU</v>
          </cell>
          <cell r="L3102" t="str">
            <v>AGUS48</v>
          </cell>
          <cell r="M3102" t="str">
            <v>Hasil Tani/Agus Widandik</v>
          </cell>
          <cell r="N3102" t="str">
            <v>Agus Widandik</v>
          </cell>
          <cell r="O3102" t="str">
            <v>Dusun Krajan RT.001/RW.010, Kel. Mojosari, Kec. Puger</v>
          </cell>
          <cell r="P3102" t="str">
            <v>Jember</v>
          </cell>
          <cell r="Q3102" t="str">
            <v>Dusun Krajan RT.001/RW.010, Kel. Mojosari, Kec. Puger</v>
          </cell>
          <cell r="R3102" t="str">
            <v>Jember</v>
          </cell>
          <cell r="S3102" t="str">
            <v>L Kota3</v>
          </cell>
          <cell r="T3102" t="str">
            <v>Efendi</v>
          </cell>
          <cell r="U3102">
            <v>30</v>
          </cell>
        </row>
        <row r="3103">
          <cell r="E3103" t="str">
            <v>B25013023</v>
          </cell>
          <cell r="F3103"/>
          <cell r="G3103">
            <v>20000000</v>
          </cell>
          <cell r="H3103" t="str">
            <v>Yuyun</v>
          </cell>
          <cell r="I3103" t="str">
            <v>Farida</v>
          </cell>
          <cell r="J3103" t="str">
            <v>New 19/08/24</v>
          </cell>
          <cell r="K3103" t="str">
            <v>KU</v>
          </cell>
          <cell r="L3103" t="str">
            <v>AGUS48</v>
          </cell>
          <cell r="M3103" t="str">
            <v>Hasil Tani/Agus Widandik</v>
          </cell>
          <cell r="N3103" t="str">
            <v>Agus Widandik</v>
          </cell>
          <cell r="O3103" t="str">
            <v>Dusun Krajan RT.001/RW.010, Kel. Mojosari, Kec. Puger</v>
          </cell>
          <cell r="P3103" t="str">
            <v>Jember</v>
          </cell>
          <cell r="Q3103" t="str">
            <v>Dusun Krajan RT.001/RW.010, Kel. Mojosari, Kec. Puger</v>
          </cell>
          <cell r="R3103" t="str">
            <v>Jember</v>
          </cell>
          <cell r="S3103" t="str">
            <v>L Kota3</v>
          </cell>
          <cell r="T3103" t="str">
            <v>Efendi</v>
          </cell>
          <cell r="U3103">
            <v>30</v>
          </cell>
        </row>
        <row r="3104">
          <cell r="E3104" t="str">
            <v>B25013341</v>
          </cell>
          <cell r="F3104"/>
          <cell r="G3104">
            <v>20000000</v>
          </cell>
          <cell r="H3104" t="str">
            <v>Yuyun</v>
          </cell>
          <cell r="I3104" t="str">
            <v>Farida</v>
          </cell>
          <cell r="J3104" t="str">
            <v>New 19/08/24</v>
          </cell>
          <cell r="K3104" t="str">
            <v>KU</v>
          </cell>
          <cell r="L3104" t="str">
            <v>AGUS48</v>
          </cell>
          <cell r="M3104" t="str">
            <v>Hasil Tani/Agus Widandik</v>
          </cell>
          <cell r="N3104" t="str">
            <v>Agus Widandik</v>
          </cell>
          <cell r="O3104" t="str">
            <v>Dusun Krajan RT.001/RW.010, Kel. Mojosari, Kec. Puger</v>
          </cell>
          <cell r="P3104" t="str">
            <v>Jember</v>
          </cell>
          <cell r="Q3104" t="str">
            <v>Dusun Krajan RT.001/RW.010, Kel. Mojosari, Kec. Puger</v>
          </cell>
          <cell r="R3104" t="str">
            <v>Jember</v>
          </cell>
          <cell r="S3104" t="str">
            <v>L Kota3</v>
          </cell>
          <cell r="T3104" t="str">
            <v>Efendi</v>
          </cell>
          <cell r="U3104">
            <v>30</v>
          </cell>
        </row>
        <row r="3105">
          <cell r="E3105" t="str">
            <v>D25012029</v>
          </cell>
          <cell r="F3105"/>
          <cell r="G3105">
            <v>50000000</v>
          </cell>
          <cell r="H3105" t="str">
            <v>Yuyun</v>
          </cell>
          <cell r="I3105" t="str">
            <v>Farida</v>
          </cell>
          <cell r="J3105"/>
          <cell r="K3105" t="str">
            <v>Tunai</v>
          </cell>
          <cell r="L3105" t="str">
            <v>HASI03</v>
          </cell>
          <cell r="M3105" t="str">
            <v>Hasil Tani/Marmi</v>
          </cell>
          <cell r="N3105" t="str">
            <v>Sumarmi</v>
          </cell>
          <cell r="O3105" t="str">
            <v>Dsn. Beteng, RT.001/RW.002, Kel. Sidomekar, Kec. Semboro</v>
          </cell>
          <cell r="P3105" t="str">
            <v>Jember</v>
          </cell>
          <cell r="Q3105" t="str">
            <v>Kamardikan 2 Semboro</v>
          </cell>
          <cell r="R3105" t="str">
            <v>Jember</v>
          </cell>
          <cell r="S3105" t="str">
            <v>L Kota3</v>
          </cell>
          <cell r="T3105" t="str">
            <v>Efendi</v>
          </cell>
          <cell r="U3105">
            <v>60</v>
          </cell>
        </row>
        <row r="3106">
          <cell r="E3106" t="str">
            <v>D25014130</v>
          </cell>
          <cell r="F3106"/>
          <cell r="G3106">
            <v>50000000</v>
          </cell>
          <cell r="H3106" t="str">
            <v>Yuyun</v>
          </cell>
          <cell r="I3106" t="str">
            <v>Farida</v>
          </cell>
          <cell r="J3106"/>
          <cell r="K3106" t="str">
            <v>Tunai</v>
          </cell>
          <cell r="L3106" t="str">
            <v>HASI03</v>
          </cell>
          <cell r="M3106" t="str">
            <v>Hasil Tani/Marmi</v>
          </cell>
          <cell r="N3106" t="str">
            <v>Sumarmi</v>
          </cell>
          <cell r="O3106" t="str">
            <v>Dsn. Beteng, RT.001/RW.002, Kel. Sidomekar, Kec. Semboro</v>
          </cell>
          <cell r="P3106" t="str">
            <v>Jember</v>
          </cell>
          <cell r="Q3106" t="str">
            <v>Kamardikan 2 Semboro</v>
          </cell>
          <cell r="R3106" t="str">
            <v>Jember</v>
          </cell>
          <cell r="S3106" t="str">
            <v>L Kota3</v>
          </cell>
          <cell r="T3106" t="str">
            <v>Efendi</v>
          </cell>
          <cell r="U3106">
            <v>30</v>
          </cell>
        </row>
        <row r="3107">
          <cell r="E3107" t="str">
            <v>B25012086</v>
          </cell>
          <cell r="F3107"/>
          <cell r="G3107">
            <v>50000000</v>
          </cell>
          <cell r="H3107" t="str">
            <v>Yuyun</v>
          </cell>
          <cell r="I3107" t="str">
            <v>Farida</v>
          </cell>
          <cell r="J3107"/>
          <cell r="K3107" t="str">
            <v>Tunai</v>
          </cell>
          <cell r="L3107" t="str">
            <v>HASI03</v>
          </cell>
          <cell r="M3107" t="str">
            <v>Hasil Tani/Marmi</v>
          </cell>
          <cell r="N3107" t="str">
            <v>Sumarmi</v>
          </cell>
          <cell r="O3107" t="str">
            <v>Dsn. Beteng, RT.001/RW.002, Kel. Sidomekar, Kec. Semboro</v>
          </cell>
          <cell r="P3107" t="str">
            <v>Jember</v>
          </cell>
          <cell r="Q3107" t="str">
            <v>Kamardikan 2 Semboro</v>
          </cell>
          <cell r="R3107" t="str">
            <v>Jember</v>
          </cell>
          <cell r="S3107" t="str">
            <v>L Kota3</v>
          </cell>
          <cell r="T3107" t="str">
            <v>Efendi</v>
          </cell>
          <cell r="U3107">
            <v>30</v>
          </cell>
        </row>
        <row r="3108">
          <cell r="E3108" t="str">
            <v>B25012786</v>
          </cell>
          <cell r="F3108"/>
          <cell r="G3108">
            <v>50000000</v>
          </cell>
          <cell r="H3108" t="str">
            <v>Yuyun</v>
          </cell>
          <cell r="I3108" t="str">
            <v>Farida</v>
          </cell>
          <cell r="J3108"/>
          <cell r="K3108" t="str">
            <v>Tunai</v>
          </cell>
          <cell r="L3108" t="str">
            <v>HASI03</v>
          </cell>
          <cell r="M3108" t="str">
            <v>Hasil Tani/Marmi</v>
          </cell>
          <cell r="N3108" t="str">
            <v>Sumarmi</v>
          </cell>
          <cell r="O3108" t="str">
            <v>Dsn. Beteng, RT.001/RW.002, Kel. Sidomekar, Kec. Semboro</v>
          </cell>
          <cell r="P3108" t="str">
            <v>Jember</v>
          </cell>
          <cell r="Q3108" t="str">
            <v>Kamardikan 2 Semboro</v>
          </cell>
          <cell r="R3108" t="str">
            <v>Jember</v>
          </cell>
          <cell r="S3108" t="str">
            <v>L Kota3</v>
          </cell>
          <cell r="T3108" t="str">
            <v>Efendi</v>
          </cell>
          <cell r="U3108">
            <v>30</v>
          </cell>
        </row>
        <row r="3109">
          <cell r="E3109" t="str">
            <v>B25013414</v>
          </cell>
          <cell r="F3109"/>
          <cell r="G3109">
            <v>50000000</v>
          </cell>
          <cell r="H3109" t="str">
            <v>Yuyun</v>
          </cell>
          <cell r="I3109" t="str">
            <v>Farida</v>
          </cell>
          <cell r="J3109"/>
          <cell r="K3109" t="str">
            <v>Tunai</v>
          </cell>
          <cell r="L3109" t="str">
            <v>HASI03</v>
          </cell>
          <cell r="M3109" t="str">
            <v>Hasil Tani/Marmi</v>
          </cell>
          <cell r="N3109" t="str">
            <v>Sumarmi</v>
          </cell>
          <cell r="O3109" t="str">
            <v>Dsn. Beteng, RT.001/RW.002, Kel. Sidomekar, Kec. Semboro</v>
          </cell>
          <cell r="P3109" t="str">
            <v>Jember</v>
          </cell>
          <cell r="Q3109" t="str">
            <v>Kamardikan 2 Semboro</v>
          </cell>
          <cell r="R3109" t="str">
            <v>Jember</v>
          </cell>
          <cell r="S3109" t="str">
            <v>L Kota3</v>
          </cell>
          <cell r="T3109" t="str">
            <v>Efendi</v>
          </cell>
          <cell r="U3109">
            <v>30</v>
          </cell>
        </row>
        <row r="3110">
          <cell r="E3110" t="str">
            <v>D25012731</v>
          </cell>
          <cell r="F3110"/>
          <cell r="G3110">
            <v>70000000</v>
          </cell>
          <cell r="H3110" t="str">
            <v>Ariyani</v>
          </cell>
          <cell r="I3110" t="str">
            <v>Fira</v>
          </cell>
          <cell r="J3110"/>
          <cell r="K3110" t="str">
            <v>Tunai</v>
          </cell>
          <cell r="L3110" t="str">
            <v>HASI04</v>
          </cell>
          <cell r="M3110" t="str">
            <v>Hasil Tani/Supriyadi</v>
          </cell>
          <cell r="N3110" t="str">
            <v>Ponik Indrayani</v>
          </cell>
          <cell r="O3110" t="str">
            <v>Dsn. Tumpeng Barat, RT.005/RW.001 Kel. Tumpeng, Kec. Candipuro</v>
          </cell>
          <cell r="P3110" t="str">
            <v>Lumajang</v>
          </cell>
          <cell r="Q3110" t="str">
            <v>Tumpeng - Candipuro</v>
          </cell>
          <cell r="R3110" t="str">
            <v>Lumajang</v>
          </cell>
          <cell r="S3110" t="str">
            <v>C Lumajang</v>
          </cell>
          <cell r="T3110" t="str">
            <v>Efendi</v>
          </cell>
          <cell r="U3110">
            <v>30</v>
          </cell>
        </row>
        <row r="3111">
          <cell r="E3111" t="str">
            <v>D25012844</v>
          </cell>
          <cell r="F3111"/>
          <cell r="G3111">
            <v>70000000</v>
          </cell>
          <cell r="H3111" t="str">
            <v>Ariyani</v>
          </cell>
          <cell r="I3111" t="str">
            <v>Fira</v>
          </cell>
          <cell r="J3111"/>
          <cell r="K3111" t="str">
            <v>Tunai</v>
          </cell>
          <cell r="L3111" t="str">
            <v>HASI04</v>
          </cell>
          <cell r="M3111" t="str">
            <v>Hasil Tani/Supriyadi</v>
          </cell>
          <cell r="N3111" t="str">
            <v>Ponik Indrayani</v>
          </cell>
          <cell r="O3111" t="str">
            <v>Dsn. Tumpeng Barat, RT.005/RW.001 Kel. Tumpeng, Kec. Candipuro</v>
          </cell>
          <cell r="P3111" t="str">
            <v>Lumajang</v>
          </cell>
          <cell r="Q3111" t="str">
            <v>Tumpeng - Candipuro</v>
          </cell>
          <cell r="R3111" t="str">
            <v>Lumajang</v>
          </cell>
          <cell r="S3111" t="str">
            <v>C Lumajang</v>
          </cell>
          <cell r="T3111" t="str">
            <v>Efendi</v>
          </cell>
          <cell r="U3111">
            <v>30</v>
          </cell>
        </row>
        <row r="3112">
          <cell r="E3112" t="str">
            <v>B25011031</v>
          </cell>
          <cell r="F3112"/>
          <cell r="G3112">
            <v>70000000</v>
          </cell>
          <cell r="H3112" t="str">
            <v>Ariyani</v>
          </cell>
          <cell r="I3112" t="str">
            <v>Fira</v>
          </cell>
          <cell r="J3112"/>
          <cell r="K3112" t="str">
            <v>Tunai</v>
          </cell>
          <cell r="L3112" t="str">
            <v>HASI04</v>
          </cell>
          <cell r="M3112" t="str">
            <v>Hasil Tani/Supriyadi</v>
          </cell>
          <cell r="N3112" t="str">
            <v>Ponik Indrayani</v>
          </cell>
          <cell r="O3112" t="str">
            <v>Dsn. Tumpeng Barat, RT.005/RW.001 Kel. Tumpeng, Kec. Candipuro</v>
          </cell>
          <cell r="P3112" t="str">
            <v>Lumajang</v>
          </cell>
          <cell r="Q3112" t="str">
            <v>Tumpeng - Candipuro</v>
          </cell>
          <cell r="R3112" t="str">
            <v>Lumajang</v>
          </cell>
          <cell r="S3112" t="str">
            <v>C Lumajang</v>
          </cell>
          <cell r="T3112" t="str">
            <v>Efendi</v>
          </cell>
          <cell r="U3112">
            <v>30</v>
          </cell>
        </row>
        <row r="3113">
          <cell r="E3113" t="str">
            <v>D25013430</v>
          </cell>
          <cell r="F3113"/>
          <cell r="G3113">
            <v>70000000</v>
          </cell>
          <cell r="H3113" t="str">
            <v>Ariyani</v>
          </cell>
          <cell r="I3113" t="str">
            <v>Fira</v>
          </cell>
          <cell r="J3113"/>
          <cell r="K3113" t="str">
            <v>Tunai</v>
          </cell>
          <cell r="L3113" t="str">
            <v>HASI04</v>
          </cell>
          <cell r="M3113" t="str">
            <v>Hasil Tani/Supriyadi</v>
          </cell>
          <cell r="N3113" t="str">
            <v>Ponik Indrayani</v>
          </cell>
          <cell r="O3113" t="str">
            <v>Dsn. Tumpeng Barat, RT.005/RW.001 Kel. Tumpeng, Kec. Candipuro</v>
          </cell>
          <cell r="P3113" t="str">
            <v>Lumajang</v>
          </cell>
          <cell r="Q3113" t="str">
            <v>Tumpeng - Candipuro</v>
          </cell>
          <cell r="R3113" t="str">
            <v>Lumajang</v>
          </cell>
          <cell r="S3113" t="str">
            <v>C Lumajang</v>
          </cell>
          <cell r="T3113" t="str">
            <v>Efendi</v>
          </cell>
          <cell r="U3113">
            <v>30</v>
          </cell>
        </row>
        <row r="3114">
          <cell r="E3114" t="str">
            <v>B25011739</v>
          </cell>
          <cell r="F3114"/>
          <cell r="G3114">
            <v>70000000</v>
          </cell>
          <cell r="H3114" t="str">
            <v>Ariyani</v>
          </cell>
          <cell r="I3114" t="str">
            <v>Fira</v>
          </cell>
          <cell r="J3114"/>
          <cell r="K3114" t="str">
            <v>Tunai</v>
          </cell>
          <cell r="L3114" t="str">
            <v>HASI04</v>
          </cell>
          <cell r="M3114" t="str">
            <v>Hasil Tani/Supriyadi</v>
          </cell>
          <cell r="N3114" t="str">
            <v>Ponik Indrayani</v>
          </cell>
          <cell r="O3114" t="str">
            <v>Dsn. Tumpeng Barat, RT.005/RW.001 Kel. Tumpeng, Kec. Candipuro</v>
          </cell>
          <cell r="P3114" t="str">
            <v>Lumajang</v>
          </cell>
          <cell r="Q3114" t="str">
            <v>Tumpeng - Candipuro</v>
          </cell>
          <cell r="R3114" t="str">
            <v>Lumajang</v>
          </cell>
          <cell r="S3114" t="str">
            <v>C Lumajang</v>
          </cell>
          <cell r="T3114" t="str">
            <v>Efendi</v>
          </cell>
          <cell r="U3114">
            <v>30</v>
          </cell>
        </row>
        <row r="3115">
          <cell r="E3115" t="str">
            <v>B25011740</v>
          </cell>
          <cell r="F3115"/>
          <cell r="G3115">
            <v>70000000</v>
          </cell>
          <cell r="H3115" t="str">
            <v>Ariyani</v>
          </cell>
          <cell r="I3115" t="str">
            <v>Fira</v>
          </cell>
          <cell r="J3115"/>
          <cell r="K3115" t="str">
            <v>Tunai</v>
          </cell>
          <cell r="L3115" t="str">
            <v>HASI04</v>
          </cell>
          <cell r="M3115" t="str">
            <v>Hasil Tani/Supriyadi</v>
          </cell>
          <cell r="N3115" t="str">
            <v>Ponik Indrayani</v>
          </cell>
          <cell r="O3115" t="str">
            <v>Dsn. Tumpeng Barat, RT.005/RW.001 Kel. Tumpeng, Kec. Candipuro</v>
          </cell>
          <cell r="P3115" t="str">
            <v>Lumajang</v>
          </cell>
          <cell r="Q3115" t="str">
            <v>Tumpeng - Candipuro</v>
          </cell>
          <cell r="R3115" t="str">
            <v>Lumajang</v>
          </cell>
          <cell r="S3115" t="str">
            <v>C Lumajang</v>
          </cell>
          <cell r="T3115" t="str">
            <v>Efendi</v>
          </cell>
          <cell r="U3115">
            <v>30</v>
          </cell>
        </row>
        <row r="3116">
          <cell r="E3116" t="str">
            <v>B25011293</v>
          </cell>
          <cell r="F3116"/>
          <cell r="G3116">
            <v>200000000</v>
          </cell>
          <cell r="H3116" t="str">
            <v>Yuyun</v>
          </cell>
          <cell r="I3116" t="str">
            <v>Farida</v>
          </cell>
          <cell r="J3116"/>
          <cell r="K3116" t="str">
            <v>KU</v>
          </cell>
          <cell r="L3116" t="str">
            <v>HASI05</v>
          </cell>
          <cell r="M3116" t="str">
            <v>Hasil Usaha, UD</v>
          </cell>
          <cell r="N3116" t="str">
            <v>Yuniwan Younki Susanto</v>
          </cell>
          <cell r="O3116" t="str">
            <v>RT. 005/RW.007 , Kel. Kasiyan Kec. Puger</v>
          </cell>
          <cell r="P3116" t="str">
            <v>Jember</v>
          </cell>
          <cell r="Q3116" t="str">
            <v>Ds. Kasiyan, Puger</v>
          </cell>
          <cell r="R3116" t="str">
            <v>Jember</v>
          </cell>
          <cell r="S3116" t="str">
            <v>L Kota3</v>
          </cell>
          <cell r="T3116" t="str">
            <v>Efendi</v>
          </cell>
          <cell r="U3116">
            <v>30</v>
          </cell>
        </row>
        <row r="3117">
          <cell r="E3117" t="str">
            <v>B25011653</v>
          </cell>
          <cell r="F3117"/>
          <cell r="G3117">
            <v>200000000</v>
          </cell>
          <cell r="H3117" t="str">
            <v>Yuyun</v>
          </cell>
          <cell r="I3117" t="str">
            <v>Farida</v>
          </cell>
          <cell r="J3117"/>
          <cell r="K3117" t="str">
            <v>KU</v>
          </cell>
          <cell r="L3117" t="str">
            <v>HASI05</v>
          </cell>
          <cell r="M3117" t="str">
            <v>Hasil Usaha, UD</v>
          </cell>
          <cell r="N3117" t="str">
            <v>Yuniwan Younki Susanto</v>
          </cell>
          <cell r="O3117" t="str">
            <v>RT. 005/RW.007 , Kel. Kasiyan Kec. Puger</v>
          </cell>
          <cell r="P3117" t="str">
            <v>Jember</v>
          </cell>
          <cell r="Q3117" t="str">
            <v>Ds. Kasiyan, Puger</v>
          </cell>
          <cell r="R3117" t="str">
            <v>Jember</v>
          </cell>
          <cell r="S3117" t="str">
            <v>L Kota3</v>
          </cell>
          <cell r="T3117" t="str">
            <v>Efendi</v>
          </cell>
          <cell r="U3117">
            <v>30</v>
          </cell>
        </row>
        <row r="3118">
          <cell r="E3118" t="str">
            <v>D25014110</v>
          </cell>
          <cell r="F3118"/>
          <cell r="G3118">
            <v>200000000</v>
          </cell>
          <cell r="H3118" t="str">
            <v>Yuyun</v>
          </cell>
          <cell r="I3118" t="str">
            <v>Farida</v>
          </cell>
          <cell r="J3118"/>
          <cell r="K3118" t="str">
            <v>KU</v>
          </cell>
          <cell r="L3118" t="str">
            <v>HASI05</v>
          </cell>
          <cell r="M3118" t="str">
            <v>Hasil Usaha, UD</v>
          </cell>
          <cell r="N3118" t="str">
            <v>Yuniwan Younki Susanto</v>
          </cell>
          <cell r="O3118" t="str">
            <v>RT. 005/RW.007 , Kel. Kasiyan Kec. Puger</v>
          </cell>
          <cell r="P3118" t="str">
            <v>Jember</v>
          </cell>
          <cell r="Q3118" t="str">
            <v>Ds. Kasiyan, Puger</v>
          </cell>
          <cell r="R3118" t="str">
            <v>Jember</v>
          </cell>
          <cell r="S3118" t="str">
            <v>L Kota3</v>
          </cell>
          <cell r="T3118" t="str">
            <v>Efendi</v>
          </cell>
          <cell r="U3118">
            <v>30</v>
          </cell>
        </row>
        <row r="3119">
          <cell r="E3119" t="str">
            <v>B25012046</v>
          </cell>
          <cell r="F3119"/>
          <cell r="G3119">
            <v>200000000</v>
          </cell>
          <cell r="H3119" t="str">
            <v>Yuyun</v>
          </cell>
          <cell r="I3119" t="str">
            <v>Farida</v>
          </cell>
          <cell r="J3119"/>
          <cell r="K3119" t="str">
            <v>KU</v>
          </cell>
          <cell r="L3119" t="str">
            <v>HASI05</v>
          </cell>
          <cell r="M3119" t="str">
            <v>Hasil Usaha, UD</v>
          </cell>
          <cell r="N3119" t="str">
            <v>Yuniwan Younki Susanto</v>
          </cell>
          <cell r="O3119" t="str">
            <v>RT. 005/RW.007 , Kel. Kasiyan Kec. Puger</v>
          </cell>
          <cell r="P3119" t="str">
            <v>Jember</v>
          </cell>
          <cell r="Q3119" t="str">
            <v>Ds. Kasiyan, Puger</v>
          </cell>
          <cell r="R3119" t="str">
            <v>Jember</v>
          </cell>
          <cell r="S3119" t="str">
            <v>L Kota3</v>
          </cell>
          <cell r="T3119" t="str">
            <v>Efendi</v>
          </cell>
          <cell r="U3119">
            <v>30</v>
          </cell>
        </row>
        <row r="3120">
          <cell r="E3120" t="str">
            <v>D25014532</v>
          </cell>
          <cell r="F3120"/>
          <cell r="G3120">
            <v>200000000</v>
          </cell>
          <cell r="H3120" t="str">
            <v>Yuyun</v>
          </cell>
          <cell r="I3120" t="str">
            <v>Farida</v>
          </cell>
          <cell r="J3120"/>
          <cell r="K3120" t="str">
            <v>KU</v>
          </cell>
          <cell r="L3120" t="str">
            <v>HASI05</v>
          </cell>
          <cell r="M3120" t="str">
            <v>Hasil Usaha, UD</v>
          </cell>
          <cell r="N3120" t="str">
            <v>Yuniwan Younki Susanto</v>
          </cell>
          <cell r="O3120" t="str">
            <v>RT. 005/RW.007 , Kel. Kasiyan Kec. Puger</v>
          </cell>
          <cell r="P3120" t="str">
            <v>Jember</v>
          </cell>
          <cell r="Q3120" t="str">
            <v>Ds. Kasiyan, Puger</v>
          </cell>
          <cell r="R3120" t="str">
            <v>Jember</v>
          </cell>
          <cell r="S3120" t="str">
            <v>L Kota3</v>
          </cell>
          <cell r="T3120" t="str">
            <v>Efendi</v>
          </cell>
          <cell r="U3120">
            <v>30</v>
          </cell>
        </row>
        <row r="3121">
          <cell r="E3121" t="str">
            <v>D25014666</v>
          </cell>
          <cell r="F3121"/>
          <cell r="G3121">
            <v>200000000</v>
          </cell>
          <cell r="H3121" t="str">
            <v>Yuyun</v>
          </cell>
          <cell r="I3121" t="str">
            <v>Farida</v>
          </cell>
          <cell r="J3121"/>
          <cell r="K3121" t="str">
            <v>KU</v>
          </cell>
          <cell r="L3121" t="str">
            <v>HASI05</v>
          </cell>
          <cell r="M3121" t="str">
            <v>Hasil Usaha, UD</v>
          </cell>
          <cell r="N3121" t="str">
            <v>Yuniwan Younki Susanto</v>
          </cell>
          <cell r="O3121" t="str">
            <v>RT. 005/RW.007 , Kel. Kasiyan Kec. Puger</v>
          </cell>
          <cell r="P3121" t="str">
            <v>Jember</v>
          </cell>
          <cell r="Q3121" t="str">
            <v>Ds. Kasiyan, Puger</v>
          </cell>
          <cell r="R3121" t="str">
            <v>Jember</v>
          </cell>
          <cell r="S3121" t="str">
            <v>L Kota3</v>
          </cell>
          <cell r="T3121" t="str">
            <v>Efendi</v>
          </cell>
          <cell r="U3121">
            <v>30</v>
          </cell>
        </row>
        <row r="3122">
          <cell r="E3122" t="str">
            <v>B25012784</v>
          </cell>
          <cell r="F3122"/>
          <cell r="G3122">
            <v>200000000</v>
          </cell>
          <cell r="H3122" t="str">
            <v>Yuyun</v>
          </cell>
          <cell r="I3122" t="str">
            <v>Farida</v>
          </cell>
          <cell r="J3122"/>
          <cell r="K3122" t="str">
            <v>KU</v>
          </cell>
          <cell r="L3122" t="str">
            <v>HASI05</v>
          </cell>
          <cell r="M3122" t="str">
            <v>Hasil Usaha, UD</v>
          </cell>
          <cell r="N3122" t="str">
            <v>Yuniwan Younki Susanto</v>
          </cell>
          <cell r="O3122" t="str">
            <v>RT. 005/RW.007 , Kel. Kasiyan Kec. Puger</v>
          </cell>
          <cell r="P3122" t="str">
            <v>Jember</v>
          </cell>
          <cell r="Q3122" t="str">
            <v>Ds. Kasiyan, Puger</v>
          </cell>
          <cell r="R3122" t="str">
            <v>Jember</v>
          </cell>
          <cell r="S3122" t="str">
            <v>L Kota3</v>
          </cell>
          <cell r="T3122" t="str">
            <v>Efendi</v>
          </cell>
          <cell r="U3122">
            <v>0</v>
          </cell>
        </row>
        <row r="3123">
          <cell r="E3123" t="str">
            <v>B25012785</v>
          </cell>
          <cell r="F3123"/>
          <cell r="G3123">
            <v>200000000</v>
          </cell>
          <cell r="H3123" t="str">
            <v>Yuyun</v>
          </cell>
          <cell r="I3123" t="str">
            <v>Farida</v>
          </cell>
          <cell r="J3123"/>
          <cell r="K3123" t="str">
            <v>KU</v>
          </cell>
          <cell r="L3123" t="str">
            <v>HASI05</v>
          </cell>
          <cell r="M3123" t="str">
            <v>Hasil Usaha, UD</v>
          </cell>
          <cell r="N3123" t="str">
            <v>Yuniwan Younki Susanto</v>
          </cell>
          <cell r="O3123" t="str">
            <v>RT. 005/RW.007 , Kel. Kasiyan Kec. Puger</v>
          </cell>
          <cell r="P3123" t="str">
            <v>Jember</v>
          </cell>
          <cell r="Q3123" t="str">
            <v>Ds. Kasiyan, Puger</v>
          </cell>
          <cell r="R3123" t="str">
            <v>Jember</v>
          </cell>
          <cell r="S3123" t="str">
            <v>L Kota3</v>
          </cell>
          <cell r="T3123" t="str">
            <v>Efendi</v>
          </cell>
          <cell r="U3123">
            <v>0</v>
          </cell>
        </row>
        <row r="3124">
          <cell r="E3124" t="str">
            <v>D25015071</v>
          </cell>
          <cell r="F3124"/>
          <cell r="G3124">
            <v>200000000</v>
          </cell>
          <cell r="H3124" t="str">
            <v>Yuyun</v>
          </cell>
          <cell r="I3124" t="str">
            <v>Farida</v>
          </cell>
          <cell r="J3124"/>
          <cell r="K3124" t="str">
            <v>KU</v>
          </cell>
          <cell r="L3124" t="str">
            <v>HASI05</v>
          </cell>
          <cell r="M3124" t="str">
            <v>Hasil Usaha, UD</v>
          </cell>
          <cell r="N3124" t="str">
            <v>Yuniwan Younki Susanto</v>
          </cell>
          <cell r="O3124" t="str">
            <v>RT. 005/RW.007 , Kel. Kasiyan Kec. Puger</v>
          </cell>
          <cell r="P3124" t="str">
            <v>Jember</v>
          </cell>
          <cell r="Q3124" t="str">
            <v>Ds. Kasiyan, Puger</v>
          </cell>
          <cell r="R3124" t="str">
            <v>Jember</v>
          </cell>
          <cell r="S3124" t="str">
            <v>L Kota3</v>
          </cell>
          <cell r="T3124" t="str">
            <v>Efendi</v>
          </cell>
          <cell r="U3124">
            <v>0</v>
          </cell>
        </row>
        <row r="3125">
          <cell r="E3125" t="str">
            <v>D25015328</v>
          </cell>
          <cell r="F3125"/>
          <cell r="G3125">
            <v>200000000</v>
          </cell>
          <cell r="H3125" t="str">
            <v>Yuyun</v>
          </cell>
          <cell r="I3125" t="str">
            <v>Farida</v>
          </cell>
          <cell r="J3125"/>
          <cell r="K3125" t="str">
            <v>KU</v>
          </cell>
          <cell r="L3125" t="str">
            <v>HASI05</v>
          </cell>
          <cell r="M3125" t="str">
            <v>Hasil Usaha, UD</v>
          </cell>
          <cell r="N3125" t="str">
            <v>Yuniwan Younki Susanto</v>
          </cell>
          <cell r="O3125" t="str">
            <v>RT. 005/RW.007 , Kel. Kasiyan Kec. Puger</v>
          </cell>
          <cell r="P3125" t="str">
            <v>Jember</v>
          </cell>
          <cell r="Q3125" t="str">
            <v>Ds. Kasiyan, Puger</v>
          </cell>
          <cell r="R3125" t="str">
            <v>Jember</v>
          </cell>
          <cell r="S3125" t="str">
            <v>L Kota3</v>
          </cell>
          <cell r="T3125" t="str">
            <v>Efendi</v>
          </cell>
          <cell r="U3125">
            <v>30</v>
          </cell>
        </row>
        <row r="3126">
          <cell r="E3126" t="str">
            <v>D25015330</v>
          </cell>
          <cell r="F3126"/>
          <cell r="G3126">
            <v>200000000</v>
          </cell>
          <cell r="H3126" t="str">
            <v>Yuyun</v>
          </cell>
          <cell r="I3126" t="str">
            <v>Farida</v>
          </cell>
          <cell r="J3126"/>
          <cell r="K3126" t="str">
            <v>KU</v>
          </cell>
          <cell r="L3126" t="str">
            <v>HASI05</v>
          </cell>
          <cell r="M3126" t="str">
            <v>Hasil Usaha, UD</v>
          </cell>
          <cell r="N3126" t="str">
            <v>Yuniwan Younki Susanto</v>
          </cell>
          <cell r="O3126" t="str">
            <v>RT. 005/RW.007 , Kel. Kasiyan Kec. Puger</v>
          </cell>
          <cell r="P3126" t="str">
            <v>Jember</v>
          </cell>
          <cell r="Q3126" t="str">
            <v>Ds. Kasiyan, Puger</v>
          </cell>
          <cell r="R3126" t="str">
            <v>Jember</v>
          </cell>
          <cell r="S3126" t="str">
            <v>L Kota3</v>
          </cell>
          <cell r="T3126" t="str">
            <v>Efendi</v>
          </cell>
          <cell r="U3126">
            <v>0</v>
          </cell>
        </row>
        <row r="3127">
          <cell r="E3127" t="str">
            <v>B25013060</v>
          </cell>
          <cell r="F3127"/>
          <cell r="G3127">
            <v>200000000</v>
          </cell>
          <cell r="H3127" t="str">
            <v>Yuyun</v>
          </cell>
          <cell r="I3127" t="str">
            <v>Farida</v>
          </cell>
          <cell r="J3127"/>
          <cell r="K3127" t="str">
            <v>KU</v>
          </cell>
          <cell r="L3127" t="str">
            <v>HASI05</v>
          </cell>
          <cell r="M3127" t="str">
            <v>Hasil Usaha, UD</v>
          </cell>
          <cell r="N3127" t="str">
            <v>Yuniwan Younki Susanto</v>
          </cell>
          <cell r="O3127" t="str">
            <v>RT. 005/RW.007 , Kel. Kasiyan Kec. Puger</v>
          </cell>
          <cell r="P3127" t="str">
            <v>Jember</v>
          </cell>
          <cell r="Q3127" t="str">
            <v>Ds. Kasiyan, Puger</v>
          </cell>
          <cell r="R3127" t="str">
            <v>Jember</v>
          </cell>
          <cell r="S3127" t="str">
            <v>L Kota3</v>
          </cell>
          <cell r="T3127" t="str">
            <v>Efendi</v>
          </cell>
          <cell r="U3127">
            <v>30</v>
          </cell>
        </row>
        <row r="3128">
          <cell r="E3128" t="str">
            <v>B25013207</v>
          </cell>
          <cell r="F3128"/>
          <cell r="G3128">
            <v>200000000</v>
          </cell>
          <cell r="H3128" t="str">
            <v>Yuyun</v>
          </cell>
          <cell r="I3128" t="str">
            <v>Farida</v>
          </cell>
          <cell r="J3128"/>
          <cell r="K3128" t="str">
            <v>KU</v>
          </cell>
          <cell r="L3128" t="str">
            <v>HASI05</v>
          </cell>
          <cell r="M3128" t="str">
            <v>Hasil Usaha, UD</v>
          </cell>
          <cell r="N3128" t="str">
            <v>Yuniwan Younki Susanto</v>
          </cell>
          <cell r="O3128" t="str">
            <v>RT. 005/RW.007 , Kel. Kasiyan Kec. Puger</v>
          </cell>
          <cell r="P3128" t="str">
            <v>Jember</v>
          </cell>
          <cell r="Q3128" t="str">
            <v>Ds. Kasiyan, Puger</v>
          </cell>
          <cell r="R3128" t="str">
            <v>Jember</v>
          </cell>
          <cell r="S3128" t="str">
            <v>L Kota3</v>
          </cell>
          <cell r="T3128" t="str">
            <v>Efendi</v>
          </cell>
          <cell r="U3128">
            <v>0</v>
          </cell>
        </row>
        <row r="3129">
          <cell r="E3129" t="str">
            <v>B25013404</v>
          </cell>
          <cell r="F3129"/>
          <cell r="G3129">
            <v>200000000</v>
          </cell>
          <cell r="H3129" t="str">
            <v>Yuyun</v>
          </cell>
          <cell r="I3129" t="str">
            <v>Farida</v>
          </cell>
          <cell r="J3129"/>
          <cell r="K3129" t="str">
            <v>KU</v>
          </cell>
          <cell r="L3129" t="str">
            <v>HASI05</v>
          </cell>
          <cell r="M3129" t="str">
            <v>Hasil Usaha, UD</v>
          </cell>
          <cell r="N3129" t="str">
            <v>Yuniwan Younki Susanto</v>
          </cell>
          <cell r="O3129" t="str">
            <v>RT. 005/RW.007 , Kel. Kasiyan Kec. Puger</v>
          </cell>
          <cell r="P3129" t="str">
            <v>Jember</v>
          </cell>
          <cell r="Q3129" t="str">
            <v>Ds. Kasiyan, Puger</v>
          </cell>
          <cell r="R3129" t="str">
            <v>Jember</v>
          </cell>
          <cell r="S3129" t="str">
            <v>L Kota3</v>
          </cell>
          <cell r="T3129" t="str">
            <v>Efendi</v>
          </cell>
          <cell r="U3129">
            <v>0</v>
          </cell>
        </row>
        <row r="3130">
          <cell r="E3130" t="str">
            <v>B25013405</v>
          </cell>
          <cell r="F3130"/>
          <cell r="G3130">
            <v>200000000</v>
          </cell>
          <cell r="H3130" t="str">
            <v>Yuyun</v>
          </cell>
          <cell r="I3130" t="str">
            <v>Farida</v>
          </cell>
          <cell r="J3130"/>
          <cell r="K3130" t="str">
            <v>KU</v>
          </cell>
          <cell r="L3130" t="str">
            <v>HASI05</v>
          </cell>
          <cell r="M3130" t="str">
            <v>Hasil Usaha, UD</v>
          </cell>
          <cell r="N3130" t="str">
            <v>Yuniwan Younki Susanto</v>
          </cell>
          <cell r="O3130" t="str">
            <v>RT. 005/RW.007 , Kel. Kasiyan Kec. Puger</v>
          </cell>
          <cell r="P3130" t="str">
            <v>Jember</v>
          </cell>
          <cell r="Q3130" t="str">
            <v>Ds. Kasiyan, Puger</v>
          </cell>
          <cell r="R3130" t="str">
            <v>Jember</v>
          </cell>
          <cell r="S3130" t="str">
            <v>L Kota3</v>
          </cell>
          <cell r="T3130" t="str">
            <v>Efendi</v>
          </cell>
          <cell r="U3130">
            <v>0</v>
          </cell>
        </row>
        <row r="3131">
          <cell r="E3131" t="str">
            <v>D25015785</v>
          </cell>
          <cell r="F3131"/>
          <cell r="G3131">
            <v>200000000</v>
          </cell>
          <cell r="H3131" t="str">
            <v>Yuyun</v>
          </cell>
          <cell r="I3131" t="str">
            <v>Farida</v>
          </cell>
          <cell r="J3131"/>
          <cell r="K3131" t="str">
            <v>KU</v>
          </cell>
          <cell r="L3131" t="str">
            <v>HASI05</v>
          </cell>
          <cell r="M3131" t="str">
            <v>Hasil Usaha, UD</v>
          </cell>
          <cell r="N3131" t="str">
            <v>Yuniwan Younki Susanto</v>
          </cell>
          <cell r="O3131" t="str">
            <v>RT. 005/RW.007 , Kel. Kasiyan Kec. Puger</v>
          </cell>
          <cell r="P3131" t="str">
            <v>Jember</v>
          </cell>
          <cell r="Q3131" t="str">
            <v>Ds. Kasiyan, Puger</v>
          </cell>
          <cell r="R3131" t="str">
            <v>Jember</v>
          </cell>
          <cell r="S3131" t="str">
            <v>L Kota3</v>
          </cell>
          <cell r="T3131" t="str">
            <v>Efendi</v>
          </cell>
          <cell r="U3131">
            <v>0</v>
          </cell>
        </row>
        <row r="3132">
          <cell r="E3132" t="str">
            <v>D25015786</v>
          </cell>
          <cell r="F3132"/>
          <cell r="G3132">
            <v>200000000</v>
          </cell>
          <cell r="H3132" t="str">
            <v>Yuyun</v>
          </cell>
          <cell r="I3132" t="str">
            <v>Farida</v>
          </cell>
          <cell r="J3132"/>
          <cell r="K3132" t="str">
            <v>KU</v>
          </cell>
          <cell r="L3132" t="str">
            <v>HASI05</v>
          </cell>
          <cell r="M3132" t="str">
            <v>Hasil Usaha, UD</v>
          </cell>
          <cell r="N3132" t="str">
            <v>Yuniwan Younki Susanto</v>
          </cell>
          <cell r="O3132" t="str">
            <v>RT. 005/RW.007 , Kel. Kasiyan Kec. Puger</v>
          </cell>
          <cell r="P3132" t="str">
            <v>Jember</v>
          </cell>
          <cell r="Q3132" t="str">
            <v>Ds. Kasiyan, Puger</v>
          </cell>
          <cell r="R3132" t="str">
            <v>Jember</v>
          </cell>
          <cell r="S3132" t="str">
            <v>L Kota3</v>
          </cell>
          <cell r="T3132" t="str">
            <v>Efendi</v>
          </cell>
          <cell r="U3132">
            <v>30</v>
          </cell>
        </row>
        <row r="3133">
          <cell r="E3133" t="str">
            <v>D25016078</v>
          </cell>
          <cell r="F3133"/>
          <cell r="G3133">
            <v>200000000</v>
          </cell>
          <cell r="H3133" t="str">
            <v>Yuyun</v>
          </cell>
          <cell r="I3133" t="str">
            <v>Farida</v>
          </cell>
          <cell r="J3133"/>
          <cell r="K3133" t="str">
            <v>KU</v>
          </cell>
          <cell r="L3133" t="str">
            <v>HASI05</v>
          </cell>
          <cell r="M3133" t="str">
            <v>Hasil Usaha, UD</v>
          </cell>
          <cell r="N3133" t="str">
            <v>Yuniwan Younki Susanto</v>
          </cell>
          <cell r="O3133" t="str">
            <v>RT. 005/RW.007 , Kel. Kasiyan Kec. Puger</v>
          </cell>
          <cell r="P3133" t="str">
            <v>Jember</v>
          </cell>
          <cell r="Q3133" t="str">
            <v>Ds. Kasiyan, Puger</v>
          </cell>
          <cell r="R3133" t="str">
            <v>Jember</v>
          </cell>
          <cell r="S3133" t="str">
            <v>L Kota3</v>
          </cell>
          <cell r="T3133" t="str">
            <v>Efendi</v>
          </cell>
          <cell r="U3133">
            <v>30</v>
          </cell>
        </row>
        <row r="3134">
          <cell r="E3134" t="str">
            <v>D25016079</v>
          </cell>
          <cell r="F3134"/>
          <cell r="G3134">
            <v>200000000</v>
          </cell>
          <cell r="H3134" t="str">
            <v>Yuyun</v>
          </cell>
          <cell r="I3134" t="str">
            <v>Farida</v>
          </cell>
          <cell r="J3134"/>
          <cell r="K3134" t="str">
            <v>KU</v>
          </cell>
          <cell r="L3134" t="str">
            <v>HASI05</v>
          </cell>
          <cell r="M3134" t="str">
            <v>Hasil Usaha, UD</v>
          </cell>
          <cell r="N3134" t="str">
            <v>Yuniwan Younki Susanto</v>
          </cell>
          <cell r="O3134" t="str">
            <v>RT. 005/RW.007 , Kel. Kasiyan Kec. Puger</v>
          </cell>
          <cell r="P3134" t="str">
            <v>Jember</v>
          </cell>
          <cell r="Q3134" t="str">
            <v>Ds. Kasiyan, Puger</v>
          </cell>
          <cell r="R3134" t="str">
            <v>Jember</v>
          </cell>
          <cell r="S3134" t="str">
            <v>L Kota3</v>
          </cell>
          <cell r="T3134" t="str">
            <v>Efendi</v>
          </cell>
          <cell r="U3134">
            <v>30</v>
          </cell>
        </row>
        <row r="3135">
          <cell r="E3135" t="str">
            <v>D25016236</v>
          </cell>
          <cell r="F3135"/>
          <cell r="G3135">
            <v>200000000</v>
          </cell>
          <cell r="H3135" t="str">
            <v>Yuyun</v>
          </cell>
          <cell r="I3135" t="str">
            <v>Farida</v>
          </cell>
          <cell r="J3135"/>
          <cell r="K3135" t="str">
            <v>KU</v>
          </cell>
          <cell r="L3135" t="str">
            <v>HASI05</v>
          </cell>
          <cell r="M3135" t="str">
            <v>Hasil Usaha, UD</v>
          </cell>
          <cell r="N3135" t="str">
            <v>Yuniwan Younki Susanto</v>
          </cell>
          <cell r="O3135" t="str">
            <v>RT. 005/RW.007 , Kel. Kasiyan Kec. Puger</v>
          </cell>
          <cell r="P3135" t="str">
            <v>Jember</v>
          </cell>
          <cell r="Q3135" t="str">
            <v>Ds. Kasiyan, Puger</v>
          </cell>
          <cell r="R3135" t="str">
            <v>Jember</v>
          </cell>
          <cell r="S3135" t="str">
            <v>L Kota3</v>
          </cell>
          <cell r="T3135" t="str">
            <v>Efendi</v>
          </cell>
          <cell r="U3135">
            <v>0</v>
          </cell>
        </row>
        <row r="3136">
          <cell r="E3136" t="str">
            <v>Z25002767</v>
          </cell>
          <cell r="F3136"/>
          <cell r="G3136">
            <v>1000</v>
          </cell>
          <cell r="H3136" t="str">
            <v>Yuyun</v>
          </cell>
          <cell r="I3136" t="str">
            <v>Syahra</v>
          </cell>
          <cell r="J3136"/>
          <cell r="K3136" t="str">
            <v>KU</v>
          </cell>
          <cell r="L3136" t="str">
            <v>HEFN01</v>
          </cell>
          <cell r="M3136" t="str">
            <v>Hefni/Bayer</v>
          </cell>
          <cell r="N3136" t="str">
            <v>Mochamad Hefni</v>
          </cell>
          <cell r="O3136" t="str">
            <v>Dusun Krajan II, RT.002/RW.005, Kel. Glagahwero, Kec. Kec. Kalisat</v>
          </cell>
          <cell r="P3136" t="str">
            <v>Jember</v>
          </cell>
          <cell r="Q3136" t="str">
            <v>Jember</v>
          </cell>
          <cell r="R3136" t="str">
            <v>Jember</v>
          </cell>
          <cell r="S3136" t="str">
            <v>B Agronomis</v>
          </cell>
          <cell r="T3136" t="str">
            <v>Wira</v>
          </cell>
          <cell r="U3136">
            <v>0</v>
          </cell>
        </row>
        <row r="3137">
          <cell r="E3137" t="str">
            <v>B25013461</v>
          </cell>
          <cell r="F3137"/>
          <cell r="G3137">
            <v>1000</v>
          </cell>
          <cell r="H3137" t="str">
            <v>Yuyun</v>
          </cell>
          <cell r="I3137" t="str">
            <v>Farida</v>
          </cell>
          <cell r="J3137" t="str">
            <v>New 09/03/22</v>
          </cell>
          <cell r="K3137" t="str">
            <v>KU</v>
          </cell>
          <cell r="L3137" t="str">
            <v>HELM01</v>
          </cell>
          <cell r="M3137" t="str">
            <v>Helmi Sarwoko</v>
          </cell>
          <cell r="N3137" t="str">
            <v>Helmi Sarwoko</v>
          </cell>
          <cell r="O3137" t="str">
            <v>Jl. Cendrawasih Gang Coklat C 08, Perum Cendra RT.002/RW.001, Kel. Slawu, Kec. Patrang</v>
          </cell>
          <cell r="P3137" t="str">
            <v>Jember</v>
          </cell>
          <cell r="Q3137" t="str">
            <v>Jl. Cendrawasih Gang Coklat C 08, Perum Cendra RT.002/RW.001, Kel. Slawu, Kec. Patrang</v>
          </cell>
          <cell r="R3137" t="str">
            <v>Jember</v>
          </cell>
          <cell r="S3137" t="str">
            <v>L Kota2</v>
          </cell>
          <cell r="T3137" t="str">
            <v>Wira</v>
          </cell>
          <cell r="U3137">
            <v>0</v>
          </cell>
        </row>
        <row r="3138">
          <cell r="E3138" t="str">
            <v>D25015201</v>
          </cell>
          <cell r="F3138"/>
          <cell r="G3138">
            <v>1000</v>
          </cell>
          <cell r="H3138" t="str">
            <v>Yuyun</v>
          </cell>
          <cell r="I3138" t="str">
            <v>Syahra</v>
          </cell>
          <cell r="J3138" t="str">
            <v>New 04/07/25</v>
          </cell>
          <cell r="K3138" t="str">
            <v>KU</v>
          </cell>
          <cell r="L3138" t="str">
            <v>HEND32</v>
          </cell>
          <cell r="M3138" t="str">
            <v>Hendra MSI/Bisi</v>
          </cell>
          <cell r="N3138" t="str">
            <v>Hendra Apriyono</v>
          </cell>
          <cell r="O3138" t="str">
            <v>Dusun Terongan RT.001/RW.005 , Kel. Kebon Rejo Kec. Kalibaru</v>
          </cell>
          <cell r="P3138" t="str">
            <v>Banyuwangi</v>
          </cell>
          <cell r="Q3138" t="str">
            <v>Dusun Terongan RT.001/RW.005 , Kel. Kebon Rejo Kec. Kalibaru</v>
          </cell>
          <cell r="R3138" t="str">
            <v>Banyuwangi</v>
          </cell>
          <cell r="S3138" t="str">
            <v>B Agronomis</v>
          </cell>
          <cell r="T3138" t="str">
            <v>Hafid</v>
          </cell>
          <cell r="U3138">
            <v>0</v>
          </cell>
        </row>
        <row r="3139">
          <cell r="E3139" t="str">
            <v>B25013562</v>
          </cell>
          <cell r="F3139"/>
          <cell r="G3139">
            <v>1000</v>
          </cell>
          <cell r="H3139" t="str">
            <v>Yuyun</v>
          </cell>
          <cell r="I3139" t="str">
            <v>Syahra</v>
          </cell>
          <cell r="J3139" t="str">
            <v>New 04/07/25</v>
          </cell>
          <cell r="K3139" t="str">
            <v>KU</v>
          </cell>
          <cell r="L3139" t="str">
            <v>HEND32</v>
          </cell>
          <cell r="M3139" t="str">
            <v>Hendra MSI/Bisi</v>
          </cell>
          <cell r="N3139" t="str">
            <v>Hendra Apriyono</v>
          </cell>
          <cell r="O3139" t="str">
            <v>Dusun Terongan RT.001/RW.005 , Kel. Kebon Rejo Kec. Kalibaru</v>
          </cell>
          <cell r="P3139" t="str">
            <v>Banyuwangi</v>
          </cell>
          <cell r="Q3139" t="str">
            <v>Dusun Terongan RT.001/RW.005 , Kel. Kebon Rejo Kec. Kalibaru</v>
          </cell>
          <cell r="R3139" t="str">
            <v>Banyuwangi</v>
          </cell>
          <cell r="S3139" t="str">
            <v>B Agronomis</v>
          </cell>
          <cell r="T3139" t="str">
            <v>Hafid</v>
          </cell>
          <cell r="U3139">
            <v>0</v>
          </cell>
        </row>
        <row r="3140">
          <cell r="E3140" t="str">
            <v>C25000799</v>
          </cell>
          <cell r="F3140"/>
          <cell r="G3140">
            <v>1000</v>
          </cell>
          <cell r="H3140" t="str">
            <v>Yuyun</v>
          </cell>
          <cell r="I3140" t="str">
            <v>Farida</v>
          </cell>
          <cell r="J3140" t="str">
            <v>New 17/04/25</v>
          </cell>
          <cell r="K3140" t="str">
            <v>KU</v>
          </cell>
          <cell r="L3140" t="str">
            <v>HEND30</v>
          </cell>
          <cell r="M3140" t="str">
            <v>Hendras Saprotan</v>
          </cell>
          <cell r="N3140" t="str">
            <v>Hendras Lukman</v>
          </cell>
          <cell r="O3140" t="str">
            <v>Dusun Krajan RT.001/RW.001 , Kel. Klompangan Kec. Ajung</v>
          </cell>
          <cell r="P3140" t="str">
            <v>Jember</v>
          </cell>
          <cell r="Q3140" t="str">
            <v>Dusun Krajan RT.001/RW.001 , Kel. Klompangan Kec. Ajung</v>
          </cell>
          <cell r="R3140" t="str">
            <v>Jember</v>
          </cell>
          <cell r="S3140" t="str">
            <v>L Kota2</v>
          </cell>
          <cell r="T3140" t="str">
            <v>Wira</v>
          </cell>
          <cell r="U3140">
            <v>0</v>
          </cell>
        </row>
        <row r="3141">
          <cell r="E3141" t="str">
            <v>B25013202</v>
          </cell>
          <cell r="F3141"/>
          <cell r="G3141">
            <v>1000</v>
          </cell>
          <cell r="H3141" t="str">
            <v>Ariyani</v>
          </cell>
          <cell r="I3141" t="str">
            <v>Fira</v>
          </cell>
          <cell r="J3141" t="str">
            <v>New 24/06/23</v>
          </cell>
          <cell r="K3141" t="str">
            <v>KU</v>
          </cell>
          <cell r="L3141" t="str">
            <v>HERL03</v>
          </cell>
          <cell r="M3141" t="str">
            <v>Herlina Surabaya</v>
          </cell>
          <cell r="N3141" t="str">
            <v>Herlina</v>
          </cell>
          <cell r="O3141" t="str">
            <v>Jl. Surya Bahagia II-E/8 RT.010/RW.005, Kel. Kedoya Utara, Kec. Kebon Jeruk</v>
          </cell>
          <cell r="P3141" t="str">
            <v>Jakarta Barat</v>
          </cell>
          <cell r="Q3141" t="str">
            <v>Jl. Perak Timur No.272, Perak Utara, Kec. Pabean Cantikan</v>
          </cell>
          <cell r="R3141" t="str">
            <v>Surabaya</v>
          </cell>
          <cell r="S3141" t="str">
            <v>F Utara1</v>
          </cell>
          <cell r="T3141" t="str">
            <v>Tomi</v>
          </cell>
          <cell r="U3141">
            <v>0</v>
          </cell>
        </row>
        <row r="3142">
          <cell r="E3142" t="str">
            <v>B25011523</v>
          </cell>
          <cell r="F3142"/>
          <cell r="G3142">
            <v>1000000000</v>
          </cell>
          <cell r="H3142" t="str">
            <v>Hendra</v>
          </cell>
          <cell r="I3142" t="str">
            <v>Tiya</v>
          </cell>
          <cell r="J3142"/>
          <cell r="K3142" t="str">
            <v>KU</v>
          </cell>
          <cell r="L3142" t="str">
            <v>HERM03</v>
          </cell>
          <cell r="M3142" t="str">
            <v>Hermada Tangguh Agro Lestari, PT</v>
          </cell>
          <cell r="N3142" t="str">
            <v>Hermada Tangguh Agro Lestari, PT</v>
          </cell>
          <cell r="O3142" t="str">
            <v>Jl. Buya Hamka Dusun Sarae RT.010/RW.005, Rabakodo, Woha</v>
          </cell>
          <cell r="P3142" t="str">
            <v>Bima</v>
          </cell>
          <cell r="Q3142" t="str">
            <v>Jl. Buya Hamka Dusun Sarae RT.010/RW.005, Rabakodo, Woha</v>
          </cell>
          <cell r="R3142" t="str">
            <v>Bima</v>
          </cell>
          <cell r="S3142" t="str">
            <v>E Luar Pulau1</v>
          </cell>
          <cell r="T3142" t="str">
            <v>Muhlisin</v>
          </cell>
          <cell r="U3142">
            <v>45</v>
          </cell>
        </row>
        <row r="3143">
          <cell r="E3143" t="str">
            <v>D25013796</v>
          </cell>
          <cell r="F3143"/>
          <cell r="G3143">
            <v>1000000000</v>
          </cell>
          <cell r="H3143" t="str">
            <v>Hendra</v>
          </cell>
          <cell r="I3143" t="str">
            <v>Tiya</v>
          </cell>
          <cell r="J3143"/>
          <cell r="K3143" t="str">
            <v>KU</v>
          </cell>
          <cell r="L3143" t="str">
            <v>HERM03</v>
          </cell>
          <cell r="M3143" t="str">
            <v>Hermada Tangguh Agro Lestari, PT</v>
          </cell>
          <cell r="N3143" t="str">
            <v>Hermada Tangguh Agro Lestari, PT</v>
          </cell>
          <cell r="O3143" t="str">
            <v>Jl. Buya Hamka Dusun Sarae RT.010/RW.005, Rabakodo, Woha</v>
          </cell>
          <cell r="P3143" t="str">
            <v>Bima</v>
          </cell>
          <cell r="Q3143" t="str">
            <v>Jl. Buya Hamka Dusun Sarae RT.010/RW.005, Rabakodo, Woha</v>
          </cell>
          <cell r="R3143" t="str">
            <v>Bima</v>
          </cell>
          <cell r="S3143" t="str">
            <v>E Luar Pulau1</v>
          </cell>
          <cell r="T3143" t="str">
            <v>Muhlisin</v>
          </cell>
          <cell r="U3143">
            <v>45</v>
          </cell>
        </row>
        <row r="3144">
          <cell r="E3144" t="str">
            <v>B25009244</v>
          </cell>
          <cell r="F3144"/>
          <cell r="G3144">
            <v>3700000000</v>
          </cell>
          <cell r="H3144" t="str">
            <v>Hendra</v>
          </cell>
          <cell r="I3144" t="str">
            <v>Tiya</v>
          </cell>
          <cell r="J3144"/>
          <cell r="K3144" t="str">
            <v>KU</v>
          </cell>
          <cell r="L3144" t="str">
            <v>HERM01</v>
          </cell>
          <cell r="M3144" t="str">
            <v>Hermada Utama, Toko</v>
          </cell>
          <cell r="N3144" t="str">
            <v>Hermada Utama, CV (Dir. Sabil Al-Rasyad, SH)</v>
          </cell>
          <cell r="O3144" t="str">
            <v>Jl. Raya Karumbu RT.22/RW.06, Ngali Belo</v>
          </cell>
          <cell r="P3144" t="str">
            <v>Bima</v>
          </cell>
          <cell r="Q3144" t="str">
            <v>Jl. Raya Karumbu RT.22/RW.06, Ngali Belo</v>
          </cell>
          <cell r="R3144" t="str">
            <v>Bima</v>
          </cell>
          <cell r="S3144" t="str">
            <v>E Luar Pulau1</v>
          </cell>
          <cell r="T3144" t="str">
            <v>Muhlisin</v>
          </cell>
          <cell r="U3144">
            <v>45</v>
          </cell>
        </row>
        <row r="3145">
          <cell r="E3145" t="str">
            <v>B25009244</v>
          </cell>
          <cell r="F3145"/>
          <cell r="G3145">
            <v>3700000000</v>
          </cell>
          <cell r="H3145" t="str">
            <v>Hendra</v>
          </cell>
          <cell r="I3145" t="str">
            <v>Tiya</v>
          </cell>
          <cell r="J3145"/>
          <cell r="K3145" t="str">
            <v>KU</v>
          </cell>
          <cell r="L3145" t="str">
            <v>HERM01</v>
          </cell>
          <cell r="M3145" t="str">
            <v>Hermada Utama, Toko</v>
          </cell>
          <cell r="N3145" t="str">
            <v>Hermada Utama, CV (Dir. Sabil Al-Rasyad, SH)</v>
          </cell>
          <cell r="O3145" t="str">
            <v>Jl. Raya Karumbu RT.22/RW.06, Ngali Belo</v>
          </cell>
          <cell r="P3145" t="str">
            <v>Bima</v>
          </cell>
          <cell r="Q3145" t="str">
            <v>Jl. Raya Karumbu RT.22/RW.06, Ngali Belo</v>
          </cell>
          <cell r="R3145" t="str">
            <v>Bima</v>
          </cell>
          <cell r="S3145" t="str">
            <v>E Luar Pulau1</v>
          </cell>
          <cell r="T3145" t="str">
            <v>Muhlisin</v>
          </cell>
          <cell r="U3145">
            <v>45</v>
          </cell>
        </row>
        <row r="3146">
          <cell r="E3146" t="str">
            <v>B25009244</v>
          </cell>
          <cell r="F3146"/>
          <cell r="G3146">
            <v>3700000000</v>
          </cell>
          <cell r="H3146" t="str">
            <v>Hendra</v>
          </cell>
          <cell r="I3146" t="str">
            <v>Tiya</v>
          </cell>
          <cell r="J3146"/>
          <cell r="K3146" t="str">
            <v>KU</v>
          </cell>
          <cell r="L3146" t="str">
            <v>HERM01</v>
          </cell>
          <cell r="M3146" t="str">
            <v>Hermada Utama, Toko</v>
          </cell>
          <cell r="N3146" t="str">
            <v>Hermada Utama, CV (Dir. Sabil Al-Rasyad, SH)</v>
          </cell>
          <cell r="O3146" t="str">
            <v>Jl. Raya Karumbu RT.22/RW.06, Ngali Belo</v>
          </cell>
          <cell r="P3146" t="str">
            <v>Bima</v>
          </cell>
          <cell r="Q3146" t="str">
            <v>Jl. Raya Karumbu RT.22/RW.06, Ngali Belo</v>
          </cell>
          <cell r="R3146" t="str">
            <v>Bima</v>
          </cell>
          <cell r="S3146" t="str">
            <v>E Luar Pulau1</v>
          </cell>
          <cell r="T3146" t="str">
            <v>Muhlisin</v>
          </cell>
          <cell r="U3146">
            <v>45</v>
          </cell>
        </row>
        <row r="3147">
          <cell r="E3147" t="str">
            <v>B25009244</v>
          </cell>
          <cell r="F3147"/>
          <cell r="G3147">
            <v>3700000000</v>
          </cell>
          <cell r="H3147" t="str">
            <v>Hendra</v>
          </cell>
          <cell r="I3147" t="str">
            <v>Tiya</v>
          </cell>
          <cell r="J3147"/>
          <cell r="K3147" t="str">
            <v>KU</v>
          </cell>
          <cell r="L3147" t="str">
            <v>HERM01</v>
          </cell>
          <cell r="M3147" t="str">
            <v>Hermada Utama, Toko</v>
          </cell>
          <cell r="N3147" t="str">
            <v>Hermada Utama, CV (Dir. Sabil Al-Rasyad, SH)</v>
          </cell>
          <cell r="O3147" t="str">
            <v>Jl. Raya Karumbu RT.22/RW.06, Ngali Belo</v>
          </cell>
          <cell r="P3147" t="str">
            <v>Bima</v>
          </cell>
          <cell r="Q3147" t="str">
            <v>Jl. Raya Karumbu RT.22/RW.06, Ngali Belo</v>
          </cell>
          <cell r="R3147" t="str">
            <v>Bima</v>
          </cell>
          <cell r="S3147" t="str">
            <v>E Luar Pulau1</v>
          </cell>
          <cell r="T3147" t="str">
            <v>Muhlisin</v>
          </cell>
          <cell r="U3147">
            <v>45</v>
          </cell>
        </row>
        <row r="3148">
          <cell r="E3148" t="str">
            <v>B25010884</v>
          </cell>
          <cell r="F3148"/>
          <cell r="G3148">
            <v>3700000000</v>
          </cell>
          <cell r="H3148" t="str">
            <v>Hendra</v>
          </cell>
          <cell r="I3148" t="str">
            <v>Tiya</v>
          </cell>
          <cell r="J3148"/>
          <cell r="K3148" t="str">
            <v>KU</v>
          </cell>
          <cell r="L3148" t="str">
            <v>HERM01</v>
          </cell>
          <cell r="M3148" t="str">
            <v>Hermada Utama, Toko</v>
          </cell>
          <cell r="N3148" t="str">
            <v>Hermada Utama, CV (Dir. Sabil Al-Rasyad, SH)</v>
          </cell>
          <cell r="O3148" t="str">
            <v>Jl. Raya Karumbu RT.22/RW.06, Ngali Belo</v>
          </cell>
          <cell r="P3148" t="str">
            <v>Bima</v>
          </cell>
          <cell r="Q3148" t="str">
            <v>Jl. Raya Karumbu RT.22/RW.06, Ngali Belo</v>
          </cell>
          <cell r="R3148" t="str">
            <v>Bima</v>
          </cell>
          <cell r="S3148" t="str">
            <v>E Luar Pulau1</v>
          </cell>
          <cell r="T3148" t="str">
            <v>Muhlisin</v>
          </cell>
          <cell r="U3148">
            <v>45</v>
          </cell>
        </row>
        <row r="3149">
          <cell r="E3149" t="str">
            <v>B25010912</v>
          </cell>
          <cell r="F3149"/>
          <cell r="G3149">
            <v>3700000000</v>
          </cell>
          <cell r="H3149" t="str">
            <v>Hendra</v>
          </cell>
          <cell r="I3149" t="str">
            <v>Tiya</v>
          </cell>
          <cell r="J3149"/>
          <cell r="K3149" t="str">
            <v>KU</v>
          </cell>
          <cell r="L3149" t="str">
            <v>HERM01</v>
          </cell>
          <cell r="M3149" t="str">
            <v>Hermada Utama, Toko</v>
          </cell>
          <cell r="N3149" t="str">
            <v>Hermada Utama, CV (Dir. Sabil Al-Rasyad, SH)</v>
          </cell>
          <cell r="O3149" t="str">
            <v>Jl. Raya Karumbu RT.22/RW.06, Ngali Belo</v>
          </cell>
          <cell r="P3149" t="str">
            <v>Bima</v>
          </cell>
          <cell r="Q3149" t="str">
            <v>Jl. Raya Karumbu RT.22/RW.06, Ngali Belo</v>
          </cell>
          <cell r="R3149" t="str">
            <v>Bima</v>
          </cell>
          <cell r="S3149" t="str">
            <v>E Luar Pulau1</v>
          </cell>
          <cell r="T3149" t="str">
            <v>Muhlisin</v>
          </cell>
          <cell r="U3149">
            <v>45</v>
          </cell>
        </row>
        <row r="3150">
          <cell r="E3150" t="str">
            <v>B25011514</v>
          </cell>
          <cell r="F3150"/>
          <cell r="G3150">
            <v>3700000000</v>
          </cell>
          <cell r="H3150" t="str">
            <v>Hendra</v>
          </cell>
          <cell r="I3150" t="str">
            <v>Tiya</v>
          </cell>
          <cell r="J3150"/>
          <cell r="K3150" t="str">
            <v>KU</v>
          </cell>
          <cell r="L3150" t="str">
            <v>HERM01</v>
          </cell>
          <cell r="M3150" t="str">
            <v>Hermada Utama, Toko</v>
          </cell>
          <cell r="N3150" t="str">
            <v>Hermada Utama, CV (Dir. Sabil Al-Rasyad, SH)</v>
          </cell>
          <cell r="O3150" t="str">
            <v>Jl. Raya Karumbu RT.22/RW.06, Ngali Belo</v>
          </cell>
          <cell r="P3150" t="str">
            <v>Bima</v>
          </cell>
          <cell r="Q3150" t="str">
            <v>Jl. Raya Karumbu RT.22/RW.06, Ngali Belo</v>
          </cell>
          <cell r="R3150" t="str">
            <v>Bima</v>
          </cell>
          <cell r="S3150" t="str">
            <v>E Luar Pulau1</v>
          </cell>
          <cell r="T3150" t="str">
            <v>Muhlisin</v>
          </cell>
          <cell r="U3150">
            <v>45</v>
          </cell>
        </row>
        <row r="3151">
          <cell r="E3151" t="str">
            <v>B25012261</v>
          </cell>
          <cell r="F3151"/>
          <cell r="G3151">
            <v>3700000000</v>
          </cell>
          <cell r="H3151" t="str">
            <v>Hendra</v>
          </cell>
          <cell r="I3151" t="str">
            <v>Tiya</v>
          </cell>
          <cell r="J3151"/>
          <cell r="K3151" t="str">
            <v>KU</v>
          </cell>
          <cell r="L3151" t="str">
            <v>HERM01</v>
          </cell>
          <cell r="M3151" t="str">
            <v>Hermada Utama, Toko</v>
          </cell>
          <cell r="N3151" t="str">
            <v>Hermada Utama, CV (Dir. Sabil Al-Rasyad, SH)</v>
          </cell>
          <cell r="O3151" t="str">
            <v>Jl. Raya Karumbu RT.22/RW.06, Ngali Belo</v>
          </cell>
          <cell r="P3151" t="str">
            <v>Bima</v>
          </cell>
          <cell r="Q3151" t="str">
            <v>Jl. Raya Karumbu RT.22/RW.06, Ngali Belo</v>
          </cell>
          <cell r="R3151" t="str">
            <v>Bima</v>
          </cell>
          <cell r="S3151" t="str">
            <v>E Luar Pulau1</v>
          </cell>
          <cell r="T3151" t="str">
            <v>Muhlisin</v>
          </cell>
          <cell r="U3151">
            <v>45</v>
          </cell>
        </row>
        <row r="3152">
          <cell r="E3152" t="str">
            <v>D25014766</v>
          </cell>
          <cell r="F3152"/>
          <cell r="G3152">
            <v>3700000000</v>
          </cell>
          <cell r="H3152" t="str">
            <v>Hendra</v>
          </cell>
          <cell r="I3152" t="str">
            <v>Tiya</v>
          </cell>
          <cell r="J3152"/>
          <cell r="K3152" t="str">
            <v>KU</v>
          </cell>
          <cell r="L3152" t="str">
            <v>HERM01</v>
          </cell>
          <cell r="M3152" t="str">
            <v>Hermada Utama, Toko</v>
          </cell>
          <cell r="N3152" t="str">
            <v>Hermada Utama, CV (Dir. Sabil Al-Rasyad, SH)</v>
          </cell>
          <cell r="O3152" t="str">
            <v>Jl. Raya Karumbu RT.22/RW.06, Ngali Belo</v>
          </cell>
          <cell r="P3152" t="str">
            <v>Bima</v>
          </cell>
          <cell r="Q3152" t="str">
            <v>Jl. Raya Karumbu RT.22/RW.06, Ngali Belo</v>
          </cell>
          <cell r="R3152" t="str">
            <v>Bima</v>
          </cell>
          <cell r="S3152" t="str">
            <v>E Luar Pulau1</v>
          </cell>
          <cell r="T3152" t="str">
            <v>Muhlisin</v>
          </cell>
          <cell r="U3152">
            <v>45</v>
          </cell>
        </row>
        <row r="3153">
          <cell r="E3153" t="str">
            <v>D25015040</v>
          </cell>
          <cell r="F3153"/>
          <cell r="G3153">
            <v>3700000000</v>
          </cell>
          <cell r="H3153" t="str">
            <v>Hendra</v>
          </cell>
          <cell r="I3153" t="str">
            <v>Tiya</v>
          </cell>
          <cell r="J3153"/>
          <cell r="K3153" t="str">
            <v>KU</v>
          </cell>
          <cell r="L3153" t="str">
            <v>HERM01</v>
          </cell>
          <cell r="M3153" t="str">
            <v>Hermada Utama, Toko</v>
          </cell>
          <cell r="N3153" t="str">
            <v>Hermada Utama, CV (Dir. Sabil Al-Rasyad, SH)</v>
          </cell>
          <cell r="O3153" t="str">
            <v>Jl. Raya Karumbu RT.22/RW.06, Ngali Belo</v>
          </cell>
          <cell r="P3153" t="str">
            <v>Bima</v>
          </cell>
          <cell r="Q3153" t="str">
            <v>Jl. Raya Karumbu RT.22/RW.06, Ngali Belo</v>
          </cell>
          <cell r="R3153" t="str">
            <v>Bima</v>
          </cell>
          <cell r="S3153" t="str">
            <v>E Luar Pulau1</v>
          </cell>
          <cell r="T3153" t="str">
            <v>Muhlisin</v>
          </cell>
          <cell r="U3153">
            <v>45</v>
          </cell>
        </row>
        <row r="3154">
          <cell r="E3154" t="str">
            <v>D25009837</v>
          </cell>
          <cell r="F3154"/>
          <cell r="G3154">
            <v>5850000000</v>
          </cell>
          <cell r="H3154" t="str">
            <v>Hendra</v>
          </cell>
          <cell r="I3154" t="str">
            <v>Tiya</v>
          </cell>
          <cell r="J3154"/>
          <cell r="K3154" t="str">
            <v>BG</v>
          </cell>
          <cell r="L3154" t="str">
            <v>DEKA01</v>
          </cell>
          <cell r="M3154" t="str">
            <v>Herry Djuwarsa</v>
          </cell>
          <cell r="N3154" t="str">
            <v>Mukti Jaya Agro, PT</v>
          </cell>
          <cell r="O3154" t="str">
            <v>Jl. Patriot No.08/11, RT.005/RW.006 Sukagalih, Tarogong Kidul, Kab. Garut JABAR</v>
          </cell>
          <cell r="P3154" t="str">
            <v>Garut</v>
          </cell>
          <cell r="Q3154" t="str">
            <v>Jl. Kopo Blok AI No.9 Bandung</v>
          </cell>
          <cell r="R3154" t="str">
            <v>Bandung</v>
          </cell>
          <cell r="S3154" t="str">
            <v>I Jabar Jateng</v>
          </cell>
          <cell r="T3154" t="str">
            <v>Non SE &amp; JSE</v>
          </cell>
          <cell r="U3154">
            <v>60</v>
          </cell>
        </row>
        <row r="3155">
          <cell r="E3155" t="str">
            <v>B25008510</v>
          </cell>
          <cell r="F3155"/>
          <cell r="G3155">
            <v>5850000000</v>
          </cell>
          <cell r="H3155" t="str">
            <v>Hendra</v>
          </cell>
          <cell r="I3155" t="str">
            <v>Tiya</v>
          </cell>
          <cell r="J3155"/>
          <cell r="K3155" t="str">
            <v>BG</v>
          </cell>
          <cell r="L3155" t="str">
            <v>DEKA01</v>
          </cell>
          <cell r="M3155" t="str">
            <v>Herry Djuwarsa</v>
          </cell>
          <cell r="N3155" t="str">
            <v>Mukti Jaya Agro, PT</v>
          </cell>
          <cell r="O3155" t="str">
            <v>Jl. Patriot No.08/11, RT.005/RW.006 Sukagalih, Tarogong Kidul, Kab. Garut JABAR</v>
          </cell>
          <cell r="P3155" t="str">
            <v>Garut</v>
          </cell>
          <cell r="Q3155" t="str">
            <v>Jl. Kopo Blok AI No.9 Bandung</v>
          </cell>
          <cell r="R3155" t="str">
            <v>Bandung</v>
          </cell>
          <cell r="S3155" t="str">
            <v>I Jabar Jateng</v>
          </cell>
          <cell r="T3155" t="str">
            <v>Non SE &amp; JSE</v>
          </cell>
          <cell r="U3155">
            <v>60</v>
          </cell>
        </row>
        <row r="3156">
          <cell r="E3156" t="str">
            <v>B25008510</v>
          </cell>
          <cell r="F3156"/>
          <cell r="G3156">
            <v>5850000000</v>
          </cell>
          <cell r="H3156" t="str">
            <v>Hendra</v>
          </cell>
          <cell r="I3156" t="str">
            <v>Tiya</v>
          </cell>
          <cell r="J3156"/>
          <cell r="K3156" t="str">
            <v>BG</v>
          </cell>
          <cell r="L3156" t="str">
            <v>DEKA01</v>
          </cell>
          <cell r="M3156" t="str">
            <v>Herry Djuwarsa</v>
          </cell>
          <cell r="N3156" t="str">
            <v>Mukti Jaya Agro, PT</v>
          </cell>
          <cell r="O3156" t="str">
            <v>Jl. Patriot No.08/11, RT.005/RW.006 Sukagalih, Tarogong Kidul, Kab. Garut JABAR</v>
          </cell>
          <cell r="P3156" t="str">
            <v>Garut</v>
          </cell>
          <cell r="Q3156" t="str">
            <v>Jl. Kopo Blok AI No.9 Bandung</v>
          </cell>
          <cell r="R3156" t="str">
            <v>Bandung</v>
          </cell>
          <cell r="S3156" t="str">
            <v>I Jabar Jateng</v>
          </cell>
          <cell r="T3156" t="str">
            <v>Non SE &amp; JSE</v>
          </cell>
          <cell r="U3156">
            <v>60</v>
          </cell>
        </row>
        <row r="3157">
          <cell r="E3157" t="str">
            <v>B25008519</v>
          </cell>
          <cell r="F3157"/>
          <cell r="G3157">
            <v>5850000000</v>
          </cell>
          <cell r="H3157" t="str">
            <v>Hendra</v>
          </cell>
          <cell r="I3157" t="str">
            <v>Tiya</v>
          </cell>
          <cell r="J3157"/>
          <cell r="K3157" t="str">
            <v>BG</v>
          </cell>
          <cell r="L3157" t="str">
            <v>DEKA01</v>
          </cell>
          <cell r="M3157" t="str">
            <v>Herry Djuwarsa</v>
          </cell>
          <cell r="N3157" t="str">
            <v>Mukti Jaya Agro, PT</v>
          </cell>
          <cell r="O3157" t="str">
            <v>Jl. Patriot No.08/11, RT.005/RW.006 Sukagalih, Tarogong Kidul, Kab. Garut JABAR</v>
          </cell>
          <cell r="P3157" t="str">
            <v>Garut</v>
          </cell>
          <cell r="Q3157" t="str">
            <v>Jl. Kopo Blok AI No.9 Bandung</v>
          </cell>
          <cell r="R3157" t="str">
            <v>Bandung</v>
          </cell>
          <cell r="S3157" t="str">
            <v>I Jabar Jateng</v>
          </cell>
          <cell r="T3157" t="str">
            <v>Non SE &amp; JSE</v>
          </cell>
          <cell r="U3157">
            <v>60</v>
          </cell>
        </row>
        <row r="3158">
          <cell r="E3158" t="str">
            <v>B25008721</v>
          </cell>
          <cell r="F3158"/>
          <cell r="G3158">
            <v>5850000000</v>
          </cell>
          <cell r="H3158" t="str">
            <v>Hendra</v>
          </cell>
          <cell r="I3158" t="str">
            <v>Tiya</v>
          </cell>
          <cell r="J3158"/>
          <cell r="K3158" t="str">
            <v>BG</v>
          </cell>
          <cell r="L3158" t="str">
            <v>DEKA01</v>
          </cell>
          <cell r="M3158" t="str">
            <v>Herry Djuwarsa</v>
          </cell>
          <cell r="N3158" t="str">
            <v>Mukti Jaya Agro, PT</v>
          </cell>
          <cell r="O3158" t="str">
            <v>Jl. Patriot No.08/11, RT.005/RW.006 Sukagalih, Tarogong Kidul, Kab. Garut JABAR</v>
          </cell>
          <cell r="P3158" t="str">
            <v>Garut</v>
          </cell>
          <cell r="Q3158" t="str">
            <v>Jl. Kopo Blok AI No.9 Bandung</v>
          </cell>
          <cell r="R3158" t="str">
            <v>Bandung</v>
          </cell>
          <cell r="S3158" t="str">
            <v>I Jabar Jateng</v>
          </cell>
          <cell r="T3158" t="str">
            <v>Non SE &amp; JSE</v>
          </cell>
          <cell r="U3158">
            <v>60</v>
          </cell>
        </row>
        <row r="3159">
          <cell r="E3159" t="str">
            <v>B25008741</v>
          </cell>
          <cell r="F3159"/>
          <cell r="G3159">
            <v>5850000000</v>
          </cell>
          <cell r="H3159" t="str">
            <v>Hendra</v>
          </cell>
          <cell r="I3159" t="str">
            <v>Tiya</v>
          </cell>
          <cell r="J3159"/>
          <cell r="K3159" t="str">
            <v>BG</v>
          </cell>
          <cell r="L3159" t="str">
            <v>DEKA01</v>
          </cell>
          <cell r="M3159" t="str">
            <v>Herry Djuwarsa</v>
          </cell>
          <cell r="N3159" t="str">
            <v>Mukti Jaya Agro, PT</v>
          </cell>
          <cell r="O3159" t="str">
            <v>Jl. Patriot No.08/11, RT.005/RW.006 Sukagalih, Tarogong Kidul, Kab. Garut JABAR</v>
          </cell>
          <cell r="P3159" t="str">
            <v>Garut</v>
          </cell>
          <cell r="Q3159" t="str">
            <v>Jl. Kopo Blok AI No.9 Bandung</v>
          </cell>
          <cell r="R3159" t="str">
            <v>Bandung</v>
          </cell>
          <cell r="S3159" t="str">
            <v>I Jabar Jateng</v>
          </cell>
          <cell r="T3159" t="str">
            <v>Non SE &amp; JSE</v>
          </cell>
          <cell r="U3159">
            <v>60</v>
          </cell>
        </row>
        <row r="3160">
          <cell r="E3160" t="str">
            <v>B25008753</v>
          </cell>
          <cell r="F3160"/>
          <cell r="G3160">
            <v>5850000000</v>
          </cell>
          <cell r="H3160" t="str">
            <v>Hendra</v>
          </cell>
          <cell r="I3160" t="str">
            <v>Tiya</v>
          </cell>
          <cell r="J3160"/>
          <cell r="K3160" t="str">
            <v>BG</v>
          </cell>
          <cell r="L3160" t="str">
            <v>DEKA01</v>
          </cell>
          <cell r="M3160" t="str">
            <v>Herry Djuwarsa</v>
          </cell>
          <cell r="N3160" t="str">
            <v>Mukti Jaya Agro, PT</v>
          </cell>
          <cell r="O3160" t="str">
            <v>Jl. Patriot No.08/11, RT.005/RW.006 Sukagalih, Tarogong Kidul, Kab. Garut JABAR</v>
          </cell>
          <cell r="P3160" t="str">
            <v>Garut</v>
          </cell>
          <cell r="Q3160" t="str">
            <v>Jl. Kopo Blok AI No.9 Bandung</v>
          </cell>
          <cell r="R3160" t="str">
            <v>Bandung</v>
          </cell>
          <cell r="S3160" t="str">
            <v>I Jabar Jateng</v>
          </cell>
          <cell r="T3160" t="str">
            <v>Non SE &amp; JSE</v>
          </cell>
          <cell r="U3160">
            <v>60</v>
          </cell>
        </row>
        <row r="3161">
          <cell r="E3161" t="str">
            <v>B25009811</v>
          </cell>
          <cell r="F3161"/>
          <cell r="G3161">
            <v>5850000000</v>
          </cell>
          <cell r="H3161" t="str">
            <v>Hendra</v>
          </cell>
          <cell r="I3161" t="str">
            <v>Tiya</v>
          </cell>
          <cell r="J3161"/>
          <cell r="K3161" t="str">
            <v>BG</v>
          </cell>
          <cell r="L3161" t="str">
            <v>DEKA01</v>
          </cell>
          <cell r="M3161" t="str">
            <v>Herry Djuwarsa</v>
          </cell>
          <cell r="N3161" t="str">
            <v>Mukti Jaya Agro, PT</v>
          </cell>
          <cell r="O3161" t="str">
            <v>Jl. Patriot No.08/11, RT.005/RW.006 Sukagalih, Tarogong Kidul, Kab. Garut JABAR</v>
          </cell>
          <cell r="P3161" t="str">
            <v>Garut</v>
          </cell>
          <cell r="Q3161" t="str">
            <v>Jl. Kopo Blok AI No.9 Bandung</v>
          </cell>
          <cell r="R3161" t="str">
            <v>Bandung</v>
          </cell>
          <cell r="S3161" t="str">
            <v>I Jabar Jateng</v>
          </cell>
          <cell r="T3161" t="str">
            <v>Non SE &amp; JSE</v>
          </cell>
          <cell r="U3161">
            <v>60</v>
          </cell>
        </row>
        <row r="3162">
          <cell r="E3162" t="str">
            <v>B25009893</v>
          </cell>
          <cell r="F3162"/>
          <cell r="G3162">
            <v>5850000000</v>
          </cell>
          <cell r="H3162" t="str">
            <v>Hendra</v>
          </cell>
          <cell r="I3162" t="str">
            <v>Tiya</v>
          </cell>
          <cell r="J3162"/>
          <cell r="K3162" t="str">
            <v>BG</v>
          </cell>
          <cell r="L3162" t="str">
            <v>DEKA01</v>
          </cell>
          <cell r="M3162" t="str">
            <v>Herry Djuwarsa</v>
          </cell>
          <cell r="N3162" t="str">
            <v>Mukti Jaya Agro, PT</v>
          </cell>
          <cell r="O3162" t="str">
            <v>Jl. Patriot No.08/11, RT.005/RW.006 Sukagalih, Tarogong Kidul, Kab. Garut JABAR</v>
          </cell>
          <cell r="P3162" t="str">
            <v>Garut</v>
          </cell>
          <cell r="Q3162" t="str">
            <v>Jl. Kopo Blok AI No.9 Bandung</v>
          </cell>
          <cell r="R3162" t="str">
            <v>Bandung</v>
          </cell>
          <cell r="S3162" t="str">
            <v>I Jabar Jateng</v>
          </cell>
          <cell r="T3162" t="str">
            <v>Non SE &amp; JSE</v>
          </cell>
          <cell r="U3162">
            <v>60</v>
          </cell>
        </row>
        <row r="3163">
          <cell r="E3163" t="str">
            <v>D25012908</v>
          </cell>
          <cell r="F3163"/>
          <cell r="G3163">
            <v>5850000000</v>
          </cell>
          <cell r="H3163" t="str">
            <v>Hendra</v>
          </cell>
          <cell r="I3163" t="str">
            <v>Tiya</v>
          </cell>
          <cell r="J3163"/>
          <cell r="K3163" t="str">
            <v>BG</v>
          </cell>
          <cell r="L3163" t="str">
            <v>DEKA01</v>
          </cell>
          <cell r="M3163" t="str">
            <v>Herry Djuwarsa</v>
          </cell>
          <cell r="N3163" t="str">
            <v>Mukti Jaya Agro, PT</v>
          </cell>
          <cell r="O3163" t="str">
            <v>Jl. Patriot No.08/11, RT.005/RW.006 Sukagalih, Tarogong Kidul, Kab. Garut JABAR</v>
          </cell>
          <cell r="P3163" t="str">
            <v>Garut</v>
          </cell>
          <cell r="Q3163" t="str">
            <v>Jl. Kopo Blok AI No.9 Bandung</v>
          </cell>
          <cell r="R3163" t="str">
            <v>Bandung</v>
          </cell>
          <cell r="S3163" t="str">
            <v>I Jabar Jateng</v>
          </cell>
          <cell r="T3163" t="str">
            <v>Non SE &amp; JSE</v>
          </cell>
          <cell r="U3163">
            <v>60</v>
          </cell>
        </row>
        <row r="3164">
          <cell r="E3164" t="str">
            <v>D25013648</v>
          </cell>
          <cell r="F3164"/>
          <cell r="G3164">
            <v>5850000000</v>
          </cell>
          <cell r="H3164" t="str">
            <v>Hendra</v>
          </cell>
          <cell r="I3164" t="str">
            <v>Tiya</v>
          </cell>
          <cell r="J3164"/>
          <cell r="K3164" t="str">
            <v>BG</v>
          </cell>
          <cell r="L3164" t="str">
            <v>DEKA01</v>
          </cell>
          <cell r="M3164" t="str">
            <v>Herry Djuwarsa</v>
          </cell>
          <cell r="N3164" t="str">
            <v>Mukti Jaya Agro, PT</v>
          </cell>
          <cell r="O3164" t="str">
            <v>Jl. Patriot No.08/11, RT.005/RW.006 Sukagalih, Tarogong Kidul, Kab. Garut JABAR</v>
          </cell>
          <cell r="P3164" t="str">
            <v>Garut</v>
          </cell>
          <cell r="Q3164" t="str">
            <v>Jl. Kopo Blok AI No.9 Bandung</v>
          </cell>
          <cell r="R3164" t="str">
            <v>Bandung</v>
          </cell>
          <cell r="S3164" t="str">
            <v>I Jabar Jateng</v>
          </cell>
          <cell r="T3164" t="str">
            <v>Non SE &amp; JSE</v>
          </cell>
          <cell r="U3164">
            <v>60</v>
          </cell>
        </row>
        <row r="3165">
          <cell r="E3165" t="str">
            <v>D25013675</v>
          </cell>
          <cell r="F3165"/>
          <cell r="G3165">
            <v>5850000000</v>
          </cell>
          <cell r="H3165" t="str">
            <v>Hendra</v>
          </cell>
          <cell r="I3165" t="str">
            <v>Tiya</v>
          </cell>
          <cell r="J3165"/>
          <cell r="K3165" t="str">
            <v>BG</v>
          </cell>
          <cell r="L3165" t="str">
            <v>DEKA01</v>
          </cell>
          <cell r="M3165" t="str">
            <v>Herry Djuwarsa</v>
          </cell>
          <cell r="N3165" t="str">
            <v>Mukti Jaya Agro, PT</v>
          </cell>
          <cell r="O3165" t="str">
            <v>Jl. Patriot No.08/11, RT.005/RW.006 Sukagalih, Tarogong Kidul, Kab. Garut JABAR</v>
          </cell>
          <cell r="P3165" t="str">
            <v>Garut</v>
          </cell>
          <cell r="Q3165" t="str">
            <v>Jl. Kopo Blok AI No.9 Bandung</v>
          </cell>
          <cell r="R3165" t="str">
            <v>Bandung</v>
          </cell>
          <cell r="S3165" t="str">
            <v>I Jabar Jateng</v>
          </cell>
          <cell r="T3165" t="str">
            <v>Non SE &amp; JSE</v>
          </cell>
          <cell r="U3165">
            <v>60</v>
          </cell>
        </row>
        <row r="3166">
          <cell r="E3166" t="str">
            <v>B25012091</v>
          </cell>
          <cell r="F3166"/>
          <cell r="G3166">
            <v>5850000000</v>
          </cell>
          <cell r="H3166" t="str">
            <v>Hendra</v>
          </cell>
          <cell r="I3166" t="str">
            <v>Tiya</v>
          </cell>
          <cell r="J3166"/>
          <cell r="K3166" t="str">
            <v>BG</v>
          </cell>
          <cell r="L3166" t="str">
            <v>DEKA01</v>
          </cell>
          <cell r="M3166" t="str">
            <v>Herry Djuwarsa</v>
          </cell>
          <cell r="N3166" t="str">
            <v>Mukti Jaya Agro, PT</v>
          </cell>
          <cell r="O3166" t="str">
            <v>Jl. Patriot No.08/11, RT.005/RW.006 Sukagalih, Tarogong Kidul, Kab. Garut JABAR</v>
          </cell>
          <cell r="P3166" t="str">
            <v>Garut</v>
          </cell>
          <cell r="Q3166" t="str">
            <v>Jl. Kopo Blok AI No.9 Bandung</v>
          </cell>
          <cell r="R3166" t="str">
            <v>Bandung</v>
          </cell>
          <cell r="S3166" t="str">
            <v>I Jabar Jateng</v>
          </cell>
          <cell r="T3166" t="str">
            <v>Non SE &amp; JSE</v>
          </cell>
          <cell r="U3166">
            <v>60</v>
          </cell>
        </row>
        <row r="3167">
          <cell r="E3167" t="str">
            <v>D25014343</v>
          </cell>
          <cell r="F3167"/>
          <cell r="G3167">
            <v>5850000000</v>
          </cell>
          <cell r="H3167" t="str">
            <v>Hendra</v>
          </cell>
          <cell r="I3167" t="str">
            <v>Tiya</v>
          </cell>
          <cell r="J3167"/>
          <cell r="K3167" t="str">
            <v>BG</v>
          </cell>
          <cell r="L3167" t="str">
            <v>DEKA01</v>
          </cell>
          <cell r="M3167" t="str">
            <v>Herry Djuwarsa</v>
          </cell>
          <cell r="N3167" t="str">
            <v>Mukti Jaya Agro, PT</v>
          </cell>
          <cell r="O3167" t="str">
            <v>Jl. Patriot No.08/11, RT.005/RW.006 Sukagalih, Tarogong Kidul, Kab. Garut JABAR</v>
          </cell>
          <cell r="P3167" t="str">
            <v>Garut</v>
          </cell>
          <cell r="Q3167" t="str">
            <v>Jl. Kopo Blok AI No.9 Bandung</v>
          </cell>
          <cell r="R3167" t="str">
            <v>Bandung</v>
          </cell>
          <cell r="S3167" t="str">
            <v>I Jabar Jateng</v>
          </cell>
          <cell r="T3167" t="str">
            <v>Non SE &amp; JSE</v>
          </cell>
          <cell r="U3167">
            <v>60</v>
          </cell>
        </row>
        <row r="3168">
          <cell r="E3168" t="str">
            <v>D25014913</v>
          </cell>
          <cell r="F3168"/>
          <cell r="G3168">
            <v>5850000000</v>
          </cell>
          <cell r="H3168" t="str">
            <v>Hendra</v>
          </cell>
          <cell r="I3168" t="str">
            <v>Tiya</v>
          </cell>
          <cell r="J3168"/>
          <cell r="K3168" t="str">
            <v>BG</v>
          </cell>
          <cell r="L3168" t="str">
            <v>DEKA01</v>
          </cell>
          <cell r="M3168" t="str">
            <v>Herry Djuwarsa</v>
          </cell>
          <cell r="N3168" t="str">
            <v>Mukti Jaya Agro, PT</v>
          </cell>
          <cell r="O3168" t="str">
            <v>Jl. Patriot No.08/11, RT.005/RW.006 Sukagalih, Tarogong Kidul, Kab. Garut JABAR</v>
          </cell>
          <cell r="P3168" t="str">
            <v>Garut</v>
          </cell>
          <cell r="Q3168" t="str">
            <v>Jl. Kopo Blok AI No.9 Bandung</v>
          </cell>
          <cell r="R3168" t="str">
            <v>Bandung</v>
          </cell>
          <cell r="S3168" t="str">
            <v>I Jabar Jateng</v>
          </cell>
          <cell r="T3168" t="str">
            <v>Non SE &amp; JSE</v>
          </cell>
          <cell r="U3168">
            <v>60</v>
          </cell>
        </row>
        <row r="3169">
          <cell r="E3169" t="str">
            <v>Z25002531</v>
          </cell>
          <cell r="F3169"/>
          <cell r="G3169">
            <v>5850000000</v>
          </cell>
          <cell r="H3169" t="str">
            <v>Hendra</v>
          </cell>
          <cell r="I3169" t="str">
            <v>Tiya</v>
          </cell>
          <cell r="J3169"/>
          <cell r="K3169" t="str">
            <v>BG</v>
          </cell>
          <cell r="L3169" t="str">
            <v>DEKA01</v>
          </cell>
          <cell r="M3169" t="str">
            <v>Herry Djuwarsa</v>
          </cell>
          <cell r="N3169" t="str">
            <v>Mukti Jaya Agro, PT</v>
          </cell>
          <cell r="O3169" t="str">
            <v>Jl. Patriot No.08/11, RT.005/RW.006 Sukagalih, Tarogong Kidul, Kab. Garut JABAR</v>
          </cell>
          <cell r="P3169" t="str">
            <v>Garut</v>
          </cell>
          <cell r="Q3169" t="str">
            <v>Jl. Kopo Blok AI No.9 Bandung</v>
          </cell>
          <cell r="R3169" t="str">
            <v>Bandung</v>
          </cell>
          <cell r="S3169" t="str">
            <v>I Jabar Jateng</v>
          </cell>
          <cell r="T3169" t="str">
            <v>Non SE &amp; JSE</v>
          </cell>
          <cell r="U3169">
            <v>60</v>
          </cell>
        </row>
        <row r="3170">
          <cell r="E3170" t="str">
            <v>B25012824</v>
          </cell>
          <cell r="F3170"/>
          <cell r="G3170">
            <v>5850000000</v>
          </cell>
          <cell r="H3170" t="str">
            <v>Hendra</v>
          </cell>
          <cell r="I3170" t="str">
            <v>Tiya</v>
          </cell>
          <cell r="J3170"/>
          <cell r="K3170" t="str">
            <v>BG</v>
          </cell>
          <cell r="L3170" t="str">
            <v>DEKA01</v>
          </cell>
          <cell r="M3170" t="str">
            <v>Herry Djuwarsa</v>
          </cell>
          <cell r="N3170" t="str">
            <v>Mukti Jaya Agro, PT</v>
          </cell>
          <cell r="O3170" t="str">
            <v>Jl. Patriot No.08/11, RT.005/RW.006 Sukagalih, Tarogong Kidul, Kab. Garut JABAR</v>
          </cell>
          <cell r="P3170" t="str">
            <v>Garut</v>
          </cell>
          <cell r="Q3170" t="str">
            <v>Jl. Kopo Blok AI No.9 Bandung</v>
          </cell>
          <cell r="R3170" t="str">
            <v>Bandung</v>
          </cell>
          <cell r="S3170" t="str">
            <v>I Jabar Jateng</v>
          </cell>
          <cell r="T3170" t="str">
            <v>Non SE &amp; JSE</v>
          </cell>
          <cell r="U3170">
            <v>60</v>
          </cell>
        </row>
        <row r="3171">
          <cell r="E3171" t="str">
            <v>B25012825</v>
          </cell>
          <cell r="F3171"/>
          <cell r="G3171">
            <v>5850000000</v>
          </cell>
          <cell r="H3171" t="str">
            <v>Hendra</v>
          </cell>
          <cell r="I3171" t="str">
            <v>Tiya</v>
          </cell>
          <cell r="J3171"/>
          <cell r="K3171" t="str">
            <v>BG</v>
          </cell>
          <cell r="L3171" t="str">
            <v>DEKA01</v>
          </cell>
          <cell r="M3171" t="str">
            <v>Herry Djuwarsa</v>
          </cell>
          <cell r="N3171" t="str">
            <v>Mukti Jaya Agro, PT</v>
          </cell>
          <cell r="O3171" t="str">
            <v>Jl. Patriot No.08/11, RT.005/RW.006 Sukagalih, Tarogong Kidul, Kab. Garut JABAR</v>
          </cell>
          <cell r="P3171" t="str">
            <v>Garut</v>
          </cell>
          <cell r="Q3171" t="str">
            <v>Jl. Kopo Blok AI No.9 Bandung</v>
          </cell>
          <cell r="R3171" t="str">
            <v>Bandung</v>
          </cell>
          <cell r="S3171" t="str">
            <v>I Jabar Jateng</v>
          </cell>
          <cell r="T3171" t="str">
            <v>Non SE &amp; JSE</v>
          </cell>
          <cell r="U3171">
            <v>60</v>
          </cell>
        </row>
        <row r="3172">
          <cell r="E3172" t="str">
            <v>B25013097</v>
          </cell>
          <cell r="F3172"/>
          <cell r="G3172">
            <v>5850000000</v>
          </cell>
          <cell r="H3172" t="str">
            <v>Hendra</v>
          </cell>
          <cell r="I3172" t="str">
            <v>Tiya</v>
          </cell>
          <cell r="J3172"/>
          <cell r="K3172" t="str">
            <v>BG</v>
          </cell>
          <cell r="L3172" t="str">
            <v>DEKA01</v>
          </cell>
          <cell r="M3172" t="str">
            <v>Herry Djuwarsa</v>
          </cell>
          <cell r="N3172" t="str">
            <v>Mukti Jaya Agro, PT</v>
          </cell>
          <cell r="O3172" t="str">
            <v>Jl. Patriot No.08/11, RT.005/RW.006 Sukagalih, Tarogong Kidul, Kab. Garut JABAR</v>
          </cell>
          <cell r="P3172" t="str">
            <v>Garut</v>
          </cell>
          <cell r="Q3172" t="str">
            <v>Jl. Kopo Blok AI No.9 Bandung</v>
          </cell>
          <cell r="R3172" t="str">
            <v>Bandung</v>
          </cell>
          <cell r="S3172" t="str">
            <v>I Jabar Jateng</v>
          </cell>
          <cell r="T3172" t="str">
            <v>Non SE &amp; JSE</v>
          </cell>
          <cell r="U3172">
            <v>60</v>
          </cell>
        </row>
        <row r="3173">
          <cell r="E3173" t="str">
            <v>B25013176</v>
          </cell>
          <cell r="F3173"/>
          <cell r="G3173">
            <v>5850000000</v>
          </cell>
          <cell r="H3173" t="str">
            <v>Hendra</v>
          </cell>
          <cell r="I3173" t="str">
            <v>Tiya</v>
          </cell>
          <cell r="J3173"/>
          <cell r="K3173" t="str">
            <v>BG</v>
          </cell>
          <cell r="L3173" t="str">
            <v>DEKA01</v>
          </cell>
          <cell r="M3173" t="str">
            <v>Herry Djuwarsa</v>
          </cell>
          <cell r="N3173" t="str">
            <v>Mukti Jaya Agro, PT</v>
          </cell>
          <cell r="O3173" t="str">
            <v>Jl. Patriot No.08/11, RT.005/RW.006 Sukagalih, Tarogong Kidul, Kab. Garut JABAR</v>
          </cell>
          <cell r="P3173" t="str">
            <v>Garut</v>
          </cell>
          <cell r="Q3173" t="str">
            <v>Jl. Kopo Blok AI No.9 Bandung</v>
          </cell>
          <cell r="R3173" t="str">
            <v>Bandung</v>
          </cell>
          <cell r="S3173" t="str">
            <v>I Jabar Jateng</v>
          </cell>
          <cell r="T3173" t="str">
            <v>Non SE &amp; JSE</v>
          </cell>
          <cell r="U3173">
            <v>60</v>
          </cell>
        </row>
        <row r="3174">
          <cell r="E3174" t="str">
            <v>B25008077</v>
          </cell>
          <cell r="F3174"/>
          <cell r="G3174">
            <v>5500000000</v>
          </cell>
          <cell r="H3174" t="str">
            <v>Hendra</v>
          </cell>
          <cell r="I3174" t="str">
            <v>Tiya</v>
          </cell>
          <cell r="J3174"/>
          <cell r="K3174" t="str">
            <v>BG</v>
          </cell>
          <cell r="L3174" t="str">
            <v>DEKA02</v>
          </cell>
          <cell r="M3174" t="str">
            <v>Herry Djuwarsa/Deka Agro</v>
          </cell>
          <cell r="N3174" t="str">
            <v>Deka Agro Product, CV</v>
          </cell>
          <cell r="O3174" t="str">
            <v>Jl. Patriot No.03, RT.04/RW.06, Sukagalih Tarogong Kidul</v>
          </cell>
          <cell r="P3174" t="str">
            <v>Garut - JABAR</v>
          </cell>
          <cell r="Q3174" t="str">
            <v>Jl. Patriot No.03, RT.04/RW.06, Sukagalih Tarogong Kidul</v>
          </cell>
          <cell r="R3174" t="str">
            <v>Garut - JABAR</v>
          </cell>
          <cell r="S3174" t="str">
            <v>I Jabar Jateng</v>
          </cell>
          <cell r="T3174" t="str">
            <v>Non SE &amp; JSE</v>
          </cell>
          <cell r="U3174">
            <v>60</v>
          </cell>
        </row>
        <row r="3175">
          <cell r="E3175" t="str">
            <v>D25009838</v>
          </cell>
          <cell r="F3175"/>
          <cell r="G3175">
            <v>5500000000</v>
          </cell>
          <cell r="H3175" t="str">
            <v>Hendra</v>
          </cell>
          <cell r="I3175" t="str">
            <v>Tiya</v>
          </cell>
          <cell r="J3175"/>
          <cell r="K3175" t="str">
            <v>BG</v>
          </cell>
          <cell r="L3175" t="str">
            <v>DEKA02</v>
          </cell>
          <cell r="M3175" t="str">
            <v>Herry Djuwarsa/Deka Agro</v>
          </cell>
          <cell r="N3175" t="str">
            <v>Deka Agro Product, CV</v>
          </cell>
          <cell r="O3175" t="str">
            <v>Jl. Patriot No.03, RT.04/RW.06, Sukagalih Tarogong Kidul</v>
          </cell>
          <cell r="P3175" t="str">
            <v>Garut - JABAR</v>
          </cell>
          <cell r="Q3175" t="str">
            <v>Jl. Patriot No.03, RT.04/RW.06, Sukagalih Tarogong Kidul</v>
          </cell>
          <cell r="R3175" t="str">
            <v>Garut - JABAR</v>
          </cell>
          <cell r="S3175" t="str">
            <v>I Jabar Jateng</v>
          </cell>
          <cell r="T3175" t="str">
            <v>Non SE &amp; JSE</v>
          </cell>
          <cell r="U3175">
            <v>60</v>
          </cell>
        </row>
        <row r="3176">
          <cell r="E3176" t="str">
            <v>D25009872</v>
          </cell>
          <cell r="F3176"/>
          <cell r="G3176">
            <v>5500000000</v>
          </cell>
          <cell r="H3176" t="str">
            <v>Hendra</v>
          </cell>
          <cell r="I3176" t="str">
            <v>Tiya</v>
          </cell>
          <cell r="J3176"/>
          <cell r="K3176" t="str">
            <v>BG</v>
          </cell>
          <cell r="L3176" t="str">
            <v>DEKA02</v>
          </cell>
          <cell r="M3176" t="str">
            <v>Herry Djuwarsa/Deka Agro</v>
          </cell>
          <cell r="N3176" t="str">
            <v>Deka Agro Product, CV</v>
          </cell>
          <cell r="O3176" t="str">
            <v>Jl. Patriot No.03, RT.04/RW.06, Sukagalih Tarogong Kidul</v>
          </cell>
          <cell r="P3176" t="str">
            <v>Garut - JABAR</v>
          </cell>
          <cell r="Q3176" t="str">
            <v>Jl. Patriot No.03, RT.04/RW.06, Sukagalih Tarogong Kidul</v>
          </cell>
          <cell r="R3176" t="str">
            <v>Garut - JABAR</v>
          </cell>
          <cell r="S3176" t="str">
            <v>I Jabar Jateng</v>
          </cell>
          <cell r="T3176" t="str">
            <v>Non SE &amp; JSE</v>
          </cell>
          <cell r="U3176">
            <v>60</v>
          </cell>
        </row>
        <row r="3177">
          <cell r="E3177" t="str">
            <v>B25008740</v>
          </cell>
          <cell r="F3177"/>
          <cell r="G3177">
            <v>5500000000</v>
          </cell>
          <cell r="H3177" t="str">
            <v>Hendra</v>
          </cell>
          <cell r="I3177" t="str">
            <v>Tiya</v>
          </cell>
          <cell r="J3177"/>
          <cell r="K3177" t="str">
            <v>BG</v>
          </cell>
          <cell r="L3177" t="str">
            <v>DEKA02</v>
          </cell>
          <cell r="M3177" t="str">
            <v>Herry Djuwarsa/Deka Agro</v>
          </cell>
          <cell r="N3177" t="str">
            <v>Deka Agro Product, CV</v>
          </cell>
          <cell r="O3177" t="str">
            <v>Jl. Patriot No.03, RT.04/RW.06, Sukagalih Tarogong Kidul</v>
          </cell>
          <cell r="P3177" t="str">
            <v>Garut - JABAR</v>
          </cell>
          <cell r="Q3177" t="str">
            <v>Jl. Patriot No.03, RT.04/RW.06, Sukagalih Tarogong Kidul</v>
          </cell>
          <cell r="R3177" t="str">
            <v>Garut - JABAR</v>
          </cell>
          <cell r="S3177" t="str">
            <v>I Jabar Jateng</v>
          </cell>
          <cell r="T3177" t="str">
            <v>Non SE &amp; JSE</v>
          </cell>
          <cell r="U3177">
            <v>60</v>
          </cell>
        </row>
        <row r="3178">
          <cell r="E3178" t="str">
            <v>B25008875</v>
          </cell>
          <cell r="F3178"/>
          <cell r="G3178">
            <v>5500000000</v>
          </cell>
          <cell r="H3178" t="str">
            <v>Hendra</v>
          </cell>
          <cell r="I3178" t="str">
            <v>Tiya</v>
          </cell>
          <cell r="J3178"/>
          <cell r="K3178" t="str">
            <v>BG</v>
          </cell>
          <cell r="L3178" t="str">
            <v>DEKA02</v>
          </cell>
          <cell r="M3178" t="str">
            <v>Herry Djuwarsa/Deka Agro</v>
          </cell>
          <cell r="N3178" t="str">
            <v>Deka Agro Product, CV</v>
          </cell>
          <cell r="O3178" t="str">
            <v>Jl. Patriot No.03, RT.04/RW.06, Sukagalih Tarogong Kidul</v>
          </cell>
          <cell r="P3178" t="str">
            <v>Garut - JABAR</v>
          </cell>
          <cell r="Q3178" t="str">
            <v>Jl. Patriot No.03, RT.04/RW.06, Sukagalih Tarogong Kidul</v>
          </cell>
          <cell r="R3178" t="str">
            <v>Garut - JABAR</v>
          </cell>
          <cell r="S3178" t="str">
            <v>I Jabar Jateng</v>
          </cell>
          <cell r="T3178" t="str">
            <v>Non SE &amp; JSE</v>
          </cell>
          <cell r="U3178">
            <v>60</v>
          </cell>
        </row>
        <row r="3179">
          <cell r="E3179" t="str">
            <v>B25009121</v>
          </cell>
          <cell r="F3179"/>
          <cell r="G3179">
            <v>5500000000</v>
          </cell>
          <cell r="H3179" t="str">
            <v>Hendra</v>
          </cell>
          <cell r="I3179" t="str">
            <v>Tiya</v>
          </cell>
          <cell r="J3179"/>
          <cell r="K3179" t="str">
            <v>BG</v>
          </cell>
          <cell r="L3179" t="str">
            <v>DEKA02</v>
          </cell>
          <cell r="M3179" t="str">
            <v>Herry Djuwarsa/Deka Agro</v>
          </cell>
          <cell r="N3179" t="str">
            <v>Deka Agro Product, CV</v>
          </cell>
          <cell r="O3179" t="str">
            <v>Jl. Patriot No.03, RT.04/RW.06, Sukagalih Tarogong Kidul</v>
          </cell>
          <cell r="P3179" t="str">
            <v>Garut - JABAR</v>
          </cell>
          <cell r="Q3179" t="str">
            <v>Jl. Patriot No.03, RT.04/RW.06, Sukagalih Tarogong Kidul</v>
          </cell>
          <cell r="R3179" t="str">
            <v>Garut - JABAR</v>
          </cell>
          <cell r="S3179" t="str">
            <v>I Jabar Jateng</v>
          </cell>
          <cell r="T3179" t="str">
            <v>Non SE &amp; JSE</v>
          </cell>
          <cell r="U3179">
            <v>60</v>
          </cell>
        </row>
        <row r="3180">
          <cell r="E3180" t="str">
            <v>B25009121</v>
          </cell>
          <cell r="F3180"/>
          <cell r="G3180">
            <v>5500000000</v>
          </cell>
          <cell r="H3180" t="str">
            <v>Hendra</v>
          </cell>
          <cell r="I3180" t="str">
            <v>Tiya</v>
          </cell>
          <cell r="J3180"/>
          <cell r="K3180" t="str">
            <v>BG</v>
          </cell>
          <cell r="L3180" t="str">
            <v>DEKA02</v>
          </cell>
          <cell r="M3180" t="str">
            <v>Herry Djuwarsa/Deka Agro</v>
          </cell>
          <cell r="N3180" t="str">
            <v>Deka Agro Product, CV</v>
          </cell>
          <cell r="O3180" t="str">
            <v>Jl. Patriot No.03, RT.04/RW.06, Sukagalih Tarogong Kidul</v>
          </cell>
          <cell r="P3180" t="str">
            <v>Garut - JABAR</v>
          </cell>
          <cell r="Q3180" t="str">
            <v>Jl. Patriot No.03, RT.04/RW.06, Sukagalih Tarogong Kidul</v>
          </cell>
          <cell r="R3180" t="str">
            <v>Garut - JABAR</v>
          </cell>
          <cell r="S3180" t="str">
            <v>I Jabar Jateng</v>
          </cell>
          <cell r="T3180" t="str">
            <v>Non SE &amp; JSE</v>
          </cell>
          <cell r="U3180">
            <v>60</v>
          </cell>
        </row>
        <row r="3181">
          <cell r="E3181" t="str">
            <v>B25009372</v>
          </cell>
          <cell r="F3181"/>
          <cell r="G3181">
            <v>5500000000</v>
          </cell>
          <cell r="H3181" t="str">
            <v>Hendra</v>
          </cell>
          <cell r="I3181" t="str">
            <v>Tiya</v>
          </cell>
          <cell r="J3181"/>
          <cell r="K3181" t="str">
            <v>BG</v>
          </cell>
          <cell r="L3181" t="str">
            <v>DEKA02</v>
          </cell>
          <cell r="M3181" t="str">
            <v>Herry Djuwarsa/Deka Agro</v>
          </cell>
          <cell r="N3181" t="str">
            <v>Deka Agro Product, CV</v>
          </cell>
          <cell r="O3181" t="str">
            <v>Jl. Patriot No.03, RT.04/RW.06, Sukagalih Tarogong Kidul</v>
          </cell>
          <cell r="P3181" t="str">
            <v>Garut - JABAR</v>
          </cell>
          <cell r="Q3181" t="str">
            <v>Jl. Patriot No.03, RT.04/RW.06, Sukagalih Tarogong Kidul</v>
          </cell>
          <cell r="R3181" t="str">
            <v>Garut - JABAR</v>
          </cell>
          <cell r="S3181" t="str">
            <v>I Jabar Jateng</v>
          </cell>
          <cell r="T3181" t="str">
            <v>Non SE &amp; JSE</v>
          </cell>
          <cell r="U3181">
            <v>60</v>
          </cell>
        </row>
        <row r="3182">
          <cell r="E3182" t="str">
            <v>B25009372</v>
          </cell>
          <cell r="F3182"/>
          <cell r="G3182">
            <v>5500000000</v>
          </cell>
          <cell r="H3182" t="str">
            <v>Hendra</v>
          </cell>
          <cell r="I3182" t="str">
            <v>Tiya</v>
          </cell>
          <cell r="J3182"/>
          <cell r="K3182" t="str">
            <v>BG</v>
          </cell>
          <cell r="L3182" t="str">
            <v>DEKA02</v>
          </cell>
          <cell r="M3182" t="str">
            <v>Herry Djuwarsa/Deka Agro</v>
          </cell>
          <cell r="N3182" t="str">
            <v>Deka Agro Product, CV</v>
          </cell>
          <cell r="O3182" t="str">
            <v>Jl. Patriot No.03, RT.04/RW.06, Sukagalih Tarogong Kidul</v>
          </cell>
          <cell r="P3182" t="str">
            <v>Garut - JABAR</v>
          </cell>
          <cell r="Q3182" t="str">
            <v>Jl. Patriot No.03, RT.04/RW.06, Sukagalih Tarogong Kidul</v>
          </cell>
          <cell r="R3182" t="str">
            <v>Garut - JABAR</v>
          </cell>
          <cell r="S3182" t="str">
            <v>I Jabar Jateng</v>
          </cell>
          <cell r="T3182" t="str">
            <v>Non SE &amp; JSE</v>
          </cell>
          <cell r="U3182">
            <v>60</v>
          </cell>
        </row>
        <row r="3183">
          <cell r="E3183" t="str">
            <v>D25013674</v>
          </cell>
          <cell r="F3183"/>
          <cell r="G3183">
            <v>5500000000</v>
          </cell>
          <cell r="H3183" t="str">
            <v>Hendra</v>
          </cell>
          <cell r="I3183" t="str">
            <v>Tiya</v>
          </cell>
          <cell r="J3183"/>
          <cell r="K3183" t="str">
            <v>BG</v>
          </cell>
          <cell r="L3183" t="str">
            <v>DEKA02</v>
          </cell>
          <cell r="M3183" t="str">
            <v>Herry Djuwarsa/Deka Agro</v>
          </cell>
          <cell r="N3183" t="str">
            <v>Deka Agro Product, CV</v>
          </cell>
          <cell r="O3183" t="str">
            <v>Jl. Patriot No.03, RT.04/RW.06, Sukagalih Tarogong Kidul</v>
          </cell>
          <cell r="P3183" t="str">
            <v>Garut - JABAR</v>
          </cell>
          <cell r="Q3183" t="str">
            <v>Jl. Patriot No.03, RT.04/RW.06, Sukagalih Tarogong Kidul</v>
          </cell>
          <cell r="R3183" t="str">
            <v>Garut - JABAR</v>
          </cell>
          <cell r="S3183" t="str">
            <v>I Jabar Jateng</v>
          </cell>
          <cell r="T3183" t="str">
            <v>Non SE &amp; JSE</v>
          </cell>
          <cell r="U3183">
            <v>60</v>
          </cell>
        </row>
        <row r="3184">
          <cell r="E3184" t="str">
            <v>D25015130</v>
          </cell>
          <cell r="F3184"/>
          <cell r="G3184">
            <v>5500000000</v>
          </cell>
          <cell r="H3184" t="str">
            <v>Hendra</v>
          </cell>
          <cell r="I3184" t="str">
            <v>Tiya</v>
          </cell>
          <cell r="J3184"/>
          <cell r="K3184" t="str">
            <v>BG</v>
          </cell>
          <cell r="L3184" t="str">
            <v>DEKA02</v>
          </cell>
          <cell r="M3184" t="str">
            <v>Herry Djuwarsa/Deka Agro</v>
          </cell>
          <cell r="N3184" t="str">
            <v>Deka Agro Product, CV</v>
          </cell>
          <cell r="O3184" t="str">
            <v>Jl. Patriot No.03, RT.04/RW.06, Sukagalih Tarogong Kidul</v>
          </cell>
          <cell r="P3184" t="str">
            <v>Garut - JABAR</v>
          </cell>
          <cell r="Q3184" t="str">
            <v>Jl. Patriot No.03, RT.04/RW.06, Sukagalih Tarogong Kidul</v>
          </cell>
          <cell r="R3184" t="str">
            <v>Garut - JABAR</v>
          </cell>
          <cell r="S3184" t="str">
            <v>I Jabar Jateng</v>
          </cell>
          <cell r="T3184" t="str">
            <v>Non SE &amp; JSE</v>
          </cell>
          <cell r="U3184">
            <v>60</v>
          </cell>
        </row>
        <row r="3185">
          <cell r="E3185" t="str">
            <v>B25010711</v>
          </cell>
          <cell r="F3185"/>
          <cell r="G3185">
            <v>50000000</v>
          </cell>
          <cell r="H3185" t="str">
            <v>Faris</v>
          </cell>
          <cell r="I3185" t="str">
            <v>Syahra</v>
          </cell>
          <cell r="J3185"/>
          <cell r="K3185" t="str">
            <v>KU</v>
          </cell>
          <cell r="L3185" t="str">
            <v>HIDA01</v>
          </cell>
          <cell r="M3185" t="str">
            <v>Hidayah Tani/Cholis</v>
          </cell>
          <cell r="N3185" t="str">
            <v>Nurkholis Hermawan</v>
          </cell>
          <cell r="O3185" t="str">
            <v>Dsn. Karanganyar, RT.006/RW.001, Kel. Karangsari, Kec. Sempu</v>
          </cell>
          <cell r="P3185" t="str">
            <v>Banyuwangi</v>
          </cell>
          <cell r="Q3185" t="str">
            <v>Dsn. Karanganyar - Karangsari - Sempu</v>
          </cell>
          <cell r="R3185" t="str">
            <v>Banyuwangi</v>
          </cell>
          <cell r="S3185" t="str">
            <v>H Bwi1</v>
          </cell>
          <cell r="T3185" t="str">
            <v>Hafid</v>
          </cell>
          <cell r="U3185">
            <v>60</v>
          </cell>
        </row>
        <row r="3186">
          <cell r="E3186" t="str">
            <v>D25012669</v>
          </cell>
          <cell r="F3186"/>
          <cell r="G3186">
            <v>50000000</v>
          </cell>
          <cell r="H3186" t="str">
            <v>Faris</v>
          </cell>
          <cell r="I3186" t="str">
            <v>Syahra</v>
          </cell>
          <cell r="J3186"/>
          <cell r="K3186" t="str">
            <v>KU</v>
          </cell>
          <cell r="L3186" t="str">
            <v>HIDA01</v>
          </cell>
          <cell r="M3186" t="str">
            <v>Hidayah Tani/Cholis</v>
          </cell>
          <cell r="N3186" t="str">
            <v>Nurkholis Hermawan</v>
          </cell>
          <cell r="O3186" t="str">
            <v>Dsn. Karanganyar, RT.006/RW.001, Kel. Karangsari, Kec. Sempu</v>
          </cell>
          <cell r="P3186" t="str">
            <v>Banyuwangi</v>
          </cell>
          <cell r="Q3186" t="str">
            <v>Dsn. Karanganyar - Karangsari - Sempu</v>
          </cell>
          <cell r="R3186" t="str">
            <v>Banyuwangi</v>
          </cell>
          <cell r="S3186" t="str">
            <v>H Bwi1</v>
          </cell>
          <cell r="T3186" t="str">
            <v>Hafid</v>
          </cell>
          <cell r="U3186">
            <v>60</v>
          </cell>
        </row>
        <row r="3187">
          <cell r="E3187" t="str">
            <v>B25011264</v>
          </cell>
          <cell r="F3187"/>
          <cell r="G3187">
            <v>50000000</v>
          </cell>
          <cell r="H3187" t="str">
            <v>Faris</v>
          </cell>
          <cell r="I3187" t="str">
            <v>Syahra</v>
          </cell>
          <cell r="J3187"/>
          <cell r="K3187" t="str">
            <v>KU</v>
          </cell>
          <cell r="L3187" t="str">
            <v>HIDA01</v>
          </cell>
          <cell r="M3187" t="str">
            <v>Hidayah Tani/Cholis</v>
          </cell>
          <cell r="N3187" t="str">
            <v>Nurkholis Hermawan</v>
          </cell>
          <cell r="O3187" t="str">
            <v>Dsn. Karanganyar, RT.006/RW.001, Kel. Karangsari, Kec. Sempu</v>
          </cell>
          <cell r="P3187" t="str">
            <v>Banyuwangi</v>
          </cell>
          <cell r="Q3187" t="str">
            <v>Dsn. Karanganyar - Karangsari - Sempu</v>
          </cell>
          <cell r="R3187" t="str">
            <v>Banyuwangi</v>
          </cell>
          <cell r="S3187" t="str">
            <v>H Bwi1</v>
          </cell>
          <cell r="T3187" t="str">
            <v>Hafid</v>
          </cell>
          <cell r="U3187">
            <v>60</v>
          </cell>
        </row>
        <row r="3188">
          <cell r="E3188" t="str">
            <v>B25011820</v>
          </cell>
          <cell r="F3188"/>
          <cell r="G3188">
            <v>50000000</v>
          </cell>
          <cell r="H3188" t="str">
            <v>Faris</v>
          </cell>
          <cell r="I3188" t="str">
            <v>Syahra</v>
          </cell>
          <cell r="J3188"/>
          <cell r="K3188" t="str">
            <v>KU</v>
          </cell>
          <cell r="L3188" t="str">
            <v>HIDA01</v>
          </cell>
          <cell r="M3188" t="str">
            <v>Hidayah Tani/Cholis</v>
          </cell>
          <cell r="N3188" t="str">
            <v>Nurkholis Hermawan</v>
          </cell>
          <cell r="O3188" t="str">
            <v>Dsn. Karanganyar, RT.006/RW.001, Kel. Karangsari, Kec. Sempu</v>
          </cell>
          <cell r="P3188" t="str">
            <v>Banyuwangi</v>
          </cell>
          <cell r="Q3188" t="str">
            <v>Dsn. Karanganyar - Karangsari - Sempu</v>
          </cell>
          <cell r="R3188" t="str">
            <v>Banyuwangi</v>
          </cell>
          <cell r="S3188" t="str">
            <v>H Bwi1</v>
          </cell>
          <cell r="T3188" t="str">
            <v>Hafid</v>
          </cell>
          <cell r="U3188">
            <v>60</v>
          </cell>
        </row>
        <row r="3189">
          <cell r="E3189" t="str">
            <v>B25012512</v>
          </cell>
          <cell r="F3189"/>
          <cell r="G3189">
            <v>50000000</v>
          </cell>
          <cell r="H3189" t="str">
            <v>Faris</v>
          </cell>
          <cell r="I3189" t="str">
            <v>Syahra</v>
          </cell>
          <cell r="J3189"/>
          <cell r="K3189" t="str">
            <v>KU</v>
          </cell>
          <cell r="L3189" t="str">
            <v>HIDA01</v>
          </cell>
          <cell r="M3189" t="str">
            <v>Hidayah Tani/Cholis</v>
          </cell>
          <cell r="N3189" t="str">
            <v>Nurkholis Hermawan</v>
          </cell>
          <cell r="O3189" t="str">
            <v>Dsn. Karanganyar, RT.006/RW.001, Kel. Karangsari, Kec. Sempu</v>
          </cell>
          <cell r="P3189" t="str">
            <v>Banyuwangi</v>
          </cell>
          <cell r="Q3189" t="str">
            <v>Dsn. Karanganyar - Karangsari - Sempu</v>
          </cell>
          <cell r="R3189" t="str">
            <v>Banyuwangi</v>
          </cell>
          <cell r="S3189" t="str">
            <v>H Bwi1</v>
          </cell>
          <cell r="T3189" t="str">
            <v>Hafid</v>
          </cell>
          <cell r="U3189">
            <v>60</v>
          </cell>
        </row>
        <row r="3190">
          <cell r="E3190" t="str">
            <v>B25012711</v>
          </cell>
          <cell r="F3190"/>
          <cell r="G3190">
            <v>50000000</v>
          </cell>
          <cell r="H3190" t="str">
            <v>Faris</v>
          </cell>
          <cell r="I3190" t="str">
            <v>Syahra</v>
          </cell>
          <cell r="J3190"/>
          <cell r="K3190" t="str">
            <v>KU</v>
          </cell>
          <cell r="L3190" t="str">
            <v>HIDA01</v>
          </cell>
          <cell r="M3190" t="str">
            <v>Hidayah Tani/Cholis</v>
          </cell>
          <cell r="N3190" t="str">
            <v>Nurkholis Hermawan</v>
          </cell>
          <cell r="O3190" t="str">
            <v>Dsn. Karanganyar, RT.006/RW.001, Kel. Karangsari, Kec. Sempu</v>
          </cell>
          <cell r="P3190" t="str">
            <v>Banyuwangi</v>
          </cell>
          <cell r="Q3190" t="str">
            <v>Dsn. Karanganyar - Karangsari - Sempu</v>
          </cell>
          <cell r="R3190" t="str">
            <v>Banyuwangi</v>
          </cell>
          <cell r="S3190" t="str">
            <v>H Bwi1</v>
          </cell>
          <cell r="T3190" t="str">
            <v>Hafid</v>
          </cell>
          <cell r="U3190">
            <v>60</v>
          </cell>
        </row>
        <row r="3191">
          <cell r="E3191" t="str">
            <v>B25012748</v>
          </cell>
          <cell r="F3191"/>
          <cell r="G3191">
            <v>50000000</v>
          </cell>
          <cell r="H3191" t="str">
            <v>Faris</v>
          </cell>
          <cell r="I3191" t="str">
            <v>Syahra</v>
          </cell>
          <cell r="J3191"/>
          <cell r="K3191" t="str">
            <v>KU</v>
          </cell>
          <cell r="L3191" t="str">
            <v>HIDA01</v>
          </cell>
          <cell r="M3191" t="str">
            <v>Hidayah Tani/Cholis</v>
          </cell>
          <cell r="N3191" t="str">
            <v>Nurkholis Hermawan</v>
          </cell>
          <cell r="O3191" t="str">
            <v>Dsn. Karanganyar, RT.006/RW.001, Kel. Karangsari, Kec. Sempu</v>
          </cell>
          <cell r="P3191" t="str">
            <v>Banyuwangi</v>
          </cell>
          <cell r="Q3191" t="str">
            <v>Dsn. Karanganyar - Karangsari - Sempu</v>
          </cell>
          <cell r="R3191" t="str">
            <v>Banyuwangi</v>
          </cell>
          <cell r="S3191" t="str">
            <v>H Bwi1</v>
          </cell>
          <cell r="T3191" t="str">
            <v>Hafid</v>
          </cell>
          <cell r="U3191">
            <v>60</v>
          </cell>
        </row>
        <row r="3192">
          <cell r="E3192" t="str">
            <v>D25015049</v>
          </cell>
          <cell r="F3192"/>
          <cell r="G3192">
            <v>50000000</v>
          </cell>
          <cell r="H3192" t="str">
            <v>Faris</v>
          </cell>
          <cell r="I3192" t="str">
            <v>Syahra</v>
          </cell>
          <cell r="J3192"/>
          <cell r="K3192" t="str">
            <v>KU</v>
          </cell>
          <cell r="L3192" t="str">
            <v>HIDA01</v>
          </cell>
          <cell r="M3192" t="str">
            <v>Hidayah Tani/Cholis</v>
          </cell>
          <cell r="N3192" t="str">
            <v>Nurkholis Hermawan</v>
          </cell>
          <cell r="O3192" t="str">
            <v>Dsn. Karanganyar, RT.006/RW.001, Kel. Karangsari, Kec. Sempu</v>
          </cell>
          <cell r="P3192" t="str">
            <v>Banyuwangi</v>
          </cell>
          <cell r="Q3192" t="str">
            <v>Dsn. Karanganyar - Karangsari - Sempu</v>
          </cell>
          <cell r="R3192" t="str">
            <v>Banyuwangi</v>
          </cell>
          <cell r="S3192" t="str">
            <v>H Bwi1</v>
          </cell>
          <cell r="T3192" t="str">
            <v>Hafid</v>
          </cell>
          <cell r="U3192">
            <v>60</v>
          </cell>
        </row>
        <row r="3193">
          <cell r="E3193" t="str">
            <v>D25015064</v>
          </cell>
          <cell r="F3193"/>
          <cell r="G3193">
            <v>50000000</v>
          </cell>
          <cell r="H3193" t="str">
            <v>Faris</v>
          </cell>
          <cell r="I3193" t="str">
            <v>Syahra</v>
          </cell>
          <cell r="J3193"/>
          <cell r="K3193" t="str">
            <v>KU</v>
          </cell>
          <cell r="L3193" t="str">
            <v>HIDA01</v>
          </cell>
          <cell r="M3193" t="str">
            <v>Hidayah Tani/Cholis</v>
          </cell>
          <cell r="N3193" t="str">
            <v>Nurkholis Hermawan</v>
          </cell>
          <cell r="O3193" t="str">
            <v>Dsn. Karanganyar, RT.006/RW.001, Kel. Karangsari, Kec. Sempu</v>
          </cell>
          <cell r="P3193" t="str">
            <v>Banyuwangi</v>
          </cell>
          <cell r="Q3193" t="str">
            <v>Dsn. Karanganyar - Karangsari - Sempu</v>
          </cell>
          <cell r="R3193" t="str">
            <v>Banyuwangi</v>
          </cell>
          <cell r="S3193" t="str">
            <v>H Bwi1</v>
          </cell>
          <cell r="T3193" t="str">
            <v>Hafid</v>
          </cell>
          <cell r="U3193">
            <v>60</v>
          </cell>
        </row>
        <row r="3194">
          <cell r="E3194" t="str">
            <v>B25013148</v>
          </cell>
          <cell r="F3194"/>
          <cell r="G3194">
            <v>50000000</v>
          </cell>
          <cell r="H3194" t="str">
            <v>Faris</v>
          </cell>
          <cell r="I3194" t="str">
            <v>Syahra</v>
          </cell>
          <cell r="J3194"/>
          <cell r="K3194" t="str">
            <v>KU</v>
          </cell>
          <cell r="L3194" t="str">
            <v>HIDA01</v>
          </cell>
          <cell r="M3194" t="str">
            <v>Hidayah Tani/Cholis</v>
          </cell>
          <cell r="N3194" t="str">
            <v>Nurkholis Hermawan</v>
          </cell>
          <cell r="O3194" t="str">
            <v>Dsn. Karanganyar, RT.006/RW.001, Kel. Karangsari, Kec. Sempu</v>
          </cell>
          <cell r="P3194" t="str">
            <v>Banyuwangi</v>
          </cell>
          <cell r="Q3194" t="str">
            <v>Dsn. Karanganyar - Karangsari - Sempu</v>
          </cell>
          <cell r="R3194" t="str">
            <v>Banyuwangi</v>
          </cell>
          <cell r="S3194" t="str">
            <v>H Bwi1</v>
          </cell>
          <cell r="T3194" t="str">
            <v>Hafid</v>
          </cell>
          <cell r="U3194">
            <v>60</v>
          </cell>
        </row>
        <row r="3195">
          <cell r="E3195" t="str">
            <v>D25016245</v>
          </cell>
          <cell r="F3195"/>
          <cell r="G3195">
            <v>50000000</v>
          </cell>
          <cell r="H3195" t="str">
            <v>Faris</v>
          </cell>
          <cell r="I3195" t="str">
            <v>Syahra</v>
          </cell>
          <cell r="J3195"/>
          <cell r="K3195" t="str">
            <v>KU</v>
          </cell>
          <cell r="L3195" t="str">
            <v>HIDA01</v>
          </cell>
          <cell r="M3195" t="str">
            <v>Hidayah Tani/Cholis</v>
          </cell>
          <cell r="N3195" t="str">
            <v>Nurkholis Hermawan</v>
          </cell>
          <cell r="O3195" t="str">
            <v>Dsn. Karanganyar, RT.006/RW.001, Kel. Karangsari, Kec. Sempu</v>
          </cell>
          <cell r="P3195" t="str">
            <v>Banyuwangi</v>
          </cell>
          <cell r="Q3195" t="str">
            <v>Dsn. Karanganyar - Karangsari - Sempu</v>
          </cell>
          <cell r="R3195" t="str">
            <v>Banyuwangi</v>
          </cell>
          <cell r="S3195" t="str">
            <v>H Bwi1</v>
          </cell>
          <cell r="T3195" t="str">
            <v>Hafid</v>
          </cell>
          <cell r="U3195">
            <v>60</v>
          </cell>
        </row>
        <row r="3196">
          <cell r="E3196" t="str">
            <v>Z25001786</v>
          </cell>
          <cell r="F3196"/>
          <cell r="G3196">
            <v>400000000</v>
          </cell>
          <cell r="H3196" t="str">
            <v>Hendra</v>
          </cell>
          <cell r="I3196" t="str">
            <v>Tiya</v>
          </cell>
          <cell r="J3196" t="str">
            <v>New 05/06/20</v>
          </cell>
          <cell r="K3196" t="str">
            <v>KU</v>
          </cell>
          <cell r="L3196" t="str">
            <v>HIDA08</v>
          </cell>
          <cell r="M3196" t="str">
            <v>Hidayat Tani, UD</v>
          </cell>
          <cell r="N3196" t="str">
            <v>Heri Sulistiani</v>
          </cell>
          <cell r="O3196" t="str">
            <v>Bila Sundung RT.000/RW.000 Kel Paokmotong, Kec. Masbagik</v>
          </cell>
          <cell r="P3196" t="str">
            <v>Lombok Timur</v>
          </cell>
          <cell r="Q3196" t="str">
            <v>Jl. Raya Sikur Sakra KM 41 - Lombok</v>
          </cell>
          <cell r="R3196" t="str">
            <v>Lombok Timur</v>
          </cell>
          <cell r="S3196" t="str">
            <v>E Luar Pulau1</v>
          </cell>
          <cell r="T3196" t="str">
            <v>Muhlisin</v>
          </cell>
          <cell r="U3196">
            <v>45</v>
          </cell>
        </row>
        <row r="3197">
          <cell r="E3197" t="str">
            <v>Z250004</v>
          </cell>
          <cell r="F3197"/>
          <cell r="G3197">
            <v>400000000</v>
          </cell>
          <cell r="H3197" t="str">
            <v>Hendra</v>
          </cell>
          <cell r="I3197" t="str">
            <v>Tiya</v>
          </cell>
          <cell r="J3197" t="str">
            <v>New 05/06/20</v>
          </cell>
          <cell r="K3197" t="str">
            <v>KU</v>
          </cell>
          <cell r="L3197" t="str">
            <v>HIDA08</v>
          </cell>
          <cell r="M3197" t="str">
            <v>Hidayat Tani, UD</v>
          </cell>
          <cell r="N3197" t="str">
            <v>Heri Sulistiani</v>
          </cell>
          <cell r="O3197" t="str">
            <v>Bila Sundung RT.000/RW.000 Kel Paokmotong, Kec. Masbagik</v>
          </cell>
          <cell r="P3197" t="str">
            <v>Lombok Timur</v>
          </cell>
          <cell r="Q3197" t="str">
            <v>Jl. Raya Sikur Sakra KM 41 - Lombok</v>
          </cell>
          <cell r="R3197" t="str">
            <v>Lombok Timur</v>
          </cell>
          <cell r="S3197" t="str">
            <v>E Luar Pulau1</v>
          </cell>
          <cell r="T3197" t="str">
            <v>Muhlisin</v>
          </cell>
          <cell r="U3197">
            <v>45</v>
          </cell>
        </row>
        <row r="3198">
          <cell r="E3198" t="str">
            <v>Z250004</v>
          </cell>
          <cell r="F3198"/>
          <cell r="G3198">
            <v>400000000</v>
          </cell>
          <cell r="H3198" t="str">
            <v>Hendra</v>
          </cell>
          <cell r="I3198" t="str">
            <v>Tiya</v>
          </cell>
          <cell r="J3198" t="str">
            <v>New 05/06/20</v>
          </cell>
          <cell r="K3198" t="str">
            <v>KU</v>
          </cell>
          <cell r="L3198" t="str">
            <v>HIDA08</v>
          </cell>
          <cell r="M3198" t="str">
            <v>Hidayat Tani, UD</v>
          </cell>
          <cell r="N3198" t="str">
            <v>Heri Sulistiani</v>
          </cell>
          <cell r="O3198" t="str">
            <v>Bila Sundung RT.000/RW.000 Kel Paokmotong, Kec. Masbagik</v>
          </cell>
          <cell r="P3198" t="str">
            <v>Lombok Timur</v>
          </cell>
          <cell r="Q3198" t="str">
            <v>Jl. Raya Sikur Sakra KM 41 - Lombok</v>
          </cell>
          <cell r="R3198" t="str">
            <v>Lombok Timur</v>
          </cell>
          <cell r="S3198" t="str">
            <v>E Luar Pulau1</v>
          </cell>
          <cell r="T3198" t="str">
            <v>Muhlisin</v>
          </cell>
          <cell r="U3198">
            <v>45</v>
          </cell>
        </row>
        <row r="3199">
          <cell r="E3199" t="str">
            <v>Z25001894</v>
          </cell>
          <cell r="F3199"/>
          <cell r="G3199">
            <v>400000000</v>
          </cell>
          <cell r="H3199" t="str">
            <v>Hendra</v>
          </cell>
          <cell r="I3199" t="str">
            <v>Tiya</v>
          </cell>
          <cell r="J3199" t="str">
            <v>New 05/06/20</v>
          </cell>
          <cell r="K3199" t="str">
            <v>KU</v>
          </cell>
          <cell r="L3199" t="str">
            <v>HIDA08</v>
          </cell>
          <cell r="M3199" t="str">
            <v>Hidayat Tani, UD</v>
          </cell>
          <cell r="N3199" t="str">
            <v>Heri Sulistiani</v>
          </cell>
          <cell r="O3199" t="str">
            <v>Bila Sundung RT.000/RW.000 Kel Paokmotong, Kec. Masbagik</v>
          </cell>
          <cell r="P3199" t="str">
            <v>Lombok Timur</v>
          </cell>
          <cell r="Q3199" t="str">
            <v>Jl. Raya Sikur Sakra KM 41 - Lombok</v>
          </cell>
          <cell r="R3199" t="str">
            <v>Lombok Timur</v>
          </cell>
          <cell r="S3199" t="str">
            <v>E Luar Pulau1</v>
          </cell>
          <cell r="T3199" t="str">
            <v>Muhlisin</v>
          </cell>
          <cell r="U3199">
            <v>45</v>
          </cell>
        </row>
        <row r="3200">
          <cell r="E3200" t="str">
            <v>Z25001922</v>
          </cell>
          <cell r="F3200"/>
          <cell r="G3200">
            <v>400000000</v>
          </cell>
          <cell r="H3200" t="str">
            <v>Hendra</v>
          </cell>
          <cell r="I3200" t="str">
            <v>Tiya</v>
          </cell>
          <cell r="J3200" t="str">
            <v>New 05/06/20</v>
          </cell>
          <cell r="K3200" t="str">
            <v>KU</v>
          </cell>
          <cell r="L3200" t="str">
            <v>HIDA08</v>
          </cell>
          <cell r="M3200" t="str">
            <v>Hidayat Tani, UD</v>
          </cell>
          <cell r="N3200" t="str">
            <v>Heri Sulistiani</v>
          </cell>
          <cell r="O3200" t="str">
            <v>Bila Sundung RT.000/RW.000 Kel Paokmotong, Kec. Masbagik</v>
          </cell>
          <cell r="P3200" t="str">
            <v>Lombok Timur</v>
          </cell>
          <cell r="Q3200" t="str">
            <v>Jl. Raya Sikur Sakra KM 41 - Lombok</v>
          </cell>
          <cell r="R3200" t="str">
            <v>Lombok Timur</v>
          </cell>
          <cell r="S3200" t="str">
            <v>E Luar Pulau1</v>
          </cell>
          <cell r="T3200" t="str">
            <v>Muhlisin</v>
          </cell>
          <cell r="U3200">
            <v>45</v>
          </cell>
        </row>
        <row r="3201">
          <cell r="E3201" t="str">
            <v>Z25001922</v>
          </cell>
          <cell r="F3201"/>
          <cell r="G3201">
            <v>400000000</v>
          </cell>
          <cell r="H3201" t="str">
            <v>Hendra</v>
          </cell>
          <cell r="I3201" t="str">
            <v>Tiya</v>
          </cell>
          <cell r="J3201" t="str">
            <v>New 05/06/20</v>
          </cell>
          <cell r="K3201" t="str">
            <v>KU</v>
          </cell>
          <cell r="L3201" t="str">
            <v>HIDA08</v>
          </cell>
          <cell r="M3201" t="str">
            <v>Hidayat Tani, UD</v>
          </cell>
          <cell r="N3201" t="str">
            <v>Heri Sulistiani</v>
          </cell>
          <cell r="O3201" t="str">
            <v>Bila Sundung RT.000/RW.000 Kel Paokmotong, Kec. Masbagik</v>
          </cell>
          <cell r="P3201" t="str">
            <v>Lombok Timur</v>
          </cell>
          <cell r="Q3201" t="str">
            <v>Jl. Raya Sikur Sakra KM 41 - Lombok</v>
          </cell>
          <cell r="R3201" t="str">
            <v>Lombok Timur</v>
          </cell>
          <cell r="S3201" t="str">
            <v>E Luar Pulau1</v>
          </cell>
          <cell r="T3201" t="str">
            <v>Muhlisin</v>
          </cell>
          <cell r="U3201">
            <v>45</v>
          </cell>
        </row>
        <row r="3202">
          <cell r="E3202" t="str">
            <v>Z250007</v>
          </cell>
          <cell r="F3202"/>
          <cell r="G3202">
            <v>400000000</v>
          </cell>
          <cell r="H3202" t="str">
            <v>Hendra</v>
          </cell>
          <cell r="I3202" t="str">
            <v>Tiya</v>
          </cell>
          <cell r="J3202" t="str">
            <v>New 05/06/20</v>
          </cell>
          <cell r="K3202" t="str">
            <v>KU</v>
          </cell>
          <cell r="L3202" t="str">
            <v>HIDA08</v>
          </cell>
          <cell r="M3202" t="str">
            <v>Hidayat Tani, UD</v>
          </cell>
          <cell r="N3202" t="str">
            <v>Heri Sulistiani</v>
          </cell>
          <cell r="O3202" t="str">
            <v>Bila Sundung RT.000/RW.000 Kel Paokmotong, Kec. Masbagik</v>
          </cell>
          <cell r="P3202" t="str">
            <v>Lombok Timur</v>
          </cell>
          <cell r="Q3202" t="str">
            <v>Jl. Raya Sikur Sakra KM 41 - Lombok</v>
          </cell>
          <cell r="R3202" t="str">
            <v>Lombok Timur</v>
          </cell>
          <cell r="S3202" t="str">
            <v>E Luar Pulau1</v>
          </cell>
          <cell r="T3202" t="str">
            <v>Muhlisin</v>
          </cell>
          <cell r="U3202">
            <v>45</v>
          </cell>
        </row>
        <row r="3203">
          <cell r="E3203" t="str">
            <v>Z250007</v>
          </cell>
          <cell r="F3203"/>
          <cell r="G3203">
            <v>400000000</v>
          </cell>
          <cell r="H3203" t="str">
            <v>Hendra</v>
          </cell>
          <cell r="I3203" t="str">
            <v>Tiya</v>
          </cell>
          <cell r="J3203" t="str">
            <v>New 05/06/20</v>
          </cell>
          <cell r="K3203" t="str">
            <v>KU</v>
          </cell>
          <cell r="L3203" t="str">
            <v>HIDA08</v>
          </cell>
          <cell r="M3203" t="str">
            <v>Hidayat Tani, UD</v>
          </cell>
          <cell r="N3203" t="str">
            <v>Heri Sulistiani</v>
          </cell>
          <cell r="O3203" t="str">
            <v>Bila Sundung RT.000/RW.000 Kel Paokmotong, Kec. Masbagik</v>
          </cell>
          <cell r="P3203" t="str">
            <v>Lombok Timur</v>
          </cell>
          <cell r="Q3203" t="str">
            <v>Jl. Raya Sikur Sakra KM 41 - Lombok</v>
          </cell>
          <cell r="R3203" t="str">
            <v>Lombok Timur</v>
          </cell>
          <cell r="S3203" t="str">
            <v>E Luar Pulau1</v>
          </cell>
          <cell r="T3203" t="str">
            <v>Muhlisin</v>
          </cell>
          <cell r="U3203">
            <v>45</v>
          </cell>
        </row>
        <row r="3204">
          <cell r="E3204" t="str">
            <v>Z25001943</v>
          </cell>
          <cell r="F3204"/>
          <cell r="G3204">
            <v>400000000</v>
          </cell>
          <cell r="H3204" t="str">
            <v>Hendra</v>
          </cell>
          <cell r="I3204" t="str">
            <v>Tiya</v>
          </cell>
          <cell r="J3204" t="str">
            <v>New 05/06/20</v>
          </cell>
          <cell r="K3204" t="str">
            <v>KU</v>
          </cell>
          <cell r="L3204" t="str">
            <v>HIDA08</v>
          </cell>
          <cell r="M3204" t="str">
            <v>Hidayat Tani, UD</v>
          </cell>
          <cell r="N3204" t="str">
            <v>Heri Sulistiani</v>
          </cell>
          <cell r="O3204" t="str">
            <v>Bila Sundung RT.000/RW.000 Kel Paokmotong, Kec. Masbagik</v>
          </cell>
          <cell r="P3204" t="str">
            <v>Lombok Timur</v>
          </cell>
          <cell r="Q3204" t="str">
            <v>Jl. Raya Sikur Sakra KM 41 - Lombok</v>
          </cell>
          <cell r="R3204" t="str">
            <v>Lombok Timur</v>
          </cell>
          <cell r="S3204" t="str">
            <v>E Luar Pulau1</v>
          </cell>
          <cell r="T3204" t="str">
            <v>Muhlisin</v>
          </cell>
          <cell r="U3204">
            <v>45</v>
          </cell>
        </row>
        <row r="3205">
          <cell r="E3205" t="str">
            <v>Z25002003</v>
          </cell>
          <cell r="F3205"/>
          <cell r="G3205">
            <v>400000000</v>
          </cell>
          <cell r="H3205" t="str">
            <v>Hendra</v>
          </cell>
          <cell r="I3205" t="str">
            <v>Tiya</v>
          </cell>
          <cell r="J3205" t="str">
            <v>New 05/06/20</v>
          </cell>
          <cell r="K3205" t="str">
            <v>KU</v>
          </cell>
          <cell r="L3205" t="str">
            <v>HIDA08</v>
          </cell>
          <cell r="M3205" t="str">
            <v>Hidayat Tani, UD</v>
          </cell>
          <cell r="N3205" t="str">
            <v>Heri Sulistiani</v>
          </cell>
          <cell r="O3205" t="str">
            <v>Bila Sundung RT.000/RW.000 Kel Paokmotong, Kec. Masbagik</v>
          </cell>
          <cell r="P3205" t="str">
            <v>Lombok Timur</v>
          </cell>
          <cell r="Q3205" t="str">
            <v>Jl. Raya Sikur Sakra KM 41 - Lombok</v>
          </cell>
          <cell r="R3205" t="str">
            <v>Lombok Timur</v>
          </cell>
          <cell r="S3205" t="str">
            <v>E Luar Pulau1</v>
          </cell>
          <cell r="T3205" t="str">
            <v>Muhlisin</v>
          </cell>
          <cell r="U3205">
            <v>45</v>
          </cell>
        </row>
        <row r="3206">
          <cell r="E3206" t="str">
            <v>Z25002003</v>
          </cell>
          <cell r="F3206"/>
          <cell r="G3206">
            <v>400000000</v>
          </cell>
          <cell r="H3206" t="str">
            <v>Hendra</v>
          </cell>
          <cell r="I3206" t="str">
            <v>Tiya</v>
          </cell>
          <cell r="J3206" t="str">
            <v>New 05/06/20</v>
          </cell>
          <cell r="K3206" t="str">
            <v>KU</v>
          </cell>
          <cell r="L3206" t="str">
            <v>HIDA08</v>
          </cell>
          <cell r="M3206" t="str">
            <v>Hidayat Tani, UD</v>
          </cell>
          <cell r="N3206" t="str">
            <v>Heri Sulistiani</v>
          </cell>
          <cell r="O3206" t="str">
            <v>Bila Sundung RT.000/RW.000 Kel Paokmotong, Kec. Masbagik</v>
          </cell>
          <cell r="P3206" t="str">
            <v>Lombok Timur</v>
          </cell>
          <cell r="Q3206" t="str">
            <v>Jl. Raya Sikur Sakra KM 41 - Lombok</v>
          </cell>
          <cell r="R3206" t="str">
            <v>Lombok Timur</v>
          </cell>
          <cell r="S3206" t="str">
            <v>E Luar Pulau1</v>
          </cell>
          <cell r="T3206" t="str">
            <v>Muhlisin</v>
          </cell>
          <cell r="U3206">
            <v>45</v>
          </cell>
        </row>
        <row r="3207">
          <cell r="E3207" t="str">
            <v>Z25002146</v>
          </cell>
          <cell r="F3207"/>
          <cell r="G3207">
            <v>400000000</v>
          </cell>
          <cell r="H3207" t="str">
            <v>Hendra</v>
          </cell>
          <cell r="I3207" t="str">
            <v>Tiya</v>
          </cell>
          <cell r="J3207" t="str">
            <v>New 05/06/20</v>
          </cell>
          <cell r="K3207" t="str">
            <v>KU</v>
          </cell>
          <cell r="L3207" t="str">
            <v>HIDA08</v>
          </cell>
          <cell r="M3207" t="str">
            <v>Hidayat Tani, UD</v>
          </cell>
          <cell r="N3207" t="str">
            <v>Heri Sulistiani</v>
          </cell>
          <cell r="O3207" t="str">
            <v>Bila Sundung RT.000/RW.000 Kel Paokmotong, Kec. Masbagik</v>
          </cell>
          <cell r="P3207" t="str">
            <v>Lombok Timur</v>
          </cell>
          <cell r="Q3207" t="str">
            <v>Jl. Raya Sikur Sakra KM 41 - Lombok</v>
          </cell>
          <cell r="R3207" t="str">
            <v>Lombok Timur</v>
          </cell>
          <cell r="S3207" t="str">
            <v>E Luar Pulau1</v>
          </cell>
          <cell r="T3207" t="str">
            <v>Muhlisin</v>
          </cell>
          <cell r="U3207">
            <v>45</v>
          </cell>
        </row>
        <row r="3208">
          <cell r="E3208" t="str">
            <v>Z25002153</v>
          </cell>
          <cell r="F3208"/>
          <cell r="G3208">
            <v>400000000</v>
          </cell>
          <cell r="H3208" t="str">
            <v>Hendra</v>
          </cell>
          <cell r="I3208" t="str">
            <v>Tiya</v>
          </cell>
          <cell r="J3208" t="str">
            <v>New 05/06/20</v>
          </cell>
          <cell r="K3208" t="str">
            <v>KU</v>
          </cell>
          <cell r="L3208" t="str">
            <v>HIDA08</v>
          </cell>
          <cell r="M3208" t="str">
            <v>Hidayat Tani, UD</v>
          </cell>
          <cell r="N3208" t="str">
            <v>Heri Sulistiani</v>
          </cell>
          <cell r="O3208" t="str">
            <v>Bila Sundung RT.000/RW.000 Kel Paokmotong, Kec. Masbagik</v>
          </cell>
          <cell r="P3208" t="str">
            <v>Lombok Timur</v>
          </cell>
          <cell r="Q3208" t="str">
            <v>Jl. Raya Sikur Sakra KM 41 - Lombok</v>
          </cell>
          <cell r="R3208" t="str">
            <v>Lombok Timur</v>
          </cell>
          <cell r="S3208" t="str">
            <v>E Luar Pulau1</v>
          </cell>
          <cell r="T3208" t="str">
            <v>Muhlisin</v>
          </cell>
          <cell r="U3208">
            <v>45</v>
          </cell>
        </row>
        <row r="3209">
          <cell r="E3209" t="str">
            <v>Z25002189</v>
          </cell>
          <cell r="F3209"/>
          <cell r="G3209">
            <v>400000000</v>
          </cell>
          <cell r="H3209" t="str">
            <v>Hendra</v>
          </cell>
          <cell r="I3209" t="str">
            <v>Tiya</v>
          </cell>
          <cell r="J3209" t="str">
            <v>New 05/06/20</v>
          </cell>
          <cell r="K3209" t="str">
            <v>KU</v>
          </cell>
          <cell r="L3209" t="str">
            <v>HIDA08</v>
          </cell>
          <cell r="M3209" t="str">
            <v>Hidayat Tani, UD</v>
          </cell>
          <cell r="N3209" t="str">
            <v>Heri Sulistiani</v>
          </cell>
          <cell r="O3209" t="str">
            <v>Bila Sundung RT.000/RW.000 Kel Paokmotong, Kec. Masbagik</v>
          </cell>
          <cell r="P3209" t="str">
            <v>Lombok Timur</v>
          </cell>
          <cell r="Q3209" t="str">
            <v>Jl. Raya Sikur Sakra KM 41 - Lombok</v>
          </cell>
          <cell r="R3209" t="str">
            <v>Lombok Timur</v>
          </cell>
          <cell r="S3209" t="str">
            <v>E Luar Pulau1</v>
          </cell>
          <cell r="T3209" t="str">
            <v>Muhlisin</v>
          </cell>
          <cell r="U3209">
            <v>45</v>
          </cell>
        </row>
        <row r="3210">
          <cell r="E3210" t="str">
            <v>Z25002190</v>
          </cell>
          <cell r="F3210"/>
          <cell r="G3210">
            <v>400000000</v>
          </cell>
          <cell r="H3210" t="str">
            <v>Hendra</v>
          </cell>
          <cell r="I3210" t="str">
            <v>Tiya</v>
          </cell>
          <cell r="J3210" t="str">
            <v>New 05/06/20</v>
          </cell>
          <cell r="K3210" t="str">
            <v>KU</v>
          </cell>
          <cell r="L3210" t="str">
            <v>HIDA08</v>
          </cell>
          <cell r="M3210" t="str">
            <v>Hidayat Tani, UD</v>
          </cell>
          <cell r="N3210" t="str">
            <v>Heri Sulistiani</v>
          </cell>
          <cell r="O3210" t="str">
            <v>Bila Sundung RT.000/RW.000 Kel Paokmotong, Kec. Masbagik</v>
          </cell>
          <cell r="P3210" t="str">
            <v>Lombok Timur</v>
          </cell>
          <cell r="Q3210" t="str">
            <v>Jl. Raya Sikur Sakra KM 41 - Lombok</v>
          </cell>
          <cell r="R3210" t="str">
            <v>Lombok Timur</v>
          </cell>
          <cell r="S3210" t="str">
            <v>E Luar Pulau1</v>
          </cell>
          <cell r="T3210" t="str">
            <v>Muhlisin</v>
          </cell>
          <cell r="U3210">
            <v>45</v>
          </cell>
        </row>
        <row r="3211">
          <cell r="E3211" t="str">
            <v>Z25002194</v>
          </cell>
          <cell r="F3211"/>
          <cell r="G3211">
            <v>400000000</v>
          </cell>
          <cell r="H3211" t="str">
            <v>Hendra</v>
          </cell>
          <cell r="I3211" t="str">
            <v>Tiya</v>
          </cell>
          <cell r="J3211" t="str">
            <v>New 05/06/20</v>
          </cell>
          <cell r="K3211" t="str">
            <v>KU</v>
          </cell>
          <cell r="L3211" t="str">
            <v>HIDA08</v>
          </cell>
          <cell r="M3211" t="str">
            <v>Hidayat Tani, UD</v>
          </cell>
          <cell r="N3211" t="str">
            <v>Heri Sulistiani</v>
          </cell>
          <cell r="O3211" t="str">
            <v>Bila Sundung RT.000/RW.000 Kel Paokmotong, Kec. Masbagik</v>
          </cell>
          <cell r="P3211" t="str">
            <v>Lombok Timur</v>
          </cell>
          <cell r="Q3211" t="str">
            <v>Jl. Raya Sikur Sakra KM 41 - Lombok</v>
          </cell>
          <cell r="R3211" t="str">
            <v>Lombok Timur</v>
          </cell>
          <cell r="S3211" t="str">
            <v>E Luar Pulau1</v>
          </cell>
          <cell r="T3211" t="str">
            <v>Muhlisin</v>
          </cell>
          <cell r="U3211">
            <v>45</v>
          </cell>
        </row>
        <row r="3212">
          <cell r="E3212" t="str">
            <v>Z25002333</v>
          </cell>
          <cell r="F3212"/>
          <cell r="G3212">
            <v>400000000</v>
          </cell>
          <cell r="H3212" t="str">
            <v>Hendra</v>
          </cell>
          <cell r="I3212" t="str">
            <v>Tiya</v>
          </cell>
          <cell r="J3212" t="str">
            <v>New 05/06/20</v>
          </cell>
          <cell r="K3212" t="str">
            <v>KU</v>
          </cell>
          <cell r="L3212" t="str">
            <v>HIDA08</v>
          </cell>
          <cell r="M3212" t="str">
            <v>Hidayat Tani, UD</v>
          </cell>
          <cell r="N3212" t="str">
            <v>Heri Sulistiani</v>
          </cell>
          <cell r="O3212" t="str">
            <v>Bila Sundung RT.000/RW.000 Kel Paokmotong, Kec. Masbagik</v>
          </cell>
          <cell r="P3212" t="str">
            <v>Lombok Timur</v>
          </cell>
          <cell r="Q3212" t="str">
            <v>Jl. Raya Sikur Sakra KM 41 - Lombok</v>
          </cell>
          <cell r="R3212" t="str">
            <v>Lombok Timur</v>
          </cell>
          <cell r="S3212" t="str">
            <v>E Luar Pulau1</v>
          </cell>
          <cell r="T3212" t="str">
            <v>Muhlisin</v>
          </cell>
          <cell r="U3212">
            <v>45</v>
          </cell>
        </row>
        <row r="3213">
          <cell r="E3213" t="str">
            <v>Z25002341</v>
          </cell>
          <cell r="F3213"/>
          <cell r="G3213">
            <v>400000000</v>
          </cell>
          <cell r="H3213" t="str">
            <v>Hendra</v>
          </cell>
          <cell r="I3213" t="str">
            <v>Tiya</v>
          </cell>
          <cell r="J3213" t="str">
            <v>New 05/06/20</v>
          </cell>
          <cell r="K3213" t="str">
            <v>KU</v>
          </cell>
          <cell r="L3213" t="str">
            <v>HIDA08</v>
          </cell>
          <cell r="M3213" t="str">
            <v>Hidayat Tani, UD</v>
          </cell>
          <cell r="N3213" t="str">
            <v>Heri Sulistiani</v>
          </cell>
          <cell r="O3213" t="str">
            <v>Bila Sundung RT.000/RW.000 Kel Paokmotong, Kec. Masbagik</v>
          </cell>
          <cell r="P3213" t="str">
            <v>Lombok Timur</v>
          </cell>
          <cell r="Q3213" t="str">
            <v>Jl. Raya Sikur Sakra KM 41 - Lombok</v>
          </cell>
          <cell r="R3213" t="str">
            <v>Lombok Timur</v>
          </cell>
          <cell r="S3213" t="str">
            <v>E Luar Pulau1</v>
          </cell>
          <cell r="T3213" t="str">
            <v>Muhlisin</v>
          </cell>
          <cell r="U3213">
            <v>45</v>
          </cell>
        </row>
        <row r="3214">
          <cell r="E3214" t="str">
            <v>Z250026</v>
          </cell>
          <cell r="F3214"/>
          <cell r="G3214">
            <v>400000000</v>
          </cell>
          <cell r="H3214" t="str">
            <v>Hendra</v>
          </cell>
          <cell r="I3214" t="str">
            <v>Tiya</v>
          </cell>
          <cell r="J3214" t="str">
            <v>New 05/06/20</v>
          </cell>
          <cell r="K3214" t="str">
            <v>KU</v>
          </cell>
          <cell r="L3214" t="str">
            <v>HIDA08</v>
          </cell>
          <cell r="M3214" t="str">
            <v>Hidayat Tani, UD</v>
          </cell>
          <cell r="N3214" t="str">
            <v>Heri Sulistiani</v>
          </cell>
          <cell r="O3214" t="str">
            <v>Bila Sundung RT.000/RW.000 Kel Paokmotong, Kec. Masbagik</v>
          </cell>
          <cell r="P3214" t="str">
            <v>Lombok Timur</v>
          </cell>
          <cell r="Q3214" t="str">
            <v>Jl. Raya Sikur Sakra KM 41 - Lombok</v>
          </cell>
          <cell r="R3214" t="str">
            <v>Lombok Timur</v>
          </cell>
          <cell r="S3214" t="str">
            <v>E Luar Pulau1</v>
          </cell>
          <cell r="T3214" t="str">
            <v>Muhlisin</v>
          </cell>
          <cell r="U3214">
            <v>45</v>
          </cell>
        </row>
        <row r="3215">
          <cell r="E3215" t="str">
            <v>Z25002467</v>
          </cell>
          <cell r="F3215"/>
          <cell r="G3215">
            <v>400000000</v>
          </cell>
          <cell r="H3215" t="str">
            <v>Hendra</v>
          </cell>
          <cell r="I3215" t="str">
            <v>Tiya</v>
          </cell>
          <cell r="J3215" t="str">
            <v>New 05/06/20</v>
          </cell>
          <cell r="K3215" t="str">
            <v>KU</v>
          </cell>
          <cell r="L3215" t="str">
            <v>HIDA08</v>
          </cell>
          <cell r="M3215" t="str">
            <v>Hidayat Tani, UD</v>
          </cell>
          <cell r="N3215" t="str">
            <v>Heri Sulistiani</v>
          </cell>
          <cell r="O3215" t="str">
            <v>Bila Sundung RT.000/RW.000 Kel Paokmotong, Kec. Masbagik</v>
          </cell>
          <cell r="P3215" t="str">
            <v>Lombok Timur</v>
          </cell>
          <cell r="Q3215" t="str">
            <v>Jl. Raya Sikur Sakra KM 41 - Lombok</v>
          </cell>
          <cell r="R3215" t="str">
            <v>Lombok Timur</v>
          </cell>
          <cell r="S3215" t="str">
            <v>E Luar Pulau1</v>
          </cell>
          <cell r="T3215" t="str">
            <v>Muhlisin</v>
          </cell>
          <cell r="U3215">
            <v>45</v>
          </cell>
        </row>
        <row r="3216">
          <cell r="E3216" t="str">
            <v>Z250033</v>
          </cell>
          <cell r="F3216"/>
          <cell r="G3216">
            <v>400000000</v>
          </cell>
          <cell r="H3216" t="str">
            <v>Hendra</v>
          </cell>
          <cell r="I3216" t="str">
            <v>Tiya</v>
          </cell>
          <cell r="J3216" t="str">
            <v>New 05/06/20</v>
          </cell>
          <cell r="K3216" t="str">
            <v>KU</v>
          </cell>
          <cell r="L3216" t="str">
            <v>HIDA08</v>
          </cell>
          <cell r="M3216" t="str">
            <v>Hidayat Tani, UD</v>
          </cell>
          <cell r="N3216" t="str">
            <v>Heri Sulistiani</v>
          </cell>
          <cell r="O3216" t="str">
            <v>Bila Sundung RT.000/RW.000 Kel Paokmotong, Kec. Masbagik</v>
          </cell>
          <cell r="P3216" t="str">
            <v>Lombok Timur</v>
          </cell>
          <cell r="Q3216" t="str">
            <v>Jl. Raya Sikur Sakra KM 41 - Lombok</v>
          </cell>
          <cell r="R3216" t="str">
            <v>Lombok Timur</v>
          </cell>
          <cell r="S3216" t="str">
            <v>E Luar Pulau1</v>
          </cell>
          <cell r="T3216" t="str">
            <v>Muhlisin</v>
          </cell>
          <cell r="U3216">
            <v>45</v>
          </cell>
        </row>
        <row r="3217">
          <cell r="E3217" t="str">
            <v>Z250036</v>
          </cell>
          <cell r="F3217"/>
          <cell r="G3217">
            <v>400000000</v>
          </cell>
          <cell r="H3217" t="str">
            <v>Hendra</v>
          </cell>
          <cell r="I3217" t="str">
            <v>Tiya</v>
          </cell>
          <cell r="J3217" t="str">
            <v>New 05/06/20</v>
          </cell>
          <cell r="K3217" t="str">
            <v>KU</v>
          </cell>
          <cell r="L3217" t="str">
            <v>HIDA08</v>
          </cell>
          <cell r="M3217" t="str">
            <v>Hidayat Tani, UD</v>
          </cell>
          <cell r="N3217" t="str">
            <v>Heri Sulistiani</v>
          </cell>
          <cell r="O3217" t="str">
            <v>Bila Sundung RT.000/RW.000 Kel Paokmotong, Kec. Masbagik</v>
          </cell>
          <cell r="P3217" t="str">
            <v>Lombok Timur</v>
          </cell>
          <cell r="Q3217" t="str">
            <v>Jl. Raya Sikur Sakra KM 41 - Lombok</v>
          </cell>
          <cell r="R3217" t="str">
            <v>Lombok Timur</v>
          </cell>
          <cell r="S3217" t="str">
            <v>E Luar Pulau1</v>
          </cell>
          <cell r="T3217" t="str">
            <v>Muhlisin</v>
          </cell>
          <cell r="U3217">
            <v>45</v>
          </cell>
        </row>
        <row r="3218">
          <cell r="E3218" t="str">
            <v>Z25002608</v>
          </cell>
          <cell r="F3218"/>
          <cell r="G3218">
            <v>400000000</v>
          </cell>
          <cell r="H3218" t="str">
            <v>Hendra</v>
          </cell>
          <cell r="I3218" t="str">
            <v>Tiya</v>
          </cell>
          <cell r="J3218" t="str">
            <v>New 05/06/20</v>
          </cell>
          <cell r="K3218" t="str">
            <v>KU</v>
          </cell>
          <cell r="L3218" t="str">
            <v>HIDA08</v>
          </cell>
          <cell r="M3218" t="str">
            <v>Hidayat Tani, UD</v>
          </cell>
          <cell r="N3218" t="str">
            <v>Heri Sulistiani</v>
          </cell>
          <cell r="O3218" t="str">
            <v>Bila Sundung RT.000/RW.000 Kel Paokmotong, Kec. Masbagik</v>
          </cell>
          <cell r="P3218" t="str">
            <v>Lombok Timur</v>
          </cell>
          <cell r="Q3218" t="str">
            <v>Jl. Raya Sikur Sakra KM 41 - Lombok</v>
          </cell>
          <cell r="R3218" t="str">
            <v>Lombok Timur</v>
          </cell>
          <cell r="S3218" t="str">
            <v>E Luar Pulau1</v>
          </cell>
          <cell r="T3218" t="str">
            <v>Muhlisin</v>
          </cell>
          <cell r="U3218">
            <v>45</v>
          </cell>
        </row>
        <row r="3219">
          <cell r="E3219" t="str">
            <v>Z25002622</v>
          </cell>
          <cell r="F3219"/>
          <cell r="G3219">
            <v>400000000</v>
          </cell>
          <cell r="H3219" t="str">
            <v>Hendra</v>
          </cell>
          <cell r="I3219" t="str">
            <v>Tiya</v>
          </cell>
          <cell r="J3219" t="str">
            <v>New 05/06/20</v>
          </cell>
          <cell r="K3219" t="str">
            <v>KU</v>
          </cell>
          <cell r="L3219" t="str">
            <v>HIDA08</v>
          </cell>
          <cell r="M3219" t="str">
            <v>Hidayat Tani, UD</v>
          </cell>
          <cell r="N3219" t="str">
            <v>Heri Sulistiani</v>
          </cell>
          <cell r="O3219" t="str">
            <v>Bila Sundung RT.000/RW.000 Kel Paokmotong, Kec. Masbagik</v>
          </cell>
          <cell r="P3219" t="str">
            <v>Lombok Timur</v>
          </cell>
          <cell r="Q3219" t="str">
            <v>Jl. Raya Sikur Sakra KM 41 - Lombok</v>
          </cell>
          <cell r="R3219" t="str">
            <v>Lombok Timur</v>
          </cell>
          <cell r="S3219" t="str">
            <v>E Luar Pulau1</v>
          </cell>
          <cell r="T3219" t="str">
            <v>Muhlisin</v>
          </cell>
          <cell r="U3219">
            <v>45</v>
          </cell>
        </row>
        <row r="3220">
          <cell r="E3220" t="str">
            <v>Z25002664</v>
          </cell>
          <cell r="F3220"/>
          <cell r="G3220">
            <v>400000000</v>
          </cell>
          <cell r="H3220" t="str">
            <v>Hendra</v>
          </cell>
          <cell r="I3220" t="str">
            <v>Tiya</v>
          </cell>
          <cell r="J3220" t="str">
            <v>New 05/06/20</v>
          </cell>
          <cell r="K3220" t="str">
            <v>KU</v>
          </cell>
          <cell r="L3220" t="str">
            <v>HIDA08</v>
          </cell>
          <cell r="M3220" t="str">
            <v>Hidayat Tani, UD</v>
          </cell>
          <cell r="N3220" t="str">
            <v>Heri Sulistiani</v>
          </cell>
          <cell r="O3220" t="str">
            <v>Bila Sundung RT.000/RW.000 Kel Paokmotong, Kec. Masbagik</v>
          </cell>
          <cell r="P3220" t="str">
            <v>Lombok Timur</v>
          </cell>
          <cell r="Q3220" t="str">
            <v>Jl. Raya Sikur Sakra KM 41 - Lombok</v>
          </cell>
          <cell r="R3220" t="str">
            <v>Lombok Timur</v>
          </cell>
          <cell r="S3220" t="str">
            <v>E Luar Pulau1</v>
          </cell>
          <cell r="T3220" t="str">
            <v>Muhlisin</v>
          </cell>
          <cell r="U3220">
            <v>45</v>
          </cell>
        </row>
        <row r="3221">
          <cell r="E3221" t="str">
            <v>Z25002768</v>
          </cell>
          <cell r="F3221"/>
          <cell r="G3221">
            <v>400000000</v>
          </cell>
          <cell r="H3221" t="str">
            <v>Hendra</v>
          </cell>
          <cell r="I3221" t="str">
            <v>Tiya</v>
          </cell>
          <cell r="J3221" t="str">
            <v>New 05/06/20</v>
          </cell>
          <cell r="K3221" t="str">
            <v>KU</v>
          </cell>
          <cell r="L3221" t="str">
            <v>HIDA08</v>
          </cell>
          <cell r="M3221" t="str">
            <v>Hidayat Tani, UD</v>
          </cell>
          <cell r="N3221" t="str">
            <v>Heri Sulistiani</v>
          </cell>
          <cell r="O3221" t="str">
            <v>Bila Sundung RT.000/RW.000 Kel Paokmotong, Kec. Masbagik</v>
          </cell>
          <cell r="P3221" t="str">
            <v>Lombok Timur</v>
          </cell>
          <cell r="Q3221" t="str">
            <v>Jl. Raya Sikur Sakra KM 41 - Lombok</v>
          </cell>
          <cell r="R3221" t="str">
            <v>Lombok Timur</v>
          </cell>
          <cell r="S3221" t="str">
            <v>E Luar Pulau1</v>
          </cell>
          <cell r="T3221" t="str">
            <v>Muhlisin</v>
          </cell>
          <cell r="U3221">
            <v>45</v>
          </cell>
        </row>
        <row r="3222">
          <cell r="E3222" t="str">
            <v>B25013104</v>
          </cell>
          <cell r="F3222"/>
          <cell r="G3222">
            <v>1000</v>
          </cell>
          <cell r="H3222" t="str">
            <v>Reni</v>
          </cell>
          <cell r="I3222" t="str">
            <v>Farida</v>
          </cell>
          <cell r="J3222" t="str">
            <v>New 04/08/25</v>
          </cell>
          <cell r="K3222" t="str">
            <v>KU</v>
          </cell>
          <cell r="L3222" t="str">
            <v>HIJR01</v>
          </cell>
          <cell r="M3222" t="str">
            <v>Hijrah Karyabakti Indonesia</v>
          </cell>
          <cell r="N3222" t="str">
            <v>Hijrah Karyabakti Indones</v>
          </cell>
          <cell r="O3222" t="str">
            <v>Perumahan Bukit Cemara Tidar E5 No. 08</v>
          </cell>
          <cell r="P3222" t="str">
            <v>Malang</v>
          </cell>
          <cell r="Q3222" t="str">
            <v>Perumahan Bukit Cemara Tidar E5 No. 08</v>
          </cell>
          <cell r="R3222" t="str">
            <v>Malang</v>
          </cell>
          <cell r="S3222" t="str">
            <v>F Utara1</v>
          </cell>
          <cell r="T3222" t="str">
            <v>Tomi</v>
          </cell>
          <cell r="U3222">
            <v>0</v>
          </cell>
        </row>
        <row r="3223">
          <cell r="E3223" t="str">
            <v>D25009923</v>
          </cell>
          <cell r="F3223"/>
          <cell r="G3223">
            <v>6000000000</v>
          </cell>
          <cell r="H3223" t="str">
            <v>Reni</v>
          </cell>
          <cell r="I3223" t="str">
            <v>Fira</v>
          </cell>
          <cell r="J3223"/>
          <cell r="K3223" t="str">
            <v>KU</v>
          </cell>
          <cell r="L3223" t="str">
            <v>HIKM01</v>
          </cell>
          <cell r="M3223" t="str">
            <v>Hikmah Agung Tuban, CV</v>
          </cell>
          <cell r="N3223" t="str">
            <v>Hikmah Agung Tuban, CV</v>
          </cell>
          <cell r="O3223" t="str">
            <v>Mintorogo, 45, Prunggahan Wetan, Semanding</v>
          </cell>
          <cell r="P3223" t="str">
            <v>Tuban</v>
          </cell>
          <cell r="Q3223" t="str">
            <v>Dsn. Taragan, RT.002/RW.001 Prunggahan Wetan Semanding</v>
          </cell>
          <cell r="R3223" t="str">
            <v>Tuban</v>
          </cell>
          <cell r="S3223" t="str">
            <v>F Utara1</v>
          </cell>
          <cell r="T3223" t="str">
            <v>Dian</v>
          </cell>
          <cell r="U3223">
            <v>60</v>
          </cell>
        </row>
        <row r="3224">
          <cell r="E3224" t="str">
            <v>D25010043</v>
          </cell>
          <cell r="F3224"/>
          <cell r="G3224">
            <v>6000000000</v>
          </cell>
          <cell r="H3224" t="str">
            <v>Reni</v>
          </cell>
          <cell r="I3224" t="str">
            <v>Fira</v>
          </cell>
          <cell r="J3224"/>
          <cell r="K3224" t="str">
            <v>KU</v>
          </cell>
          <cell r="L3224" t="str">
            <v>HIKM01</v>
          </cell>
          <cell r="M3224" t="str">
            <v>Hikmah Agung Tuban, CV</v>
          </cell>
          <cell r="N3224" t="str">
            <v>Hikmah Agung Tuban, CV</v>
          </cell>
          <cell r="O3224" t="str">
            <v>Mintorogo, 45, Prunggahan Wetan, Semanding</v>
          </cell>
          <cell r="P3224" t="str">
            <v>Tuban</v>
          </cell>
          <cell r="Q3224" t="str">
            <v>Dsn. Taragan, RT.002/RW.001 Prunggahan Wetan Semanding</v>
          </cell>
          <cell r="R3224" t="str">
            <v>Tuban</v>
          </cell>
          <cell r="S3224" t="str">
            <v>F Utara1</v>
          </cell>
          <cell r="T3224" t="str">
            <v>Dian</v>
          </cell>
          <cell r="U3224">
            <v>60</v>
          </cell>
        </row>
        <row r="3225">
          <cell r="E3225" t="str">
            <v>B25008235</v>
          </cell>
          <cell r="F3225"/>
          <cell r="G3225">
            <v>6000000000</v>
          </cell>
          <cell r="H3225" t="str">
            <v>Reni</v>
          </cell>
          <cell r="I3225" t="str">
            <v>Fira</v>
          </cell>
          <cell r="J3225"/>
          <cell r="K3225" t="str">
            <v>KU</v>
          </cell>
          <cell r="L3225" t="str">
            <v>HIKM01</v>
          </cell>
          <cell r="M3225" t="str">
            <v>Hikmah Agung Tuban, CV</v>
          </cell>
          <cell r="N3225" t="str">
            <v>Hikmah Agung Tuban, CV</v>
          </cell>
          <cell r="O3225" t="str">
            <v>Mintorogo, 45, Prunggahan Wetan, Semanding</v>
          </cell>
          <cell r="P3225" t="str">
            <v>Tuban</v>
          </cell>
          <cell r="Q3225" t="str">
            <v>Dsn. Taragan, RT.002/RW.001 Prunggahan Wetan Semanding</v>
          </cell>
          <cell r="R3225" t="str">
            <v>Tuban</v>
          </cell>
          <cell r="S3225" t="str">
            <v>F Utara1</v>
          </cell>
          <cell r="T3225" t="str">
            <v>Dian</v>
          </cell>
          <cell r="U3225">
            <v>60</v>
          </cell>
        </row>
        <row r="3226">
          <cell r="E3226" t="str">
            <v>B25008420</v>
          </cell>
          <cell r="F3226"/>
          <cell r="G3226">
            <v>6000000000</v>
          </cell>
          <cell r="H3226" t="str">
            <v>Reni</v>
          </cell>
          <cell r="I3226" t="str">
            <v>Fira</v>
          </cell>
          <cell r="J3226"/>
          <cell r="K3226" t="str">
            <v>KU</v>
          </cell>
          <cell r="L3226" t="str">
            <v>HIKM01</v>
          </cell>
          <cell r="M3226" t="str">
            <v>Hikmah Agung Tuban, CV</v>
          </cell>
          <cell r="N3226" t="str">
            <v>Hikmah Agung Tuban, CV</v>
          </cell>
          <cell r="O3226" t="str">
            <v>Mintorogo, 45, Prunggahan Wetan, Semanding</v>
          </cell>
          <cell r="P3226" t="str">
            <v>Tuban</v>
          </cell>
          <cell r="Q3226" t="str">
            <v>Dsn. Taragan, RT.002/RW.001 Prunggahan Wetan Semanding</v>
          </cell>
          <cell r="R3226" t="str">
            <v>Tuban</v>
          </cell>
          <cell r="S3226" t="str">
            <v>F Utara1</v>
          </cell>
          <cell r="T3226" t="str">
            <v>Dian</v>
          </cell>
          <cell r="U3226">
            <v>60</v>
          </cell>
        </row>
        <row r="3227">
          <cell r="E3227" t="str">
            <v>D25010453</v>
          </cell>
          <cell r="F3227"/>
          <cell r="G3227">
            <v>6000000000</v>
          </cell>
          <cell r="H3227" t="str">
            <v>Reni</v>
          </cell>
          <cell r="I3227" t="str">
            <v>Fira</v>
          </cell>
          <cell r="J3227"/>
          <cell r="K3227" t="str">
            <v>KU</v>
          </cell>
          <cell r="L3227" t="str">
            <v>HIKM01</v>
          </cell>
          <cell r="M3227" t="str">
            <v>Hikmah Agung Tuban, CV</v>
          </cell>
          <cell r="N3227" t="str">
            <v>Hikmah Agung Tuban, CV</v>
          </cell>
          <cell r="O3227" t="str">
            <v>Mintorogo, 45, Prunggahan Wetan, Semanding</v>
          </cell>
          <cell r="P3227" t="str">
            <v>Tuban</v>
          </cell>
          <cell r="Q3227" t="str">
            <v>Dsn. Taragan, RT.002/RW.001 Prunggahan Wetan Semanding</v>
          </cell>
          <cell r="R3227" t="str">
            <v>Tuban</v>
          </cell>
          <cell r="S3227" t="str">
            <v>F Utara1</v>
          </cell>
          <cell r="T3227" t="str">
            <v>Dian</v>
          </cell>
          <cell r="U3227">
            <v>60</v>
          </cell>
        </row>
        <row r="3228">
          <cell r="E3228" t="str">
            <v>D25010913</v>
          </cell>
          <cell r="F3228"/>
          <cell r="G3228">
            <v>6000000000</v>
          </cell>
          <cell r="H3228" t="str">
            <v>Reni</v>
          </cell>
          <cell r="I3228" t="str">
            <v>Fira</v>
          </cell>
          <cell r="J3228"/>
          <cell r="K3228" t="str">
            <v>KU</v>
          </cell>
          <cell r="L3228" t="str">
            <v>HIKM01</v>
          </cell>
          <cell r="M3228" t="str">
            <v>Hikmah Agung Tuban, CV</v>
          </cell>
          <cell r="N3228" t="str">
            <v>Hikmah Agung Tuban, CV</v>
          </cell>
          <cell r="O3228" t="str">
            <v>Mintorogo, 45, Prunggahan Wetan, Semanding</v>
          </cell>
          <cell r="P3228" t="str">
            <v>Tuban</v>
          </cell>
          <cell r="Q3228" t="str">
            <v>Dsn. Taragan, RT.002/RW.001 Prunggahan Wetan Semanding</v>
          </cell>
          <cell r="R3228" t="str">
            <v>Tuban</v>
          </cell>
          <cell r="S3228" t="str">
            <v>F Utara1</v>
          </cell>
          <cell r="T3228" t="str">
            <v>Dian</v>
          </cell>
          <cell r="U3228">
            <v>60</v>
          </cell>
        </row>
        <row r="3229">
          <cell r="E3229" t="str">
            <v>D25011020</v>
          </cell>
          <cell r="F3229"/>
          <cell r="G3229">
            <v>6000000000</v>
          </cell>
          <cell r="H3229" t="str">
            <v>Reni</v>
          </cell>
          <cell r="I3229" t="str">
            <v>Fira</v>
          </cell>
          <cell r="J3229"/>
          <cell r="K3229" t="str">
            <v>KU</v>
          </cell>
          <cell r="L3229" t="str">
            <v>HIKM01</v>
          </cell>
          <cell r="M3229" t="str">
            <v>Hikmah Agung Tuban, CV</v>
          </cell>
          <cell r="N3229" t="str">
            <v>Hikmah Agung Tuban, CV</v>
          </cell>
          <cell r="O3229" t="str">
            <v>Mintorogo, 45, Prunggahan Wetan, Semanding</v>
          </cell>
          <cell r="P3229" t="str">
            <v>Tuban</v>
          </cell>
          <cell r="Q3229" t="str">
            <v>Dsn. Taragan, RT.002/RW.001 Prunggahan Wetan Semanding</v>
          </cell>
          <cell r="R3229" t="str">
            <v>Tuban</v>
          </cell>
          <cell r="S3229" t="str">
            <v>F Utara1</v>
          </cell>
          <cell r="T3229" t="str">
            <v>Dian</v>
          </cell>
          <cell r="U3229">
            <v>60</v>
          </cell>
        </row>
        <row r="3230">
          <cell r="E3230" t="str">
            <v>B25009247</v>
          </cell>
          <cell r="F3230"/>
          <cell r="G3230">
            <v>6000000000</v>
          </cell>
          <cell r="H3230" t="str">
            <v>Reni</v>
          </cell>
          <cell r="I3230" t="str">
            <v>Fira</v>
          </cell>
          <cell r="J3230"/>
          <cell r="K3230" t="str">
            <v>KU</v>
          </cell>
          <cell r="L3230" t="str">
            <v>HIKM01</v>
          </cell>
          <cell r="M3230" t="str">
            <v>Hikmah Agung Tuban, CV</v>
          </cell>
          <cell r="N3230" t="str">
            <v>Hikmah Agung Tuban, CV</v>
          </cell>
          <cell r="O3230" t="str">
            <v>Mintorogo, 45, Prunggahan Wetan, Semanding</v>
          </cell>
          <cell r="P3230" t="str">
            <v>Tuban</v>
          </cell>
          <cell r="Q3230" t="str">
            <v>Dsn. Taragan, RT.002/RW.001 Prunggahan Wetan Semanding</v>
          </cell>
          <cell r="R3230" t="str">
            <v>Tuban</v>
          </cell>
          <cell r="S3230" t="str">
            <v>F Utara1</v>
          </cell>
          <cell r="T3230" t="str">
            <v>Dian</v>
          </cell>
          <cell r="U3230">
            <v>60</v>
          </cell>
        </row>
        <row r="3231">
          <cell r="E3231" t="str">
            <v>B25009307</v>
          </cell>
          <cell r="F3231"/>
          <cell r="G3231">
            <v>6000000000</v>
          </cell>
          <cell r="H3231" t="str">
            <v>Reni</v>
          </cell>
          <cell r="I3231" t="str">
            <v>Fira</v>
          </cell>
          <cell r="J3231"/>
          <cell r="K3231" t="str">
            <v>KU</v>
          </cell>
          <cell r="L3231" t="str">
            <v>HIKM01</v>
          </cell>
          <cell r="M3231" t="str">
            <v>Hikmah Agung Tuban, CV</v>
          </cell>
          <cell r="N3231" t="str">
            <v>Hikmah Agung Tuban, CV</v>
          </cell>
          <cell r="O3231" t="str">
            <v>Mintorogo, 45, Prunggahan Wetan, Semanding</v>
          </cell>
          <cell r="P3231" t="str">
            <v>Tuban</v>
          </cell>
          <cell r="Q3231" t="str">
            <v>Dsn. Taragan, RT.002/RW.001 Prunggahan Wetan Semanding</v>
          </cell>
          <cell r="R3231" t="str">
            <v>Tuban</v>
          </cell>
          <cell r="S3231" t="str">
            <v>F Utara1</v>
          </cell>
          <cell r="T3231" t="str">
            <v>Dian</v>
          </cell>
          <cell r="U3231">
            <v>60</v>
          </cell>
        </row>
        <row r="3232">
          <cell r="E3232" t="str">
            <v>B25009311</v>
          </cell>
          <cell r="F3232"/>
          <cell r="G3232">
            <v>6000000000</v>
          </cell>
          <cell r="H3232" t="str">
            <v>Reni</v>
          </cell>
          <cell r="I3232" t="str">
            <v>Fira</v>
          </cell>
          <cell r="J3232"/>
          <cell r="K3232" t="str">
            <v>KU</v>
          </cell>
          <cell r="L3232" t="str">
            <v>HIKM01</v>
          </cell>
          <cell r="M3232" t="str">
            <v>Hikmah Agung Tuban, CV</v>
          </cell>
          <cell r="N3232" t="str">
            <v>Hikmah Agung Tuban, CV</v>
          </cell>
          <cell r="O3232" t="str">
            <v>Mintorogo, 45, Prunggahan Wetan, Semanding</v>
          </cell>
          <cell r="P3232" t="str">
            <v>Tuban</v>
          </cell>
          <cell r="Q3232" t="str">
            <v>Dsn. Taragan, RT.002/RW.001 Prunggahan Wetan Semanding</v>
          </cell>
          <cell r="R3232" t="str">
            <v>Tuban</v>
          </cell>
          <cell r="S3232" t="str">
            <v>F Utara1</v>
          </cell>
          <cell r="T3232" t="str">
            <v>Dian</v>
          </cell>
          <cell r="U3232">
            <v>60</v>
          </cell>
        </row>
        <row r="3233">
          <cell r="E3233" t="str">
            <v>B25009348</v>
          </cell>
          <cell r="F3233"/>
          <cell r="G3233">
            <v>6000000000</v>
          </cell>
          <cell r="H3233" t="str">
            <v>Reni</v>
          </cell>
          <cell r="I3233" t="str">
            <v>Fira</v>
          </cell>
          <cell r="J3233"/>
          <cell r="K3233" t="str">
            <v>KU</v>
          </cell>
          <cell r="L3233" t="str">
            <v>HIKM01</v>
          </cell>
          <cell r="M3233" t="str">
            <v>Hikmah Agung Tuban, CV</v>
          </cell>
          <cell r="N3233" t="str">
            <v>Hikmah Agung Tuban, CV</v>
          </cell>
          <cell r="O3233" t="str">
            <v>Mintorogo, 45, Prunggahan Wetan, Semanding</v>
          </cell>
          <cell r="P3233" t="str">
            <v>Tuban</v>
          </cell>
          <cell r="Q3233" t="str">
            <v>Dsn. Taragan, RT.002/RW.001 Prunggahan Wetan Semanding</v>
          </cell>
          <cell r="R3233" t="str">
            <v>Tuban</v>
          </cell>
          <cell r="S3233" t="str">
            <v>F Utara1</v>
          </cell>
          <cell r="T3233" t="str">
            <v>Dian</v>
          </cell>
          <cell r="U3233">
            <v>60</v>
          </cell>
        </row>
        <row r="3234">
          <cell r="E3234" t="str">
            <v>B25009502</v>
          </cell>
          <cell r="F3234"/>
          <cell r="G3234">
            <v>6000000000</v>
          </cell>
          <cell r="H3234" t="str">
            <v>Reni</v>
          </cell>
          <cell r="I3234" t="str">
            <v>Fira</v>
          </cell>
          <cell r="J3234"/>
          <cell r="K3234" t="str">
            <v>KU</v>
          </cell>
          <cell r="L3234" t="str">
            <v>HIKM01</v>
          </cell>
          <cell r="M3234" t="str">
            <v>Hikmah Agung Tuban, CV</v>
          </cell>
          <cell r="N3234" t="str">
            <v>Hikmah Agung Tuban, CV</v>
          </cell>
          <cell r="O3234" t="str">
            <v>Mintorogo, 45, Prunggahan Wetan, Semanding</v>
          </cell>
          <cell r="P3234" t="str">
            <v>Tuban</v>
          </cell>
          <cell r="Q3234" t="str">
            <v>Dsn. Taragan, RT.002/RW.001 Prunggahan Wetan Semanding</v>
          </cell>
          <cell r="R3234" t="str">
            <v>Tuban</v>
          </cell>
          <cell r="S3234" t="str">
            <v>F Utara1</v>
          </cell>
          <cell r="T3234" t="str">
            <v>Dian</v>
          </cell>
          <cell r="U3234">
            <v>60</v>
          </cell>
        </row>
        <row r="3235">
          <cell r="E3235" t="str">
            <v>B25009502</v>
          </cell>
          <cell r="F3235"/>
          <cell r="G3235">
            <v>6000000000</v>
          </cell>
          <cell r="H3235" t="str">
            <v>Reni</v>
          </cell>
          <cell r="I3235" t="str">
            <v>Fira</v>
          </cell>
          <cell r="J3235"/>
          <cell r="K3235" t="str">
            <v>KU</v>
          </cell>
          <cell r="L3235" t="str">
            <v>HIKM01</v>
          </cell>
          <cell r="M3235" t="str">
            <v>Hikmah Agung Tuban, CV</v>
          </cell>
          <cell r="N3235" t="str">
            <v>Hikmah Agung Tuban, CV</v>
          </cell>
          <cell r="O3235" t="str">
            <v>Mintorogo, 45, Prunggahan Wetan, Semanding</v>
          </cell>
          <cell r="P3235" t="str">
            <v>Tuban</v>
          </cell>
          <cell r="Q3235" t="str">
            <v>Dsn. Taragan, RT.002/RW.001 Prunggahan Wetan Semanding</v>
          </cell>
          <cell r="R3235" t="str">
            <v>Tuban</v>
          </cell>
          <cell r="S3235" t="str">
            <v>F Utara1</v>
          </cell>
          <cell r="T3235" t="str">
            <v>Dian</v>
          </cell>
          <cell r="U3235">
            <v>60</v>
          </cell>
        </row>
        <row r="3236">
          <cell r="E3236" t="str">
            <v>B25009502</v>
          </cell>
          <cell r="F3236"/>
          <cell r="G3236">
            <v>6000000000</v>
          </cell>
          <cell r="H3236" t="str">
            <v>Reni</v>
          </cell>
          <cell r="I3236" t="str">
            <v>Fira</v>
          </cell>
          <cell r="J3236"/>
          <cell r="K3236" t="str">
            <v>KU</v>
          </cell>
          <cell r="L3236" t="str">
            <v>HIKM01</v>
          </cell>
          <cell r="M3236" t="str">
            <v>Hikmah Agung Tuban, CV</v>
          </cell>
          <cell r="N3236" t="str">
            <v>Hikmah Agung Tuban, CV</v>
          </cell>
          <cell r="O3236" t="str">
            <v>Mintorogo, 45, Prunggahan Wetan, Semanding</v>
          </cell>
          <cell r="P3236" t="str">
            <v>Tuban</v>
          </cell>
          <cell r="Q3236" t="str">
            <v>Dsn. Taragan, RT.002/RW.001 Prunggahan Wetan Semanding</v>
          </cell>
          <cell r="R3236" t="str">
            <v>Tuban</v>
          </cell>
          <cell r="S3236" t="str">
            <v>F Utara1</v>
          </cell>
          <cell r="T3236" t="str">
            <v>Dian</v>
          </cell>
          <cell r="U3236">
            <v>60</v>
          </cell>
        </row>
        <row r="3237">
          <cell r="E3237" t="str">
            <v>B25009619</v>
          </cell>
          <cell r="F3237"/>
          <cell r="G3237">
            <v>6000000000</v>
          </cell>
          <cell r="H3237" t="str">
            <v>Reni</v>
          </cell>
          <cell r="I3237" t="str">
            <v>Fira</v>
          </cell>
          <cell r="J3237"/>
          <cell r="K3237" t="str">
            <v>KU</v>
          </cell>
          <cell r="L3237" t="str">
            <v>HIKM01</v>
          </cell>
          <cell r="M3237" t="str">
            <v>Hikmah Agung Tuban, CV</v>
          </cell>
          <cell r="N3237" t="str">
            <v>Hikmah Agung Tuban, CV</v>
          </cell>
          <cell r="O3237" t="str">
            <v>Mintorogo, 45, Prunggahan Wetan, Semanding</v>
          </cell>
          <cell r="P3237" t="str">
            <v>Tuban</v>
          </cell>
          <cell r="Q3237" t="str">
            <v>Dsn. Taragan, RT.002/RW.001 Prunggahan Wetan Semanding</v>
          </cell>
          <cell r="R3237" t="str">
            <v>Tuban</v>
          </cell>
          <cell r="S3237" t="str">
            <v>F Utara1</v>
          </cell>
          <cell r="T3237" t="str">
            <v>Dian</v>
          </cell>
          <cell r="U3237">
            <v>60</v>
          </cell>
        </row>
        <row r="3238">
          <cell r="E3238" t="str">
            <v>D25011501</v>
          </cell>
          <cell r="F3238"/>
          <cell r="G3238">
            <v>6000000000</v>
          </cell>
          <cell r="H3238" t="str">
            <v>Reni</v>
          </cell>
          <cell r="I3238" t="str">
            <v>Fira</v>
          </cell>
          <cell r="J3238"/>
          <cell r="K3238" t="str">
            <v>KU</v>
          </cell>
          <cell r="L3238" t="str">
            <v>HIKM01</v>
          </cell>
          <cell r="M3238" t="str">
            <v>Hikmah Agung Tuban, CV</v>
          </cell>
          <cell r="N3238" t="str">
            <v>Hikmah Agung Tuban, CV</v>
          </cell>
          <cell r="O3238" t="str">
            <v>Mintorogo, 45, Prunggahan Wetan, Semanding</v>
          </cell>
          <cell r="P3238" t="str">
            <v>Tuban</v>
          </cell>
          <cell r="Q3238" t="str">
            <v>Dsn. Taragan, RT.002/RW.001 Prunggahan Wetan Semanding</v>
          </cell>
          <cell r="R3238" t="str">
            <v>Tuban</v>
          </cell>
          <cell r="S3238" t="str">
            <v>F Utara1</v>
          </cell>
          <cell r="T3238" t="str">
            <v>Dian</v>
          </cell>
          <cell r="U3238">
            <v>60</v>
          </cell>
        </row>
        <row r="3239">
          <cell r="E3239" t="str">
            <v>D25011535</v>
          </cell>
          <cell r="F3239"/>
          <cell r="G3239">
            <v>6000000000</v>
          </cell>
          <cell r="H3239" t="str">
            <v>Reni</v>
          </cell>
          <cell r="I3239" t="str">
            <v>Fira</v>
          </cell>
          <cell r="J3239"/>
          <cell r="K3239" t="str">
            <v>KU</v>
          </cell>
          <cell r="L3239" t="str">
            <v>HIKM01</v>
          </cell>
          <cell r="M3239" t="str">
            <v>Hikmah Agung Tuban, CV</v>
          </cell>
          <cell r="N3239" t="str">
            <v>Hikmah Agung Tuban, CV</v>
          </cell>
          <cell r="O3239" t="str">
            <v>Mintorogo, 45, Prunggahan Wetan, Semanding</v>
          </cell>
          <cell r="P3239" t="str">
            <v>Tuban</v>
          </cell>
          <cell r="Q3239" t="str">
            <v>Dsn. Taragan, RT.002/RW.001 Prunggahan Wetan Semanding</v>
          </cell>
          <cell r="R3239" t="str">
            <v>Tuban</v>
          </cell>
          <cell r="S3239" t="str">
            <v>F Utara1</v>
          </cell>
          <cell r="T3239" t="str">
            <v>Dian</v>
          </cell>
          <cell r="U3239">
            <v>60</v>
          </cell>
        </row>
        <row r="3240">
          <cell r="E3240" t="str">
            <v>D25011965</v>
          </cell>
          <cell r="F3240"/>
          <cell r="G3240">
            <v>6000000000</v>
          </cell>
          <cell r="H3240" t="str">
            <v>Reni</v>
          </cell>
          <cell r="I3240" t="str">
            <v>Fira</v>
          </cell>
          <cell r="J3240"/>
          <cell r="K3240" t="str">
            <v>KU</v>
          </cell>
          <cell r="L3240" t="str">
            <v>HIKM01</v>
          </cell>
          <cell r="M3240" t="str">
            <v>Hikmah Agung Tuban, CV</v>
          </cell>
          <cell r="N3240" t="str">
            <v>Hikmah Agung Tuban, CV</v>
          </cell>
          <cell r="O3240" t="str">
            <v>Mintorogo, 45, Prunggahan Wetan, Semanding</v>
          </cell>
          <cell r="P3240" t="str">
            <v>Tuban</v>
          </cell>
          <cell r="Q3240" t="str">
            <v>Dsn. Taragan, RT.002/RW.001 Prunggahan Wetan Semanding</v>
          </cell>
          <cell r="R3240" t="str">
            <v>Tuban</v>
          </cell>
          <cell r="S3240" t="str">
            <v>F Utara1</v>
          </cell>
          <cell r="T3240" t="str">
            <v>Dian</v>
          </cell>
          <cell r="U3240">
            <v>60</v>
          </cell>
        </row>
        <row r="3241">
          <cell r="E3241" t="str">
            <v>B25010090</v>
          </cell>
          <cell r="F3241"/>
          <cell r="G3241">
            <v>6000000000</v>
          </cell>
          <cell r="H3241" t="str">
            <v>Reni</v>
          </cell>
          <cell r="I3241" t="str">
            <v>Fira</v>
          </cell>
          <cell r="J3241"/>
          <cell r="K3241" t="str">
            <v>KU</v>
          </cell>
          <cell r="L3241" t="str">
            <v>HIKM01</v>
          </cell>
          <cell r="M3241" t="str">
            <v>Hikmah Agung Tuban, CV</v>
          </cell>
          <cell r="N3241" t="str">
            <v>Hikmah Agung Tuban, CV</v>
          </cell>
          <cell r="O3241" t="str">
            <v>Mintorogo, 45, Prunggahan Wetan, Semanding</v>
          </cell>
          <cell r="P3241" t="str">
            <v>Tuban</v>
          </cell>
          <cell r="Q3241" t="str">
            <v>Dsn. Taragan, RT.002/RW.001 Prunggahan Wetan Semanding</v>
          </cell>
          <cell r="R3241" t="str">
            <v>Tuban</v>
          </cell>
          <cell r="S3241" t="str">
            <v>F Utara1</v>
          </cell>
          <cell r="T3241" t="str">
            <v>Dian</v>
          </cell>
          <cell r="U3241">
            <v>60</v>
          </cell>
        </row>
        <row r="3242">
          <cell r="E3242" t="str">
            <v>B25010267</v>
          </cell>
          <cell r="F3242"/>
          <cell r="G3242">
            <v>6000000000</v>
          </cell>
          <cell r="H3242" t="str">
            <v>Reni</v>
          </cell>
          <cell r="I3242" t="str">
            <v>Fira</v>
          </cell>
          <cell r="J3242"/>
          <cell r="K3242" t="str">
            <v>KU</v>
          </cell>
          <cell r="L3242" t="str">
            <v>HIKM01</v>
          </cell>
          <cell r="M3242" t="str">
            <v>Hikmah Agung Tuban, CV</v>
          </cell>
          <cell r="N3242" t="str">
            <v>Hikmah Agung Tuban, CV</v>
          </cell>
          <cell r="O3242" t="str">
            <v>Mintorogo, 45, Prunggahan Wetan, Semanding</v>
          </cell>
          <cell r="P3242" t="str">
            <v>Tuban</v>
          </cell>
          <cell r="Q3242" t="str">
            <v>Dsn. Taragan, RT.002/RW.001 Prunggahan Wetan Semanding</v>
          </cell>
          <cell r="R3242" t="str">
            <v>Tuban</v>
          </cell>
          <cell r="S3242" t="str">
            <v>F Utara1</v>
          </cell>
          <cell r="T3242" t="str">
            <v>Dian</v>
          </cell>
          <cell r="U3242">
            <v>60</v>
          </cell>
        </row>
        <row r="3243">
          <cell r="E3243" t="str">
            <v>D25012235</v>
          </cell>
          <cell r="F3243"/>
          <cell r="G3243">
            <v>6000000000</v>
          </cell>
          <cell r="H3243" t="str">
            <v>Reni</v>
          </cell>
          <cell r="I3243" t="str">
            <v>Fira</v>
          </cell>
          <cell r="J3243"/>
          <cell r="K3243" t="str">
            <v>KU</v>
          </cell>
          <cell r="L3243" t="str">
            <v>HIKM01</v>
          </cell>
          <cell r="M3243" t="str">
            <v>Hikmah Agung Tuban, CV</v>
          </cell>
          <cell r="N3243" t="str">
            <v>Hikmah Agung Tuban, CV</v>
          </cell>
          <cell r="O3243" t="str">
            <v>Mintorogo, 45, Prunggahan Wetan, Semanding</v>
          </cell>
          <cell r="P3243" t="str">
            <v>Tuban</v>
          </cell>
          <cell r="Q3243" t="str">
            <v>Dsn. Taragan, RT.002/RW.001 Prunggahan Wetan Semanding</v>
          </cell>
          <cell r="R3243" t="str">
            <v>Tuban</v>
          </cell>
          <cell r="S3243" t="str">
            <v>F Utara1</v>
          </cell>
          <cell r="T3243" t="str">
            <v>Dian</v>
          </cell>
          <cell r="U3243">
            <v>60</v>
          </cell>
        </row>
        <row r="3244">
          <cell r="E3244" t="str">
            <v>B25010363</v>
          </cell>
          <cell r="F3244"/>
          <cell r="G3244">
            <v>6000000000</v>
          </cell>
          <cell r="H3244" t="str">
            <v>Reni</v>
          </cell>
          <cell r="I3244" t="str">
            <v>Fira</v>
          </cell>
          <cell r="J3244"/>
          <cell r="K3244" t="str">
            <v>KU</v>
          </cell>
          <cell r="L3244" t="str">
            <v>HIKM01</v>
          </cell>
          <cell r="M3244" t="str">
            <v>Hikmah Agung Tuban, CV</v>
          </cell>
          <cell r="N3244" t="str">
            <v>Hikmah Agung Tuban, CV</v>
          </cell>
          <cell r="O3244" t="str">
            <v>Mintorogo, 45, Prunggahan Wetan, Semanding</v>
          </cell>
          <cell r="P3244" t="str">
            <v>Tuban</v>
          </cell>
          <cell r="Q3244" t="str">
            <v>Dsn. Taragan, RT.002/RW.001 Prunggahan Wetan Semanding</v>
          </cell>
          <cell r="R3244" t="str">
            <v>Tuban</v>
          </cell>
          <cell r="S3244" t="str">
            <v>F Utara1</v>
          </cell>
          <cell r="T3244" t="str">
            <v>Dian</v>
          </cell>
          <cell r="U3244">
            <v>60</v>
          </cell>
        </row>
        <row r="3245">
          <cell r="E3245" t="str">
            <v>D25012463</v>
          </cell>
          <cell r="F3245"/>
          <cell r="G3245">
            <v>6000000000</v>
          </cell>
          <cell r="H3245" t="str">
            <v>Reni</v>
          </cell>
          <cell r="I3245" t="str">
            <v>Fira</v>
          </cell>
          <cell r="J3245"/>
          <cell r="K3245" t="str">
            <v>KU</v>
          </cell>
          <cell r="L3245" t="str">
            <v>HIKM01</v>
          </cell>
          <cell r="M3245" t="str">
            <v>Hikmah Agung Tuban, CV</v>
          </cell>
          <cell r="N3245" t="str">
            <v>Hikmah Agung Tuban, CV</v>
          </cell>
          <cell r="O3245" t="str">
            <v>Mintorogo, 45, Prunggahan Wetan, Semanding</v>
          </cell>
          <cell r="P3245" t="str">
            <v>Tuban</v>
          </cell>
          <cell r="Q3245" t="str">
            <v>Dsn. Taragan, RT.002/RW.001 Prunggahan Wetan Semanding</v>
          </cell>
          <cell r="R3245" t="str">
            <v>Tuban</v>
          </cell>
          <cell r="S3245" t="str">
            <v>F Utara1</v>
          </cell>
          <cell r="T3245" t="str">
            <v>Dian</v>
          </cell>
          <cell r="U3245">
            <v>60</v>
          </cell>
        </row>
        <row r="3246">
          <cell r="E3246" t="str">
            <v>D25012486</v>
          </cell>
          <cell r="F3246"/>
          <cell r="G3246">
            <v>6000000000</v>
          </cell>
          <cell r="H3246" t="str">
            <v>Reni</v>
          </cell>
          <cell r="I3246" t="str">
            <v>Fira</v>
          </cell>
          <cell r="J3246"/>
          <cell r="K3246" t="str">
            <v>KU</v>
          </cell>
          <cell r="L3246" t="str">
            <v>HIKM01</v>
          </cell>
          <cell r="M3246" t="str">
            <v>Hikmah Agung Tuban, CV</v>
          </cell>
          <cell r="N3246" t="str">
            <v>Hikmah Agung Tuban, CV</v>
          </cell>
          <cell r="O3246" t="str">
            <v>Mintorogo, 45, Prunggahan Wetan, Semanding</v>
          </cell>
          <cell r="P3246" t="str">
            <v>Tuban</v>
          </cell>
          <cell r="Q3246" t="str">
            <v>Dsn. Taragan, RT.002/RW.001 Prunggahan Wetan Semanding</v>
          </cell>
          <cell r="R3246" t="str">
            <v>Tuban</v>
          </cell>
          <cell r="S3246" t="str">
            <v>F Utara1</v>
          </cell>
          <cell r="T3246" t="str">
            <v>Dian</v>
          </cell>
          <cell r="U3246">
            <v>60</v>
          </cell>
        </row>
        <row r="3247">
          <cell r="E3247" t="str">
            <v>B25010657</v>
          </cell>
          <cell r="F3247"/>
          <cell r="G3247">
            <v>6000000000</v>
          </cell>
          <cell r="H3247" t="str">
            <v>Reni</v>
          </cell>
          <cell r="I3247" t="str">
            <v>Fira</v>
          </cell>
          <cell r="J3247"/>
          <cell r="K3247" t="str">
            <v>KU</v>
          </cell>
          <cell r="L3247" t="str">
            <v>HIKM01</v>
          </cell>
          <cell r="M3247" t="str">
            <v>Hikmah Agung Tuban, CV</v>
          </cell>
          <cell r="N3247" t="str">
            <v>Hikmah Agung Tuban, CV</v>
          </cell>
          <cell r="O3247" t="str">
            <v>Mintorogo, 45, Prunggahan Wetan, Semanding</v>
          </cell>
          <cell r="P3247" t="str">
            <v>Tuban</v>
          </cell>
          <cell r="Q3247" t="str">
            <v>Dsn. Taragan, RT.002/RW.001 Prunggahan Wetan Semanding</v>
          </cell>
          <cell r="R3247" t="str">
            <v>Tuban</v>
          </cell>
          <cell r="S3247" t="str">
            <v>F Utara1</v>
          </cell>
          <cell r="T3247" t="str">
            <v>Dian</v>
          </cell>
          <cell r="U3247">
            <v>60</v>
          </cell>
        </row>
        <row r="3248">
          <cell r="E3248" t="str">
            <v>D25012937</v>
          </cell>
          <cell r="F3248"/>
          <cell r="G3248">
            <v>6000000000</v>
          </cell>
          <cell r="H3248" t="str">
            <v>Reni</v>
          </cell>
          <cell r="I3248" t="str">
            <v>Fira</v>
          </cell>
          <cell r="J3248"/>
          <cell r="K3248" t="str">
            <v>KU</v>
          </cell>
          <cell r="L3248" t="str">
            <v>HIKM01</v>
          </cell>
          <cell r="M3248" t="str">
            <v>Hikmah Agung Tuban, CV</v>
          </cell>
          <cell r="N3248" t="str">
            <v>Hikmah Agung Tuban, CV</v>
          </cell>
          <cell r="O3248" t="str">
            <v>Mintorogo, 45, Prunggahan Wetan, Semanding</v>
          </cell>
          <cell r="P3248" t="str">
            <v>Tuban</v>
          </cell>
          <cell r="Q3248" t="str">
            <v>Dsn. Taragan, RT.002/RW.001 Prunggahan Wetan Semanding</v>
          </cell>
          <cell r="R3248" t="str">
            <v>Tuban</v>
          </cell>
          <cell r="S3248" t="str">
            <v>F Utara1</v>
          </cell>
          <cell r="T3248" t="str">
            <v>Dian</v>
          </cell>
          <cell r="U3248">
            <v>60</v>
          </cell>
        </row>
        <row r="3249">
          <cell r="E3249" t="str">
            <v>D25012984</v>
          </cell>
          <cell r="F3249"/>
          <cell r="G3249">
            <v>6000000000</v>
          </cell>
          <cell r="H3249" t="str">
            <v>Reni</v>
          </cell>
          <cell r="I3249" t="str">
            <v>Fira</v>
          </cell>
          <cell r="J3249"/>
          <cell r="K3249" t="str">
            <v>KU</v>
          </cell>
          <cell r="L3249" t="str">
            <v>HIKM01</v>
          </cell>
          <cell r="M3249" t="str">
            <v>Hikmah Agung Tuban, CV</v>
          </cell>
          <cell r="N3249" t="str">
            <v>Hikmah Agung Tuban, CV</v>
          </cell>
          <cell r="O3249" t="str">
            <v>Mintorogo, 45, Prunggahan Wetan, Semanding</v>
          </cell>
          <cell r="P3249" t="str">
            <v>Tuban</v>
          </cell>
          <cell r="Q3249" t="str">
            <v>Dsn. Taragan, RT.002/RW.001 Prunggahan Wetan Semanding</v>
          </cell>
          <cell r="R3249" t="str">
            <v>Tuban</v>
          </cell>
          <cell r="S3249" t="str">
            <v>F Utara1</v>
          </cell>
          <cell r="T3249" t="str">
            <v>Dian</v>
          </cell>
          <cell r="U3249">
            <v>60</v>
          </cell>
        </row>
        <row r="3250">
          <cell r="E3250" t="str">
            <v>D25013001</v>
          </cell>
          <cell r="F3250"/>
          <cell r="G3250">
            <v>6000000000</v>
          </cell>
          <cell r="H3250" t="str">
            <v>Reni</v>
          </cell>
          <cell r="I3250" t="str">
            <v>Fira</v>
          </cell>
          <cell r="J3250"/>
          <cell r="K3250" t="str">
            <v>KU</v>
          </cell>
          <cell r="L3250" t="str">
            <v>HIKM01</v>
          </cell>
          <cell r="M3250" t="str">
            <v>Hikmah Agung Tuban, CV</v>
          </cell>
          <cell r="N3250" t="str">
            <v>Hikmah Agung Tuban, CV</v>
          </cell>
          <cell r="O3250" t="str">
            <v>Mintorogo, 45, Prunggahan Wetan, Semanding</v>
          </cell>
          <cell r="P3250" t="str">
            <v>Tuban</v>
          </cell>
          <cell r="Q3250" t="str">
            <v>Dsn. Taragan, RT.002/RW.001 Prunggahan Wetan Semanding</v>
          </cell>
          <cell r="R3250" t="str">
            <v>Tuban</v>
          </cell>
          <cell r="S3250" t="str">
            <v>F Utara1</v>
          </cell>
          <cell r="T3250" t="str">
            <v>Dian</v>
          </cell>
          <cell r="U3250">
            <v>60</v>
          </cell>
        </row>
        <row r="3251">
          <cell r="E3251" t="str">
            <v>D25013187</v>
          </cell>
          <cell r="F3251"/>
          <cell r="G3251">
            <v>6000000000</v>
          </cell>
          <cell r="H3251" t="str">
            <v>Reni</v>
          </cell>
          <cell r="I3251" t="str">
            <v>Fira</v>
          </cell>
          <cell r="J3251"/>
          <cell r="K3251" t="str">
            <v>KU</v>
          </cell>
          <cell r="L3251" t="str">
            <v>HIKM01</v>
          </cell>
          <cell r="M3251" t="str">
            <v>Hikmah Agung Tuban, CV</v>
          </cell>
          <cell r="N3251" t="str">
            <v>Hikmah Agung Tuban, CV</v>
          </cell>
          <cell r="O3251" t="str">
            <v>Mintorogo, 45, Prunggahan Wetan, Semanding</v>
          </cell>
          <cell r="P3251" t="str">
            <v>Tuban</v>
          </cell>
          <cell r="Q3251" t="str">
            <v>Dsn. Taragan, RT.002/RW.001 Prunggahan Wetan Semanding</v>
          </cell>
          <cell r="R3251" t="str">
            <v>Tuban</v>
          </cell>
          <cell r="S3251" t="str">
            <v>F Utara1</v>
          </cell>
          <cell r="T3251" t="str">
            <v>Dian</v>
          </cell>
          <cell r="U3251">
            <v>60</v>
          </cell>
        </row>
        <row r="3252">
          <cell r="E3252" t="str">
            <v>B25011333</v>
          </cell>
          <cell r="F3252"/>
          <cell r="G3252">
            <v>6000000000</v>
          </cell>
          <cell r="H3252" t="str">
            <v>Reni</v>
          </cell>
          <cell r="I3252" t="str">
            <v>Fira</v>
          </cell>
          <cell r="J3252"/>
          <cell r="K3252" t="str">
            <v>KU</v>
          </cell>
          <cell r="L3252" t="str">
            <v>HIKM01</v>
          </cell>
          <cell r="M3252" t="str">
            <v>Hikmah Agung Tuban, CV</v>
          </cell>
          <cell r="N3252" t="str">
            <v>Hikmah Agung Tuban, CV</v>
          </cell>
          <cell r="O3252" t="str">
            <v>Mintorogo, 45, Prunggahan Wetan, Semanding</v>
          </cell>
          <cell r="P3252" t="str">
            <v>Tuban</v>
          </cell>
          <cell r="Q3252" t="str">
            <v>Dsn. Taragan, RT.002/RW.001 Prunggahan Wetan Semanding</v>
          </cell>
          <cell r="R3252" t="str">
            <v>Tuban</v>
          </cell>
          <cell r="S3252" t="str">
            <v>F Utara1</v>
          </cell>
          <cell r="T3252" t="str">
            <v>Dian</v>
          </cell>
          <cell r="U3252">
            <v>60</v>
          </cell>
        </row>
        <row r="3253">
          <cell r="E3253" t="str">
            <v>T25001357</v>
          </cell>
          <cell r="F3253"/>
          <cell r="G3253">
            <v>6000000000</v>
          </cell>
          <cell r="H3253" t="str">
            <v>Reni</v>
          </cell>
          <cell r="I3253" t="str">
            <v>Fira</v>
          </cell>
          <cell r="J3253"/>
          <cell r="K3253" t="str">
            <v>KU</v>
          </cell>
          <cell r="L3253" t="str">
            <v>HIKM01</v>
          </cell>
          <cell r="M3253" t="str">
            <v>Hikmah Agung Tuban, CV</v>
          </cell>
          <cell r="N3253" t="str">
            <v>Hikmah Agung Tuban, CV</v>
          </cell>
          <cell r="O3253" t="str">
            <v>Mintorogo, 45, Prunggahan Wetan, Semanding</v>
          </cell>
          <cell r="P3253" t="str">
            <v>Tuban</v>
          </cell>
          <cell r="Q3253" t="str">
            <v>Dsn. Taragan, RT.002/RW.001 Prunggahan Wetan Semanding</v>
          </cell>
          <cell r="R3253" t="str">
            <v>Tuban</v>
          </cell>
          <cell r="S3253" t="str">
            <v>F Utara1</v>
          </cell>
          <cell r="T3253" t="str">
            <v>Dian</v>
          </cell>
          <cell r="U3253">
            <v>60</v>
          </cell>
        </row>
        <row r="3254">
          <cell r="E3254" t="str">
            <v>D25013938</v>
          </cell>
          <cell r="F3254"/>
          <cell r="G3254">
            <v>6000000000</v>
          </cell>
          <cell r="H3254" t="str">
            <v>Reni</v>
          </cell>
          <cell r="I3254" t="str">
            <v>Fira</v>
          </cell>
          <cell r="J3254"/>
          <cell r="K3254" t="str">
            <v>KU</v>
          </cell>
          <cell r="L3254" t="str">
            <v>HIKM01</v>
          </cell>
          <cell r="M3254" t="str">
            <v>Hikmah Agung Tuban, CV</v>
          </cell>
          <cell r="N3254" t="str">
            <v>Hikmah Agung Tuban, CV</v>
          </cell>
          <cell r="O3254" t="str">
            <v>Mintorogo, 45, Prunggahan Wetan, Semanding</v>
          </cell>
          <cell r="P3254" t="str">
            <v>Tuban</v>
          </cell>
          <cell r="Q3254" t="str">
            <v>Dsn. Taragan, RT.002/RW.001 Prunggahan Wetan Semanding</v>
          </cell>
          <cell r="R3254" t="str">
            <v>Tuban</v>
          </cell>
          <cell r="S3254" t="str">
            <v>F Utara1</v>
          </cell>
          <cell r="T3254" t="str">
            <v>Dian</v>
          </cell>
          <cell r="U3254">
            <v>60</v>
          </cell>
        </row>
        <row r="3255">
          <cell r="E3255" t="str">
            <v>B25011905</v>
          </cell>
          <cell r="F3255"/>
          <cell r="G3255">
            <v>6000000000</v>
          </cell>
          <cell r="H3255" t="str">
            <v>Reni</v>
          </cell>
          <cell r="I3255" t="str">
            <v>Fira</v>
          </cell>
          <cell r="J3255"/>
          <cell r="K3255" t="str">
            <v>KU</v>
          </cell>
          <cell r="L3255" t="str">
            <v>HIKM01</v>
          </cell>
          <cell r="M3255" t="str">
            <v>Hikmah Agung Tuban, CV</v>
          </cell>
          <cell r="N3255" t="str">
            <v>Hikmah Agung Tuban, CV</v>
          </cell>
          <cell r="O3255" t="str">
            <v>Mintorogo, 45, Prunggahan Wetan, Semanding</v>
          </cell>
          <cell r="P3255" t="str">
            <v>Tuban</v>
          </cell>
          <cell r="Q3255" t="str">
            <v>Dsn. Taragan, RT.002/RW.001 Prunggahan Wetan Semanding</v>
          </cell>
          <cell r="R3255" t="str">
            <v>Tuban</v>
          </cell>
          <cell r="S3255" t="str">
            <v>F Utara1</v>
          </cell>
          <cell r="T3255" t="str">
            <v>Dian</v>
          </cell>
          <cell r="U3255">
            <v>60</v>
          </cell>
        </row>
        <row r="3256">
          <cell r="E3256" t="str">
            <v>D25014344</v>
          </cell>
          <cell r="F3256"/>
          <cell r="G3256">
            <v>6000000000</v>
          </cell>
          <cell r="H3256" t="str">
            <v>Reni</v>
          </cell>
          <cell r="I3256" t="str">
            <v>Fira</v>
          </cell>
          <cell r="J3256"/>
          <cell r="K3256" t="str">
            <v>KU</v>
          </cell>
          <cell r="L3256" t="str">
            <v>HIKM01</v>
          </cell>
          <cell r="M3256" t="str">
            <v>Hikmah Agung Tuban, CV</v>
          </cell>
          <cell r="N3256" t="str">
            <v>Hikmah Agung Tuban, CV</v>
          </cell>
          <cell r="O3256" t="str">
            <v>Mintorogo, 45, Prunggahan Wetan, Semanding</v>
          </cell>
          <cell r="P3256" t="str">
            <v>Tuban</v>
          </cell>
          <cell r="Q3256" t="str">
            <v>Dsn. Taragan, RT.002/RW.001 Prunggahan Wetan Semanding</v>
          </cell>
          <cell r="R3256" t="str">
            <v>Tuban</v>
          </cell>
          <cell r="S3256" t="str">
            <v>F Utara1</v>
          </cell>
          <cell r="T3256" t="str">
            <v>Dian</v>
          </cell>
          <cell r="U3256">
            <v>60</v>
          </cell>
        </row>
        <row r="3257">
          <cell r="E3257" t="str">
            <v>D25014345</v>
          </cell>
          <cell r="F3257"/>
          <cell r="G3257">
            <v>6000000000</v>
          </cell>
          <cell r="H3257" t="str">
            <v>Reni</v>
          </cell>
          <cell r="I3257" t="str">
            <v>Fira</v>
          </cell>
          <cell r="J3257"/>
          <cell r="K3257" t="str">
            <v>KU</v>
          </cell>
          <cell r="L3257" t="str">
            <v>HIKM01</v>
          </cell>
          <cell r="M3257" t="str">
            <v>Hikmah Agung Tuban, CV</v>
          </cell>
          <cell r="N3257" t="str">
            <v>Hikmah Agung Tuban, CV</v>
          </cell>
          <cell r="O3257" t="str">
            <v>Mintorogo, 45, Prunggahan Wetan, Semanding</v>
          </cell>
          <cell r="P3257" t="str">
            <v>Tuban</v>
          </cell>
          <cell r="Q3257" t="str">
            <v>Dsn. Taragan, RT.002/RW.001 Prunggahan Wetan Semanding</v>
          </cell>
          <cell r="R3257" t="str">
            <v>Tuban</v>
          </cell>
          <cell r="S3257" t="str">
            <v>F Utara1</v>
          </cell>
          <cell r="T3257" t="str">
            <v>Dian</v>
          </cell>
          <cell r="U3257">
            <v>60</v>
          </cell>
        </row>
        <row r="3258">
          <cell r="E3258" t="str">
            <v>B25012185</v>
          </cell>
          <cell r="F3258"/>
          <cell r="G3258">
            <v>6000000000</v>
          </cell>
          <cell r="H3258" t="str">
            <v>Reni</v>
          </cell>
          <cell r="I3258" t="str">
            <v>Fira</v>
          </cell>
          <cell r="J3258"/>
          <cell r="K3258" t="str">
            <v>KU</v>
          </cell>
          <cell r="L3258" t="str">
            <v>HIKM01</v>
          </cell>
          <cell r="M3258" t="str">
            <v>Hikmah Agung Tuban, CV</v>
          </cell>
          <cell r="N3258" t="str">
            <v>Hikmah Agung Tuban, CV</v>
          </cell>
          <cell r="O3258" t="str">
            <v>Mintorogo, 45, Prunggahan Wetan, Semanding</v>
          </cell>
          <cell r="P3258" t="str">
            <v>Tuban</v>
          </cell>
          <cell r="Q3258" t="str">
            <v>Dsn. Taragan, RT.002/RW.001 Prunggahan Wetan Semanding</v>
          </cell>
          <cell r="R3258" t="str">
            <v>Tuban</v>
          </cell>
          <cell r="S3258" t="str">
            <v>F Utara1</v>
          </cell>
          <cell r="T3258" t="str">
            <v>Dian</v>
          </cell>
          <cell r="U3258">
            <v>60</v>
          </cell>
        </row>
        <row r="3259">
          <cell r="E3259" t="str">
            <v>D25014427</v>
          </cell>
          <cell r="F3259"/>
          <cell r="G3259">
            <v>6000000000</v>
          </cell>
          <cell r="H3259" t="str">
            <v>Reni</v>
          </cell>
          <cell r="I3259" t="str">
            <v>Fira</v>
          </cell>
          <cell r="J3259"/>
          <cell r="K3259" t="str">
            <v>KU</v>
          </cell>
          <cell r="L3259" t="str">
            <v>HIKM01</v>
          </cell>
          <cell r="M3259" t="str">
            <v>Hikmah Agung Tuban, CV</v>
          </cell>
          <cell r="N3259" t="str">
            <v>Hikmah Agung Tuban, CV</v>
          </cell>
          <cell r="O3259" t="str">
            <v>Mintorogo, 45, Prunggahan Wetan, Semanding</v>
          </cell>
          <cell r="P3259" t="str">
            <v>Tuban</v>
          </cell>
          <cell r="Q3259" t="str">
            <v>Dsn. Taragan, RT.002/RW.001 Prunggahan Wetan Semanding</v>
          </cell>
          <cell r="R3259" t="str">
            <v>Tuban</v>
          </cell>
          <cell r="S3259" t="str">
            <v>F Utara1</v>
          </cell>
          <cell r="T3259" t="str">
            <v>Dian</v>
          </cell>
          <cell r="U3259">
            <v>0</v>
          </cell>
        </row>
        <row r="3260">
          <cell r="E3260" t="str">
            <v>D25014428</v>
          </cell>
          <cell r="F3260"/>
          <cell r="G3260">
            <v>6000000000</v>
          </cell>
          <cell r="H3260" t="str">
            <v>Reni</v>
          </cell>
          <cell r="I3260" t="str">
            <v>Fira</v>
          </cell>
          <cell r="J3260"/>
          <cell r="K3260" t="str">
            <v>KU</v>
          </cell>
          <cell r="L3260" t="str">
            <v>HIKM01</v>
          </cell>
          <cell r="M3260" t="str">
            <v>Hikmah Agung Tuban, CV</v>
          </cell>
          <cell r="N3260" t="str">
            <v>Hikmah Agung Tuban, CV</v>
          </cell>
          <cell r="O3260" t="str">
            <v>Mintorogo, 45, Prunggahan Wetan, Semanding</v>
          </cell>
          <cell r="P3260" t="str">
            <v>Tuban</v>
          </cell>
          <cell r="Q3260" t="str">
            <v>Dsn. Taragan, RT.002/RW.001 Prunggahan Wetan Semanding</v>
          </cell>
          <cell r="R3260" t="str">
            <v>Tuban</v>
          </cell>
          <cell r="S3260" t="str">
            <v>F Utara1</v>
          </cell>
          <cell r="T3260" t="str">
            <v>Dian</v>
          </cell>
          <cell r="U3260">
            <v>0</v>
          </cell>
        </row>
        <row r="3261">
          <cell r="E3261" t="str">
            <v>D25014428</v>
          </cell>
          <cell r="F3261"/>
          <cell r="G3261">
            <v>6000000000</v>
          </cell>
          <cell r="H3261" t="str">
            <v>Reni</v>
          </cell>
          <cell r="I3261" t="str">
            <v>Fira</v>
          </cell>
          <cell r="J3261"/>
          <cell r="K3261" t="str">
            <v>KU</v>
          </cell>
          <cell r="L3261" t="str">
            <v>HIKM01</v>
          </cell>
          <cell r="M3261" t="str">
            <v>Hikmah Agung Tuban, CV</v>
          </cell>
          <cell r="N3261" t="str">
            <v>Hikmah Agung Tuban, CV</v>
          </cell>
          <cell r="O3261" t="str">
            <v>Mintorogo, 45, Prunggahan Wetan, Semanding</v>
          </cell>
          <cell r="P3261" t="str">
            <v>Tuban</v>
          </cell>
          <cell r="Q3261" t="str">
            <v>Dsn. Taragan, RT.002/RW.001 Prunggahan Wetan Semanding</v>
          </cell>
          <cell r="R3261" t="str">
            <v>Tuban</v>
          </cell>
          <cell r="S3261" t="str">
            <v>F Utara1</v>
          </cell>
          <cell r="T3261" t="str">
            <v>Dian</v>
          </cell>
          <cell r="U3261">
            <v>0</v>
          </cell>
        </row>
        <row r="3262">
          <cell r="E3262" t="str">
            <v>D25014428</v>
          </cell>
          <cell r="F3262"/>
          <cell r="G3262">
            <v>6000000000</v>
          </cell>
          <cell r="H3262" t="str">
            <v>Reni</v>
          </cell>
          <cell r="I3262" t="str">
            <v>Fira</v>
          </cell>
          <cell r="J3262"/>
          <cell r="K3262" t="str">
            <v>KU</v>
          </cell>
          <cell r="L3262" t="str">
            <v>HIKM01</v>
          </cell>
          <cell r="M3262" t="str">
            <v>Hikmah Agung Tuban, CV</v>
          </cell>
          <cell r="N3262" t="str">
            <v>Hikmah Agung Tuban, CV</v>
          </cell>
          <cell r="O3262" t="str">
            <v>Mintorogo, 45, Prunggahan Wetan, Semanding</v>
          </cell>
          <cell r="P3262" t="str">
            <v>Tuban</v>
          </cell>
          <cell r="Q3262" t="str">
            <v>Dsn. Taragan, RT.002/RW.001 Prunggahan Wetan Semanding</v>
          </cell>
          <cell r="R3262" t="str">
            <v>Tuban</v>
          </cell>
          <cell r="S3262" t="str">
            <v>F Utara1</v>
          </cell>
          <cell r="T3262" t="str">
            <v>Dian</v>
          </cell>
          <cell r="U3262">
            <v>0</v>
          </cell>
        </row>
        <row r="3263">
          <cell r="E3263" t="str">
            <v>D25014431</v>
          </cell>
          <cell r="F3263"/>
          <cell r="G3263">
            <v>6000000000</v>
          </cell>
          <cell r="H3263" t="str">
            <v>Reni</v>
          </cell>
          <cell r="I3263" t="str">
            <v>Fira</v>
          </cell>
          <cell r="J3263"/>
          <cell r="K3263" t="str">
            <v>KU</v>
          </cell>
          <cell r="L3263" t="str">
            <v>HIKM01</v>
          </cell>
          <cell r="M3263" t="str">
            <v>Hikmah Agung Tuban, CV</v>
          </cell>
          <cell r="N3263" t="str">
            <v>Hikmah Agung Tuban, CV</v>
          </cell>
          <cell r="O3263" t="str">
            <v>Mintorogo, 45, Prunggahan Wetan, Semanding</v>
          </cell>
          <cell r="P3263" t="str">
            <v>Tuban</v>
          </cell>
          <cell r="Q3263" t="str">
            <v>Dsn. Taragan, RT.002/RW.001 Prunggahan Wetan Semanding</v>
          </cell>
          <cell r="R3263" t="str">
            <v>Tuban</v>
          </cell>
          <cell r="S3263" t="str">
            <v>F Utara1</v>
          </cell>
          <cell r="T3263" t="str">
            <v>Dian</v>
          </cell>
          <cell r="U3263">
            <v>0</v>
          </cell>
        </row>
        <row r="3264">
          <cell r="E3264" t="str">
            <v>D25014489</v>
          </cell>
          <cell r="F3264"/>
          <cell r="G3264">
            <v>6000000000</v>
          </cell>
          <cell r="H3264" t="str">
            <v>Reni</v>
          </cell>
          <cell r="I3264" t="str">
            <v>Fira</v>
          </cell>
          <cell r="J3264"/>
          <cell r="K3264" t="str">
            <v>KU</v>
          </cell>
          <cell r="L3264" t="str">
            <v>HIKM01</v>
          </cell>
          <cell r="M3264" t="str">
            <v>Hikmah Agung Tuban, CV</v>
          </cell>
          <cell r="N3264" t="str">
            <v>Hikmah Agung Tuban, CV</v>
          </cell>
          <cell r="O3264" t="str">
            <v>Mintorogo, 45, Prunggahan Wetan, Semanding</v>
          </cell>
          <cell r="P3264" t="str">
            <v>Tuban</v>
          </cell>
          <cell r="Q3264" t="str">
            <v>Dsn. Taragan, RT.002/RW.001 Prunggahan Wetan Semanding</v>
          </cell>
          <cell r="R3264" t="str">
            <v>Tuban</v>
          </cell>
          <cell r="S3264" t="str">
            <v>F Utara1</v>
          </cell>
          <cell r="T3264" t="str">
            <v>Dian</v>
          </cell>
          <cell r="U3264">
            <v>0</v>
          </cell>
        </row>
        <row r="3265">
          <cell r="E3265" t="str">
            <v>D25014490</v>
          </cell>
          <cell r="F3265"/>
          <cell r="G3265">
            <v>6000000000</v>
          </cell>
          <cell r="H3265" t="str">
            <v>Reni</v>
          </cell>
          <cell r="I3265" t="str">
            <v>Fira</v>
          </cell>
          <cell r="J3265"/>
          <cell r="K3265" t="str">
            <v>KU</v>
          </cell>
          <cell r="L3265" t="str">
            <v>HIKM01</v>
          </cell>
          <cell r="M3265" t="str">
            <v>Hikmah Agung Tuban, CV</v>
          </cell>
          <cell r="N3265" t="str">
            <v>Hikmah Agung Tuban, CV</v>
          </cell>
          <cell r="O3265" t="str">
            <v>Mintorogo, 45, Prunggahan Wetan, Semanding</v>
          </cell>
          <cell r="P3265" t="str">
            <v>Tuban</v>
          </cell>
          <cell r="Q3265" t="str">
            <v>Dsn. Taragan, RT.002/RW.001 Prunggahan Wetan Semanding</v>
          </cell>
          <cell r="R3265" t="str">
            <v>Tuban</v>
          </cell>
          <cell r="S3265" t="str">
            <v>F Utara1</v>
          </cell>
          <cell r="T3265" t="str">
            <v>Dian</v>
          </cell>
          <cell r="U3265">
            <v>0</v>
          </cell>
        </row>
        <row r="3266">
          <cell r="E3266" t="str">
            <v>D25014592</v>
          </cell>
          <cell r="F3266"/>
          <cell r="G3266">
            <v>6000000000</v>
          </cell>
          <cell r="H3266" t="str">
            <v>Reni</v>
          </cell>
          <cell r="I3266" t="str">
            <v>Fira</v>
          </cell>
          <cell r="J3266"/>
          <cell r="K3266" t="str">
            <v>KU</v>
          </cell>
          <cell r="L3266" t="str">
            <v>HIKM01</v>
          </cell>
          <cell r="M3266" t="str">
            <v>Hikmah Agung Tuban, CV</v>
          </cell>
          <cell r="N3266" t="str">
            <v>Hikmah Agung Tuban, CV</v>
          </cell>
          <cell r="O3266" t="str">
            <v>Mintorogo, 45, Prunggahan Wetan, Semanding</v>
          </cell>
          <cell r="P3266" t="str">
            <v>Tuban</v>
          </cell>
          <cell r="Q3266" t="str">
            <v>Dsn. Taragan, RT.002/RW.001 Prunggahan Wetan Semanding</v>
          </cell>
          <cell r="R3266" t="str">
            <v>Tuban</v>
          </cell>
          <cell r="S3266" t="str">
            <v>F Utara1</v>
          </cell>
          <cell r="T3266" t="str">
            <v>Dian</v>
          </cell>
          <cell r="U3266">
            <v>0</v>
          </cell>
        </row>
        <row r="3267">
          <cell r="E3267" t="str">
            <v>D25014592</v>
          </cell>
          <cell r="F3267"/>
          <cell r="G3267">
            <v>6000000000</v>
          </cell>
          <cell r="H3267" t="str">
            <v>Reni</v>
          </cell>
          <cell r="I3267" t="str">
            <v>Fira</v>
          </cell>
          <cell r="J3267"/>
          <cell r="K3267" t="str">
            <v>KU</v>
          </cell>
          <cell r="L3267" t="str">
            <v>HIKM01</v>
          </cell>
          <cell r="M3267" t="str">
            <v>Hikmah Agung Tuban, CV</v>
          </cell>
          <cell r="N3267" t="str">
            <v>Hikmah Agung Tuban, CV</v>
          </cell>
          <cell r="O3267" t="str">
            <v>Mintorogo, 45, Prunggahan Wetan, Semanding</v>
          </cell>
          <cell r="P3267" t="str">
            <v>Tuban</v>
          </cell>
          <cell r="Q3267" t="str">
            <v>Dsn. Taragan, RT.002/RW.001 Prunggahan Wetan Semanding</v>
          </cell>
          <cell r="R3267" t="str">
            <v>Tuban</v>
          </cell>
          <cell r="S3267" t="str">
            <v>F Utara1</v>
          </cell>
          <cell r="T3267" t="str">
            <v>Dian</v>
          </cell>
          <cell r="U3267">
            <v>0</v>
          </cell>
        </row>
        <row r="3268">
          <cell r="E3268" t="str">
            <v>D25014593</v>
          </cell>
          <cell r="F3268"/>
          <cell r="G3268">
            <v>6000000000</v>
          </cell>
          <cell r="H3268" t="str">
            <v>Reni</v>
          </cell>
          <cell r="I3268" t="str">
            <v>Fira</v>
          </cell>
          <cell r="J3268"/>
          <cell r="K3268" t="str">
            <v>KU</v>
          </cell>
          <cell r="L3268" t="str">
            <v>HIKM01</v>
          </cell>
          <cell r="M3268" t="str">
            <v>Hikmah Agung Tuban, CV</v>
          </cell>
          <cell r="N3268" t="str">
            <v>Hikmah Agung Tuban, CV</v>
          </cell>
          <cell r="O3268" t="str">
            <v>Mintorogo, 45, Prunggahan Wetan, Semanding</v>
          </cell>
          <cell r="P3268" t="str">
            <v>Tuban</v>
          </cell>
          <cell r="Q3268" t="str">
            <v>Dsn. Taragan, RT.002/RW.001 Prunggahan Wetan Semanding</v>
          </cell>
          <cell r="R3268" t="str">
            <v>Tuban</v>
          </cell>
          <cell r="S3268" t="str">
            <v>F Utara1</v>
          </cell>
          <cell r="T3268" t="str">
            <v>Dian</v>
          </cell>
          <cell r="U3268">
            <v>0</v>
          </cell>
        </row>
        <row r="3269">
          <cell r="E3269" t="str">
            <v>D25014593</v>
          </cell>
          <cell r="F3269"/>
          <cell r="G3269">
            <v>6000000000</v>
          </cell>
          <cell r="H3269" t="str">
            <v>Reni</v>
          </cell>
          <cell r="I3269" t="str">
            <v>Fira</v>
          </cell>
          <cell r="J3269"/>
          <cell r="K3269" t="str">
            <v>KU</v>
          </cell>
          <cell r="L3269" t="str">
            <v>HIKM01</v>
          </cell>
          <cell r="M3269" t="str">
            <v>Hikmah Agung Tuban, CV</v>
          </cell>
          <cell r="N3269" t="str">
            <v>Hikmah Agung Tuban, CV</v>
          </cell>
          <cell r="O3269" t="str">
            <v>Mintorogo, 45, Prunggahan Wetan, Semanding</v>
          </cell>
          <cell r="P3269" t="str">
            <v>Tuban</v>
          </cell>
          <cell r="Q3269" t="str">
            <v>Dsn. Taragan, RT.002/RW.001 Prunggahan Wetan Semanding</v>
          </cell>
          <cell r="R3269" t="str">
            <v>Tuban</v>
          </cell>
          <cell r="S3269" t="str">
            <v>F Utara1</v>
          </cell>
          <cell r="T3269" t="str">
            <v>Dian</v>
          </cell>
          <cell r="U3269">
            <v>0</v>
          </cell>
        </row>
        <row r="3270">
          <cell r="E3270" t="str">
            <v>D25014593</v>
          </cell>
          <cell r="F3270"/>
          <cell r="G3270">
            <v>6000000000</v>
          </cell>
          <cell r="H3270" t="str">
            <v>Reni</v>
          </cell>
          <cell r="I3270" t="str">
            <v>Fira</v>
          </cell>
          <cell r="J3270"/>
          <cell r="K3270" t="str">
            <v>KU</v>
          </cell>
          <cell r="L3270" t="str">
            <v>HIKM01</v>
          </cell>
          <cell r="M3270" t="str">
            <v>Hikmah Agung Tuban, CV</v>
          </cell>
          <cell r="N3270" t="str">
            <v>Hikmah Agung Tuban, CV</v>
          </cell>
          <cell r="O3270" t="str">
            <v>Mintorogo, 45, Prunggahan Wetan, Semanding</v>
          </cell>
          <cell r="P3270" t="str">
            <v>Tuban</v>
          </cell>
          <cell r="Q3270" t="str">
            <v>Dsn. Taragan, RT.002/RW.001 Prunggahan Wetan Semanding</v>
          </cell>
          <cell r="R3270" t="str">
            <v>Tuban</v>
          </cell>
          <cell r="S3270" t="str">
            <v>F Utara1</v>
          </cell>
          <cell r="T3270" t="str">
            <v>Dian</v>
          </cell>
          <cell r="U3270">
            <v>0</v>
          </cell>
        </row>
        <row r="3271">
          <cell r="E3271" t="str">
            <v>D25014594</v>
          </cell>
          <cell r="F3271"/>
          <cell r="G3271">
            <v>6000000000</v>
          </cell>
          <cell r="H3271" t="str">
            <v>Reni</v>
          </cell>
          <cell r="I3271" t="str">
            <v>Fira</v>
          </cell>
          <cell r="J3271"/>
          <cell r="K3271" t="str">
            <v>KU</v>
          </cell>
          <cell r="L3271" t="str">
            <v>HIKM01</v>
          </cell>
          <cell r="M3271" t="str">
            <v>Hikmah Agung Tuban, CV</v>
          </cell>
          <cell r="N3271" t="str">
            <v>Hikmah Agung Tuban, CV</v>
          </cell>
          <cell r="O3271" t="str">
            <v>Mintorogo, 45, Prunggahan Wetan, Semanding</v>
          </cell>
          <cell r="P3271" t="str">
            <v>Tuban</v>
          </cell>
          <cell r="Q3271" t="str">
            <v>Dsn. Taragan, RT.002/RW.001 Prunggahan Wetan Semanding</v>
          </cell>
          <cell r="R3271" t="str">
            <v>Tuban</v>
          </cell>
          <cell r="S3271" t="str">
            <v>F Utara1</v>
          </cell>
          <cell r="T3271" t="str">
            <v>Dian</v>
          </cell>
          <cell r="U3271">
            <v>60</v>
          </cell>
        </row>
        <row r="3272">
          <cell r="E3272" t="str">
            <v>D25014699</v>
          </cell>
          <cell r="F3272"/>
          <cell r="G3272">
            <v>6000000000</v>
          </cell>
          <cell r="H3272" t="str">
            <v>Reni</v>
          </cell>
          <cell r="I3272" t="str">
            <v>Fira</v>
          </cell>
          <cell r="J3272"/>
          <cell r="K3272" t="str">
            <v>KU</v>
          </cell>
          <cell r="L3272" t="str">
            <v>HIKM01</v>
          </cell>
          <cell r="M3272" t="str">
            <v>Hikmah Agung Tuban, CV</v>
          </cell>
          <cell r="N3272" t="str">
            <v>Hikmah Agung Tuban, CV</v>
          </cell>
          <cell r="O3272" t="str">
            <v>Mintorogo, 45, Prunggahan Wetan, Semanding</v>
          </cell>
          <cell r="P3272" t="str">
            <v>Tuban</v>
          </cell>
          <cell r="Q3272" t="str">
            <v>Dsn. Taragan, RT.002/RW.001 Prunggahan Wetan Semanding</v>
          </cell>
          <cell r="R3272" t="str">
            <v>Tuban</v>
          </cell>
          <cell r="S3272" t="str">
            <v>F Utara1</v>
          </cell>
          <cell r="T3272" t="str">
            <v>Dian</v>
          </cell>
          <cell r="U3272">
            <v>60</v>
          </cell>
        </row>
        <row r="3273">
          <cell r="E3273" t="str">
            <v>D25014775</v>
          </cell>
          <cell r="F3273"/>
          <cell r="G3273">
            <v>6000000000</v>
          </cell>
          <cell r="H3273" t="str">
            <v>Reni</v>
          </cell>
          <cell r="I3273" t="str">
            <v>Fira</v>
          </cell>
          <cell r="J3273"/>
          <cell r="K3273" t="str">
            <v>KU</v>
          </cell>
          <cell r="L3273" t="str">
            <v>HIKM01</v>
          </cell>
          <cell r="M3273" t="str">
            <v>Hikmah Agung Tuban, CV</v>
          </cell>
          <cell r="N3273" t="str">
            <v>Hikmah Agung Tuban, CV</v>
          </cell>
          <cell r="O3273" t="str">
            <v>Mintorogo, 45, Prunggahan Wetan, Semanding</v>
          </cell>
          <cell r="P3273" t="str">
            <v>Tuban</v>
          </cell>
          <cell r="Q3273" t="str">
            <v>Dsn. Taragan, RT.002/RW.001 Prunggahan Wetan Semanding</v>
          </cell>
          <cell r="R3273" t="str">
            <v>Tuban</v>
          </cell>
          <cell r="S3273" t="str">
            <v>F Utara1</v>
          </cell>
          <cell r="T3273" t="str">
            <v>Dian</v>
          </cell>
          <cell r="U3273">
            <v>60</v>
          </cell>
        </row>
        <row r="3274">
          <cell r="E3274" t="str">
            <v>B25012571</v>
          </cell>
          <cell r="F3274"/>
          <cell r="G3274">
            <v>6000000000</v>
          </cell>
          <cell r="H3274" t="str">
            <v>Reni</v>
          </cell>
          <cell r="I3274" t="str">
            <v>Fira</v>
          </cell>
          <cell r="J3274"/>
          <cell r="K3274" t="str">
            <v>KU</v>
          </cell>
          <cell r="L3274" t="str">
            <v>HIKM01</v>
          </cell>
          <cell r="M3274" t="str">
            <v>Hikmah Agung Tuban, CV</v>
          </cell>
          <cell r="N3274" t="str">
            <v>Hikmah Agung Tuban, CV</v>
          </cell>
          <cell r="O3274" t="str">
            <v>Mintorogo, 45, Prunggahan Wetan, Semanding</v>
          </cell>
          <cell r="P3274" t="str">
            <v>Tuban</v>
          </cell>
          <cell r="Q3274" t="str">
            <v>Dsn. Taragan, RT.002/RW.001 Prunggahan Wetan Semanding</v>
          </cell>
          <cell r="R3274" t="str">
            <v>Tuban</v>
          </cell>
          <cell r="S3274" t="str">
            <v>F Utara1</v>
          </cell>
          <cell r="T3274" t="str">
            <v>Dian</v>
          </cell>
          <cell r="U3274">
            <v>0</v>
          </cell>
        </row>
        <row r="3275">
          <cell r="E3275" t="str">
            <v>B25012571</v>
          </cell>
          <cell r="F3275"/>
          <cell r="G3275">
            <v>6000000000</v>
          </cell>
          <cell r="H3275" t="str">
            <v>Reni</v>
          </cell>
          <cell r="I3275" t="str">
            <v>Fira</v>
          </cell>
          <cell r="J3275"/>
          <cell r="K3275" t="str">
            <v>KU</v>
          </cell>
          <cell r="L3275" t="str">
            <v>HIKM01</v>
          </cell>
          <cell r="M3275" t="str">
            <v>Hikmah Agung Tuban, CV</v>
          </cell>
          <cell r="N3275" t="str">
            <v>Hikmah Agung Tuban, CV</v>
          </cell>
          <cell r="O3275" t="str">
            <v>Mintorogo, 45, Prunggahan Wetan, Semanding</v>
          </cell>
          <cell r="P3275" t="str">
            <v>Tuban</v>
          </cell>
          <cell r="Q3275" t="str">
            <v>Dsn. Taragan, RT.002/RW.001 Prunggahan Wetan Semanding</v>
          </cell>
          <cell r="R3275" t="str">
            <v>Tuban</v>
          </cell>
          <cell r="S3275" t="str">
            <v>F Utara1</v>
          </cell>
          <cell r="T3275" t="str">
            <v>Dian</v>
          </cell>
          <cell r="U3275">
            <v>0</v>
          </cell>
        </row>
        <row r="3276">
          <cell r="E3276" t="str">
            <v>D25014906</v>
          </cell>
          <cell r="F3276"/>
          <cell r="G3276">
            <v>6000000000</v>
          </cell>
          <cell r="H3276" t="str">
            <v>Reni</v>
          </cell>
          <cell r="I3276" t="str">
            <v>Fira</v>
          </cell>
          <cell r="J3276"/>
          <cell r="K3276" t="str">
            <v>KU</v>
          </cell>
          <cell r="L3276" t="str">
            <v>HIKM01</v>
          </cell>
          <cell r="M3276" t="str">
            <v>Hikmah Agung Tuban, CV</v>
          </cell>
          <cell r="N3276" t="str">
            <v>Hikmah Agung Tuban, CV</v>
          </cell>
          <cell r="O3276" t="str">
            <v>Mintorogo, 45, Prunggahan Wetan, Semanding</v>
          </cell>
          <cell r="P3276" t="str">
            <v>Tuban</v>
          </cell>
          <cell r="Q3276" t="str">
            <v>Dsn. Taragan, RT.002/RW.001 Prunggahan Wetan Semanding</v>
          </cell>
          <cell r="R3276" t="str">
            <v>Tuban</v>
          </cell>
          <cell r="S3276" t="str">
            <v>F Utara1</v>
          </cell>
          <cell r="T3276" t="str">
            <v>Dian</v>
          </cell>
          <cell r="U3276">
            <v>0</v>
          </cell>
        </row>
        <row r="3277">
          <cell r="E3277" t="str">
            <v>D25014971</v>
          </cell>
          <cell r="F3277"/>
          <cell r="G3277">
            <v>6000000000</v>
          </cell>
          <cell r="H3277" t="str">
            <v>Reni</v>
          </cell>
          <cell r="I3277" t="str">
            <v>Fira</v>
          </cell>
          <cell r="J3277"/>
          <cell r="K3277" t="str">
            <v>KU</v>
          </cell>
          <cell r="L3277" t="str">
            <v>HIKM01</v>
          </cell>
          <cell r="M3277" t="str">
            <v>Hikmah Agung Tuban, CV</v>
          </cell>
          <cell r="N3277" t="str">
            <v>Hikmah Agung Tuban, CV</v>
          </cell>
          <cell r="O3277" t="str">
            <v>Mintorogo, 45, Prunggahan Wetan, Semanding</v>
          </cell>
          <cell r="P3277" t="str">
            <v>Tuban</v>
          </cell>
          <cell r="Q3277" t="str">
            <v>Dsn. Taragan, RT.002/RW.001 Prunggahan Wetan Semanding</v>
          </cell>
          <cell r="R3277" t="str">
            <v>Tuban</v>
          </cell>
          <cell r="S3277" t="str">
            <v>F Utara1</v>
          </cell>
          <cell r="T3277" t="str">
            <v>Dian</v>
          </cell>
          <cell r="U3277">
            <v>0</v>
          </cell>
        </row>
        <row r="3278">
          <cell r="E3278" t="str">
            <v>D25014972</v>
          </cell>
          <cell r="F3278"/>
          <cell r="G3278">
            <v>6000000000</v>
          </cell>
          <cell r="H3278" t="str">
            <v>Reni</v>
          </cell>
          <cell r="I3278" t="str">
            <v>Fira</v>
          </cell>
          <cell r="J3278"/>
          <cell r="K3278" t="str">
            <v>KU</v>
          </cell>
          <cell r="L3278" t="str">
            <v>HIKM01</v>
          </cell>
          <cell r="M3278" t="str">
            <v>Hikmah Agung Tuban, CV</v>
          </cell>
          <cell r="N3278" t="str">
            <v>Hikmah Agung Tuban, CV</v>
          </cell>
          <cell r="O3278" t="str">
            <v>Mintorogo, 45, Prunggahan Wetan, Semanding</v>
          </cell>
          <cell r="P3278" t="str">
            <v>Tuban</v>
          </cell>
          <cell r="Q3278" t="str">
            <v>Dsn. Taragan, RT.002/RW.001 Prunggahan Wetan Semanding</v>
          </cell>
          <cell r="R3278" t="str">
            <v>Tuban</v>
          </cell>
          <cell r="S3278" t="str">
            <v>F Utara1</v>
          </cell>
          <cell r="T3278" t="str">
            <v>Dian</v>
          </cell>
          <cell r="U3278">
            <v>0</v>
          </cell>
        </row>
        <row r="3279">
          <cell r="E3279" t="str">
            <v>D25014972</v>
          </cell>
          <cell r="F3279"/>
          <cell r="G3279">
            <v>6000000000</v>
          </cell>
          <cell r="H3279" t="str">
            <v>Reni</v>
          </cell>
          <cell r="I3279" t="str">
            <v>Fira</v>
          </cell>
          <cell r="J3279"/>
          <cell r="K3279" t="str">
            <v>KU</v>
          </cell>
          <cell r="L3279" t="str">
            <v>HIKM01</v>
          </cell>
          <cell r="M3279" t="str">
            <v>Hikmah Agung Tuban, CV</v>
          </cell>
          <cell r="N3279" t="str">
            <v>Hikmah Agung Tuban, CV</v>
          </cell>
          <cell r="O3279" t="str">
            <v>Mintorogo, 45, Prunggahan Wetan, Semanding</v>
          </cell>
          <cell r="P3279" t="str">
            <v>Tuban</v>
          </cell>
          <cell r="Q3279" t="str">
            <v>Dsn. Taragan, RT.002/RW.001 Prunggahan Wetan Semanding</v>
          </cell>
          <cell r="R3279" t="str">
            <v>Tuban</v>
          </cell>
          <cell r="S3279" t="str">
            <v>F Utara1</v>
          </cell>
          <cell r="T3279" t="str">
            <v>Dian</v>
          </cell>
          <cell r="U3279">
            <v>0</v>
          </cell>
        </row>
        <row r="3280">
          <cell r="E3280" t="str">
            <v>D25014973</v>
          </cell>
          <cell r="F3280"/>
          <cell r="G3280">
            <v>6000000000</v>
          </cell>
          <cell r="H3280" t="str">
            <v>Reni</v>
          </cell>
          <cell r="I3280" t="str">
            <v>Fira</v>
          </cell>
          <cell r="J3280"/>
          <cell r="K3280" t="str">
            <v>KU</v>
          </cell>
          <cell r="L3280" t="str">
            <v>HIKM01</v>
          </cell>
          <cell r="M3280" t="str">
            <v>Hikmah Agung Tuban, CV</v>
          </cell>
          <cell r="N3280" t="str">
            <v>Hikmah Agung Tuban, CV</v>
          </cell>
          <cell r="O3280" t="str">
            <v>Mintorogo, 45, Prunggahan Wetan, Semanding</v>
          </cell>
          <cell r="P3280" t="str">
            <v>Tuban</v>
          </cell>
          <cell r="Q3280" t="str">
            <v>Dsn. Taragan, RT.002/RW.001 Prunggahan Wetan Semanding</v>
          </cell>
          <cell r="R3280" t="str">
            <v>Tuban</v>
          </cell>
          <cell r="S3280" t="str">
            <v>F Utara1</v>
          </cell>
          <cell r="T3280" t="str">
            <v>Dian</v>
          </cell>
          <cell r="U3280">
            <v>60</v>
          </cell>
        </row>
        <row r="3281">
          <cell r="E3281" t="str">
            <v>D25014974</v>
          </cell>
          <cell r="F3281"/>
          <cell r="G3281">
            <v>6000000000</v>
          </cell>
          <cell r="H3281" t="str">
            <v>Reni</v>
          </cell>
          <cell r="I3281" t="str">
            <v>Fira</v>
          </cell>
          <cell r="J3281"/>
          <cell r="K3281" t="str">
            <v>KU</v>
          </cell>
          <cell r="L3281" t="str">
            <v>HIKM01</v>
          </cell>
          <cell r="M3281" t="str">
            <v>Hikmah Agung Tuban, CV</v>
          </cell>
          <cell r="N3281" t="str">
            <v>Hikmah Agung Tuban, CV</v>
          </cell>
          <cell r="O3281" t="str">
            <v>Mintorogo, 45, Prunggahan Wetan, Semanding</v>
          </cell>
          <cell r="P3281" t="str">
            <v>Tuban</v>
          </cell>
          <cell r="Q3281" t="str">
            <v>Dsn. Taragan, RT.002/RW.001 Prunggahan Wetan Semanding</v>
          </cell>
          <cell r="R3281" t="str">
            <v>Tuban</v>
          </cell>
          <cell r="S3281" t="str">
            <v>F Utara1</v>
          </cell>
          <cell r="T3281" t="str">
            <v>Dian</v>
          </cell>
          <cell r="U3281">
            <v>60</v>
          </cell>
        </row>
        <row r="3282">
          <cell r="E3282" t="str">
            <v>D25014980</v>
          </cell>
          <cell r="F3282"/>
          <cell r="G3282">
            <v>6000000000</v>
          </cell>
          <cell r="H3282" t="str">
            <v>Reni</v>
          </cell>
          <cell r="I3282" t="str">
            <v>Fira</v>
          </cell>
          <cell r="J3282"/>
          <cell r="K3282" t="str">
            <v>KU</v>
          </cell>
          <cell r="L3282" t="str">
            <v>HIKM01</v>
          </cell>
          <cell r="M3282" t="str">
            <v>Hikmah Agung Tuban, CV</v>
          </cell>
          <cell r="N3282" t="str">
            <v>Hikmah Agung Tuban, CV</v>
          </cell>
          <cell r="O3282" t="str">
            <v>Mintorogo, 45, Prunggahan Wetan, Semanding</v>
          </cell>
          <cell r="P3282" t="str">
            <v>Tuban</v>
          </cell>
          <cell r="Q3282" t="str">
            <v>Dsn. Taragan, RT.002/RW.001 Prunggahan Wetan Semanding</v>
          </cell>
          <cell r="R3282" t="str">
            <v>Tuban</v>
          </cell>
          <cell r="S3282" t="str">
            <v>F Utara1</v>
          </cell>
          <cell r="T3282" t="str">
            <v>Dian</v>
          </cell>
          <cell r="U3282">
            <v>60</v>
          </cell>
        </row>
        <row r="3283">
          <cell r="E3283" t="str">
            <v>D25015195</v>
          </cell>
          <cell r="F3283"/>
          <cell r="G3283">
            <v>6000000000</v>
          </cell>
          <cell r="H3283" t="str">
            <v>Reni</v>
          </cell>
          <cell r="I3283" t="str">
            <v>Fira</v>
          </cell>
          <cell r="J3283"/>
          <cell r="K3283" t="str">
            <v>KU</v>
          </cell>
          <cell r="L3283" t="str">
            <v>HIKM01</v>
          </cell>
          <cell r="M3283" t="str">
            <v>Hikmah Agung Tuban, CV</v>
          </cell>
          <cell r="N3283" t="str">
            <v>Hikmah Agung Tuban, CV</v>
          </cell>
          <cell r="O3283" t="str">
            <v>Mintorogo, 45, Prunggahan Wetan, Semanding</v>
          </cell>
          <cell r="P3283" t="str">
            <v>Tuban</v>
          </cell>
          <cell r="Q3283" t="str">
            <v>Dsn. Taragan, RT.002/RW.001 Prunggahan Wetan Semanding</v>
          </cell>
          <cell r="R3283" t="str">
            <v>Tuban</v>
          </cell>
          <cell r="S3283" t="str">
            <v>F Utara1</v>
          </cell>
          <cell r="T3283" t="str">
            <v>Dian</v>
          </cell>
          <cell r="U3283">
            <v>0</v>
          </cell>
        </row>
        <row r="3284">
          <cell r="E3284" t="str">
            <v>D25015195</v>
          </cell>
          <cell r="F3284"/>
          <cell r="G3284">
            <v>6000000000</v>
          </cell>
          <cell r="H3284" t="str">
            <v>Reni</v>
          </cell>
          <cell r="I3284" t="str">
            <v>Fira</v>
          </cell>
          <cell r="J3284"/>
          <cell r="K3284" t="str">
            <v>KU</v>
          </cell>
          <cell r="L3284" t="str">
            <v>HIKM01</v>
          </cell>
          <cell r="M3284" t="str">
            <v>Hikmah Agung Tuban, CV</v>
          </cell>
          <cell r="N3284" t="str">
            <v>Hikmah Agung Tuban, CV</v>
          </cell>
          <cell r="O3284" t="str">
            <v>Mintorogo, 45, Prunggahan Wetan, Semanding</v>
          </cell>
          <cell r="P3284" t="str">
            <v>Tuban</v>
          </cell>
          <cell r="Q3284" t="str">
            <v>Dsn. Taragan, RT.002/RW.001 Prunggahan Wetan Semanding</v>
          </cell>
          <cell r="R3284" t="str">
            <v>Tuban</v>
          </cell>
          <cell r="S3284" t="str">
            <v>F Utara1</v>
          </cell>
          <cell r="T3284" t="str">
            <v>Dian</v>
          </cell>
          <cell r="U3284">
            <v>0</v>
          </cell>
        </row>
        <row r="3285">
          <cell r="E3285" t="str">
            <v>B25013036</v>
          </cell>
          <cell r="F3285"/>
          <cell r="G3285">
            <v>6000000000</v>
          </cell>
          <cell r="H3285" t="str">
            <v>Reni</v>
          </cell>
          <cell r="I3285" t="str">
            <v>Fira</v>
          </cell>
          <cell r="J3285"/>
          <cell r="K3285" t="str">
            <v>KU</v>
          </cell>
          <cell r="L3285" t="str">
            <v>HIKM01</v>
          </cell>
          <cell r="M3285" t="str">
            <v>Hikmah Agung Tuban, CV</v>
          </cell>
          <cell r="N3285" t="str">
            <v>Hikmah Agung Tuban, CV</v>
          </cell>
          <cell r="O3285" t="str">
            <v>Mintorogo, 45, Prunggahan Wetan, Semanding</v>
          </cell>
          <cell r="P3285" t="str">
            <v>Tuban</v>
          </cell>
          <cell r="Q3285" t="str">
            <v>Dsn. Taragan, RT.002/RW.001 Prunggahan Wetan Semanding</v>
          </cell>
          <cell r="R3285" t="str">
            <v>Tuban</v>
          </cell>
          <cell r="S3285" t="str">
            <v>F Utara1</v>
          </cell>
          <cell r="T3285" t="str">
            <v>Dian</v>
          </cell>
          <cell r="U3285">
            <v>60</v>
          </cell>
        </row>
        <row r="3286">
          <cell r="E3286" t="str">
            <v>D25015471</v>
          </cell>
          <cell r="F3286"/>
          <cell r="G3286">
            <v>6000000000</v>
          </cell>
          <cell r="H3286" t="str">
            <v>Reni</v>
          </cell>
          <cell r="I3286" t="str">
            <v>Fira</v>
          </cell>
          <cell r="J3286"/>
          <cell r="K3286" t="str">
            <v>KU</v>
          </cell>
          <cell r="L3286" t="str">
            <v>HIKM01</v>
          </cell>
          <cell r="M3286" t="str">
            <v>Hikmah Agung Tuban, CV</v>
          </cell>
          <cell r="N3286" t="str">
            <v>Hikmah Agung Tuban, CV</v>
          </cell>
          <cell r="O3286" t="str">
            <v>Mintorogo, 45, Prunggahan Wetan, Semanding</v>
          </cell>
          <cell r="P3286" t="str">
            <v>Tuban</v>
          </cell>
          <cell r="Q3286" t="str">
            <v>Dsn. Taragan, RT.002/RW.001 Prunggahan Wetan Semanding</v>
          </cell>
          <cell r="R3286" t="str">
            <v>Tuban</v>
          </cell>
          <cell r="S3286" t="str">
            <v>F Utara1</v>
          </cell>
          <cell r="T3286" t="str">
            <v>Dian</v>
          </cell>
          <cell r="U3286">
            <v>0</v>
          </cell>
        </row>
        <row r="3287">
          <cell r="E3287" t="str">
            <v>B25013211</v>
          </cell>
          <cell r="F3287"/>
          <cell r="G3287">
            <v>6000000000</v>
          </cell>
          <cell r="H3287" t="str">
            <v>Reni</v>
          </cell>
          <cell r="I3287" t="str">
            <v>Fira</v>
          </cell>
          <cell r="J3287"/>
          <cell r="K3287" t="str">
            <v>KU</v>
          </cell>
          <cell r="L3287" t="str">
            <v>HIKM01</v>
          </cell>
          <cell r="M3287" t="str">
            <v>Hikmah Agung Tuban, CV</v>
          </cell>
          <cell r="N3287" t="str">
            <v>Hikmah Agung Tuban, CV</v>
          </cell>
          <cell r="O3287" t="str">
            <v>Mintorogo, 45, Prunggahan Wetan, Semanding</v>
          </cell>
          <cell r="P3287" t="str">
            <v>Tuban</v>
          </cell>
          <cell r="Q3287" t="str">
            <v>Dsn. Taragan, RT.002/RW.001 Prunggahan Wetan Semanding</v>
          </cell>
          <cell r="R3287" t="str">
            <v>Tuban</v>
          </cell>
          <cell r="S3287" t="str">
            <v>F Utara1</v>
          </cell>
          <cell r="T3287" t="str">
            <v>Dian</v>
          </cell>
          <cell r="U3287">
            <v>0</v>
          </cell>
        </row>
        <row r="3288">
          <cell r="E3288" t="str">
            <v>B25013211</v>
          </cell>
          <cell r="F3288"/>
          <cell r="G3288">
            <v>6000000000</v>
          </cell>
          <cell r="H3288" t="str">
            <v>Reni</v>
          </cell>
          <cell r="I3288" t="str">
            <v>Fira</v>
          </cell>
          <cell r="J3288"/>
          <cell r="K3288" t="str">
            <v>KU</v>
          </cell>
          <cell r="L3288" t="str">
            <v>HIKM01</v>
          </cell>
          <cell r="M3288" t="str">
            <v>Hikmah Agung Tuban, CV</v>
          </cell>
          <cell r="N3288" t="str">
            <v>Hikmah Agung Tuban, CV</v>
          </cell>
          <cell r="O3288" t="str">
            <v>Mintorogo, 45, Prunggahan Wetan, Semanding</v>
          </cell>
          <cell r="P3288" t="str">
            <v>Tuban</v>
          </cell>
          <cell r="Q3288" t="str">
            <v>Dsn. Taragan, RT.002/RW.001 Prunggahan Wetan Semanding</v>
          </cell>
          <cell r="R3288" t="str">
            <v>Tuban</v>
          </cell>
          <cell r="S3288" t="str">
            <v>F Utara1</v>
          </cell>
          <cell r="T3288" t="str">
            <v>Dian</v>
          </cell>
          <cell r="U3288">
            <v>0</v>
          </cell>
        </row>
        <row r="3289">
          <cell r="E3289" t="str">
            <v>D25015539</v>
          </cell>
          <cell r="F3289"/>
          <cell r="G3289">
            <v>6000000000</v>
          </cell>
          <cell r="H3289" t="str">
            <v>Reni</v>
          </cell>
          <cell r="I3289" t="str">
            <v>Fira</v>
          </cell>
          <cell r="J3289"/>
          <cell r="K3289" t="str">
            <v>KU</v>
          </cell>
          <cell r="L3289" t="str">
            <v>HIKM01</v>
          </cell>
          <cell r="M3289" t="str">
            <v>Hikmah Agung Tuban, CV</v>
          </cell>
          <cell r="N3289" t="str">
            <v>Hikmah Agung Tuban, CV</v>
          </cell>
          <cell r="O3289" t="str">
            <v>Mintorogo, 45, Prunggahan Wetan, Semanding</v>
          </cell>
          <cell r="P3289" t="str">
            <v>Tuban</v>
          </cell>
          <cell r="Q3289" t="str">
            <v>Dsn. Taragan, RT.002/RW.001 Prunggahan Wetan Semanding</v>
          </cell>
          <cell r="R3289" t="str">
            <v>Tuban</v>
          </cell>
          <cell r="S3289" t="str">
            <v>F Utara1</v>
          </cell>
          <cell r="T3289" t="str">
            <v>Dian</v>
          </cell>
          <cell r="U3289">
            <v>0</v>
          </cell>
        </row>
        <row r="3290">
          <cell r="E3290" t="str">
            <v>D25015539</v>
          </cell>
          <cell r="F3290"/>
          <cell r="G3290">
            <v>6000000000</v>
          </cell>
          <cell r="H3290" t="str">
            <v>Reni</v>
          </cell>
          <cell r="I3290" t="str">
            <v>Fira</v>
          </cell>
          <cell r="J3290"/>
          <cell r="K3290" t="str">
            <v>KU</v>
          </cell>
          <cell r="L3290" t="str">
            <v>HIKM01</v>
          </cell>
          <cell r="M3290" t="str">
            <v>Hikmah Agung Tuban, CV</v>
          </cell>
          <cell r="N3290" t="str">
            <v>Hikmah Agung Tuban, CV</v>
          </cell>
          <cell r="O3290" t="str">
            <v>Mintorogo, 45, Prunggahan Wetan, Semanding</v>
          </cell>
          <cell r="P3290" t="str">
            <v>Tuban</v>
          </cell>
          <cell r="Q3290" t="str">
            <v>Dsn. Taragan, RT.002/RW.001 Prunggahan Wetan Semanding</v>
          </cell>
          <cell r="R3290" t="str">
            <v>Tuban</v>
          </cell>
          <cell r="S3290" t="str">
            <v>F Utara1</v>
          </cell>
          <cell r="T3290" t="str">
            <v>Dian</v>
          </cell>
          <cell r="U3290">
            <v>0</v>
          </cell>
        </row>
        <row r="3291">
          <cell r="E3291" t="str">
            <v>D25015560</v>
          </cell>
          <cell r="F3291"/>
          <cell r="G3291">
            <v>6000000000</v>
          </cell>
          <cell r="H3291" t="str">
            <v>Reni</v>
          </cell>
          <cell r="I3291" t="str">
            <v>Fira</v>
          </cell>
          <cell r="J3291"/>
          <cell r="K3291" t="str">
            <v>KU</v>
          </cell>
          <cell r="L3291" t="str">
            <v>HIKM01</v>
          </cell>
          <cell r="M3291" t="str">
            <v>Hikmah Agung Tuban, CV</v>
          </cell>
          <cell r="N3291" t="str">
            <v>Hikmah Agung Tuban, CV</v>
          </cell>
          <cell r="O3291" t="str">
            <v>Mintorogo, 45, Prunggahan Wetan, Semanding</v>
          </cell>
          <cell r="P3291" t="str">
            <v>Tuban</v>
          </cell>
          <cell r="Q3291" t="str">
            <v>Dsn. Taragan, RT.002/RW.001 Prunggahan Wetan Semanding</v>
          </cell>
          <cell r="R3291" t="str">
            <v>Tuban</v>
          </cell>
          <cell r="S3291" t="str">
            <v>F Utara1</v>
          </cell>
          <cell r="T3291" t="str">
            <v>Dian</v>
          </cell>
          <cell r="U3291">
            <v>60</v>
          </cell>
        </row>
        <row r="3292">
          <cell r="E3292" t="str">
            <v>D25015616</v>
          </cell>
          <cell r="F3292"/>
          <cell r="G3292">
            <v>6000000000</v>
          </cell>
          <cell r="H3292" t="str">
            <v>Reni</v>
          </cell>
          <cell r="I3292" t="str">
            <v>Fira</v>
          </cell>
          <cell r="J3292"/>
          <cell r="K3292" t="str">
            <v>KU</v>
          </cell>
          <cell r="L3292" t="str">
            <v>HIKM01</v>
          </cell>
          <cell r="M3292" t="str">
            <v>Hikmah Agung Tuban, CV</v>
          </cell>
          <cell r="N3292" t="str">
            <v>Hikmah Agung Tuban, CV</v>
          </cell>
          <cell r="O3292" t="str">
            <v>Mintorogo, 45, Prunggahan Wetan, Semanding</v>
          </cell>
          <cell r="P3292" t="str">
            <v>Tuban</v>
          </cell>
          <cell r="Q3292" t="str">
            <v>Dsn. Taragan, RT.002/RW.001 Prunggahan Wetan Semanding</v>
          </cell>
          <cell r="R3292" t="str">
            <v>Tuban</v>
          </cell>
          <cell r="S3292" t="str">
            <v>F Utara1</v>
          </cell>
          <cell r="T3292" t="str">
            <v>Dian</v>
          </cell>
          <cell r="U3292">
            <v>60</v>
          </cell>
        </row>
        <row r="3293">
          <cell r="E3293" t="str">
            <v>D25015617</v>
          </cell>
          <cell r="F3293"/>
          <cell r="G3293">
            <v>6000000000</v>
          </cell>
          <cell r="H3293" t="str">
            <v>Reni</v>
          </cell>
          <cell r="I3293" t="str">
            <v>Fira</v>
          </cell>
          <cell r="J3293"/>
          <cell r="K3293" t="str">
            <v>KU</v>
          </cell>
          <cell r="L3293" t="str">
            <v>HIKM01</v>
          </cell>
          <cell r="M3293" t="str">
            <v>Hikmah Agung Tuban, CV</v>
          </cell>
          <cell r="N3293" t="str">
            <v>Hikmah Agung Tuban, CV</v>
          </cell>
          <cell r="O3293" t="str">
            <v>Mintorogo, 45, Prunggahan Wetan, Semanding</v>
          </cell>
          <cell r="P3293" t="str">
            <v>Tuban</v>
          </cell>
          <cell r="Q3293" t="str">
            <v>Dsn. Taragan, RT.002/RW.001 Prunggahan Wetan Semanding</v>
          </cell>
          <cell r="R3293" t="str">
            <v>Tuban</v>
          </cell>
          <cell r="S3293" t="str">
            <v>F Utara1</v>
          </cell>
          <cell r="T3293" t="str">
            <v>Dian</v>
          </cell>
          <cell r="U3293">
            <v>60</v>
          </cell>
        </row>
        <row r="3294">
          <cell r="E3294" t="str">
            <v>B25013462</v>
          </cell>
          <cell r="F3294"/>
          <cell r="G3294">
            <v>6000000000</v>
          </cell>
          <cell r="H3294" t="str">
            <v>Reni</v>
          </cell>
          <cell r="I3294" t="str">
            <v>Fira</v>
          </cell>
          <cell r="J3294"/>
          <cell r="K3294" t="str">
            <v>KU</v>
          </cell>
          <cell r="L3294" t="str">
            <v>HIKM01</v>
          </cell>
          <cell r="M3294" t="str">
            <v>Hikmah Agung Tuban, CV</v>
          </cell>
          <cell r="N3294" t="str">
            <v>Hikmah Agung Tuban, CV</v>
          </cell>
          <cell r="O3294" t="str">
            <v>Mintorogo, 45, Prunggahan Wetan, Semanding</v>
          </cell>
          <cell r="P3294" t="str">
            <v>Tuban</v>
          </cell>
          <cell r="Q3294" t="str">
            <v>Dsn. Taragan, RT.002/RW.001 Prunggahan Wetan Semanding</v>
          </cell>
          <cell r="R3294" t="str">
            <v>Tuban</v>
          </cell>
          <cell r="S3294" t="str">
            <v>F Utara1</v>
          </cell>
          <cell r="T3294" t="str">
            <v>Dian</v>
          </cell>
          <cell r="U3294">
            <v>0</v>
          </cell>
        </row>
        <row r="3295">
          <cell r="E3295" t="str">
            <v>B25013462</v>
          </cell>
          <cell r="F3295"/>
          <cell r="G3295">
            <v>6000000000</v>
          </cell>
          <cell r="H3295" t="str">
            <v>Reni</v>
          </cell>
          <cell r="I3295" t="str">
            <v>Fira</v>
          </cell>
          <cell r="J3295"/>
          <cell r="K3295" t="str">
            <v>KU</v>
          </cell>
          <cell r="L3295" t="str">
            <v>HIKM01</v>
          </cell>
          <cell r="M3295" t="str">
            <v>Hikmah Agung Tuban, CV</v>
          </cell>
          <cell r="N3295" t="str">
            <v>Hikmah Agung Tuban, CV</v>
          </cell>
          <cell r="O3295" t="str">
            <v>Mintorogo, 45, Prunggahan Wetan, Semanding</v>
          </cell>
          <cell r="P3295" t="str">
            <v>Tuban</v>
          </cell>
          <cell r="Q3295" t="str">
            <v>Dsn. Taragan, RT.002/RW.001 Prunggahan Wetan Semanding</v>
          </cell>
          <cell r="R3295" t="str">
            <v>Tuban</v>
          </cell>
          <cell r="S3295" t="str">
            <v>F Utara1</v>
          </cell>
          <cell r="T3295" t="str">
            <v>Dian</v>
          </cell>
          <cell r="U3295">
            <v>0</v>
          </cell>
        </row>
        <row r="3296">
          <cell r="E3296" t="str">
            <v>B25013575</v>
          </cell>
          <cell r="F3296"/>
          <cell r="G3296">
            <v>6000000000</v>
          </cell>
          <cell r="H3296" t="str">
            <v>Reni</v>
          </cell>
          <cell r="I3296" t="str">
            <v>Fira</v>
          </cell>
          <cell r="J3296"/>
          <cell r="K3296" t="str">
            <v>KU</v>
          </cell>
          <cell r="L3296" t="str">
            <v>HIKM01</v>
          </cell>
          <cell r="M3296" t="str">
            <v>Hikmah Agung Tuban, CV</v>
          </cell>
          <cell r="N3296" t="str">
            <v>Hikmah Agung Tuban, CV</v>
          </cell>
          <cell r="O3296" t="str">
            <v>Mintorogo, 45, Prunggahan Wetan, Semanding</v>
          </cell>
          <cell r="P3296" t="str">
            <v>Tuban</v>
          </cell>
          <cell r="Q3296" t="str">
            <v>Dsn. Taragan, RT.002/RW.001 Prunggahan Wetan Semanding</v>
          </cell>
          <cell r="R3296" t="str">
            <v>Tuban</v>
          </cell>
          <cell r="S3296" t="str">
            <v>F Utara1</v>
          </cell>
          <cell r="T3296" t="str">
            <v>Dian</v>
          </cell>
          <cell r="U3296">
            <v>0</v>
          </cell>
        </row>
        <row r="3297">
          <cell r="E3297" t="str">
            <v>B25013575</v>
          </cell>
          <cell r="F3297"/>
          <cell r="G3297">
            <v>6000000000</v>
          </cell>
          <cell r="H3297" t="str">
            <v>Reni</v>
          </cell>
          <cell r="I3297" t="str">
            <v>Fira</v>
          </cell>
          <cell r="J3297"/>
          <cell r="K3297" t="str">
            <v>KU</v>
          </cell>
          <cell r="L3297" t="str">
            <v>HIKM01</v>
          </cell>
          <cell r="M3297" t="str">
            <v>Hikmah Agung Tuban, CV</v>
          </cell>
          <cell r="N3297" t="str">
            <v>Hikmah Agung Tuban, CV</v>
          </cell>
          <cell r="O3297" t="str">
            <v>Mintorogo, 45, Prunggahan Wetan, Semanding</v>
          </cell>
          <cell r="P3297" t="str">
            <v>Tuban</v>
          </cell>
          <cell r="Q3297" t="str">
            <v>Dsn. Taragan, RT.002/RW.001 Prunggahan Wetan Semanding</v>
          </cell>
          <cell r="R3297" t="str">
            <v>Tuban</v>
          </cell>
          <cell r="S3297" t="str">
            <v>F Utara1</v>
          </cell>
          <cell r="T3297" t="str">
            <v>Dian</v>
          </cell>
          <cell r="U3297">
            <v>0</v>
          </cell>
        </row>
        <row r="3298">
          <cell r="E3298" t="str">
            <v>B25013576</v>
          </cell>
          <cell r="F3298"/>
          <cell r="G3298">
            <v>6000000000</v>
          </cell>
          <cell r="H3298" t="str">
            <v>Reni</v>
          </cell>
          <cell r="I3298" t="str">
            <v>Fira</v>
          </cell>
          <cell r="J3298"/>
          <cell r="K3298" t="str">
            <v>KU</v>
          </cell>
          <cell r="L3298" t="str">
            <v>HIKM01</v>
          </cell>
          <cell r="M3298" t="str">
            <v>Hikmah Agung Tuban, CV</v>
          </cell>
          <cell r="N3298" t="str">
            <v>Hikmah Agung Tuban, CV</v>
          </cell>
          <cell r="O3298" t="str">
            <v>Mintorogo, 45, Prunggahan Wetan, Semanding</v>
          </cell>
          <cell r="P3298" t="str">
            <v>Tuban</v>
          </cell>
          <cell r="Q3298" t="str">
            <v>Dsn. Taragan, RT.002/RW.001 Prunggahan Wetan Semanding</v>
          </cell>
          <cell r="R3298" t="str">
            <v>Tuban</v>
          </cell>
          <cell r="S3298" t="str">
            <v>F Utara1</v>
          </cell>
          <cell r="T3298" t="str">
            <v>Dian</v>
          </cell>
          <cell r="U3298">
            <v>0</v>
          </cell>
        </row>
        <row r="3299">
          <cell r="E3299" t="str">
            <v>B25013651</v>
          </cell>
          <cell r="F3299"/>
          <cell r="G3299">
            <v>6000000000</v>
          </cell>
          <cell r="H3299" t="str">
            <v>Reni</v>
          </cell>
          <cell r="I3299" t="str">
            <v>Fira</v>
          </cell>
          <cell r="J3299"/>
          <cell r="K3299" t="str">
            <v>KU</v>
          </cell>
          <cell r="L3299" t="str">
            <v>HIKM01</v>
          </cell>
          <cell r="M3299" t="str">
            <v>Hikmah Agung Tuban, CV</v>
          </cell>
          <cell r="N3299" t="str">
            <v>Hikmah Agung Tuban, CV</v>
          </cell>
          <cell r="O3299" t="str">
            <v>Mintorogo, 45, Prunggahan Wetan, Semanding</v>
          </cell>
          <cell r="P3299" t="str">
            <v>Tuban</v>
          </cell>
          <cell r="Q3299" t="str">
            <v>Dsn. Taragan, RT.002/RW.001 Prunggahan Wetan Semanding</v>
          </cell>
          <cell r="R3299" t="str">
            <v>Tuban</v>
          </cell>
          <cell r="S3299" t="str">
            <v>F Utara1</v>
          </cell>
          <cell r="T3299" t="str">
            <v>Dian</v>
          </cell>
          <cell r="U3299">
            <v>60</v>
          </cell>
        </row>
        <row r="3300">
          <cell r="E3300" t="str">
            <v>D25015995</v>
          </cell>
          <cell r="F3300"/>
          <cell r="G3300">
            <v>6000000000</v>
          </cell>
          <cell r="H3300" t="str">
            <v>Reni</v>
          </cell>
          <cell r="I3300" t="str">
            <v>Fira</v>
          </cell>
          <cell r="J3300"/>
          <cell r="K3300" t="str">
            <v>KU</v>
          </cell>
          <cell r="L3300" t="str">
            <v>HIKM01</v>
          </cell>
          <cell r="M3300" t="str">
            <v>Hikmah Agung Tuban, CV</v>
          </cell>
          <cell r="N3300" t="str">
            <v>Hikmah Agung Tuban, CV</v>
          </cell>
          <cell r="O3300" t="str">
            <v>Mintorogo, 45, Prunggahan Wetan, Semanding</v>
          </cell>
          <cell r="P3300" t="str">
            <v>Tuban</v>
          </cell>
          <cell r="Q3300" t="str">
            <v>Dsn. Taragan, RT.002/RW.001 Prunggahan Wetan Semanding</v>
          </cell>
          <cell r="R3300" t="str">
            <v>Tuban</v>
          </cell>
          <cell r="S3300" t="str">
            <v>F Utara1</v>
          </cell>
          <cell r="T3300" t="str">
            <v>Dian</v>
          </cell>
          <cell r="U3300">
            <v>0</v>
          </cell>
        </row>
        <row r="3301">
          <cell r="E3301" t="str">
            <v>D25015996</v>
          </cell>
          <cell r="F3301"/>
          <cell r="G3301">
            <v>6000000000</v>
          </cell>
          <cell r="H3301" t="str">
            <v>Reni</v>
          </cell>
          <cell r="I3301" t="str">
            <v>Fira</v>
          </cell>
          <cell r="J3301"/>
          <cell r="K3301" t="str">
            <v>KU</v>
          </cell>
          <cell r="L3301" t="str">
            <v>HIKM01</v>
          </cell>
          <cell r="M3301" t="str">
            <v>Hikmah Agung Tuban, CV</v>
          </cell>
          <cell r="N3301" t="str">
            <v>Hikmah Agung Tuban, CV</v>
          </cell>
          <cell r="O3301" t="str">
            <v>Mintorogo, 45, Prunggahan Wetan, Semanding</v>
          </cell>
          <cell r="P3301" t="str">
            <v>Tuban</v>
          </cell>
          <cell r="Q3301" t="str">
            <v>Dsn. Taragan, RT.002/RW.001 Prunggahan Wetan Semanding</v>
          </cell>
          <cell r="R3301" t="str">
            <v>Tuban</v>
          </cell>
          <cell r="S3301" t="str">
            <v>F Utara1</v>
          </cell>
          <cell r="T3301" t="str">
            <v>Dian</v>
          </cell>
          <cell r="U3301">
            <v>0</v>
          </cell>
        </row>
        <row r="3302">
          <cell r="E3302" t="str">
            <v>D25015997</v>
          </cell>
          <cell r="F3302"/>
          <cell r="G3302">
            <v>6000000000</v>
          </cell>
          <cell r="H3302" t="str">
            <v>Reni</v>
          </cell>
          <cell r="I3302" t="str">
            <v>Fira</v>
          </cell>
          <cell r="J3302"/>
          <cell r="K3302" t="str">
            <v>KU</v>
          </cell>
          <cell r="L3302" t="str">
            <v>HIKM01</v>
          </cell>
          <cell r="M3302" t="str">
            <v>Hikmah Agung Tuban, CV</v>
          </cell>
          <cell r="N3302" t="str">
            <v>Hikmah Agung Tuban, CV</v>
          </cell>
          <cell r="O3302" t="str">
            <v>Mintorogo, 45, Prunggahan Wetan, Semanding</v>
          </cell>
          <cell r="P3302" t="str">
            <v>Tuban</v>
          </cell>
          <cell r="Q3302" t="str">
            <v>Dsn. Taragan, RT.002/RW.001 Prunggahan Wetan Semanding</v>
          </cell>
          <cell r="R3302" t="str">
            <v>Tuban</v>
          </cell>
          <cell r="S3302" t="str">
            <v>F Utara1</v>
          </cell>
          <cell r="T3302" t="str">
            <v>Dian</v>
          </cell>
          <cell r="U3302">
            <v>0</v>
          </cell>
        </row>
        <row r="3303">
          <cell r="E3303" t="str">
            <v>D25016175</v>
          </cell>
          <cell r="F3303"/>
          <cell r="G3303">
            <v>6000000000</v>
          </cell>
          <cell r="H3303" t="str">
            <v>Reni</v>
          </cell>
          <cell r="I3303" t="str">
            <v>Fira</v>
          </cell>
          <cell r="J3303"/>
          <cell r="K3303" t="str">
            <v>KU</v>
          </cell>
          <cell r="L3303" t="str">
            <v>HIKM01</v>
          </cell>
          <cell r="M3303" t="str">
            <v>Hikmah Agung Tuban, CV</v>
          </cell>
          <cell r="N3303" t="str">
            <v>Hikmah Agung Tuban, CV</v>
          </cell>
          <cell r="O3303" t="str">
            <v>Mintorogo, 45, Prunggahan Wetan, Semanding</v>
          </cell>
          <cell r="P3303" t="str">
            <v>Tuban</v>
          </cell>
          <cell r="Q3303" t="str">
            <v>Dsn. Taragan, RT.002/RW.001 Prunggahan Wetan Semanding</v>
          </cell>
          <cell r="R3303" t="str">
            <v>Tuban</v>
          </cell>
          <cell r="S3303" t="str">
            <v>F Utara1</v>
          </cell>
          <cell r="T3303" t="str">
            <v>Dian</v>
          </cell>
          <cell r="U3303">
            <v>60</v>
          </cell>
        </row>
        <row r="3304">
          <cell r="E3304" t="str">
            <v>D25016196</v>
          </cell>
          <cell r="F3304"/>
          <cell r="G3304">
            <v>6000000000</v>
          </cell>
          <cell r="H3304" t="str">
            <v>Reni</v>
          </cell>
          <cell r="I3304" t="str">
            <v>Fira</v>
          </cell>
          <cell r="J3304"/>
          <cell r="K3304" t="str">
            <v>KU</v>
          </cell>
          <cell r="L3304" t="str">
            <v>HIKM01</v>
          </cell>
          <cell r="M3304" t="str">
            <v>Hikmah Agung Tuban, CV</v>
          </cell>
          <cell r="N3304" t="str">
            <v>Hikmah Agung Tuban, CV</v>
          </cell>
          <cell r="O3304" t="str">
            <v>Mintorogo, 45, Prunggahan Wetan, Semanding</v>
          </cell>
          <cell r="P3304" t="str">
            <v>Tuban</v>
          </cell>
          <cell r="Q3304" t="str">
            <v>Dsn. Taragan, RT.002/RW.001 Prunggahan Wetan Semanding</v>
          </cell>
          <cell r="R3304" t="str">
            <v>Tuban</v>
          </cell>
          <cell r="S3304" t="str">
            <v>F Utara1</v>
          </cell>
          <cell r="T3304" t="str">
            <v>Dian</v>
          </cell>
          <cell r="U3304">
            <v>60</v>
          </cell>
        </row>
        <row r="3305">
          <cell r="E3305" t="str">
            <v>B25013934</v>
          </cell>
          <cell r="F3305"/>
          <cell r="G3305">
            <v>6000000000</v>
          </cell>
          <cell r="H3305" t="str">
            <v>Reni</v>
          </cell>
          <cell r="I3305" t="str">
            <v>Fira</v>
          </cell>
          <cell r="J3305"/>
          <cell r="K3305" t="str">
            <v>KU</v>
          </cell>
          <cell r="L3305" t="str">
            <v>HIKM01</v>
          </cell>
          <cell r="M3305" t="str">
            <v>Hikmah Agung Tuban, CV</v>
          </cell>
          <cell r="N3305" t="str">
            <v>Hikmah Agung Tuban, CV</v>
          </cell>
          <cell r="O3305" t="str">
            <v>Mintorogo, 45, Prunggahan Wetan, Semanding</v>
          </cell>
          <cell r="P3305" t="str">
            <v>Tuban</v>
          </cell>
          <cell r="Q3305" t="str">
            <v>Dsn. Taragan, RT.002/RW.001 Prunggahan Wetan Semanding</v>
          </cell>
          <cell r="R3305" t="str">
            <v>Tuban</v>
          </cell>
          <cell r="S3305" t="str">
            <v>F Utara1</v>
          </cell>
          <cell r="T3305" t="str">
            <v>Dian</v>
          </cell>
          <cell r="U3305">
            <v>60</v>
          </cell>
        </row>
        <row r="3306">
          <cell r="E3306" t="str">
            <v>B25013989</v>
          </cell>
          <cell r="F3306"/>
          <cell r="G3306">
            <v>6000000000</v>
          </cell>
          <cell r="H3306" t="str">
            <v>Reni</v>
          </cell>
          <cell r="I3306" t="str">
            <v>Fira</v>
          </cell>
          <cell r="J3306"/>
          <cell r="K3306" t="str">
            <v>KU</v>
          </cell>
          <cell r="L3306" t="str">
            <v>HIKM01</v>
          </cell>
          <cell r="M3306" t="str">
            <v>Hikmah Agung Tuban, CV</v>
          </cell>
          <cell r="N3306" t="str">
            <v>Hikmah Agung Tuban, CV</v>
          </cell>
          <cell r="O3306" t="str">
            <v>Mintorogo, 45, Prunggahan Wetan, Semanding</v>
          </cell>
          <cell r="P3306" t="str">
            <v>Tuban</v>
          </cell>
          <cell r="Q3306" t="str">
            <v>Dsn. Taragan, RT.002/RW.001 Prunggahan Wetan Semanding</v>
          </cell>
          <cell r="R3306" t="str">
            <v>Tuban</v>
          </cell>
          <cell r="S3306" t="str">
            <v>F Utara1</v>
          </cell>
          <cell r="T3306" t="str">
            <v>Dian</v>
          </cell>
          <cell r="U3306">
            <v>60</v>
          </cell>
        </row>
        <row r="3307">
          <cell r="E3307" t="str">
            <v>B25013548</v>
          </cell>
          <cell r="F3307"/>
          <cell r="G3307">
            <v>1000</v>
          </cell>
          <cell r="H3307" t="str">
            <v>Reni</v>
          </cell>
          <cell r="I3307" t="str">
            <v>Fira</v>
          </cell>
          <cell r="J3307"/>
          <cell r="K3307" t="str">
            <v>BG, KU</v>
          </cell>
          <cell r="L3307" t="str">
            <v>HIMA01</v>
          </cell>
          <cell r="M3307" t="str">
            <v>Himma Jaya, UD</v>
          </cell>
          <cell r="N3307" t="str">
            <v>Sholikhin</v>
          </cell>
          <cell r="O3307" t="str">
            <v>Dsn. Karanganom Wetan RT.007/RW.004, Kel. Karanganom, Kec. Karangbinangun</v>
          </cell>
          <cell r="P3307" t="str">
            <v>Lamongan</v>
          </cell>
          <cell r="Q3307" t="str">
            <v>Sumberwudi, RT.001/RW.002, Sumberwudi Karanggeneng</v>
          </cell>
          <cell r="R3307" t="str">
            <v>Lamongan</v>
          </cell>
          <cell r="S3307" t="str">
            <v>F Utara1</v>
          </cell>
          <cell r="T3307" t="str">
            <v>Dian</v>
          </cell>
          <cell r="U3307">
            <v>0</v>
          </cell>
        </row>
        <row r="3308">
          <cell r="E3308" t="str">
            <v>B25013637</v>
          </cell>
          <cell r="F3308"/>
          <cell r="G3308">
            <v>1000</v>
          </cell>
          <cell r="H3308" t="str">
            <v>Reni</v>
          </cell>
          <cell r="I3308" t="str">
            <v>Fira</v>
          </cell>
          <cell r="J3308"/>
          <cell r="K3308" t="str">
            <v>BG, KU</v>
          </cell>
          <cell r="L3308" t="str">
            <v>HIMA01</v>
          </cell>
          <cell r="M3308" t="str">
            <v>Himma Jaya, UD</v>
          </cell>
          <cell r="N3308" t="str">
            <v>Sholikhin</v>
          </cell>
          <cell r="O3308" t="str">
            <v>Dsn. Karanganom Wetan RT.007/RW.004, Kel. Karanganom, Kec. Karangbinangun</v>
          </cell>
          <cell r="P3308" t="str">
            <v>Lamongan</v>
          </cell>
          <cell r="Q3308" t="str">
            <v>Sumberwudi, RT.001/RW.002, Sumberwudi Karanggeneng</v>
          </cell>
          <cell r="R3308" t="str">
            <v>Lamongan</v>
          </cell>
          <cell r="S3308" t="str">
            <v>F Utara1</v>
          </cell>
          <cell r="T3308" t="str">
            <v>Dian</v>
          </cell>
          <cell r="U3308">
            <v>0</v>
          </cell>
        </row>
        <row r="3309">
          <cell r="E3309" t="str">
            <v>B25013638</v>
          </cell>
          <cell r="F3309"/>
          <cell r="G3309">
            <v>1000</v>
          </cell>
          <cell r="H3309" t="str">
            <v>Reni</v>
          </cell>
          <cell r="I3309" t="str">
            <v>Fira</v>
          </cell>
          <cell r="J3309"/>
          <cell r="K3309" t="str">
            <v>BG, KU</v>
          </cell>
          <cell r="L3309" t="str">
            <v>HIMA01</v>
          </cell>
          <cell r="M3309" t="str">
            <v>Himma Jaya, UD</v>
          </cell>
          <cell r="N3309" t="str">
            <v>Sholikhin</v>
          </cell>
          <cell r="O3309" t="str">
            <v>Dsn. Karanganom Wetan RT.007/RW.004, Kel. Karanganom, Kec. Karangbinangun</v>
          </cell>
          <cell r="P3309" t="str">
            <v>Lamongan</v>
          </cell>
          <cell r="Q3309" t="str">
            <v>Sumberwudi, RT.001/RW.002, Sumberwudi Karanggeneng</v>
          </cell>
          <cell r="R3309" t="str">
            <v>Lamongan</v>
          </cell>
          <cell r="S3309" t="str">
            <v>F Utara1</v>
          </cell>
          <cell r="T3309" t="str">
            <v>Dian</v>
          </cell>
          <cell r="U3309">
            <v>0</v>
          </cell>
        </row>
        <row r="3310">
          <cell r="E3310" t="str">
            <v>T25001281</v>
          </cell>
          <cell r="F3310"/>
          <cell r="G3310">
            <v>1000</v>
          </cell>
          <cell r="H3310" t="str">
            <v>Yuyun</v>
          </cell>
          <cell r="I3310" t="str">
            <v>Farida</v>
          </cell>
          <cell r="J3310"/>
          <cell r="K3310" t="str">
            <v>KU</v>
          </cell>
          <cell r="L3310" t="str">
            <v>IBNU01</v>
          </cell>
          <cell r="M3310" t="str">
            <v>Ibnu Sutoro</v>
          </cell>
          <cell r="N3310" t="str">
            <v>Ibnu Sutoro</v>
          </cell>
          <cell r="O3310" t="str">
            <v>Perum Tegal Besar Permai I AX/6F, RT.005/RW.009</v>
          </cell>
          <cell r="P3310" t="str">
            <v>Jember</v>
          </cell>
          <cell r="Q3310" t="str">
            <v>Jember</v>
          </cell>
          <cell r="R3310" t="str">
            <v>Jember</v>
          </cell>
          <cell r="S3310" t="str">
            <v>L Kota1</v>
          </cell>
          <cell r="T3310" t="str">
            <v>Wira</v>
          </cell>
          <cell r="U3310">
            <v>30</v>
          </cell>
        </row>
        <row r="3311">
          <cell r="E3311" t="str">
            <v>C25000919</v>
          </cell>
          <cell r="F3311"/>
          <cell r="G3311">
            <v>1000</v>
          </cell>
          <cell r="H3311" t="str">
            <v>Yuyun</v>
          </cell>
          <cell r="I3311" t="str">
            <v>Farida</v>
          </cell>
          <cell r="J3311"/>
          <cell r="K3311" t="str">
            <v>KU</v>
          </cell>
          <cell r="L3311" t="str">
            <v>IBNU01</v>
          </cell>
          <cell r="M3311" t="str">
            <v>Ibnu Sutoro</v>
          </cell>
          <cell r="N3311" t="str">
            <v>Ibnu Sutoro</v>
          </cell>
          <cell r="O3311" t="str">
            <v>Perum Tegal Besar Permai I AX/6F, RT.005/RW.009</v>
          </cell>
          <cell r="P3311" t="str">
            <v>Jember</v>
          </cell>
          <cell r="Q3311" t="str">
            <v>Jember</v>
          </cell>
          <cell r="R3311" t="str">
            <v>Jember</v>
          </cell>
          <cell r="S3311" t="str">
            <v>L Kota1</v>
          </cell>
          <cell r="T3311" t="str">
            <v>Wira</v>
          </cell>
          <cell r="U3311">
            <v>0</v>
          </cell>
        </row>
        <row r="3312">
          <cell r="E3312" t="str">
            <v>B25001990</v>
          </cell>
          <cell r="F3312"/>
          <cell r="G3312">
            <v>1000000000</v>
          </cell>
          <cell r="H3312" t="str">
            <v>Ariyani</v>
          </cell>
          <cell r="I3312" t="str">
            <v>Fira</v>
          </cell>
          <cell r="J3312"/>
          <cell r="K3312" t="str">
            <v>KU, Tunai</v>
          </cell>
          <cell r="L3312" t="str">
            <v>IBUT01</v>
          </cell>
          <cell r="M3312" t="str">
            <v>Ibu Tani</v>
          </cell>
          <cell r="N3312" t="str">
            <v>Basofi Budiono</v>
          </cell>
          <cell r="O3312" t="str">
            <v>Dsn. Bajul RT.003/RW.001 Kel. Tegal Mojo, Kec. Tegal Siwalan, Kab. Probolinggo</v>
          </cell>
          <cell r="P3312" t="str">
            <v>Probolinggo</v>
          </cell>
          <cell r="Q3312" t="str">
            <v>Dsn. Bajul RT.003/RW.001 Kel. Tegal Mojo, Kec. Tegal Siwalan, Kab. Probolinggo</v>
          </cell>
          <cell r="R3312" t="str">
            <v>Probolinggo</v>
          </cell>
          <cell r="S3312" t="str">
            <v>G Prob2</v>
          </cell>
          <cell r="T3312" t="str">
            <v>Wira</v>
          </cell>
          <cell r="U3312">
            <v>199</v>
          </cell>
        </row>
        <row r="3313">
          <cell r="E3313" t="str">
            <v>B25002140</v>
          </cell>
          <cell r="F3313"/>
          <cell r="G3313">
            <v>1000000000</v>
          </cell>
          <cell r="H3313" t="str">
            <v>Ariyani</v>
          </cell>
          <cell r="I3313" t="str">
            <v>Fira</v>
          </cell>
          <cell r="J3313"/>
          <cell r="K3313" t="str">
            <v>KU, Tunai</v>
          </cell>
          <cell r="L3313" t="str">
            <v>IBUT01</v>
          </cell>
          <cell r="M3313" t="str">
            <v>Ibu Tani</v>
          </cell>
          <cell r="N3313" t="str">
            <v>Basofi Budiono</v>
          </cell>
          <cell r="O3313" t="str">
            <v>Dsn. Bajul RT.003/RW.001 Kel. Tegal Mojo, Kec. Tegal Siwalan, Kab. Probolinggo</v>
          </cell>
          <cell r="P3313" t="str">
            <v>Probolinggo</v>
          </cell>
          <cell r="Q3313" t="str">
            <v>Dsn. Bajul RT.003/RW.001 Kel. Tegal Mojo, Kec. Tegal Siwalan, Kab. Probolinggo</v>
          </cell>
          <cell r="R3313" t="str">
            <v>Probolinggo</v>
          </cell>
          <cell r="S3313" t="str">
            <v>G Prob2</v>
          </cell>
          <cell r="T3313" t="str">
            <v>Wira</v>
          </cell>
          <cell r="U3313">
            <v>195</v>
          </cell>
        </row>
        <row r="3314">
          <cell r="E3314" t="str">
            <v>B25005439</v>
          </cell>
          <cell r="F3314"/>
          <cell r="G3314">
            <v>1000000000</v>
          </cell>
          <cell r="H3314" t="str">
            <v>Ariyani</v>
          </cell>
          <cell r="I3314" t="str">
            <v>Fira</v>
          </cell>
          <cell r="J3314"/>
          <cell r="K3314" t="str">
            <v>KU, Tunai</v>
          </cell>
          <cell r="L3314" t="str">
            <v>IBUT01</v>
          </cell>
          <cell r="M3314" t="str">
            <v>Ibu Tani</v>
          </cell>
          <cell r="N3314" t="str">
            <v>Basofi Budiono</v>
          </cell>
          <cell r="O3314" t="str">
            <v>Dsn. Bajul RT.003/RW.001 Kel. Tegal Mojo, Kec. Tegal Siwalan, Kab. Probolinggo</v>
          </cell>
          <cell r="P3314" t="str">
            <v>Probolinggo</v>
          </cell>
          <cell r="Q3314" t="str">
            <v>Dsn. Bajul RT.003/RW.001 Kel. Tegal Mojo, Kec. Tegal Siwalan, Kab. Probolinggo</v>
          </cell>
          <cell r="R3314" t="str">
            <v>Probolinggo</v>
          </cell>
          <cell r="S3314" t="str">
            <v>G Prob2</v>
          </cell>
          <cell r="T3314" t="str">
            <v>Wira</v>
          </cell>
          <cell r="U3314">
            <v>90</v>
          </cell>
        </row>
        <row r="3315">
          <cell r="E3315" t="str">
            <v>T25001151</v>
          </cell>
          <cell r="F3315"/>
          <cell r="G3315">
            <v>1000000000</v>
          </cell>
          <cell r="H3315" t="str">
            <v>Ariyani</v>
          </cell>
          <cell r="I3315" t="str">
            <v>Fira</v>
          </cell>
          <cell r="J3315"/>
          <cell r="K3315" t="str">
            <v>KU, Tunai</v>
          </cell>
          <cell r="L3315" t="str">
            <v>IBUT01</v>
          </cell>
          <cell r="M3315" t="str">
            <v>Ibu Tani</v>
          </cell>
          <cell r="N3315" t="str">
            <v>Basofi Budiono</v>
          </cell>
          <cell r="O3315" t="str">
            <v>Dsn. Bajul RT.003/RW.001 Kel. Tegal Mojo, Kec. Tegal Siwalan, Kab. Probolinggo</v>
          </cell>
          <cell r="P3315" t="str">
            <v>Probolinggo</v>
          </cell>
          <cell r="Q3315" t="str">
            <v>Dsn. Bajul RT.003/RW.001 Kel. Tegal Mojo, Kec. Tegal Siwalan, Kab. Probolinggo</v>
          </cell>
          <cell r="R3315" t="str">
            <v>Probolinggo</v>
          </cell>
          <cell r="S3315" t="str">
            <v>G Prob2</v>
          </cell>
          <cell r="T3315" t="str">
            <v>Wira</v>
          </cell>
          <cell r="U3315">
            <v>60</v>
          </cell>
        </row>
        <row r="3316">
          <cell r="E3316" t="str">
            <v>D25011924</v>
          </cell>
          <cell r="F3316"/>
          <cell r="G3316">
            <v>1000000000</v>
          </cell>
          <cell r="H3316" t="str">
            <v>Ariyani</v>
          </cell>
          <cell r="I3316" t="str">
            <v>Fira</v>
          </cell>
          <cell r="J3316"/>
          <cell r="K3316" t="str">
            <v>KU, Tunai</v>
          </cell>
          <cell r="L3316" t="str">
            <v>IBUT01</v>
          </cell>
          <cell r="M3316" t="str">
            <v>Ibu Tani</v>
          </cell>
          <cell r="N3316" t="str">
            <v>Basofi Budiono</v>
          </cell>
          <cell r="O3316" t="str">
            <v>Dsn. Bajul RT.003/RW.001 Kel. Tegal Mojo, Kec. Tegal Siwalan, Kab. Probolinggo</v>
          </cell>
          <cell r="P3316" t="str">
            <v>Probolinggo</v>
          </cell>
          <cell r="Q3316" t="str">
            <v>Dsn. Bajul RT.003/RW.001 Kel. Tegal Mojo, Kec. Tegal Siwalan, Kab. Probolinggo</v>
          </cell>
          <cell r="R3316" t="str">
            <v>Probolinggo</v>
          </cell>
          <cell r="S3316" t="str">
            <v>G Prob2</v>
          </cell>
          <cell r="T3316" t="str">
            <v>Wira</v>
          </cell>
          <cell r="U3316">
            <v>30</v>
          </cell>
        </row>
        <row r="3317">
          <cell r="E3317" t="str">
            <v>D25011961</v>
          </cell>
          <cell r="F3317"/>
          <cell r="G3317">
            <v>1000000000</v>
          </cell>
          <cell r="H3317" t="str">
            <v>Ariyani</v>
          </cell>
          <cell r="I3317" t="str">
            <v>Fira</v>
          </cell>
          <cell r="J3317"/>
          <cell r="K3317" t="str">
            <v>KU, Tunai</v>
          </cell>
          <cell r="L3317" t="str">
            <v>IBUT01</v>
          </cell>
          <cell r="M3317" t="str">
            <v>Ibu Tani</v>
          </cell>
          <cell r="N3317" t="str">
            <v>Basofi Budiono</v>
          </cell>
          <cell r="O3317" t="str">
            <v>Dsn. Bajul RT.003/RW.001 Kel. Tegal Mojo, Kec. Tegal Siwalan, Kab. Probolinggo</v>
          </cell>
          <cell r="P3317" t="str">
            <v>Probolinggo</v>
          </cell>
          <cell r="Q3317" t="str">
            <v>Dsn. Bajul RT.003/RW.001 Kel. Tegal Mojo, Kec. Tegal Siwalan, Kab. Probolinggo</v>
          </cell>
          <cell r="R3317" t="str">
            <v>Probolinggo</v>
          </cell>
          <cell r="S3317" t="str">
            <v>G Prob2</v>
          </cell>
          <cell r="T3317" t="str">
            <v>Wira</v>
          </cell>
          <cell r="U3317">
            <v>30</v>
          </cell>
        </row>
        <row r="3318">
          <cell r="E3318" t="str">
            <v>B25010142</v>
          </cell>
          <cell r="F3318"/>
          <cell r="G3318">
            <v>1000000000</v>
          </cell>
          <cell r="H3318" t="str">
            <v>Ariyani</v>
          </cell>
          <cell r="I3318" t="str">
            <v>Fira</v>
          </cell>
          <cell r="J3318"/>
          <cell r="K3318" t="str">
            <v>KU, Tunai</v>
          </cell>
          <cell r="L3318" t="str">
            <v>IBUT01</v>
          </cell>
          <cell r="M3318" t="str">
            <v>Ibu Tani</v>
          </cell>
          <cell r="N3318" t="str">
            <v>Basofi Budiono</v>
          </cell>
          <cell r="O3318" t="str">
            <v>Dsn. Bajul RT.003/RW.001 Kel. Tegal Mojo, Kec. Tegal Siwalan, Kab. Probolinggo</v>
          </cell>
          <cell r="P3318" t="str">
            <v>Probolinggo</v>
          </cell>
          <cell r="Q3318" t="str">
            <v>Dsn. Bajul RT.003/RW.001 Kel. Tegal Mojo, Kec. Tegal Siwalan, Kab. Probolinggo</v>
          </cell>
          <cell r="R3318" t="str">
            <v>Probolinggo</v>
          </cell>
          <cell r="S3318" t="str">
            <v>G Prob2</v>
          </cell>
          <cell r="T3318" t="str">
            <v>Wira</v>
          </cell>
          <cell r="U3318">
            <v>30</v>
          </cell>
        </row>
        <row r="3319">
          <cell r="E3319" t="str">
            <v>B25011215</v>
          </cell>
          <cell r="F3319"/>
          <cell r="G3319">
            <v>1000000000</v>
          </cell>
          <cell r="H3319" t="str">
            <v>Ariyani</v>
          </cell>
          <cell r="I3319" t="str">
            <v>Fira</v>
          </cell>
          <cell r="J3319"/>
          <cell r="K3319" t="str">
            <v>KU, Tunai</v>
          </cell>
          <cell r="L3319" t="str">
            <v>IBUT01</v>
          </cell>
          <cell r="M3319" t="str">
            <v>Ibu Tani</v>
          </cell>
          <cell r="N3319" t="str">
            <v>Basofi Budiono</v>
          </cell>
          <cell r="O3319" t="str">
            <v>Dsn. Bajul RT.003/RW.001 Kel. Tegal Mojo, Kec. Tegal Siwalan, Kab. Probolinggo</v>
          </cell>
          <cell r="P3319" t="str">
            <v>Probolinggo</v>
          </cell>
          <cell r="Q3319" t="str">
            <v>Dsn. Bajul RT.003/RW.001 Kel. Tegal Mojo, Kec. Tegal Siwalan, Kab. Probolinggo</v>
          </cell>
          <cell r="R3319" t="str">
            <v>Probolinggo</v>
          </cell>
          <cell r="S3319" t="str">
            <v>G Prob2</v>
          </cell>
          <cell r="T3319" t="str">
            <v>Wira</v>
          </cell>
          <cell r="U3319">
            <v>30</v>
          </cell>
        </row>
        <row r="3320">
          <cell r="E3320" t="str">
            <v>B25011342</v>
          </cell>
          <cell r="F3320"/>
          <cell r="G3320">
            <v>1000000000</v>
          </cell>
          <cell r="H3320" t="str">
            <v>Ariyani</v>
          </cell>
          <cell r="I3320" t="str">
            <v>Fira</v>
          </cell>
          <cell r="J3320"/>
          <cell r="K3320" t="str">
            <v>KU, Tunai</v>
          </cell>
          <cell r="L3320" t="str">
            <v>IBUT01</v>
          </cell>
          <cell r="M3320" t="str">
            <v>Ibu Tani</v>
          </cell>
          <cell r="N3320" t="str">
            <v>Basofi Budiono</v>
          </cell>
          <cell r="O3320" t="str">
            <v>Dsn. Bajul RT.003/RW.001 Kel. Tegal Mojo, Kec. Tegal Siwalan, Kab. Probolinggo</v>
          </cell>
          <cell r="P3320" t="str">
            <v>Probolinggo</v>
          </cell>
          <cell r="Q3320" t="str">
            <v>Dsn. Bajul RT.003/RW.001 Kel. Tegal Mojo, Kec. Tegal Siwalan, Kab. Probolinggo</v>
          </cell>
          <cell r="R3320" t="str">
            <v>Probolinggo</v>
          </cell>
          <cell r="S3320" t="str">
            <v>G Prob2</v>
          </cell>
          <cell r="T3320" t="str">
            <v>Wira</v>
          </cell>
          <cell r="U3320">
            <v>30</v>
          </cell>
        </row>
        <row r="3321">
          <cell r="E3321" t="str">
            <v>D25013551</v>
          </cell>
          <cell r="F3321"/>
          <cell r="G3321">
            <v>1000000000</v>
          </cell>
          <cell r="H3321" t="str">
            <v>Ariyani</v>
          </cell>
          <cell r="I3321" t="str">
            <v>Fira</v>
          </cell>
          <cell r="J3321"/>
          <cell r="K3321" t="str">
            <v>KU, Tunai</v>
          </cell>
          <cell r="L3321" t="str">
            <v>IBUT01</v>
          </cell>
          <cell r="M3321" t="str">
            <v>Ibu Tani</v>
          </cell>
          <cell r="N3321" t="str">
            <v>Basofi Budiono</v>
          </cell>
          <cell r="O3321" t="str">
            <v>Dsn. Bajul RT.003/RW.001 Kel. Tegal Mojo, Kec. Tegal Siwalan, Kab. Probolinggo</v>
          </cell>
          <cell r="P3321" t="str">
            <v>Probolinggo</v>
          </cell>
          <cell r="Q3321" t="str">
            <v>Dsn. Bajul RT.003/RW.001 Kel. Tegal Mojo, Kec. Tegal Siwalan, Kab. Probolinggo</v>
          </cell>
          <cell r="R3321" t="str">
            <v>Probolinggo</v>
          </cell>
          <cell r="S3321" t="str">
            <v>G Prob2</v>
          </cell>
          <cell r="T3321" t="str">
            <v>Wira</v>
          </cell>
          <cell r="U3321">
            <v>30</v>
          </cell>
        </row>
        <row r="3322">
          <cell r="E3322" t="str">
            <v>D25013773</v>
          </cell>
          <cell r="F3322"/>
          <cell r="G3322">
            <v>1000000000</v>
          </cell>
          <cell r="H3322" t="str">
            <v>Ariyani</v>
          </cell>
          <cell r="I3322" t="str">
            <v>Fira</v>
          </cell>
          <cell r="J3322"/>
          <cell r="K3322" t="str">
            <v>KU, Tunai</v>
          </cell>
          <cell r="L3322" t="str">
            <v>IBUT01</v>
          </cell>
          <cell r="M3322" t="str">
            <v>Ibu Tani</v>
          </cell>
          <cell r="N3322" t="str">
            <v>Basofi Budiono</v>
          </cell>
          <cell r="O3322" t="str">
            <v>Dsn. Bajul RT.003/RW.001 Kel. Tegal Mojo, Kec. Tegal Siwalan, Kab. Probolinggo</v>
          </cell>
          <cell r="P3322" t="str">
            <v>Probolinggo</v>
          </cell>
          <cell r="Q3322" t="str">
            <v>Dsn. Bajul RT.003/RW.001 Kel. Tegal Mojo, Kec. Tegal Siwalan, Kab. Probolinggo</v>
          </cell>
          <cell r="R3322" t="str">
            <v>Probolinggo</v>
          </cell>
          <cell r="S3322" t="str">
            <v>G Prob2</v>
          </cell>
          <cell r="T3322" t="str">
            <v>Wira</v>
          </cell>
          <cell r="U3322">
            <v>30</v>
          </cell>
        </row>
        <row r="3323">
          <cell r="E3323" t="str">
            <v>B25011660</v>
          </cell>
          <cell r="F3323"/>
          <cell r="G3323">
            <v>1000000000</v>
          </cell>
          <cell r="H3323" t="str">
            <v>Ariyani</v>
          </cell>
          <cell r="I3323" t="str">
            <v>Fira</v>
          </cell>
          <cell r="J3323"/>
          <cell r="K3323" t="str">
            <v>KU, Tunai</v>
          </cell>
          <cell r="L3323" t="str">
            <v>IBUT01</v>
          </cell>
          <cell r="M3323" t="str">
            <v>Ibu Tani</v>
          </cell>
          <cell r="N3323" t="str">
            <v>Basofi Budiono</v>
          </cell>
          <cell r="O3323" t="str">
            <v>Dsn. Bajul RT.003/RW.001 Kel. Tegal Mojo, Kec. Tegal Siwalan, Kab. Probolinggo</v>
          </cell>
          <cell r="P3323" t="str">
            <v>Probolinggo</v>
          </cell>
          <cell r="Q3323" t="str">
            <v>Dsn. Bajul RT.003/RW.001 Kel. Tegal Mojo, Kec. Tegal Siwalan, Kab. Probolinggo</v>
          </cell>
          <cell r="R3323" t="str">
            <v>Probolinggo</v>
          </cell>
          <cell r="S3323" t="str">
            <v>G Prob2</v>
          </cell>
          <cell r="T3323" t="str">
            <v>Wira</v>
          </cell>
          <cell r="U3323">
            <v>30</v>
          </cell>
        </row>
        <row r="3324">
          <cell r="E3324" t="str">
            <v>D25014156</v>
          </cell>
          <cell r="F3324"/>
          <cell r="G3324">
            <v>1000000000</v>
          </cell>
          <cell r="H3324" t="str">
            <v>Ariyani</v>
          </cell>
          <cell r="I3324" t="str">
            <v>Fira</v>
          </cell>
          <cell r="J3324"/>
          <cell r="K3324" t="str">
            <v>KU, Tunai</v>
          </cell>
          <cell r="L3324" t="str">
            <v>IBUT01</v>
          </cell>
          <cell r="M3324" t="str">
            <v>Ibu Tani</v>
          </cell>
          <cell r="N3324" t="str">
            <v>Basofi Budiono</v>
          </cell>
          <cell r="O3324" t="str">
            <v>Dsn. Bajul RT.003/RW.001 Kel. Tegal Mojo, Kec. Tegal Siwalan, Kab. Probolinggo</v>
          </cell>
          <cell r="P3324" t="str">
            <v>Probolinggo</v>
          </cell>
          <cell r="Q3324" t="str">
            <v>Dsn. Bajul RT.003/RW.001 Kel. Tegal Mojo, Kec. Tegal Siwalan, Kab. Probolinggo</v>
          </cell>
          <cell r="R3324" t="str">
            <v>Probolinggo</v>
          </cell>
          <cell r="S3324" t="str">
            <v>G Prob2</v>
          </cell>
          <cell r="T3324" t="str">
            <v>Wira</v>
          </cell>
          <cell r="U3324">
            <v>30</v>
          </cell>
        </row>
        <row r="3325">
          <cell r="E3325" t="str">
            <v>B25012417</v>
          </cell>
          <cell r="F3325"/>
          <cell r="G3325">
            <v>1000000000</v>
          </cell>
          <cell r="H3325" t="str">
            <v>Ariyani</v>
          </cell>
          <cell r="I3325" t="str">
            <v>Fira</v>
          </cell>
          <cell r="J3325"/>
          <cell r="K3325" t="str">
            <v>KU, Tunai</v>
          </cell>
          <cell r="L3325" t="str">
            <v>IBUT01</v>
          </cell>
          <cell r="M3325" t="str">
            <v>Ibu Tani</v>
          </cell>
          <cell r="N3325" t="str">
            <v>Basofi Budiono</v>
          </cell>
          <cell r="O3325" t="str">
            <v>Dsn. Bajul RT.003/RW.001 Kel. Tegal Mojo, Kec. Tegal Siwalan, Kab. Probolinggo</v>
          </cell>
          <cell r="P3325" t="str">
            <v>Probolinggo</v>
          </cell>
          <cell r="Q3325" t="str">
            <v>Dsn. Bajul RT.003/RW.001 Kel. Tegal Mojo, Kec. Tegal Siwalan, Kab. Probolinggo</v>
          </cell>
          <cell r="R3325" t="str">
            <v>Probolinggo</v>
          </cell>
          <cell r="S3325" t="str">
            <v>G Prob2</v>
          </cell>
          <cell r="T3325" t="str">
            <v>Wira</v>
          </cell>
          <cell r="U3325">
            <v>30</v>
          </cell>
        </row>
        <row r="3326">
          <cell r="E3326" t="str">
            <v>B25012993</v>
          </cell>
          <cell r="F3326"/>
          <cell r="G3326">
            <v>1000000000</v>
          </cell>
          <cell r="H3326" t="str">
            <v>Ariyani</v>
          </cell>
          <cell r="I3326" t="str">
            <v>Fira</v>
          </cell>
          <cell r="J3326"/>
          <cell r="K3326" t="str">
            <v>KU, Tunai</v>
          </cell>
          <cell r="L3326" t="str">
            <v>IBUT01</v>
          </cell>
          <cell r="M3326" t="str">
            <v>Ibu Tani</v>
          </cell>
          <cell r="N3326" t="str">
            <v>Basofi Budiono</v>
          </cell>
          <cell r="O3326" t="str">
            <v>Dsn. Bajul RT.003/RW.001 Kel. Tegal Mojo, Kec. Tegal Siwalan, Kab. Probolinggo</v>
          </cell>
          <cell r="P3326" t="str">
            <v>Probolinggo</v>
          </cell>
          <cell r="Q3326" t="str">
            <v>Dsn. Bajul RT.003/RW.001 Kel. Tegal Mojo, Kec. Tegal Siwalan, Kab. Probolinggo</v>
          </cell>
          <cell r="R3326" t="str">
            <v>Probolinggo</v>
          </cell>
          <cell r="S3326" t="str">
            <v>G Prob2</v>
          </cell>
          <cell r="T3326" t="str">
            <v>Wira</v>
          </cell>
          <cell r="U3326">
            <v>30</v>
          </cell>
        </row>
        <row r="3327">
          <cell r="E3327" t="str">
            <v>D25015905</v>
          </cell>
          <cell r="F3327"/>
          <cell r="G3327">
            <v>1000000000</v>
          </cell>
          <cell r="H3327" t="str">
            <v>Ariyani</v>
          </cell>
          <cell r="I3327" t="str">
            <v>Fira</v>
          </cell>
          <cell r="J3327"/>
          <cell r="K3327" t="str">
            <v>KU, Tunai</v>
          </cell>
          <cell r="L3327" t="str">
            <v>IBUT01</v>
          </cell>
          <cell r="M3327" t="str">
            <v>Ibu Tani</v>
          </cell>
          <cell r="N3327" t="str">
            <v>Basofi Budiono</v>
          </cell>
          <cell r="O3327" t="str">
            <v>Dsn. Bajul RT.003/RW.001 Kel. Tegal Mojo, Kec. Tegal Siwalan, Kab. Probolinggo</v>
          </cell>
          <cell r="P3327" t="str">
            <v>Probolinggo</v>
          </cell>
          <cell r="Q3327" t="str">
            <v>Dsn. Bajul RT.003/RW.001 Kel. Tegal Mojo, Kec. Tegal Siwalan, Kab. Probolinggo</v>
          </cell>
          <cell r="R3327" t="str">
            <v>Probolinggo</v>
          </cell>
          <cell r="S3327" t="str">
            <v>G Prob2</v>
          </cell>
          <cell r="T3327" t="str">
            <v>Wira</v>
          </cell>
          <cell r="U3327">
            <v>30</v>
          </cell>
        </row>
        <row r="3328">
          <cell r="E3328" t="str">
            <v>B25014076</v>
          </cell>
          <cell r="F3328"/>
          <cell r="G3328">
            <v>1000000000</v>
          </cell>
          <cell r="H3328" t="str">
            <v>Ariyani</v>
          </cell>
          <cell r="I3328" t="str">
            <v>Fira</v>
          </cell>
          <cell r="J3328"/>
          <cell r="K3328" t="str">
            <v>KU, Tunai</v>
          </cell>
          <cell r="L3328" t="str">
            <v>IBUT01</v>
          </cell>
          <cell r="M3328" t="str">
            <v>Ibu Tani</v>
          </cell>
          <cell r="N3328" t="str">
            <v>Basofi Budiono</v>
          </cell>
          <cell r="O3328" t="str">
            <v>Dsn. Bajul RT.003/RW.001 Kel. Tegal Mojo, Kec. Tegal Siwalan, Kab. Probolinggo</v>
          </cell>
          <cell r="P3328" t="str">
            <v>Probolinggo</v>
          </cell>
          <cell r="Q3328" t="str">
            <v>Dsn. Bajul RT.003/RW.001 Kel. Tegal Mojo, Kec. Tegal Siwalan, Kab. Probolinggo</v>
          </cell>
          <cell r="R3328" t="str">
            <v>Probolinggo</v>
          </cell>
          <cell r="S3328" t="str">
            <v>G Prob2</v>
          </cell>
          <cell r="T3328" t="str">
            <v>Wira</v>
          </cell>
          <cell r="U3328">
            <v>30</v>
          </cell>
        </row>
        <row r="3329">
          <cell r="E3329" t="str">
            <v>B25013073</v>
          </cell>
          <cell r="F3329"/>
          <cell r="G3329">
            <v>75000000</v>
          </cell>
          <cell r="H3329" t="str">
            <v>Yuyun</v>
          </cell>
          <cell r="I3329" t="str">
            <v>Farida</v>
          </cell>
          <cell r="J3329"/>
          <cell r="K3329" t="str">
            <v>KU</v>
          </cell>
          <cell r="L3329" t="str">
            <v>IKAJ01</v>
          </cell>
          <cell r="M3329" t="str">
            <v>Ika Jaya</v>
          </cell>
          <cell r="N3329" t="str">
            <v>Sanian, H</v>
          </cell>
          <cell r="O3329" t="str">
            <v>Jatisari</v>
          </cell>
          <cell r="P3329" t="str">
            <v>Jember</v>
          </cell>
          <cell r="Q3329" t="str">
            <v>Jatisari</v>
          </cell>
          <cell r="R3329" t="str">
            <v>Jember</v>
          </cell>
          <cell r="S3329" t="str">
            <v>L Kota2</v>
          </cell>
          <cell r="T3329" t="str">
            <v>Efendi</v>
          </cell>
          <cell r="U3329">
            <v>0</v>
          </cell>
        </row>
        <row r="3330">
          <cell r="E3330" t="str">
            <v>B25013074</v>
          </cell>
          <cell r="F3330"/>
          <cell r="G3330">
            <v>75000000</v>
          </cell>
          <cell r="H3330" t="str">
            <v>Yuyun</v>
          </cell>
          <cell r="I3330" t="str">
            <v>Farida</v>
          </cell>
          <cell r="J3330"/>
          <cell r="K3330" t="str">
            <v>KU</v>
          </cell>
          <cell r="L3330" t="str">
            <v>IKAJ01</v>
          </cell>
          <cell r="M3330" t="str">
            <v>Ika Jaya</v>
          </cell>
          <cell r="N3330" t="str">
            <v>Sanian, H</v>
          </cell>
          <cell r="O3330" t="str">
            <v>Jatisari</v>
          </cell>
          <cell r="P3330" t="str">
            <v>Jember</v>
          </cell>
          <cell r="Q3330" t="str">
            <v>Jatisari</v>
          </cell>
          <cell r="R3330" t="str">
            <v>Jember</v>
          </cell>
          <cell r="S3330" t="str">
            <v>L Kota2</v>
          </cell>
          <cell r="T3330" t="str">
            <v>Efendi</v>
          </cell>
          <cell r="U3330">
            <v>30</v>
          </cell>
        </row>
        <row r="3331">
          <cell r="E3331" t="str">
            <v>Z25001743</v>
          </cell>
          <cell r="F3331"/>
          <cell r="G3331">
            <v>1000000000</v>
          </cell>
          <cell r="H3331" t="str">
            <v>Hendra</v>
          </cell>
          <cell r="I3331" t="str">
            <v>Tiya</v>
          </cell>
          <cell r="J3331" t="str">
            <v>New 15/04/20</v>
          </cell>
          <cell r="K3331" t="str">
            <v>KU</v>
          </cell>
          <cell r="L3331" t="str">
            <v>IKHL01</v>
          </cell>
          <cell r="M3331" t="str">
            <v>Ikhlas Tani, UD</v>
          </cell>
          <cell r="N3331" t="str">
            <v>Ahmad Mulahela</v>
          </cell>
          <cell r="O3331" t="str">
            <v xml:space="preserve">Jl. H. L. Anggarat BA Dsn Lingk Pohnada RT.012/RW.003 Gerung Utara Gerung </v>
          </cell>
          <cell r="P3331" t="str">
            <v>Lombok Barat</v>
          </cell>
          <cell r="Q3331" t="str">
            <v xml:space="preserve">Jl. H. L. Anggarat BA Dsn Lingk Pohnada RT.012/RW.003 Gerung Utara Gerung </v>
          </cell>
          <cell r="R3331" t="str">
            <v>Lombok Barat</v>
          </cell>
          <cell r="S3331" t="str">
            <v>E Luar Pulau2</v>
          </cell>
          <cell r="T3331" t="str">
            <v>Muhlisin</v>
          </cell>
          <cell r="U3331">
            <v>60</v>
          </cell>
        </row>
        <row r="3332">
          <cell r="E3332" t="str">
            <v>Z25001824</v>
          </cell>
          <cell r="F3332"/>
          <cell r="G3332">
            <v>1000000000</v>
          </cell>
          <cell r="H3332" t="str">
            <v>Hendra</v>
          </cell>
          <cell r="I3332" t="str">
            <v>Tiya</v>
          </cell>
          <cell r="J3332" t="str">
            <v>New 15/04/20</v>
          </cell>
          <cell r="K3332" t="str">
            <v>KU</v>
          </cell>
          <cell r="L3332" t="str">
            <v>IKHL01</v>
          </cell>
          <cell r="M3332" t="str">
            <v>Ikhlas Tani, UD</v>
          </cell>
          <cell r="N3332" t="str">
            <v>Ahmad Mulahela</v>
          </cell>
          <cell r="O3332" t="str">
            <v xml:space="preserve">Jl. H. L. Anggarat BA Dsn Lingk Pohnada RT.012/RW.003 Gerung Utara Gerung </v>
          </cell>
          <cell r="P3332" t="str">
            <v>Lombok Barat</v>
          </cell>
          <cell r="Q3332" t="str">
            <v xml:space="preserve">Jl. H. L. Anggarat BA Dsn Lingk Pohnada RT.012/RW.003 Gerung Utara Gerung </v>
          </cell>
          <cell r="R3332" t="str">
            <v>Lombok Barat</v>
          </cell>
          <cell r="S3332" t="str">
            <v>E Luar Pulau2</v>
          </cell>
          <cell r="T3332" t="str">
            <v>Muhlisin</v>
          </cell>
          <cell r="U3332">
            <v>60</v>
          </cell>
        </row>
        <row r="3333">
          <cell r="E3333" t="str">
            <v>Z25001858</v>
          </cell>
          <cell r="F3333"/>
          <cell r="G3333">
            <v>1000000000</v>
          </cell>
          <cell r="H3333" t="str">
            <v>Hendra</v>
          </cell>
          <cell r="I3333" t="str">
            <v>Tiya</v>
          </cell>
          <cell r="J3333" t="str">
            <v>New 15/04/20</v>
          </cell>
          <cell r="K3333" t="str">
            <v>KU</v>
          </cell>
          <cell r="L3333" t="str">
            <v>IKHL01</v>
          </cell>
          <cell r="M3333" t="str">
            <v>Ikhlas Tani, UD</v>
          </cell>
          <cell r="N3333" t="str">
            <v>Ahmad Mulahela</v>
          </cell>
          <cell r="O3333" t="str">
            <v xml:space="preserve">Jl. H. L. Anggarat BA Dsn Lingk Pohnada RT.012/RW.003 Gerung Utara Gerung </v>
          </cell>
          <cell r="P3333" t="str">
            <v>Lombok Barat</v>
          </cell>
          <cell r="Q3333" t="str">
            <v xml:space="preserve">Jl. H. L. Anggarat BA Dsn Lingk Pohnada RT.012/RW.003 Gerung Utara Gerung </v>
          </cell>
          <cell r="R3333" t="str">
            <v>Lombok Barat</v>
          </cell>
          <cell r="S3333" t="str">
            <v>E Luar Pulau2</v>
          </cell>
          <cell r="T3333" t="str">
            <v>Muhlisin</v>
          </cell>
          <cell r="U3333">
            <v>60</v>
          </cell>
        </row>
        <row r="3334">
          <cell r="E3334" t="str">
            <v>Z25001940</v>
          </cell>
          <cell r="F3334"/>
          <cell r="G3334">
            <v>1000000000</v>
          </cell>
          <cell r="H3334" t="str">
            <v>Hendra</v>
          </cell>
          <cell r="I3334" t="str">
            <v>Tiya</v>
          </cell>
          <cell r="J3334" t="str">
            <v>New 15/04/20</v>
          </cell>
          <cell r="K3334" t="str">
            <v>KU</v>
          </cell>
          <cell r="L3334" t="str">
            <v>IKHL01</v>
          </cell>
          <cell r="M3334" t="str">
            <v>Ikhlas Tani, UD</v>
          </cell>
          <cell r="N3334" t="str">
            <v>Ahmad Mulahela</v>
          </cell>
          <cell r="O3334" t="str">
            <v xml:space="preserve">Jl. H. L. Anggarat BA Dsn Lingk Pohnada RT.012/RW.003 Gerung Utara Gerung </v>
          </cell>
          <cell r="P3334" t="str">
            <v>Lombok Barat</v>
          </cell>
          <cell r="Q3334" t="str">
            <v xml:space="preserve">Jl. H. L. Anggarat BA Dsn Lingk Pohnada RT.012/RW.003 Gerung Utara Gerung </v>
          </cell>
          <cell r="R3334" t="str">
            <v>Lombok Barat</v>
          </cell>
          <cell r="S3334" t="str">
            <v>E Luar Pulau2</v>
          </cell>
          <cell r="T3334" t="str">
            <v>Muhlisin</v>
          </cell>
          <cell r="U3334">
            <v>60</v>
          </cell>
        </row>
        <row r="3335">
          <cell r="E3335" t="str">
            <v>Z25002231</v>
          </cell>
          <cell r="F3335"/>
          <cell r="G3335">
            <v>1000000000</v>
          </cell>
          <cell r="H3335" t="str">
            <v>Hendra</v>
          </cell>
          <cell r="I3335" t="str">
            <v>Tiya</v>
          </cell>
          <cell r="J3335" t="str">
            <v>New 15/04/20</v>
          </cell>
          <cell r="K3335" t="str">
            <v>KU</v>
          </cell>
          <cell r="L3335" t="str">
            <v>IKHL01</v>
          </cell>
          <cell r="M3335" t="str">
            <v>Ikhlas Tani, UD</v>
          </cell>
          <cell r="N3335" t="str">
            <v>Ahmad Mulahela</v>
          </cell>
          <cell r="O3335" t="str">
            <v xml:space="preserve">Jl. H. L. Anggarat BA Dsn Lingk Pohnada RT.012/RW.003 Gerung Utara Gerung </v>
          </cell>
          <cell r="P3335" t="str">
            <v>Lombok Barat</v>
          </cell>
          <cell r="Q3335" t="str">
            <v xml:space="preserve">Jl. H. L. Anggarat BA Dsn Lingk Pohnada RT.012/RW.003 Gerung Utara Gerung </v>
          </cell>
          <cell r="R3335" t="str">
            <v>Lombok Barat</v>
          </cell>
          <cell r="S3335" t="str">
            <v>E Luar Pulau2</v>
          </cell>
          <cell r="T3335" t="str">
            <v>Muhlisin</v>
          </cell>
          <cell r="U3335">
            <v>60</v>
          </cell>
        </row>
        <row r="3336">
          <cell r="E3336" t="str">
            <v>Z25002427</v>
          </cell>
          <cell r="F3336"/>
          <cell r="G3336">
            <v>1000000000</v>
          </cell>
          <cell r="H3336" t="str">
            <v>Hendra</v>
          </cell>
          <cell r="I3336" t="str">
            <v>Tiya</v>
          </cell>
          <cell r="J3336" t="str">
            <v>New 15/04/20</v>
          </cell>
          <cell r="K3336" t="str">
            <v>KU</v>
          </cell>
          <cell r="L3336" t="str">
            <v>IKHL01</v>
          </cell>
          <cell r="M3336" t="str">
            <v>Ikhlas Tani, UD</v>
          </cell>
          <cell r="N3336" t="str">
            <v>Ahmad Mulahela</v>
          </cell>
          <cell r="O3336" t="str">
            <v xml:space="preserve">Jl. H. L. Anggarat BA Dsn Lingk Pohnada RT.012/RW.003 Gerung Utara Gerung </v>
          </cell>
          <cell r="P3336" t="str">
            <v>Lombok Barat</v>
          </cell>
          <cell r="Q3336" t="str">
            <v xml:space="preserve">Jl. H. L. Anggarat BA Dsn Lingk Pohnada RT.012/RW.003 Gerung Utara Gerung </v>
          </cell>
          <cell r="R3336" t="str">
            <v>Lombok Barat</v>
          </cell>
          <cell r="S3336" t="str">
            <v>E Luar Pulau2</v>
          </cell>
          <cell r="T3336" t="str">
            <v>Muhlisin</v>
          </cell>
          <cell r="U3336">
            <v>60</v>
          </cell>
        </row>
        <row r="3337">
          <cell r="E3337" t="str">
            <v>Z250029</v>
          </cell>
          <cell r="F3337"/>
          <cell r="G3337">
            <v>1000000000</v>
          </cell>
          <cell r="H3337" t="str">
            <v>Hendra</v>
          </cell>
          <cell r="I3337" t="str">
            <v>Tiya</v>
          </cell>
          <cell r="J3337" t="str">
            <v>New 15/04/20</v>
          </cell>
          <cell r="K3337" t="str">
            <v>KU</v>
          </cell>
          <cell r="L3337" t="str">
            <v>IKHL01</v>
          </cell>
          <cell r="M3337" t="str">
            <v>Ikhlas Tani, UD</v>
          </cell>
          <cell r="N3337" t="str">
            <v>Ahmad Mulahela</v>
          </cell>
          <cell r="O3337" t="str">
            <v xml:space="preserve">Jl. H. L. Anggarat BA Dsn Lingk Pohnada RT.012/RW.003 Gerung Utara Gerung </v>
          </cell>
          <cell r="P3337" t="str">
            <v>Lombok Barat</v>
          </cell>
          <cell r="Q3337" t="str">
            <v xml:space="preserve">Jl. H. L. Anggarat BA Dsn Lingk Pohnada RT.012/RW.003 Gerung Utara Gerung </v>
          </cell>
          <cell r="R3337" t="str">
            <v>Lombok Barat</v>
          </cell>
          <cell r="S3337" t="str">
            <v>E Luar Pulau2</v>
          </cell>
          <cell r="T3337" t="str">
            <v>Muhlisin</v>
          </cell>
          <cell r="U3337">
            <v>15</v>
          </cell>
        </row>
        <row r="3338">
          <cell r="E3338" t="str">
            <v>Z25002441</v>
          </cell>
          <cell r="F3338"/>
          <cell r="G3338">
            <v>1000000000</v>
          </cell>
          <cell r="H3338" t="str">
            <v>Hendra</v>
          </cell>
          <cell r="I3338" t="str">
            <v>Tiya</v>
          </cell>
          <cell r="J3338" t="str">
            <v>New 15/04/20</v>
          </cell>
          <cell r="K3338" t="str">
            <v>KU</v>
          </cell>
          <cell r="L3338" t="str">
            <v>IKHL01</v>
          </cell>
          <cell r="M3338" t="str">
            <v>Ikhlas Tani, UD</v>
          </cell>
          <cell r="N3338" t="str">
            <v>Ahmad Mulahela</v>
          </cell>
          <cell r="O3338" t="str">
            <v xml:space="preserve">Jl. H. L. Anggarat BA Dsn Lingk Pohnada RT.012/RW.003 Gerung Utara Gerung </v>
          </cell>
          <cell r="P3338" t="str">
            <v>Lombok Barat</v>
          </cell>
          <cell r="Q3338" t="str">
            <v xml:space="preserve">Jl. H. L. Anggarat BA Dsn Lingk Pohnada RT.012/RW.003 Gerung Utara Gerung </v>
          </cell>
          <cell r="R3338" t="str">
            <v>Lombok Barat</v>
          </cell>
          <cell r="S3338" t="str">
            <v>E Luar Pulau2</v>
          </cell>
          <cell r="T3338" t="str">
            <v>Muhlisin</v>
          </cell>
          <cell r="U3338">
            <v>60</v>
          </cell>
        </row>
        <row r="3339">
          <cell r="E3339" t="str">
            <v>Z25002442</v>
          </cell>
          <cell r="F3339"/>
          <cell r="G3339">
            <v>1000000000</v>
          </cell>
          <cell r="H3339" t="str">
            <v>Hendra</v>
          </cell>
          <cell r="I3339" t="str">
            <v>Tiya</v>
          </cell>
          <cell r="J3339" t="str">
            <v>New 15/04/20</v>
          </cell>
          <cell r="K3339" t="str">
            <v>KU</v>
          </cell>
          <cell r="L3339" t="str">
            <v>IKHL01</v>
          </cell>
          <cell r="M3339" t="str">
            <v>Ikhlas Tani, UD</v>
          </cell>
          <cell r="N3339" t="str">
            <v>Ahmad Mulahela</v>
          </cell>
          <cell r="O3339" t="str">
            <v xml:space="preserve">Jl. H. L. Anggarat BA Dsn Lingk Pohnada RT.012/RW.003 Gerung Utara Gerung </v>
          </cell>
          <cell r="P3339" t="str">
            <v>Lombok Barat</v>
          </cell>
          <cell r="Q3339" t="str">
            <v xml:space="preserve">Jl. H. L. Anggarat BA Dsn Lingk Pohnada RT.012/RW.003 Gerung Utara Gerung </v>
          </cell>
          <cell r="R3339" t="str">
            <v>Lombok Barat</v>
          </cell>
          <cell r="S3339" t="str">
            <v>E Luar Pulau2</v>
          </cell>
          <cell r="T3339" t="str">
            <v>Muhlisin</v>
          </cell>
          <cell r="U3339">
            <v>60</v>
          </cell>
        </row>
        <row r="3340">
          <cell r="E3340" t="str">
            <v>Z25002500</v>
          </cell>
          <cell r="F3340"/>
          <cell r="G3340">
            <v>1000000000</v>
          </cell>
          <cell r="H3340" t="str">
            <v>Hendra</v>
          </cell>
          <cell r="I3340" t="str">
            <v>Tiya</v>
          </cell>
          <cell r="J3340" t="str">
            <v>New 15/04/20</v>
          </cell>
          <cell r="K3340" t="str">
            <v>KU</v>
          </cell>
          <cell r="L3340" t="str">
            <v>IKHL01</v>
          </cell>
          <cell r="M3340" t="str">
            <v>Ikhlas Tani, UD</v>
          </cell>
          <cell r="N3340" t="str">
            <v>Ahmad Mulahela</v>
          </cell>
          <cell r="O3340" t="str">
            <v xml:space="preserve">Jl. H. L. Anggarat BA Dsn Lingk Pohnada RT.012/RW.003 Gerung Utara Gerung </v>
          </cell>
          <cell r="P3340" t="str">
            <v>Lombok Barat</v>
          </cell>
          <cell r="Q3340" t="str">
            <v xml:space="preserve">Jl. H. L. Anggarat BA Dsn Lingk Pohnada RT.012/RW.003 Gerung Utara Gerung </v>
          </cell>
          <cell r="R3340" t="str">
            <v>Lombok Barat</v>
          </cell>
          <cell r="S3340" t="str">
            <v>E Luar Pulau2</v>
          </cell>
          <cell r="T3340" t="str">
            <v>Muhlisin</v>
          </cell>
          <cell r="U3340">
            <v>15</v>
          </cell>
        </row>
        <row r="3341">
          <cell r="E3341" t="str">
            <v>Z25002502</v>
          </cell>
          <cell r="F3341"/>
          <cell r="G3341">
            <v>1000000000</v>
          </cell>
          <cell r="H3341" t="str">
            <v>Hendra</v>
          </cell>
          <cell r="I3341" t="str">
            <v>Tiya</v>
          </cell>
          <cell r="J3341" t="str">
            <v>New 15/04/20</v>
          </cell>
          <cell r="K3341" t="str">
            <v>KU</v>
          </cell>
          <cell r="L3341" t="str">
            <v>IKHL01</v>
          </cell>
          <cell r="M3341" t="str">
            <v>Ikhlas Tani, UD</v>
          </cell>
          <cell r="N3341" t="str">
            <v>Ahmad Mulahela</v>
          </cell>
          <cell r="O3341" t="str">
            <v xml:space="preserve">Jl. H. L. Anggarat BA Dsn Lingk Pohnada RT.012/RW.003 Gerung Utara Gerung </v>
          </cell>
          <cell r="P3341" t="str">
            <v>Lombok Barat</v>
          </cell>
          <cell r="Q3341" t="str">
            <v xml:space="preserve">Jl. H. L. Anggarat BA Dsn Lingk Pohnada RT.012/RW.003 Gerung Utara Gerung </v>
          </cell>
          <cell r="R3341" t="str">
            <v>Lombok Barat</v>
          </cell>
          <cell r="S3341" t="str">
            <v>E Luar Pulau2</v>
          </cell>
          <cell r="T3341" t="str">
            <v>Muhlisin</v>
          </cell>
          <cell r="U3341">
            <v>15</v>
          </cell>
        </row>
        <row r="3342">
          <cell r="E3342" t="str">
            <v>Z25002582</v>
          </cell>
          <cell r="F3342"/>
          <cell r="G3342">
            <v>1000000000</v>
          </cell>
          <cell r="H3342" t="str">
            <v>Hendra</v>
          </cell>
          <cell r="I3342" t="str">
            <v>Tiya</v>
          </cell>
          <cell r="J3342" t="str">
            <v>New 15/04/20</v>
          </cell>
          <cell r="K3342" t="str">
            <v>KU</v>
          </cell>
          <cell r="L3342" t="str">
            <v>IKHL01</v>
          </cell>
          <cell r="M3342" t="str">
            <v>Ikhlas Tani, UD</v>
          </cell>
          <cell r="N3342" t="str">
            <v>Ahmad Mulahela</v>
          </cell>
          <cell r="O3342" t="str">
            <v xml:space="preserve">Jl. H. L. Anggarat BA Dsn Lingk Pohnada RT.012/RW.003 Gerung Utara Gerung </v>
          </cell>
          <cell r="P3342" t="str">
            <v>Lombok Barat</v>
          </cell>
          <cell r="Q3342" t="str">
            <v xml:space="preserve">Jl. H. L. Anggarat BA Dsn Lingk Pohnada RT.012/RW.003 Gerung Utara Gerung </v>
          </cell>
          <cell r="R3342" t="str">
            <v>Lombok Barat</v>
          </cell>
          <cell r="S3342" t="str">
            <v>E Luar Pulau2</v>
          </cell>
          <cell r="T3342" t="str">
            <v>Muhlisin</v>
          </cell>
          <cell r="U3342">
            <v>60</v>
          </cell>
        </row>
        <row r="3343">
          <cell r="E3343" t="str">
            <v>Z25002721</v>
          </cell>
          <cell r="F3343"/>
          <cell r="G3343">
            <v>1000000000</v>
          </cell>
          <cell r="H3343" t="str">
            <v>Hendra</v>
          </cell>
          <cell r="I3343" t="str">
            <v>Tiya</v>
          </cell>
          <cell r="J3343" t="str">
            <v>New 15/04/20</v>
          </cell>
          <cell r="K3343" t="str">
            <v>KU</v>
          </cell>
          <cell r="L3343" t="str">
            <v>IKHL01</v>
          </cell>
          <cell r="M3343" t="str">
            <v>Ikhlas Tani, UD</v>
          </cell>
          <cell r="N3343" t="str">
            <v>Ahmad Mulahela</v>
          </cell>
          <cell r="O3343" t="str">
            <v xml:space="preserve">Jl. H. L. Anggarat BA Dsn Lingk Pohnada RT.012/RW.003 Gerung Utara Gerung </v>
          </cell>
          <cell r="P3343" t="str">
            <v>Lombok Barat</v>
          </cell>
          <cell r="Q3343" t="str">
            <v xml:space="preserve">Jl. H. L. Anggarat BA Dsn Lingk Pohnada RT.012/RW.003 Gerung Utara Gerung </v>
          </cell>
          <cell r="R3343" t="str">
            <v>Lombok Barat</v>
          </cell>
          <cell r="S3343" t="str">
            <v>E Luar Pulau2</v>
          </cell>
          <cell r="T3343" t="str">
            <v>Muhlisin</v>
          </cell>
          <cell r="U3343">
            <v>60</v>
          </cell>
        </row>
        <row r="3344">
          <cell r="E3344" t="str">
            <v>Z25002728</v>
          </cell>
          <cell r="F3344"/>
          <cell r="G3344">
            <v>1000000000</v>
          </cell>
          <cell r="H3344" t="str">
            <v>Hendra</v>
          </cell>
          <cell r="I3344" t="str">
            <v>Tiya</v>
          </cell>
          <cell r="J3344" t="str">
            <v>New 15/04/20</v>
          </cell>
          <cell r="K3344" t="str">
            <v>KU</v>
          </cell>
          <cell r="L3344" t="str">
            <v>IKHL01</v>
          </cell>
          <cell r="M3344" t="str">
            <v>Ikhlas Tani, UD</v>
          </cell>
          <cell r="N3344" t="str">
            <v>Ahmad Mulahela</v>
          </cell>
          <cell r="O3344" t="str">
            <v xml:space="preserve">Jl. H. L. Anggarat BA Dsn Lingk Pohnada RT.012/RW.003 Gerung Utara Gerung </v>
          </cell>
          <cell r="P3344" t="str">
            <v>Lombok Barat</v>
          </cell>
          <cell r="Q3344" t="str">
            <v xml:space="preserve">Jl. H. L. Anggarat BA Dsn Lingk Pohnada RT.012/RW.003 Gerung Utara Gerung </v>
          </cell>
          <cell r="R3344" t="str">
            <v>Lombok Barat</v>
          </cell>
          <cell r="S3344" t="str">
            <v>E Luar Pulau2</v>
          </cell>
          <cell r="T3344" t="str">
            <v>Muhlisin</v>
          </cell>
          <cell r="U3344">
            <v>15</v>
          </cell>
        </row>
        <row r="3345">
          <cell r="E3345" t="str">
            <v>Z250141</v>
          </cell>
          <cell r="F3345"/>
          <cell r="G3345">
            <v>1000000000</v>
          </cell>
          <cell r="H3345" t="str">
            <v>Hendra</v>
          </cell>
          <cell r="I3345" t="str">
            <v>Tiya</v>
          </cell>
          <cell r="J3345" t="str">
            <v>New 15/04/20</v>
          </cell>
          <cell r="K3345" t="str">
            <v>KU</v>
          </cell>
          <cell r="L3345" t="str">
            <v>IKHL01</v>
          </cell>
          <cell r="M3345" t="str">
            <v>Ikhlas Tani, UD</v>
          </cell>
          <cell r="N3345" t="str">
            <v>Ahmad Mulahela</v>
          </cell>
          <cell r="O3345" t="str">
            <v xml:space="preserve">Jl. H. L. Anggarat BA Dsn Lingk Pohnada RT.012/RW.003 Gerung Utara Gerung </v>
          </cell>
          <cell r="P3345" t="str">
            <v>Lombok Barat</v>
          </cell>
          <cell r="Q3345" t="str">
            <v xml:space="preserve">Jl. H. L. Anggarat BA Dsn Lingk Pohnada RT.012/RW.003 Gerung Utara Gerung </v>
          </cell>
          <cell r="R3345" t="str">
            <v>Lombok Barat</v>
          </cell>
          <cell r="S3345" t="str">
            <v>E Luar Pulau2</v>
          </cell>
          <cell r="T3345" t="str">
            <v>Muhlisin</v>
          </cell>
          <cell r="U3345">
            <v>15</v>
          </cell>
        </row>
        <row r="3346">
          <cell r="E3346" t="str">
            <v>Z25002835</v>
          </cell>
          <cell r="F3346"/>
          <cell r="G3346">
            <v>1000000000</v>
          </cell>
          <cell r="H3346" t="str">
            <v>Hendra</v>
          </cell>
          <cell r="I3346" t="str">
            <v>Tiya</v>
          </cell>
          <cell r="J3346" t="str">
            <v>New 15/04/20</v>
          </cell>
          <cell r="K3346" t="str">
            <v>KU</v>
          </cell>
          <cell r="L3346" t="str">
            <v>IKHL01</v>
          </cell>
          <cell r="M3346" t="str">
            <v>Ikhlas Tani, UD</v>
          </cell>
          <cell r="N3346" t="str">
            <v>Ahmad Mulahela</v>
          </cell>
          <cell r="O3346" t="str">
            <v xml:space="preserve">Jl. H. L. Anggarat BA Dsn Lingk Pohnada RT.012/RW.003 Gerung Utara Gerung </v>
          </cell>
          <cell r="P3346" t="str">
            <v>Lombok Barat</v>
          </cell>
          <cell r="Q3346" t="str">
            <v xml:space="preserve">Jl. H. L. Anggarat BA Dsn Lingk Pohnada RT.012/RW.003 Gerung Utara Gerung </v>
          </cell>
          <cell r="R3346" t="str">
            <v>Lombok Barat</v>
          </cell>
          <cell r="S3346" t="str">
            <v>E Luar Pulau2</v>
          </cell>
          <cell r="T3346" t="str">
            <v>Muhlisin</v>
          </cell>
          <cell r="U3346">
            <v>15</v>
          </cell>
        </row>
        <row r="3347">
          <cell r="E3347" t="str">
            <v>Z250046</v>
          </cell>
          <cell r="F3347"/>
          <cell r="G3347">
            <v>1000000000</v>
          </cell>
          <cell r="H3347" t="str">
            <v>Hendra</v>
          </cell>
          <cell r="I3347" t="str">
            <v>Tiya</v>
          </cell>
          <cell r="J3347" t="str">
            <v>New 15/04/20</v>
          </cell>
          <cell r="K3347" t="str">
            <v>KU</v>
          </cell>
          <cell r="L3347" t="str">
            <v>IKHL01</v>
          </cell>
          <cell r="M3347" t="str">
            <v>Ikhlas Tani, UD</v>
          </cell>
          <cell r="N3347" t="str">
            <v>Ahmad Mulahela</v>
          </cell>
          <cell r="O3347" t="str">
            <v xml:space="preserve">Jl. H. L. Anggarat BA Dsn Lingk Pohnada RT.012/RW.003 Gerung Utara Gerung </v>
          </cell>
          <cell r="P3347" t="str">
            <v>Lombok Barat</v>
          </cell>
          <cell r="Q3347" t="str">
            <v xml:space="preserve">Jl. H. L. Anggarat BA Dsn Lingk Pohnada RT.012/RW.003 Gerung Utara Gerung </v>
          </cell>
          <cell r="R3347" t="str">
            <v>Lombok Barat</v>
          </cell>
          <cell r="S3347" t="str">
            <v>E Luar Pulau2</v>
          </cell>
          <cell r="T3347" t="str">
            <v>Muhlisin</v>
          </cell>
          <cell r="U3347">
            <v>15</v>
          </cell>
        </row>
        <row r="3348">
          <cell r="E3348" t="str">
            <v>D25014546</v>
          </cell>
          <cell r="F3348"/>
          <cell r="G3348">
            <v>1000000000</v>
          </cell>
          <cell r="H3348" t="str">
            <v>Hendra</v>
          </cell>
          <cell r="I3348" t="str">
            <v>Tiya</v>
          </cell>
          <cell r="J3348"/>
          <cell r="K3348" t="str">
            <v>KU</v>
          </cell>
          <cell r="L3348" t="str">
            <v>ILHA01</v>
          </cell>
          <cell r="M3348" t="str">
            <v>Ilham Tani/Ilham</v>
          </cell>
          <cell r="N3348" t="str">
            <v>Ilham Tani Mandiri, PT</v>
          </cell>
          <cell r="O3348" t="str">
            <v>JL. Mandalika Lingkungan Tebero, Kel. Leneng Kec. Praya</v>
          </cell>
          <cell r="P3348" t="str">
            <v>Lombok Tengah - NTB</v>
          </cell>
          <cell r="Q3348" t="str">
            <v>JL. Mandalika Lingkungan Tebero, Kel. Leneng Kec. Praya</v>
          </cell>
          <cell r="R3348" t="str">
            <v>Lombok Tengah - NTB</v>
          </cell>
          <cell r="S3348" t="str">
            <v>E Luar Pulau2</v>
          </cell>
          <cell r="T3348" t="str">
            <v>Muhlisin</v>
          </cell>
          <cell r="U3348">
            <v>60</v>
          </cell>
        </row>
        <row r="3349">
          <cell r="E3349" t="str">
            <v>B25010002</v>
          </cell>
          <cell r="F3349"/>
          <cell r="G3349">
            <v>100000000</v>
          </cell>
          <cell r="H3349" t="str">
            <v>Hendra</v>
          </cell>
          <cell r="I3349" t="str">
            <v>Tiya</v>
          </cell>
          <cell r="J3349" t="str">
            <v>New 30/04/20</v>
          </cell>
          <cell r="K3349" t="str">
            <v>KU</v>
          </cell>
          <cell r="L3349" t="str">
            <v>ILHA06</v>
          </cell>
          <cell r="M3349" t="str">
            <v>Ilham, UD/Ridha</v>
          </cell>
          <cell r="N3349" t="str">
            <v>Muhammad Ridha Mulyadi</v>
          </cell>
          <cell r="O3349" t="str">
            <v>Perum Muhajirin Asri Blok E No.7 RT.00/RW.00, Kel. Terong Tawah, Kec. Labuapi</v>
          </cell>
          <cell r="P3349" t="str">
            <v>Lombok Barat</v>
          </cell>
          <cell r="Q3349" t="str">
            <v>Komplek Pertokoan Pasar Kediri, (Selatan Bank Mandiri) Kec. Kediri</v>
          </cell>
          <cell r="R3349" t="str">
            <v>Lombok Barat</v>
          </cell>
          <cell r="S3349" t="str">
            <v>E Luar Pulau2</v>
          </cell>
          <cell r="T3349" t="str">
            <v>Muhlisin</v>
          </cell>
          <cell r="U3349">
            <v>45</v>
          </cell>
        </row>
        <row r="3350">
          <cell r="E3350" t="str">
            <v>B25010116</v>
          </cell>
          <cell r="F3350"/>
          <cell r="G3350">
            <v>100000000</v>
          </cell>
          <cell r="H3350" t="str">
            <v>Hendra</v>
          </cell>
          <cell r="I3350" t="str">
            <v>Tiya</v>
          </cell>
          <cell r="J3350" t="str">
            <v>New 30/04/20</v>
          </cell>
          <cell r="K3350" t="str">
            <v>KU</v>
          </cell>
          <cell r="L3350" t="str">
            <v>ILHA06</v>
          </cell>
          <cell r="M3350" t="str">
            <v>Ilham, UD/Ridha</v>
          </cell>
          <cell r="N3350" t="str">
            <v>Muhammad Ridha Mulyadi</v>
          </cell>
          <cell r="O3350" t="str">
            <v>Perum Muhajirin Asri Blok E No.7 RT.00/RW.00, Kel. Terong Tawah, Kec. Labuapi</v>
          </cell>
          <cell r="P3350" t="str">
            <v>Lombok Barat</v>
          </cell>
          <cell r="Q3350" t="str">
            <v>Komplek Pertokoan Pasar Kediri, (Selatan Bank Mandiri) Kec. Kediri</v>
          </cell>
          <cell r="R3350" t="str">
            <v>Lombok Barat</v>
          </cell>
          <cell r="S3350" t="str">
            <v>E Luar Pulau2</v>
          </cell>
          <cell r="T3350" t="str">
            <v>Muhlisin</v>
          </cell>
          <cell r="U3350">
            <v>45</v>
          </cell>
        </row>
        <row r="3351">
          <cell r="E3351" t="str">
            <v>B25010341</v>
          </cell>
          <cell r="F3351"/>
          <cell r="G3351">
            <v>100000000</v>
          </cell>
          <cell r="H3351" t="str">
            <v>Hendra</v>
          </cell>
          <cell r="I3351" t="str">
            <v>Tiya</v>
          </cell>
          <cell r="J3351" t="str">
            <v>New 30/04/20</v>
          </cell>
          <cell r="K3351" t="str">
            <v>KU</v>
          </cell>
          <cell r="L3351" t="str">
            <v>ILHA06</v>
          </cell>
          <cell r="M3351" t="str">
            <v>Ilham, UD/Ridha</v>
          </cell>
          <cell r="N3351" t="str">
            <v>Muhammad Ridha Mulyadi</v>
          </cell>
          <cell r="O3351" t="str">
            <v>Perum Muhajirin Asri Blok E No.7 RT.00/RW.00, Kel. Terong Tawah, Kec. Labuapi</v>
          </cell>
          <cell r="P3351" t="str">
            <v>Lombok Barat</v>
          </cell>
          <cell r="Q3351" t="str">
            <v>Komplek Pertokoan Pasar Kediri, (Selatan Bank Mandiri) Kec. Kediri</v>
          </cell>
          <cell r="R3351" t="str">
            <v>Lombok Barat</v>
          </cell>
          <cell r="S3351" t="str">
            <v>E Luar Pulau2</v>
          </cell>
          <cell r="T3351" t="str">
            <v>Muhlisin</v>
          </cell>
          <cell r="U3351">
            <v>45</v>
          </cell>
        </row>
        <row r="3352">
          <cell r="E3352" t="str">
            <v>B25010342</v>
          </cell>
          <cell r="F3352"/>
          <cell r="G3352">
            <v>100000000</v>
          </cell>
          <cell r="H3352" t="str">
            <v>Hendra</v>
          </cell>
          <cell r="I3352" t="str">
            <v>Tiya</v>
          </cell>
          <cell r="J3352" t="str">
            <v>New 30/04/20</v>
          </cell>
          <cell r="K3352" t="str">
            <v>KU</v>
          </cell>
          <cell r="L3352" t="str">
            <v>ILHA06</v>
          </cell>
          <cell r="M3352" t="str">
            <v>Ilham, UD/Ridha</v>
          </cell>
          <cell r="N3352" t="str">
            <v>Muhammad Ridha Mulyadi</v>
          </cell>
          <cell r="O3352" t="str">
            <v>Perum Muhajirin Asri Blok E No.7 RT.00/RW.00, Kel. Terong Tawah, Kec. Labuapi</v>
          </cell>
          <cell r="P3352" t="str">
            <v>Lombok Barat</v>
          </cell>
          <cell r="Q3352" t="str">
            <v>Komplek Pertokoan Pasar Kediri, (Selatan Bank Mandiri) Kec. Kediri</v>
          </cell>
          <cell r="R3352" t="str">
            <v>Lombok Barat</v>
          </cell>
          <cell r="S3352" t="str">
            <v>E Luar Pulau2</v>
          </cell>
          <cell r="T3352" t="str">
            <v>Muhlisin</v>
          </cell>
          <cell r="U3352">
            <v>45</v>
          </cell>
        </row>
        <row r="3353">
          <cell r="E3353" t="str">
            <v>D25012485</v>
          </cell>
          <cell r="F3353"/>
          <cell r="G3353">
            <v>100000000</v>
          </cell>
          <cell r="H3353" t="str">
            <v>Hendra</v>
          </cell>
          <cell r="I3353" t="str">
            <v>Tiya</v>
          </cell>
          <cell r="J3353" t="str">
            <v>New 30/04/20</v>
          </cell>
          <cell r="K3353" t="str">
            <v>KU</v>
          </cell>
          <cell r="L3353" t="str">
            <v>ILHA06</v>
          </cell>
          <cell r="M3353" t="str">
            <v>Ilham, UD/Ridha</v>
          </cell>
          <cell r="N3353" t="str">
            <v>Muhammad Ridha Mulyadi</v>
          </cell>
          <cell r="O3353" t="str">
            <v>Perum Muhajirin Asri Blok E No.7 RT.00/RW.00, Kel. Terong Tawah, Kec. Labuapi</v>
          </cell>
          <cell r="P3353" t="str">
            <v>Lombok Barat</v>
          </cell>
          <cell r="Q3353" t="str">
            <v>Komplek Pertokoan Pasar Kediri, (Selatan Bank Mandiri) Kec. Kediri</v>
          </cell>
          <cell r="R3353" t="str">
            <v>Lombok Barat</v>
          </cell>
          <cell r="S3353" t="str">
            <v>E Luar Pulau2</v>
          </cell>
          <cell r="T3353" t="str">
            <v>Muhlisin</v>
          </cell>
          <cell r="U3353">
            <v>45</v>
          </cell>
        </row>
        <row r="3354">
          <cell r="E3354" t="str">
            <v>D25012526</v>
          </cell>
          <cell r="F3354"/>
          <cell r="G3354">
            <v>100000000</v>
          </cell>
          <cell r="H3354" t="str">
            <v>Hendra</v>
          </cell>
          <cell r="I3354" t="str">
            <v>Tiya</v>
          </cell>
          <cell r="J3354" t="str">
            <v>New 30/04/20</v>
          </cell>
          <cell r="K3354" t="str">
            <v>KU</v>
          </cell>
          <cell r="L3354" t="str">
            <v>ILHA06</v>
          </cell>
          <cell r="M3354" t="str">
            <v>Ilham, UD/Ridha</v>
          </cell>
          <cell r="N3354" t="str">
            <v>Muhammad Ridha Mulyadi</v>
          </cell>
          <cell r="O3354" t="str">
            <v>Perum Muhajirin Asri Blok E No.7 RT.00/RW.00, Kel. Terong Tawah, Kec. Labuapi</v>
          </cell>
          <cell r="P3354" t="str">
            <v>Lombok Barat</v>
          </cell>
          <cell r="Q3354" t="str">
            <v>Komplek Pertokoan Pasar Kediri, (Selatan Bank Mandiri) Kec. Kediri</v>
          </cell>
          <cell r="R3354" t="str">
            <v>Lombok Barat</v>
          </cell>
          <cell r="S3354" t="str">
            <v>E Luar Pulau2</v>
          </cell>
          <cell r="T3354" t="str">
            <v>Muhlisin</v>
          </cell>
          <cell r="U3354">
            <v>45</v>
          </cell>
        </row>
        <row r="3355">
          <cell r="E3355" t="str">
            <v>B25011203</v>
          </cell>
          <cell r="F3355"/>
          <cell r="G3355">
            <v>100000000</v>
          </cell>
          <cell r="H3355" t="str">
            <v>Hendra</v>
          </cell>
          <cell r="I3355" t="str">
            <v>Tiya</v>
          </cell>
          <cell r="J3355" t="str">
            <v>New 30/04/20</v>
          </cell>
          <cell r="K3355" t="str">
            <v>KU</v>
          </cell>
          <cell r="L3355" t="str">
            <v>ILHA06</v>
          </cell>
          <cell r="M3355" t="str">
            <v>Ilham, UD/Ridha</v>
          </cell>
          <cell r="N3355" t="str">
            <v>Muhammad Ridha Mulyadi</v>
          </cell>
          <cell r="O3355" t="str">
            <v>Perum Muhajirin Asri Blok E No.7 RT.00/RW.00, Kel. Terong Tawah, Kec. Labuapi</v>
          </cell>
          <cell r="P3355" t="str">
            <v>Lombok Barat</v>
          </cell>
          <cell r="Q3355" t="str">
            <v>Komplek Pertokoan Pasar Kediri, (Selatan Bank Mandiri) Kec. Kediri</v>
          </cell>
          <cell r="R3355" t="str">
            <v>Lombok Barat</v>
          </cell>
          <cell r="S3355" t="str">
            <v>E Luar Pulau2</v>
          </cell>
          <cell r="T3355" t="str">
            <v>Muhlisin</v>
          </cell>
          <cell r="U3355">
            <v>45</v>
          </cell>
        </row>
        <row r="3356">
          <cell r="E3356" t="str">
            <v>B25011670</v>
          </cell>
          <cell r="F3356"/>
          <cell r="G3356">
            <v>100000000</v>
          </cell>
          <cell r="H3356" t="str">
            <v>Hendra</v>
          </cell>
          <cell r="I3356" t="str">
            <v>Tiya</v>
          </cell>
          <cell r="J3356" t="str">
            <v>New 30/04/20</v>
          </cell>
          <cell r="K3356" t="str">
            <v>KU</v>
          </cell>
          <cell r="L3356" t="str">
            <v>ILHA06</v>
          </cell>
          <cell r="M3356" t="str">
            <v>Ilham, UD/Ridha</v>
          </cell>
          <cell r="N3356" t="str">
            <v>Muhammad Ridha Mulyadi</v>
          </cell>
          <cell r="O3356" t="str">
            <v>Perum Muhajirin Asri Blok E No.7 RT.00/RW.00, Kel. Terong Tawah, Kec. Labuapi</v>
          </cell>
          <cell r="P3356" t="str">
            <v>Lombok Barat</v>
          </cell>
          <cell r="Q3356" t="str">
            <v>Komplek Pertokoan Pasar Kediri, (Selatan Bank Mandiri) Kec. Kediri</v>
          </cell>
          <cell r="R3356" t="str">
            <v>Lombok Barat</v>
          </cell>
          <cell r="S3356" t="str">
            <v>E Luar Pulau2</v>
          </cell>
          <cell r="T3356" t="str">
            <v>Muhlisin</v>
          </cell>
          <cell r="U3356">
            <v>45</v>
          </cell>
        </row>
        <row r="3357">
          <cell r="E3357" t="str">
            <v>B25011724</v>
          </cell>
          <cell r="F3357"/>
          <cell r="G3357">
            <v>100000000</v>
          </cell>
          <cell r="H3357" t="str">
            <v>Hendra</v>
          </cell>
          <cell r="I3357" t="str">
            <v>Tiya</v>
          </cell>
          <cell r="J3357" t="str">
            <v>New 30/04/20</v>
          </cell>
          <cell r="K3357" t="str">
            <v>KU</v>
          </cell>
          <cell r="L3357" t="str">
            <v>ILHA06</v>
          </cell>
          <cell r="M3357" t="str">
            <v>Ilham, UD/Ridha</v>
          </cell>
          <cell r="N3357" t="str">
            <v>Muhammad Ridha Mulyadi</v>
          </cell>
          <cell r="O3357" t="str">
            <v>Perum Muhajirin Asri Blok E No.7 RT.00/RW.00, Kel. Terong Tawah, Kec. Labuapi</v>
          </cell>
          <cell r="P3357" t="str">
            <v>Lombok Barat</v>
          </cell>
          <cell r="Q3357" t="str">
            <v>Komplek Pertokoan Pasar Kediri, (Selatan Bank Mandiri) Kec. Kediri</v>
          </cell>
          <cell r="R3357" t="str">
            <v>Lombok Barat</v>
          </cell>
          <cell r="S3357" t="str">
            <v>E Luar Pulau2</v>
          </cell>
          <cell r="T3357" t="str">
            <v>Muhlisin</v>
          </cell>
          <cell r="U3357">
            <v>45</v>
          </cell>
        </row>
        <row r="3358">
          <cell r="E3358" t="str">
            <v>D25013935</v>
          </cell>
          <cell r="F3358"/>
          <cell r="G3358">
            <v>100000000</v>
          </cell>
          <cell r="H3358" t="str">
            <v>Hendra</v>
          </cell>
          <cell r="I3358" t="str">
            <v>Tiya</v>
          </cell>
          <cell r="J3358" t="str">
            <v>New 30/04/20</v>
          </cell>
          <cell r="K3358" t="str">
            <v>KU</v>
          </cell>
          <cell r="L3358" t="str">
            <v>ILHA06</v>
          </cell>
          <cell r="M3358" t="str">
            <v>Ilham, UD/Ridha</v>
          </cell>
          <cell r="N3358" t="str">
            <v>Muhammad Ridha Mulyadi</v>
          </cell>
          <cell r="O3358" t="str">
            <v>Perum Muhajirin Asri Blok E No.7 RT.00/RW.00, Kel. Terong Tawah, Kec. Labuapi</v>
          </cell>
          <cell r="P3358" t="str">
            <v>Lombok Barat</v>
          </cell>
          <cell r="Q3358" t="str">
            <v>Komplek Pertokoan Pasar Kediri, (Selatan Bank Mandiri) Kec. Kediri</v>
          </cell>
          <cell r="R3358" t="str">
            <v>Lombok Barat</v>
          </cell>
          <cell r="S3358" t="str">
            <v>E Luar Pulau2</v>
          </cell>
          <cell r="T3358" t="str">
            <v>Muhlisin</v>
          </cell>
          <cell r="U3358">
            <v>45</v>
          </cell>
        </row>
        <row r="3359">
          <cell r="E3359" t="str">
            <v>B25012271</v>
          </cell>
          <cell r="F3359"/>
          <cell r="G3359">
            <v>100000000</v>
          </cell>
          <cell r="H3359" t="str">
            <v>Hendra</v>
          </cell>
          <cell r="I3359" t="str">
            <v>Tiya</v>
          </cell>
          <cell r="J3359" t="str">
            <v>New 30/04/20</v>
          </cell>
          <cell r="K3359" t="str">
            <v>KU</v>
          </cell>
          <cell r="L3359" t="str">
            <v>ILHA06</v>
          </cell>
          <cell r="M3359" t="str">
            <v>Ilham, UD/Ridha</v>
          </cell>
          <cell r="N3359" t="str">
            <v>Muhammad Ridha Mulyadi</v>
          </cell>
          <cell r="O3359" t="str">
            <v>Perum Muhajirin Asri Blok E No.7 RT.00/RW.00, Kel. Terong Tawah, Kec. Labuapi</v>
          </cell>
          <cell r="P3359" t="str">
            <v>Lombok Barat</v>
          </cell>
          <cell r="Q3359" t="str">
            <v>Komplek Pertokoan Pasar Kediri, (Selatan Bank Mandiri) Kec. Kediri</v>
          </cell>
          <cell r="R3359" t="str">
            <v>Lombok Barat</v>
          </cell>
          <cell r="S3359" t="str">
            <v>E Luar Pulau2</v>
          </cell>
          <cell r="T3359" t="str">
            <v>Muhlisin</v>
          </cell>
          <cell r="U3359">
            <v>45</v>
          </cell>
        </row>
        <row r="3360">
          <cell r="E3360" t="str">
            <v>B25012273</v>
          </cell>
          <cell r="F3360"/>
          <cell r="G3360">
            <v>100000000</v>
          </cell>
          <cell r="H3360" t="str">
            <v>Hendra</v>
          </cell>
          <cell r="I3360" t="str">
            <v>Tiya</v>
          </cell>
          <cell r="J3360" t="str">
            <v>New 30/04/20</v>
          </cell>
          <cell r="K3360" t="str">
            <v>KU</v>
          </cell>
          <cell r="L3360" t="str">
            <v>ILHA06</v>
          </cell>
          <cell r="M3360" t="str">
            <v>Ilham, UD/Ridha</v>
          </cell>
          <cell r="N3360" t="str">
            <v>Muhammad Ridha Mulyadi</v>
          </cell>
          <cell r="O3360" t="str">
            <v>Perum Muhajirin Asri Blok E No.7 RT.00/RW.00, Kel. Terong Tawah, Kec. Labuapi</v>
          </cell>
          <cell r="P3360" t="str">
            <v>Lombok Barat</v>
          </cell>
          <cell r="Q3360" t="str">
            <v>Komplek Pertokoan Pasar Kediri, (Selatan Bank Mandiri) Kec. Kediri</v>
          </cell>
          <cell r="R3360" t="str">
            <v>Lombok Barat</v>
          </cell>
          <cell r="S3360" t="str">
            <v>E Luar Pulau2</v>
          </cell>
          <cell r="T3360" t="str">
            <v>Muhlisin</v>
          </cell>
          <cell r="U3360">
            <v>45</v>
          </cell>
        </row>
        <row r="3361">
          <cell r="E3361" t="str">
            <v>D25015179</v>
          </cell>
          <cell r="F3361"/>
          <cell r="G3361">
            <v>100000000</v>
          </cell>
          <cell r="H3361" t="str">
            <v>Hendra</v>
          </cell>
          <cell r="I3361" t="str">
            <v>Tiya</v>
          </cell>
          <cell r="J3361" t="str">
            <v>New 30/04/20</v>
          </cell>
          <cell r="K3361" t="str">
            <v>KU</v>
          </cell>
          <cell r="L3361" t="str">
            <v>ILHA06</v>
          </cell>
          <cell r="M3361" t="str">
            <v>Ilham, UD/Ridha</v>
          </cell>
          <cell r="N3361" t="str">
            <v>Muhammad Ridha Mulyadi</v>
          </cell>
          <cell r="O3361" t="str">
            <v>Perum Muhajirin Asri Blok E No.7 RT.00/RW.00, Kel. Terong Tawah, Kec. Labuapi</v>
          </cell>
          <cell r="P3361" t="str">
            <v>Lombok Barat</v>
          </cell>
          <cell r="Q3361" t="str">
            <v>Komplek Pertokoan Pasar Kediri, (Selatan Bank Mandiri) Kec. Kediri</v>
          </cell>
          <cell r="R3361" t="str">
            <v>Lombok Barat</v>
          </cell>
          <cell r="S3361" t="str">
            <v>E Luar Pulau2</v>
          </cell>
          <cell r="T3361" t="str">
            <v>Muhlisin</v>
          </cell>
          <cell r="U3361">
            <v>45</v>
          </cell>
        </row>
        <row r="3362">
          <cell r="E3362" t="str">
            <v>D25015180</v>
          </cell>
          <cell r="F3362"/>
          <cell r="G3362">
            <v>100000000</v>
          </cell>
          <cell r="H3362" t="str">
            <v>Hendra</v>
          </cell>
          <cell r="I3362" t="str">
            <v>Tiya</v>
          </cell>
          <cell r="J3362" t="str">
            <v>New 30/04/20</v>
          </cell>
          <cell r="K3362" t="str">
            <v>KU</v>
          </cell>
          <cell r="L3362" t="str">
            <v>ILHA06</v>
          </cell>
          <cell r="M3362" t="str">
            <v>Ilham, UD/Ridha</v>
          </cell>
          <cell r="N3362" t="str">
            <v>Muhammad Ridha Mulyadi</v>
          </cell>
          <cell r="O3362" t="str">
            <v>Perum Muhajirin Asri Blok E No.7 RT.00/RW.00, Kel. Terong Tawah, Kec. Labuapi</v>
          </cell>
          <cell r="P3362" t="str">
            <v>Lombok Barat</v>
          </cell>
          <cell r="Q3362" t="str">
            <v>Komplek Pertokoan Pasar Kediri, (Selatan Bank Mandiri) Kec. Kediri</v>
          </cell>
          <cell r="R3362" t="str">
            <v>Lombok Barat</v>
          </cell>
          <cell r="S3362" t="str">
            <v>E Luar Pulau2</v>
          </cell>
          <cell r="T3362" t="str">
            <v>Muhlisin</v>
          </cell>
          <cell r="U3362">
            <v>15</v>
          </cell>
        </row>
        <row r="3363">
          <cell r="E3363" t="str">
            <v>D25015373</v>
          </cell>
          <cell r="F3363"/>
          <cell r="G3363">
            <v>100000000</v>
          </cell>
          <cell r="H3363" t="str">
            <v>Hendra</v>
          </cell>
          <cell r="I3363" t="str">
            <v>Tiya</v>
          </cell>
          <cell r="J3363" t="str">
            <v>New 30/04/20</v>
          </cell>
          <cell r="K3363" t="str">
            <v>KU</v>
          </cell>
          <cell r="L3363" t="str">
            <v>ILHA06</v>
          </cell>
          <cell r="M3363" t="str">
            <v>Ilham, UD/Ridha</v>
          </cell>
          <cell r="N3363" t="str">
            <v>Muhammad Ridha Mulyadi</v>
          </cell>
          <cell r="O3363" t="str">
            <v>Perum Muhajirin Asri Blok E No.7 RT.00/RW.00, Kel. Terong Tawah, Kec. Labuapi</v>
          </cell>
          <cell r="P3363" t="str">
            <v>Lombok Barat</v>
          </cell>
          <cell r="Q3363" t="str">
            <v>Komplek Pertokoan Pasar Kediri, (Selatan Bank Mandiri) Kec. Kediri</v>
          </cell>
          <cell r="R3363" t="str">
            <v>Lombok Barat</v>
          </cell>
          <cell r="S3363" t="str">
            <v>E Luar Pulau2</v>
          </cell>
          <cell r="T3363" t="str">
            <v>Muhlisin</v>
          </cell>
          <cell r="U3363">
            <v>45</v>
          </cell>
        </row>
        <row r="3364">
          <cell r="E3364" t="str">
            <v>B25013605</v>
          </cell>
          <cell r="F3364"/>
          <cell r="G3364">
            <v>100000000</v>
          </cell>
          <cell r="H3364" t="str">
            <v>Hendra</v>
          </cell>
          <cell r="I3364" t="str">
            <v>Tiya</v>
          </cell>
          <cell r="J3364" t="str">
            <v>New 30/04/20</v>
          </cell>
          <cell r="K3364" t="str">
            <v>KU</v>
          </cell>
          <cell r="L3364" t="str">
            <v>ILHA06</v>
          </cell>
          <cell r="M3364" t="str">
            <v>Ilham, UD/Ridha</v>
          </cell>
          <cell r="N3364" t="str">
            <v>Muhammad Ridha Mulyadi</v>
          </cell>
          <cell r="O3364" t="str">
            <v>Perum Muhajirin Asri Blok E No.7 RT.00/RW.00, Kel. Terong Tawah, Kec. Labuapi</v>
          </cell>
          <cell r="P3364" t="str">
            <v>Lombok Barat</v>
          </cell>
          <cell r="Q3364" t="str">
            <v>Komplek Pertokoan Pasar Kediri, (Selatan Bank Mandiri) Kec. Kediri</v>
          </cell>
          <cell r="R3364" t="str">
            <v>Lombok Barat</v>
          </cell>
          <cell r="S3364" t="str">
            <v>E Luar Pulau2</v>
          </cell>
          <cell r="T3364" t="str">
            <v>Muhlisin</v>
          </cell>
          <cell r="U3364">
            <v>45</v>
          </cell>
        </row>
        <row r="3365">
          <cell r="E3365" t="str">
            <v>D25015992</v>
          </cell>
          <cell r="F3365"/>
          <cell r="G3365">
            <v>100000000</v>
          </cell>
          <cell r="H3365" t="str">
            <v>Hendra</v>
          </cell>
          <cell r="I3365" t="str">
            <v>Tiya</v>
          </cell>
          <cell r="J3365" t="str">
            <v>New 30/04/20</v>
          </cell>
          <cell r="K3365" t="str">
            <v>KU</v>
          </cell>
          <cell r="L3365" t="str">
            <v>ILHA06</v>
          </cell>
          <cell r="M3365" t="str">
            <v>Ilham, UD/Ridha</v>
          </cell>
          <cell r="N3365" t="str">
            <v>Muhammad Ridha Mulyadi</v>
          </cell>
          <cell r="O3365" t="str">
            <v>Perum Muhajirin Asri Blok E No.7 RT.00/RW.00, Kel. Terong Tawah, Kec. Labuapi</v>
          </cell>
          <cell r="P3365" t="str">
            <v>Lombok Barat</v>
          </cell>
          <cell r="Q3365" t="str">
            <v>Komplek Pertokoan Pasar Kediri, (Selatan Bank Mandiri) Kec. Kediri</v>
          </cell>
          <cell r="R3365" t="str">
            <v>Lombok Barat</v>
          </cell>
          <cell r="S3365" t="str">
            <v>E Luar Pulau2</v>
          </cell>
          <cell r="T3365" t="str">
            <v>Muhlisin</v>
          </cell>
          <cell r="U3365">
            <v>45</v>
          </cell>
        </row>
        <row r="3366">
          <cell r="E3366" t="str">
            <v>C25000307</v>
          </cell>
          <cell r="F3366"/>
          <cell r="G3366">
            <v>1000</v>
          </cell>
          <cell r="H3366" t="str">
            <v>Customer Service</v>
          </cell>
          <cell r="I3366" t="str">
            <v>Exclusive</v>
          </cell>
          <cell r="J3366" t="str">
            <v>New 28/04/25</v>
          </cell>
          <cell r="K3366" t="str">
            <v>CBD</v>
          </cell>
          <cell r="L3366" t="str">
            <v>IMAM31</v>
          </cell>
          <cell r="M3366" t="str">
            <v>Imam Turmudi</v>
          </cell>
          <cell r="N3366" t="str">
            <v>Imam Turmudi</v>
          </cell>
          <cell r="O3366" t="str">
            <v>Jalan Semeru No. 64 RT.001/RW.005 , Kel. Ajung Kec. Ajung</v>
          </cell>
          <cell r="P3366" t="str">
            <v>Jember</v>
          </cell>
          <cell r="Q3366" t="str">
            <v>Jalan Semeru No. 64 RT.001/RW.005 , Kel. Ajung Kec. Ajung</v>
          </cell>
          <cell r="R3366" t="str">
            <v>Jember</v>
          </cell>
          <cell r="S3366" t="str">
            <v>L Kota2</v>
          </cell>
          <cell r="T3366" t="str">
            <v>Wira</v>
          </cell>
          <cell r="U3366">
            <v>0</v>
          </cell>
        </row>
        <row r="3367">
          <cell r="E3367" t="str">
            <v>D24015365</v>
          </cell>
          <cell r="F3367"/>
          <cell r="G3367">
            <v>50000000</v>
          </cell>
          <cell r="H3367" t="str">
            <v>Yuyun</v>
          </cell>
          <cell r="I3367" t="str">
            <v>Syahra</v>
          </cell>
          <cell r="J3367"/>
          <cell r="K3367" t="str">
            <v>KU</v>
          </cell>
          <cell r="L3367" t="str">
            <v>IMAM01</v>
          </cell>
          <cell r="M3367" t="str">
            <v>Imam/Tanindo</v>
          </cell>
          <cell r="N3367" t="str">
            <v>Imam Setiadi</v>
          </cell>
          <cell r="O3367" t="str">
            <v>Perum. Muktisari C-8, RT.001/RW.005 Tegal Besar, Kaliwates</v>
          </cell>
          <cell r="P3367" t="str">
            <v>Jember</v>
          </cell>
          <cell r="Q3367" t="str">
            <v>Jember</v>
          </cell>
          <cell r="R3367" t="str">
            <v>Jember</v>
          </cell>
          <cell r="S3367" t="str">
            <v>B Agronomis</v>
          </cell>
          <cell r="T3367" t="str">
            <v>Wira</v>
          </cell>
          <cell r="U3367">
            <v>321</v>
          </cell>
        </row>
        <row r="3368">
          <cell r="E3368" t="str">
            <v>D24015541</v>
          </cell>
          <cell r="F3368"/>
          <cell r="G3368">
            <v>50000000</v>
          </cell>
          <cell r="H3368" t="str">
            <v>Yuyun</v>
          </cell>
          <cell r="I3368" t="str">
            <v>Syahra</v>
          </cell>
          <cell r="J3368"/>
          <cell r="K3368" t="str">
            <v>KU</v>
          </cell>
          <cell r="L3368" t="str">
            <v>IMAM01</v>
          </cell>
          <cell r="M3368" t="str">
            <v>Imam/Tanindo</v>
          </cell>
          <cell r="N3368" t="str">
            <v>Imam Setiadi</v>
          </cell>
          <cell r="O3368" t="str">
            <v>Perum. Muktisari C-8, RT.001/RW.005 Tegal Besar, Kaliwates</v>
          </cell>
          <cell r="P3368" t="str">
            <v>Jember</v>
          </cell>
          <cell r="Q3368" t="str">
            <v>Jember</v>
          </cell>
          <cell r="R3368" t="str">
            <v>Jember</v>
          </cell>
          <cell r="S3368" t="str">
            <v>B Agronomis</v>
          </cell>
          <cell r="T3368" t="str">
            <v>Wira</v>
          </cell>
          <cell r="U3368">
            <v>318</v>
          </cell>
        </row>
        <row r="3369">
          <cell r="E3369" t="str">
            <v>C25000192</v>
          </cell>
          <cell r="F3369"/>
          <cell r="G3369">
            <v>50000000</v>
          </cell>
          <cell r="H3369" t="str">
            <v>Yuyun</v>
          </cell>
          <cell r="I3369" t="str">
            <v>Syahra</v>
          </cell>
          <cell r="J3369"/>
          <cell r="K3369" t="str">
            <v>KU</v>
          </cell>
          <cell r="L3369" t="str">
            <v>IMAM01</v>
          </cell>
          <cell r="M3369" t="str">
            <v>Imam/Tanindo</v>
          </cell>
          <cell r="N3369" t="str">
            <v>Imam Setiadi</v>
          </cell>
          <cell r="O3369" t="str">
            <v>Perum. Muktisari C-8, RT.001/RW.005 Tegal Besar, Kaliwates</v>
          </cell>
          <cell r="P3369" t="str">
            <v>Jember</v>
          </cell>
          <cell r="Q3369" t="str">
            <v>Jember</v>
          </cell>
          <cell r="R3369" t="str">
            <v>Jember</v>
          </cell>
          <cell r="S3369" t="str">
            <v>B Agronomis</v>
          </cell>
          <cell r="T3369" t="str">
            <v>Wira</v>
          </cell>
          <cell r="U3369">
            <v>202</v>
          </cell>
        </row>
        <row r="3370">
          <cell r="E3370" t="str">
            <v>C25000195</v>
          </cell>
          <cell r="F3370"/>
          <cell r="G3370">
            <v>50000000</v>
          </cell>
          <cell r="H3370" t="str">
            <v>Yuyun</v>
          </cell>
          <cell r="I3370" t="str">
            <v>Syahra</v>
          </cell>
          <cell r="J3370"/>
          <cell r="K3370" t="str">
            <v>KU</v>
          </cell>
          <cell r="L3370" t="str">
            <v>IMAM01</v>
          </cell>
          <cell r="M3370" t="str">
            <v>Imam/Tanindo</v>
          </cell>
          <cell r="N3370" t="str">
            <v>Imam Setiadi</v>
          </cell>
          <cell r="O3370" t="str">
            <v>Perum. Muktisari C-8, RT.001/RW.005 Tegal Besar, Kaliwates</v>
          </cell>
          <cell r="P3370" t="str">
            <v>Jember</v>
          </cell>
          <cell r="Q3370" t="str">
            <v>Jember</v>
          </cell>
          <cell r="R3370" t="str">
            <v>Jember</v>
          </cell>
          <cell r="S3370" t="str">
            <v>B Agronomis</v>
          </cell>
          <cell r="T3370" t="str">
            <v>Wira</v>
          </cell>
          <cell r="U3370">
            <v>202</v>
          </cell>
        </row>
        <row r="3371">
          <cell r="E3371" t="str">
            <v>C25000196</v>
          </cell>
          <cell r="F3371"/>
          <cell r="G3371">
            <v>50000000</v>
          </cell>
          <cell r="H3371" t="str">
            <v>Yuyun</v>
          </cell>
          <cell r="I3371" t="str">
            <v>Syahra</v>
          </cell>
          <cell r="J3371"/>
          <cell r="K3371" t="str">
            <v>KU</v>
          </cell>
          <cell r="L3371" t="str">
            <v>IMAM01</v>
          </cell>
          <cell r="M3371" t="str">
            <v>Imam/Tanindo</v>
          </cell>
          <cell r="N3371" t="str">
            <v>Imam Setiadi</v>
          </cell>
          <cell r="O3371" t="str">
            <v>Perum. Muktisari C-8, RT.001/RW.005 Tegal Besar, Kaliwates</v>
          </cell>
          <cell r="P3371" t="str">
            <v>Jember</v>
          </cell>
          <cell r="Q3371" t="str">
            <v>Jember</v>
          </cell>
          <cell r="R3371" t="str">
            <v>Jember</v>
          </cell>
          <cell r="S3371" t="str">
            <v>B Agronomis</v>
          </cell>
          <cell r="T3371" t="str">
            <v>Wira</v>
          </cell>
          <cell r="U3371">
            <v>202</v>
          </cell>
        </row>
        <row r="3372">
          <cell r="E3372" t="str">
            <v>C25000197</v>
          </cell>
          <cell r="F3372"/>
          <cell r="G3372">
            <v>50000000</v>
          </cell>
          <cell r="H3372" t="str">
            <v>Yuyun</v>
          </cell>
          <cell r="I3372" t="str">
            <v>Syahra</v>
          </cell>
          <cell r="J3372"/>
          <cell r="K3372" t="str">
            <v>KU</v>
          </cell>
          <cell r="L3372" t="str">
            <v>IMAM01</v>
          </cell>
          <cell r="M3372" t="str">
            <v>Imam/Tanindo</v>
          </cell>
          <cell r="N3372" t="str">
            <v>Imam Setiadi</v>
          </cell>
          <cell r="O3372" t="str">
            <v>Perum. Muktisari C-8, RT.001/RW.005 Tegal Besar, Kaliwates</v>
          </cell>
          <cell r="P3372" t="str">
            <v>Jember</v>
          </cell>
          <cell r="Q3372" t="str">
            <v>Jember</v>
          </cell>
          <cell r="R3372" t="str">
            <v>Jember</v>
          </cell>
          <cell r="S3372" t="str">
            <v>B Agronomis</v>
          </cell>
          <cell r="T3372" t="str">
            <v>Wira</v>
          </cell>
          <cell r="U3372">
            <v>202</v>
          </cell>
        </row>
        <row r="3373">
          <cell r="E3373" t="str">
            <v>C25000198</v>
          </cell>
          <cell r="F3373"/>
          <cell r="G3373">
            <v>50000000</v>
          </cell>
          <cell r="H3373" t="str">
            <v>Yuyun</v>
          </cell>
          <cell r="I3373" t="str">
            <v>Syahra</v>
          </cell>
          <cell r="J3373"/>
          <cell r="K3373" t="str">
            <v>KU</v>
          </cell>
          <cell r="L3373" t="str">
            <v>IMAM01</v>
          </cell>
          <cell r="M3373" t="str">
            <v>Imam/Tanindo</v>
          </cell>
          <cell r="N3373" t="str">
            <v>Imam Setiadi</v>
          </cell>
          <cell r="O3373" t="str">
            <v>Perum. Muktisari C-8, RT.001/RW.005 Tegal Besar, Kaliwates</v>
          </cell>
          <cell r="P3373" t="str">
            <v>Jember</v>
          </cell>
          <cell r="Q3373" t="str">
            <v>Jember</v>
          </cell>
          <cell r="R3373" t="str">
            <v>Jember</v>
          </cell>
          <cell r="S3373" t="str">
            <v>B Agronomis</v>
          </cell>
          <cell r="T3373" t="str">
            <v>Wira</v>
          </cell>
          <cell r="U3373">
            <v>202</v>
          </cell>
        </row>
        <row r="3374">
          <cell r="E3374" t="str">
            <v>C25000445</v>
          </cell>
          <cell r="F3374"/>
          <cell r="G3374">
            <v>50000000</v>
          </cell>
          <cell r="H3374" t="str">
            <v>Yuyun</v>
          </cell>
          <cell r="I3374" t="str">
            <v>Syahra</v>
          </cell>
          <cell r="J3374"/>
          <cell r="K3374" t="str">
            <v>KU</v>
          </cell>
          <cell r="L3374" t="str">
            <v>IMAM01</v>
          </cell>
          <cell r="M3374" t="str">
            <v>Imam/Tanindo</v>
          </cell>
          <cell r="N3374" t="str">
            <v>Imam Setiadi</v>
          </cell>
          <cell r="O3374" t="str">
            <v>Perum. Muktisari C-8, RT.001/RW.005 Tegal Besar, Kaliwates</v>
          </cell>
          <cell r="P3374" t="str">
            <v>Jember</v>
          </cell>
          <cell r="Q3374" t="str">
            <v>Jember</v>
          </cell>
          <cell r="R3374" t="str">
            <v>Jember</v>
          </cell>
          <cell r="S3374" t="str">
            <v>B Agronomis</v>
          </cell>
          <cell r="T3374" t="str">
            <v>Wira</v>
          </cell>
          <cell r="U3374">
            <v>123</v>
          </cell>
        </row>
        <row r="3375">
          <cell r="E3375" t="str">
            <v>B25008299</v>
          </cell>
          <cell r="F3375"/>
          <cell r="G3375">
            <v>50000000</v>
          </cell>
          <cell r="H3375" t="str">
            <v>Yuyun</v>
          </cell>
          <cell r="I3375" t="str">
            <v>Syahra</v>
          </cell>
          <cell r="J3375"/>
          <cell r="K3375" t="str">
            <v>KU</v>
          </cell>
          <cell r="L3375" t="str">
            <v>IMAM01</v>
          </cell>
          <cell r="M3375" t="str">
            <v>Imam/Tanindo</v>
          </cell>
          <cell r="N3375" t="str">
            <v>Imam Setiadi</v>
          </cell>
          <cell r="O3375" t="str">
            <v>Perum. Muktisari C-8, RT.001/RW.005 Tegal Besar, Kaliwates</v>
          </cell>
          <cell r="P3375" t="str">
            <v>Jember</v>
          </cell>
          <cell r="Q3375" t="str">
            <v>Jember</v>
          </cell>
          <cell r="R3375" t="str">
            <v>Jember</v>
          </cell>
          <cell r="S3375" t="str">
            <v>B Agronomis</v>
          </cell>
          <cell r="T3375" t="str">
            <v>Wira</v>
          </cell>
          <cell r="U3375">
            <v>84</v>
          </cell>
        </row>
        <row r="3376">
          <cell r="E3376" t="str">
            <v>B25008808</v>
          </cell>
          <cell r="F3376"/>
          <cell r="G3376">
            <v>50000000</v>
          </cell>
          <cell r="H3376" t="str">
            <v>Yuyun</v>
          </cell>
          <cell r="I3376" t="str">
            <v>Syahra</v>
          </cell>
          <cell r="J3376"/>
          <cell r="K3376" t="str">
            <v>KU</v>
          </cell>
          <cell r="L3376" t="str">
            <v>IMAM01</v>
          </cell>
          <cell r="M3376" t="str">
            <v>Imam/Tanindo</v>
          </cell>
          <cell r="N3376" t="str">
            <v>Imam Setiadi</v>
          </cell>
          <cell r="O3376" t="str">
            <v>Perum. Muktisari C-8, RT.001/RW.005 Tegal Besar, Kaliwates</v>
          </cell>
          <cell r="P3376" t="str">
            <v>Jember</v>
          </cell>
          <cell r="Q3376" t="str">
            <v>Jember</v>
          </cell>
          <cell r="R3376" t="str">
            <v>Jember</v>
          </cell>
          <cell r="S3376" t="str">
            <v>B Agronomis</v>
          </cell>
          <cell r="T3376" t="str">
            <v>Wira</v>
          </cell>
          <cell r="U3376">
            <v>74</v>
          </cell>
        </row>
        <row r="3377">
          <cell r="E3377" t="str">
            <v>B25009712</v>
          </cell>
          <cell r="F3377"/>
          <cell r="G3377">
            <v>50000000</v>
          </cell>
          <cell r="H3377" t="str">
            <v>Yuyun</v>
          </cell>
          <cell r="I3377" t="str">
            <v>Syahra</v>
          </cell>
          <cell r="J3377"/>
          <cell r="K3377" t="str">
            <v>KU</v>
          </cell>
          <cell r="L3377" t="str">
            <v>IMAM01</v>
          </cell>
          <cell r="M3377" t="str">
            <v>Imam/Tanindo</v>
          </cell>
          <cell r="N3377" t="str">
            <v>Imam Setiadi</v>
          </cell>
          <cell r="O3377" t="str">
            <v>Perum. Muktisari C-8, RT.001/RW.005 Tegal Besar, Kaliwates</v>
          </cell>
          <cell r="P3377" t="str">
            <v>Jember</v>
          </cell>
          <cell r="Q3377" t="str">
            <v>Jember</v>
          </cell>
          <cell r="R3377" t="str">
            <v>Jember</v>
          </cell>
          <cell r="S3377" t="str">
            <v>B Agronomis</v>
          </cell>
          <cell r="T3377" t="str">
            <v>Wira</v>
          </cell>
          <cell r="U3377">
            <v>60</v>
          </cell>
        </row>
        <row r="3378">
          <cell r="E3378" t="str">
            <v>M25000081</v>
          </cell>
          <cell r="F3378"/>
          <cell r="G3378">
            <v>50000000</v>
          </cell>
          <cell r="H3378" t="str">
            <v>Yuyun</v>
          </cell>
          <cell r="I3378" t="str">
            <v>Syahra</v>
          </cell>
          <cell r="J3378"/>
          <cell r="K3378" t="str">
            <v>KU</v>
          </cell>
          <cell r="L3378" t="str">
            <v>IMAM01</v>
          </cell>
          <cell r="M3378" t="str">
            <v>Imam/Tanindo</v>
          </cell>
          <cell r="N3378" t="str">
            <v>Imam Setiadi</v>
          </cell>
          <cell r="O3378" t="str">
            <v>Perum. Muktisari C-8, RT.001/RW.005 Tegal Besar, Kaliwates</v>
          </cell>
          <cell r="P3378" t="str">
            <v>Jember</v>
          </cell>
          <cell r="Q3378" t="str">
            <v>Jember</v>
          </cell>
          <cell r="R3378" t="str">
            <v>Jember</v>
          </cell>
          <cell r="S3378" t="str">
            <v>B Agronomis</v>
          </cell>
          <cell r="T3378" t="str">
            <v>Wira</v>
          </cell>
          <cell r="U3378">
            <v>30</v>
          </cell>
        </row>
        <row r="3379">
          <cell r="E3379" t="str">
            <v>D25015931</v>
          </cell>
          <cell r="F3379"/>
          <cell r="G3379">
            <v>50000000</v>
          </cell>
          <cell r="H3379" t="str">
            <v>Yuyun</v>
          </cell>
          <cell r="I3379" t="str">
            <v>Syahra</v>
          </cell>
          <cell r="J3379"/>
          <cell r="K3379" t="str">
            <v>KU</v>
          </cell>
          <cell r="L3379" t="str">
            <v>IMAM01</v>
          </cell>
          <cell r="M3379" t="str">
            <v>Imam/Tanindo</v>
          </cell>
          <cell r="N3379" t="str">
            <v>Imam Setiadi</v>
          </cell>
          <cell r="O3379" t="str">
            <v>Perum. Muktisari C-8, RT.001/RW.005 Tegal Besar, Kaliwates</v>
          </cell>
          <cell r="P3379" t="str">
            <v>Jember</v>
          </cell>
          <cell r="Q3379" t="str">
            <v>Jember</v>
          </cell>
          <cell r="R3379" t="str">
            <v>Jember</v>
          </cell>
          <cell r="S3379" t="str">
            <v>B Agronomis</v>
          </cell>
          <cell r="T3379" t="str">
            <v>Wira</v>
          </cell>
          <cell r="U3379">
            <v>0</v>
          </cell>
        </row>
        <row r="3380">
          <cell r="E3380" t="str">
            <v>B25011853</v>
          </cell>
          <cell r="F3380"/>
          <cell r="G3380">
            <v>1000</v>
          </cell>
          <cell r="H3380" t="str">
            <v>Hendra</v>
          </cell>
          <cell r="I3380" t="str">
            <v>Tiya</v>
          </cell>
          <cell r="J3380" t="str">
            <v>New 18/08/25</v>
          </cell>
          <cell r="K3380" t="str">
            <v>KU</v>
          </cell>
          <cell r="L3380" t="str">
            <v>INDH01</v>
          </cell>
          <cell r="M3380" t="str">
            <v>Indah Agro Lestari</v>
          </cell>
          <cell r="N3380" t="str">
            <v>Indah Agro Lestari</v>
          </cell>
          <cell r="O3380" t="str">
            <v>Jl. A.Paggaru, 8, Teddaopu, Tempe</v>
          </cell>
          <cell r="P3380" t="str">
            <v>Wajo-Sulsel</v>
          </cell>
          <cell r="Q3380" t="str">
            <v>Jl. A.Paggaru, 8, Teddaopu, Tempe</v>
          </cell>
          <cell r="R3380" t="str">
            <v>Wajo - Sulsel</v>
          </cell>
          <cell r="S3380" t="str">
            <v>E Luar Pulau2</v>
          </cell>
          <cell r="T3380" t="str">
            <v>Non SE &amp; JSE</v>
          </cell>
          <cell r="U3380">
            <v>45</v>
          </cell>
        </row>
        <row r="3381">
          <cell r="E3381" t="str">
            <v>B25010301</v>
          </cell>
          <cell r="F3381"/>
          <cell r="G3381">
            <v>30000000</v>
          </cell>
          <cell r="H3381" t="str">
            <v>Reni</v>
          </cell>
          <cell r="I3381" t="str">
            <v>Farida</v>
          </cell>
          <cell r="J3381"/>
          <cell r="K3381" t="str">
            <v>KU</v>
          </cell>
          <cell r="L3381" t="str">
            <v>INDA02</v>
          </cell>
          <cell r="M3381" t="str">
            <v>Indah Tani, UD</v>
          </cell>
          <cell r="N3381" t="str">
            <v>Sukarno</v>
          </cell>
          <cell r="O3381" t="str">
            <v>Dsn. Sumber Agung RT.013/RW.001 Jati Gembol, Kedunggalar</v>
          </cell>
          <cell r="P3381" t="str">
            <v>Ngawi</v>
          </cell>
          <cell r="Q3381" t="str">
            <v>Dsn. Sumber Agung RT.013/RW.001 Jati Gembol, Kedunggalar</v>
          </cell>
          <cell r="R3381" t="str">
            <v>Ngawi</v>
          </cell>
          <cell r="S3381" t="str">
            <v>D Barat1</v>
          </cell>
          <cell r="T3381" t="str">
            <v>Dian</v>
          </cell>
          <cell r="U3381">
            <v>30</v>
          </cell>
        </row>
        <row r="3382">
          <cell r="E3382" t="str">
            <v>B25013515</v>
          </cell>
          <cell r="F3382"/>
          <cell r="G3382">
            <v>1000</v>
          </cell>
          <cell r="H3382" t="str">
            <v>Yuyun</v>
          </cell>
          <cell r="I3382" t="str">
            <v>Farida</v>
          </cell>
          <cell r="J3382" t="str">
            <v>New 01/10/21</v>
          </cell>
          <cell r="K3382" t="str">
            <v>KU</v>
          </cell>
          <cell r="L3382" t="str">
            <v>INDA07</v>
          </cell>
          <cell r="M3382" t="str">
            <v>Indah Wati</v>
          </cell>
          <cell r="N3382" t="str">
            <v>Indah Wati</v>
          </cell>
          <cell r="O3382" t="str">
            <v>Jl. S. Parman No.18 RT.001/RW.026, Kel. Kebonsari, Kec. Sumbersari</v>
          </cell>
          <cell r="P3382" t="str">
            <v>Jember</v>
          </cell>
          <cell r="Q3382" t="str">
            <v>Silo - Jember</v>
          </cell>
          <cell r="R3382" t="str">
            <v>Jember</v>
          </cell>
          <cell r="S3382" t="str">
            <v>L Kota1</v>
          </cell>
          <cell r="T3382" t="str">
            <v>Wira</v>
          </cell>
          <cell r="U3382">
            <v>0</v>
          </cell>
        </row>
        <row r="3383">
          <cell r="E3383" t="str">
            <v>D25015797</v>
          </cell>
          <cell r="F3383"/>
          <cell r="G3383">
            <v>1000</v>
          </cell>
          <cell r="H3383" t="str">
            <v>Yuyun</v>
          </cell>
          <cell r="I3383" t="str">
            <v>Farida</v>
          </cell>
          <cell r="J3383" t="str">
            <v>New 01/10/21</v>
          </cell>
          <cell r="K3383" t="str">
            <v>KU</v>
          </cell>
          <cell r="L3383" t="str">
            <v>INDA07</v>
          </cell>
          <cell r="M3383" t="str">
            <v>Indah Wati</v>
          </cell>
          <cell r="N3383" t="str">
            <v>Indah Wati</v>
          </cell>
          <cell r="O3383" t="str">
            <v>Jl. S. Parman No.18 RT.001/RW.026, Kel. Kebonsari, Kec. Sumbersari</v>
          </cell>
          <cell r="P3383" t="str">
            <v>Jember</v>
          </cell>
          <cell r="Q3383" t="str">
            <v>Silo - Jember</v>
          </cell>
          <cell r="R3383" t="str">
            <v>Jember</v>
          </cell>
          <cell r="S3383" t="str">
            <v>L Kota1</v>
          </cell>
          <cell r="T3383" t="str">
            <v>Wira</v>
          </cell>
          <cell r="U3383">
            <v>0</v>
          </cell>
        </row>
        <row r="3384">
          <cell r="E3384" t="str">
            <v>D25015798</v>
          </cell>
          <cell r="F3384"/>
          <cell r="G3384">
            <v>1000</v>
          </cell>
          <cell r="H3384" t="str">
            <v>Yuyun</v>
          </cell>
          <cell r="I3384" t="str">
            <v>Farida</v>
          </cell>
          <cell r="J3384" t="str">
            <v>New 01/10/21</v>
          </cell>
          <cell r="K3384" t="str">
            <v>KU</v>
          </cell>
          <cell r="L3384" t="str">
            <v>INDA07</v>
          </cell>
          <cell r="M3384" t="str">
            <v>Indah Wati</v>
          </cell>
          <cell r="N3384" t="str">
            <v>Indah Wati</v>
          </cell>
          <cell r="O3384" t="str">
            <v>Jl. S. Parman No.18 RT.001/RW.026, Kel. Kebonsari, Kec. Sumbersari</v>
          </cell>
          <cell r="P3384" t="str">
            <v>Jember</v>
          </cell>
          <cell r="Q3384" t="str">
            <v>Silo - Jember</v>
          </cell>
          <cell r="R3384" t="str">
            <v>Jember</v>
          </cell>
          <cell r="S3384" t="str">
            <v>L Kota1</v>
          </cell>
          <cell r="T3384" t="str">
            <v>Wira</v>
          </cell>
          <cell r="U3384">
            <v>0</v>
          </cell>
        </row>
        <row r="3385">
          <cell r="E3385" t="str">
            <v>B25011818</v>
          </cell>
          <cell r="F3385"/>
          <cell r="G3385">
            <v>500000000</v>
          </cell>
          <cell r="H3385" t="str">
            <v>Ariyani</v>
          </cell>
          <cell r="I3385" t="str">
            <v>Fira</v>
          </cell>
          <cell r="J3385"/>
          <cell r="K3385" t="str">
            <v>KU</v>
          </cell>
          <cell r="L3385" t="str">
            <v>INDR01</v>
          </cell>
          <cell r="M3385" t="str">
            <v>Indra, Toko</v>
          </cell>
          <cell r="N3385" t="str">
            <v>Tony Hartono</v>
          </cell>
          <cell r="O3385" t="str">
            <v>Dsn. Sidooadi, RT.01/RW.10, Karangsari, Sukodono</v>
          </cell>
          <cell r="P3385" t="str">
            <v>Lumajang</v>
          </cell>
          <cell r="Q3385" t="str">
            <v>Dsn. Sidooadi, RT.01/RW.10, Karangsari, Sukodono</v>
          </cell>
          <cell r="R3385" t="str">
            <v>Lumajang</v>
          </cell>
          <cell r="S3385" t="str">
            <v>C Lumajang</v>
          </cell>
          <cell r="T3385" t="str">
            <v>Wira</v>
          </cell>
          <cell r="U3385">
            <v>30</v>
          </cell>
        </row>
        <row r="3386">
          <cell r="E3386" t="str">
            <v>D25014833</v>
          </cell>
          <cell r="F3386"/>
          <cell r="G3386">
            <v>500000000</v>
          </cell>
          <cell r="H3386" t="str">
            <v>Ariyani</v>
          </cell>
          <cell r="I3386" t="str">
            <v>Fira</v>
          </cell>
          <cell r="J3386"/>
          <cell r="K3386" t="str">
            <v>KU</v>
          </cell>
          <cell r="L3386" t="str">
            <v>INDR01</v>
          </cell>
          <cell r="M3386" t="str">
            <v>Indra, Toko</v>
          </cell>
          <cell r="N3386" t="str">
            <v>Tony Hartono</v>
          </cell>
          <cell r="O3386" t="str">
            <v>Dsn. Sidooadi, RT.01/RW.10, Karangsari, Sukodono</v>
          </cell>
          <cell r="P3386" t="str">
            <v>Lumajang</v>
          </cell>
          <cell r="Q3386" t="str">
            <v>Dsn. Sidooadi, RT.01/RW.10, Karangsari, Sukodono</v>
          </cell>
          <cell r="R3386" t="str">
            <v>Lumajang</v>
          </cell>
          <cell r="S3386" t="str">
            <v>C Lumajang</v>
          </cell>
          <cell r="T3386" t="str">
            <v>Wira</v>
          </cell>
          <cell r="U3386">
            <v>0</v>
          </cell>
        </row>
        <row r="3387">
          <cell r="E3387" t="str">
            <v>D25015030</v>
          </cell>
          <cell r="F3387"/>
          <cell r="G3387">
            <v>500000000</v>
          </cell>
          <cell r="H3387" t="str">
            <v>Ariyani</v>
          </cell>
          <cell r="I3387" t="str">
            <v>Fira</v>
          </cell>
          <cell r="J3387"/>
          <cell r="K3387" t="str">
            <v>KU</v>
          </cell>
          <cell r="L3387" t="str">
            <v>INDR01</v>
          </cell>
          <cell r="M3387" t="str">
            <v>Indra, Toko</v>
          </cell>
          <cell r="N3387" t="str">
            <v>Tony Hartono</v>
          </cell>
          <cell r="O3387" t="str">
            <v>Dsn. Sidooadi, RT.01/RW.10, Karangsari, Sukodono</v>
          </cell>
          <cell r="P3387" t="str">
            <v>Lumajang</v>
          </cell>
          <cell r="Q3387" t="str">
            <v>Dsn. Sidooadi, RT.01/RW.10, Karangsari, Sukodono</v>
          </cell>
          <cell r="R3387" t="str">
            <v>Lumajang</v>
          </cell>
          <cell r="S3387" t="str">
            <v>C Lumajang</v>
          </cell>
          <cell r="T3387" t="str">
            <v>Wira</v>
          </cell>
          <cell r="U3387">
            <v>30</v>
          </cell>
        </row>
        <row r="3388">
          <cell r="E3388" t="str">
            <v>D25015658</v>
          </cell>
          <cell r="F3388"/>
          <cell r="G3388">
            <v>500000000</v>
          </cell>
          <cell r="H3388" t="str">
            <v>Ariyani</v>
          </cell>
          <cell r="I3388" t="str">
            <v>Fira</v>
          </cell>
          <cell r="J3388"/>
          <cell r="K3388" t="str">
            <v>KU</v>
          </cell>
          <cell r="L3388" t="str">
            <v>INDR01</v>
          </cell>
          <cell r="M3388" t="str">
            <v>Indra, Toko</v>
          </cell>
          <cell r="N3388" t="str">
            <v>Tony Hartono</v>
          </cell>
          <cell r="O3388" t="str">
            <v>Dsn. Sidooadi, RT.01/RW.10, Karangsari, Sukodono</v>
          </cell>
          <cell r="P3388" t="str">
            <v>Lumajang</v>
          </cell>
          <cell r="Q3388" t="str">
            <v>Dsn. Sidooadi, RT.01/RW.10, Karangsari, Sukodono</v>
          </cell>
          <cell r="R3388" t="str">
            <v>Lumajang</v>
          </cell>
          <cell r="S3388" t="str">
            <v>C Lumajang</v>
          </cell>
          <cell r="T3388" t="str">
            <v>Wira</v>
          </cell>
          <cell r="U3388">
            <v>30</v>
          </cell>
        </row>
        <row r="3389">
          <cell r="E3389" t="str">
            <v>B25013592</v>
          </cell>
          <cell r="F3389"/>
          <cell r="G3389">
            <v>500000000</v>
          </cell>
          <cell r="H3389" t="str">
            <v>Ariyani</v>
          </cell>
          <cell r="I3389" t="str">
            <v>Fira</v>
          </cell>
          <cell r="J3389"/>
          <cell r="K3389" t="str">
            <v>KU</v>
          </cell>
          <cell r="L3389" t="str">
            <v>INDR01</v>
          </cell>
          <cell r="M3389" t="str">
            <v>Indra, Toko</v>
          </cell>
          <cell r="N3389" t="str">
            <v>Tony Hartono</v>
          </cell>
          <cell r="O3389" t="str">
            <v>Dsn. Sidooadi, RT.01/RW.10, Karangsari, Sukodono</v>
          </cell>
          <cell r="P3389" t="str">
            <v>Lumajang</v>
          </cell>
          <cell r="Q3389" t="str">
            <v>Dsn. Sidooadi, RT.01/RW.10, Karangsari, Sukodono</v>
          </cell>
          <cell r="R3389" t="str">
            <v>Lumajang</v>
          </cell>
          <cell r="S3389" t="str">
            <v>C Lumajang</v>
          </cell>
          <cell r="T3389" t="str">
            <v>Wira</v>
          </cell>
          <cell r="U3389">
            <v>30</v>
          </cell>
        </row>
        <row r="3390">
          <cell r="E3390" t="str">
            <v>B25013992</v>
          </cell>
          <cell r="F3390"/>
          <cell r="G3390">
            <v>500000000</v>
          </cell>
          <cell r="H3390" t="str">
            <v>Ariyani</v>
          </cell>
          <cell r="I3390" t="str">
            <v>Fira</v>
          </cell>
          <cell r="J3390"/>
          <cell r="K3390" t="str">
            <v>KU</v>
          </cell>
          <cell r="L3390" t="str">
            <v>INDR01</v>
          </cell>
          <cell r="M3390" t="str">
            <v>Indra, Toko</v>
          </cell>
          <cell r="N3390" t="str">
            <v>Tony Hartono</v>
          </cell>
          <cell r="O3390" t="str">
            <v>Dsn. Sidooadi, RT.01/RW.10, Karangsari, Sukodono</v>
          </cell>
          <cell r="P3390" t="str">
            <v>Lumajang</v>
          </cell>
          <cell r="Q3390" t="str">
            <v>Dsn. Sidooadi, RT.01/RW.10, Karangsari, Sukodono</v>
          </cell>
          <cell r="R3390" t="str">
            <v>Lumajang</v>
          </cell>
          <cell r="S3390" t="str">
            <v>C Lumajang</v>
          </cell>
          <cell r="T3390" t="str">
            <v>Wira</v>
          </cell>
          <cell r="U3390">
            <v>30</v>
          </cell>
        </row>
        <row r="3391">
          <cell r="E3391" t="str">
            <v>B25008915</v>
          </cell>
          <cell r="F3391"/>
          <cell r="G3391">
            <v>200000000</v>
          </cell>
          <cell r="H3391" t="str">
            <v>Hendra</v>
          </cell>
          <cell r="I3391" t="str">
            <v>Tiya</v>
          </cell>
          <cell r="J3391"/>
          <cell r="K3391" t="str">
            <v>KU</v>
          </cell>
          <cell r="L3391" t="str">
            <v>INGI01</v>
          </cell>
          <cell r="M3391" t="str">
            <v>Ingin Maju, UD</v>
          </cell>
          <cell r="N3391" t="str">
            <v>Mulkihuddin</v>
          </cell>
          <cell r="O3391" t="str">
            <v>Jejanggka Lauk Piringgabaya</v>
          </cell>
          <cell r="P3391" t="str">
            <v>Lombok Timur</v>
          </cell>
          <cell r="Q3391" t="str">
            <v>Jejanggka Lauk Piringgabaya</v>
          </cell>
          <cell r="R3391" t="str">
            <v>Lombok Timur</v>
          </cell>
          <cell r="S3391" t="str">
            <v>E Luar Pulau2</v>
          </cell>
          <cell r="T3391" t="str">
            <v>Muhlisin</v>
          </cell>
          <cell r="U3391">
            <v>45</v>
          </cell>
        </row>
        <row r="3392">
          <cell r="E3392" t="str">
            <v>B25008915</v>
          </cell>
          <cell r="F3392"/>
          <cell r="G3392">
            <v>200000000</v>
          </cell>
          <cell r="H3392" t="str">
            <v>Hendra</v>
          </cell>
          <cell r="I3392" t="str">
            <v>Tiya</v>
          </cell>
          <cell r="J3392"/>
          <cell r="K3392" t="str">
            <v>KU</v>
          </cell>
          <cell r="L3392" t="str">
            <v>INGI01</v>
          </cell>
          <cell r="M3392" t="str">
            <v>Ingin Maju, UD</v>
          </cell>
          <cell r="N3392" t="str">
            <v>Mulkihuddin</v>
          </cell>
          <cell r="O3392" t="str">
            <v>Jejanggka Lauk Piringgabaya</v>
          </cell>
          <cell r="P3392" t="str">
            <v>Lombok Timur</v>
          </cell>
          <cell r="Q3392" t="str">
            <v>Jejanggka Lauk Piringgabaya</v>
          </cell>
          <cell r="R3392" t="str">
            <v>Lombok Timur</v>
          </cell>
          <cell r="S3392" t="str">
            <v>E Luar Pulau2</v>
          </cell>
          <cell r="T3392" t="str">
            <v>Muhlisin</v>
          </cell>
          <cell r="U3392">
            <v>45</v>
          </cell>
        </row>
        <row r="3393">
          <cell r="E3393" t="str">
            <v>B25010317</v>
          </cell>
          <cell r="F3393"/>
          <cell r="G3393">
            <v>200000000</v>
          </cell>
          <cell r="H3393" t="str">
            <v>Hendra</v>
          </cell>
          <cell r="I3393" t="str">
            <v>Tiya</v>
          </cell>
          <cell r="J3393"/>
          <cell r="K3393" t="str">
            <v>KU</v>
          </cell>
          <cell r="L3393" t="str">
            <v>INGI01</v>
          </cell>
          <cell r="M3393" t="str">
            <v>Ingin Maju, UD</v>
          </cell>
          <cell r="N3393" t="str">
            <v>Mulkihuddin</v>
          </cell>
          <cell r="O3393" t="str">
            <v>Jejanggka Lauk Piringgabaya</v>
          </cell>
          <cell r="P3393" t="str">
            <v>Lombok Timur</v>
          </cell>
          <cell r="Q3393" t="str">
            <v>Jejanggka Lauk Piringgabaya</v>
          </cell>
          <cell r="R3393" t="str">
            <v>Lombok Timur</v>
          </cell>
          <cell r="S3393" t="str">
            <v>E Luar Pulau2</v>
          </cell>
          <cell r="T3393" t="str">
            <v>Muhlisin</v>
          </cell>
          <cell r="U3393">
            <v>45</v>
          </cell>
        </row>
        <row r="3394">
          <cell r="E3394" t="str">
            <v>B25010895</v>
          </cell>
          <cell r="F3394"/>
          <cell r="G3394">
            <v>200000000</v>
          </cell>
          <cell r="H3394" t="str">
            <v>Hendra</v>
          </cell>
          <cell r="I3394" t="str">
            <v>Tiya</v>
          </cell>
          <cell r="J3394"/>
          <cell r="K3394" t="str">
            <v>KU</v>
          </cell>
          <cell r="L3394" t="str">
            <v>INGI01</v>
          </cell>
          <cell r="M3394" t="str">
            <v>Ingin Maju, UD</v>
          </cell>
          <cell r="N3394" t="str">
            <v>Mulkihuddin</v>
          </cell>
          <cell r="O3394" t="str">
            <v>Jejanggka Lauk Piringgabaya</v>
          </cell>
          <cell r="P3394" t="str">
            <v>Lombok Timur</v>
          </cell>
          <cell r="Q3394" t="str">
            <v>Jejanggka Lauk Piringgabaya</v>
          </cell>
          <cell r="R3394" t="str">
            <v>Lombok Timur</v>
          </cell>
          <cell r="S3394" t="str">
            <v>E Luar Pulau2</v>
          </cell>
          <cell r="T3394" t="str">
            <v>Muhlisin</v>
          </cell>
          <cell r="U3394">
            <v>45</v>
          </cell>
        </row>
        <row r="3395">
          <cell r="E3395" t="str">
            <v>B25012676</v>
          </cell>
          <cell r="F3395"/>
          <cell r="G3395">
            <v>200000000</v>
          </cell>
          <cell r="H3395" t="str">
            <v>Hendra</v>
          </cell>
          <cell r="I3395" t="str">
            <v>Tiya</v>
          </cell>
          <cell r="J3395"/>
          <cell r="K3395" t="str">
            <v>KU</v>
          </cell>
          <cell r="L3395" t="str">
            <v>INGI01</v>
          </cell>
          <cell r="M3395" t="str">
            <v>Ingin Maju, UD</v>
          </cell>
          <cell r="N3395" t="str">
            <v>Mulkihuddin</v>
          </cell>
          <cell r="O3395" t="str">
            <v>Jejanggka Lauk Piringgabaya</v>
          </cell>
          <cell r="P3395" t="str">
            <v>Lombok Timur</v>
          </cell>
          <cell r="Q3395" t="str">
            <v>Jejanggka Lauk Piringgabaya</v>
          </cell>
          <cell r="R3395" t="str">
            <v>Lombok Timur</v>
          </cell>
          <cell r="S3395" t="str">
            <v>E Luar Pulau2</v>
          </cell>
          <cell r="T3395" t="str">
            <v>Muhlisin</v>
          </cell>
          <cell r="U3395">
            <v>45</v>
          </cell>
        </row>
        <row r="3396">
          <cell r="E3396" t="str">
            <v>D25013256</v>
          </cell>
          <cell r="F3396"/>
          <cell r="G3396">
            <v>100000000</v>
          </cell>
          <cell r="H3396" t="str">
            <v>Faris</v>
          </cell>
          <cell r="I3396" t="str">
            <v>Syahra</v>
          </cell>
          <cell r="J3396"/>
          <cell r="K3396" t="str">
            <v>KU, Tunai</v>
          </cell>
          <cell r="L3396" t="str">
            <v>INSA01</v>
          </cell>
          <cell r="M3396" t="str">
            <v>Insan Tani, UD/Yohan</v>
          </cell>
          <cell r="N3396" t="str">
            <v>Yohan Tjahjadi</v>
          </cell>
          <cell r="O3396" t="str">
            <v>Imam Bonjol No. 20 Bondowoso</v>
          </cell>
          <cell r="P3396" t="str">
            <v>Bondowoso</v>
          </cell>
          <cell r="Q3396" t="str">
            <v>Imam Bonjol No. 20 Bondowoso</v>
          </cell>
          <cell r="R3396" t="str">
            <v>Bondowoso</v>
          </cell>
          <cell r="S3396" t="str">
            <v>N Bdw Stb</v>
          </cell>
          <cell r="T3396" t="str">
            <v>Wira</v>
          </cell>
          <cell r="U3396">
            <v>30</v>
          </cell>
        </row>
        <row r="3397">
          <cell r="E3397" t="str">
            <v>B25011692</v>
          </cell>
          <cell r="F3397"/>
          <cell r="G3397">
            <v>100000000</v>
          </cell>
          <cell r="H3397" t="str">
            <v>Faris</v>
          </cell>
          <cell r="I3397" t="str">
            <v>Syahra</v>
          </cell>
          <cell r="J3397"/>
          <cell r="K3397" t="str">
            <v>KU, Tunai</v>
          </cell>
          <cell r="L3397" t="str">
            <v>INSA01</v>
          </cell>
          <cell r="M3397" t="str">
            <v>Insan Tani, UD/Yohan</v>
          </cell>
          <cell r="N3397" t="str">
            <v>Yohan Tjahjadi</v>
          </cell>
          <cell r="O3397" t="str">
            <v>Imam Bonjol No. 20 Bondowoso</v>
          </cell>
          <cell r="P3397" t="str">
            <v>Bondowoso</v>
          </cell>
          <cell r="Q3397" t="str">
            <v>Imam Bonjol No. 20 Bondowoso</v>
          </cell>
          <cell r="R3397" t="str">
            <v>Bondowoso</v>
          </cell>
          <cell r="S3397" t="str">
            <v>N Bdw Stb</v>
          </cell>
          <cell r="T3397" t="str">
            <v>Wira</v>
          </cell>
          <cell r="U3397">
            <v>30</v>
          </cell>
        </row>
        <row r="3398">
          <cell r="E3398" t="str">
            <v>B25011879</v>
          </cell>
          <cell r="F3398"/>
          <cell r="G3398">
            <v>100000000</v>
          </cell>
          <cell r="H3398" t="str">
            <v>Faris</v>
          </cell>
          <cell r="I3398" t="str">
            <v>Syahra</v>
          </cell>
          <cell r="J3398"/>
          <cell r="K3398" t="str">
            <v>KU, Tunai</v>
          </cell>
          <cell r="L3398" t="str">
            <v>INSA01</v>
          </cell>
          <cell r="M3398" t="str">
            <v>Insan Tani, UD/Yohan</v>
          </cell>
          <cell r="N3398" t="str">
            <v>Yohan Tjahjadi</v>
          </cell>
          <cell r="O3398" t="str">
            <v>Imam Bonjol No. 20 Bondowoso</v>
          </cell>
          <cell r="P3398" t="str">
            <v>Bondowoso</v>
          </cell>
          <cell r="Q3398" t="str">
            <v>Imam Bonjol No. 20 Bondowoso</v>
          </cell>
          <cell r="R3398" t="str">
            <v>Bondowoso</v>
          </cell>
          <cell r="S3398" t="str">
            <v>N Bdw Stb</v>
          </cell>
          <cell r="T3398" t="str">
            <v>Wira</v>
          </cell>
          <cell r="U3398">
            <v>30</v>
          </cell>
        </row>
        <row r="3399">
          <cell r="E3399" t="str">
            <v>B25012589</v>
          </cell>
          <cell r="F3399"/>
          <cell r="G3399">
            <v>100000000</v>
          </cell>
          <cell r="H3399" t="str">
            <v>Faris</v>
          </cell>
          <cell r="I3399" t="str">
            <v>Syahra</v>
          </cell>
          <cell r="J3399"/>
          <cell r="K3399" t="str">
            <v>KU, Tunai</v>
          </cell>
          <cell r="L3399" t="str">
            <v>INSA01</v>
          </cell>
          <cell r="M3399" t="str">
            <v>Insan Tani, UD/Yohan</v>
          </cell>
          <cell r="N3399" t="str">
            <v>Yohan Tjahjadi</v>
          </cell>
          <cell r="O3399" t="str">
            <v>Imam Bonjol No. 20 Bondowoso</v>
          </cell>
          <cell r="P3399" t="str">
            <v>Bondowoso</v>
          </cell>
          <cell r="Q3399" t="str">
            <v>Imam Bonjol No. 20 Bondowoso</v>
          </cell>
          <cell r="R3399" t="str">
            <v>Bondowoso</v>
          </cell>
          <cell r="S3399" t="str">
            <v>N Bdw Stb</v>
          </cell>
          <cell r="T3399" t="str">
            <v>Wira</v>
          </cell>
          <cell r="U3399">
            <v>30</v>
          </cell>
        </row>
        <row r="3400">
          <cell r="E3400" t="str">
            <v>B25012590</v>
          </cell>
          <cell r="F3400"/>
          <cell r="G3400">
            <v>100000000</v>
          </cell>
          <cell r="H3400" t="str">
            <v>Faris</v>
          </cell>
          <cell r="I3400" t="str">
            <v>Syahra</v>
          </cell>
          <cell r="J3400"/>
          <cell r="K3400" t="str">
            <v>KU, Tunai</v>
          </cell>
          <cell r="L3400" t="str">
            <v>INSA01</v>
          </cell>
          <cell r="M3400" t="str">
            <v>Insan Tani, UD/Yohan</v>
          </cell>
          <cell r="N3400" t="str">
            <v>Yohan Tjahjadi</v>
          </cell>
          <cell r="O3400" t="str">
            <v>Imam Bonjol No. 20 Bondowoso</v>
          </cell>
          <cell r="P3400" t="str">
            <v>Bondowoso</v>
          </cell>
          <cell r="Q3400" t="str">
            <v>Imam Bonjol No. 20 Bondowoso</v>
          </cell>
          <cell r="R3400" t="str">
            <v>Bondowoso</v>
          </cell>
          <cell r="S3400" t="str">
            <v>N Bdw Stb</v>
          </cell>
          <cell r="T3400" t="str">
            <v>Wira</v>
          </cell>
          <cell r="U3400">
            <v>30</v>
          </cell>
        </row>
        <row r="3401">
          <cell r="E3401" t="str">
            <v>B25012679</v>
          </cell>
          <cell r="F3401"/>
          <cell r="G3401">
            <v>100000000</v>
          </cell>
          <cell r="H3401" t="str">
            <v>Faris</v>
          </cell>
          <cell r="I3401" t="str">
            <v>Syahra</v>
          </cell>
          <cell r="J3401"/>
          <cell r="K3401" t="str">
            <v>KU, Tunai</v>
          </cell>
          <cell r="L3401" t="str">
            <v>INSA01</v>
          </cell>
          <cell r="M3401" t="str">
            <v>Insan Tani, UD/Yohan</v>
          </cell>
          <cell r="N3401" t="str">
            <v>Yohan Tjahjadi</v>
          </cell>
          <cell r="O3401" t="str">
            <v>Imam Bonjol No. 20 Bondowoso</v>
          </cell>
          <cell r="P3401" t="str">
            <v>Bondowoso</v>
          </cell>
          <cell r="Q3401" t="str">
            <v>Imam Bonjol No. 20 Bondowoso</v>
          </cell>
          <cell r="R3401" t="str">
            <v>Bondowoso</v>
          </cell>
          <cell r="S3401" t="str">
            <v>N Bdw Stb</v>
          </cell>
          <cell r="T3401" t="str">
            <v>Wira</v>
          </cell>
          <cell r="U3401">
            <v>30</v>
          </cell>
        </row>
        <row r="3402">
          <cell r="E3402" t="str">
            <v>B25013140</v>
          </cell>
          <cell r="F3402"/>
          <cell r="G3402">
            <v>100000000</v>
          </cell>
          <cell r="H3402" t="str">
            <v>Faris</v>
          </cell>
          <cell r="I3402" t="str">
            <v>Syahra</v>
          </cell>
          <cell r="J3402"/>
          <cell r="K3402" t="str">
            <v>KU, Tunai</v>
          </cell>
          <cell r="L3402" t="str">
            <v>INSA01</v>
          </cell>
          <cell r="M3402" t="str">
            <v>Insan Tani, UD/Yohan</v>
          </cell>
          <cell r="N3402" t="str">
            <v>Yohan Tjahjadi</v>
          </cell>
          <cell r="O3402" t="str">
            <v>Imam Bonjol No. 20 Bondowoso</v>
          </cell>
          <cell r="P3402" t="str">
            <v>Bondowoso</v>
          </cell>
          <cell r="Q3402" t="str">
            <v>Imam Bonjol No. 20 Bondowoso</v>
          </cell>
          <cell r="R3402" t="str">
            <v>Bondowoso</v>
          </cell>
          <cell r="S3402" t="str">
            <v>N Bdw Stb</v>
          </cell>
          <cell r="T3402" t="str">
            <v>Wira</v>
          </cell>
          <cell r="U3402">
            <v>30</v>
          </cell>
        </row>
        <row r="3403">
          <cell r="E3403" t="str">
            <v>D25015486</v>
          </cell>
          <cell r="F3403"/>
          <cell r="G3403">
            <v>100000000</v>
          </cell>
          <cell r="H3403" t="str">
            <v>Faris</v>
          </cell>
          <cell r="I3403" t="str">
            <v>Syahra</v>
          </cell>
          <cell r="J3403"/>
          <cell r="K3403" t="str">
            <v>KU, Tunai</v>
          </cell>
          <cell r="L3403" t="str">
            <v>INSA01</v>
          </cell>
          <cell r="M3403" t="str">
            <v>Insan Tani, UD/Yohan</v>
          </cell>
          <cell r="N3403" t="str">
            <v>Yohan Tjahjadi</v>
          </cell>
          <cell r="O3403" t="str">
            <v>Imam Bonjol No. 20 Bondowoso</v>
          </cell>
          <cell r="P3403" t="str">
            <v>Bondowoso</v>
          </cell>
          <cell r="Q3403" t="str">
            <v>Imam Bonjol No. 20 Bondowoso</v>
          </cell>
          <cell r="R3403" t="str">
            <v>Bondowoso</v>
          </cell>
          <cell r="S3403" t="str">
            <v>N Bdw Stb</v>
          </cell>
          <cell r="T3403" t="str">
            <v>Wira</v>
          </cell>
          <cell r="U3403">
            <v>30</v>
          </cell>
        </row>
        <row r="3404">
          <cell r="E3404" t="str">
            <v>D25015920</v>
          </cell>
          <cell r="F3404"/>
          <cell r="G3404">
            <v>100000000</v>
          </cell>
          <cell r="H3404" t="str">
            <v>Faris</v>
          </cell>
          <cell r="I3404" t="str">
            <v>Syahra</v>
          </cell>
          <cell r="J3404"/>
          <cell r="K3404" t="str">
            <v>KU, Tunai</v>
          </cell>
          <cell r="L3404" t="str">
            <v>INSA01</v>
          </cell>
          <cell r="M3404" t="str">
            <v>Insan Tani, UD/Yohan</v>
          </cell>
          <cell r="N3404" t="str">
            <v>Yohan Tjahjadi</v>
          </cell>
          <cell r="O3404" t="str">
            <v>Imam Bonjol No. 20 Bondowoso</v>
          </cell>
          <cell r="P3404" t="str">
            <v>Bondowoso</v>
          </cell>
          <cell r="Q3404" t="str">
            <v>Imam Bonjol No. 20 Bondowoso</v>
          </cell>
          <cell r="R3404" t="str">
            <v>Bondowoso</v>
          </cell>
          <cell r="S3404" t="str">
            <v>N Bdw Stb</v>
          </cell>
          <cell r="T3404" t="str">
            <v>Wira</v>
          </cell>
          <cell r="U3404">
            <v>30</v>
          </cell>
        </row>
        <row r="3405">
          <cell r="E3405" t="str">
            <v>D25016264</v>
          </cell>
          <cell r="F3405"/>
          <cell r="G3405">
            <v>100000000</v>
          </cell>
          <cell r="H3405" t="str">
            <v>Faris</v>
          </cell>
          <cell r="I3405" t="str">
            <v>Syahra</v>
          </cell>
          <cell r="J3405"/>
          <cell r="K3405" t="str">
            <v>KU, Tunai</v>
          </cell>
          <cell r="L3405" t="str">
            <v>INSA01</v>
          </cell>
          <cell r="M3405" t="str">
            <v>Insan Tani, UD/Yohan</v>
          </cell>
          <cell r="N3405" t="str">
            <v>Yohan Tjahjadi</v>
          </cell>
          <cell r="O3405" t="str">
            <v>Imam Bonjol No. 20 Bondowoso</v>
          </cell>
          <cell r="P3405" t="str">
            <v>Bondowoso</v>
          </cell>
          <cell r="Q3405" t="str">
            <v>Imam Bonjol No. 20 Bondowoso</v>
          </cell>
          <cell r="R3405" t="str">
            <v>Bondowoso</v>
          </cell>
          <cell r="S3405" t="str">
            <v>N Bdw Stb</v>
          </cell>
          <cell r="T3405" t="str">
            <v>Wira</v>
          </cell>
          <cell r="U3405">
            <v>30</v>
          </cell>
        </row>
        <row r="3406">
          <cell r="E3406" t="str">
            <v>D25016265</v>
          </cell>
          <cell r="F3406"/>
          <cell r="G3406">
            <v>100000000</v>
          </cell>
          <cell r="H3406" t="str">
            <v>Faris</v>
          </cell>
          <cell r="I3406" t="str">
            <v>Syahra</v>
          </cell>
          <cell r="J3406"/>
          <cell r="K3406" t="str">
            <v>KU, Tunai</v>
          </cell>
          <cell r="L3406" t="str">
            <v>INSA01</v>
          </cell>
          <cell r="M3406" t="str">
            <v>Insan Tani, UD/Yohan</v>
          </cell>
          <cell r="N3406" t="str">
            <v>Yohan Tjahjadi</v>
          </cell>
          <cell r="O3406" t="str">
            <v>Imam Bonjol No. 20 Bondowoso</v>
          </cell>
          <cell r="P3406" t="str">
            <v>Bondowoso</v>
          </cell>
          <cell r="Q3406" t="str">
            <v>Imam Bonjol No. 20 Bondowoso</v>
          </cell>
          <cell r="R3406" t="str">
            <v>Bondowoso</v>
          </cell>
          <cell r="S3406" t="str">
            <v>N Bdw Stb</v>
          </cell>
          <cell r="T3406" t="str">
            <v>Wira</v>
          </cell>
          <cell r="U3406">
            <v>30</v>
          </cell>
        </row>
        <row r="3407">
          <cell r="E3407" t="str">
            <v>D25016276</v>
          </cell>
          <cell r="F3407"/>
          <cell r="G3407">
            <v>100000000</v>
          </cell>
          <cell r="H3407" t="str">
            <v>Faris</v>
          </cell>
          <cell r="I3407" t="str">
            <v>Syahra</v>
          </cell>
          <cell r="J3407"/>
          <cell r="K3407" t="str">
            <v>KU, Tunai</v>
          </cell>
          <cell r="L3407" t="str">
            <v>INSA01</v>
          </cell>
          <cell r="M3407" t="str">
            <v>Insan Tani, UD/Yohan</v>
          </cell>
          <cell r="N3407" t="str">
            <v>Yohan Tjahjadi</v>
          </cell>
          <cell r="O3407" t="str">
            <v>Imam Bonjol No. 20 Bondowoso</v>
          </cell>
          <cell r="P3407" t="str">
            <v>Bondowoso</v>
          </cell>
          <cell r="Q3407" t="str">
            <v>Imam Bonjol No. 20 Bondowoso</v>
          </cell>
          <cell r="R3407" t="str">
            <v>Bondowoso</v>
          </cell>
          <cell r="S3407" t="str">
            <v>N Bdw Stb</v>
          </cell>
          <cell r="T3407" t="str">
            <v>Wira</v>
          </cell>
          <cell r="U3407">
            <v>30</v>
          </cell>
        </row>
        <row r="3408">
          <cell r="E3408" t="str">
            <v>B25014031</v>
          </cell>
          <cell r="F3408"/>
          <cell r="G3408">
            <v>100000000</v>
          </cell>
          <cell r="H3408" t="str">
            <v>Faris</v>
          </cell>
          <cell r="I3408" t="str">
            <v>Syahra</v>
          </cell>
          <cell r="J3408"/>
          <cell r="K3408" t="str">
            <v>KU, Tunai</v>
          </cell>
          <cell r="L3408" t="str">
            <v>INSA01</v>
          </cell>
          <cell r="M3408" t="str">
            <v>Insan Tani, UD/Yohan</v>
          </cell>
          <cell r="N3408" t="str">
            <v>Yohan Tjahjadi</v>
          </cell>
          <cell r="O3408" t="str">
            <v>Imam Bonjol No. 20 Bondowoso</v>
          </cell>
          <cell r="P3408" t="str">
            <v>Bondowoso</v>
          </cell>
          <cell r="Q3408" t="str">
            <v>Imam Bonjol No. 20 Bondowoso</v>
          </cell>
          <cell r="R3408" t="str">
            <v>Bondowoso</v>
          </cell>
          <cell r="S3408" t="str">
            <v>N Bdw Stb</v>
          </cell>
          <cell r="T3408" t="str">
            <v>Wira</v>
          </cell>
          <cell r="U3408">
            <v>30</v>
          </cell>
        </row>
        <row r="3409">
          <cell r="E3409" t="str">
            <v>B25011113</v>
          </cell>
          <cell r="F3409"/>
          <cell r="G3409">
            <v>50000000</v>
          </cell>
          <cell r="H3409" t="str">
            <v>Yuyun</v>
          </cell>
          <cell r="I3409" t="str">
            <v>Farida</v>
          </cell>
          <cell r="J3409" t="str">
            <v>New 01/10/19</v>
          </cell>
          <cell r="K3409" t="str">
            <v>KU</v>
          </cell>
          <cell r="L3409" t="str">
            <v>INTA03</v>
          </cell>
          <cell r="M3409" t="str">
            <v>Intani, Toko</v>
          </cell>
          <cell r="N3409" t="str">
            <v>Umi Nihayah</v>
          </cell>
          <cell r="O3409" t="str">
            <v>Dsn. Krajan I, RT.001/RW.007 Kel. Jombang, Kec. Jombang</v>
          </cell>
          <cell r="P3409" t="str">
            <v>Jember</v>
          </cell>
          <cell r="Q3409" t="str">
            <v>Dsn. Krajan I, RT.001/RW.007 Kel. Jombang, Kec. Jombang</v>
          </cell>
          <cell r="R3409" t="str">
            <v>Jember</v>
          </cell>
          <cell r="S3409" t="str">
            <v>L Kota3</v>
          </cell>
          <cell r="T3409" t="str">
            <v>Efendi</v>
          </cell>
          <cell r="U3409">
            <v>30</v>
          </cell>
        </row>
        <row r="3410">
          <cell r="E3410" t="str">
            <v>B25011882</v>
          </cell>
          <cell r="F3410"/>
          <cell r="G3410">
            <v>50000000</v>
          </cell>
          <cell r="H3410" t="str">
            <v>Yuyun</v>
          </cell>
          <cell r="I3410" t="str">
            <v>Farida</v>
          </cell>
          <cell r="J3410" t="str">
            <v>New 01/10/19</v>
          </cell>
          <cell r="K3410" t="str">
            <v>KU</v>
          </cell>
          <cell r="L3410" t="str">
            <v>INTA03</v>
          </cell>
          <cell r="M3410" t="str">
            <v>Intani, Toko</v>
          </cell>
          <cell r="N3410" t="str">
            <v>Umi Nihayah</v>
          </cell>
          <cell r="O3410" t="str">
            <v>Dsn. Krajan I, RT.001/RW.007 Kel. Jombang, Kec. Jombang</v>
          </cell>
          <cell r="P3410" t="str">
            <v>Jember</v>
          </cell>
          <cell r="Q3410" t="str">
            <v>Dsn. Krajan I, RT.001/RW.007 Kel. Jombang, Kec. Jombang</v>
          </cell>
          <cell r="R3410" t="str">
            <v>Jember</v>
          </cell>
          <cell r="S3410" t="str">
            <v>L Kota3</v>
          </cell>
          <cell r="T3410" t="str">
            <v>Efendi</v>
          </cell>
          <cell r="U3410">
            <v>30</v>
          </cell>
        </row>
        <row r="3411">
          <cell r="E3411" t="str">
            <v>B25014068</v>
          </cell>
          <cell r="F3411"/>
          <cell r="G3411">
            <v>50000000</v>
          </cell>
          <cell r="H3411" t="str">
            <v>Yuyun</v>
          </cell>
          <cell r="I3411" t="str">
            <v>Farida</v>
          </cell>
          <cell r="J3411" t="str">
            <v>New 01/10/19</v>
          </cell>
          <cell r="K3411" t="str">
            <v>KU</v>
          </cell>
          <cell r="L3411" t="str">
            <v>INTA03</v>
          </cell>
          <cell r="M3411" t="str">
            <v>Intani, Toko</v>
          </cell>
          <cell r="N3411" t="str">
            <v>Umi Nihayah</v>
          </cell>
          <cell r="O3411" t="str">
            <v>Dsn. Krajan I, RT.001/RW.007 Kel. Jombang, Kec. Jombang</v>
          </cell>
          <cell r="P3411" t="str">
            <v>Jember</v>
          </cell>
          <cell r="Q3411" t="str">
            <v>Dsn. Krajan I, RT.001/RW.007 Kel. Jombang, Kec. Jombang</v>
          </cell>
          <cell r="R3411" t="str">
            <v>Jember</v>
          </cell>
          <cell r="S3411" t="str">
            <v>L Kota3</v>
          </cell>
          <cell r="T3411" t="str">
            <v>Efendi</v>
          </cell>
          <cell r="U3411">
            <v>30</v>
          </cell>
        </row>
        <row r="3412">
          <cell r="E3412" t="str">
            <v>B25011348</v>
          </cell>
          <cell r="F3412"/>
          <cell r="G3412">
            <v>100000000</v>
          </cell>
          <cell r="H3412" t="str">
            <v>Yuyun</v>
          </cell>
          <cell r="I3412" t="str">
            <v>Farida</v>
          </cell>
          <cell r="J3412" t="str">
            <v>New 11/12/20</v>
          </cell>
          <cell r="K3412" t="str">
            <v>KU</v>
          </cell>
          <cell r="L3412" t="str">
            <v>INTA04</v>
          </cell>
          <cell r="M3412" t="str">
            <v>Intani, UD/Yayak</v>
          </cell>
          <cell r="N3412" t="str">
            <v>Yayak Rahman Hidayat</v>
          </cell>
          <cell r="O3412" t="str">
            <v>Jl. PB. Sudirman GG. Mulia 1 Dusun Tekoan RT.004/RW.007, Kel. Tanggul Kulon, Kec. Tanggul</v>
          </cell>
          <cell r="P3412" t="str">
            <v>Jember</v>
          </cell>
          <cell r="Q3412" t="str">
            <v>Sumberbaru</v>
          </cell>
          <cell r="R3412" t="str">
            <v>Jember</v>
          </cell>
          <cell r="S3412" t="str">
            <v>G Prob1</v>
          </cell>
          <cell r="T3412" t="str">
            <v>Wira</v>
          </cell>
          <cell r="U3412">
            <v>30</v>
          </cell>
        </row>
        <row r="3413">
          <cell r="E3413" t="str">
            <v>B25011364</v>
          </cell>
          <cell r="F3413"/>
          <cell r="G3413">
            <v>100000000</v>
          </cell>
          <cell r="H3413" t="str">
            <v>Yuyun</v>
          </cell>
          <cell r="I3413" t="str">
            <v>Farida</v>
          </cell>
          <cell r="J3413" t="str">
            <v>New 11/12/20</v>
          </cell>
          <cell r="K3413" t="str">
            <v>KU</v>
          </cell>
          <cell r="L3413" t="str">
            <v>INTA04</v>
          </cell>
          <cell r="M3413" t="str">
            <v>Intani, UD/Yayak</v>
          </cell>
          <cell r="N3413" t="str">
            <v>Yayak Rahman Hidayat</v>
          </cell>
          <cell r="O3413" t="str">
            <v>Jl. PB. Sudirman GG. Mulia 1 Dusun Tekoan RT.004/RW.007, Kel. Tanggul Kulon, Kec. Tanggul</v>
          </cell>
          <cell r="P3413" t="str">
            <v>Jember</v>
          </cell>
          <cell r="Q3413" t="str">
            <v>Sumberbaru</v>
          </cell>
          <cell r="R3413" t="str">
            <v>Jember</v>
          </cell>
          <cell r="S3413" t="str">
            <v>G Prob1</v>
          </cell>
          <cell r="T3413" t="str">
            <v>Wira</v>
          </cell>
          <cell r="U3413">
            <v>30</v>
          </cell>
        </row>
        <row r="3414">
          <cell r="E3414" t="str">
            <v>D25013741</v>
          </cell>
          <cell r="F3414"/>
          <cell r="G3414">
            <v>100000000</v>
          </cell>
          <cell r="H3414" t="str">
            <v>Yuyun</v>
          </cell>
          <cell r="I3414" t="str">
            <v>Farida</v>
          </cell>
          <cell r="J3414" t="str">
            <v>New 11/12/20</v>
          </cell>
          <cell r="K3414" t="str">
            <v>KU</v>
          </cell>
          <cell r="L3414" t="str">
            <v>INTA04</v>
          </cell>
          <cell r="M3414" t="str">
            <v>Intani, UD/Yayak</v>
          </cell>
          <cell r="N3414" t="str">
            <v>Yayak Rahman Hidayat</v>
          </cell>
          <cell r="O3414" t="str">
            <v>Jl. PB. Sudirman GG. Mulia 1 Dusun Tekoan RT.004/RW.007, Kel. Tanggul Kulon, Kec. Tanggul</v>
          </cell>
          <cell r="P3414" t="str">
            <v>Jember</v>
          </cell>
          <cell r="Q3414" t="str">
            <v>Sumberbaru</v>
          </cell>
          <cell r="R3414" t="str">
            <v>Jember</v>
          </cell>
          <cell r="S3414" t="str">
            <v>G Prob1</v>
          </cell>
          <cell r="T3414" t="str">
            <v>Wira</v>
          </cell>
          <cell r="U3414">
            <v>30</v>
          </cell>
        </row>
        <row r="3415">
          <cell r="E3415" t="str">
            <v>D25013920</v>
          </cell>
          <cell r="F3415"/>
          <cell r="G3415">
            <v>100000000</v>
          </cell>
          <cell r="H3415" t="str">
            <v>Yuyun</v>
          </cell>
          <cell r="I3415" t="str">
            <v>Farida</v>
          </cell>
          <cell r="J3415" t="str">
            <v>New 11/12/20</v>
          </cell>
          <cell r="K3415" t="str">
            <v>KU</v>
          </cell>
          <cell r="L3415" t="str">
            <v>INTA04</v>
          </cell>
          <cell r="M3415" t="str">
            <v>Intani, UD/Yayak</v>
          </cell>
          <cell r="N3415" t="str">
            <v>Yayak Rahman Hidayat</v>
          </cell>
          <cell r="O3415" t="str">
            <v>Jl. PB. Sudirman GG. Mulia 1 Dusun Tekoan RT.004/RW.007, Kel. Tanggul Kulon, Kec. Tanggul</v>
          </cell>
          <cell r="P3415" t="str">
            <v>Jember</v>
          </cell>
          <cell r="Q3415" t="str">
            <v>Sumberbaru</v>
          </cell>
          <cell r="R3415" t="str">
            <v>Jember</v>
          </cell>
          <cell r="S3415" t="str">
            <v>G Prob1</v>
          </cell>
          <cell r="T3415" t="str">
            <v>Wira</v>
          </cell>
          <cell r="U3415">
            <v>30</v>
          </cell>
        </row>
        <row r="3416">
          <cell r="E3416" t="str">
            <v>D25014115</v>
          </cell>
          <cell r="F3416"/>
          <cell r="G3416">
            <v>100000000</v>
          </cell>
          <cell r="H3416" t="str">
            <v>Yuyun</v>
          </cell>
          <cell r="I3416" t="str">
            <v>Farida</v>
          </cell>
          <cell r="J3416" t="str">
            <v>New 11/12/20</v>
          </cell>
          <cell r="K3416" t="str">
            <v>KU</v>
          </cell>
          <cell r="L3416" t="str">
            <v>INTA04</v>
          </cell>
          <cell r="M3416" t="str">
            <v>Intani, UD/Yayak</v>
          </cell>
          <cell r="N3416" t="str">
            <v>Yayak Rahman Hidayat</v>
          </cell>
          <cell r="O3416" t="str">
            <v>Jl. PB. Sudirman GG. Mulia 1 Dusun Tekoan RT.004/RW.007, Kel. Tanggul Kulon, Kec. Tanggul</v>
          </cell>
          <cell r="P3416" t="str">
            <v>Jember</v>
          </cell>
          <cell r="Q3416" t="str">
            <v>Sumberbaru</v>
          </cell>
          <cell r="R3416" t="str">
            <v>Jember</v>
          </cell>
          <cell r="S3416" t="str">
            <v>G Prob1</v>
          </cell>
          <cell r="T3416" t="str">
            <v>Wira</v>
          </cell>
          <cell r="U3416">
            <v>30</v>
          </cell>
        </row>
        <row r="3417">
          <cell r="E3417" t="str">
            <v>D25014383</v>
          </cell>
          <cell r="F3417"/>
          <cell r="G3417">
            <v>100000000</v>
          </cell>
          <cell r="H3417" t="str">
            <v>Yuyun</v>
          </cell>
          <cell r="I3417" t="str">
            <v>Farida</v>
          </cell>
          <cell r="J3417" t="str">
            <v>New 11/12/20</v>
          </cell>
          <cell r="K3417" t="str">
            <v>KU</v>
          </cell>
          <cell r="L3417" t="str">
            <v>INTA04</v>
          </cell>
          <cell r="M3417" t="str">
            <v>Intani, UD/Yayak</v>
          </cell>
          <cell r="N3417" t="str">
            <v>Yayak Rahman Hidayat</v>
          </cell>
          <cell r="O3417" t="str">
            <v>Jl. PB. Sudirman GG. Mulia 1 Dusun Tekoan RT.004/RW.007, Kel. Tanggul Kulon, Kec. Tanggul</v>
          </cell>
          <cell r="P3417" t="str">
            <v>Jember</v>
          </cell>
          <cell r="Q3417" t="str">
            <v>Sumberbaru</v>
          </cell>
          <cell r="R3417" t="str">
            <v>Jember</v>
          </cell>
          <cell r="S3417" t="str">
            <v>G Prob1</v>
          </cell>
          <cell r="T3417" t="str">
            <v>Wira</v>
          </cell>
          <cell r="U3417">
            <v>30</v>
          </cell>
        </row>
        <row r="3418">
          <cell r="E3418" t="str">
            <v>B25012251</v>
          </cell>
          <cell r="F3418"/>
          <cell r="G3418">
            <v>100000000</v>
          </cell>
          <cell r="H3418" t="str">
            <v>Yuyun</v>
          </cell>
          <cell r="I3418" t="str">
            <v>Farida</v>
          </cell>
          <cell r="J3418" t="str">
            <v>New 11/12/20</v>
          </cell>
          <cell r="K3418" t="str">
            <v>KU</v>
          </cell>
          <cell r="L3418" t="str">
            <v>INTA04</v>
          </cell>
          <cell r="M3418" t="str">
            <v>Intani, UD/Yayak</v>
          </cell>
          <cell r="N3418" t="str">
            <v>Yayak Rahman Hidayat</v>
          </cell>
          <cell r="O3418" t="str">
            <v>Jl. PB. Sudirman GG. Mulia 1 Dusun Tekoan RT.004/RW.007, Kel. Tanggul Kulon, Kec. Tanggul</v>
          </cell>
          <cell r="P3418" t="str">
            <v>Jember</v>
          </cell>
          <cell r="Q3418" t="str">
            <v>Sumberbaru</v>
          </cell>
          <cell r="R3418" t="str">
            <v>Jember</v>
          </cell>
          <cell r="S3418" t="str">
            <v>G Prob1</v>
          </cell>
          <cell r="T3418" t="str">
            <v>Wira</v>
          </cell>
          <cell r="U3418">
            <v>30</v>
          </cell>
        </row>
        <row r="3419">
          <cell r="E3419" t="str">
            <v>B25012408</v>
          </cell>
          <cell r="F3419"/>
          <cell r="G3419">
            <v>100000000</v>
          </cell>
          <cell r="H3419" t="str">
            <v>Yuyun</v>
          </cell>
          <cell r="I3419" t="str">
            <v>Farida</v>
          </cell>
          <cell r="J3419" t="str">
            <v>New 11/12/20</v>
          </cell>
          <cell r="K3419" t="str">
            <v>KU</v>
          </cell>
          <cell r="L3419" t="str">
            <v>INTA04</v>
          </cell>
          <cell r="M3419" t="str">
            <v>Intani, UD/Yayak</v>
          </cell>
          <cell r="N3419" t="str">
            <v>Yayak Rahman Hidayat</v>
          </cell>
          <cell r="O3419" t="str">
            <v>Jl. PB. Sudirman GG. Mulia 1 Dusun Tekoan RT.004/RW.007, Kel. Tanggul Kulon, Kec. Tanggul</v>
          </cell>
          <cell r="P3419" t="str">
            <v>Jember</v>
          </cell>
          <cell r="Q3419" t="str">
            <v>Sumberbaru</v>
          </cell>
          <cell r="R3419" t="str">
            <v>Jember</v>
          </cell>
          <cell r="S3419" t="str">
            <v>G Prob1</v>
          </cell>
          <cell r="T3419" t="str">
            <v>Wira</v>
          </cell>
          <cell r="U3419">
            <v>30</v>
          </cell>
        </row>
        <row r="3420">
          <cell r="E3420" t="str">
            <v>D25014640</v>
          </cell>
          <cell r="F3420"/>
          <cell r="G3420">
            <v>100000000</v>
          </cell>
          <cell r="H3420" t="str">
            <v>Yuyun</v>
          </cell>
          <cell r="I3420" t="str">
            <v>Farida</v>
          </cell>
          <cell r="J3420" t="str">
            <v>New 11/12/20</v>
          </cell>
          <cell r="K3420" t="str">
            <v>KU</v>
          </cell>
          <cell r="L3420" t="str">
            <v>INTA04</v>
          </cell>
          <cell r="M3420" t="str">
            <v>Intani, UD/Yayak</v>
          </cell>
          <cell r="N3420" t="str">
            <v>Yayak Rahman Hidayat</v>
          </cell>
          <cell r="O3420" t="str">
            <v>Jl. PB. Sudirman GG. Mulia 1 Dusun Tekoan RT.004/RW.007, Kel. Tanggul Kulon, Kec. Tanggul</v>
          </cell>
          <cell r="P3420" t="str">
            <v>Jember</v>
          </cell>
          <cell r="Q3420" t="str">
            <v>Sumberbaru</v>
          </cell>
          <cell r="R3420" t="str">
            <v>Jember</v>
          </cell>
          <cell r="S3420" t="str">
            <v>G Prob1</v>
          </cell>
          <cell r="T3420" t="str">
            <v>Wira</v>
          </cell>
          <cell r="U3420">
            <v>30</v>
          </cell>
        </row>
        <row r="3421">
          <cell r="E3421" t="str">
            <v>B25012471</v>
          </cell>
          <cell r="F3421"/>
          <cell r="G3421">
            <v>100000000</v>
          </cell>
          <cell r="H3421" t="str">
            <v>Yuyun</v>
          </cell>
          <cell r="I3421" t="str">
            <v>Farida</v>
          </cell>
          <cell r="J3421" t="str">
            <v>New 11/12/20</v>
          </cell>
          <cell r="K3421" t="str">
            <v>KU</v>
          </cell>
          <cell r="L3421" t="str">
            <v>INTA04</v>
          </cell>
          <cell r="M3421" t="str">
            <v>Intani, UD/Yayak</v>
          </cell>
          <cell r="N3421" t="str">
            <v>Yayak Rahman Hidayat</v>
          </cell>
          <cell r="O3421" t="str">
            <v>Jl. PB. Sudirman GG. Mulia 1 Dusun Tekoan RT.004/RW.007, Kel. Tanggul Kulon, Kec. Tanggul</v>
          </cell>
          <cell r="P3421" t="str">
            <v>Jember</v>
          </cell>
          <cell r="Q3421" t="str">
            <v>Sumberbaru</v>
          </cell>
          <cell r="R3421" t="str">
            <v>Jember</v>
          </cell>
          <cell r="S3421" t="str">
            <v>G Prob1</v>
          </cell>
          <cell r="T3421" t="str">
            <v>Wira</v>
          </cell>
          <cell r="U3421">
            <v>30</v>
          </cell>
        </row>
        <row r="3422">
          <cell r="E3422" t="str">
            <v>B25012471</v>
          </cell>
          <cell r="F3422"/>
          <cell r="G3422">
            <v>100000000</v>
          </cell>
          <cell r="H3422" t="str">
            <v>Yuyun</v>
          </cell>
          <cell r="I3422" t="str">
            <v>Farida</v>
          </cell>
          <cell r="J3422" t="str">
            <v>New 11/12/20</v>
          </cell>
          <cell r="K3422" t="str">
            <v>KU</v>
          </cell>
          <cell r="L3422" t="str">
            <v>INTA04</v>
          </cell>
          <cell r="M3422" t="str">
            <v>Intani, UD/Yayak</v>
          </cell>
          <cell r="N3422" t="str">
            <v>Yayak Rahman Hidayat</v>
          </cell>
          <cell r="O3422" t="str">
            <v>Jl. PB. Sudirman GG. Mulia 1 Dusun Tekoan RT.004/RW.007, Kel. Tanggul Kulon, Kec. Tanggul</v>
          </cell>
          <cell r="P3422" t="str">
            <v>Jember</v>
          </cell>
          <cell r="Q3422" t="str">
            <v>Sumberbaru</v>
          </cell>
          <cell r="R3422" t="str">
            <v>Jember</v>
          </cell>
          <cell r="S3422" t="str">
            <v>G Prob1</v>
          </cell>
          <cell r="T3422" t="str">
            <v>Wira</v>
          </cell>
          <cell r="U3422">
            <v>30</v>
          </cell>
        </row>
        <row r="3423">
          <cell r="E3423" t="str">
            <v>B25012567</v>
          </cell>
          <cell r="F3423"/>
          <cell r="G3423">
            <v>100000000</v>
          </cell>
          <cell r="H3423" t="str">
            <v>Yuyun</v>
          </cell>
          <cell r="I3423" t="str">
            <v>Farida</v>
          </cell>
          <cell r="J3423" t="str">
            <v>New 11/12/20</v>
          </cell>
          <cell r="K3423" t="str">
            <v>KU</v>
          </cell>
          <cell r="L3423" t="str">
            <v>INTA04</v>
          </cell>
          <cell r="M3423" t="str">
            <v>Intani, UD/Yayak</v>
          </cell>
          <cell r="N3423" t="str">
            <v>Yayak Rahman Hidayat</v>
          </cell>
          <cell r="O3423" t="str">
            <v>Jl. PB. Sudirman GG. Mulia 1 Dusun Tekoan RT.004/RW.007, Kel. Tanggul Kulon, Kec. Tanggul</v>
          </cell>
          <cell r="P3423" t="str">
            <v>Jember</v>
          </cell>
          <cell r="Q3423" t="str">
            <v>Sumberbaru</v>
          </cell>
          <cell r="R3423" t="str">
            <v>Jember</v>
          </cell>
          <cell r="S3423" t="str">
            <v>G Prob1</v>
          </cell>
          <cell r="T3423" t="str">
            <v>Wira</v>
          </cell>
          <cell r="U3423">
            <v>30</v>
          </cell>
        </row>
        <row r="3424">
          <cell r="E3424" t="str">
            <v>B25012568</v>
          </cell>
          <cell r="F3424"/>
          <cell r="G3424">
            <v>100000000</v>
          </cell>
          <cell r="H3424" t="str">
            <v>Yuyun</v>
          </cell>
          <cell r="I3424" t="str">
            <v>Farida</v>
          </cell>
          <cell r="J3424" t="str">
            <v>New 11/12/20</v>
          </cell>
          <cell r="K3424" t="str">
            <v>KU</v>
          </cell>
          <cell r="L3424" t="str">
            <v>INTA04</v>
          </cell>
          <cell r="M3424" t="str">
            <v>Intani, UD/Yayak</v>
          </cell>
          <cell r="N3424" t="str">
            <v>Yayak Rahman Hidayat</v>
          </cell>
          <cell r="O3424" t="str">
            <v>Jl. PB. Sudirman GG. Mulia 1 Dusun Tekoan RT.004/RW.007, Kel. Tanggul Kulon, Kec. Tanggul</v>
          </cell>
          <cell r="P3424" t="str">
            <v>Jember</v>
          </cell>
          <cell r="Q3424" t="str">
            <v>Sumberbaru</v>
          </cell>
          <cell r="R3424" t="str">
            <v>Jember</v>
          </cell>
          <cell r="S3424" t="str">
            <v>G Prob1</v>
          </cell>
          <cell r="T3424" t="str">
            <v>Wira</v>
          </cell>
          <cell r="U3424">
            <v>30</v>
          </cell>
        </row>
        <row r="3425">
          <cell r="E3425" t="str">
            <v>B25012568</v>
          </cell>
          <cell r="F3425"/>
          <cell r="G3425">
            <v>100000000</v>
          </cell>
          <cell r="H3425" t="str">
            <v>Yuyun</v>
          </cell>
          <cell r="I3425" t="str">
            <v>Farida</v>
          </cell>
          <cell r="J3425" t="str">
            <v>New 11/12/20</v>
          </cell>
          <cell r="K3425" t="str">
            <v>KU</v>
          </cell>
          <cell r="L3425" t="str">
            <v>INTA04</v>
          </cell>
          <cell r="M3425" t="str">
            <v>Intani, UD/Yayak</v>
          </cell>
          <cell r="N3425" t="str">
            <v>Yayak Rahman Hidayat</v>
          </cell>
          <cell r="O3425" t="str">
            <v>Jl. PB. Sudirman GG. Mulia 1 Dusun Tekoan RT.004/RW.007, Kel. Tanggul Kulon, Kec. Tanggul</v>
          </cell>
          <cell r="P3425" t="str">
            <v>Jember</v>
          </cell>
          <cell r="Q3425" t="str">
            <v>Sumberbaru</v>
          </cell>
          <cell r="R3425" t="str">
            <v>Jember</v>
          </cell>
          <cell r="S3425" t="str">
            <v>G Prob1</v>
          </cell>
          <cell r="T3425" t="str">
            <v>Wira</v>
          </cell>
          <cell r="U3425">
            <v>30</v>
          </cell>
        </row>
        <row r="3426">
          <cell r="E3426" t="str">
            <v>B25012703</v>
          </cell>
          <cell r="F3426"/>
          <cell r="G3426">
            <v>100000000</v>
          </cell>
          <cell r="H3426" t="str">
            <v>Yuyun</v>
          </cell>
          <cell r="I3426" t="str">
            <v>Farida</v>
          </cell>
          <cell r="J3426" t="str">
            <v>New 11/12/20</v>
          </cell>
          <cell r="K3426" t="str">
            <v>KU</v>
          </cell>
          <cell r="L3426" t="str">
            <v>INTA04</v>
          </cell>
          <cell r="M3426" t="str">
            <v>Intani, UD/Yayak</v>
          </cell>
          <cell r="N3426" t="str">
            <v>Yayak Rahman Hidayat</v>
          </cell>
          <cell r="O3426" t="str">
            <v>Jl. PB. Sudirman GG. Mulia 1 Dusun Tekoan RT.004/RW.007, Kel. Tanggul Kulon, Kec. Tanggul</v>
          </cell>
          <cell r="P3426" t="str">
            <v>Jember</v>
          </cell>
          <cell r="Q3426" t="str">
            <v>Sumberbaru</v>
          </cell>
          <cell r="R3426" t="str">
            <v>Jember</v>
          </cell>
          <cell r="S3426" t="str">
            <v>G Prob1</v>
          </cell>
          <cell r="T3426" t="str">
            <v>Wira</v>
          </cell>
          <cell r="U3426">
            <v>30</v>
          </cell>
        </row>
        <row r="3427">
          <cell r="E3427" t="str">
            <v>B25012769</v>
          </cell>
          <cell r="F3427"/>
          <cell r="G3427">
            <v>100000000</v>
          </cell>
          <cell r="H3427" t="str">
            <v>Yuyun</v>
          </cell>
          <cell r="I3427" t="str">
            <v>Farida</v>
          </cell>
          <cell r="J3427" t="str">
            <v>New 11/12/20</v>
          </cell>
          <cell r="K3427" t="str">
            <v>KU</v>
          </cell>
          <cell r="L3427" t="str">
            <v>INTA04</v>
          </cell>
          <cell r="M3427" t="str">
            <v>Intani, UD/Yayak</v>
          </cell>
          <cell r="N3427" t="str">
            <v>Yayak Rahman Hidayat</v>
          </cell>
          <cell r="O3427" t="str">
            <v>Jl. PB. Sudirman GG. Mulia 1 Dusun Tekoan RT.004/RW.007, Kel. Tanggul Kulon, Kec. Tanggul</v>
          </cell>
          <cell r="P3427" t="str">
            <v>Jember</v>
          </cell>
          <cell r="Q3427" t="str">
            <v>Sumberbaru</v>
          </cell>
          <cell r="R3427" t="str">
            <v>Jember</v>
          </cell>
          <cell r="S3427" t="str">
            <v>G Prob1</v>
          </cell>
          <cell r="T3427" t="str">
            <v>Wira</v>
          </cell>
          <cell r="U3427">
            <v>30</v>
          </cell>
        </row>
        <row r="3428">
          <cell r="E3428" t="str">
            <v>B25012783</v>
          </cell>
          <cell r="F3428"/>
          <cell r="G3428">
            <v>100000000</v>
          </cell>
          <cell r="H3428" t="str">
            <v>Yuyun</v>
          </cell>
          <cell r="I3428" t="str">
            <v>Farida</v>
          </cell>
          <cell r="J3428" t="str">
            <v>New 11/12/20</v>
          </cell>
          <cell r="K3428" t="str">
            <v>KU</v>
          </cell>
          <cell r="L3428" t="str">
            <v>INTA04</v>
          </cell>
          <cell r="M3428" t="str">
            <v>Intani, UD/Yayak</v>
          </cell>
          <cell r="N3428" t="str">
            <v>Yayak Rahman Hidayat</v>
          </cell>
          <cell r="O3428" t="str">
            <v>Jl. PB. Sudirman GG. Mulia 1 Dusun Tekoan RT.004/RW.007, Kel. Tanggul Kulon, Kec. Tanggul</v>
          </cell>
          <cell r="P3428" t="str">
            <v>Jember</v>
          </cell>
          <cell r="Q3428" t="str">
            <v>Sumberbaru</v>
          </cell>
          <cell r="R3428" t="str">
            <v>Jember</v>
          </cell>
          <cell r="S3428" t="str">
            <v>G Prob1</v>
          </cell>
          <cell r="T3428" t="str">
            <v>Wira</v>
          </cell>
          <cell r="U3428">
            <v>30</v>
          </cell>
        </row>
        <row r="3429">
          <cell r="E3429" t="str">
            <v>B25013071</v>
          </cell>
          <cell r="F3429"/>
          <cell r="G3429">
            <v>100000000</v>
          </cell>
          <cell r="H3429" t="str">
            <v>Yuyun</v>
          </cell>
          <cell r="I3429" t="str">
            <v>Farida</v>
          </cell>
          <cell r="J3429" t="str">
            <v>New 11/12/20</v>
          </cell>
          <cell r="K3429" t="str">
            <v>KU</v>
          </cell>
          <cell r="L3429" t="str">
            <v>INTA04</v>
          </cell>
          <cell r="M3429" t="str">
            <v>Intani, UD/Yayak</v>
          </cell>
          <cell r="N3429" t="str">
            <v>Yayak Rahman Hidayat</v>
          </cell>
          <cell r="O3429" t="str">
            <v>Jl. PB. Sudirman GG. Mulia 1 Dusun Tekoan RT.004/RW.007, Kel. Tanggul Kulon, Kec. Tanggul</v>
          </cell>
          <cell r="P3429" t="str">
            <v>Jember</v>
          </cell>
          <cell r="Q3429" t="str">
            <v>Sumberbaru</v>
          </cell>
          <cell r="R3429" t="str">
            <v>Jember</v>
          </cell>
          <cell r="S3429" t="str">
            <v>G Prob1</v>
          </cell>
          <cell r="T3429" t="str">
            <v>Wira</v>
          </cell>
          <cell r="U3429">
            <v>30</v>
          </cell>
        </row>
        <row r="3430">
          <cell r="E3430" t="str">
            <v>B25013084</v>
          </cell>
          <cell r="F3430"/>
          <cell r="G3430">
            <v>100000000</v>
          </cell>
          <cell r="H3430" t="str">
            <v>Yuyun</v>
          </cell>
          <cell r="I3430" t="str">
            <v>Farida</v>
          </cell>
          <cell r="J3430" t="str">
            <v>New 11/12/20</v>
          </cell>
          <cell r="K3430" t="str">
            <v>KU</v>
          </cell>
          <cell r="L3430" t="str">
            <v>INTA04</v>
          </cell>
          <cell r="M3430" t="str">
            <v>Intani, UD/Yayak</v>
          </cell>
          <cell r="N3430" t="str">
            <v>Yayak Rahman Hidayat</v>
          </cell>
          <cell r="O3430" t="str">
            <v>Jl. PB. Sudirman GG. Mulia 1 Dusun Tekoan RT.004/RW.007, Kel. Tanggul Kulon, Kec. Tanggul</v>
          </cell>
          <cell r="P3430" t="str">
            <v>Jember</v>
          </cell>
          <cell r="Q3430" t="str">
            <v>Sumberbaru</v>
          </cell>
          <cell r="R3430" t="str">
            <v>Jember</v>
          </cell>
          <cell r="S3430" t="str">
            <v>G Prob1</v>
          </cell>
          <cell r="T3430" t="str">
            <v>Wira</v>
          </cell>
          <cell r="U3430">
            <v>30</v>
          </cell>
        </row>
        <row r="3431">
          <cell r="E3431" t="str">
            <v>D25015342</v>
          </cell>
          <cell r="F3431"/>
          <cell r="G3431">
            <v>100000000</v>
          </cell>
          <cell r="H3431" t="str">
            <v>Yuyun</v>
          </cell>
          <cell r="I3431" t="str">
            <v>Farida</v>
          </cell>
          <cell r="J3431" t="str">
            <v>New 11/12/20</v>
          </cell>
          <cell r="K3431" t="str">
            <v>KU</v>
          </cell>
          <cell r="L3431" t="str">
            <v>INTA04</v>
          </cell>
          <cell r="M3431" t="str">
            <v>Intani, UD/Yayak</v>
          </cell>
          <cell r="N3431" t="str">
            <v>Yayak Rahman Hidayat</v>
          </cell>
          <cell r="O3431" t="str">
            <v>Jl. PB. Sudirman GG. Mulia 1 Dusun Tekoan RT.004/RW.007, Kel. Tanggul Kulon, Kec. Tanggul</v>
          </cell>
          <cell r="P3431" t="str">
            <v>Jember</v>
          </cell>
          <cell r="Q3431" t="str">
            <v>Sumberbaru</v>
          </cell>
          <cell r="R3431" t="str">
            <v>Jember</v>
          </cell>
          <cell r="S3431" t="str">
            <v>G Prob1</v>
          </cell>
          <cell r="T3431" t="str">
            <v>Wira</v>
          </cell>
          <cell r="U3431">
            <v>30</v>
          </cell>
        </row>
        <row r="3432">
          <cell r="E3432" t="str">
            <v>B25013265</v>
          </cell>
          <cell r="F3432"/>
          <cell r="G3432">
            <v>100000000</v>
          </cell>
          <cell r="H3432" t="str">
            <v>Yuyun</v>
          </cell>
          <cell r="I3432" t="str">
            <v>Farida</v>
          </cell>
          <cell r="J3432" t="str">
            <v>New 11/12/20</v>
          </cell>
          <cell r="K3432" t="str">
            <v>KU</v>
          </cell>
          <cell r="L3432" t="str">
            <v>INTA04</v>
          </cell>
          <cell r="M3432" t="str">
            <v>Intani, UD/Yayak</v>
          </cell>
          <cell r="N3432" t="str">
            <v>Yayak Rahman Hidayat</v>
          </cell>
          <cell r="O3432" t="str">
            <v>Jl. PB. Sudirman GG. Mulia 1 Dusun Tekoan RT.004/RW.007, Kel. Tanggul Kulon, Kec. Tanggul</v>
          </cell>
          <cell r="P3432" t="str">
            <v>Jember</v>
          </cell>
          <cell r="Q3432" t="str">
            <v>Sumberbaru</v>
          </cell>
          <cell r="R3432" t="str">
            <v>Jember</v>
          </cell>
          <cell r="S3432" t="str">
            <v>G Prob1</v>
          </cell>
          <cell r="T3432" t="str">
            <v>Wira</v>
          </cell>
          <cell r="U3432">
            <v>30</v>
          </cell>
        </row>
        <row r="3433">
          <cell r="E3433" t="str">
            <v>B25013436</v>
          </cell>
          <cell r="F3433"/>
          <cell r="G3433">
            <v>100000000</v>
          </cell>
          <cell r="H3433" t="str">
            <v>Yuyun</v>
          </cell>
          <cell r="I3433" t="str">
            <v>Farida</v>
          </cell>
          <cell r="J3433" t="str">
            <v>New 11/12/20</v>
          </cell>
          <cell r="K3433" t="str">
            <v>KU</v>
          </cell>
          <cell r="L3433" t="str">
            <v>INTA04</v>
          </cell>
          <cell r="M3433" t="str">
            <v>Intani, UD/Yayak</v>
          </cell>
          <cell r="N3433" t="str">
            <v>Yayak Rahman Hidayat</v>
          </cell>
          <cell r="O3433" t="str">
            <v>Jl. PB. Sudirman GG. Mulia 1 Dusun Tekoan RT.004/RW.007, Kel. Tanggul Kulon, Kec. Tanggul</v>
          </cell>
          <cell r="P3433" t="str">
            <v>Jember</v>
          </cell>
          <cell r="Q3433" t="str">
            <v>Sumberbaru</v>
          </cell>
          <cell r="R3433" t="str">
            <v>Jember</v>
          </cell>
          <cell r="S3433" t="str">
            <v>G Prob1</v>
          </cell>
          <cell r="T3433" t="str">
            <v>Wira</v>
          </cell>
          <cell r="U3433">
            <v>30</v>
          </cell>
        </row>
        <row r="3434">
          <cell r="E3434" t="str">
            <v>B25013925</v>
          </cell>
          <cell r="F3434"/>
          <cell r="G3434">
            <v>100000000</v>
          </cell>
          <cell r="H3434" t="str">
            <v>Yuyun</v>
          </cell>
          <cell r="I3434" t="str">
            <v>Farida</v>
          </cell>
          <cell r="J3434" t="str">
            <v>New 11/12/20</v>
          </cell>
          <cell r="K3434" t="str">
            <v>KU</v>
          </cell>
          <cell r="L3434" t="str">
            <v>INTA04</v>
          </cell>
          <cell r="M3434" t="str">
            <v>Intani, UD/Yayak</v>
          </cell>
          <cell r="N3434" t="str">
            <v>Yayak Rahman Hidayat</v>
          </cell>
          <cell r="O3434" t="str">
            <v>Jl. PB. Sudirman GG. Mulia 1 Dusun Tekoan RT.004/RW.007, Kel. Tanggul Kulon, Kec. Tanggul</v>
          </cell>
          <cell r="P3434" t="str">
            <v>Jember</v>
          </cell>
          <cell r="Q3434" t="str">
            <v>Sumberbaru</v>
          </cell>
          <cell r="R3434" t="str">
            <v>Jember</v>
          </cell>
          <cell r="S3434" t="str">
            <v>G Prob1</v>
          </cell>
          <cell r="T3434" t="str">
            <v>Wira</v>
          </cell>
          <cell r="U3434">
            <v>30</v>
          </cell>
        </row>
        <row r="3435">
          <cell r="E3435" t="str">
            <v>D25016318</v>
          </cell>
          <cell r="F3435"/>
          <cell r="G3435">
            <v>100000000</v>
          </cell>
          <cell r="H3435" t="str">
            <v>Yuyun</v>
          </cell>
          <cell r="I3435" t="str">
            <v>Farida</v>
          </cell>
          <cell r="J3435" t="str">
            <v>New 11/12/20</v>
          </cell>
          <cell r="K3435" t="str">
            <v>KU</v>
          </cell>
          <cell r="L3435" t="str">
            <v>INTA04</v>
          </cell>
          <cell r="M3435" t="str">
            <v>Intani, UD/Yayak</v>
          </cell>
          <cell r="N3435" t="str">
            <v>Yayak Rahman Hidayat</v>
          </cell>
          <cell r="O3435" t="str">
            <v>Jl. PB. Sudirman GG. Mulia 1 Dusun Tekoan RT.004/RW.007, Kel. Tanggul Kulon, Kec. Tanggul</v>
          </cell>
          <cell r="P3435" t="str">
            <v>Jember</v>
          </cell>
          <cell r="Q3435" t="str">
            <v>Sumberbaru</v>
          </cell>
          <cell r="R3435" t="str">
            <v>Jember</v>
          </cell>
          <cell r="S3435" t="str">
            <v>G Prob1</v>
          </cell>
          <cell r="T3435" t="str">
            <v>Wira</v>
          </cell>
          <cell r="U3435">
            <v>30</v>
          </cell>
        </row>
        <row r="3436">
          <cell r="E3436" t="str">
            <v>B25014080</v>
          </cell>
          <cell r="F3436"/>
          <cell r="G3436">
            <v>100000000</v>
          </cell>
          <cell r="H3436" t="str">
            <v>Yuyun</v>
          </cell>
          <cell r="I3436" t="str">
            <v>Farida</v>
          </cell>
          <cell r="J3436" t="str">
            <v>New 11/12/20</v>
          </cell>
          <cell r="K3436" t="str">
            <v>KU</v>
          </cell>
          <cell r="L3436" t="str">
            <v>INTA04</v>
          </cell>
          <cell r="M3436" t="str">
            <v>Intani, UD/Yayak</v>
          </cell>
          <cell r="N3436" t="str">
            <v>Yayak Rahman Hidayat</v>
          </cell>
          <cell r="O3436" t="str">
            <v>Jl. PB. Sudirman GG. Mulia 1 Dusun Tekoan RT.004/RW.007, Kel. Tanggul Kulon, Kec. Tanggul</v>
          </cell>
          <cell r="P3436" t="str">
            <v>Jember</v>
          </cell>
          <cell r="Q3436" t="str">
            <v>Sumberbaru</v>
          </cell>
          <cell r="R3436" t="str">
            <v>Jember</v>
          </cell>
          <cell r="S3436" t="str">
            <v>G Prob1</v>
          </cell>
          <cell r="T3436" t="str">
            <v>Wira</v>
          </cell>
          <cell r="U3436">
            <v>30</v>
          </cell>
        </row>
        <row r="3437">
          <cell r="E3437" t="str">
            <v>D25016377</v>
          </cell>
          <cell r="F3437"/>
          <cell r="G3437">
            <v>100000000</v>
          </cell>
          <cell r="H3437" t="str">
            <v>Yuyun</v>
          </cell>
          <cell r="I3437" t="str">
            <v>Farida</v>
          </cell>
          <cell r="J3437" t="str">
            <v>New 11/12/20</v>
          </cell>
          <cell r="K3437" t="str">
            <v>KU</v>
          </cell>
          <cell r="L3437" t="str">
            <v>INTA04</v>
          </cell>
          <cell r="M3437" t="str">
            <v>Intani, UD/Yayak</v>
          </cell>
          <cell r="N3437" t="str">
            <v>Yayak Rahman Hidayat</v>
          </cell>
          <cell r="O3437" t="str">
            <v>Jl. PB. Sudirman GG. Mulia 1 Dusun Tekoan RT.004/RW.007, Kel. Tanggul Kulon, Kec. Tanggul</v>
          </cell>
          <cell r="P3437" t="str">
            <v>Jember</v>
          </cell>
          <cell r="Q3437" t="str">
            <v>Sumberbaru</v>
          </cell>
          <cell r="R3437" t="str">
            <v>Jember</v>
          </cell>
          <cell r="S3437" t="str">
            <v>G Prob1</v>
          </cell>
          <cell r="T3437" t="str">
            <v>Wira</v>
          </cell>
          <cell r="U3437">
            <v>30</v>
          </cell>
        </row>
        <row r="3438">
          <cell r="E3438" t="str">
            <v>R25000090</v>
          </cell>
          <cell r="F3438"/>
          <cell r="G3438">
            <v>1000</v>
          </cell>
          <cell r="H3438" t="str">
            <v>Yuyun</v>
          </cell>
          <cell r="I3438" t="str">
            <v>Tiya</v>
          </cell>
          <cell r="J3438" t="str">
            <v>New 26/10/19</v>
          </cell>
          <cell r="K3438" t="str">
            <v>KU</v>
          </cell>
          <cell r="L3438" t="str">
            <v>ARIF09</v>
          </cell>
          <cell r="M3438" t="str">
            <v>Inter Agro Indonesia, PT</v>
          </cell>
          <cell r="N3438" t="str">
            <v>Inter Agro Indonesia, PT</v>
          </cell>
          <cell r="O3438" t="str">
            <v>Jalan Karang Tengah Blok A2/C1 RT.001/RW.006 , Bona Indah Plaza LT. 3</v>
          </cell>
          <cell r="P3438" t="str">
            <v>Jakarta Selatan</v>
          </cell>
          <cell r="Q3438" t="str">
            <v>Jalan Karang Tengah Blok A2/C1 RT.001/RW.006 , Bona Indah Plaza LT. 3</v>
          </cell>
          <cell r="R3438" t="str">
            <v>Jember</v>
          </cell>
          <cell r="S3438" t="str">
            <v>B Agronomis</v>
          </cell>
          <cell r="T3438" t="str">
            <v>Wira</v>
          </cell>
          <cell r="U3438">
            <v>0</v>
          </cell>
        </row>
        <row r="3439">
          <cell r="E3439" t="str">
            <v>B25012407</v>
          </cell>
          <cell r="F3439"/>
          <cell r="G3439">
            <v>1000</v>
          </cell>
          <cell r="H3439" t="str">
            <v>Yuyun</v>
          </cell>
          <cell r="I3439" t="str">
            <v>Syahra</v>
          </cell>
          <cell r="J3439" t="str">
            <v>New 26/10/19</v>
          </cell>
          <cell r="K3439" t="str">
            <v>KU</v>
          </cell>
          <cell r="L3439" t="str">
            <v>ARIF09</v>
          </cell>
          <cell r="M3439" t="str">
            <v>Inter Agro Indonesia, PT</v>
          </cell>
          <cell r="N3439" t="str">
            <v>Inter Agro Indonesia, PT</v>
          </cell>
          <cell r="O3439" t="str">
            <v>Jalan Karang Tengah Blok A2/C1 RT.001/RW.006 , Bona Indah Plaza LT. 3</v>
          </cell>
          <cell r="P3439" t="str">
            <v>Jakarta Selatan</v>
          </cell>
          <cell r="Q3439" t="str">
            <v>Jalan Karang Tengah Blok A2/C1 RT.001/RW.006 , Bona Indah Plaza LT. 3</v>
          </cell>
          <cell r="R3439" t="str">
            <v>Jember</v>
          </cell>
          <cell r="S3439" t="str">
            <v>B Agronomis</v>
          </cell>
          <cell r="T3439" t="str">
            <v>Wira</v>
          </cell>
          <cell r="U3439">
            <v>30</v>
          </cell>
        </row>
        <row r="3440">
          <cell r="E3440" t="str">
            <v>B25013227</v>
          </cell>
          <cell r="F3440"/>
          <cell r="G3440">
            <v>1000000000</v>
          </cell>
          <cell r="H3440" t="str">
            <v>Yuyun</v>
          </cell>
          <cell r="I3440" t="str">
            <v>Farida</v>
          </cell>
          <cell r="J3440"/>
          <cell r="K3440" t="str">
            <v>KU</v>
          </cell>
          <cell r="L3440" t="str">
            <v>INTI01</v>
          </cell>
          <cell r="M3440" t="str">
            <v>Inti Makmur/Mulyadi</v>
          </cell>
          <cell r="N3440" t="str">
            <v>Inti Makmur Mandiri, PT</v>
          </cell>
          <cell r="O3440" t="str">
            <v>Jl. Imam Bonjol No. 66, Tegal Besar, Kaliwates</v>
          </cell>
          <cell r="P3440" t="str">
            <v>Jember</v>
          </cell>
          <cell r="Q3440" t="str">
            <v>Jalan Wolter Monginsidi 168 , Kranjingan</v>
          </cell>
          <cell r="R3440" t="str">
            <v>Jember</v>
          </cell>
          <cell r="S3440" t="str">
            <v>L Kota1</v>
          </cell>
          <cell r="T3440" t="str">
            <v>OTHERS</v>
          </cell>
          <cell r="U3440">
            <v>60</v>
          </cell>
        </row>
        <row r="3441">
          <cell r="E3441" t="str">
            <v>B25013778</v>
          </cell>
          <cell r="F3441"/>
          <cell r="G3441">
            <v>1000000000</v>
          </cell>
          <cell r="H3441" t="str">
            <v>Yuyun</v>
          </cell>
          <cell r="I3441" t="str">
            <v>Farida</v>
          </cell>
          <cell r="J3441"/>
          <cell r="K3441" t="str">
            <v>KU</v>
          </cell>
          <cell r="L3441" t="str">
            <v>INTI01</v>
          </cell>
          <cell r="M3441" t="str">
            <v>Inti Makmur/Mulyadi</v>
          </cell>
          <cell r="N3441" t="str">
            <v>Inti Makmur Mandiri, PT</v>
          </cell>
          <cell r="O3441" t="str">
            <v>Jl. Imam Bonjol No. 66, Tegal Besar, Kaliwates</v>
          </cell>
          <cell r="P3441" t="str">
            <v>Jember</v>
          </cell>
          <cell r="Q3441" t="str">
            <v>Jalan Wolter Monginsidi 168 , Kranjingan</v>
          </cell>
          <cell r="R3441" t="str">
            <v>Jember</v>
          </cell>
          <cell r="S3441" t="str">
            <v>L Kota1</v>
          </cell>
          <cell r="T3441" t="str">
            <v>OTHERS</v>
          </cell>
          <cell r="U3441">
            <v>60</v>
          </cell>
        </row>
        <row r="3442">
          <cell r="E3442" t="str">
            <v>B25011187</v>
          </cell>
          <cell r="F3442"/>
          <cell r="G3442">
            <v>2500000000</v>
          </cell>
          <cell r="H3442" t="str">
            <v>Zakia</v>
          </cell>
          <cell r="I3442" t="str">
            <v>Tiya</v>
          </cell>
          <cell r="J3442"/>
          <cell r="K3442" t="str">
            <v>KU</v>
          </cell>
          <cell r="L3442" t="str">
            <v>INTI02</v>
          </cell>
          <cell r="M3442" t="str">
            <v>Inti Tani/Hermin</v>
          </cell>
          <cell r="N3442" t="str">
            <v>Lintang Tigade Abadi, CV</v>
          </cell>
          <cell r="O3442" t="str">
            <v>Merak RT.002/RW.002 , Ringinrejo, Kab. Kediri</v>
          </cell>
          <cell r="P3442" t="str">
            <v>Kediri</v>
          </cell>
          <cell r="Q3442" t="str">
            <v>Jl. Raya Sambi No. 287</v>
          </cell>
          <cell r="R3442" t="str">
            <v>Kediri</v>
          </cell>
          <cell r="S3442" t="str">
            <v>D Barat1</v>
          </cell>
          <cell r="T3442" t="str">
            <v>Tomi</v>
          </cell>
          <cell r="U3442">
            <v>30</v>
          </cell>
        </row>
        <row r="3443">
          <cell r="E3443" t="str">
            <v>D25013479</v>
          </cell>
          <cell r="F3443"/>
          <cell r="G3443">
            <v>2500000000</v>
          </cell>
          <cell r="H3443" t="str">
            <v>Zakia</v>
          </cell>
          <cell r="I3443" t="str">
            <v>Tiya</v>
          </cell>
          <cell r="J3443"/>
          <cell r="K3443" t="str">
            <v>KU</v>
          </cell>
          <cell r="L3443" t="str">
            <v>INTI02</v>
          </cell>
          <cell r="M3443" t="str">
            <v>Inti Tani/Hermin</v>
          </cell>
          <cell r="N3443" t="str">
            <v>Lintang Tigade Abadi, CV</v>
          </cell>
          <cell r="O3443" t="str">
            <v>Merak RT.002/RW.002 , Ringinrejo, Kab. Kediri</v>
          </cell>
          <cell r="P3443" t="str">
            <v>Kediri</v>
          </cell>
          <cell r="Q3443" t="str">
            <v>Jl. Raya Sambi No. 287</v>
          </cell>
          <cell r="R3443" t="str">
            <v>Kediri</v>
          </cell>
          <cell r="S3443" t="str">
            <v>D Barat1</v>
          </cell>
          <cell r="T3443" t="str">
            <v>Tomi</v>
          </cell>
          <cell r="U3443">
            <v>30</v>
          </cell>
        </row>
        <row r="3444">
          <cell r="E3444" t="str">
            <v>D25013484</v>
          </cell>
          <cell r="F3444"/>
          <cell r="G3444">
            <v>2500000000</v>
          </cell>
          <cell r="H3444" t="str">
            <v>Zakia</v>
          </cell>
          <cell r="I3444" t="str">
            <v>Tiya</v>
          </cell>
          <cell r="J3444"/>
          <cell r="K3444" t="str">
            <v>KU</v>
          </cell>
          <cell r="L3444" t="str">
            <v>INTI02</v>
          </cell>
          <cell r="M3444" t="str">
            <v>Inti Tani/Hermin</v>
          </cell>
          <cell r="N3444" t="str">
            <v>Lintang Tigade Abadi, CV</v>
          </cell>
          <cell r="O3444" t="str">
            <v>Merak RT.002/RW.002 , Ringinrejo, Kab. Kediri</v>
          </cell>
          <cell r="P3444" t="str">
            <v>Kediri</v>
          </cell>
          <cell r="Q3444" t="str">
            <v>Jl. Raya Sambi No. 287</v>
          </cell>
          <cell r="R3444" t="str">
            <v>Kediri</v>
          </cell>
          <cell r="S3444" t="str">
            <v>D Barat1</v>
          </cell>
          <cell r="T3444" t="str">
            <v>Tomi</v>
          </cell>
          <cell r="U3444">
            <v>30</v>
          </cell>
        </row>
        <row r="3445">
          <cell r="E3445" t="str">
            <v>B25011309</v>
          </cell>
          <cell r="F3445"/>
          <cell r="G3445">
            <v>2500000000</v>
          </cell>
          <cell r="H3445" t="str">
            <v>Zakia</v>
          </cell>
          <cell r="I3445" t="str">
            <v>Tiya</v>
          </cell>
          <cell r="J3445"/>
          <cell r="K3445" t="str">
            <v>KU</v>
          </cell>
          <cell r="L3445" t="str">
            <v>INTI02</v>
          </cell>
          <cell r="M3445" t="str">
            <v>Inti Tani/Hermin</v>
          </cell>
          <cell r="N3445" t="str">
            <v>Lintang Tigade Abadi, CV</v>
          </cell>
          <cell r="O3445" t="str">
            <v>Merak RT.002/RW.002 , Ringinrejo, Kab. Kediri</v>
          </cell>
          <cell r="P3445" t="str">
            <v>Kediri</v>
          </cell>
          <cell r="Q3445" t="str">
            <v>Jl. Raya Sambi No. 287</v>
          </cell>
          <cell r="R3445" t="str">
            <v>Kediri</v>
          </cell>
          <cell r="S3445" t="str">
            <v>D Barat1</v>
          </cell>
          <cell r="T3445" t="str">
            <v>Tomi</v>
          </cell>
          <cell r="U3445">
            <v>30</v>
          </cell>
        </row>
        <row r="3446">
          <cell r="E3446" t="str">
            <v>D25013495</v>
          </cell>
          <cell r="F3446"/>
          <cell r="G3446">
            <v>2500000000</v>
          </cell>
          <cell r="H3446" t="str">
            <v>Zakia</v>
          </cell>
          <cell r="I3446" t="str">
            <v>Tiya</v>
          </cell>
          <cell r="J3446"/>
          <cell r="K3446" t="str">
            <v>KU</v>
          </cell>
          <cell r="L3446" t="str">
            <v>INTI02</v>
          </cell>
          <cell r="M3446" t="str">
            <v>Inti Tani/Hermin</v>
          </cell>
          <cell r="N3446" t="str">
            <v>Lintang Tigade Abadi, CV</v>
          </cell>
          <cell r="O3446" t="str">
            <v>Merak RT.002/RW.002 , Ringinrejo, Kab. Kediri</v>
          </cell>
          <cell r="P3446" t="str">
            <v>Kediri</v>
          </cell>
          <cell r="Q3446" t="str">
            <v>Jl. Raya Sambi No. 287</v>
          </cell>
          <cell r="R3446" t="str">
            <v>Kediri</v>
          </cell>
          <cell r="S3446" t="str">
            <v>D Barat1</v>
          </cell>
          <cell r="T3446" t="str">
            <v>Tomi</v>
          </cell>
          <cell r="U3446">
            <v>30</v>
          </cell>
        </row>
        <row r="3447">
          <cell r="E3447" t="str">
            <v>D25013783</v>
          </cell>
          <cell r="F3447"/>
          <cell r="G3447">
            <v>2500000000</v>
          </cell>
          <cell r="H3447" t="str">
            <v>Zakia</v>
          </cell>
          <cell r="I3447" t="str">
            <v>Tiya</v>
          </cell>
          <cell r="J3447"/>
          <cell r="K3447" t="str">
            <v>KU</v>
          </cell>
          <cell r="L3447" t="str">
            <v>INTI02</v>
          </cell>
          <cell r="M3447" t="str">
            <v>Inti Tani/Hermin</v>
          </cell>
          <cell r="N3447" t="str">
            <v>Lintang Tigade Abadi, CV</v>
          </cell>
          <cell r="O3447" t="str">
            <v>Merak RT.002/RW.002 , Ringinrejo, Kab. Kediri</v>
          </cell>
          <cell r="P3447" t="str">
            <v>Kediri</v>
          </cell>
          <cell r="Q3447" t="str">
            <v>Jl. Raya Sambi No. 287</v>
          </cell>
          <cell r="R3447" t="str">
            <v>Kediri</v>
          </cell>
          <cell r="S3447" t="str">
            <v>D Barat1</v>
          </cell>
          <cell r="T3447" t="str">
            <v>Tomi</v>
          </cell>
          <cell r="U3447">
            <v>30</v>
          </cell>
        </row>
        <row r="3448">
          <cell r="E3448" t="str">
            <v>D25013869</v>
          </cell>
          <cell r="F3448"/>
          <cell r="G3448">
            <v>2500000000</v>
          </cell>
          <cell r="H3448" t="str">
            <v>Zakia</v>
          </cell>
          <cell r="I3448" t="str">
            <v>Tiya</v>
          </cell>
          <cell r="J3448"/>
          <cell r="K3448" t="str">
            <v>KU</v>
          </cell>
          <cell r="L3448" t="str">
            <v>INTI02</v>
          </cell>
          <cell r="M3448" t="str">
            <v>Inti Tani/Hermin</v>
          </cell>
          <cell r="N3448" t="str">
            <v>Lintang Tigade Abadi, CV</v>
          </cell>
          <cell r="O3448" t="str">
            <v>Merak RT.002/RW.002 , Ringinrejo, Kab. Kediri</v>
          </cell>
          <cell r="P3448" t="str">
            <v>Kediri</v>
          </cell>
          <cell r="Q3448" t="str">
            <v>Jl. Raya Sambi No. 287</v>
          </cell>
          <cell r="R3448" t="str">
            <v>Kediri</v>
          </cell>
          <cell r="S3448" t="str">
            <v>D Barat1</v>
          </cell>
          <cell r="T3448" t="str">
            <v>Tomi</v>
          </cell>
          <cell r="U3448">
            <v>30</v>
          </cell>
        </row>
        <row r="3449">
          <cell r="E3449" t="str">
            <v>D25013870</v>
          </cell>
          <cell r="F3449"/>
          <cell r="G3449">
            <v>2500000000</v>
          </cell>
          <cell r="H3449" t="str">
            <v>Zakia</v>
          </cell>
          <cell r="I3449" t="str">
            <v>Tiya</v>
          </cell>
          <cell r="J3449"/>
          <cell r="K3449" t="str">
            <v>KU</v>
          </cell>
          <cell r="L3449" t="str">
            <v>INTI02</v>
          </cell>
          <cell r="M3449" t="str">
            <v>Inti Tani/Hermin</v>
          </cell>
          <cell r="N3449" t="str">
            <v>Lintang Tigade Abadi, CV</v>
          </cell>
          <cell r="O3449" t="str">
            <v>Merak RT.002/RW.002 , Ringinrejo, Kab. Kediri</v>
          </cell>
          <cell r="P3449" t="str">
            <v>Kediri</v>
          </cell>
          <cell r="Q3449" t="str">
            <v>Jl. Raya Sambi No. 287</v>
          </cell>
          <cell r="R3449" t="str">
            <v>Kediri</v>
          </cell>
          <cell r="S3449" t="str">
            <v>D Barat1</v>
          </cell>
          <cell r="T3449" t="str">
            <v>Tomi</v>
          </cell>
          <cell r="U3449">
            <v>30</v>
          </cell>
        </row>
        <row r="3450">
          <cell r="E3450" t="str">
            <v>B25012172</v>
          </cell>
          <cell r="F3450"/>
          <cell r="G3450">
            <v>2500000000</v>
          </cell>
          <cell r="H3450" t="str">
            <v>Zakia</v>
          </cell>
          <cell r="I3450" t="str">
            <v>Tiya</v>
          </cell>
          <cell r="J3450"/>
          <cell r="K3450" t="str">
            <v>KU</v>
          </cell>
          <cell r="L3450" t="str">
            <v>INTI02</v>
          </cell>
          <cell r="M3450" t="str">
            <v>Inti Tani/Hermin</v>
          </cell>
          <cell r="N3450" t="str">
            <v>Lintang Tigade Abadi, CV</v>
          </cell>
          <cell r="O3450" t="str">
            <v>Merak RT.002/RW.002 , Ringinrejo, Kab. Kediri</v>
          </cell>
          <cell r="P3450" t="str">
            <v>Kediri</v>
          </cell>
          <cell r="Q3450" t="str">
            <v>Jl. Raya Sambi No. 287</v>
          </cell>
          <cell r="R3450" t="str">
            <v>Kediri</v>
          </cell>
          <cell r="S3450" t="str">
            <v>D Barat1</v>
          </cell>
          <cell r="T3450" t="str">
            <v>Tomi</v>
          </cell>
          <cell r="U3450">
            <v>30</v>
          </cell>
        </row>
        <row r="3451">
          <cell r="E3451" t="str">
            <v>D25014477</v>
          </cell>
          <cell r="F3451"/>
          <cell r="G3451">
            <v>2500000000</v>
          </cell>
          <cell r="H3451" t="str">
            <v>Zakia</v>
          </cell>
          <cell r="I3451" t="str">
            <v>Tiya</v>
          </cell>
          <cell r="J3451"/>
          <cell r="K3451" t="str">
            <v>KU</v>
          </cell>
          <cell r="L3451" t="str">
            <v>INTI02</v>
          </cell>
          <cell r="M3451" t="str">
            <v>Inti Tani/Hermin</v>
          </cell>
          <cell r="N3451" t="str">
            <v>Lintang Tigade Abadi, CV</v>
          </cell>
          <cell r="O3451" t="str">
            <v>Merak RT.002/RW.002 , Ringinrejo, Kab. Kediri</v>
          </cell>
          <cell r="P3451" t="str">
            <v>Kediri</v>
          </cell>
          <cell r="Q3451" t="str">
            <v>Jl. Raya Sambi No. 287</v>
          </cell>
          <cell r="R3451" t="str">
            <v>Kediri</v>
          </cell>
          <cell r="S3451" t="str">
            <v>D Barat1</v>
          </cell>
          <cell r="T3451" t="str">
            <v>Tomi</v>
          </cell>
          <cell r="U3451">
            <v>30</v>
          </cell>
        </row>
        <row r="3452">
          <cell r="E3452" t="str">
            <v>B25012287</v>
          </cell>
          <cell r="F3452"/>
          <cell r="G3452">
            <v>2500000000</v>
          </cell>
          <cell r="H3452" t="str">
            <v>Zakia</v>
          </cell>
          <cell r="I3452" t="str">
            <v>Tiya</v>
          </cell>
          <cell r="J3452"/>
          <cell r="K3452" t="str">
            <v>KU</v>
          </cell>
          <cell r="L3452" t="str">
            <v>INTI02</v>
          </cell>
          <cell r="M3452" t="str">
            <v>Inti Tani/Hermin</v>
          </cell>
          <cell r="N3452" t="str">
            <v>Lintang Tigade Abadi, CV</v>
          </cell>
          <cell r="O3452" t="str">
            <v>Merak RT.002/RW.002 , Ringinrejo, Kab. Kediri</v>
          </cell>
          <cell r="P3452" t="str">
            <v>Kediri</v>
          </cell>
          <cell r="Q3452" t="str">
            <v>Jl. Raya Sambi No. 287</v>
          </cell>
          <cell r="R3452" t="str">
            <v>Kediri</v>
          </cell>
          <cell r="S3452" t="str">
            <v>D Barat1</v>
          </cell>
          <cell r="T3452" t="str">
            <v>Tomi</v>
          </cell>
          <cell r="U3452">
            <v>30</v>
          </cell>
        </row>
        <row r="3453">
          <cell r="E3453" t="str">
            <v>B25012334</v>
          </cell>
          <cell r="F3453"/>
          <cell r="G3453">
            <v>2500000000</v>
          </cell>
          <cell r="H3453" t="str">
            <v>Zakia</v>
          </cell>
          <cell r="I3453" t="str">
            <v>Tiya</v>
          </cell>
          <cell r="J3453"/>
          <cell r="K3453" t="str">
            <v>KU</v>
          </cell>
          <cell r="L3453" t="str">
            <v>INTI02</v>
          </cell>
          <cell r="M3453" t="str">
            <v>Inti Tani/Hermin</v>
          </cell>
          <cell r="N3453" t="str">
            <v>Lintang Tigade Abadi, CV</v>
          </cell>
          <cell r="O3453" t="str">
            <v>Merak RT.002/RW.002 , Ringinrejo, Kab. Kediri</v>
          </cell>
          <cell r="P3453" t="str">
            <v>Kediri</v>
          </cell>
          <cell r="Q3453" t="str">
            <v>Jl. Raya Sambi No. 287</v>
          </cell>
          <cell r="R3453" t="str">
            <v>Kediri</v>
          </cell>
          <cell r="S3453" t="str">
            <v>D Barat1</v>
          </cell>
          <cell r="T3453" t="str">
            <v>Tomi</v>
          </cell>
          <cell r="U3453">
            <v>60</v>
          </cell>
        </row>
        <row r="3454">
          <cell r="E3454" t="str">
            <v>D25014688</v>
          </cell>
          <cell r="F3454"/>
          <cell r="G3454">
            <v>2500000000</v>
          </cell>
          <cell r="H3454" t="str">
            <v>Zakia</v>
          </cell>
          <cell r="I3454" t="str">
            <v>Tiya</v>
          </cell>
          <cell r="J3454"/>
          <cell r="K3454" t="str">
            <v>KU</v>
          </cell>
          <cell r="L3454" t="str">
            <v>INTI02</v>
          </cell>
          <cell r="M3454" t="str">
            <v>Inti Tani/Hermin</v>
          </cell>
          <cell r="N3454" t="str">
            <v>Lintang Tigade Abadi, CV</v>
          </cell>
          <cell r="O3454" t="str">
            <v>Merak RT.002/RW.002 , Ringinrejo, Kab. Kediri</v>
          </cell>
          <cell r="P3454" t="str">
            <v>Kediri</v>
          </cell>
          <cell r="Q3454" t="str">
            <v>Jl. Raya Sambi No. 287</v>
          </cell>
          <cell r="R3454" t="str">
            <v>Kediri</v>
          </cell>
          <cell r="S3454" t="str">
            <v>D Barat1</v>
          </cell>
          <cell r="T3454" t="str">
            <v>Tomi</v>
          </cell>
          <cell r="U3454">
            <v>30</v>
          </cell>
        </row>
        <row r="3455">
          <cell r="E3455" t="str">
            <v>D25014700</v>
          </cell>
          <cell r="F3455"/>
          <cell r="G3455">
            <v>2500000000</v>
          </cell>
          <cell r="H3455" t="str">
            <v>Zakia</v>
          </cell>
          <cell r="I3455" t="str">
            <v>Tiya</v>
          </cell>
          <cell r="J3455"/>
          <cell r="K3455" t="str">
            <v>KU</v>
          </cell>
          <cell r="L3455" t="str">
            <v>INTI02</v>
          </cell>
          <cell r="M3455" t="str">
            <v>Inti Tani/Hermin</v>
          </cell>
          <cell r="N3455" t="str">
            <v>Lintang Tigade Abadi, CV</v>
          </cell>
          <cell r="O3455" t="str">
            <v>Merak RT.002/RW.002 , Ringinrejo, Kab. Kediri</v>
          </cell>
          <cell r="P3455" t="str">
            <v>Kediri</v>
          </cell>
          <cell r="Q3455" t="str">
            <v>Jl. Raya Sambi No. 287</v>
          </cell>
          <cell r="R3455" t="str">
            <v>Kediri</v>
          </cell>
          <cell r="S3455" t="str">
            <v>D Barat1</v>
          </cell>
          <cell r="T3455" t="str">
            <v>Tomi</v>
          </cell>
          <cell r="U3455">
            <v>30</v>
          </cell>
        </row>
        <row r="3456">
          <cell r="E3456" t="str">
            <v>B25012539</v>
          </cell>
          <cell r="F3456"/>
          <cell r="G3456">
            <v>2500000000</v>
          </cell>
          <cell r="H3456" t="str">
            <v>Zakia</v>
          </cell>
          <cell r="I3456" t="str">
            <v>Tiya</v>
          </cell>
          <cell r="J3456"/>
          <cell r="K3456" t="str">
            <v>KU</v>
          </cell>
          <cell r="L3456" t="str">
            <v>INTI02</v>
          </cell>
          <cell r="M3456" t="str">
            <v>Inti Tani/Hermin</v>
          </cell>
          <cell r="N3456" t="str">
            <v>Lintang Tigade Abadi, CV</v>
          </cell>
          <cell r="O3456" t="str">
            <v>Merak RT.002/RW.002 , Ringinrejo, Kab. Kediri</v>
          </cell>
          <cell r="P3456" t="str">
            <v>Kediri</v>
          </cell>
          <cell r="Q3456" t="str">
            <v>Jl. Raya Sambi No. 287</v>
          </cell>
          <cell r="R3456" t="str">
            <v>Kediri</v>
          </cell>
          <cell r="S3456" t="str">
            <v>D Barat1</v>
          </cell>
          <cell r="T3456" t="str">
            <v>Tomi</v>
          </cell>
          <cell r="U3456">
            <v>30</v>
          </cell>
        </row>
        <row r="3457">
          <cell r="E3457" t="str">
            <v>D25015278</v>
          </cell>
          <cell r="F3457"/>
          <cell r="G3457">
            <v>2500000000</v>
          </cell>
          <cell r="H3457" t="str">
            <v>Zakia</v>
          </cell>
          <cell r="I3457" t="str">
            <v>Tiya</v>
          </cell>
          <cell r="J3457"/>
          <cell r="K3457" t="str">
            <v>KU</v>
          </cell>
          <cell r="L3457" t="str">
            <v>INTI02</v>
          </cell>
          <cell r="M3457" t="str">
            <v>Inti Tani/Hermin</v>
          </cell>
          <cell r="N3457" t="str">
            <v>Lintang Tigade Abadi, CV</v>
          </cell>
          <cell r="O3457" t="str">
            <v>Merak RT.002/RW.002 , Ringinrejo, Kab. Kediri</v>
          </cell>
          <cell r="P3457" t="str">
            <v>Kediri</v>
          </cell>
          <cell r="Q3457" t="str">
            <v>Jl. Raya Sambi No. 287</v>
          </cell>
          <cell r="R3457" t="str">
            <v>Kediri</v>
          </cell>
          <cell r="S3457" t="str">
            <v>D Barat1</v>
          </cell>
          <cell r="T3457" t="str">
            <v>Tomi</v>
          </cell>
          <cell r="U3457">
            <v>30</v>
          </cell>
        </row>
        <row r="3458">
          <cell r="E3458" t="str">
            <v>D25015512</v>
          </cell>
          <cell r="F3458"/>
          <cell r="G3458">
            <v>2500000000</v>
          </cell>
          <cell r="H3458" t="str">
            <v>Zakia</v>
          </cell>
          <cell r="I3458" t="str">
            <v>Tiya</v>
          </cell>
          <cell r="J3458"/>
          <cell r="K3458" t="str">
            <v>KU</v>
          </cell>
          <cell r="L3458" t="str">
            <v>INTI02</v>
          </cell>
          <cell r="M3458" t="str">
            <v>Inti Tani/Hermin</v>
          </cell>
          <cell r="N3458" t="str">
            <v>Lintang Tigade Abadi, CV</v>
          </cell>
          <cell r="O3458" t="str">
            <v>Merak RT.002/RW.002 , Ringinrejo, Kab. Kediri</v>
          </cell>
          <cell r="P3458" t="str">
            <v>Kediri</v>
          </cell>
          <cell r="Q3458" t="str">
            <v>Jl. Raya Sambi No. 287</v>
          </cell>
          <cell r="R3458" t="str">
            <v>Kediri</v>
          </cell>
          <cell r="S3458" t="str">
            <v>D Barat1</v>
          </cell>
          <cell r="T3458" t="str">
            <v>Tomi</v>
          </cell>
          <cell r="U3458">
            <v>0</v>
          </cell>
        </row>
        <row r="3459">
          <cell r="E3459" t="str">
            <v>D25015967</v>
          </cell>
          <cell r="F3459"/>
          <cell r="G3459">
            <v>2500000000</v>
          </cell>
          <cell r="H3459" t="str">
            <v>Zakia</v>
          </cell>
          <cell r="I3459" t="str">
            <v>Tiya</v>
          </cell>
          <cell r="J3459"/>
          <cell r="K3459" t="str">
            <v>KU</v>
          </cell>
          <cell r="L3459" t="str">
            <v>INTI02</v>
          </cell>
          <cell r="M3459" t="str">
            <v>Inti Tani/Hermin</v>
          </cell>
          <cell r="N3459" t="str">
            <v>Lintang Tigade Abadi, CV</v>
          </cell>
          <cell r="O3459" t="str">
            <v>Merak RT.002/RW.002 , Ringinrejo, Kab. Kediri</v>
          </cell>
          <cell r="P3459" t="str">
            <v>Kediri</v>
          </cell>
          <cell r="Q3459" t="str">
            <v>Jl. Raya Sambi No. 287</v>
          </cell>
          <cell r="R3459" t="str">
            <v>Kediri</v>
          </cell>
          <cell r="S3459" t="str">
            <v>D Barat1</v>
          </cell>
          <cell r="T3459" t="str">
            <v>Tomi</v>
          </cell>
          <cell r="U3459">
            <v>30</v>
          </cell>
        </row>
        <row r="3460">
          <cell r="E3460" t="str">
            <v>D25016059</v>
          </cell>
          <cell r="F3460"/>
          <cell r="G3460">
            <v>2500000000</v>
          </cell>
          <cell r="H3460" t="str">
            <v>Zakia</v>
          </cell>
          <cell r="I3460" t="str">
            <v>Tiya</v>
          </cell>
          <cell r="J3460"/>
          <cell r="K3460" t="str">
            <v>KU</v>
          </cell>
          <cell r="L3460" t="str">
            <v>INTI02</v>
          </cell>
          <cell r="M3460" t="str">
            <v>Inti Tani/Hermin</v>
          </cell>
          <cell r="N3460" t="str">
            <v>Lintang Tigade Abadi, CV</v>
          </cell>
          <cell r="O3460" t="str">
            <v>Merak RT.002/RW.002 , Ringinrejo, Kab. Kediri</v>
          </cell>
          <cell r="P3460" t="str">
            <v>Kediri</v>
          </cell>
          <cell r="Q3460" t="str">
            <v>Jl. Raya Sambi No. 287</v>
          </cell>
          <cell r="R3460" t="str">
            <v>Kediri</v>
          </cell>
          <cell r="S3460" t="str">
            <v>D Barat1</v>
          </cell>
          <cell r="T3460" t="str">
            <v>Tomi</v>
          </cell>
          <cell r="U3460">
            <v>30</v>
          </cell>
        </row>
        <row r="3461">
          <cell r="E3461" t="str">
            <v>D25016114</v>
          </cell>
          <cell r="F3461"/>
          <cell r="G3461">
            <v>2500000000</v>
          </cell>
          <cell r="H3461" t="str">
            <v>Zakia</v>
          </cell>
          <cell r="I3461" t="str">
            <v>Tiya</v>
          </cell>
          <cell r="J3461"/>
          <cell r="K3461" t="str">
            <v>KU</v>
          </cell>
          <cell r="L3461" t="str">
            <v>INTI02</v>
          </cell>
          <cell r="M3461" t="str">
            <v>Inti Tani/Hermin</v>
          </cell>
          <cell r="N3461" t="str">
            <v>Lintang Tigade Abadi, CV</v>
          </cell>
          <cell r="O3461" t="str">
            <v>Merak RT.002/RW.002 , Ringinrejo, Kab. Kediri</v>
          </cell>
          <cell r="P3461" t="str">
            <v>Kediri</v>
          </cell>
          <cell r="Q3461" t="str">
            <v>Jl. Raya Sambi No. 287</v>
          </cell>
          <cell r="R3461" t="str">
            <v>Kediri</v>
          </cell>
          <cell r="S3461" t="str">
            <v>D Barat1</v>
          </cell>
          <cell r="T3461" t="str">
            <v>Tomi</v>
          </cell>
          <cell r="U3461">
            <v>30</v>
          </cell>
        </row>
        <row r="3462">
          <cell r="E3462" t="str">
            <v>D25016201</v>
          </cell>
          <cell r="F3462"/>
          <cell r="G3462">
            <v>2500000000</v>
          </cell>
          <cell r="H3462" t="str">
            <v>Zakia</v>
          </cell>
          <cell r="I3462" t="str">
            <v>Tiya</v>
          </cell>
          <cell r="J3462"/>
          <cell r="K3462" t="str">
            <v>KU</v>
          </cell>
          <cell r="L3462" t="str">
            <v>INTI02</v>
          </cell>
          <cell r="M3462" t="str">
            <v>Inti Tani/Hermin</v>
          </cell>
          <cell r="N3462" t="str">
            <v>Lintang Tigade Abadi, CV</v>
          </cell>
          <cell r="O3462" t="str">
            <v>Merak RT.002/RW.002 , Ringinrejo, Kab. Kediri</v>
          </cell>
          <cell r="P3462" t="str">
            <v>Kediri</v>
          </cell>
          <cell r="Q3462" t="str">
            <v>Jl. Raya Sambi No. 287</v>
          </cell>
          <cell r="R3462" t="str">
            <v>Kediri</v>
          </cell>
          <cell r="S3462" t="str">
            <v>D Barat1</v>
          </cell>
          <cell r="T3462" t="str">
            <v>Tomi</v>
          </cell>
          <cell r="U3462">
            <v>0</v>
          </cell>
        </row>
        <row r="3463">
          <cell r="E3463" t="str">
            <v>D25012678</v>
          </cell>
          <cell r="F3463"/>
          <cell r="G3463">
            <v>100000000</v>
          </cell>
          <cell r="H3463" t="str">
            <v>Yuyun</v>
          </cell>
          <cell r="I3463" t="str">
            <v>Farida</v>
          </cell>
          <cell r="J3463"/>
          <cell r="K3463" t="str">
            <v>KU</v>
          </cell>
          <cell r="L3463" t="str">
            <v>IRAT01</v>
          </cell>
          <cell r="M3463" t="str">
            <v>Ira Tani/Dani, H</v>
          </cell>
          <cell r="N3463" t="str">
            <v>Noor Dani Herlambang</v>
          </cell>
          <cell r="O3463" t="str">
            <v>Dsn. Krajan RT.012/RW.002 Kel. Pringgowirawan Kec. Sumber Baru</v>
          </cell>
          <cell r="P3463" t="str">
            <v>Jember</v>
          </cell>
          <cell r="Q3463" t="str">
            <v>Dsn. Krajan RT.012/RW.002 Kel. Pringgowirawan Kec. Sumber Baru</v>
          </cell>
          <cell r="R3463" t="str">
            <v>Jember</v>
          </cell>
          <cell r="S3463" t="str">
            <v>G Prob1</v>
          </cell>
          <cell r="T3463" t="str">
            <v>Wira</v>
          </cell>
          <cell r="U3463">
            <v>30</v>
          </cell>
        </row>
        <row r="3464">
          <cell r="E3464" t="str">
            <v>D25012679</v>
          </cell>
          <cell r="F3464"/>
          <cell r="G3464">
            <v>100000000</v>
          </cell>
          <cell r="H3464" t="str">
            <v>Yuyun</v>
          </cell>
          <cell r="I3464" t="str">
            <v>Farida</v>
          </cell>
          <cell r="J3464"/>
          <cell r="K3464" t="str">
            <v>KU</v>
          </cell>
          <cell r="L3464" t="str">
            <v>IRAT01</v>
          </cell>
          <cell r="M3464" t="str">
            <v>Ira Tani/Dani, H</v>
          </cell>
          <cell r="N3464" t="str">
            <v>Noor Dani Herlambang</v>
          </cell>
          <cell r="O3464" t="str">
            <v>Dsn. Krajan RT.012/RW.002 Kel. Pringgowirawan Kec. Sumber Baru</v>
          </cell>
          <cell r="P3464" t="str">
            <v>Jember</v>
          </cell>
          <cell r="Q3464" t="str">
            <v>Dsn. Krajan RT.012/RW.002 Kel. Pringgowirawan Kec. Sumber Baru</v>
          </cell>
          <cell r="R3464" t="str">
            <v>Jember</v>
          </cell>
          <cell r="S3464" t="str">
            <v>G Prob1</v>
          </cell>
          <cell r="T3464" t="str">
            <v>Wira</v>
          </cell>
          <cell r="U3464">
            <v>30</v>
          </cell>
        </row>
        <row r="3465">
          <cell r="E3465" t="str">
            <v>B25011516</v>
          </cell>
          <cell r="F3465"/>
          <cell r="G3465">
            <v>100000000</v>
          </cell>
          <cell r="H3465" t="str">
            <v>Yuyun</v>
          </cell>
          <cell r="I3465" t="str">
            <v>Farida</v>
          </cell>
          <cell r="J3465"/>
          <cell r="K3465" t="str">
            <v>KU</v>
          </cell>
          <cell r="L3465" t="str">
            <v>IRAT01</v>
          </cell>
          <cell r="M3465" t="str">
            <v>Ira Tani/Dani, H</v>
          </cell>
          <cell r="N3465" t="str">
            <v>Noor Dani Herlambang</v>
          </cell>
          <cell r="O3465" t="str">
            <v>Dsn. Krajan RT.012/RW.002 Kel. Pringgowirawan Kec. Sumber Baru</v>
          </cell>
          <cell r="P3465" t="str">
            <v>Jember</v>
          </cell>
          <cell r="Q3465" t="str">
            <v>Dsn. Krajan RT.012/RW.002 Kel. Pringgowirawan Kec. Sumber Baru</v>
          </cell>
          <cell r="R3465" t="str">
            <v>Jember</v>
          </cell>
          <cell r="S3465" t="str">
            <v>G Prob1</v>
          </cell>
          <cell r="T3465" t="str">
            <v>Wira</v>
          </cell>
          <cell r="U3465">
            <v>30</v>
          </cell>
        </row>
        <row r="3466">
          <cell r="E3466" t="str">
            <v>B25011517</v>
          </cell>
          <cell r="F3466"/>
          <cell r="G3466">
            <v>100000000</v>
          </cell>
          <cell r="H3466" t="str">
            <v>Yuyun</v>
          </cell>
          <cell r="I3466" t="str">
            <v>Farida</v>
          </cell>
          <cell r="J3466"/>
          <cell r="K3466" t="str">
            <v>KU</v>
          </cell>
          <cell r="L3466" t="str">
            <v>IRAT01</v>
          </cell>
          <cell r="M3466" t="str">
            <v>Ira Tani/Dani, H</v>
          </cell>
          <cell r="N3466" t="str">
            <v>Noor Dani Herlambang</v>
          </cell>
          <cell r="O3466" t="str">
            <v>Dsn. Krajan RT.012/RW.002 Kel. Pringgowirawan Kec. Sumber Baru</v>
          </cell>
          <cell r="P3466" t="str">
            <v>Jember</v>
          </cell>
          <cell r="Q3466" t="str">
            <v>Dsn. Krajan RT.012/RW.002 Kel. Pringgowirawan Kec. Sumber Baru</v>
          </cell>
          <cell r="R3466" t="str">
            <v>Jember</v>
          </cell>
          <cell r="S3466" t="str">
            <v>G Prob1</v>
          </cell>
          <cell r="T3466" t="str">
            <v>Wira</v>
          </cell>
          <cell r="U3466">
            <v>30</v>
          </cell>
        </row>
        <row r="3467">
          <cell r="E3467" t="str">
            <v>B25012224</v>
          </cell>
          <cell r="F3467"/>
          <cell r="G3467">
            <v>100000000</v>
          </cell>
          <cell r="H3467" t="str">
            <v>Yuyun</v>
          </cell>
          <cell r="I3467" t="str">
            <v>Farida</v>
          </cell>
          <cell r="J3467"/>
          <cell r="K3467" t="str">
            <v>KU</v>
          </cell>
          <cell r="L3467" t="str">
            <v>IRAT01</v>
          </cell>
          <cell r="M3467" t="str">
            <v>Ira Tani/Dani, H</v>
          </cell>
          <cell r="N3467" t="str">
            <v>Noor Dani Herlambang</v>
          </cell>
          <cell r="O3467" t="str">
            <v>Dsn. Krajan RT.012/RW.002 Kel. Pringgowirawan Kec. Sumber Baru</v>
          </cell>
          <cell r="P3467" t="str">
            <v>Jember</v>
          </cell>
          <cell r="Q3467" t="str">
            <v>Dsn. Krajan RT.012/RW.002 Kel. Pringgowirawan Kec. Sumber Baru</v>
          </cell>
          <cell r="R3467" t="str">
            <v>Jember</v>
          </cell>
          <cell r="S3467" t="str">
            <v>G Prob1</v>
          </cell>
          <cell r="T3467" t="str">
            <v>Wira</v>
          </cell>
          <cell r="U3467">
            <v>30</v>
          </cell>
        </row>
        <row r="3468">
          <cell r="E3468" t="str">
            <v>D25014804</v>
          </cell>
          <cell r="F3468"/>
          <cell r="G3468">
            <v>100000000</v>
          </cell>
          <cell r="H3468" t="str">
            <v>Yuyun</v>
          </cell>
          <cell r="I3468" t="str">
            <v>Farida</v>
          </cell>
          <cell r="J3468"/>
          <cell r="K3468" t="str">
            <v>KU</v>
          </cell>
          <cell r="L3468" t="str">
            <v>IRAT01</v>
          </cell>
          <cell r="M3468" t="str">
            <v>Ira Tani/Dani, H</v>
          </cell>
          <cell r="N3468" t="str">
            <v>Noor Dani Herlambang</v>
          </cell>
          <cell r="O3468" t="str">
            <v>Dsn. Krajan RT.012/RW.002 Kel. Pringgowirawan Kec. Sumber Baru</v>
          </cell>
          <cell r="P3468" t="str">
            <v>Jember</v>
          </cell>
          <cell r="Q3468" t="str">
            <v>Dsn. Krajan RT.012/RW.002 Kel. Pringgowirawan Kec. Sumber Baru</v>
          </cell>
          <cell r="R3468" t="str">
            <v>Jember</v>
          </cell>
          <cell r="S3468" t="str">
            <v>G Prob1</v>
          </cell>
          <cell r="T3468" t="str">
            <v>Wira</v>
          </cell>
          <cell r="U3468">
            <v>30</v>
          </cell>
        </row>
        <row r="3469">
          <cell r="E3469" t="str">
            <v>B25012791</v>
          </cell>
          <cell r="F3469"/>
          <cell r="G3469">
            <v>100000000</v>
          </cell>
          <cell r="H3469" t="str">
            <v>Yuyun</v>
          </cell>
          <cell r="I3469" t="str">
            <v>Farida</v>
          </cell>
          <cell r="J3469"/>
          <cell r="K3469" t="str">
            <v>KU</v>
          </cell>
          <cell r="L3469" t="str">
            <v>IRAT01</v>
          </cell>
          <cell r="M3469" t="str">
            <v>Ira Tani/Dani, H</v>
          </cell>
          <cell r="N3469" t="str">
            <v>Noor Dani Herlambang</v>
          </cell>
          <cell r="O3469" t="str">
            <v>Dsn. Krajan RT.012/RW.002 Kel. Pringgowirawan Kec. Sumber Baru</v>
          </cell>
          <cell r="P3469" t="str">
            <v>Jember</v>
          </cell>
          <cell r="Q3469" t="str">
            <v>Dsn. Krajan RT.012/RW.002 Kel. Pringgowirawan Kec. Sumber Baru</v>
          </cell>
          <cell r="R3469" t="str">
            <v>Jember</v>
          </cell>
          <cell r="S3469" t="str">
            <v>G Prob1</v>
          </cell>
          <cell r="T3469" t="str">
            <v>Wira</v>
          </cell>
          <cell r="U3469">
            <v>30</v>
          </cell>
        </row>
        <row r="3470">
          <cell r="E3470" t="str">
            <v>T25001201</v>
          </cell>
          <cell r="F3470"/>
          <cell r="G3470">
            <v>50000000</v>
          </cell>
          <cell r="H3470" t="str">
            <v>Reni</v>
          </cell>
          <cell r="I3470" t="str">
            <v>Farida</v>
          </cell>
          <cell r="J3470"/>
          <cell r="K3470" t="str">
            <v>KU</v>
          </cell>
          <cell r="L3470" t="str">
            <v>ISTO01</v>
          </cell>
          <cell r="M3470" t="str">
            <v>Istoni</v>
          </cell>
          <cell r="N3470" t="str">
            <v>Istoni</v>
          </cell>
          <cell r="O3470" t="str">
            <v>Bunder, RT.07/RW.02, Ampeldento, Karangploso</v>
          </cell>
          <cell r="P3470" t="str">
            <v>Batu</v>
          </cell>
          <cell r="Q3470" t="str">
            <v>Jl. Kayun No. 09, Ds. Punten, Kec. Bumi Aji</v>
          </cell>
          <cell r="R3470" t="str">
            <v>Batu</v>
          </cell>
          <cell r="S3470" t="str">
            <v>F Utara1</v>
          </cell>
          <cell r="T3470" t="str">
            <v>Tomi</v>
          </cell>
          <cell r="U3470">
            <v>60</v>
          </cell>
        </row>
        <row r="3471">
          <cell r="E3471" t="str">
            <v>T25001292</v>
          </cell>
          <cell r="F3471"/>
          <cell r="G3471">
            <v>50000000</v>
          </cell>
          <cell r="H3471" t="str">
            <v>Reni</v>
          </cell>
          <cell r="I3471" t="str">
            <v>Farida</v>
          </cell>
          <cell r="J3471"/>
          <cell r="K3471" t="str">
            <v>KU</v>
          </cell>
          <cell r="L3471" t="str">
            <v>ISTO01</v>
          </cell>
          <cell r="M3471" t="str">
            <v>Istoni</v>
          </cell>
          <cell r="N3471" t="str">
            <v>Istoni</v>
          </cell>
          <cell r="O3471" t="str">
            <v>Bunder, RT.07/RW.02, Ampeldento, Karangploso</v>
          </cell>
          <cell r="P3471" t="str">
            <v>Batu</v>
          </cell>
          <cell r="Q3471" t="str">
            <v>Jl. Kayun No. 09, Ds. Punten, Kec. Bumi Aji</v>
          </cell>
          <cell r="R3471" t="str">
            <v>Batu</v>
          </cell>
          <cell r="S3471" t="str">
            <v>F Utara1</v>
          </cell>
          <cell r="T3471" t="str">
            <v>Tomi</v>
          </cell>
          <cell r="U3471">
            <v>60</v>
          </cell>
        </row>
        <row r="3472">
          <cell r="E3472" t="str">
            <v>T25001292</v>
          </cell>
          <cell r="F3472"/>
          <cell r="G3472">
            <v>50000000</v>
          </cell>
          <cell r="H3472" t="str">
            <v>Reni</v>
          </cell>
          <cell r="I3472" t="str">
            <v>Farida</v>
          </cell>
          <cell r="J3472"/>
          <cell r="K3472" t="str">
            <v>KU</v>
          </cell>
          <cell r="L3472" t="str">
            <v>ISTO01</v>
          </cell>
          <cell r="M3472" t="str">
            <v>Istoni</v>
          </cell>
          <cell r="N3472" t="str">
            <v>Istoni</v>
          </cell>
          <cell r="O3472" t="str">
            <v>Bunder, RT.07/RW.02, Ampeldento, Karangploso</v>
          </cell>
          <cell r="P3472" t="str">
            <v>Batu</v>
          </cell>
          <cell r="Q3472" t="str">
            <v>Jl. Kayun No. 09, Ds. Punten, Kec. Bumi Aji</v>
          </cell>
          <cell r="R3472" t="str">
            <v>Batu</v>
          </cell>
          <cell r="S3472" t="str">
            <v>F Utara1</v>
          </cell>
          <cell r="T3472" t="str">
            <v>Tomi</v>
          </cell>
          <cell r="U3472">
            <v>60</v>
          </cell>
        </row>
        <row r="3473">
          <cell r="E3473" t="str">
            <v>B25011547</v>
          </cell>
          <cell r="F3473"/>
          <cell r="G3473">
            <v>50000000</v>
          </cell>
          <cell r="H3473" t="str">
            <v>Reni</v>
          </cell>
          <cell r="I3473" t="str">
            <v>Farida</v>
          </cell>
          <cell r="J3473"/>
          <cell r="K3473" t="str">
            <v>KU</v>
          </cell>
          <cell r="L3473" t="str">
            <v>ISTO01</v>
          </cell>
          <cell r="M3473" t="str">
            <v>Istoni</v>
          </cell>
          <cell r="N3473" t="str">
            <v>Istoni</v>
          </cell>
          <cell r="O3473" t="str">
            <v>Bunder, RT.07/RW.02, Ampeldento, Karangploso</v>
          </cell>
          <cell r="P3473" t="str">
            <v>Batu</v>
          </cell>
          <cell r="Q3473" t="str">
            <v>Jl. Kayun No. 09, Ds. Punten, Kec. Bumi Aji</v>
          </cell>
          <cell r="R3473" t="str">
            <v>Batu</v>
          </cell>
          <cell r="S3473" t="str">
            <v>F Utara1</v>
          </cell>
          <cell r="T3473" t="str">
            <v>Tomi</v>
          </cell>
          <cell r="U3473">
            <v>60</v>
          </cell>
        </row>
        <row r="3474">
          <cell r="E3474" t="str">
            <v>B25011909</v>
          </cell>
          <cell r="F3474"/>
          <cell r="G3474">
            <v>50000000</v>
          </cell>
          <cell r="H3474" t="str">
            <v>Reni</v>
          </cell>
          <cell r="I3474" t="str">
            <v>Farida</v>
          </cell>
          <cell r="J3474"/>
          <cell r="K3474" t="str">
            <v>KU</v>
          </cell>
          <cell r="L3474" t="str">
            <v>ISTO01</v>
          </cell>
          <cell r="M3474" t="str">
            <v>Istoni</v>
          </cell>
          <cell r="N3474" t="str">
            <v>Istoni</v>
          </cell>
          <cell r="O3474" t="str">
            <v>Bunder, RT.07/RW.02, Ampeldento, Karangploso</v>
          </cell>
          <cell r="P3474" t="str">
            <v>Batu</v>
          </cell>
          <cell r="Q3474" t="str">
            <v>Jl. Kayun No. 09, Ds. Punten, Kec. Bumi Aji</v>
          </cell>
          <cell r="R3474" t="str">
            <v>Batu</v>
          </cell>
          <cell r="S3474" t="str">
            <v>F Utara1</v>
          </cell>
          <cell r="T3474" t="str">
            <v>Tomi</v>
          </cell>
          <cell r="U3474">
            <v>60</v>
          </cell>
        </row>
        <row r="3475">
          <cell r="E3475" t="str">
            <v>B25012470</v>
          </cell>
          <cell r="F3475"/>
          <cell r="G3475">
            <v>100000000</v>
          </cell>
          <cell r="H3475" t="str">
            <v>Yuyun</v>
          </cell>
          <cell r="I3475" t="str">
            <v>Farida</v>
          </cell>
          <cell r="J3475"/>
          <cell r="K3475" t="str">
            <v>COD</v>
          </cell>
          <cell r="L3475" t="str">
            <v>JAGO03</v>
          </cell>
          <cell r="M3475" t="str">
            <v>Jago/Nurhadi</v>
          </cell>
          <cell r="N3475" t="str">
            <v>Nurhadi</v>
          </cell>
          <cell r="O3475" t="str">
            <v>Dsn. Tegal Banteng, RT.004/RW.008 Kesilir, Wuluhan</v>
          </cell>
          <cell r="P3475" t="str">
            <v>Jember</v>
          </cell>
          <cell r="Q3475" t="str">
            <v>Kesilir, Wuluhan</v>
          </cell>
          <cell r="R3475" t="str">
            <v>Jember</v>
          </cell>
          <cell r="S3475" t="str">
            <v>L Kota2</v>
          </cell>
          <cell r="T3475" t="str">
            <v>Wira</v>
          </cell>
          <cell r="U3475">
            <v>30</v>
          </cell>
        </row>
        <row r="3476">
          <cell r="E3476" t="str">
            <v>B25012264</v>
          </cell>
          <cell r="F3476"/>
          <cell r="G3476">
            <v>50000000</v>
          </cell>
          <cell r="H3476" t="str">
            <v>Ariyani</v>
          </cell>
          <cell r="I3476" t="str">
            <v>Fira</v>
          </cell>
          <cell r="J3476"/>
          <cell r="K3476" t="str">
            <v>Tunai</v>
          </cell>
          <cell r="L3476" t="str">
            <v>JAVA02</v>
          </cell>
          <cell r="M3476" t="str">
            <v>Java Tani/Anis</v>
          </cell>
          <cell r="N3476" t="str">
            <v>Anis Watun Khusna</v>
          </cell>
          <cell r="O3476" t="str">
            <v>Yosowilangun</v>
          </cell>
          <cell r="P3476" t="str">
            <v>Lumajang</v>
          </cell>
          <cell r="Q3476" t="str">
            <v>Yosowilangun</v>
          </cell>
          <cell r="R3476" t="str">
            <v>Lumajang</v>
          </cell>
          <cell r="S3476" t="str">
            <v>C Lumajang</v>
          </cell>
          <cell r="T3476" t="str">
            <v>Wira</v>
          </cell>
          <cell r="U3476">
            <v>30</v>
          </cell>
        </row>
        <row r="3477">
          <cell r="E3477" t="str">
            <v>T25000924</v>
          </cell>
          <cell r="F3477"/>
          <cell r="G3477">
            <v>3000000000</v>
          </cell>
          <cell r="H3477" t="str">
            <v>Zakia</v>
          </cell>
          <cell r="I3477" t="str">
            <v>Tiya</v>
          </cell>
          <cell r="J3477"/>
          <cell r="K3477" t="str">
            <v>KU</v>
          </cell>
          <cell r="L3477" t="str">
            <v>JAYA01</v>
          </cell>
          <cell r="M3477" t="str">
            <v>Jaya Abadi, UD/Misdi</v>
          </cell>
          <cell r="N3477" t="str">
            <v>Misdi</v>
          </cell>
          <cell r="O3477" t="str">
            <v>Dsn. Sukodono, RT.03/RW.03 Kedungmalang Papar, Kab. Kediri</v>
          </cell>
          <cell r="P3477" t="str">
            <v>Kediri</v>
          </cell>
          <cell r="Q3477" t="str">
            <v>Dsn. Sukodono, RT.03/RW.03 Kedungmalang Papar, Kab. Kediri</v>
          </cell>
          <cell r="R3477" t="str">
            <v>Kediri</v>
          </cell>
          <cell r="S3477" t="str">
            <v>D Barat1</v>
          </cell>
          <cell r="T3477" t="str">
            <v>Tomi</v>
          </cell>
          <cell r="U3477">
            <v>142</v>
          </cell>
        </row>
        <row r="3478">
          <cell r="E3478" t="str">
            <v>D25012624</v>
          </cell>
          <cell r="F3478"/>
          <cell r="G3478">
            <v>3000000000</v>
          </cell>
          <cell r="H3478" t="str">
            <v>Zakia</v>
          </cell>
          <cell r="I3478" t="str">
            <v>Tiya</v>
          </cell>
          <cell r="J3478"/>
          <cell r="K3478" t="str">
            <v>KU</v>
          </cell>
          <cell r="L3478" t="str">
            <v>JAYA01</v>
          </cell>
          <cell r="M3478" t="str">
            <v>Jaya Abadi, UD/Misdi</v>
          </cell>
          <cell r="N3478" t="str">
            <v>Misdi</v>
          </cell>
          <cell r="O3478" t="str">
            <v>Dsn. Sukodono, RT.03/RW.03 Kedungmalang Papar, Kab. Kediri</v>
          </cell>
          <cell r="P3478" t="str">
            <v>Kediri</v>
          </cell>
          <cell r="Q3478" t="str">
            <v>Dsn. Sukodono, RT.03/RW.03 Kedungmalang Papar, Kab. Kediri</v>
          </cell>
          <cell r="R3478" t="str">
            <v>Kediri</v>
          </cell>
          <cell r="S3478" t="str">
            <v>D Barat1</v>
          </cell>
          <cell r="T3478" t="str">
            <v>Tomi</v>
          </cell>
          <cell r="U3478">
            <v>30</v>
          </cell>
        </row>
        <row r="3479">
          <cell r="E3479" t="str">
            <v>T25001347</v>
          </cell>
          <cell r="F3479"/>
          <cell r="G3479">
            <v>3000000000</v>
          </cell>
          <cell r="H3479" t="str">
            <v>Zakia</v>
          </cell>
          <cell r="I3479" t="str">
            <v>Tiya</v>
          </cell>
          <cell r="J3479"/>
          <cell r="K3479" t="str">
            <v>KU</v>
          </cell>
          <cell r="L3479" t="str">
            <v>JAYA01</v>
          </cell>
          <cell r="M3479" t="str">
            <v>Jaya Abadi, UD/Misdi</v>
          </cell>
          <cell r="N3479" t="str">
            <v>Misdi</v>
          </cell>
          <cell r="O3479" t="str">
            <v>Dsn. Sukodono, RT.03/RW.03 Kedungmalang Papar, Kab. Kediri</v>
          </cell>
          <cell r="P3479" t="str">
            <v>Kediri</v>
          </cell>
          <cell r="Q3479" t="str">
            <v>Dsn. Sukodono, RT.03/RW.03 Kedungmalang Papar, Kab. Kediri</v>
          </cell>
          <cell r="R3479" t="str">
            <v>Kediri</v>
          </cell>
          <cell r="S3479" t="str">
            <v>D Barat1</v>
          </cell>
          <cell r="T3479" t="str">
            <v>Tomi</v>
          </cell>
          <cell r="U3479">
            <v>60</v>
          </cell>
        </row>
        <row r="3480">
          <cell r="E3480" t="str">
            <v>D25015960</v>
          </cell>
          <cell r="F3480"/>
          <cell r="G3480">
            <v>3000000000</v>
          </cell>
          <cell r="H3480" t="str">
            <v>Zakia</v>
          </cell>
          <cell r="I3480" t="str">
            <v>Tiya</v>
          </cell>
          <cell r="J3480"/>
          <cell r="K3480" t="str">
            <v>KU</v>
          </cell>
          <cell r="L3480" t="str">
            <v>JAYA01</v>
          </cell>
          <cell r="M3480" t="str">
            <v>Jaya Abadi, UD/Misdi</v>
          </cell>
          <cell r="N3480" t="str">
            <v>Misdi</v>
          </cell>
          <cell r="O3480" t="str">
            <v>Dsn. Sukodono, RT.03/RW.03 Kedungmalang Papar, Kab. Kediri</v>
          </cell>
          <cell r="P3480" t="str">
            <v>Kediri</v>
          </cell>
          <cell r="Q3480" t="str">
            <v>Dsn. Sukodono, RT.03/RW.03 Kedungmalang Papar, Kab. Kediri</v>
          </cell>
          <cell r="R3480" t="str">
            <v>Kediri</v>
          </cell>
          <cell r="S3480" t="str">
            <v>D Barat1</v>
          </cell>
          <cell r="T3480" t="str">
            <v>Tomi</v>
          </cell>
          <cell r="U3480">
            <v>0</v>
          </cell>
        </row>
        <row r="3481">
          <cell r="E3481" t="str">
            <v>D25015960</v>
          </cell>
          <cell r="F3481"/>
          <cell r="G3481">
            <v>3000000000</v>
          </cell>
          <cell r="H3481" t="str">
            <v>Zakia</v>
          </cell>
          <cell r="I3481" t="str">
            <v>Tiya</v>
          </cell>
          <cell r="J3481"/>
          <cell r="K3481" t="str">
            <v>KU</v>
          </cell>
          <cell r="L3481" t="str">
            <v>JAYA01</v>
          </cell>
          <cell r="M3481" t="str">
            <v>Jaya Abadi, UD/Misdi</v>
          </cell>
          <cell r="N3481" t="str">
            <v>Misdi</v>
          </cell>
          <cell r="O3481" t="str">
            <v>Dsn. Sukodono, RT.03/RW.03 Kedungmalang Papar, Kab. Kediri</v>
          </cell>
          <cell r="P3481" t="str">
            <v>Kediri</v>
          </cell>
          <cell r="Q3481" t="str">
            <v>Dsn. Sukodono, RT.03/RW.03 Kedungmalang Papar, Kab. Kediri</v>
          </cell>
          <cell r="R3481" t="str">
            <v>Kediri</v>
          </cell>
          <cell r="S3481" t="str">
            <v>D Barat1</v>
          </cell>
          <cell r="T3481" t="str">
            <v>Tomi</v>
          </cell>
          <cell r="U3481">
            <v>0</v>
          </cell>
        </row>
        <row r="3482">
          <cell r="E3482" t="str">
            <v>D25012268</v>
          </cell>
          <cell r="F3482"/>
          <cell r="G3482">
            <v>10000000</v>
          </cell>
          <cell r="H3482" t="str">
            <v>Reni</v>
          </cell>
          <cell r="I3482" t="str">
            <v>Fira</v>
          </cell>
          <cell r="J3482"/>
          <cell r="K3482" t="str">
            <v>KU, Tunai</v>
          </cell>
          <cell r="L3482" t="str">
            <v>JAYA41</v>
          </cell>
          <cell r="M3482" t="str">
            <v>Jaya Bersama/Eko</v>
          </cell>
          <cell r="N3482" t="str">
            <v>Eko Purnomo</v>
          </cell>
          <cell r="O3482" t="str">
            <v>Takerharjo RT.004/RW.004, Kel. Takerharjo, Kec. Solokuro</v>
          </cell>
          <cell r="P3482" t="str">
            <v>Lamongan</v>
          </cell>
          <cell r="Q3482" t="str">
            <v>Jl. Perintis Kemerdekaan, Tebluru, Selokuro</v>
          </cell>
          <cell r="R3482" t="str">
            <v>Lamongan</v>
          </cell>
          <cell r="S3482" t="str">
            <v>F Utara1</v>
          </cell>
          <cell r="T3482" t="str">
            <v>Dian</v>
          </cell>
          <cell r="U3482">
            <v>60</v>
          </cell>
        </row>
        <row r="3483">
          <cell r="E3483" t="str">
            <v>D25012268</v>
          </cell>
          <cell r="F3483"/>
          <cell r="G3483">
            <v>10000000</v>
          </cell>
          <cell r="H3483" t="str">
            <v>Reni</v>
          </cell>
          <cell r="I3483" t="str">
            <v>Fira</v>
          </cell>
          <cell r="J3483"/>
          <cell r="K3483" t="str">
            <v>KU, Tunai</v>
          </cell>
          <cell r="L3483" t="str">
            <v>JAYA41</v>
          </cell>
          <cell r="M3483" t="str">
            <v>Jaya Bersama/Eko</v>
          </cell>
          <cell r="N3483" t="str">
            <v>Eko Purnomo</v>
          </cell>
          <cell r="O3483" t="str">
            <v>Takerharjo RT.004/RW.004, Kel. Takerharjo, Kec. Solokuro</v>
          </cell>
          <cell r="P3483" t="str">
            <v>Lamongan</v>
          </cell>
          <cell r="Q3483" t="str">
            <v>Jl. Perintis Kemerdekaan, Tebluru, Selokuro</v>
          </cell>
          <cell r="R3483" t="str">
            <v>Lamongan</v>
          </cell>
          <cell r="S3483" t="str">
            <v>F Utara1</v>
          </cell>
          <cell r="T3483" t="str">
            <v>Dian</v>
          </cell>
          <cell r="U3483">
            <v>60</v>
          </cell>
        </row>
        <row r="3484">
          <cell r="E3484" t="str">
            <v>D25012268</v>
          </cell>
          <cell r="F3484"/>
          <cell r="G3484">
            <v>10000000</v>
          </cell>
          <cell r="H3484" t="str">
            <v>Reni</v>
          </cell>
          <cell r="I3484" t="str">
            <v>Fira</v>
          </cell>
          <cell r="J3484"/>
          <cell r="K3484" t="str">
            <v>KU, Tunai</v>
          </cell>
          <cell r="L3484" t="str">
            <v>JAYA41</v>
          </cell>
          <cell r="M3484" t="str">
            <v>Jaya Bersama/Eko</v>
          </cell>
          <cell r="N3484" t="str">
            <v>Eko Purnomo</v>
          </cell>
          <cell r="O3484" t="str">
            <v>Takerharjo RT.004/RW.004, Kel. Takerharjo, Kec. Solokuro</v>
          </cell>
          <cell r="P3484" t="str">
            <v>Lamongan</v>
          </cell>
          <cell r="Q3484" t="str">
            <v>Jl. Perintis Kemerdekaan, Tebluru, Selokuro</v>
          </cell>
          <cell r="R3484" t="str">
            <v>Lamongan</v>
          </cell>
          <cell r="S3484" t="str">
            <v>F Utara1</v>
          </cell>
          <cell r="T3484" t="str">
            <v>Dian</v>
          </cell>
          <cell r="U3484">
            <v>60</v>
          </cell>
        </row>
        <row r="3485">
          <cell r="E3485" t="str">
            <v>B25013849</v>
          </cell>
          <cell r="F3485"/>
          <cell r="G3485">
            <v>10000000</v>
          </cell>
          <cell r="H3485" t="str">
            <v>Reni</v>
          </cell>
          <cell r="I3485" t="str">
            <v>Fira</v>
          </cell>
          <cell r="J3485"/>
          <cell r="K3485" t="str">
            <v>KU, Tunai</v>
          </cell>
          <cell r="L3485" t="str">
            <v>JAYA41</v>
          </cell>
          <cell r="M3485" t="str">
            <v>Jaya Bersama/Eko</v>
          </cell>
          <cell r="N3485" t="str">
            <v>Eko Purnomo</v>
          </cell>
          <cell r="O3485" t="str">
            <v>Takerharjo RT.004/RW.004, Kel. Takerharjo, Kec. Solokuro</v>
          </cell>
          <cell r="P3485" t="str">
            <v>Lamongan</v>
          </cell>
          <cell r="Q3485" t="str">
            <v>Jl. Perintis Kemerdekaan, Tebluru, Selokuro</v>
          </cell>
          <cell r="R3485" t="str">
            <v>Lamongan</v>
          </cell>
          <cell r="S3485" t="str">
            <v>F Utara1</v>
          </cell>
          <cell r="T3485" t="str">
            <v>Dian</v>
          </cell>
          <cell r="U3485">
            <v>30</v>
          </cell>
        </row>
        <row r="3486">
          <cell r="E3486" t="str">
            <v>D25015349</v>
          </cell>
          <cell r="F3486"/>
          <cell r="G3486">
            <v>50000000</v>
          </cell>
          <cell r="H3486" t="str">
            <v>Zakia</v>
          </cell>
          <cell r="I3486" t="str">
            <v>Tiya</v>
          </cell>
          <cell r="J3486" t="str">
            <v>New 07/09/22</v>
          </cell>
          <cell r="K3486" t="str">
            <v>KU</v>
          </cell>
          <cell r="L3486" t="str">
            <v>JAYA38</v>
          </cell>
          <cell r="M3486" t="str">
            <v>Jaya Bersama/Samad</v>
          </cell>
          <cell r="N3486" t="str">
            <v>Abd. Samad</v>
          </cell>
          <cell r="O3486" t="str">
            <v>Dusun Kranjih RT.000/RW.000, Kel. Tamberu Laok Kec. Sokobanah</v>
          </cell>
          <cell r="P3486" t="str">
            <v>Sampang</v>
          </cell>
          <cell r="Q3486" t="str">
            <v>Dusun Kranjih RT.000/RW.000, Kel. Tamberu Laok Kec. Sokobanah</v>
          </cell>
          <cell r="R3486" t="str">
            <v>Sampang</v>
          </cell>
          <cell r="S3486" t="str">
            <v>M Madura</v>
          </cell>
          <cell r="T3486" t="str">
            <v>Tomi</v>
          </cell>
          <cell r="U3486">
            <v>30</v>
          </cell>
        </row>
        <row r="3487">
          <cell r="E3487" t="str">
            <v>B25012223</v>
          </cell>
          <cell r="F3487"/>
          <cell r="G3487">
            <v>6500000000</v>
          </cell>
          <cell r="H3487" t="str">
            <v>Hendra</v>
          </cell>
          <cell r="I3487" t="str">
            <v>Tiya</v>
          </cell>
          <cell r="J3487" t="str">
            <v>New 18/08/20</v>
          </cell>
          <cell r="K3487" t="str">
            <v>KU</v>
          </cell>
          <cell r="L3487" t="str">
            <v>JAYA02</v>
          </cell>
          <cell r="M3487" t="str">
            <v>Jaya Makmur, UD/Suguanto Winarko</v>
          </cell>
          <cell r="N3487" t="str">
            <v>Anugrah Bima Subur, CV</v>
          </cell>
          <cell r="O3487" t="str">
            <v>ST. Muhamad Salahuddin Lingkungan Wadumbolo Dara Rasanae Barat</v>
          </cell>
          <cell r="P3487" t="str">
            <v>Bima - NTB</v>
          </cell>
          <cell r="Q3487" t="str">
            <v>JL.ST.Muhamad Salahudin,Lingk. Wadumbolo,RT 015/RW 006, Kel. Dara ,Kec. Rasanae Barat</v>
          </cell>
          <cell r="R3487" t="str">
            <v>Bima - NTB</v>
          </cell>
          <cell r="S3487" t="str">
            <v>E Luar Pulau2</v>
          </cell>
          <cell r="T3487" t="str">
            <v>Muhlisin</v>
          </cell>
          <cell r="U3487">
            <v>45</v>
          </cell>
        </row>
        <row r="3488">
          <cell r="E3488" t="str">
            <v>B25009312</v>
          </cell>
          <cell r="F3488"/>
          <cell r="G3488">
            <v>1000</v>
          </cell>
          <cell r="H3488" t="str">
            <v>Hendra</v>
          </cell>
          <cell r="I3488" t="str">
            <v>Tiya</v>
          </cell>
          <cell r="J3488"/>
          <cell r="K3488" t="str">
            <v>KU</v>
          </cell>
          <cell r="L3488" t="str">
            <v>JAYA31</v>
          </cell>
          <cell r="M3488" t="str">
            <v>Jaya Makmur, UD/Suguanto Winarko (Jagung)</v>
          </cell>
          <cell r="N3488" t="str">
            <v>Agro Jaya Makmur, CV</v>
          </cell>
          <cell r="O3488" t="str">
            <v>JL. Gajah Mada RT.008/RW.003, Kel. Monggonao, Kec. Mpunda</v>
          </cell>
          <cell r="P3488" t="str">
            <v>Bima</v>
          </cell>
          <cell r="Q3488" t="str">
            <v>JL. Gajah Mada RT.008/RW.003, Kel. Monggonao, Kec. Mpunda</v>
          </cell>
          <cell r="R3488" t="str">
            <v>Bima</v>
          </cell>
          <cell r="S3488" t="str">
            <v>E Luar Pulau2</v>
          </cell>
          <cell r="T3488" t="str">
            <v>Muhlisin</v>
          </cell>
          <cell r="U3488">
            <v>45</v>
          </cell>
        </row>
        <row r="3489">
          <cell r="E3489" t="str">
            <v>B25009593</v>
          </cell>
          <cell r="F3489"/>
          <cell r="G3489">
            <v>1000</v>
          </cell>
          <cell r="H3489" t="str">
            <v>Hendra</v>
          </cell>
          <cell r="I3489" t="str">
            <v>Tiya</v>
          </cell>
          <cell r="J3489"/>
          <cell r="K3489" t="str">
            <v>KU</v>
          </cell>
          <cell r="L3489" t="str">
            <v>JAYA31</v>
          </cell>
          <cell r="M3489" t="str">
            <v>Jaya Makmur, UD/Suguanto Winarko (Jagung)</v>
          </cell>
          <cell r="N3489" t="str">
            <v>Agro Jaya Makmur, CV</v>
          </cell>
          <cell r="O3489" t="str">
            <v>JL. Gajah Mada RT.008/RW.003, Kel. Monggonao, Kec. Mpunda</v>
          </cell>
          <cell r="P3489" t="str">
            <v>Bima</v>
          </cell>
          <cell r="Q3489" t="str">
            <v>JL. Gajah Mada RT.008/RW.003, Kel. Monggonao, Kec. Mpunda</v>
          </cell>
          <cell r="R3489" t="str">
            <v>Bima</v>
          </cell>
          <cell r="S3489" t="str">
            <v>E Luar Pulau2</v>
          </cell>
          <cell r="T3489" t="str">
            <v>Muhlisin</v>
          </cell>
          <cell r="U3489">
            <v>45</v>
          </cell>
        </row>
        <row r="3490">
          <cell r="E3490" t="str">
            <v>B25009787</v>
          </cell>
          <cell r="F3490"/>
          <cell r="G3490">
            <v>1000</v>
          </cell>
          <cell r="H3490" t="str">
            <v>Hendra</v>
          </cell>
          <cell r="I3490" t="str">
            <v>Tiya</v>
          </cell>
          <cell r="J3490"/>
          <cell r="K3490" t="str">
            <v>KU</v>
          </cell>
          <cell r="L3490" t="str">
            <v>JAYA31</v>
          </cell>
          <cell r="M3490" t="str">
            <v>Jaya Makmur, UD/Suguanto Winarko (Jagung)</v>
          </cell>
          <cell r="N3490" t="str">
            <v>Agro Jaya Makmur, CV</v>
          </cell>
          <cell r="O3490" t="str">
            <v>JL. Gajah Mada RT.008/RW.003, Kel. Monggonao, Kec. Mpunda</v>
          </cell>
          <cell r="P3490" t="str">
            <v>Bima</v>
          </cell>
          <cell r="Q3490" t="str">
            <v>JL. Gajah Mada RT.008/RW.003, Kel. Monggonao, Kec. Mpunda</v>
          </cell>
          <cell r="R3490" t="str">
            <v>Bima</v>
          </cell>
          <cell r="S3490" t="str">
            <v>E Luar Pulau2</v>
          </cell>
          <cell r="T3490" t="str">
            <v>Muhlisin</v>
          </cell>
          <cell r="U3490">
            <v>45</v>
          </cell>
        </row>
        <row r="3491">
          <cell r="E3491" t="str">
            <v>B25009793</v>
          </cell>
          <cell r="F3491"/>
          <cell r="G3491">
            <v>1000</v>
          </cell>
          <cell r="H3491" t="str">
            <v>Hendra</v>
          </cell>
          <cell r="I3491" t="str">
            <v>Tiya</v>
          </cell>
          <cell r="J3491"/>
          <cell r="K3491" t="str">
            <v>KU</v>
          </cell>
          <cell r="L3491" t="str">
            <v>JAYA31</v>
          </cell>
          <cell r="M3491" t="str">
            <v>Jaya Makmur, UD/Suguanto Winarko (Jagung)</v>
          </cell>
          <cell r="N3491" t="str">
            <v>Agro Jaya Makmur, CV</v>
          </cell>
          <cell r="O3491" t="str">
            <v>JL. Gajah Mada RT.008/RW.003, Kel. Monggonao, Kec. Mpunda</v>
          </cell>
          <cell r="P3491" t="str">
            <v>Bima</v>
          </cell>
          <cell r="Q3491" t="str">
            <v>JL. Gajah Mada RT.008/RW.003, Kel. Monggonao, Kec. Mpunda</v>
          </cell>
          <cell r="R3491" t="str">
            <v>Bima</v>
          </cell>
          <cell r="S3491" t="str">
            <v>E Luar Pulau2</v>
          </cell>
          <cell r="T3491" t="str">
            <v>Muhlisin</v>
          </cell>
          <cell r="U3491">
            <v>45</v>
          </cell>
        </row>
        <row r="3492">
          <cell r="E3492" t="str">
            <v>B25009894</v>
          </cell>
          <cell r="F3492"/>
          <cell r="G3492">
            <v>1000</v>
          </cell>
          <cell r="H3492" t="str">
            <v>Hendra</v>
          </cell>
          <cell r="I3492" t="str">
            <v>Tiya</v>
          </cell>
          <cell r="J3492"/>
          <cell r="K3492" t="str">
            <v>KU</v>
          </cell>
          <cell r="L3492" t="str">
            <v>JAYA31</v>
          </cell>
          <cell r="M3492" t="str">
            <v>Jaya Makmur, UD/Suguanto Winarko (Jagung)</v>
          </cell>
          <cell r="N3492" t="str">
            <v>Agro Jaya Makmur, CV</v>
          </cell>
          <cell r="O3492" t="str">
            <v>JL. Gajah Mada RT.008/RW.003, Kel. Monggonao, Kec. Mpunda</v>
          </cell>
          <cell r="P3492" t="str">
            <v>Bima</v>
          </cell>
          <cell r="Q3492" t="str">
            <v>JL. Gajah Mada RT.008/RW.003, Kel. Monggonao, Kec. Mpunda</v>
          </cell>
          <cell r="R3492" t="str">
            <v>Bima</v>
          </cell>
          <cell r="S3492" t="str">
            <v>E Luar Pulau2</v>
          </cell>
          <cell r="T3492" t="str">
            <v>Muhlisin</v>
          </cell>
          <cell r="U3492">
            <v>45</v>
          </cell>
        </row>
        <row r="3493">
          <cell r="E3493" t="str">
            <v>D25013975</v>
          </cell>
          <cell r="F3493"/>
          <cell r="G3493">
            <v>1000</v>
          </cell>
          <cell r="H3493" t="str">
            <v>Hendra</v>
          </cell>
          <cell r="I3493" t="str">
            <v>Tiya</v>
          </cell>
          <cell r="J3493"/>
          <cell r="K3493" t="str">
            <v>KU</v>
          </cell>
          <cell r="L3493" t="str">
            <v>JAYA31</v>
          </cell>
          <cell r="M3493" t="str">
            <v>Jaya Makmur, UD/Suguanto Winarko (Jagung)</v>
          </cell>
          <cell r="N3493" t="str">
            <v>Agro Jaya Makmur, CV</v>
          </cell>
          <cell r="O3493" t="str">
            <v>JL. Gajah Mada RT.008/RW.003, Kel. Monggonao, Kec. Mpunda</v>
          </cell>
          <cell r="P3493" t="str">
            <v>Bima</v>
          </cell>
          <cell r="Q3493" t="str">
            <v>JL. Gajah Mada RT.008/RW.003, Kel. Monggonao, Kec. Mpunda</v>
          </cell>
          <cell r="R3493" t="str">
            <v>Bima</v>
          </cell>
          <cell r="S3493" t="str">
            <v>E Luar Pulau2</v>
          </cell>
          <cell r="T3493" t="str">
            <v>Muhlisin</v>
          </cell>
          <cell r="U3493">
            <v>15</v>
          </cell>
        </row>
        <row r="3494">
          <cell r="E3494" t="str">
            <v>B25011822</v>
          </cell>
          <cell r="F3494"/>
          <cell r="G3494">
            <v>1000</v>
          </cell>
          <cell r="H3494" t="str">
            <v>Hendra</v>
          </cell>
          <cell r="I3494" t="str">
            <v>Tiya</v>
          </cell>
          <cell r="J3494"/>
          <cell r="K3494" t="str">
            <v>KU</v>
          </cell>
          <cell r="L3494" t="str">
            <v>JAYA31</v>
          </cell>
          <cell r="M3494" t="str">
            <v>Jaya Makmur, UD/Suguanto Winarko (Jagung)</v>
          </cell>
          <cell r="N3494" t="str">
            <v>Agro Jaya Makmur, CV</v>
          </cell>
          <cell r="O3494" t="str">
            <v>JL. Gajah Mada RT.008/RW.003, Kel. Monggonao, Kec. Mpunda</v>
          </cell>
          <cell r="P3494" t="str">
            <v>Bima</v>
          </cell>
          <cell r="Q3494" t="str">
            <v>JL. Gajah Mada RT.008/RW.003, Kel. Monggonao, Kec. Mpunda</v>
          </cell>
          <cell r="R3494" t="str">
            <v>Bima</v>
          </cell>
          <cell r="S3494" t="str">
            <v>E Luar Pulau2</v>
          </cell>
          <cell r="T3494" t="str">
            <v>Muhlisin</v>
          </cell>
          <cell r="U3494">
            <v>15</v>
          </cell>
        </row>
        <row r="3495">
          <cell r="E3495" t="str">
            <v>B25011920</v>
          </cell>
          <cell r="F3495"/>
          <cell r="G3495">
            <v>1000</v>
          </cell>
          <cell r="H3495" t="str">
            <v>Hendra</v>
          </cell>
          <cell r="I3495" t="str">
            <v>Tiya</v>
          </cell>
          <cell r="J3495"/>
          <cell r="K3495" t="str">
            <v>KU</v>
          </cell>
          <cell r="L3495" t="str">
            <v>JAYA31</v>
          </cell>
          <cell r="M3495" t="str">
            <v>Jaya Makmur, UD/Suguanto Winarko (Jagung)</v>
          </cell>
          <cell r="N3495" t="str">
            <v>Agro Jaya Makmur, CV</v>
          </cell>
          <cell r="O3495" t="str">
            <v>JL. Gajah Mada RT.008/RW.003, Kel. Monggonao, Kec. Mpunda</v>
          </cell>
          <cell r="P3495" t="str">
            <v>Bima</v>
          </cell>
          <cell r="Q3495" t="str">
            <v>JL. Gajah Mada RT.008/RW.003, Kel. Monggonao, Kec. Mpunda</v>
          </cell>
          <cell r="R3495" t="str">
            <v>Bima</v>
          </cell>
          <cell r="S3495" t="str">
            <v>E Luar Pulau2</v>
          </cell>
          <cell r="T3495" t="str">
            <v>Muhlisin</v>
          </cell>
          <cell r="U3495">
            <v>45</v>
          </cell>
        </row>
        <row r="3496">
          <cell r="E3496" t="str">
            <v>D25014407</v>
          </cell>
          <cell r="F3496"/>
          <cell r="G3496">
            <v>1000</v>
          </cell>
          <cell r="H3496" t="str">
            <v>Hendra</v>
          </cell>
          <cell r="I3496" t="str">
            <v>Tiya</v>
          </cell>
          <cell r="J3496"/>
          <cell r="K3496" t="str">
            <v>KU</v>
          </cell>
          <cell r="L3496" t="str">
            <v>JAYA31</v>
          </cell>
          <cell r="M3496" t="str">
            <v>Jaya Makmur, UD/Suguanto Winarko (Jagung)</v>
          </cell>
          <cell r="N3496" t="str">
            <v>Agro Jaya Makmur, CV</v>
          </cell>
          <cell r="O3496" t="str">
            <v>JL. Gajah Mada RT.008/RW.003, Kel. Monggonao, Kec. Mpunda</v>
          </cell>
          <cell r="P3496" t="str">
            <v>Bima</v>
          </cell>
          <cell r="Q3496" t="str">
            <v>JL. Gajah Mada RT.008/RW.003, Kel. Monggonao, Kec. Mpunda</v>
          </cell>
          <cell r="R3496" t="str">
            <v>Bima</v>
          </cell>
          <cell r="S3496" t="str">
            <v>E Luar Pulau2</v>
          </cell>
          <cell r="T3496" t="str">
            <v>Muhlisin</v>
          </cell>
          <cell r="U3496">
            <v>45</v>
          </cell>
        </row>
        <row r="3497">
          <cell r="E3497" t="str">
            <v>D25014416</v>
          </cell>
          <cell r="F3497"/>
          <cell r="G3497">
            <v>1000</v>
          </cell>
          <cell r="H3497" t="str">
            <v>Hendra</v>
          </cell>
          <cell r="I3497" t="str">
            <v>Tiya</v>
          </cell>
          <cell r="J3497"/>
          <cell r="K3497" t="str">
            <v>KU</v>
          </cell>
          <cell r="L3497" t="str">
            <v>JAYA31</v>
          </cell>
          <cell r="M3497" t="str">
            <v>Jaya Makmur, UD/Suguanto Winarko (Jagung)</v>
          </cell>
          <cell r="N3497" t="str">
            <v>Agro Jaya Makmur, CV</v>
          </cell>
          <cell r="O3497" t="str">
            <v>JL. Gajah Mada RT.008/RW.003, Kel. Monggonao, Kec. Mpunda</v>
          </cell>
          <cell r="P3497" t="str">
            <v>Bima</v>
          </cell>
          <cell r="Q3497" t="str">
            <v>JL. Gajah Mada RT.008/RW.003, Kel. Monggonao, Kec. Mpunda</v>
          </cell>
          <cell r="R3497" t="str">
            <v>Bima</v>
          </cell>
          <cell r="S3497" t="str">
            <v>E Luar Pulau2</v>
          </cell>
          <cell r="T3497" t="str">
            <v>Muhlisin</v>
          </cell>
          <cell r="U3497">
            <v>15</v>
          </cell>
        </row>
        <row r="3498">
          <cell r="E3498" t="str">
            <v>B25012986</v>
          </cell>
          <cell r="F3498"/>
          <cell r="G3498">
            <v>1000</v>
          </cell>
          <cell r="H3498" t="str">
            <v>Hendra</v>
          </cell>
          <cell r="I3498" t="str">
            <v>Tiya</v>
          </cell>
          <cell r="J3498"/>
          <cell r="K3498" t="str">
            <v>KU</v>
          </cell>
          <cell r="L3498" t="str">
            <v>JAYA31</v>
          </cell>
          <cell r="M3498" t="str">
            <v>Jaya Makmur, UD/Suguanto Winarko (Jagung)</v>
          </cell>
          <cell r="N3498" t="str">
            <v>Agro Jaya Makmur, CV</v>
          </cell>
          <cell r="O3498" t="str">
            <v>JL. Gajah Mada RT.008/RW.003, Kel. Monggonao, Kec. Mpunda</v>
          </cell>
          <cell r="P3498" t="str">
            <v>Bima</v>
          </cell>
          <cell r="Q3498" t="str">
            <v>JL. Gajah Mada RT.008/RW.003, Kel. Monggonao, Kec. Mpunda</v>
          </cell>
          <cell r="R3498" t="str">
            <v>Bima</v>
          </cell>
          <cell r="S3498" t="str">
            <v>E Luar Pulau2</v>
          </cell>
          <cell r="T3498" t="str">
            <v>Muhlisin</v>
          </cell>
          <cell r="U3498">
            <v>15</v>
          </cell>
        </row>
        <row r="3499">
          <cell r="E3499" t="str">
            <v>B25013225</v>
          </cell>
          <cell r="F3499"/>
          <cell r="G3499">
            <v>1000</v>
          </cell>
          <cell r="H3499" t="str">
            <v>Hendra</v>
          </cell>
          <cell r="I3499" t="str">
            <v>Tiya</v>
          </cell>
          <cell r="J3499"/>
          <cell r="K3499" t="str">
            <v>KU</v>
          </cell>
          <cell r="L3499" t="str">
            <v>JAYA31</v>
          </cell>
          <cell r="M3499" t="str">
            <v>Jaya Makmur, UD/Suguanto Winarko (Jagung)</v>
          </cell>
          <cell r="N3499" t="str">
            <v>Agro Jaya Makmur, CV</v>
          </cell>
          <cell r="O3499" t="str">
            <v>JL. Gajah Mada RT.008/RW.003, Kel. Monggonao, Kec. Mpunda</v>
          </cell>
          <cell r="P3499" t="str">
            <v>Bima</v>
          </cell>
          <cell r="Q3499" t="str">
            <v>JL. Gajah Mada RT.008/RW.003, Kel. Monggonao, Kec. Mpunda</v>
          </cell>
          <cell r="R3499" t="str">
            <v>Bima</v>
          </cell>
          <cell r="S3499" t="str">
            <v>E Luar Pulau2</v>
          </cell>
          <cell r="T3499" t="str">
            <v>Muhlisin</v>
          </cell>
          <cell r="U3499">
            <v>15</v>
          </cell>
        </row>
        <row r="3500">
          <cell r="E3500" t="str">
            <v>B25012618</v>
          </cell>
          <cell r="F3500"/>
          <cell r="G3500">
            <v>50000000</v>
          </cell>
          <cell r="H3500" t="str">
            <v>Yuyun</v>
          </cell>
          <cell r="I3500" t="str">
            <v>Farida</v>
          </cell>
          <cell r="J3500"/>
          <cell r="K3500" t="str">
            <v>KU</v>
          </cell>
          <cell r="L3500" t="str">
            <v>JAYA14</v>
          </cell>
          <cell r="M3500" t="str">
            <v>Jaya Makmur/Dwi</v>
          </cell>
          <cell r="N3500" t="str">
            <v>Dwi Widayaka</v>
          </cell>
          <cell r="O3500" t="str">
            <v>Dsn. Krajan, RT.001/RW.009, Kel. Mojosari, Kec. Puger</v>
          </cell>
          <cell r="P3500" t="str">
            <v>Jember</v>
          </cell>
          <cell r="Q3500" t="str">
            <v>Mojosari, Puger</v>
          </cell>
          <cell r="R3500" t="str">
            <v>Jember</v>
          </cell>
          <cell r="S3500" t="str">
            <v>L Kota3</v>
          </cell>
          <cell r="T3500" t="str">
            <v>Efendi</v>
          </cell>
          <cell r="U3500">
            <v>30</v>
          </cell>
        </row>
        <row r="3501">
          <cell r="E3501" t="str">
            <v>B25012619</v>
          </cell>
          <cell r="F3501"/>
          <cell r="G3501">
            <v>50000000</v>
          </cell>
          <cell r="H3501" t="str">
            <v>Yuyun</v>
          </cell>
          <cell r="I3501" t="str">
            <v>Farida</v>
          </cell>
          <cell r="J3501"/>
          <cell r="K3501" t="str">
            <v>KU</v>
          </cell>
          <cell r="L3501" t="str">
            <v>JAYA14</v>
          </cell>
          <cell r="M3501" t="str">
            <v>Jaya Makmur/Dwi</v>
          </cell>
          <cell r="N3501" t="str">
            <v>Dwi Widayaka</v>
          </cell>
          <cell r="O3501" t="str">
            <v>Dsn. Krajan, RT.001/RW.009, Kel. Mojosari, Kec. Puger</v>
          </cell>
          <cell r="P3501" t="str">
            <v>Jember</v>
          </cell>
          <cell r="Q3501" t="str">
            <v>Mojosari, Puger</v>
          </cell>
          <cell r="R3501" t="str">
            <v>Jember</v>
          </cell>
          <cell r="S3501" t="str">
            <v>L Kota3</v>
          </cell>
          <cell r="T3501" t="str">
            <v>Efendi</v>
          </cell>
          <cell r="U3501">
            <v>30</v>
          </cell>
        </row>
        <row r="3502">
          <cell r="E3502" t="str">
            <v>D25016030</v>
          </cell>
          <cell r="F3502"/>
          <cell r="G3502">
            <v>50000000</v>
          </cell>
          <cell r="H3502" t="str">
            <v>Yuyun</v>
          </cell>
          <cell r="I3502" t="str">
            <v>Farida</v>
          </cell>
          <cell r="J3502"/>
          <cell r="K3502" t="str">
            <v>KU</v>
          </cell>
          <cell r="L3502" t="str">
            <v>JAYA14</v>
          </cell>
          <cell r="M3502" t="str">
            <v>Jaya Makmur/Dwi</v>
          </cell>
          <cell r="N3502" t="str">
            <v>Dwi Widayaka</v>
          </cell>
          <cell r="O3502" t="str">
            <v>Dsn. Krajan, RT.001/RW.009, Kel. Mojosari, Kec. Puger</v>
          </cell>
          <cell r="P3502" t="str">
            <v>Jember</v>
          </cell>
          <cell r="Q3502" t="str">
            <v>Mojosari, Puger</v>
          </cell>
          <cell r="R3502" t="str">
            <v>Jember</v>
          </cell>
          <cell r="S3502" t="str">
            <v>L Kota3</v>
          </cell>
          <cell r="T3502" t="str">
            <v>Efendi</v>
          </cell>
          <cell r="U3502">
            <v>0</v>
          </cell>
        </row>
        <row r="3503">
          <cell r="E3503" t="str">
            <v>D25012290</v>
          </cell>
          <cell r="F3503"/>
          <cell r="G3503">
            <v>200000000</v>
          </cell>
          <cell r="H3503" t="str">
            <v>Ariyani</v>
          </cell>
          <cell r="I3503" t="str">
            <v>Fira</v>
          </cell>
          <cell r="J3503"/>
          <cell r="K3503" t="str">
            <v>Tunai</v>
          </cell>
          <cell r="L3503" t="str">
            <v>JAYA03</v>
          </cell>
          <cell r="M3503" t="str">
            <v>Jaya Makmur/Suyono</v>
          </cell>
          <cell r="N3503" t="str">
            <v>Suyono</v>
          </cell>
          <cell r="O3503" t="str">
            <v>Jl. Raya Dringu, RT.001/RW.001, Ds. Randuputih Kec. Dringu, Kab. Probolinggo</v>
          </cell>
          <cell r="P3503" t="str">
            <v>Probolinggo</v>
          </cell>
          <cell r="Q3503" t="str">
            <v>Jl. Raya Dringu, RT.001/RW.001, Ds. Randuputih Kec. Dringu, Kab. Probolinggo</v>
          </cell>
          <cell r="R3503" t="str">
            <v>Probolinggo</v>
          </cell>
          <cell r="S3503" t="str">
            <v>G Prob1</v>
          </cell>
          <cell r="T3503" t="str">
            <v>Wira</v>
          </cell>
          <cell r="U3503">
            <v>30</v>
          </cell>
        </row>
        <row r="3504">
          <cell r="E3504" t="str">
            <v>D25012512</v>
          </cell>
          <cell r="F3504"/>
          <cell r="G3504">
            <v>200000000</v>
          </cell>
          <cell r="H3504" t="str">
            <v>Ariyani</v>
          </cell>
          <cell r="I3504" t="str">
            <v>Fira</v>
          </cell>
          <cell r="J3504"/>
          <cell r="K3504" t="str">
            <v>Tunai</v>
          </cell>
          <cell r="L3504" t="str">
            <v>JAYA03</v>
          </cell>
          <cell r="M3504" t="str">
            <v>Jaya Makmur/Suyono</v>
          </cell>
          <cell r="N3504" t="str">
            <v>Suyono</v>
          </cell>
          <cell r="O3504" t="str">
            <v>Jl. Raya Dringu, RT.001/RW.001, Ds. Randuputih Kec. Dringu, Kab. Probolinggo</v>
          </cell>
          <cell r="P3504" t="str">
            <v>Probolinggo</v>
          </cell>
          <cell r="Q3504" t="str">
            <v>Jl. Raya Dringu, RT.001/RW.001, Ds. Randuputih Kec. Dringu, Kab. Probolinggo</v>
          </cell>
          <cell r="R3504" t="str">
            <v>Probolinggo</v>
          </cell>
          <cell r="S3504" t="str">
            <v>G Prob1</v>
          </cell>
          <cell r="T3504" t="str">
            <v>Wira</v>
          </cell>
          <cell r="U3504">
            <v>30</v>
          </cell>
        </row>
        <row r="3505">
          <cell r="E3505" t="str">
            <v>B25012236</v>
          </cell>
          <cell r="F3505"/>
          <cell r="G3505">
            <v>200000000</v>
          </cell>
          <cell r="H3505" t="str">
            <v>Ariyani</v>
          </cell>
          <cell r="I3505" t="str">
            <v>Fira</v>
          </cell>
          <cell r="J3505"/>
          <cell r="K3505" t="str">
            <v>Tunai</v>
          </cell>
          <cell r="L3505" t="str">
            <v>JAYA03</v>
          </cell>
          <cell r="M3505" t="str">
            <v>Jaya Makmur/Suyono</v>
          </cell>
          <cell r="N3505" t="str">
            <v>Suyono</v>
          </cell>
          <cell r="O3505" t="str">
            <v>Jl. Raya Dringu, RT.001/RW.001, Ds. Randuputih Kec. Dringu, Kab. Probolinggo</v>
          </cell>
          <cell r="P3505" t="str">
            <v>Probolinggo</v>
          </cell>
          <cell r="Q3505" t="str">
            <v>Jl. Raya Dringu, RT.001/RW.001, Ds. Randuputih Kec. Dringu, Kab. Probolinggo</v>
          </cell>
          <cell r="R3505" t="str">
            <v>Probolinggo</v>
          </cell>
          <cell r="S3505" t="str">
            <v>G Prob1</v>
          </cell>
          <cell r="T3505" t="str">
            <v>Wira</v>
          </cell>
          <cell r="U3505">
            <v>30</v>
          </cell>
        </row>
        <row r="3506">
          <cell r="E3506" t="str">
            <v>B25008968</v>
          </cell>
          <cell r="F3506"/>
          <cell r="G3506">
            <v>500000000</v>
          </cell>
          <cell r="H3506" t="str">
            <v>Hendra</v>
          </cell>
          <cell r="I3506" t="str">
            <v>Tiya</v>
          </cell>
          <cell r="J3506"/>
          <cell r="K3506" t="str">
            <v>KU</v>
          </cell>
          <cell r="L3506" t="str">
            <v>JAYA13</v>
          </cell>
          <cell r="M3506" t="str">
            <v>Jaya Ponti/Johanes</v>
          </cell>
          <cell r="N3506" t="str">
            <v>Johannes</v>
          </cell>
          <cell r="O3506" t="str">
            <v>JL. AKB Sanipah D/A Toko Jaya Ponti RT.10/RW.05, Kampung Bugis, Bugis Tanjung Redeb, Kab. Berau</v>
          </cell>
          <cell r="P3506" t="str">
            <v>Kalimantan Timur</v>
          </cell>
          <cell r="Q3506" t="str">
            <v>JL. AKB Sanipah D/A Toko Jaya Ponti RT.10/RW.05, Kampung Bugis, Bugis Tanjung Redeb, Kab. Berau</v>
          </cell>
          <cell r="R3506" t="str">
            <v>Kalimantan Timur</v>
          </cell>
          <cell r="S3506" t="str">
            <v>E Luar Pulau2</v>
          </cell>
          <cell r="T3506" t="str">
            <v>Non SE &amp; JSE</v>
          </cell>
          <cell r="U3506">
            <v>60</v>
          </cell>
        </row>
        <row r="3507">
          <cell r="E3507" t="str">
            <v>B25009374</v>
          </cell>
          <cell r="F3507"/>
          <cell r="G3507">
            <v>500000000</v>
          </cell>
          <cell r="H3507" t="str">
            <v>Hendra</v>
          </cell>
          <cell r="I3507" t="str">
            <v>Tiya</v>
          </cell>
          <cell r="J3507"/>
          <cell r="K3507" t="str">
            <v>KU</v>
          </cell>
          <cell r="L3507" t="str">
            <v>JAYA13</v>
          </cell>
          <cell r="M3507" t="str">
            <v>Jaya Ponti/Johanes</v>
          </cell>
          <cell r="N3507" t="str">
            <v>Johannes</v>
          </cell>
          <cell r="O3507" t="str">
            <v>JL. AKB Sanipah D/A Toko Jaya Ponti RT.10/RW.05, Kampung Bugis, Bugis Tanjung Redeb, Kab. Berau</v>
          </cell>
          <cell r="P3507" t="str">
            <v>Kalimantan Timur</v>
          </cell>
          <cell r="Q3507" t="str">
            <v>JL. AKB Sanipah D/A Toko Jaya Ponti RT.10/RW.05, Kampung Bugis, Bugis Tanjung Redeb, Kab. Berau</v>
          </cell>
          <cell r="R3507" t="str">
            <v>Kalimantan Timur</v>
          </cell>
          <cell r="S3507" t="str">
            <v>E Luar Pulau2</v>
          </cell>
          <cell r="T3507" t="str">
            <v>Non SE &amp; JSE</v>
          </cell>
          <cell r="U3507">
            <v>60</v>
          </cell>
        </row>
        <row r="3508">
          <cell r="E3508" t="str">
            <v>B25009443</v>
          </cell>
          <cell r="F3508"/>
          <cell r="G3508">
            <v>500000000</v>
          </cell>
          <cell r="H3508" t="str">
            <v>Hendra</v>
          </cell>
          <cell r="I3508" t="str">
            <v>Tiya</v>
          </cell>
          <cell r="J3508"/>
          <cell r="K3508" t="str">
            <v>KU</v>
          </cell>
          <cell r="L3508" t="str">
            <v>JAYA13</v>
          </cell>
          <cell r="M3508" t="str">
            <v>Jaya Ponti/Johanes</v>
          </cell>
          <cell r="N3508" t="str">
            <v>Johannes</v>
          </cell>
          <cell r="O3508" t="str">
            <v>JL. AKB Sanipah D/A Toko Jaya Ponti RT.10/RW.05, Kampung Bugis, Bugis Tanjung Redeb, Kab. Berau</v>
          </cell>
          <cell r="P3508" t="str">
            <v>Kalimantan Timur</v>
          </cell>
          <cell r="Q3508" t="str">
            <v>JL. AKB Sanipah D/A Toko Jaya Ponti RT.10/RW.05, Kampung Bugis, Bugis Tanjung Redeb, Kab. Berau</v>
          </cell>
          <cell r="R3508" t="str">
            <v>Kalimantan Timur</v>
          </cell>
          <cell r="S3508" t="str">
            <v>E Luar Pulau2</v>
          </cell>
          <cell r="T3508" t="str">
            <v>Non SE &amp; JSE</v>
          </cell>
          <cell r="U3508">
            <v>60</v>
          </cell>
        </row>
        <row r="3509">
          <cell r="E3509" t="str">
            <v>B25010756</v>
          </cell>
          <cell r="F3509"/>
          <cell r="G3509">
            <v>500000000</v>
          </cell>
          <cell r="H3509" t="str">
            <v>Hendra</v>
          </cell>
          <cell r="I3509" t="str">
            <v>Tiya</v>
          </cell>
          <cell r="J3509"/>
          <cell r="K3509" t="str">
            <v>KU</v>
          </cell>
          <cell r="L3509" t="str">
            <v>JAYA13</v>
          </cell>
          <cell r="M3509" t="str">
            <v>Jaya Ponti/Johanes</v>
          </cell>
          <cell r="N3509" t="str">
            <v>Johannes</v>
          </cell>
          <cell r="O3509" t="str">
            <v>JL. AKB Sanipah D/A Toko Jaya Ponti RT.10/RW.05, Kampung Bugis, Bugis Tanjung Redeb, Kab. Berau</v>
          </cell>
          <cell r="P3509" t="str">
            <v>Kalimantan Timur</v>
          </cell>
          <cell r="Q3509" t="str">
            <v>JL. AKB Sanipah D/A Toko Jaya Ponti RT.10/RW.05, Kampung Bugis, Bugis Tanjung Redeb, Kab. Berau</v>
          </cell>
          <cell r="R3509" t="str">
            <v>Kalimantan Timur</v>
          </cell>
          <cell r="S3509" t="str">
            <v>E Luar Pulau2</v>
          </cell>
          <cell r="T3509" t="str">
            <v>Non SE &amp; JSE</v>
          </cell>
          <cell r="U3509">
            <v>60</v>
          </cell>
        </row>
        <row r="3510">
          <cell r="E3510" t="str">
            <v>B25011475</v>
          </cell>
          <cell r="F3510"/>
          <cell r="G3510">
            <v>500000000</v>
          </cell>
          <cell r="H3510" t="str">
            <v>Hendra</v>
          </cell>
          <cell r="I3510" t="str">
            <v>Tiya</v>
          </cell>
          <cell r="J3510"/>
          <cell r="K3510" t="str">
            <v>KU</v>
          </cell>
          <cell r="L3510" t="str">
            <v>JAYA13</v>
          </cell>
          <cell r="M3510" t="str">
            <v>Jaya Ponti/Johanes</v>
          </cell>
          <cell r="N3510" t="str">
            <v>Johannes</v>
          </cell>
          <cell r="O3510" t="str">
            <v>JL. AKB Sanipah D/A Toko Jaya Ponti RT.10/RW.05, Kampung Bugis, Bugis Tanjung Redeb, Kab. Berau</v>
          </cell>
          <cell r="P3510" t="str">
            <v>Kalimantan Timur</v>
          </cell>
          <cell r="Q3510" t="str">
            <v>JL. AKB Sanipah D/A Toko Jaya Ponti RT.10/RW.05, Kampung Bugis, Bugis Tanjung Redeb, Kab. Berau</v>
          </cell>
          <cell r="R3510" t="str">
            <v>Kalimantan Timur</v>
          </cell>
          <cell r="S3510" t="str">
            <v>E Luar Pulau2</v>
          </cell>
          <cell r="T3510" t="str">
            <v>Non SE &amp; JSE</v>
          </cell>
          <cell r="U3510">
            <v>60</v>
          </cell>
        </row>
        <row r="3511">
          <cell r="E3511" t="str">
            <v>B25011478</v>
          </cell>
          <cell r="F3511"/>
          <cell r="G3511">
            <v>500000000</v>
          </cell>
          <cell r="H3511" t="str">
            <v>Hendra</v>
          </cell>
          <cell r="I3511" t="str">
            <v>Tiya</v>
          </cell>
          <cell r="J3511"/>
          <cell r="K3511" t="str">
            <v>KU</v>
          </cell>
          <cell r="L3511" t="str">
            <v>JAYA13</v>
          </cell>
          <cell r="M3511" t="str">
            <v>Jaya Ponti/Johanes</v>
          </cell>
          <cell r="N3511" t="str">
            <v>Johannes</v>
          </cell>
          <cell r="O3511" t="str">
            <v>JL. AKB Sanipah D/A Toko Jaya Ponti RT.10/RW.05, Kampung Bugis, Bugis Tanjung Redeb, Kab. Berau</v>
          </cell>
          <cell r="P3511" t="str">
            <v>Kalimantan Timur</v>
          </cell>
          <cell r="Q3511" t="str">
            <v>JL. AKB Sanipah D/A Toko Jaya Ponti RT.10/RW.05, Kampung Bugis, Bugis Tanjung Redeb, Kab. Berau</v>
          </cell>
          <cell r="R3511" t="str">
            <v>Kalimantan Timur</v>
          </cell>
          <cell r="S3511" t="str">
            <v>E Luar Pulau2</v>
          </cell>
          <cell r="T3511" t="str">
            <v>Non SE &amp; JSE</v>
          </cell>
          <cell r="U3511">
            <v>60</v>
          </cell>
        </row>
        <row r="3512">
          <cell r="E3512" t="str">
            <v>D25015057</v>
          </cell>
          <cell r="F3512"/>
          <cell r="G3512">
            <v>500000000</v>
          </cell>
          <cell r="H3512" t="str">
            <v>Hendra</v>
          </cell>
          <cell r="I3512" t="str">
            <v>Tiya</v>
          </cell>
          <cell r="J3512"/>
          <cell r="K3512" t="str">
            <v>KU</v>
          </cell>
          <cell r="L3512" t="str">
            <v>JAYA13</v>
          </cell>
          <cell r="M3512" t="str">
            <v>Jaya Ponti/Johanes</v>
          </cell>
          <cell r="N3512" t="str">
            <v>Johannes</v>
          </cell>
          <cell r="O3512" t="str">
            <v>JL. AKB Sanipah D/A Toko Jaya Ponti RT.10/RW.05, Kampung Bugis, Bugis Tanjung Redeb, Kab. Berau</v>
          </cell>
          <cell r="P3512" t="str">
            <v>Kalimantan Timur</v>
          </cell>
          <cell r="Q3512" t="str">
            <v>JL. AKB Sanipah D/A Toko Jaya Ponti RT.10/RW.05, Kampung Bugis, Bugis Tanjung Redeb, Kab. Berau</v>
          </cell>
          <cell r="R3512" t="str">
            <v>Kalimantan Timur</v>
          </cell>
          <cell r="S3512" t="str">
            <v>E Luar Pulau2</v>
          </cell>
          <cell r="T3512" t="str">
            <v>Non SE &amp; JSE</v>
          </cell>
          <cell r="U3512">
            <v>60</v>
          </cell>
        </row>
        <row r="3513">
          <cell r="E3513" t="str">
            <v>D25015576</v>
          </cell>
          <cell r="F3513"/>
          <cell r="G3513">
            <v>500000000</v>
          </cell>
          <cell r="H3513" t="str">
            <v>Hendra</v>
          </cell>
          <cell r="I3513" t="str">
            <v>Tiya</v>
          </cell>
          <cell r="J3513"/>
          <cell r="K3513" t="str">
            <v>KU</v>
          </cell>
          <cell r="L3513" t="str">
            <v>JAYA13</v>
          </cell>
          <cell r="M3513" t="str">
            <v>Jaya Ponti/Johanes</v>
          </cell>
          <cell r="N3513" t="str">
            <v>Johannes</v>
          </cell>
          <cell r="O3513" t="str">
            <v>JL. AKB Sanipah D/A Toko Jaya Ponti RT.10/RW.05, Kampung Bugis, Bugis Tanjung Redeb, Kab. Berau</v>
          </cell>
          <cell r="P3513" t="str">
            <v>Kalimantan Timur</v>
          </cell>
          <cell r="Q3513" t="str">
            <v>JL. AKB Sanipah D/A Toko Jaya Ponti RT.10/RW.05, Kampung Bugis, Bugis Tanjung Redeb, Kab. Berau</v>
          </cell>
          <cell r="R3513" t="str">
            <v>Kalimantan Timur</v>
          </cell>
          <cell r="S3513" t="str">
            <v>E Luar Pulau2</v>
          </cell>
          <cell r="T3513" t="str">
            <v>Non SE &amp; JSE</v>
          </cell>
          <cell r="U3513">
            <v>60</v>
          </cell>
        </row>
        <row r="3514">
          <cell r="E3514" t="str">
            <v>D25015586</v>
          </cell>
          <cell r="F3514"/>
          <cell r="G3514">
            <v>500000000</v>
          </cell>
          <cell r="H3514" t="str">
            <v>Hendra</v>
          </cell>
          <cell r="I3514" t="str">
            <v>Tiya</v>
          </cell>
          <cell r="J3514"/>
          <cell r="K3514" t="str">
            <v>KU</v>
          </cell>
          <cell r="L3514" t="str">
            <v>JAYA13</v>
          </cell>
          <cell r="M3514" t="str">
            <v>Jaya Ponti/Johanes</v>
          </cell>
          <cell r="N3514" t="str">
            <v>Johannes</v>
          </cell>
          <cell r="O3514" t="str">
            <v>JL. AKB Sanipah D/A Toko Jaya Ponti RT.10/RW.05, Kampung Bugis, Bugis Tanjung Redeb, Kab. Berau</v>
          </cell>
          <cell r="P3514" t="str">
            <v>Kalimantan Timur</v>
          </cell>
          <cell r="Q3514" t="str">
            <v>JL. AKB Sanipah D/A Toko Jaya Ponti RT.10/RW.05, Kampung Bugis, Bugis Tanjung Redeb, Kab. Berau</v>
          </cell>
          <cell r="R3514" t="str">
            <v>Kalimantan Timur</v>
          </cell>
          <cell r="S3514" t="str">
            <v>E Luar Pulau2</v>
          </cell>
          <cell r="T3514" t="str">
            <v>Non SE &amp; JSE</v>
          </cell>
          <cell r="U3514">
            <v>60</v>
          </cell>
        </row>
        <row r="3515">
          <cell r="E3515" t="str">
            <v>B25009783</v>
          </cell>
          <cell r="F3515"/>
          <cell r="G3515">
            <v>30000000</v>
          </cell>
          <cell r="H3515" t="str">
            <v>Faris</v>
          </cell>
          <cell r="I3515" t="str">
            <v>Syahra</v>
          </cell>
          <cell r="J3515" t="str">
            <v>New 23/01/2024</v>
          </cell>
          <cell r="K3515" t="str">
            <v>CBD</v>
          </cell>
          <cell r="L3515" t="str">
            <v>JAYA44</v>
          </cell>
          <cell r="M3515" t="str">
            <v>Jaya Sejahtera/Dian Retno</v>
          </cell>
          <cell r="N3515" t="str">
            <v>Dian Retno Fitasari</v>
          </cell>
          <cell r="O3515" t="str">
            <v>Karang Anyar RT.007/RW.002, Kel. Karang Anyar, Kec. Tegalampel</v>
          </cell>
          <cell r="P3515" t="str">
            <v>Bondowoso</v>
          </cell>
          <cell r="Q3515" t="str">
            <v>Karang Anyar RT.007/RW.002, Kel. Karang Anyar, Kec. Tegalampel</v>
          </cell>
          <cell r="R3515" t="str">
            <v>Bondowoso</v>
          </cell>
          <cell r="S3515" t="str">
            <v>N Bdw Stb</v>
          </cell>
          <cell r="T3515" t="str">
            <v>Wira</v>
          </cell>
          <cell r="U3515">
            <v>60</v>
          </cell>
        </row>
        <row r="3516">
          <cell r="E3516" t="str">
            <v>B25013139</v>
          </cell>
          <cell r="F3516"/>
          <cell r="G3516">
            <v>30000000</v>
          </cell>
          <cell r="H3516" t="str">
            <v>Faris</v>
          </cell>
          <cell r="I3516" t="str">
            <v>Syahra</v>
          </cell>
          <cell r="J3516" t="str">
            <v>New 23/01/2024</v>
          </cell>
          <cell r="K3516" t="str">
            <v>CBD</v>
          </cell>
          <cell r="L3516" t="str">
            <v>JAYA44</v>
          </cell>
          <cell r="M3516" t="str">
            <v>Jaya Sejahtera/Dian Retno</v>
          </cell>
          <cell r="N3516" t="str">
            <v>Dian Retno Fitasari</v>
          </cell>
          <cell r="O3516" t="str">
            <v>Karang Anyar RT.007/RW.002, Kel. Karang Anyar, Kec. Tegalampel</v>
          </cell>
          <cell r="P3516" t="str">
            <v>Bondowoso</v>
          </cell>
          <cell r="Q3516" t="str">
            <v>Karang Anyar RT.007/RW.002, Kel. Karang Anyar, Kec. Tegalampel</v>
          </cell>
          <cell r="R3516" t="str">
            <v>Bondowoso</v>
          </cell>
          <cell r="S3516" t="str">
            <v>N Bdw Stb</v>
          </cell>
          <cell r="T3516" t="str">
            <v>Wira</v>
          </cell>
          <cell r="U3516">
            <v>30</v>
          </cell>
        </row>
        <row r="3517">
          <cell r="E3517" t="str">
            <v>B25013161</v>
          </cell>
          <cell r="F3517"/>
          <cell r="G3517">
            <v>30000000</v>
          </cell>
          <cell r="H3517" t="str">
            <v>Faris</v>
          </cell>
          <cell r="I3517" t="str">
            <v>Syahra</v>
          </cell>
          <cell r="J3517" t="str">
            <v>New 23/01/2024</v>
          </cell>
          <cell r="K3517" t="str">
            <v>CBD</v>
          </cell>
          <cell r="L3517" t="str">
            <v>JAYA44</v>
          </cell>
          <cell r="M3517" t="str">
            <v>Jaya Sejahtera/Dian Retno</v>
          </cell>
          <cell r="N3517" t="str">
            <v>Dian Retno Fitasari</v>
          </cell>
          <cell r="O3517" t="str">
            <v>Karang Anyar RT.007/RW.002, Kel. Karang Anyar, Kec. Tegalampel</v>
          </cell>
          <cell r="P3517" t="str">
            <v>Bondowoso</v>
          </cell>
          <cell r="Q3517" t="str">
            <v>Karang Anyar RT.007/RW.002, Kel. Karang Anyar, Kec. Tegalampel</v>
          </cell>
          <cell r="R3517" t="str">
            <v>Bondowoso</v>
          </cell>
          <cell r="S3517" t="str">
            <v>N Bdw Stb</v>
          </cell>
          <cell r="T3517" t="str">
            <v>Wira</v>
          </cell>
          <cell r="U3517">
            <v>30</v>
          </cell>
        </row>
        <row r="3518">
          <cell r="E3518">
            <v>250021</v>
          </cell>
          <cell r="F3518"/>
          <cell r="G3518">
            <v>3647000000</v>
          </cell>
          <cell r="H3518" t="str">
            <v>Hendra</v>
          </cell>
          <cell r="I3518" t="str">
            <v>Tiya</v>
          </cell>
          <cell r="J3518" t="str">
            <v>New 19/01/22</v>
          </cell>
          <cell r="K3518" t="str">
            <v>BG, KU</v>
          </cell>
          <cell r="L3518" t="str">
            <v>JAYA35</v>
          </cell>
          <cell r="M3518" t="str">
            <v>Jaya Tani Makmur, CV</v>
          </cell>
          <cell r="N3518" t="str">
            <v>Jaya Tani Makmur, CV</v>
          </cell>
          <cell r="O3518" t="str">
            <v>Jl. Raya Pasar Sukamandi No.11 RT.029, Ciasem, Girang Ciasem</v>
          </cell>
          <cell r="P3518" t="str">
            <v>Subang</v>
          </cell>
          <cell r="Q3518" t="str">
            <v>Jl. Raya Pasar Sukamandi No.11 RT.029, Ciasem, Girang Ciasem</v>
          </cell>
          <cell r="R3518" t="str">
            <v>Subang</v>
          </cell>
          <cell r="S3518" t="str">
            <v>I Jabar Jateng</v>
          </cell>
          <cell r="T3518" t="str">
            <v>Non SE &amp; JSE</v>
          </cell>
          <cell r="U3518">
            <v>60</v>
          </cell>
        </row>
        <row r="3519">
          <cell r="E3519">
            <v>250021</v>
          </cell>
          <cell r="F3519"/>
          <cell r="G3519">
            <v>3647000000</v>
          </cell>
          <cell r="H3519" t="str">
            <v>Hendra</v>
          </cell>
          <cell r="I3519" t="str">
            <v>Tiya</v>
          </cell>
          <cell r="J3519" t="str">
            <v>New 19/01/22</v>
          </cell>
          <cell r="K3519" t="str">
            <v>BG, KU</v>
          </cell>
          <cell r="L3519" t="str">
            <v>JAYA35</v>
          </cell>
          <cell r="M3519" t="str">
            <v>Jaya Tani Makmur, CV</v>
          </cell>
          <cell r="N3519" t="str">
            <v>Jaya Tani Makmur, CV</v>
          </cell>
          <cell r="O3519" t="str">
            <v>Jl. Raya Pasar Sukamandi No.11 RT.029, Ciasem, Girang Ciasem</v>
          </cell>
          <cell r="P3519" t="str">
            <v>Subang</v>
          </cell>
          <cell r="Q3519" t="str">
            <v>Jl. Raya Pasar Sukamandi No.11 RT.029, Ciasem, Girang Ciasem</v>
          </cell>
          <cell r="R3519" t="str">
            <v>Subang</v>
          </cell>
          <cell r="S3519" t="str">
            <v>I Jabar Jateng</v>
          </cell>
          <cell r="T3519" t="str">
            <v>Non SE &amp; JSE</v>
          </cell>
          <cell r="U3519">
            <v>60</v>
          </cell>
        </row>
        <row r="3520">
          <cell r="E3520">
            <v>250023</v>
          </cell>
          <cell r="F3520"/>
          <cell r="G3520">
            <v>3647000000</v>
          </cell>
          <cell r="H3520" t="str">
            <v>Hendra</v>
          </cell>
          <cell r="I3520" t="str">
            <v>Tiya</v>
          </cell>
          <cell r="J3520" t="str">
            <v>New 19/01/22</v>
          </cell>
          <cell r="K3520" t="str">
            <v>BG, KU</v>
          </cell>
          <cell r="L3520" t="str">
            <v>JAYA35</v>
          </cell>
          <cell r="M3520" t="str">
            <v>Jaya Tani Makmur, CV</v>
          </cell>
          <cell r="N3520" t="str">
            <v>Jaya Tani Makmur, CV</v>
          </cell>
          <cell r="O3520" t="str">
            <v>Jl. Raya Pasar Sukamandi No.11 RT.029, Ciasem, Girang Ciasem</v>
          </cell>
          <cell r="P3520" t="str">
            <v>Subang</v>
          </cell>
          <cell r="Q3520" t="str">
            <v>Jl. Raya Pasar Sukamandi No.11 RT.029, Ciasem, Girang Ciasem</v>
          </cell>
          <cell r="R3520" t="str">
            <v>Subang</v>
          </cell>
          <cell r="S3520" t="str">
            <v>I Jabar Jateng</v>
          </cell>
          <cell r="T3520" t="str">
            <v>Non SE &amp; JSE</v>
          </cell>
          <cell r="U3520">
            <v>60</v>
          </cell>
        </row>
        <row r="3521">
          <cell r="E3521">
            <v>250023</v>
          </cell>
          <cell r="F3521"/>
          <cell r="G3521">
            <v>3647000000</v>
          </cell>
          <cell r="H3521" t="str">
            <v>Hendra</v>
          </cell>
          <cell r="I3521" t="str">
            <v>Tiya</v>
          </cell>
          <cell r="J3521" t="str">
            <v>New 19/01/22</v>
          </cell>
          <cell r="K3521" t="str">
            <v>BG, KU</v>
          </cell>
          <cell r="L3521" t="str">
            <v>JAYA35</v>
          </cell>
          <cell r="M3521" t="str">
            <v>Jaya Tani Makmur, CV</v>
          </cell>
          <cell r="N3521" t="str">
            <v>Jaya Tani Makmur, CV</v>
          </cell>
          <cell r="O3521" t="str">
            <v>Jl. Raya Pasar Sukamandi No.11 RT.029, Ciasem, Girang Ciasem</v>
          </cell>
          <cell r="P3521" t="str">
            <v>Subang</v>
          </cell>
          <cell r="Q3521" t="str">
            <v>Jl. Raya Pasar Sukamandi No.11 RT.029, Ciasem, Girang Ciasem</v>
          </cell>
          <cell r="R3521" t="str">
            <v>Subang</v>
          </cell>
          <cell r="S3521" t="str">
            <v>I Jabar Jateng</v>
          </cell>
          <cell r="T3521" t="str">
            <v>Non SE &amp; JSE</v>
          </cell>
          <cell r="U3521">
            <v>60</v>
          </cell>
        </row>
        <row r="3522">
          <cell r="E3522">
            <v>250023</v>
          </cell>
          <cell r="F3522"/>
          <cell r="G3522">
            <v>3647000000</v>
          </cell>
          <cell r="H3522" t="str">
            <v>Hendra</v>
          </cell>
          <cell r="I3522" t="str">
            <v>Tiya</v>
          </cell>
          <cell r="J3522" t="str">
            <v>New 19/01/22</v>
          </cell>
          <cell r="K3522" t="str">
            <v>BG, KU</v>
          </cell>
          <cell r="L3522" t="str">
            <v>JAYA35</v>
          </cell>
          <cell r="M3522" t="str">
            <v>Jaya Tani Makmur, CV</v>
          </cell>
          <cell r="N3522" t="str">
            <v>Jaya Tani Makmur, CV</v>
          </cell>
          <cell r="O3522" t="str">
            <v>Jl. Raya Pasar Sukamandi No.11 RT.029, Ciasem, Girang Ciasem</v>
          </cell>
          <cell r="P3522" t="str">
            <v>Subang</v>
          </cell>
          <cell r="Q3522" t="str">
            <v>Jl. Raya Pasar Sukamandi No.11 RT.029, Ciasem, Girang Ciasem</v>
          </cell>
          <cell r="R3522" t="str">
            <v>Subang</v>
          </cell>
          <cell r="S3522" t="str">
            <v>I Jabar Jateng</v>
          </cell>
          <cell r="T3522" t="str">
            <v>Non SE &amp; JSE</v>
          </cell>
          <cell r="U3522">
            <v>60</v>
          </cell>
        </row>
        <row r="3523">
          <cell r="E3523">
            <v>250023</v>
          </cell>
          <cell r="F3523"/>
          <cell r="G3523">
            <v>3647000000</v>
          </cell>
          <cell r="H3523" t="str">
            <v>Hendra</v>
          </cell>
          <cell r="I3523" t="str">
            <v>Tiya</v>
          </cell>
          <cell r="J3523" t="str">
            <v>New 19/01/22</v>
          </cell>
          <cell r="K3523" t="str">
            <v>BG, KU</v>
          </cell>
          <cell r="L3523" t="str">
            <v>JAYA35</v>
          </cell>
          <cell r="M3523" t="str">
            <v>Jaya Tani Makmur, CV</v>
          </cell>
          <cell r="N3523" t="str">
            <v>Jaya Tani Makmur, CV</v>
          </cell>
          <cell r="O3523" t="str">
            <v>Jl. Raya Pasar Sukamandi No.11 RT.029, Ciasem, Girang Ciasem</v>
          </cell>
          <cell r="P3523" t="str">
            <v>Subang</v>
          </cell>
          <cell r="Q3523" t="str">
            <v>Jl. Raya Pasar Sukamandi No.11 RT.029, Ciasem, Girang Ciasem</v>
          </cell>
          <cell r="R3523" t="str">
            <v>Subang</v>
          </cell>
          <cell r="S3523" t="str">
            <v>I Jabar Jateng</v>
          </cell>
          <cell r="T3523" t="str">
            <v>Non SE &amp; JSE</v>
          </cell>
          <cell r="U3523">
            <v>60</v>
          </cell>
        </row>
        <row r="3524">
          <cell r="E3524">
            <v>250023</v>
          </cell>
          <cell r="F3524"/>
          <cell r="G3524">
            <v>3647000000</v>
          </cell>
          <cell r="H3524" t="str">
            <v>Hendra</v>
          </cell>
          <cell r="I3524" t="str">
            <v>Tiya</v>
          </cell>
          <cell r="J3524" t="str">
            <v>New 19/01/22</v>
          </cell>
          <cell r="K3524" t="str">
            <v>BG, KU</v>
          </cell>
          <cell r="L3524" t="str">
            <v>JAYA35</v>
          </cell>
          <cell r="M3524" t="str">
            <v>Jaya Tani Makmur, CV</v>
          </cell>
          <cell r="N3524" t="str">
            <v>Jaya Tani Makmur, CV</v>
          </cell>
          <cell r="O3524" t="str">
            <v>Jl. Raya Pasar Sukamandi No.11 RT.029, Ciasem, Girang Ciasem</v>
          </cell>
          <cell r="P3524" t="str">
            <v>Subang</v>
          </cell>
          <cell r="Q3524" t="str">
            <v>Jl. Raya Pasar Sukamandi No.11 RT.029, Ciasem, Girang Ciasem</v>
          </cell>
          <cell r="R3524" t="str">
            <v>Subang</v>
          </cell>
          <cell r="S3524" t="str">
            <v>I Jabar Jateng</v>
          </cell>
          <cell r="T3524" t="str">
            <v>Non SE &amp; JSE</v>
          </cell>
          <cell r="U3524">
            <v>60</v>
          </cell>
        </row>
        <row r="3525">
          <cell r="E3525">
            <v>250024</v>
          </cell>
          <cell r="F3525"/>
          <cell r="G3525">
            <v>3647000000</v>
          </cell>
          <cell r="H3525" t="str">
            <v>Hendra</v>
          </cell>
          <cell r="I3525" t="str">
            <v>Tiya</v>
          </cell>
          <cell r="J3525" t="str">
            <v>New 19/01/22</v>
          </cell>
          <cell r="K3525" t="str">
            <v>BG, KU</v>
          </cell>
          <cell r="L3525" t="str">
            <v>JAYA35</v>
          </cell>
          <cell r="M3525" t="str">
            <v>Jaya Tani Makmur, CV</v>
          </cell>
          <cell r="N3525" t="str">
            <v>Jaya Tani Makmur, CV</v>
          </cell>
          <cell r="O3525" t="str">
            <v>Jl. Raya Pasar Sukamandi No.11 RT.029, Ciasem, Girang Ciasem</v>
          </cell>
          <cell r="P3525" t="str">
            <v>Subang</v>
          </cell>
          <cell r="Q3525" t="str">
            <v>Jl. Raya Pasar Sukamandi No.11 RT.029, Ciasem, Girang Ciasem</v>
          </cell>
          <cell r="R3525" t="str">
            <v>Subang</v>
          </cell>
          <cell r="S3525" t="str">
            <v>I Jabar Jateng</v>
          </cell>
          <cell r="T3525" t="str">
            <v>Non SE &amp; JSE</v>
          </cell>
          <cell r="U3525">
            <v>60</v>
          </cell>
        </row>
        <row r="3526">
          <cell r="E3526">
            <v>250024</v>
          </cell>
          <cell r="F3526"/>
          <cell r="G3526">
            <v>3647000000</v>
          </cell>
          <cell r="H3526" t="str">
            <v>Hendra</v>
          </cell>
          <cell r="I3526" t="str">
            <v>Tiya</v>
          </cell>
          <cell r="J3526" t="str">
            <v>New 19/01/22</v>
          </cell>
          <cell r="K3526" t="str">
            <v>BG, KU</v>
          </cell>
          <cell r="L3526" t="str">
            <v>JAYA35</v>
          </cell>
          <cell r="M3526" t="str">
            <v>Jaya Tani Makmur, CV</v>
          </cell>
          <cell r="N3526" t="str">
            <v>Jaya Tani Makmur, CV</v>
          </cell>
          <cell r="O3526" t="str">
            <v>Jl. Raya Pasar Sukamandi No.11 RT.029, Ciasem, Girang Ciasem</v>
          </cell>
          <cell r="P3526" t="str">
            <v>Subang</v>
          </cell>
          <cell r="Q3526" t="str">
            <v>Jl. Raya Pasar Sukamandi No.11 RT.029, Ciasem, Girang Ciasem</v>
          </cell>
          <cell r="R3526" t="str">
            <v>Subang</v>
          </cell>
          <cell r="S3526" t="str">
            <v>I Jabar Jateng</v>
          </cell>
          <cell r="T3526" t="str">
            <v>Non SE &amp; JSE</v>
          </cell>
          <cell r="U3526">
            <v>60</v>
          </cell>
        </row>
        <row r="3527">
          <cell r="E3527">
            <v>250024</v>
          </cell>
          <cell r="F3527"/>
          <cell r="G3527">
            <v>3647000000</v>
          </cell>
          <cell r="H3527" t="str">
            <v>Hendra</v>
          </cell>
          <cell r="I3527" t="str">
            <v>Tiya</v>
          </cell>
          <cell r="J3527" t="str">
            <v>New 19/01/22</v>
          </cell>
          <cell r="K3527" t="str">
            <v>BG, KU</v>
          </cell>
          <cell r="L3527" t="str">
            <v>JAYA35</v>
          </cell>
          <cell r="M3527" t="str">
            <v>Jaya Tani Makmur, CV</v>
          </cell>
          <cell r="N3527" t="str">
            <v>Jaya Tani Makmur, CV</v>
          </cell>
          <cell r="O3527" t="str">
            <v>Jl. Raya Pasar Sukamandi No.11 RT.029, Ciasem, Girang Ciasem</v>
          </cell>
          <cell r="P3527" t="str">
            <v>Subang</v>
          </cell>
          <cell r="Q3527" t="str">
            <v>Jl. Raya Pasar Sukamandi No.11 RT.029, Ciasem, Girang Ciasem</v>
          </cell>
          <cell r="R3527" t="str">
            <v>Subang</v>
          </cell>
          <cell r="S3527" t="str">
            <v>I Jabar Jateng</v>
          </cell>
          <cell r="T3527" t="str">
            <v>Non SE &amp; JSE</v>
          </cell>
          <cell r="U3527">
            <v>60</v>
          </cell>
        </row>
        <row r="3528">
          <cell r="E3528">
            <v>250024</v>
          </cell>
          <cell r="F3528"/>
          <cell r="G3528">
            <v>3647000000</v>
          </cell>
          <cell r="H3528" t="str">
            <v>Hendra</v>
          </cell>
          <cell r="I3528" t="str">
            <v>Tiya</v>
          </cell>
          <cell r="J3528" t="str">
            <v>New 19/01/22</v>
          </cell>
          <cell r="K3528" t="str">
            <v>BG, KU</v>
          </cell>
          <cell r="L3528" t="str">
            <v>JAYA35</v>
          </cell>
          <cell r="M3528" t="str">
            <v>Jaya Tani Makmur, CV</v>
          </cell>
          <cell r="N3528" t="str">
            <v>Jaya Tani Makmur, CV</v>
          </cell>
          <cell r="O3528" t="str">
            <v>Jl. Raya Pasar Sukamandi No.11 RT.029, Ciasem, Girang Ciasem</v>
          </cell>
          <cell r="P3528" t="str">
            <v>Subang</v>
          </cell>
          <cell r="Q3528" t="str">
            <v>Jl. Raya Pasar Sukamandi No.11 RT.029, Ciasem, Girang Ciasem</v>
          </cell>
          <cell r="R3528" t="str">
            <v>Subang</v>
          </cell>
          <cell r="S3528" t="str">
            <v>I Jabar Jateng</v>
          </cell>
          <cell r="T3528" t="str">
            <v>Non SE &amp; JSE</v>
          </cell>
          <cell r="U3528">
            <v>60</v>
          </cell>
        </row>
        <row r="3529">
          <cell r="E3529" t="str">
            <v>B25007841</v>
          </cell>
          <cell r="F3529"/>
          <cell r="G3529">
            <v>3647000000</v>
          </cell>
          <cell r="H3529" t="str">
            <v>Hendra</v>
          </cell>
          <cell r="I3529" t="str">
            <v>Tiya</v>
          </cell>
          <cell r="J3529" t="str">
            <v>New 19/01/22</v>
          </cell>
          <cell r="K3529" t="str">
            <v>BG, KU</v>
          </cell>
          <cell r="L3529" t="str">
            <v>JAYA35</v>
          </cell>
          <cell r="M3529" t="str">
            <v>Jaya Tani Makmur, CV</v>
          </cell>
          <cell r="N3529" t="str">
            <v>Jaya Tani Makmur, CV</v>
          </cell>
          <cell r="O3529" t="str">
            <v>Jl. Raya Pasar Sukamandi No.11 RT.029, Ciasem, Girang Ciasem</v>
          </cell>
          <cell r="P3529" t="str">
            <v>Subang</v>
          </cell>
          <cell r="Q3529" t="str">
            <v>Jl. Raya Pasar Sukamandi No.11 RT.029, Ciasem, Girang Ciasem</v>
          </cell>
          <cell r="R3529" t="str">
            <v>Subang</v>
          </cell>
          <cell r="S3529" t="str">
            <v>I Jabar Jateng</v>
          </cell>
          <cell r="T3529" t="str">
            <v>Non SE &amp; JSE</v>
          </cell>
          <cell r="U3529">
            <v>60</v>
          </cell>
        </row>
        <row r="3530">
          <cell r="E3530" t="str">
            <v>B25007841</v>
          </cell>
          <cell r="F3530"/>
          <cell r="G3530">
            <v>3647000000</v>
          </cell>
          <cell r="H3530" t="str">
            <v>Hendra</v>
          </cell>
          <cell r="I3530" t="str">
            <v>Tiya</v>
          </cell>
          <cell r="J3530" t="str">
            <v>New 19/01/22</v>
          </cell>
          <cell r="K3530" t="str">
            <v>BG, KU</v>
          </cell>
          <cell r="L3530" t="str">
            <v>JAYA35</v>
          </cell>
          <cell r="M3530" t="str">
            <v>Jaya Tani Makmur, CV</v>
          </cell>
          <cell r="N3530" t="str">
            <v>Jaya Tani Makmur, CV</v>
          </cell>
          <cell r="O3530" t="str">
            <v>Jl. Raya Pasar Sukamandi No.11 RT.029, Ciasem, Girang Ciasem</v>
          </cell>
          <cell r="P3530" t="str">
            <v>Subang</v>
          </cell>
          <cell r="Q3530" t="str">
            <v>Jl. Raya Pasar Sukamandi No.11 RT.029, Ciasem, Girang Ciasem</v>
          </cell>
          <cell r="R3530" t="str">
            <v>Subang</v>
          </cell>
          <cell r="S3530" t="str">
            <v>I Jabar Jateng</v>
          </cell>
          <cell r="T3530" t="str">
            <v>Non SE &amp; JSE</v>
          </cell>
          <cell r="U3530">
            <v>60</v>
          </cell>
        </row>
        <row r="3531">
          <cell r="E3531" t="str">
            <v>B25008285</v>
          </cell>
          <cell r="F3531"/>
          <cell r="G3531">
            <v>3647000000</v>
          </cell>
          <cell r="H3531" t="str">
            <v>Hendra</v>
          </cell>
          <cell r="I3531" t="str">
            <v>Tiya</v>
          </cell>
          <cell r="J3531" t="str">
            <v>New 19/01/22</v>
          </cell>
          <cell r="K3531" t="str">
            <v>BG, KU</v>
          </cell>
          <cell r="L3531" t="str">
            <v>JAYA35</v>
          </cell>
          <cell r="M3531" t="str">
            <v>Jaya Tani Makmur, CV</v>
          </cell>
          <cell r="N3531" t="str">
            <v>Jaya Tani Makmur, CV</v>
          </cell>
          <cell r="O3531" t="str">
            <v>Jl. Raya Pasar Sukamandi No.11 RT.029, Ciasem, Girang Ciasem</v>
          </cell>
          <cell r="P3531" t="str">
            <v>Subang</v>
          </cell>
          <cell r="Q3531" t="str">
            <v>Jl. Raya Pasar Sukamandi No.11 RT.029, Ciasem, Girang Ciasem</v>
          </cell>
          <cell r="R3531" t="str">
            <v>Subang</v>
          </cell>
          <cell r="S3531" t="str">
            <v>I Jabar Jateng</v>
          </cell>
          <cell r="T3531" t="str">
            <v>Non SE &amp; JSE</v>
          </cell>
          <cell r="U3531">
            <v>60</v>
          </cell>
        </row>
        <row r="3532">
          <cell r="E3532" t="str">
            <v>B25008285</v>
          </cell>
          <cell r="F3532"/>
          <cell r="G3532">
            <v>3647000000</v>
          </cell>
          <cell r="H3532" t="str">
            <v>Hendra</v>
          </cell>
          <cell r="I3532" t="str">
            <v>Tiya</v>
          </cell>
          <cell r="J3532" t="str">
            <v>New 19/01/22</v>
          </cell>
          <cell r="K3532" t="str">
            <v>BG, KU</v>
          </cell>
          <cell r="L3532" t="str">
            <v>JAYA35</v>
          </cell>
          <cell r="M3532" t="str">
            <v>Jaya Tani Makmur, CV</v>
          </cell>
          <cell r="N3532" t="str">
            <v>Jaya Tani Makmur, CV</v>
          </cell>
          <cell r="O3532" t="str">
            <v>Jl. Raya Pasar Sukamandi No.11 RT.029, Ciasem, Girang Ciasem</v>
          </cell>
          <cell r="P3532" t="str">
            <v>Subang</v>
          </cell>
          <cell r="Q3532" t="str">
            <v>Jl. Raya Pasar Sukamandi No.11 RT.029, Ciasem, Girang Ciasem</v>
          </cell>
          <cell r="R3532" t="str">
            <v>Subang</v>
          </cell>
          <cell r="S3532" t="str">
            <v>I Jabar Jateng</v>
          </cell>
          <cell r="T3532" t="str">
            <v>Non SE &amp; JSE</v>
          </cell>
          <cell r="U3532">
            <v>60</v>
          </cell>
        </row>
        <row r="3533">
          <cell r="E3533" t="str">
            <v>B25008285</v>
          </cell>
          <cell r="F3533"/>
          <cell r="G3533">
            <v>3647000000</v>
          </cell>
          <cell r="H3533" t="str">
            <v>Hendra</v>
          </cell>
          <cell r="I3533" t="str">
            <v>Tiya</v>
          </cell>
          <cell r="J3533" t="str">
            <v>New 19/01/22</v>
          </cell>
          <cell r="K3533" t="str">
            <v>BG, KU</v>
          </cell>
          <cell r="L3533" t="str">
            <v>JAYA35</v>
          </cell>
          <cell r="M3533" t="str">
            <v>Jaya Tani Makmur, CV</v>
          </cell>
          <cell r="N3533" t="str">
            <v>Jaya Tani Makmur, CV</v>
          </cell>
          <cell r="O3533" t="str">
            <v>Jl. Raya Pasar Sukamandi No.11 RT.029, Ciasem, Girang Ciasem</v>
          </cell>
          <cell r="P3533" t="str">
            <v>Subang</v>
          </cell>
          <cell r="Q3533" t="str">
            <v>Jl. Raya Pasar Sukamandi No.11 RT.029, Ciasem, Girang Ciasem</v>
          </cell>
          <cell r="R3533" t="str">
            <v>Subang</v>
          </cell>
          <cell r="S3533" t="str">
            <v>I Jabar Jateng</v>
          </cell>
          <cell r="T3533" t="str">
            <v>Non SE &amp; JSE</v>
          </cell>
          <cell r="U3533">
            <v>60</v>
          </cell>
        </row>
        <row r="3534">
          <cell r="E3534" t="str">
            <v>B25008694</v>
          </cell>
          <cell r="F3534"/>
          <cell r="G3534">
            <v>3647000000</v>
          </cell>
          <cell r="H3534" t="str">
            <v>Hendra</v>
          </cell>
          <cell r="I3534" t="str">
            <v>Tiya</v>
          </cell>
          <cell r="J3534" t="str">
            <v>New 19/01/22</v>
          </cell>
          <cell r="K3534" t="str">
            <v>BG, KU</v>
          </cell>
          <cell r="L3534" t="str">
            <v>JAYA35</v>
          </cell>
          <cell r="M3534" t="str">
            <v>Jaya Tani Makmur, CV</v>
          </cell>
          <cell r="N3534" t="str">
            <v>Jaya Tani Makmur, CV</v>
          </cell>
          <cell r="O3534" t="str">
            <v>Jl. Raya Pasar Sukamandi No.11 RT.029, Ciasem, Girang Ciasem</v>
          </cell>
          <cell r="P3534" t="str">
            <v>Subang</v>
          </cell>
          <cell r="Q3534" t="str">
            <v>Jl. Raya Pasar Sukamandi No.11 RT.029, Ciasem, Girang Ciasem</v>
          </cell>
          <cell r="R3534" t="str">
            <v>Subang</v>
          </cell>
          <cell r="S3534" t="str">
            <v>I Jabar Jateng</v>
          </cell>
          <cell r="T3534" t="str">
            <v>Non SE &amp; JSE</v>
          </cell>
          <cell r="U3534">
            <v>60</v>
          </cell>
        </row>
        <row r="3535">
          <cell r="E3535" t="str">
            <v>B25008694</v>
          </cell>
          <cell r="F3535"/>
          <cell r="G3535">
            <v>3647000000</v>
          </cell>
          <cell r="H3535" t="str">
            <v>Hendra</v>
          </cell>
          <cell r="I3535" t="str">
            <v>Tiya</v>
          </cell>
          <cell r="J3535" t="str">
            <v>New 19/01/22</v>
          </cell>
          <cell r="K3535" t="str">
            <v>BG, KU</v>
          </cell>
          <cell r="L3535" t="str">
            <v>JAYA35</v>
          </cell>
          <cell r="M3535" t="str">
            <v>Jaya Tani Makmur, CV</v>
          </cell>
          <cell r="N3535" t="str">
            <v>Jaya Tani Makmur, CV</v>
          </cell>
          <cell r="O3535" t="str">
            <v>Jl. Raya Pasar Sukamandi No.11 RT.029, Ciasem, Girang Ciasem</v>
          </cell>
          <cell r="P3535" t="str">
            <v>Subang</v>
          </cell>
          <cell r="Q3535" t="str">
            <v>Jl. Raya Pasar Sukamandi No.11 RT.029, Ciasem, Girang Ciasem</v>
          </cell>
          <cell r="R3535" t="str">
            <v>Subang</v>
          </cell>
          <cell r="S3535" t="str">
            <v>I Jabar Jateng</v>
          </cell>
          <cell r="T3535" t="str">
            <v>Non SE &amp; JSE</v>
          </cell>
          <cell r="U3535">
            <v>60</v>
          </cell>
        </row>
        <row r="3536">
          <cell r="E3536" t="str">
            <v>B25008694</v>
          </cell>
          <cell r="F3536"/>
          <cell r="G3536">
            <v>3647000000</v>
          </cell>
          <cell r="H3536" t="str">
            <v>Hendra</v>
          </cell>
          <cell r="I3536" t="str">
            <v>Tiya</v>
          </cell>
          <cell r="J3536" t="str">
            <v>New 19/01/22</v>
          </cell>
          <cell r="K3536" t="str">
            <v>BG, KU</v>
          </cell>
          <cell r="L3536" t="str">
            <v>JAYA35</v>
          </cell>
          <cell r="M3536" t="str">
            <v>Jaya Tani Makmur, CV</v>
          </cell>
          <cell r="N3536" t="str">
            <v>Jaya Tani Makmur, CV</v>
          </cell>
          <cell r="O3536" t="str">
            <v>Jl. Raya Pasar Sukamandi No.11 RT.029, Ciasem, Girang Ciasem</v>
          </cell>
          <cell r="P3536" t="str">
            <v>Subang</v>
          </cell>
          <cell r="Q3536" t="str">
            <v>Jl. Raya Pasar Sukamandi No.11 RT.029, Ciasem, Girang Ciasem</v>
          </cell>
          <cell r="R3536" t="str">
            <v>Subang</v>
          </cell>
          <cell r="S3536" t="str">
            <v>I Jabar Jateng</v>
          </cell>
          <cell r="T3536" t="str">
            <v>Non SE &amp; JSE</v>
          </cell>
          <cell r="U3536">
            <v>60</v>
          </cell>
        </row>
        <row r="3537">
          <cell r="E3537" t="str">
            <v>B25010190</v>
          </cell>
          <cell r="F3537"/>
          <cell r="G3537">
            <v>3647000000</v>
          </cell>
          <cell r="H3537" t="str">
            <v>Hendra</v>
          </cell>
          <cell r="I3537" t="str">
            <v>Tiya</v>
          </cell>
          <cell r="J3537" t="str">
            <v>New 19/01/22</v>
          </cell>
          <cell r="K3537" t="str">
            <v>BG, KU</v>
          </cell>
          <cell r="L3537" t="str">
            <v>JAYA35</v>
          </cell>
          <cell r="M3537" t="str">
            <v>Jaya Tani Makmur, CV</v>
          </cell>
          <cell r="N3537" t="str">
            <v>Jaya Tani Makmur, CV</v>
          </cell>
          <cell r="O3537" t="str">
            <v>Jl. Raya Pasar Sukamandi No.11 RT.029, Ciasem, Girang Ciasem</v>
          </cell>
          <cell r="P3537" t="str">
            <v>Subang</v>
          </cell>
          <cell r="Q3537" t="str">
            <v>Jl. Raya Pasar Sukamandi No.11 RT.029, Ciasem, Girang Ciasem</v>
          </cell>
          <cell r="R3537" t="str">
            <v>Subang</v>
          </cell>
          <cell r="S3537" t="str">
            <v>I Jabar Jateng</v>
          </cell>
          <cell r="T3537" t="str">
            <v>Non SE &amp; JSE</v>
          </cell>
          <cell r="U3537">
            <v>60</v>
          </cell>
        </row>
        <row r="3538">
          <cell r="E3538" t="str">
            <v>D25012096</v>
          </cell>
          <cell r="F3538"/>
          <cell r="G3538">
            <v>3647000000</v>
          </cell>
          <cell r="H3538" t="str">
            <v>Hendra</v>
          </cell>
          <cell r="I3538" t="str">
            <v>Tiya</v>
          </cell>
          <cell r="J3538" t="str">
            <v>New 19/01/22</v>
          </cell>
          <cell r="K3538" t="str">
            <v>BG, KU</v>
          </cell>
          <cell r="L3538" t="str">
            <v>JAYA35</v>
          </cell>
          <cell r="M3538" t="str">
            <v>Jaya Tani Makmur, CV</v>
          </cell>
          <cell r="N3538" t="str">
            <v>Jaya Tani Makmur, CV</v>
          </cell>
          <cell r="O3538" t="str">
            <v>Jl. Raya Pasar Sukamandi No.11 RT.029, Ciasem, Girang Ciasem</v>
          </cell>
          <cell r="P3538" t="str">
            <v>Subang</v>
          </cell>
          <cell r="Q3538" t="str">
            <v>Jl. Raya Pasar Sukamandi No.11 RT.029, Ciasem, Girang Ciasem</v>
          </cell>
          <cell r="R3538" t="str">
            <v>Subang</v>
          </cell>
          <cell r="S3538" t="str">
            <v>I Jabar Jateng</v>
          </cell>
          <cell r="T3538" t="str">
            <v>Non SE &amp; JSE</v>
          </cell>
          <cell r="U3538">
            <v>60</v>
          </cell>
        </row>
        <row r="3539">
          <cell r="E3539" t="str">
            <v>D25012096</v>
          </cell>
          <cell r="F3539"/>
          <cell r="G3539">
            <v>3647000000</v>
          </cell>
          <cell r="H3539" t="str">
            <v>Hendra</v>
          </cell>
          <cell r="I3539" t="str">
            <v>Tiya</v>
          </cell>
          <cell r="J3539" t="str">
            <v>New 19/01/22</v>
          </cell>
          <cell r="K3539" t="str">
            <v>BG, KU</v>
          </cell>
          <cell r="L3539" t="str">
            <v>JAYA35</v>
          </cell>
          <cell r="M3539" t="str">
            <v>Jaya Tani Makmur, CV</v>
          </cell>
          <cell r="N3539" t="str">
            <v>Jaya Tani Makmur, CV</v>
          </cell>
          <cell r="O3539" t="str">
            <v>Jl. Raya Pasar Sukamandi No.11 RT.029, Ciasem, Girang Ciasem</v>
          </cell>
          <cell r="P3539" t="str">
            <v>Subang</v>
          </cell>
          <cell r="Q3539" t="str">
            <v>Jl. Raya Pasar Sukamandi No.11 RT.029, Ciasem, Girang Ciasem</v>
          </cell>
          <cell r="R3539" t="str">
            <v>Subang</v>
          </cell>
          <cell r="S3539" t="str">
            <v>I Jabar Jateng</v>
          </cell>
          <cell r="T3539" t="str">
            <v>Non SE &amp; JSE</v>
          </cell>
          <cell r="U3539">
            <v>60</v>
          </cell>
        </row>
        <row r="3540">
          <cell r="E3540" t="str">
            <v>D25012096</v>
          </cell>
          <cell r="F3540"/>
          <cell r="G3540">
            <v>3647000000</v>
          </cell>
          <cell r="H3540" t="str">
            <v>Hendra</v>
          </cell>
          <cell r="I3540" t="str">
            <v>Tiya</v>
          </cell>
          <cell r="J3540" t="str">
            <v>New 19/01/22</v>
          </cell>
          <cell r="K3540" t="str">
            <v>BG, KU</v>
          </cell>
          <cell r="L3540" t="str">
            <v>JAYA35</v>
          </cell>
          <cell r="M3540" t="str">
            <v>Jaya Tani Makmur, CV</v>
          </cell>
          <cell r="N3540" t="str">
            <v>Jaya Tani Makmur, CV</v>
          </cell>
          <cell r="O3540" t="str">
            <v>Jl. Raya Pasar Sukamandi No.11 RT.029, Ciasem, Girang Ciasem</v>
          </cell>
          <cell r="P3540" t="str">
            <v>Subang</v>
          </cell>
          <cell r="Q3540" t="str">
            <v>Jl. Raya Pasar Sukamandi No.11 RT.029, Ciasem, Girang Ciasem</v>
          </cell>
          <cell r="R3540" t="str">
            <v>Subang</v>
          </cell>
          <cell r="S3540" t="str">
            <v>I Jabar Jateng</v>
          </cell>
          <cell r="T3540" t="str">
            <v>Non SE &amp; JSE</v>
          </cell>
          <cell r="U3540">
            <v>60</v>
          </cell>
        </row>
        <row r="3541">
          <cell r="E3541" t="str">
            <v>D25012096</v>
          </cell>
          <cell r="F3541"/>
          <cell r="G3541">
            <v>3647000000</v>
          </cell>
          <cell r="H3541" t="str">
            <v>Hendra</v>
          </cell>
          <cell r="I3541" t="str">
            <v>Tiya</v>
          </cell>
          <cell r="J3541" t="str">
            <v>New 19/01/22</v>
          </cell>
          <cell r="K3541" t="str">
            <v>BG, KU</v>
          </cell>
          <cell r="L3541" t="str">
            <v>JAYA35</v>
          </cell>
          <cell r="M3541" t="str">
            <v>Jaya Tani Makmur, CV</v>
          </cell>
          <cell r="N3541" t="str">
            <v>Jaya Tani Makmur, CV</v>
          </cell>
          <cell r="O3541" t="str">
            <v>Jl. Raya Pasar Sukamandi No.11 RT.029, Ciasem, Girang Ciasem</v>
          </cell>
          <cell r="P3541" t="str">
            <v>Subang</v>
          </cell>
          <cell r="Q3541" t="str">
            <v>Jl. Raya Pasar Sukamandi No.11 RT.029, Ciasem, Girang Ciasem</v>
          </cell>
          <cell r="R3541" t="str">
            <v>Subang</v>
          </cell>
          <cell r="S3541" t="str">
            <v>I Jabar Jateng</v>
          </cell>
          <cell r="T3541" t="str">
            <v>Non SE &amp; JSE</v>
          </cell>
          <cell r="U3541">
            <v>60</v>
          </cell>
        </row>
        <row r="3542">
          <cell r="E3542" t="str">
            <v>D25012096</v>
          </cell>
          <cell r="F3542"/>
          <cell r="G3542">
            <v>3647000000</v>
          </cell>
          <cell r="H3542" t="str">
            <v>Hendra</v>
          </cell>
          <cell r="I3542" t="str">
            <v>Tiya</v>
          </cell>
          <cell r="J3542" t="str">
            <v>New 19/01/22</v>
          </cell>
          <cell r="K3542" t="str">
            <v>BG, KU</v>
          </cell>
          <cell r="L3542" t="str">
            <v>JAYA35</v>
          </cell>
          <cell r="M3542" t="str">
            <v>Jaya Tani Makmur, CV</v>
          </cell>
          <cell r="N3542" t="str">
            <v>Jaya Tani Makmur, CV</v>
          </cell>
          <cell r="O3542" t="str">
            <v>Jl. Raya Pasar Sukamandi No.11 RT.029, Ciasem, Girang Ciasem</v>
          </cell>
          <cell r="P3542" t="str">
            <v>Subang</v>
          </cell>
          <cell r="Q3542" t="str">
            <v>Jl. Raya Pasar Sukamandi No.11 RT.029, Ciasem, Girang Ciasem</v>
          </cell>
          <cell r="R3542" t="str">
            <v>Subang</v>
          </cell>
          <cell r="S3542" t="str">
            <v>I Jabar Jateng</v>
          </cell>
          <cell r="T3542" t="str">
            <v>Non SE &amp; JSE</v>
          </cell>
          <cell r="U3542">
            <v>60</v>
          </cell>
        </row>
        <row r="3543">
          <cell r="E3543" t="str">
            <v>D25012106</v>
          </cell>
          <cell r="F3543"/>
          <cell r="G3543">
            <v>3647000000</v>
          </cell>
          <cell r="H3543" t="str">
            <v>Hendra</v>
          </cell>
          <cell r="I3543" t="str">
            <v>Tiya</v>
          </cell>
          <cell r="J3543" t="str">
            <v>New 19/01/22</v>
          </cell>
          <cell r="K3543" t="str">
            <v>BG, KU</v>
          </cell>
          <cell r="L3543" t="str">
            <v>JAYA35</v>
          </cell>
          <cell r="M3543" t="str">
            <v>Jaya Tani Makmur, CV</v>
          </cell>
          <cell r="N3543" t="str">
            <v>Jaya Tani Makmur, CV</v>
          </cell>
          <cell r="O3543" t="str">
            <v>Jl. Raya Pasar Sukamandi No.11 RT.029, Ciasem, Girang Ciasem</v>
          </cell>
          <cell r="P3543" t="str">
            <v>Subang</v>
          </cell>
          <cell r="Q3543" t="str">
            <v>Jl. Raya Pasar Sukamandi No.11 RT.029, Ciasem, Girang Ciasem</v>
          </cell>
          <cell r="R3543" t="str">
            <v>Subang</v>
          </cell>
          <cell r="S3543" t="str">
            <v>I Jabar Jateng</v>
          </cell>
          <cell r="T3543" t="str">
            <v>Non SE &amp; JSE</v>
          </cell>
          <cell r="U3543">
            <v>60</v>
          </cell>
        </row>
        <row r="3544">
          <cell r="E3544" t="str">
            <v>D25012106</v>
          </cell>
          <cell r="F3544"/>
          <cell r="G3544">
            <v>3647000000</v>
          </cell>
          <cell r="H3544" t="str">
            <v>Hendra</v>
          </cell>
          <cell r="I3544" t="str">
            <v>Tiya</v>
          </cell>
          <cell r="J3544" t="str">
            <v>New 19/01/22</v>
          </cell>
          <cell r="K3544" t="str">
            <v>BG, KU</v>
          </cell>
          <cell r="L3544" t="str">
            <v>JAYA35</v>
          </cell>
          <cell r="M3544" t="str">
            <v>Jaya Tani Makmur, CV</v>
          </cell>
          <cell r="N3544" t="str">
            <v>Jaya Tani Makmur, CV</v>
          </cell>
          <cell r="O3544" t="str">
            <v>Jl. Raya Pasar Sukamandi No.11 RT.029, Ciasem, Girang Ciasem</v>
          </cell>
          <cell r="P3544" t="str">
            <v>Subang</v>
          </cell>
          <cell r="Q3544" t="str">
            <v>Jl. Raya Pasar Sukamandi No.11 RT.029, Ciasem, Girang Ciasem</v>
          </cell>
          <cell r="R3544" t="str">
            <v>Subang</v>
          </cell>
          <cell r="S3544" t="str">
            <v>I Jabar Jateng</v>
          </cell>
          <cell r="T3544" t="str">
            <v>Non SE &amp; JSE</v>
          </cell>
          <cell r="U3544">
            <v>60</v>
          </cell>
        </row>
        <row r="3545">
          <cell r="E3545" t="str">
            <v>B25010298</v>
          </cell>
          <cell r="F3545"/>
          <cell r="G3545">
            <v>3647000000</v>
          </cell>
          <cell r="H3545" t="str">
            <v>Hendra</v>
          </cell>
          <cell r="I3545" t="str">
            <v>Tiya</v>
          </cell>
          <cell r="J3545" t="str">
            <v>New 19/01/22</v>
          </cell>
          <cell r="K3545" t="str">
            <v>BG, KU</v>
          </cell>
          <cell r="L3545" t="str">
            <v>JAYA35</v>
          </cell>
          <cell r="M3545" t="str">
            <v>Jaya Tani Makmur, CV</v>
          </cell>
          <cell r="N3545" t="str">
            <v>Jaya Tani Makmur, CV</v>
          </cell>
          <cell r="O3545" t="str">
            <v>Jl. Raya Pasar Sukamandi No.11 RT.029, Ciasem, Girang Ciasem</v>
          </cell>
          <cell r="P3545" t="str">
            <v>Subang</v>
          </cell>
          <cell r="Q3545" t="str">
            <v>Jl. Raya Pasar Sukamandi No.11 RT.029, Ciasem, Girang Ciasem</v>
          </cell>
          <cell r="R3545" t="str">
            <v>Subang</v>
          </cell>
          <cell r="S3545" t="str">
            <v>I Jabar Jateng</v>
          </cell>
          <cell r="T3545" t="str">
            <v>Non SE &amp; JSE</v>
          </cell>
          <cell r="U3545">
            <v>60</v>
          </cell>
        </row>
        <row r="3546">
          <cell r="E3546" t="str">
            <v>B25010298</v>
          </cell>
          <cell r="F3546"/>
          <cell r="G3546">
            <v>3647000000</v>
          </cell>
          <cell r="H3546" t="str">
            <v>Hendra</v>
          </cell>
          <cell r="I3546" t="str">
            <v>Tiya</v>
          </cell>
          <cell r="J3546" t="str">
            <v>New 19/01/22</v>
          </cell>
          <cell r="K3546" t="str">
            <v>BG, KU</v>
          </cell>
          <cell r="L3546" t="str">
            <v>JAYA35</v>
          </cell>
          <cell r="M3546" t="str">
            <v>Jaya Tani Makmur, CV</v>
          </cell>
          <cell r="N3546" t="str">
            <v>Jaya Tani Makmur, CV</v>
          </cell>
          <cell r="O3546" t="str">
            <v>Jl. Raya Pasar Sukamandi No.11 RT.029, Ciasem, Girang Ciasem</v>
          </cell>
          <cell r="P3546" t="str">
            <v>Subang</v>
          </cell>
          <cell r="Q3546" t="str">
            <v>Jl. Raya Pasar Sukamandi No.11 RT.029, Ciasem, Girang Ciasem</v>
          </cell>
          <cell r="R3546" t="str">
            <v>Subang</v>
          </cell>
          <cell r="S3546" t="str">
            <v>I Jabar Jateng</v>
          </cell>
          <cell r="T3546" t="str">
            <v>Non SE &amp; JSE</v>
          </cell>
          <cell r="U3546">
            <v>60</v>
          </cell>
        </row>
        <row r="3547">
          <cell r="E3547">
            <v>250075</v>
          </cell>
          <cell r="F3547"/>
          <cell r="G3547">
            <v>3647000000</v>
          </cell>
          <cell r="H3547" t="str">
            <v>Hendra</v>
          </cell>
          <cell r="I3547" t="str">
            <v>Tiya</v>
          </cell>
          <cell r="J3547" t="str">
            <v>New 19/01/22</v>
          </cell>
          <cell r="K3547" t="str">
            <v>BG, KU</v>
          </cell>
          <cell r="L3547" t="str">
            <v>JAYA35</v>
          </cell>
          <cell r="M3547" t="str">
            <v>Jaya Tani Makmur, CV</v>
          </cell>
          <cell r="N3547" t="str">
            <v>Jaya Tani Makmur, CV</v>
          </cell>
          <cell r="O3547" t="str">
            <v>Jl. Raya Pasar Sukamandi No.11 RT.029, Ciasem, Girang Ciasem</v>
          </cell>
          <cell r="P3547" t="str">
            <v>Subang</v>
          </cell>
          <cell r="Q3547" t="str">
            <v>Jl. Raya Pasar Sukamandi No.11 RT.029, Ciasem, Girang Ciasem</v>
          </cell>
          <cell r="R3547" t="str">
            <v>Subang</v>
          </cell>
          <cell r="S3547" t="str">
            <v>I Jabar Jateng</v>
          </cell>
          <cell r="T3547" t="str">
            <v>Non SE &amp; JSE</v>
          </cell>
          <cell r="U3547">
            <v>60</v>
          </cell>
        </row>
        <row r="3548">
          <cell r="E3548">
            <v>250075</v>
          </cell>
          <cell r="F3548"/>
          <cell r="G3548">
            <v>3647000000</v>
          </cell>
          <cell r="H3548" t="str">
            <v>Hendra</v>
          </cell>
          <cell r="I3548" t="str">
            <v>Tiya</v>
          </cell>
          <cell r="J3548" t="str">
            <v>New 19/01/22</v>
          </cell>
          <cell r="K3548" t="str">
            <v>BG, KU</v>
          </cell>
          <cell r="L3548" t="str">
            <v>JAYA35</v>
          </cell>
          <cell r="M3548" t="str">
            <v>Jaya Tani Makmur, CV</v>
          </cell>
          <cell r="N3548" t="str">
            <v>Jaya Tani Makmur, CV</v>
          </cell>
          <cell r="O3548" t="str">
            <v>Jl. Raya Pasar Sukamandi No.11 RT.029, Ciasem, Girang Ciasem</v>
          </cell>
          <cell r="P3548" t="str">
            <v>Subang</v>
          </cell>
          <cell r="Q3548" t="str">
            <v>Jl. Raya Pasar Sukamandi No.11 RT.029, Ciasem, Girang Ciasem</v>
          </cell>
          <cell r="R3548" t="str">
            <v>Subang</v>
          </cell>
          <cell r="S3548" t="str">
            <v>I Jabar Jateng</v>
          </cell>
          <cell r="T3548" t="str">
            <v>Non SE &amp; JSE</v>
          </cell>
          <cell r="U3548">
            <v>60</v>
          </cell>
        </row>
        <row r="3549">
          <cell r="E3549">
            <v>250075</v>
          </cell>
          <cell r="F3549"/>
          <cell r="G3549">
            <v>3647000000</v>
          </cell>
          <cell r="H3549" t="str">
            <v>Hendra</v>
          </cell>
          <cell r="I3549" t="str">
            <v>Tiya</v>
          </cell>
          <cell r="J3549" t="str">
            <v>New 19/01/22</v>
          </cell>
          <cell r="K3549" t="str">
            <v>BG, KU</v>
          </cell>
          <cell r="L3549" t="str">
            <v>JAYA35</v>
          </cell>
          <cell r="M3549" t="str">
            <v>Jaya Tani Makmur, CV</v>
          </cell>
          <cell r="N3549" t="str">
            <v>Jaya Tani Makmur, CV</v>
          </cell>
          <cell r="O3549" t="str">
            <v>Jl. Raya Pasar Sukamandi No.11 RT.029, Ciasem, Girang Ciasem</v>
          </cell>
          <cell r="P3549" t="str">
            <v>Subang</v>
          </cell>
          <cell r="Q3549" t="str">
            <v>Jl. Raya Pasar Sukamandi No.11 RT.029, Ciasem, Girang Ciasem</v>
          </cell>
          <cell r="R3549" t="str">
            <v>Subang</v>
          </cell>
          <cell r="S3549" t="str">
            <v>I Jabar Jateng</v>
          </cell>
          <cell r="T3549" t="str">
            <v>Non SE &amp; JSE</v>
          </cell>
          <cell r="U3549">
            <v>60</v>
          </cell>
        </row>
        <row r="3550">
          <cell r="E3550">
            <v>250075</v>
          </cell>
          <cell r="F3550"/>
          <cell r="G3550">
            <v>3647000000</v>
          </cell>
          <cell r="H3550" t="str">
            <v>Hendra</v>
          </cell>
          <cell r="I3550" t="str">
            <v>Tiya</v>
          </cell>
          <cell r="J3550" t="str">
            <v>New 19/01/22</v>
          </cell>
          <cell r="K3550" t="str">
            <v>BG, KU</v>
          </cell>
          <cell r="L3550" t="str">
            <v>JAYA35</v>
          </cell>
          <cell r="M3550" t="str">
            <v>Jaya Tani Makmur, CV</v>
          </cell>
          <cell r="N3550" t="str">
            <v>Jaya Tani Makmur, CV</v>
          </cell>
          <cell r="O3550" t="str">
            <v>Jl. Raya Pasar Sukamandi No.11 RT.029, Ciasem, Girang Ciasem</v>
          </cell>
          <cell r="P3550" t="str">
            <v>Subang</v>
          </cell>
          <cell r="Q3550" t="str">
            <v>Jl. Raya Pasar Sukamandi No.11 RT.029, Ciasem, Girang Ciasem</v>
          </cell>
          <cell r="R3550" t="str">
            <v>Subang</v>
          </cell>
          <cell r="S3550" t="str">
            <v>I Jabar Jateng</v>
          </cell>
          <cell r="T3550" t="str">
            <v>Non SE &amp; JSE</v>
          </cell>
          <cell r="U3550">
            <v>60</v>
          </cell>
        </row>
        <row r="3551">
          <cell r="E3551" t="str">
            <v>D25014491</v>
          </cell>
          <cell r="F3551"/>
          <cell r="G3551">
            <v>3647000000</v>
          </cell>
          <cell r="H3551" t="str">
            <v>Hendra</v>
          </cell>
          <cell r="I3551" t="str">
            <v>Tiya</v>
          </cell>
          <cell r="J3551" t="str">
            <v>New 19/01/22</v>
          </cell>
          <cell r="K3551" t="str">
            <v>BG, KU</v>
          </cell>
          <cell r="L3551" t="str">
            <v>JAYA35</v>
          </cell>
          <cell r="M3551" t="str">
            <v>Jaya Tani Makmur, CV</v>
          </cell>
          <cell r="N3551" t="str">
            <v>Jaya Tani Makmur, CV</v>
          </cell>
          <cell r="O3551" t="str">
            <v>Jl. Raya Pasar Sukamandi No.11 RT.029, Ciasem, Girang Ciasem</v>
          </cell>
          <cell r="P3551" t="str">
            <v>Subang</v>
          </cell>
          <cell r="Q3551" t="str">
            <v>Jl. Raya Pasar Sukamandi No.11 RT.029, Ciasem, Girang Ciasem</v>
          </cell>
          <cell r="R3551" t="str">
            <v>Subang</v>
          </cell>
          <cell r="S3551" t="str">
            <v>I Jabar Jateng</v>
          </cell>
          <cell r="T3551" t="str">
            <v>Non SE &amp; JSE</v>
          </cell>
          <cell r="U3551">
            <v>30</v>
          </cell>
        </row>
        <row r="3552">
          <cell r="E3552" t="str">
            <v>B25012665</v>
          </cell>
          <cell r="F3552"/>
          <cell r="G3552">
            <v>3647000000</v>
          </cell>
          <cell r="H3552" t="str">
            <v>Hendra</v>
          </cell>
          <cell r="I3552" t="str">
            <v>Tiya</v>
          </cell>
          <cell r="J3552" t="str">
            <v>New 19/01/22</v>
          </cell>
          <cell r="K3552" t="str">
            <v>BG, KU</v>
          </cell>
          <cell r="L3552" t="str">
            <v>JAYA35</v>
          </cell>
          <cell r="M3552" t="str">
            <v>Jaya Tani Makmur, CV</v>
          </cell>
          <cell r="N3552" t="str">
            <v>Jaya Tani Makmur, CV</v>
          </cell>
          <cell r="O3552" t="str">
            <v>Jl. Raya Pasar Sukamandi No.11 RT.029, Ciasem, Girang Ciasem</v>
          </cell>
          <cell r="P3552" t="str">
            <v>Subang</v>
          </cell>
          <cell r="Q3552" t="str">
            <v>Jl. Raya Pasar Sukamandi No.11 RT.029, Ciasem, Girang Ciasem</v>
          </cell>
          <cell r="R3552" t="str">
            <v>Subang</v>
          </cell>
          <cell r="S3552" t="str">
            <v>I Jabar Jateng</v>
          </cell>
          <cell r="T3552" t="str">
            <v>Non SE &amp; JSE</v>
          </cell>
          <cell r="U3552">
            <v>30</v>
          </cell>
        </row>
        <row r="3553">
          <cell r="E3553" t="str">
            <v>B25011083</v>
          </cell>
          <cell r="F3553"/>
          <cell r="G3553">
            <v>150000000</v>
          </cell>
          <cell r="H3553" t="str">
            <v>Zakia</v>
          </cell>
          <cell r="I3553" t="str">
            <v>Tiya</v>
          </cell>
          <cell r="J3553"/>
          <cell r="K3553" t="str">
            <v>KU, Tunai</v>
          </cell>
          <cell r="L3553" t="str">
            <v>JAYA08</v>
          </cell>
          <cell r="M3553" t="str">
            <v>Jaya Tani/Asfiyak</v>
          </cell>
          <cell r="N3553" t="str">
            <v>Muhamad Asfiyak</v>
          </cell>
          <cell r="O3553" t="str">
            <v>Dsn. Tlogo II RT.005/RW.004, Tlogo, Kanigoro</v>
          </cell>
          <cell r="P3553" t="str">
            <v>Blitar</v>
          </cell>
          <cell r="Q3553" t="str">
            <v>Selatan Lapangan Brubuh Sutojayan, Lodoyo</v>
          </cell>
          <cell r="R3553" t="str">
            <v>Blitar</v>
          </cell>
          <cell r="S3553" t="str">
            <v>D Barat1</v>
          </cell>
          <cell r="T3553" t="str">
            <v>Tomi</v>
          </cell>
          <cell r="U3553">
            <v>30</v>
          </cell>
        </row>
        <row r="3554">
          <cell r="E3554" t="str">
            <v>B25011540</v>
          </cell>
          <cell r="F3554"/>
          <cell r="G3554">
            <v>150000000</v>
          </cell>
          <cell r="H3554" t="str">
            <v>Zakia</v>
          </cell>
          <cell r="I3554" t="str">
            <v>Tiya</v>
          </cell>
          <cell r="J3554"/>
          <cell r="K3554" t="str">
            <v>KU, Tunai</v>
          </cell>
          <cell r="L3554" t="str">
            <v>JAYA08</v>
          </cell>
          <cell r="M3554" t="str">
            <v>Jaya Tani/Asfiyak</v>
          </cell>
          <cell r="N3554" t="str">
            <v>Muhamad Asfiyak</v>
          </cell>
          <cell r="O3554" t="str">
            <v>Dsn. Tlogo II RT.005/RW.004, Tlogo, Kanigoro</v>
          </cell>
          <cell r="P3554" t="str">
            <v>Blitar</v>
          </cell>
          <cell r="Q3554" t="str">
            <v>Selatan Lapangan Brubuh Sutojayan, Lodoyo</v>
          </cell>
          <cell r="R3554" t="str">
            <v>Blitar</v>
          </cell>
          <cell r="S3554" t="str">
            <v>D Barat1</v>
          </cell>
          <cell r="T3554" t="str">
            <v>Tomi</v>
          </cell>
          <cell r="U3554">
            <v>30</v>
          </cell>
        </row>
        <row r="3555">
          <cell r="E3555" t="str">
            <v>D25013964</v>
          </cell>
          <cell r="F3555"/>
          <cell r="G3555">
            <v>150000000</v>
          </cell>
          <cell r="H3555" t="str">
            <v>Zakia</v>
          </cell>
          <cell r="I3555" t="str">
            <v>Tiya</v>
          </cell>
          <cell r="J3555"/>
          <cell r="K3555" t="str">
            <v>KU, Tunai</v>
          </cell>
          <cell r="L3555" t="str">
            <v>JAYA08</v>
          </cell>
          <cell r="M3555" t="str">
            <v>Jaya Tani/Asfiyak</v>
          </cell>
          <cell r="N3555" t="str">
            <v>Muhamad Asfiyak</v>
          </cell>
          <cell r="O3555" t="str">
            <v>Dsn. Tlogo II RT.005/RW.004, Tlogo, Kanigoro</v>
          </cell>
          <cell r="P3555" t="str">
            <v>Blitar</v>
          </cell>
          <cell r="Q3555" t="str">
            <v>Selatan Lapangan Brubuh Sutojayan, Lodoyo</v>
          </cell>
          <cell r="R3555" t="str">
            <v>Blitar</v>
          </cell>
          <cell r="S3555" t="str">
            <v>D Barat1</v>
          </cell>
          <cell r="T3555" t="str">
            <v>Tomi</v>
          </cell>
          <cell r="U3555">
            <v>30</v>
          </cell>
        </row>
        <row r="3556">
          <cell r="E3556" t="str">
            <v>D25013965</v>
          </cell>
          <cell r="F3556"/>
          <cell r="G3556">
            <v>150000000</v>
          </cell>
          <cell r="H3556" t="str">
            <v>Zakia</v>
          </cell>
          <cell r="I3556" t="str">
            <v>Tiya</v>
          </cell>
          <cell r="J3556"/>
          <cell r="K3556" t="str">
            <v>KU, Tunai</v>
          </cell>
          <cell r="L3556" t="str">
            <v>JAYA08</v>
          </cell>
          <cell r="M3556" t="str">
            <v>Jaya Tani/Asfiyak</v>
          </cell>
          <cell r="N3556" t="str">
            <v>Muhamad Asfiyak</v>
          </cell>
          <cell r="O3556" t="str">
            <v>Dsn. Tlogo II RT.005/RW.004, Tlogo, Kanigoro</v>
          </cell>
          <cell r="P3556" t="str">
            <v>Blitar</v>
          </cell>
          <cell r="Q3556" t="str">
            <v>Selatan Lapangan Brubuh Sutojayan, Lodoyo</v>
          </cell>
          <cell r="R3556" t="str">
            <v>Blitar</v>
          </cell>
          <cell r="S3556" t="str">
            <v>D Barat1</v>
          </cell>
          <cell r="T3556" t="str">
            <v>Tomi</v>
          </cell>
          <cell r="U3556">
            <v>30</v>
          </cell>
        </row>
        <row r="3557">
          <cell r="E3557" t="str">
            <v>B25012006</v>
          </cell>
          <cell r="F3557"/>
          <cell r="G3557">
            <v>150000000</v>
          </cell>
          <cell r="H3557" t="str">
            <v>Zakia</v>
          </cell>
          <cell r="I3557" t="str">
            <v>Tiya</v>
          </cell>
          <cell r="J3557"/>
          <cell r="K3557" t="str">
            <v>KU, Tunai</v>
          </cell>
          <cell r="L3557" t="str">
            <v>JAYA08</v>
          </cell>
          <cell r="M3557" t="str">
            <v>Jaya Tani/Asfiyak</v>
          </cell>
          <cell r="N3557" t="str">
            <v>Muhamad Asfiyak</v>
          </cell>
          <cell r="O3557" t="str">
            <v>Dsn. Tlogo II RT.005/RW.004, Tlogo, Kanigoro</v>
          </cell>
          <cell r="P3557" t="str">
            <v>Blitar</v>
          </cell>
          <cell r="Q3557" t="str">
            <v>Selatan Lapangan Brubuh Sutojayan, Lodoyo</v>
          </cell>
          <cell r="R3557" t="str">
            <v>Blitar</v>
          </cell>
          <cell r="S3557" t="str">
            <v>D Barat1</v>
          </cell>
          <cell r="T3557" t="str">
            <v>Tomi</v>
          </cell>
          <cell r="U3557">
            <v>30</v>
          </cell>
        </row>
        <row r="3558">
          <cell r="E3558" t="str">
            <v>D25014496</v>
          </cell>
          <cell r="F3558"/>
          <cell r="G3558">
            <v>150000000</v>
          </cell>
          <cell r="H3558" t="str">
            <v>Zakia</v>
          </cell>
          <cell r="I3558" t="str">
            <v>Tiya</v>
          </cell>
          <cell r="J3558"/>
          <cell r="K3558" t="str">
            <v>KU, Tunai</v>
          </cell>
          <cell r="L3558" t="str">
            <v>JAYA08</v>
          </cell>
          <cell r="M3558" t="str">
            <v>Jaya Tani/Asfiyak</v>
          </cell>
          <cell r="N3558" t="str">
            <v>Muhamad Asfiyak</v>
          </cell>
          <cell r="O3558" t="str">
            <v>Dsn. Tlogo II RT.005/RW.004, Tlogo, Kanigoro</v>
          </cell>
          <cell r="P3558" t="str">
            <v>Blitar</v>
          </cell>
          <cell r="Q3558" t="str">
            <v>Selatan Lapangan Brubuh Sutojayan, Lodoyo</v>
          </cell>
          <cell r="R3558" t="str">
            <v>Blitar</v>
          </cell>
          <cell r="S3558" t="str">
            <v>D Barat1</v>
          </cell>
          <cell r="T3558" t="str">
            <v>Tomi</v>
          </cell>
          <cell r="U3558">
            <v>30</v>
          </cell>
        </row>
        <row r="3559">
          <cell r="E3559" t="str">
            <v>T25001433</v>
          </cell>
          <cell r="F3559"/>
          <cell r="G3559">
            <v>150000000</v>
          </cell>
          <cell r="H3559" t="str">
            <v>Zakia</v>
          </cell>
          <cell r="I3559" t="str">
            <v>Tiya</v>
          </cell>
          <cell r="J3559"/>
          <cell r="K3559" t="str">
            <v>KU, Tunai</v>
          </cell>
          <cell r="L3559" t="str">
            <v>JAYA08</v>
          </cell>
          <cell r="M3559" t="str">
            <v>Jaya Tani/Asfiyak</v>
          </cell>
          <cell r="N3559" t="str">
            <v>Muhamad Asfiyak</v>
          </cell>
          <cell r="O3559" t="str">
            <v>Dsn. Tlogo II RT.005/RW.004, Tlogo, Kanigoro</v>
          </cell>
          <cell r="P3559" t="str">
            <v>Blitar</v>
          </cell>
          <cell r="Q3559" t="str">
            <v>Selatan Lapangan Brubuh Sutojayan, Lodoyo</v>
          </cell>
          <cell r="R3559" t="str">
            <v>Blitar</v>
          </cell>
          <cell r="S3559" t="str">
            <v>D Barat1</v>
          </cell>
          <cell r="T3559" t="str">
            <v>Tomi</v>
          </cell>
          <cell r="U3559">
            <v>60</v>
          </cell>
        </row>
        <row r="3560">
          <cell r="E3560" t="str">
            <v>D25014606</v>
          </cell>
          <cell r="F3560"/>
          <cell r="G3560">
            <v>150000000</v>
          </cell>
          <cell r="H3560" t="str">
            <v>Zakia</v>
          </cell>
          <cell r="I3560" t="str">
            <v>Tiya</v>
          </cell>
          <cell r="J3560"/>
          <cell r="K3560" t="str">
            <v>KU, Tunai</v>
          </cell>
          <cell r="L3560" t="str">
            <v>JAYA08</v>
          </cell>
          <cell r="M3560" t="str">
            <v>Jaya Tani/Asfiyak</v>
          </cell>
          <cell r="N3560" t="str">
            <v>Muhamad Asfiyak</v>
          </cell>
          <cell r="O3560" t="str">
            <v>Dsn. Tlogo II RT.005/RW.004, Tlogo, Kanigoro</v>
          </cell>
          <cell r="P3560" t="str">
            <v>Blitar</v>
          </cell>
          <cell r="Q3560" t="str">
            <v>Selatan Lapangan Brubuh Sutojayan, Lodoyo</v>
          </cell>
          <cell r="R3560" t="str">
            <v>Blitar</v>
          </cell>
          <cell r="S3560" t="str">
            <v>D Barat1</v>
          </cell>
          <cell r="T3560" t="str">
            <v>Tomi</v>
          </cell>
          <cell r="U3560">
            <v>30</v>
          </cell>
        </row>
        <row r="3561">
          <cell r="E3561" t="str">
            <v>D25015137</v>
          </cell>
          <cell r="F3561"/>
          <cell r="G3561">
            <v>150000000</v>
          </cell>
          <cell r="H3561" t="str">
            <v>Zakia</v>
          </cell>
          <cell r="I3561" t="str">
            <v>Tiya</v>
          </cell>
          <cell r="J3561"/>
          <cell r="K3561" t="str">
            <v>KU, Tunai</v>
          </cell>
          <cell r="L3561" t="str">
            <v>JAYA08</v>
          </cell>
          <cell r="M3561" t="str">
            <v>Jaya Tani/Asfiyak</v>
          </cell>
          <cell r="N3561" t="str">
            <v>Muhamad Asfiyak</v>
          </cell>
          <cell r="O3561" t="str">
            <v>Dsn. Tlogo II RT.005/RW.004, Tlogo, Kanigoro</v>
          </cell>
          <cell r="P3561" t="str">
            <v>Blitar</v>
          </cell>
          <cell r="Q3561" t="str">
            <v>Selatan Lapangan Brubuh Sutojayan, Lodoyo</v>
          </cell>
          <cell r="R3561" t="str">
            <v>Blitar</v>
          </cell>
          <cell r="S3561" t="str">
            <v>D Barat1</v>
          </cell>
          <cell r="T3561" t="str">
            <v>Tomi</v>
          </cell>
          <cell r="U3561">
            <v>30</v>
          </cell>
        </row>
        <row r="3562">
          <cell r="E3562" t="str">
            <v>B25012896</v>
          </cell>
          <cell r="F3562"/>
          <cell r="G3562">
            <v>150000000</v>
          </cell>
          <cell r="H3562" t="str">
            <v>Zakia</v>
          </cell>
          <cell r="I3562" t="str">
            <v>Tiya</v>
          </cell>
          <cell r="J3562"/>
          <cell r="K3562" t="str">
            <v>KU, Tunai</v>
          </cell>
          <cell r="L3562" t="str">
            <v>JAYA08</v>
          </cell>
          <cell r="M3562" t="str">
            <v>Jaya Tani/Asfiyak</v>
          </cell>
          <cell r="N3562" t="str">
            <v>Muhamad Asfiyak</v>
          </cell>
          <cell r="O3562" t="str">
            <v>Dsn. Tlogo II RT.005/RW.004, Tlogo, Kanigoro</v>
          </cell>
          <cell r="P3562" t="str">
            <v>Blitar</v>
          </cell>
          <cell r="Q3562" t="str">
            <v>Selatan Lapangan Brubuh Sutojayan, Lodoyo</v>
          </cell>
          <cell r="R3562" t="str">
            <v>Blitar</v>
          </cell>
          <cell r="S3562" t="str">
            <v>D Barat1</v>
          </cell>
          <cell r="T3562" t="str">
            <v>Tomi</v>
          </cell>
          <cell r="U3562">
            <v>30</v>
          </cell>
        </row>
        <row r="3563">
          <cell r="E3563" t="str">
            <v>D25015404</v>
          </cell>
          <cell r="F3563"/>
          <cell r="G3563">
            <v>150000000</v>
          </cell>
          <cell r="H3563" t="str">
            <v>Zakia</v>
          </cell>
          <cell r="I3563" t="str">
            <v>Tiya</v>
          </cell>
          <cell r="J3563"/>
          <cell r="K3563" t="str">
            <v>KU, Tunai</v>
          </cell>
          <cell r="L3563" t="str">
            <v>JAYA08</v>
          </cell>
          <cell r="M3563" t="str">
            <v>Jaya Tani/Asfiyak</v>
          </cell>
          <cell r="N3563" t="str">
            <v>Muhamad Asfiyak</v>
          </cell>
          <cell r="O3563" t="str">
            <v>Dsn. Tlogo II RT.005/RW.004, Tlogo, Kanigoro</v>
          </cell>
          <cell r="P3563" t="str">
            <v>Blitar</v>
          </cell>
          <cell r="Q3563" t="str">
            <v>Selatan Lapangan Brubuh Sutojayan, Lodoyo</v>
          </cell>
          <cell r="R3563" t="str">
            <v>Blitar</v>
          </cell>
          <cell r="S3563" t="str">
            <v>D Barat1</v>
          </cell>
          <cell r="T3563" t="str">
            <v>Tomi</v>
          </cell>
          <cell r="U3563">
            <v>30</v>
          </cell>
        </row>
        <row r="3564">
          <cell r="E3564" t="str">
            <v>B25013644</v>
          </cell>
          <cell r="F3564"/>
          <cell r="G3564">
            <v>150000000</v>
          </cell>
          <cell r="H3564" t="str">
            <v>Zakia</v>
          </cell>
          <cell r="I3564" t="str">
            <v>Tiya</v>
          </cell>
          <cell r="J3564"/>
          <cell r="K3564" t="str">
            <v>KU, Tunai</v>
          </cell>
          <cell r="L3564" t="str">
            <v>JAYA08</v>
          </cell>
          <cell r="M3564" t="str">
            <v>Jaya Tani/Asfiyak</v>
          </cell>
          <cell r="N3564" t="str">
            <v>Muhamad Asfiyak</v>
          </cell>
          <cell r="O3564" t="str">
            <v>Dsn. Tlogo II RT.005/RW.004, Tlogo, Kanigoro</v>
          </cell>
          <cell r="P3564" t="str">
            <v>Blitar</v>
          </cell>
          <cell r="Q3564" t="str">
            <v>Selatan Lapangan Brubuh Sutojayan, Lodoyo</v>
          </cell>
          <cell r="R3564" t="str">
            <v>Blitar</v>
          </cell>
          <cell r="S3564" t="str">
            <v>D Barat1</v>
          </cell>
          <cell r="T3564" t="str">
            <v>Tomi</v>
          </cell>
          <cell r="U3564">
            <v>30</v>
          </cell>
        </row>
        <row r="3565">
          <cell r="E3565" t="str">
            <v>D25016151</v>
          </cell>
          <cell r="F3565"/>
          <cell r="G3565">
            <v>150000000</v>
          </cell>
          <cell r="H3565" t="str">
            <v>Zakia</v>
          </cell>
          <cell r="I3565" t="str">
            <v>Tiya</v>
          </cell>
          <cell r="J3565"/>
          <cell r="K3565" t="str">
            <v>KU, Tunai</v>
          </cell>
          <cell r="L3565" t="str">
            <v>JAYA08</v>
          </cell>
          <cell r="M3565" t="str">
            <v>Jaya Tani/Asfiyak</v>
          </cell>
          <cell r="N3565" t="str">
            <v>Muhamad Asfiyak</v>
          </cell>
          <cell r="O3565" t="str">
            <v>Dsn. Tlogo II RT.005/RW.004, Tlogo, Kanigoro</v>
          </cell>
          <cell r="P3565" t="str">
            <v>Blitar</v>
          </cell>
          <cell r="Q3565" t="str">
            <v>Selatan Lapangan Brubuh Sutojayan, Lodoyo</v>
          </cell>
          <cell r="R3565" t="str">
            <v>Blitar</v>
          </cell>
          <cell r="S3565" t="str">
            <v>D Barat1</v>
          </cell>
          <cell r="T3565" t="str">
            <v>Tomi</v>
          </cell>
          <cell r="U3565">
            <v>30</v>
          </cell>
        </row>
        <row r="3566">
          <cell r="E3566" t="str">
            <v>T25001208</v>
          </cell>
          <cell r="F3566"/>
          <cell r="G3566">
            <v>100000000</v>
          </cell>
          <cell r="H3566" t="str">
            <v>Zakia</v>
          </cell>
          <cell r="I3566" t="str">
            <v>Tiya</v>
          </cell>
          <cell r="J3566" t="str">
            <v>New 07/02/20</v>
          </cell>
          <cell r="K3566" t="str">
            <v>KU, Tunai</v>
          </cell>
          <cell r="L3566" t="str">
            <v>RIDA01</v>
          </cell>
          <cell r="M3566" t="str">
            <v>Jaya Tani/Rida</v>
          </cell>
          <cell r="N3566" t="str">
            <v>Rida Yunawati</v>
          </cell>
          <cell r="O3566" t="str">
            <v>Rejoso, RT.003/RW.006 Kel. Candirejo, Kec. Ponggok</v>
          </cell>
          <cell r="P3566" t="str">
            <v>Blitar</v>
          </cell>
          <cell r="Q3566" t="str">
            <v>Rejoso, RT.003/RW.006 Kel. Candirejo, Kec. Ponggok</v>
          </cell>
          <cell r="R3566" t="str">
            <v>Blitar</v>
          </cell>
          <cell r="S3566" t="str">
            <v>D Barat1</v>
          </cell>
          <cell r="T3566" t="str">
            <v>Tomi</v>
          </cell>
          <cell r="U3566">
            <v>60</v>
          </cell>
        </row>
        <row r="3567">
          <cell r="E3567" t="str">
            <v>D25011692</v>
          </cell>
          <cell r="F3567"/>
          <cell r="G3567">
            <v>100000000</v>
          </cell>
          <cell r="H3567" t="str">
            <v>Zakia</v>
          </cell>
          <cell r="I3567" t="str">
            <v>Tiya</v>
          </cell>
          <cell r="J3567" t="str">
            <v>New 07/02/20</v>
          </cell>
          <cell r="K3567" t="str">
            <v>KU, Tunai</v>
          </cell>
          <cell r="L3567" t="str">
            <v>RIDA01</v>
          </cell>
          <cell r="M3567" t="str">
            <v>Jaya Tani/Rida</v>
          </cell>
          <cell r="N3567" t="str">
            <v>Rida Yunawati</v>
          </cell>
          <cell r="O3567" t="str">
            <v>Rejoso, RT.003/RW.006 Kel. Candirejo, Kec. Ponggok</v>
          </cell>
          <cell r="P3567" t="str">
            <v>Blitar</v>
          </cell>
          <cell r="Q3567" t="str">
            <v>Rejoso, RT.003/RW.006 Kel. Candirejo, Kec. Ponggok</v>
          </cell>
          <cell r="R3567" t="str">
            <v>Blitar</v>
          </cell>
          <cell r="S3567" t="str">
            <v>D Barat1</v>
          </cell>
          <cell r="T3567" t="str">
            <v>Tomi</v>
          </cell>
          <cell r="U3567">
            <v>30</v>
          </cell>
        </row>
        <row r="3568">
          <cell r="E3568" t="str">
            <v>D25011693</v>
          </cell>
          <cell r="F3568"/>
          <cell r="G3568">
            <v>100000000</v>
          </cell>
          <cell r="H3568" t="str">
            <v>Zakia</v>
          </cell>
          <cell r="I3568" t="str">
            <v>Tiya</v>
          </cell>
          <cell r="J3568" t="str">
            <v>New 07/02/20</v>
          </cell>
          <cell r="K3568" t="str">
            <v>KU, Tunai</v>
          </cell>
          <cell r="L3568" t="str">
            <v>RIDA01</v>
          </cell>
          <cell r="M3568" t="str">
            <v>Jaya Tani/Rida</v>
          </cell>
          <cell r="N3568" t="str">
            <v>Rida Yunawati</v>
          </cell>
          <cell r="O3568" t="str">
            <v>Rejoso, RT.003/RW.006 Kel. Candirejo, Kec. Ponggok</v>
          </cell>
          <cell r="P3568" t="str">
            <v>Blitar</v>
          </cell>
          <cell r="Q3568" t="str">
            <v>Rejoso, RT.003/RW.006 Kel. Candirejo, Kec. Ponggok</v>
          </cell>
          <cell r="R3568" t="str">
            <v>Blitar</v>
          </cell>
          <cell r="S3568" t="str">
            <v>D Barat1</v>
          </cell>
          <cell r="T3568" t="str">
            <v>Tomi</v>
          </cell>
          <cell r="U3568">
            <v>30</v>
          </cell>
        </row>
        <row r="3569">
          <cell r="E3569" t="str">
            <v>B25011319</v>
          </cell>
          <cell r="F3569"/>
          <cell r="G3569">
            <v>100000000</v>
          </cell>
          <cell r="H3569" t="str">
            <v>Zakia</v>
          </cell>
          <cell r="I3569" t="str">
            <v>Tiya</v>
          </cell>
          <cell r="J3569" t="str">
            <v>New 07/02/20</v>
          </cell>
          <cell r="K3569" t="str">
            <v>KU, Tunai</v>
          </cell>
          <cell r="L3569" t="str">
            <v>RIDA01</v>
          </cell>
          <cell r="M3569" t="str">
            <v>Jaya Tani/Rida</v>
          </cell>
          <cell r="N3569" t="str">
            <v>Rida Yunawati</v>
          </cell>
          <cell r="O3569" t="str">
            <v>Rejoso, RT.003/RW.006 Kel. Candirejo, Kec. Ponggok</v>
          </cell>
          <cell r="P3569" t="str">
            <v>Blitar</v>
          </cell>
          <cell r="Q3569" t="str">
            <v>Rejoso, RT.003/RW.006 Kel. Candirejo, Kec. Ponggok</v>
          </cell>
          <cell r="R3569" t="str">
            <v>Blitar</v>
          </cell>
          <cell r="S3569" t="str">
            <v>D Barat1</v>
          </cell>
          <cell r="T3569" t="str">
            <v>Tomi</v>
          </cell>
          <cell r="U3569">
            <v>60</v>
          </cell>
        </row>
        <row r="3570">
          <cell r="E3570" t="str">
            <v>B25011320</v>
          </cell>
          <cell r="F3570"/>
          <cell r="G3570">
            <v>100000000</v>
          </cell>
          <cell r="H3570" t="str">
            <v>Zakia</v>
          </cell>
          <cell r="I3570" t="str">
            <v>Tiya</v>
          </cell>
          <cell r="J3570" t="str">
            <v>New 07/02/20</v>
          </cell>
          <cell r="K3570" t="str">
            <v>KU, Tunai</v>
          </cell>
          <cell r="L3570" t="str">
            <v>RIDA01</v>
          </cell>
          <cell r="M3570" t="str">
            <v>Jaya Tani/Rida</v>
          </cell>
          <cell r="N3570" t="str">
            <v>Rida Yunawati</v>
          </cell>
          <cell r="O3570" t="str">
            <v>Rejoso, RT.003/RW.006 Kel. Candirejo, Kec. Ponggok</v>
          </cell>
          <cell r="P3570" t="str">
            <v>Blitar</v>
          </cell>
          <cell r="Q3570" t="str">
            <v>Rejoso, RT.003/RW.006 Kel. Candirejo, Kec. Ponggok</v>
          </cell>
          <cell r="R3570" t="str">
            <v>Blitar</v>
          </cell>
          <cell r="S3570" t="str">
            <v>D Barat1</v>
          </cell>
          <cell r="T3570" t="str">
            <v>Tomi</v>
          </cell>
          <cell r="U3570">
            <v>60</v>
          </cell>
        </row>
        <row r="3571">
          <cell r="E3571" t="str">
            <v>T25001355</v>
          </cell>
          <cell r="F3571"/>
          <cell r="G3571">
            <v>100000000</v>
          </cell>
          <cell r="H3571" t="str">
            <v>Zakia</v>
          </cell>
          <cell r="I3571" t="str">
            <v>Tiya</v>
          </cell>
          <cell r="J3571" t="str">
            <v>New 07/02/20</v>
          </cell>
          <cell r="K3571" t="str">
            <v>KU, Tunai</v>
          </cell>
          <cell r="L3571" t="str">
            <v>RIDA01</v>
          </cell>
          <cell r="M3571" t="str">
            <v>Jaya Tani/Rida</v>
          </cell>
          <cell r="N3571" t="str">
            <v>Rida Yunawati</v>
          </cell>
          <cell r="O3571" t="str">
            <v>Rejoso, RT.003/RW.006 Kel. Candirejo, Kec. Ponggok</v>
          </cell>
          <cell r="P3571" t="str">
            <v>Blitar</v>
          </cell>
          <cell r="Q3571" t="str">
            <v>Rejoso, RT.003/RW.006 Kel. Candirejo, Kec. Ponggok</v>
          </cell>
          <cell r="R3571" t="str">
            <v>Blitar</v>
          </cell>
          <cell r="S3571" t="str">
            <v>D Barat1</v>
          </cell>
          <cell r="T3571" t="str">
            <v>Tomi</v>
          </cell>
          <cell r="U3571">
            <v>60</v>
          </cell>
        </row>
        <row r="3572">
          <cell r="E3572" t="str">
            <v>B25012001</v>
          </cell>
          <cell r="F3572"/>
          <cell r="G3572">
            <v>100000000</v>
          </cell>
          <cell r="H3572" t="str">
            <v>Zakia</v>
          </cell>
          <cell r="I3572" t="str">
            <v>Tiya</v>
          </cell>
          <cell r="J3572" t="str">
            <v>New 07/02/20</v>
          </cell>
          <cell r="K3572" t="str">
            <v>KU, Tunai</v>
          </cell>
          <cell r="L3572" t="str">
            <v>RIDA01</v>
          </cell>
          <cell r="M3572" t="str">
            <v>Jaya Tani/Rida</v>
          </cell>
          <cell r="N3572" t="str">
            <v>Rida Yunawati</v>
          </cell>
          <cell r="O3572" t="str">
            <v>Rejoso, RT.003/RW.006 Kel. Candirejo, Kec. Ponggok</v>
          </cell>
          <cell r="P3572" t="str">
            <v>Blitar</v>
          </cell>
          <cell r="Q3572" t="str">
            <v>Rejoso, RT.003/RW.006 Kel. Candirejo, Kec. Ponggok</v>
          </cell>
          <cell r="R3572" t="str">
            <v>Blitar</v>
          </cell>
          <cell r="S3572" t="str">
            <v>D Barat1</v>
          </cell>
          <cell r="T3572" t="str">
            <v>Tomi</v>
          </cell>
          <cell r="U3572">
            <v>60</v>
          </cell>
        </row>
        <row r="3573">
          <cell r="E3573" t="str">
            <v>B25012031</v>
          </cell>
          <cell r="F3573"/>
          <cell r="G3573">
            <v>100000000</v>
          </cell>
          <cell r="H3573" t="str">
            <v>Zakia</v>
          </cell>
          <cell r="I3573" t="str">
            <v>Tiya</v>
          </cell>
          <cell r="J3573" t="str">
            <v>New 07/02/20</v>
          </cell>
          <cell r="K3573" t="str">
            <v>KU, Tunai</v>
          </cell>
          <cell r="L3573" t="str">
            <v>RIDA01</v>
          </cell>
          <cell r="M3573" t="str">
            <v>Jaya Tani/Rida</v>
          </cell>
          <cell r="N3573" t="str">
            <v>Rida Yunawati</v>
          </cell>
          <cell r="O3573" t="str">
            <v>Rejoso, RT.003/RW.006 Kel. Candirejo, Kec. Ponggok</v>
          </cell>
          <cell r="P3573" t="str">
            <v>Blitar</v>
          </cell>
          <cell r="Q3573" t="str">
            <v>Rejoso, RT.003/RW.006 Kel. Candirejo, Kec. Ponggok</v>
          </cell>
          <cell r="R3573" t="str">
            <v>Blitar</v>
          </cell>
          <cell r="S3573" t="str">
            <v>D Barat1</v>
          </cell>
          <cell r="T3573" t="str">
            <v>Tomi</v>
          </cell>
          <cell r="U3573">
            <v>60</v>
          </cell>
        </row>
        <row r="3574">
          <cell r="E3574" t="str">
            <v>B25012849</v>
          </cell>
          <cell r="F3574"/>
          <cell r="G3574">
            <v>100000000</v>
          </cell>
          <cell r="H3574" t="str">
            <v>Zakia</v>
          </cell>
          <cell r="I3574" t="str">
            <v>Tiya</v>
          </cell>
          <cell r="J3574" t="str">
            <v>New 07/02/20</v>
          </cell>
          <cell r="K3574" t="str">
            <v>KU, Tunai</v>
          </cell>
          <cell r="L3574" t="str">
            <v>RIDA01</v>
          </cell>
          <cell r="M3574" t="str">
            <v>Jaya Tani/Rida</v>
          </cell>
          <cell r="N3574" t="str">
            <v>Rida Yunawati</v>
          </cell>
          <cell r="O3574" t="str">
            <v>Rejoso, RT.003/RW.006 Kel. Candirejo, Kec. Ponggok</v>
          </cell>
          <cell r="P3574" t="str">
            <v>Blitar</v>
          </cell>
          <cell r="Q3574" t="str">
            <v>Rejoso, RT.003/RW.006 Kel. Candirejo, Kec. Ponggok</v>
          </cell>
          <cell r="R3574" t="str">
            <v>Blitar</v>
          </cell>
          <cell r="S3574" t="str">
            <v>D Barat1</v>
          </cell>
          <cell r="T3574" t="str">
            <v>Tomi</v>
          </cell>
          <cell r="U3574">
            <v>30</v>
          </cell>
        </row>
        <row r="3575">
          <cell r="E3575" t="str">
            <v>B25012850</v>
          </cell>
          <cell r="F3575"/>
          <cell r="G3575">
            <v>100000000</v>
          </cell>
          <cell r="H3575" t="str">
            <v>Zakia</v>
          </cell>
          <cell r="I3575" t="str">
            <v>Tiya</v>
          </cell>
          <cell r="J3575" t="str">
            <v>New 07/02/20</v>
          </cell>
          <cell r="K3575" t="str">
            <v>KU, Tunai</v>
          </cell>
          <cell r="L3575" t="str">
            <v>RIDA01</v>
          </cell>
          <cell r="M3575" t="str">
            <v>Jaya Tani/Rida</v>
          </cell>
          <cell r="N3575" t="str">
            <v>Rida Yunawati</v>
          </cell>
          <cell r="O3575" t="str">
            <v>Rejoso, RT.003/RW.006 Kel. Candirejo, Kec. Ponggok</v>
          </cell>
          <cell r="P3575" t="str">
            <v>Blitar</v>
          </cell>
          <cell r="Q3575" t="str">
            <v>Rejoso, RT.003/RW.006 Kel. Candirejo, Kec. Ponggok</v>
          </cell>
          <cell r="R3575" t="str">
            <v>Blitar</v>
          </cell>
          <cell r="S3575" t="str">
            <v>D Barat1</v>
          </cell>
          <cell r="T3575" t="str">
            <v>Tomi</v>
          </cell>
          <cell r="U3575">
            <v>60</v>
          </cell>
        </row>
        <row r="3576">
          <cell r="E3576" t="str">
            <v>D25015150</v>
          </cell>
          <cell r="F3576"/>
          <cell r="G3576">
            <v>100000000</v>
          </cell>
          <cell r="H3576" t="str">
            <v>Zakia</v>
          </cell>
          <cell r="I3576" t="str">
            <v>Tiya</v>
          </cell>
          <cell r="J3576" t="str">
            <v>New 07/02/20</v>
          </cell>
          <cell r="K3576" t="str">
            <v>KU, Tunai</v>
          </cell>
          <cell r="L3576" t="str">
            <v>RIDA01</v>
          </cell>
          <cell r="M3576" t="str">
            <v>Jaya Tani/Rida</v>
          </cell>
          <cell r="N3576" t="str">
            <v>Rida Yunawati</v>
          </cell>
          <cell r="O3576" t="str">
            <v>Rejoso, RT.003/RW.006 Kel. Candirejo, Kec. Ponggok</v>
          </cell>
          <cell r="P3576" t="str">
            <v>Blitar</v>
          </cell>
          <cell r="Q3576" t="str">
            <v>Rejoso, RT.003/RW.006 Kel. Candirejo, Kec. Ponggok</v>
          </cell>
          <cell r="R3576" t="str">
            <v>Blitar</v>
          </cell>
          <cell r="S3576" t="str">
            <v>D Barat1</v>
          </cell>
          <cell r="T3576" t="str">
            <v>Tomi</v>
          </cell>
          <cell r="U3576">
            <v>60</v>
          </cell>
        </row>
        <row r="3577">
          <cell r="E3577" t="str">
            <v>T25001506</v>
          </cell>
          <cell r="F3577"/>
          <cell r="G3577">
            <v>100000000</v>
          </cell>
          <cell r="H3577" t="str">
            <v>Zakia</v>
          </cell>
          <cell r="I3577" t="str">
            <v>Tiya</v>
          </cell>
          <cell r="J3577" t="str">
            <v>New 07/02/20</v>
          </cell>
          <cell r="K3577" t="str">
            <v>KU, Tunai</v>
          </cell>
          <cell r="L3577" t="str">
            <v>RIDA01</v>
          </cell>
          <cell r="M3577" t="str">
            <v>Jaya Tani/Rida</v>
          </cell>
          <cell r="N3577" t="str">
            <v>Rida Yunawati</v>
          </cell>
          <cell r="O3577" t="str">
            <v>Rejoso, RT.003/RW.006 Kel. Candirejo, Kec. Ponggok</v>
          </cell>
          <cell r="P3577" t="str">
            <v>Blitar</v>
          </cell>
          <cell r="Q3577" t="str">
            <v>Rejoso, RT.003/RW.006 Kel. Candirejo, Kec. Ponggok</v>
          </cell>
          <cell r="R3577" t="str">
            <v>Blitar</v>
          </cell>
          <cell r="S3577" t="str">
            <v>D Barat1</v>
          </cell>
          <cell r="T3577" t="str">
            <v>Tomi</v>
          </cell>
          <cell r="U3577">
            <v>60</v>
          </cell>
        </row>
        <row r="3578">
          <cell r="E3578" t="str">
            <v>B25012893</v>
          </cell>
          <cell r="F3578"/>
          <cell r="G3578">
            <v>100000000</v>
          </cell>
          <cell r="H3578" t="str">
            <v>Zakia</v>
          </cell>
          <cell r="I3578" t="str">
            <v>Tiya</v>
          </cell>
          <cell r="J3578" t="str">
            <v>New 07/02/20</v>
          </cell>
          <cell r="K3578" t="str">
            <v>KU, Tunai</v>
          </cell>
          <cell r="L3578" t="str">
            <v>RIDA01</v>
          </cell>
          <cell r="M3578" t="str">
            <v>Jaya Tani/Rida</v>
          </cell>
          <cell r="N3578" t="str">
            <v>Rida Yunawati</v>
          </cell>
          <cell r="O3578" t="str">
            <v>Rejoso, RT.003/RW.006 Kel. Candirejo, Kec. Ponggok</v>
          </cell>
          <cell r="P3578" t="str">
            <v>Blitar</v>
          </cell>
          <cell r="Q3578" t="str">
            <v>Rejoso, RT.003/RW.006 Kel. Candirejo, Kec. Ponggok</v>
          </cell>
          <cell r="R3578" t="str">
            <v>Blitar</v>
          </cell>
          <cell r="S3578" t="str">
            <v>D Barat1</v>
          </cell>
          <cell r="T3578" t="str">
            <v>Tomi</v>
          </cell>
          <cell r="U3578">
            <v>60</v>
          </cell>
        </row>
        <row r="3579">
          <cell r="E3579" t="str">
            <v>T25001512</v>
          </cell>
          <cell r="F3579"/>
          <cell r="G3579">
            <v>100000000</v>
          </cell>
          <cell r="H3579" t="str">
            <v>Zakia</v>
          </cell>
          <cell r="I3579" t="str">
            <v>Tiya</v>
          </cell>
          <cell r="J3579" t="str">
            <v>New 07/02/20</v>
          </cell>
          <cell r="K3579" t="str">
            <v>KU, Tunai</v>
          </cell>
          <cell r="L3579" t="str">
            <v>RIDA01</v>
          </cell>
          <cell r="M3579" t="str">
            <v>Jaya Tani/Rida</v>
          </cell>
          <cell r="N3579" t="str">
            <v>Rida Yunawati</v>
          </cell>
          <cell r="O3579" t="str">
            <v>Rejoso, RT.003/RW.006 Kel. Candirejo, Kec. Ponggok</v>
          </cell>
          <cell r="P3579" t="str">
            <v>Blitar</v>
          </cell>
          <cell r="Q3579" t="str">
            <v>Rejoso, RT.003/RW.006 Kel. Candirejo, Kec. Ponggok</v>
          </cell>
          <cell r="R3579" t="str">
            <v>Blitar</v>
          </cell>
          <cell r="S3579" t="str">
            <v>D Barat1</v>
          </cell>
          <cell r="T3579" t="str">
            <v>Tomi</v>
          </cell>
          <cell r="U3579">
            <v>60</v>
          </cell>
        </row>
        <row r="3580">
          <cell r="E3580" t="str">
            <v>D25015922</v>
          </cell>
          <cell r="F3580"/>
          <cell r="G3580">
            <v>1000</v>
          </cell>
          <cell r="H3580" t="str">
            <v>Faris</v>
          </cell>
          <cell r="I3580" t="str">
            <v>Syahra</v>
          </cell>
          <cell r="J3580"/>
          <cell r="K3580" t="str">
            <v>-</v>
          </cell>
          <cell r="L3580" t="str">
            <v>JAYA17</v>
          </cell>
          <cell r="M3580" t="str">
            <v>Jaya Tani/Yuliadi</v>
          </cell>
          <cell r="N3580" t="str">
            <v>Yuliadi</v>
          </cell>
          <cell r="O3580" t="str">
            <v>Tanjung Glugur Utara RT.001/RW.007 , Kel. Tanjung Glugur Kec. Mangaran</v>
          </cell>
          <cell r="P3580" t="str">
            <v>Situbondo</v>
          </cell>
          <cell r="Q3580" t="str">
            <v>Tanjung Glugur Utara RT.001/RW.007 , Kel. Tanjung Glugur Kec. Mangaran</v>
          </cell>
          <cell r="R3580" t="str">
            <v>Situbondo</v>
          </cell>
          <cell r="S3580" t="str">
            <v>N Bdw Stb</v>
          </cell>
          <cell r="T3580" t="str">
            <v>Wira</v>
          </cell>
          <cell r="U3580">
            <v>0</v>
          </cell>
        </row>
        <row r="3581">
          <cell r="E3581" t="str">
            <v>D25011791</v>
          </cell>
          <cell r="F3581"/>
          <cell r="G3581">
            <v>450000000</v>
          </cell>
          <cell r="H3581" t="str">
            <v>Ariyani</v>
          </cell>
          <cell r="I3581" t="str">
            <v>Fira</v>
          </cell>
          <cell r="J3581"/>
          <cell r="K3581" t="str">
            <v>KU, Tunai</v>
          </cell>
          <cell r="L3581" t="str">
            <v>JAYA23</v>
          </cell>
          <cell r="M3581" t="str">
            <v>Jaya Utama, CV</v>
          </cell>
          <cell r="N3581" t="str">
            <v>Fatah Ardiyansyah</v>
          </cell>
          <cell r="O3581" t="str">
            <v>Ds. Tlogotimun RT.001/RW.008, Kalisari, Pedurungan</v>
          </cell>
          <cell r="P3581" t="str">
            <v>Semarang</v>
          </cell>
          <cell r="Q3581" t="str">
            <v>Jl. Bromo Alang - Alang Dowo 1 RT.03/RW.03 Kersikan, Gondang Wetan</v>
          </cell>
          <cell r="R3581" t="str">
            <v>Pasuruan</v>
          </cell>
          <cell r="S3581" t="str">
            <v>F Utara1</v>
          </cell>
          <cell r="T3581" t="str">
            <v>Tomi</v>
          </cell>
          <cell r="U3581">
            <v>30</v>
          </cell>
        </row>
        <row r="3582">
          <cell r="E3582" t="str">
            <v>D25012289</v>
          </cell>
          <cell r="F3582"/>
          <cell r="G3582">
            <v>450000000</v>
          </cell>
          <cell r="H3582" t="str">
            <v>Ariyani</v>
          </cell>
          <cell r="I3582" t="str">
            <v>Fira</v>
          </cell>
          <cell r="J3582"/>
          <cell r="K3582" t="str">
            <v>KU, Tunai</v>
          </cell>
          <cell r="L3582" t="str">
            <v>JAYA23</v>
          </cell>
          <cell r="M3582" t="str">
            <v>Jaya Utama, CV</v>
          </cell>
          <cell r="N3582" t="str">
            <v>Fatah Ardiyansyah</v>
          </cell>
          <cell r="O3582" t="str">
            <v>Ds. Tlogotimun RT.001/RW.008, Kalisari, Pedurungan</v>
          </cell>
          <cell r="P3582" t="str">
            <v>Semarang</v>
          </cell>
          <cell r="Q3582" t="str">
            <v>Jl. Bromo Alang - Alang Dowo 1 RT.03/RW.03 Kersikan, Gondang Wetan</v>
          </cell>
          <cell r="R3582" t="str">
            <v>Pasuruan</v>
          </cell>
          <cell r="S3582" t="str">
            <v>F Utara1</v>
          </cell>
          <cell r="T3582" t="str">
            <v>Tomi</v>
          </cell>
          <cell r="U3582">
            <v>30</v>
          </cell>
        </row>
        <row r="3583">
          <cell r="E3583" t="str">
            <v>B25010616</v>
          </cell>
          <cell r="F3583"/>
          <cell r="G3583">
            <v>450000000</v>
          </cell>
          <cell r="H3583" t="str">
            <v>Ariyani</v>
          </cell>
          <cell r="I3583" t="str">
            <v>Fira</v>
          </cell>
          <cell r="J3583"/>
          <cell r="K3583" t="str">
            <v>KU, Tunai</v>
          </cell>
          <cell r="L3583" t="str">
            <v>JAYA23</v>
          </cell>
          <cell r="M3583" t="str">
            <v>Jaya Utama, CV</v>
          </cell>
          <cell r="N3583" t="str">
            <v>Fatah Ardiyansyah</v>
          </cell>
          <cell r="O3583" t="str">
            <v>Ds. Tlogotimun RT.001/RW.008, Kalisari, Pedurungan</v>
          </cell>
          <cell r="P3583" t="str">
            <v>Semarang</v>
          </cell>
          <cell r="Q3583" t="str">
            <v>Jl. Bromo Alang - Alang Dowo 1 RT.03/RW.03 Kersikan, Gondang Wetan</v>
          </cell>
          <cell r="R3583" t="str">
            <v>Pasuruan</v>
          </cell>
          <cell r="S3583" t="str">
            <v>F Utara1</v>
          </cell>
          <cell r="T3583" t="str">
            <v>Tomi</v>
          </cell>
          <cell r="U3583">
            <v>60</v>
          </cell>
        </row>
        <row r="3584">
          <cell r="E3584" t="str">
            <v>B25010705</v>
          </cell>
          <cell r="F3584"/>
          <cell r="G3584">
            <v>450000000</v>
          </cell>
          <cell r="H3584" t="str">
            <v>Ariyani</v>
          </cell>
          <cell r="I3584" t="str">
            <v>Fira</v>
          </cell>
          <cell r="J3584"/>
          <cell r="K3584" t="str">
            <v>KU, Tunai</v>
          </cell>
          <cell r="L3584" t="str">
            <v>JAYA23</v>
          </cell>
          <cell r="M3584" t="str">
            <v>Jaya Utama, CV</v>
          </cell>
          <cell r="N3584" t="str">
            <v>Fatah Ardiyansyah</v>
          </cell>
          <cell r="O3584" t="str">
            <v>Ds. Tlogotimun RT.001/RW.008, Kalisari, Pedurungan</v>
          </cell>
          <cell r="P3584" t="str">
            <v>Semarang</v>
          </cell>
          <cell r="Q3584" t="str">
            <v>Jl. Bromo Alang - Alang Dowo 1 RT.03/RW.03 Kersikan, Gondang Wetan</v>
          </cell>
          <cell r="R3584" t="str">
            <v>Pasuruan</v>
          </cell>
          <cell r="S3584" t="str">
            <v>F Utara1</v>
          </cell>
          <cell r="T3584" t="str">
            <v>Tomi</v>
          </cell>
          <cell r="U3584">
            <v>30</v>
          </cell>
        </row>
        <row r="3585">
          <cell r="E3585" t="str">
            <v>B25010705</v>
          </cell>
          <cell r="F3585"/>
          <cell r="G3585">
            <v>450000000</v>
          </cell>
          <cell r="H3585" t="str">
            <v>Ariyani</v>
          </cell>
          <cell r="I3585" t="str">
            <v>Fira</v>
          </cell>
          <cell r="J3585"/>
          <cell r="K3585" t="str">
            <v>KU, Tunai</v>
          </cell>
          <cell r="L3585" t="str">
            <v>JAYA23</v>
          </cell>
          <cell r="M3585" t="str">
            <v>Jaya Utama, CV</v>
          </cell>
          <cell r="N3585" t="str">
            <v>Fatah Ardiyansyah</v>
          </cell>
          <cell r="O3585" t="str">
            <v>Ds. Tlogotimun RT.001/RW.008, Kalisari, Pedurungan</v>
          </cell>
          <cell r="P3585" t="str">
            <v>Semarang</v>
          </cell>
          <cell r="Q3585" t="str">
            <v>Jl. Bromo Alang - Alang Dowo 1 RT.03/RW.03 Kersikan, Gondang Wetan</v>
          </cell>
          <cell r="R3585" t="str">
            <v>Pasuruan</v>
          </cell>
          <cell r="S3585" t="str">
            <v>F Utara1</v>
          </cell>
          <cell r="T3585" t="str">
            <v>Tomi</v>
          </cell>
          <cell r="U3585">
            <v>30</v>
          </cell>
        </row>
        <row r="3586">
          <cell r="E3586" t="str">
            <v>D25012958</v>
          </cell>
          <cell r="F3586"/>
          <cell r="G3586">
            <v>450000000</v>
          </cell>
          <cell r="H3586" t="str">
            <v>Ariyani</v>
          </cell>
          <cell r="I3586" t="str">
            <v>Fira</v>
          </cell>
          <cell r="J3586"/>
          <cell r="K3586" t="str">
            <v>KU, Tunai</v>
          </cell>
          <cell r="L3586" t="str">
            <v>JAYA23</v>
          </cell>
          <cell r="M3586" t="str">
            <v>Jaya Utama, CV</v>
          </cell>
          <cell r="N3586" t="str">
            <v>Fatah Ardiyansyah</v>
          </cell>
          <cell r="O3586" t="str">
            <v>Ds. Tlogotimun RT.001/RW.008, Kalisari, Pedurungan</v>
          </cell>
          <cell r="P3586" t="str">
            <v>Semarang</v>
          </cell>
          <cell r="Q3586" t="str">
            <v>Jl. Bromo Alang - Alang Dowo 1 RT.03/RW.03 Kersikan, Gondang Wetan</v>
          </cell>
          <cell r="R3586" t="str">
            <v>Pasuruan</v>
          </cell>
          <cell r="S3586" t="str">
            <v>F Utara1</v>
          </cell>
          <cell r="T3586" t="str">
            <v>Tomi</v>
          </cell>
          <cell r="U3586">
            <v>30</v>
          </cell>
        </row>
        <row r="3587">
          <cell r="E3587" t="str">
            <v>D25013076</v>
          </cell>
          <cell r="F3587"/>
          <cell r="G3587">
            <v>450000000</v>
          </cell>
          <cell r="H3587" t="str">
            <v>Ariyani</v>
          </cell>
          <cell r="I3587" t="str">
            <v>Fira</v>
          </cell>
          <cell r="J3587"/>
          <cell r="K3587" t="str">
            <v>KU, Tunai</v>
          </cell>
          <cell r="L3587" t="str">
            <v>JAYA23</v>
          </cell>
          <cell r="M3587" t="str">
            <v>Jaya Utama, CV</v>
          </cell>
          <cell r="N3587" t="str">
            <v>Fatah Ardiyansyah</v>
          </cell>
          <cell r="O3587" t="str">
            <v>Ds. Tlogotimun RT.001/RW.008, Kalisari, Pedurungan</v>
          </cell>
          <cell r="P3587" t="str">
            <v>Semarang</v>
          </cell>
          <cell r="Q3587" t="str">
            <v>Jl. Bromo Alang - Alang Dowo 1 RT.03/RW.03 Kersikan, Gondang Wetan</v>
          </cell>
          <cell r="R3587" t="str">
            <v>Pasuruan</v>
          </cell>
          <cell r="S3587" t="str">
            <v>F Utara1</v>
          </cell>
          <cell r="T3587" t="str">
            <v>Tomi</v>
          </cell>
          <cell r="U3587">
            <v>30</v>
          </cell>
        </row>
        <row r="3588">
          <cell r="E3588" t="str">
            <v>T25001314</v>
          </cell>
          <cell r="F3588"/>
          <cell r="G3588">
            <v>450000000</v>
          </cell>
          <cell r="H3588" t="str">
            <v>Ariyani</v>
          </cell>
          <cell r="I3588" t="str">
            <v>Fira</v>
          </cell>
          <cell r="J3588"/>
          <cell r="K3588" t="str">
            <v>KU, Tunai</v>
          </cell>
          <cell r="L3588" t="str">
            <v>JAYA23</v>
          </cell>
          <cell r="M3588" t="str">
            <v>Jaya Utama, CV</v>
          </cell>
          <cell r="N3588" t="str">
            <v>Fatah Ardiyansyah</v>
          </cell>
          <cell r="O3588" t="str">
            <v>Ds. Tlogotimun RT.001/RW.008, Kalisari, Pedurungan</v>
          </cell>
          <cell r="P3588" t="str">
            <v>Semarang</v>
          </cell>
          <cell r="Q3588" t="str">
            <v>Jl. Bromo Alang - Alang Dowo 1 RT.03/RW.03 Kersikan, Gondang Wetan</v>
          </cell>
          <cell r="R3588" t="str">
            <v>Pasuruan</v>
          </cell>
          <cell r="S3588" t="str">
            <v>F Utara1</v>
          </cell>
          <cell r="T3588" t="str">
            <v>Tomi</v>
          </cell>
          <cell r="U3588">
            <v>30</v>
          </cell>
        </row>
        <row r="3589">
          <cell r="E3589" t="str">
            <v>D25013487</v>
          </cell>
          <cell r="F3589"/>
          <cell r="G3589">
            <v>450000000</v>
          </cell>
          <cell r="H3589" t="str">
            <v>Ariyani</v>
          </cell>
          <cell r="I3589" t="str">
            <v>Fira</v>
          </cell>
          <cell r="J3589"/>
          <cell r="K3589" t="str">
            <v>KU, Tunai</v>
          </cell>
          <cell r="L3589" t="str">
            <v>JAYA23</v>
          </cell>
          <cell r="M3589" t="str">
            <v>Jaya Utama, CV</v>
          </cell>
          <cell r="N3589" t="str">
            <v>Fatah Ardiyansyah</v>
          </cell>
          <cell r="O3589" t="str">
            <v>Ds. Tlogotimun RT.001/RW.008, Kalisari, Pedurungan</v>
          </cell>
          <cell r="P3589" t="str">
            <v>Semarang</v>
          </cell>
          <cell r="Q3589" t="str">
            <v>Jl. Bromo Alang - Alang Dowo 1 RT.03/RW.03 Kersikan, Gondang Wetan</v>
          </cell>
          <cell r="R3589" t="str">
            <v>Pasuruan</v>
          </cell>
          <cell r="S3589" t="str">
            <v>F Utara1</v>
          </cell>
          <cell r="T3589" t="str">
            <v>Tomi</v>
          </cell>
          <cell r="U3589">
            <v>30</v>
          </cell>
        </row>
        <row r="3590">
          <cell r="E3590" t="str">
            <v>B25011896</v>
          </cell>
          <cell r="F3590"/>
          <cell r="G3590">
            <v>450000000</v>
          </cell>
          <cell r="H3590" t="str">
            <v>Ariyani</v>
          </cell>
          <cell r="I3590" t="str">
            <v>Fira</v>
          </cell>
          <cell r="J3590"/>
          <cell r="K3590" t="str">
            <v>KU, Tunai</v>
          </cell>
          <cell r="L3590" t="str">
            <v>JAYA23</v>
          </cell>
          <cell r="M3590" t="str">
            <v>Jaya Utama, CV</v>
          </cell>
          <cell r="N3590" t="str">
            <v>Fatah Ardiyansyah</v>
          </cell>
          <cell r="O3590" t="str">
            <v>Ds. Tlogotimun RT.001/RW.008, Kalisari, Pedurungan</v>
          </cell>
          <cell r="P3590" t="str">
            <v>Semarang</v>
          </cell>
          <cell r="Q3590" t="str">
            <v>Jl. Bromo Alang - Alang Dowo 1 RT.03/RW.03 Kersikan, Gondang Wetan</v>
          </cell>
          <cell r="R3590" t="str">
            <v>Pasuruan</v>
          </cell>
          <cell r="S3590" t="str">
            <v>F Utara1</v>
          </cell>
          <cell r="T3590" t="str">
            <v>Tomi</v>
          </cell>
          <cell r="U3590">
            <v>30</v>
          </cell>
        </row>
        <row r="3591">
          <cell r="E3591" t="str">
            <v>B25011922</v>
          </cell>
          <cell r="F3591"/>
          <cell r="G3591">
            <v>450000000</v>
          </cell>
          <cell r="H3591" t="str">
            <v>Ariyani</v>
          </cell>
          <cell r="I3591" t="str">
            <v>Fira</v>
          </cell>
          <cell r="J3591"/>
          <cell r="K3591" t="str">
            <v>KU, Tunai</v>
          </cell>
          <cell r="L3591" t="str">
            <v>JAYA23</v>
          </cell>
          <cell r="M3591" t="str">
            <v>Jaya Utama, CV</v>
          </cell>
          <cell r="N3591" t="str">
            <v>Fatah Ardiyansyah</v>
          </cell>
          <cell r="O3591" t="str">
            <v>Ds. Tlogotimun RT.001/RW.008, Kalisari, Pedurungan</v>
          </cell>
          <cell r="P3591" t="str">
            <v>Semarang</v>
          </cell>
          <cell r="Q3591" t="str">
            <v>Jl. Bromo Alang - Alang Dowo 1 RT.03/RW.03 Kersikan, Gondang Wetan</v>
          </cell>
          <cell r="R3591" t="str">
            <v>Pasuruan</v>
          </cell>
          <cell r="S3591" t="str">
            <v>F Utara1</v>
          </cell>
          <cell r="T3591" t="str">
            <v>Tomi</v>
          </cell>
          <cell r="U3591">
            <v>30</v>
          </cell>
        </row>
        <row r="3592">
          <cell r="E3592" t="str">
            <v>B25012116</v>
          </cell>
          <cell r="F3592"/>
          <cell r="G3592">
            <v>450000000</v>
          </cell>
          <cell r="H3592" t="str">
            <v>Ariyani</v>
          </cell>
          <cell r="I3592" t="str">
            <v>Fira</v>
          </cell>
          <cell r="J3592"/>
          <cell r="K3592" t="str">
            <v>KU, Tunai</v>
          </cell>
          <cell r="L3592" t="str">
            <v>JAYA23</v>
          </cell>
          <cell r="M3592" t="str">
            <v>Jaya Utama, CV</v>
          </cell>
          <cell r="N3592" t="str">
            <v>Fatah Ardiyansyah</v>
          </cell>
          <cell r="O3592" t="str">
            <v>Ds. Tlogotimun RT.001/RW.008, Kalisari, Pedurungan</v>
          </cell>
          <cell r="P3592" t="str">
            <v>Semarang</v>
          </cell>
          <cell r="Q3592" t="str">
            <v>Jl. Bromo Alang - Alang Dowo 1 RT.03/RW.03 Kersikan, Gondang Wetan</v>
          </cell>
          <cell r="R3592" t="str">
            <v>Pasuruan</v>
          </cell>
          <cell r="S3592" t="str">
            <v>F Utara1</v>
          </cell>
          <cell r="T3592" t="str">
            <v>Tomi</v>
          </cell>
          <cell r="U3592">
            <v>30</v>
          </cell>
        </row>
        <row r="3593">
          <cell r="E3593" t="str">
            <v>D25014397</v>
          </cell>
          <cell r="F3593"/>
          <cell r="G3593">
            <v>450000000</v>
          </cell>
          <cell r="H3593" t="str">
            <v>Ariyani</v>
          </cell>
          <cell r="I3593" t="str">
            <v>Fira</v>
          </cell>
          <cell r="J3593"/>
          <cell r="K3593" t="str">
            <v>KU, Tunai</v>
          </cell>
          <cell r="L3593" t="str">
            <v>JAYA23</v>
          </cell>
          <cell r="M3593" t="str">
            <v>Jaya Utama, CV</v>
          </cell>
          <cell r="N3593" t="str">
            <v>Fatah Ardiyansyah</v>
          </cell>
          <cell r="O3593" t="str">
            <v>Ds. Tlogotimun RT.001/RW.008, Kalisari, Pedurungan</v>
          </cell>
          <cell r="P3593" t="str">
            <v>Semarang</v>
          </cell>
          <cell r="Q3593" t="str">
            <v>Jl. Bromo Alang - Alang Dowo 1 RT.03/RW.03 Kersikan, Gondang Wetan</v>
          </cell>
          <cell r="R3593" t="str">
            <v>Pasuruan</v>
          </cell>
          <cell r="S3593" t="str">
            <v>F Utara1</v>
          </cell>
          <cell r="T3593" t="str">
            <v>Tomi</v>
          </cell>
          <cell r="U3593">
            <v>30</v>
          </cell>
        </row>
        <row r="3594">
          <cell r="E3594" t="str">
            <v>B25012517</v>
          </cell>
          <cell r="F3594"/>
          <cell r="G3594">
            <v>450000000</v>
          </cell>
          <cell r="H3594" t="str">
            <v>Ariyani</v>
          </cell>
          <cell r="I3594" t="str">
            <v>Fira</v>
          </cell>
          <cell r="J3594"/>
          <cell r="K3594" t="str">
            <v>KU, Tunai</v>
          </cell>
          <cell r="L3594" t="str">
            <v>JAYA23</v>
          </cell>
          <cell r="M3594" t="str">
            <v>Jaya Utama, CV</v>
          </cell>
          <cell r="N3594" t="str">
            <v>Fatah Ardiyansyah</v>
          </cell>
          <cell r="O3594" t="str">
            <v>Ds. Tlogotimun RT.001/RW.008, Kalisari, Pedurungan</v>
          </cell>
          <cell r="P3594" t="str">
            <v>Semarang</v>
          </cell>
          <cell r="Q3594" t="str">
            <v>Jl. Bromo Alang - Alang Dowo 1 RT.03/RW.03 Kersikan, Gondang Wetan</v>
          </cell>
          <cell r="R3594" t="str">
            <v>Pasuruan</v>
          </cell>
          <cell r="S3594" t="str">
            <v>F Utara1</v>
          </cell>
          <cell r="T3594" t="str">
            <v>Tomi</v>
          </cell>
          <cell r="U3594">
            <v>30</v>
          </cell>
        </row>
        <row r="3595">
          <cell r="E3595" t="str">
            <v>B25012617</v>
          </cell>
          <cell r="F3595"/>
          <cell r="G3595">
            <v>450000000</v>
          </cell>
          <cell r="H3595" t="str">
            <v>Ariyani</v>
          </cell>
          <cell r="I3595" t="str">
            <v>Fira</v>
          </cell>
          <cell r="J3595"/>
          <cell r="K3595" t="str">
            <v>KU, Tunai</v>
          </cell>
          <cell r="L3595" t="str">
            <v>JAYA23</v>
          </cell>
          <cell r="M3595" t="str">
            <v>Jaya Utama, CV</v>
          </cell>
          <cell r="N3595" t="str">
            <v>Fatah Ardiyansyah</v>
          </cell>
          <cell r="O3595" t="str">
            <v>Ds. Tlogotimun RT.001/RW.008, Kalisari, Pedurungan</v>
          </cell>
          <cell r="P3595" t="str">
            <v>Semarang</v>
          </cell>
          <cell r="Q3595" t="str">
            <v>Jl. Bromo Alang - Alang Dowo 1 RT.03/RW.03 Kersikan, Gondang Wetan</v>
          </cell>
          <cell r="R3595" t="str">
            <v>Pasuruan</v>
          </cell>
          <cell r="S3595" t="str">
            <v>F Utara1</v>
          </cell>
          <cell r="T3595" t="str">
            <v>Tomi</v>
          </cell>
          <cell r="U3595">
            <v>30</v>
          </cell>
        </row>
        <row r="3596">
          <cell r="E3596" t="str">
            <v>D25015081</v>
          </cell>
          <cell r="F3596"/>
          <cell r="G3596">
            <v>450000000</v>
          </cell>
          <cell r="H3596" t="str">
            <v>Ariyani</v>
          </cell>
          <cell r="I3596" t="str">
            <v>Fira</v>
          </cell>
          <cell r="J3596"/>
          <cell r="K3596" t="str">
            <v>KU, Tunai</v>
          </cell>
          <cell r="L3596" t="str">
            <v>JAYA23</v>
          </cell>
          <cell r="M3596" t="str">
            <v>Jaya Utama, CV</v>
          </cell>
          <cell r="N3596" t="str">
            <v>Fatah Ardiyansyah</v>
          </cell>
          <cell r="O3596" t="str">
            <v>Ds. Tlogotimun RT.001/RW.008, Kalisari, Pedurungan</v>
          </cell>
          <cell r="P3596" t="str">
            <v>Semarang</v>
          </cell>
          <cell r="Q3596" t="str">
            <v>Jl. Bromo Alang - Alang Dowo 1 RT.03/RW.03 Kersikan, Gondang Wetan</v>
          </cell>
          <cell r="R3596" t="str">
            <v>Pasuruan</v>
          </cell>
          <cell r="S3596" t="str">
            <v>F Utara1</v>
          </cell>
          <cell r="T3596" t="str">
            <v>Tomi</v>
          </cell>
          <cell r="U3596">
            <v>30</v>
          </cell>
        </row>
        <row r="3597">
          <cell r="E3597" t="str">
            <v>D25015256</v>
          </cell>
          <cell r="F3597"/>
          <cell r="G3597">
            <v>450000000</v>
          </cell>
          <cell r="H3597" t="str">
            <v>Ariyani</v>
          </cell>
          <cell r="I3597" t="str">
            <v>Fira</v>
          </cell>
          <cell r="J3597"/>
          <cell r="K3597" t="str">
            <v>KU, Tunai</v>
          </cell>
          <cell r="L3597" t="str">
            <v>JAYA23</v>
          </cell>
          <cell r="M3597" t="str">
            <v>Jaya Utama, CV</v>
          </cell>
          <cell r="N3597" t="str">
            <v>Fatah Ardiyansyah</v>
          </cell>
          <cell r="O3597" t="str">
            <v>Ds. Tlogotimun RT.001/RW.008, Kalisari, Pedurungan</v>
          </cell>
          <cell r="P3597" t="str">
            <v>Semarang</v>
          </cell>
          <cell r="Q3597" t="str">
            <v>Jl. Bromo Alang - Alang Dowo 1 RT.03/RW.03 Kersikan, Gondang Wetan</v>
          </cell>
          <cell r="R3597" t="str">
            <v>Pasuruan</v>
          </cell>
          <cell r="S3597" t="str">
            <v>F Utara1</v>
          </cell>
          <cell r="T3597" t="str">
            <v>Tomi</v>
          </cell>
          <cell r="U3597">
            <v>30</v>
          </cell>
        </row>
        <row r="3598">
          <cell r="E3598" t="str">
            <v>D25015306</v>
          </cell>
          <cell r="F3598"/>
          <cell r="G3598">
            <v>450000000</v>
          </cell>
          <cell r="H3598" t="str">
            <v>Ariyani</v>
          </cell>
          <cell r="I3598" t="str">
            <v>Fira</v>
          </cell>
          <cell r="J3598"/>
          <cell r="K3598" t="str">
            <v>KU, Tunai</v>
          </cell>
          <cell r="L3598" t="str">
            <v>JAYA23</v>
          </cell>
          <cell r="M3598" t="str">
            <v>Jaya Utama, CV</v>
          </cell>
          <cell r="N3598" t="str">
            <v>Fatah Ardiyansyah</v>
          </cell>
          <cell r="O3598" t="str">
            <v>Ds. Tlogotimun RT.001/RW.008, Kalisari, Pedurungan</v>
          </cell>
          <cell r="P3598" t="str">
            <v>Semarang</v>
          </cell>
          <cell r="Q3598" t="str">
            <v>Jl. Bromo Alang - Alang Dowo 1 RT.03/RW.03 Kersikan, Gondang Wetan</v>
          </cell>
          <cell r="R3598" t="str">
            <v>Pasuruan</v>
          </cell>
          <cell r="S3598" t="str">
            <v>F Utara1</v>
          </cell>
          <cell r="T3598" t="str">
            <v>Tomi</v>
          </cell>
          <cell r="U3598">
            <v>30</v>
          </cell>
        </row>
        <row r="3599">
          <cell r="E3599" t="str">
            <v>B25013221</v>
          </cell>
          <cell r="F3599"/>
          <cell r="G3599">
            <v>450000000</v>
          </cell>
          <cell r="H3599" t="str">
            <v>Ariyani</v>
          </cell>
          <cell r="I3599" t="str">
            <v>Fira</v>
          </cell>
          <cell r="J3599"/>
          <cell r="K3599" t="str">
            <v>KU, Tunai</v>
          </cell>
          <cell r="L3599" t="str">
            <v>JAYA23</v>
          </cell>
          <cell r="M3599" t="str">
            <v>Jaya Utama, CV</v>
          </cell>
          <cell r="N3599" t="str">
            <v>Fatah Ardiyansyah</v>
          </cell>
          <cell r="O3599" t="str">
            <v>Ds. Tlogotimun RT.001/RW.008, Kalisari, Pedurungan</v>
          </cell>
          <cell r="P3599" t="str">
            <v>Semarang</v>
          </cell>
          <cell r="Q3599" t="str">
            <v>Jl. Bromo Alang - Alang Dowo 1 RT.03/RW.03 Kersikan, Gondang Wetan</v>
          </cell>
          <cell r="R3599" t="str">
            <v>Pasuruan</v>
          </cell>
          <cell r="S3599" t="str">
            <v>F Utara1</v>
          </cell>
          <cell r="T3599" t="str">
            <v>Tomi</v>
          </cell>
          <cell r="U3599">
            <v>30</v>
          </cell>
        </row>
        <row r="3600">
          <cell r="E3600" t="str">
            <v>B25013415</v>
          </cell>
          <cell r="F3600"/>
          <cell r="G3600">
            <v>450000000</v>
          </cell>
          <cell r="H3600" t="str">
            <v>Ariyani</v>
          </cell>
          <cell r="I3600" t="str">
            <v>Fira</v>
          </cell>
          <cell r="J3600"/>
          <cell r="K3600" t="str">
            <v>KU, Tunai</v>
          </cell>
          <cell r="L3600" t="str">
            <v>JAYA23</v>
          </cell>
          <cell r="M3600" t="str">
            <v>Jaya Utama, CV</v>
          </cell>
          <cell r="N3600" t="str">
            <v>Fatah Ardiyansyah</v>
          </cell>
          <cell r="O3600" t="str">
            <v>Ds. Tlogotimun RT.001/RW.008, Kalisari, Pedurungan</v>
          </cell>
          <cell r="P3600" t="str">
            <v>Semarang</v>
          </cell>
          <cell r="Q3600" t="str">
            <v>Jl. Bromo Alang - Alang Dowo 1 RT.03/RW.03 Kersikan, Gondang Wetan</v>
          </cell>
          <cell r="R3600" t="str">
            <v>Pasuruan</v>
          </cell>
          <cell r="S3600" t="str">
            <v>F Utara1</v>
          </cell>
          <cell r="T3600" t="str">
            <v>Tomi</v>
          </cell>
          <cell r="U3600">
            <v>30</v>
          </cell>
        </row>
        <row r="3601">
          <cell r="E3601" t="str">
            <v>B25013424</v>
          </cell>
          <cell r="F3601"/>
          <cell r="G3601">
            <v>450000000</v>
          </cell>
          <cell r="H3601" t="str">
            <v>Ariyani</v>
          </cell>
          <cell r="I3601" t="str">
            <v>Fira</v>
          </cell>
          <cell r="J3601"/>
          <cell r="K3601" t="str">
            <v>KU, Tunai</v>
          </cell>
          <cell r="L3601" t="str">
            <v>JAYA23</v>
          </cell>
          <cell r="M3601" t="str">
            <v>Jaya Utama, CV</v>
          </cell>
          <cell r="N3601" t="str">
            <v>Fatah Ardiyansyah</v>
          </cell>
          <cell r="O3601" t="str">
            <v>Ds. Tlogotimun RT.001/RW.008, Kalisari, Pedurungan</v>
          </cell>
          <cell r="P3601" t="str">
            <v>Semarang</v>
          </cell>
          <cell r="Q3601" t="str">
            <v>Jl. Bromo Alang - Alang Dowo 1 RT.03/RW.03 Kersikan, Gondang Wetan</v>
          </cell>
          <cell r="R3601" t="str">
            <v>Pasuruan</v>
          </cell>
          <cell r="S3601" t="str">
            <v>F Utara1</v>
          </cell>
          <cell r="T3601" t="str">
            <v>Tomi</v>
          </cell>
          <cell r="U3601">
            <v>30</v>
          </cell>
        </row>
        <row r="3602">
          <cell r="E3602" t="str">
            <v>D25015952</v>
          </cell>
          <cell r="F3602"/>
          <cell r="G3602">
            <v>450000000</v>
          </cell>
          <cell r="H3602" t="str">
            <v>Ariyani</v>
          </cell>
          <cell r="I3602" t="str">
            <v>Fira</v>
          </cell>
          <cell r="J3602"/>
          <cell r="K3602" t="str">
            <v>KU, Tunai</v>
          </cell>
          <cell r="L3602" t="str">
            <v>JAYA23</v>
          </cell>
          <cell r="M3602" t="str">
            <v>Jaya Utama, CV</v>
          </cell>
          <cell r="N3602" t="str">
            <v>Fatah Ardiyansyah</v>
          </cell>
          <cell r="O3602" t="str">
            <v>Ds. Tlogotimun RT.001/RW.008, Kalisari, Pedurungan</v>
          </cell>
          <cell r="P3602" t="str">
            <v>Semarang</v>
          </cell>
          <cell r="Q3602" t="str">
            <v>Jl. Bromo Alang - Alang Dowo 1 RT.03/RW.03 Kersikan, Gondang Wetan</v>
          </cell>
          <cell r="R3602" t="str">
            <v>Pasuruan</v>
          </cell>
          <cell r="S3602" t="str">
            <v>F Utara1</v>
          </cell>
          <cell r="T3602" t="str">
            <v>Tomi</v>
          </cell>
          <cell r="U3602">
            <v>0</v>
          </cell>
        </row>
        <row r="3603">
          <cell r="E3603" t="str">
            <v>B25013724</v>
          </cell>
          <cell r="F3603"/>
          <cell r="G3603">
            <v>450000000</v>
          </cell>
          <cell r="H3603" t="str">
            <v>Ariyani</v>
          </cell>
          <cell r="I3603" t="str">
            <v>Fira</v>
          </cell>
          <cell r="J3603"/>
          <cell r="K3603" t="str">
            <v>KU, Tunai</v>
          </cell>
          <cell r="L3603" t="str">
            <v>JAYA23</v>
          </cell>
          <cell r="M3603" t="str">
            <v>Jaya Utama, CV</v>
          </cell>
          <cell r="N3603" t="str">
            <v>Fatah Ardiyansyah</v>
          </cell>
          <cell r="O3603" t="str">
            <v>Ds. Tlogotimun RT.001/RW.008, Kalisari, Pedurungan</v>
          </cell>
          <cell r="P3603" t="str">
            <v>Semarang</v>
          </cell>
          <cell r="Q3603" t="str">
            <v>Jl. Bromo Alang - Alang Dowo 1 RT.03/RW.03 Kersikan, Gondang Wetan</v>
          </cell>
          <cell r="R3603" t="str">
            <v>Pasuruan</v>
          </cell>
          <cell r="S3603" t="str">
            <v>F Utara1</v>
          </cell>
          <cell r="T3603" t="str">
            <v>Tomi</v>
          </cell>
          <cell r="U3603">
            <v>0</v>
          </cell>
        </row>
        <row r="3604">
          <cell r="E3604" t="str">
            <v>B25013871</v>
          </cell>
          <cell r="F3604"/>
          <cell r="G3604">
            <v>450000000</v>
          </cell>
          <cell r="H3604" t="str">
            <v>Ariyani</v>
          </cell>
          <cell r="I3604" t="str">
            <v>Fira</v>
          </cell>
          <cell r="J3604"/>
          <cell r="K3604" t="str">
            <v>KU, Tunai</v>
          </cell>
          <cell r="L3604" t="str">
            <v>JAYA23</v>
          </cell>
          <cell r="M3604" t="str">
            <v>Jaya Utama, CV</v>
          </cell>
          <cell r="N3604" t="str">
            <v>Fatah Ardiyansyah</v>
          </cell>
          <cell r="O3604" t="str">
            <v>Ds. Tlogotimun RT.001/RW.008, Kalisari, Pedurungan</v>
          </cell>
          <cell r="P3604" t="str">
            <v>Semarang</v>
          </cell>
          <cell r="Q3604" t="str">
            <v>Jl. Bromo Alang - Alang Dowo 1 RT.03/RW.03 Kersikan, Gondang Wetan</v>
          </cell>
          <cell r="R3604" t="str">
            <v>Pasuruan</v>
          </cell>
          <cell r="S3604" t="str">
            <v>F Utara1</v>
          </cell>
          <cell r="T3604" t="str">
            <v>Tomi</v>
          </cell>
          <cell r="U3604">
            <v>30</v>
          </cell>
        </row>
        <row r="3605">
          <cell r="E3605">
            <v>250154</v>
          </cell>
          <cell r="F3605"/>
          <cell r="G3605">
            <v>450000000</v>
          </cell>
          <cell r="H3605" t="str">
            <v>Ariyani</v>
          </cell>
          <cell r="I3605" t="str">
            <v>Fira</v>
          </cell>
          <cell r="J3605"/>
          <cell r="K3605" t="str">
            <v>KU, Tunai</v>
          </cell>
          <cell r="L3605" t="str">
            <v>JAYA23</v>
          </cell>
          <cell r="M3605" t="str">
            <v>Jaya Utama, CV</v>
          </cell>
          <cell r="N3605" t="str">
            <v>Fatah Ardiyansyah</v>
          </cell>
          <cell r="O3605" t="str">
            <v>Ds. Tlogotimun RT.001/RW.008, Kalisari, Pedurungan</v>
          </cell>
          <cell r="P3605" t="str">
            <v>Semarang</v>
          </cell>
          <cell r="Q3605" t="str">
            <v>Jl. Bromo Alang - Alang Dowo 1 RT.03/RW.03 Kersikan, Gondang Wetan</v>
          </cell>
          <cell r="R3605" t="str">
            <v>Pasuruan</v>
          </cell>
          <cell r="S3605" t="str">
            <v>F Utara1</v>
          </cell>
          <cell r="T3605" t="str">
            <v>Tomi</v>
          </cell>
          <cell r="U3605">
            <v>0</v>
          </cell>
        </row>
        <row r="3606">
          <cell r="E3606" t="str">
            <v>D25016284</v>
          </cell>
          <cell r="F3606"/>
          <cell r="G3606">
            <v>450000000</v>
          </cell>
          <cell r="H3606" t="str">
            <v>Ariyani</v>
          </cell>
          <cell r="I3606" t="str">
            <v>Fira</v>
          </cell>
          <cell r="J3606"/>
          <cell r="K3606" t="str">
            <v>KU, Tunai</v>
          </cell>
          <cell r="L3606" t="str">
            <v>JAYA23</v>
          </cell>
          <cell r="M3606" t="str">
            <v>Jaya Utama, CV</v>
          </cell>
          <cell r="N3606" t="str">
            <v>Fatah Ardiyansyah</v>
          </cell>
          <cell r="O3606" t="str">
            <v>Ds. Tlogotimun RT.001/RW.008, Kalisari, Pedurungan</v>
          </cell>
          <cell r="P3606" t="str">
            <v>Semarang</v>
          </cell>
          <cell r="Q3606" t="str">
            <v>Jl. Bromo Alang - Alang Dowo 1 RT.03/RW.03 Kersikan, Gondang Wetan</v>
          </cell>
          <cell r="R3606" t="str">
            <v>Pasuruan</v>
          </cell>
          <cell r="S3606" t="str">
            <v>F Utara1</v>
          </cell>
          <cell r="T3606" t="str">
            <v>Tomi</v>
          </cell>
          <cell r="U3606">
            <v>30</v>
          </cell>
        </row>
        <row r="3607">
          <cell r="E3607" t="str">
            <v>B25013427</v>
          </cell>
          <cell r="F3607"/>
          <cell r="G3607">
            <v>1000</v>
          </cell>
          <cell r="H3607" t="str">
            <v>Yuyun</v>
          </cell>
          <cell r="I3607" t="str">
            <v>Syahra</v>
          </cell>
          <cell r="J3607" t="str">
            <v>New 09/01/24</v>
          </cell>
          <cell r="K3607" t="str">
            <v>KU</v>
          </cell>
          <cell r="L3607" t="str">
            <v>JEFF02</v>
          </cell>
          <cell r="M3607" t="str">
            <v>Jeffry/Petani Panen Makmur</v>
          </cell>
          <cell r="N3607" t="str">
            <v>Jeffry Firmansyah</v>
          </cell>
          <cell r="O3607" t="str">
            <v>Jl. PB Surdirman Gg Rahayu III, RT.001/RW.002, Kel. Patokan, Kec. Situbondo</v>
          </cell>
          <cell r="P3607" t="str">
            <v>Situbondo</v>
          </cell>
          <cell r="Q3607" t="str">
            <v>Jl. PB Surdirman Gg Rahayu III, RT.001/RW.002, Kel. Patokan, Kec. Situbondo</v>
          </cell>
          <cell r="R3607" t="str">
            <v>Situbondo</v>
          </cell>
          <cell r="S3607" t="str">
            <v>B Agronomis</v>
          </cell>
          <cell r="T3607" t="str">
            <v>Wira</v>
          </cell>
          <cell r="U3607">
            <v>0</v>
          </cell>
        </row>
        <row r="3608">
          <cell r="E3608" t="str">
            <v>B25010801</v>
          </cell>
          <cell r="F3608"/>
          <cell r="G3608">
            <v>400000000</v>
          </cell>
          <cell r="H3608" t="str">
            <v>Zakia</v>
          </cell>
          <cell r="I3608" t="str">
            <v>Tiya</v>
          </cell>
          <cell r="J3608"/>
          <cell r="K3608" t="str">
            <v>BG</v>
          </cell>
          <cell r="L3608" t="str">
            <v>JELI01</v>
          </cell>
          <cell r="M3608" t="str">
            <v>Jelita, UD</v>
          </cell>
          <cell r="N3608" t="str">
            <v>I Nyoman Genting</v>
          </cell>
          <cell r="O3608" t="str">
            <v>Ds. Bayung Gede, Kintamani, Bangli</v>
          </cell>
          <cell r="P3608" t="str">
            <v>Bangli - Bali</v>
          </cell>
          <cell r="Q3608" t="str">
            <v>Ds. Bayung Gede, Kintamani, Bangli</v>
          </cell>
          <cell r="R3608" t="str">
            <v>Bali</v>
          </cell>
          <cell r="S3608" t="str">
            <v>S Bali1</v>
          </cell>
          <cell r="T3608" t="str">
            <v>Wira</v>
          </cell>
          <cell r="U3608">
            <v>30</v>
          </cell>
        </row>
        <row r="3609">
          <cell r="E3609" t="str">
            <v>D25013393</v>
          </cell>
          <cell r="F3609"/>
          <cell r="G3609">
            <v>400000000</v>
          </cell>
          <cell r="H3609" t="str">
            <v>Zakia</v>
          </cell>
          <cell r="I3609" t="str">
            <v>Tiya</v>
          </cell>
          <cell r="J3609"/>
          <cell r="K3609" t="str">
            <v>BG</v>
          </cell>
          <cell r="L3609" t="str">
            <v>JELI01</v>
          </cell>
          <cell r="M3609" t="str">
            <v>Jelita, UD</v>
          </cell>
          <cell r="N3609" t="str">
            <v>I Nyoman Genting</v>
          </cell>
          <cell r="O3609" t="str">
            <v>Ds. Bayung Gede, Kintamani, Bangli</v>
          </cell>
          <cell r="P3609" t="str">
            <v>Bangli - Bali</v>
          </cell>
          <cell r="Q3609" t="str">
            <v>Ds. Bayung Gede, Kintamani, Bangli</v>
          </cell>
          <cell r="R3609" t="str">
            <v>Bali</v>
          </cell>
          <cell r="S3609" t="str">
            <v>S Bali1</v>
          </cell>
          <cell r="T3609" t="str">
            <v>Wira</v>
          </cell>
          <cell r="U3609">
            <v>30</v>
          </cell>
        </row>
        <row r="3610">
          <cell r="E3610" t="str">
            <v>D25013528</v>
          </cell>
          <cell r="F3610"/>
          <cell r="G3610">
            <v>400000000</v>
          </cell>
          <cell r="H3610" t="str">
            <v>Zakia</v>
          </cell>
          <cell r="I3610" t="str">
            <v>Tiya</v>
          </cell>
          <cell r="J3610"/>
          <cell r="K3610" t="str">
            <v>BG</v>
          </cell>
          <cell r="L3610" t="str">
            <v>JELI01</v>
          </cell>
          <cell r="M3610" t="str">
            <v>Jelita, UD</v>
          </cell>
          <cell r="N3610" t="str">
            <v>I Nyoman Genting</v>
          </cell>
          <cell r="O3610" t="str">
            <v>Ds. Bayung Gede, Kintamani, Bangli</v>
          </cell>
          <cell r="P3610" t="str">
            <v>Bangli - Bali</v>
          </cell>
          <cell r="Q3610" t="str">
            <v>Ds. Bayung Gede, Kintamani, Bangli</v>
          </cell>
          <cell r="R3610" t="str">
            <v>Bali</v>
          </cell>
          <cell r="S3610" t="str">
            <v>S Bali1</v>
          </cell>
          <cell r="T3610" t="str">
            <v>Wira</v>
          </cell>
          <cell r="U3610">
            <v>30</v>
          </cell>
        </row>
        <row r="3611">
          <cell r="E3611" t="str">
            <v>D25013582</v>
          </cell>
          <cell r="F3611"/>
          <cell r="G3611">
            <v>400000000</v>
          </cell>
          <cell r="H3611" t="str">
            <v>Zakia</v>
          </cell>
          <cell r="I3611" t="str">
            <v>Tiya</v>
          </cell>
          <cell r="J3611"/>
          <cell r="K3611" t="str">
            <v>BG</v>
          </cell>
          <cell r="L3611" t="str">
            <v>JELI01</v>
          </cell>
          <cell r="M3611" t="str">
            <v>Jelita, UD</v>
          </cell>
          <cell r="N3611" t="str">
            <v>I Nyoman Genting</v>
          </cell>
          <cell r="O3611" t="str">
            <v>Ds. Bayung Gede, Kintamani, Bangli</v>
          </cell>
          <cell r="P3611" t="str">
            <v>Bangli - Bali</v>
          </cell>
          <cell r="Q3611" t="str">
            <v>Ds. Bayung Gede, Kintamani, Bangli</v>
          </cell>
          <cell r="R3611" t="str">
            <v>Bali</v>
          </cell>
          <cell r="S3611" t="str">
            <v>S Bali1</v>
          </cell>
          <cell r="T3611" t="str">
            <v>Wira</v>
          </cell>
          <cell r="U3611">
            <v>30</v>
          </cell>
        </row>
        <row r="3612">
          <cell r="E3612" t="str">
            <v>D25013582</v>
          </cell>
          <cell r="F3612"/>
          <cell r="G3612">
            <v>400000000</v>
          </cell>
          <cell r="H3612" t="str">
            <v>Zakia</v>
          </cell>
          <cell r="I3612" t="str">
            <v>Tiya</v>
          </cell>
          <cell r="J3612"/>
          <cell r="K3612" t="str">
            <v>BG</v>
          </cell>
          <cell r="L3612" t="str">
            <v>JELI01</v>
          </cell>
          <cell r="M3612" t="str">
            <v>Jelita, UD</v>
          </cell>
          <cell r="N3612" t="str">
            <v>I Nyoman Genting</v>
          </cell>
          <cell r="O3612" t="str">
            <v>Ds. Bayung Gede, Kintamani, Bangli</v>
          </cell>
          <cell r="P3612" t="str">
            <v>Bangli - Bali</v>
          </cell>
          <cell r="Q3612" t="str">
            <v>Ds. Bayung Gede, Kintamani, Bangli</v>
          </cell>
          <cell r="R3612" t="str">
            <v>Bali</v>
          </cell>
          <cell r="S3612" t="str">
            <v>S Bali1</v>
          </cell>
          <cell r="T3612" t="str">
            <v>Wira</v>
          </cell>
          <cell r="U3612">
            <v>30</v>
          </cell>
        </row>
        <row r="3613">
          <cell r="E3613" t="str">
            <v>D25014239</v>
          </cell>
          <cell r="F3613"/>
          <cell r="G3613">
            <v>400000000</v>
          </cell>
          <cell r="H3613" t="str">
            <v>Zakia</v>
          </cell>
          <cell r="I3613" t="str">
            <v>Tiya</v>
          </cell>
          <cell r="J3613"/>
          <cell r="K3613" t="str">
            <v>BG</v>
          </cell>
          <cell r="L3613" t="str">
            <v>JELI01</v>
          </cell>
          <cell r="M3613" t="str">
            <v>Jelita, UD</v>
          </cell>
          <cell r="N3613" t="str">
            <v>I Nyoman Genting</v>
          </cell>
          <cell r="O3613" t="str">
            <v>Ds. Bayung Gede, Kintamani, Bangli</v>
          </cell>
          <cell r="P3613" t="str">
            <v>Bangli - Bali</v>
          </cell>
          <cell r="Q3613" t="str">
            <v>Ds. Bayung Gede, Kintamani, Bangli</v>
          </cell>
          <cell r="R3613" t="str">
            <v>Bali</v>
          </cell>
          <cell r="S3613" t="str">
            <v>S Bali1</v>
          </cell>
          <cell r="T3613" t="str">
            <v>Wira</v>
          </cell>
          <cell r="U3613">
            <v>30</v>
          </cell>
        </row>
        <row r="3614">
          <cell r="E3614" t="str">
            <v>T25001405</v>
          </cell>
          <cell r="F3614"/>
          <cell r="G3614">
            <v>400000000</v>
          </cell>
          <cell r="H3614" t="str">
            <v>Zakia</v>
          </cell>
          <cell r="I3614" t="str">
            <v>Tiya</v>
          </cell>
          <cell r="J3614"/>
          <cell r="K3614" t="str">
            <v>BG</v>
          </cell>
          <cell r="L3614" t="str">
            <v>JELI01</v>
          </cell>
          <cell r="M3614" t="str">
            <v>Jelita, UD</v>
          </cell>
          <cell r="N3614" t="str">
            <v>I Nyoman Genting</v>
          </cell>
          <cell r="O3614" t="str">
            <v>Ds. Bayung Gede, Kintamani, Bangli</v>
          </cell>
          <cell r="P3614" t="str">
            <v>Bangli - Bali</v>
          </cell>
          <cell r="Q3614" t="str">
            <v>Ds. Bayung Gede, Kintamani, Bangli</v>
          </cell>
          <cell r="R3614" t="str">
            <v>Bali</v>
          </cell>
          <cell r="S3614" t="str">
            <v>S Bali1</v>
          </cell>
          <cell r="T3614" t="str">
            <v>Wira</v>
          </cell>
          <cell r="U3614">
            <v>60</v>
          </cell>
        </row>
        <row r="3615">
          <cell r="E3615" t="str">
            <v>B25012518</v>
          </cell>
          <cell r="F3615"/>
          <cell r="G3615">
            <v>400000000</v>
          </cell>
          <cell r="H3615" t="str">
            <v>Zakia</v>
          </cell>
          <cell r="I3615" t="str">
            <v>Tiya</v>
          </cell>
          <cell r="J3615"/>
          <cell r="K3615" t="str">
            <v>BG</v>
          </cell>
          <cell r="L3615" t="str">
            <v>JELI01</v>
          </cell>
          <cell r="M3615" t="str">
            <v>Jelita, UD</v>
          </cell>
          <cell r="N3615" t="str">
            <v>I Nyoman Genting</v>
          </cell>
          <cell r="O3615" t="str">
            <v>Ds. Bayung Gede, Kintamani, Bangli</v>
          </cell>
          <cell r="P3615" t="str">
            <v>Bangli - Bali</v>
          </cell>
          <cell r="Q3615" t="str">
            <v>Ds. Bayung Gede, Kintamani, Bangli</v>
          </cell>
          <cell r="R3615" t="str">
            <v>Bali</v>
          </cell>
          <cell r="S3615" t="str">
            <v>S Bali1</v>
          </cell>
          <cell r="T3615" t="str">
            <v>Wira</v>
          </cell>
          <cell r="U3615">
            <v>30</v>
          </cell>
        </row>
        <row r="3616">
          <cell r="E3616" t="str">
            <v>B25012518</v>
          </cell>
          <cell r="F3616"/>
          <cell r="G3616">
            <v>400000000</v>
          </cell>
          <cell r="H3616" t="str">
            <v>Zakia</v>
          </cell>
          <cell r="I3616" t="str">
            <v>Tiya</v>
          </cell>
          <cell r="J3616"/>
          <cell r="K3616" t="str">
            <v>BG</v>
          </cell>
          <cell r="L3616" t="str">
            <v>JELI01</v>
          </cell>
          <cell r="M3616" t="str">
            <v>Jelita, UD</v>
          </cell>
          <cell r="N3616" t="str">
            <v>I Nyoman Genting</v>
          </cell>
          <cell r="O3616" t="str">
            <v>Ds. Bayung Gede, Kintamani, Bangli</v>
          </cell>
          <cell r="P3616" t="str">
            <v>Bangli - Bali</v>
          </cell>
          <cell r="Q3616" t="str">
            <v>Ds. Bayung Gede, Kintamani, Bangli</v>
          </cell>
          <cell r="R3616" t="str">
            <v>Bali</v>
          </cell>
          <cell r="S3616" t="str">
            <v>S Bali1</v>
          </cell>
          <cell r="T3616" t="str">
            <v>Wira</v>
          </cell>
          <cell r="U3616">
            <v>30</v>
          </cell>
        </row>
        <row r="3617">
          <cell r="E3617" t="str">
            <v>B25012661</v>
          </cell>
          <cell r="F3617"/>
          <cell r="G3617">
            <v>400000000</v>
          </cell>
          <cell r="H3617" t="str">
            <v>Zakia</v>
          </cell>
          <cell r="I3617" t="str">
            <v>Tiya</v>
          </cell>
          <cell r="J3617"/>
          <cell r="K3617" t="str">
            <v>BG</v>
          </cell>
          <cell r="L3617" t="str">
            <v>JELI01</v>
          </cell>
          <cell r="M3617" t="str">
            <v>Jelita, UD</v>
          </cell>
          <cell r="N3617" t="str">
            <v>I Nyoman Genting</v>
          </cell>
          <cell r="O3617" t="str">
            <v>Ds. Bayung Gede, Kintamani, Bangli</v>
          </cell>
          <cell r="P3617" t="str">
            <v>Bangli - Bali</v>
          </cell>
          <cell r="Q3617" t="str">
            <v>Ds. Bayung Gede, Kintamani, Bangli</v>
          </cell>
          <cell r="R3617" t="str">
            <v>Bali</v>
          </cell>
          <cell r="S3617" t="str">
            <v>S Bali1</v>
          </cell>
          <cell r="T3617" t="str">
            <v>Wira</v>
          </cell>
          <cell r="U3617">
            <v>30</v>
          </cell>
        </row>
        <row r="3618">
          <cell r="E3618" t="str">
            <v>D25015084</v>
          </cell>
          <cell r="F3618"/>
          <cell r="G3618">
            <v>400000000</v>
          </cell>
          <cell r="H3618" t="str">
            <v>Zakia</v>
          </cell>
          <cell r="I3618" t="str">
            <v>Tiya</v>
          </cell>
          <cell r="J3618"/>
          <cell r="K3618" t="str">
            <v>BG</v>
          </cell>
          <cell r="L3618" t="str">
            <v>JELI01</v>
          </cell>
          <cell r="M3618" t="str">
            <v>Jelita, UD</v>
          </cell>
          <cell r="N3618" t="str">
            <v>I Nyoman Genting</v>
          </cell>
          <cell r="O3618" t="str">
            <v>Ds. Bayung Gede, Kintamani, Bangli</v>
          </cell>
          <cell r="P3618" t="str">
            <v>Bangli - Bali</v>
          </cell>
          <cell r="Q3618" t="str">
            <v>Ds. Bayung Gede, Kintamani, Bangli</v>
          </cell>
          <cell r="R3618" t="str">
            <v>Bali</v>
          </cell>
          <cell r="S3618" t="str">
            <v>S Bali1</v>
          </cell>
          <cell r="T3618" t="str">
            <v>Wira</v>
          </cell>
          <cell r="U3618">
            <v>30</v>
          </cell>
        </row>
        <row r="3619">
          <cell r="E3619" t="str">
            <v>D25015308</v>
          </cell>
          <cell r="F3619"/>
          <cell r="G3619">
            <v>400000000</v>
          </cell>
          <cell r="H3619" t="str">
            <v>Zakia</v>
          </cell>
          <cell r="I3619" t="str">
            <v>Tiya</v>
          </cell>
          <cell r="J3619"/>
          <cell r="K3619" t="str">
            <v>BG</v>
          </cell>
          <cell r="L3619" t="str">
            <v>JELI01</v>
          </cell>
          <cell r="M3619" t="str">
            <v>Jelita, UD</v>
          </cell>
          <cell r="N3619" t="str">
            <v>I Nyoman Genting</v>
          </cell>
          <cell r="O3619" t="str">
            <v>Ds. Bayung Gede, Kintamani, Bangli</v>
          </cell>
          <cell r="P3619" t="str">
            <v>Bangli - Bali</v>
          </cell>
          <cell r="Q3619" t="str">
            <v>Ds. Bayung Gede, Kintamani, Bangli</v>
          </cell>
          <cell r="R3619" t="str">
            <v>Bali</v>
          </cell>
          <cell r="S3619" t="str">
            <v>S Bali1</v>
          </cell>
          <cell r="T3619" t="str">
            <v>Wira</v>
          </cell>
          <cell r="U3619">
            <v>30</v>
          </cell>
        </row>
        <row r="3620">
          <cell r="E3620" t="str">
            <v>D25015308</v>
          </cell>
          <cell r="F3620"/>
          <cell r="G3620">
            <v>400000000</v>
          </cell>
          <cell r="H3620" t="str">
            <v>Zakia</v>
          </cell>
          <cell r="I3620" t="str">
            <v>Tiya</v>
          </cell>
          <cell r="J3620"/>
          <cell r="K3620" t="str">
            <v>BG</v>
          </cell>
          <cell r="L3620" t="str">
            <v>JELI01</v>
          </cell>
          <cell r="M3620" t="str">
            <v>Jelita, UD</v>
          </cell>
          <cell r="N3620" t="str">
            <v>I Nyoman Genting</v>
          </cell>
          <cell r="O3620" t="str">
            <v>Ds. Bayung Gede, Kintamani, Bangli</v>
          </cell>
          <cell r="P3620" t="str">
            <v>Bangli - Bali</v>
          </cell>
          <cell r="Q3620" t="str">
            <v>Ds. Bayung Gede, Kintamani, Bangli</v>
          </cell>
          <cell r="R3620" t="str">
            <v>Bali</v>
          </cell>
          <cell r="S3620" t="str">
            <v>S Bali1</v>
          </cell>
          <cell r="T3620" t="str">
            <v>Wira</v>
          </cell>
          <cell r="U3620">
            <v>30</v>
          </cell>
        </row>
        <row r="3621">
          <cell r="E3621" t="str">
            <v>D25015321</v>
          </cell>
          <cell r="F3621"/>
          <cell r="G3621">
            <v>400000000</v>
          </cell>
          <cell r="H3621" t="str">
            <v>Zakia</v>
          </cell>
          <cell r="I3621" t="str">
            <v>Tiya</v>
          </cell>
          <cell r="J3621"/>
          <cell r="K3621" t="str">
            <v>BG</v>
          </cell>
          <cell r="L3621" t="str">
            <v>JELI01</v>
          </cell>
          <cell r="M3621" t="str">
            <v>Jelita, UD</v>
          </cell>
          <cell r="N3621" t="str">
            <v>I Nyoman Genting</v>
          </cell>
          <cell r="O3621" t="str">
            <v>Ds. Bayung Gede, Kintamani, Bangli</v>
          </cell>
          <cell r="P3621" t="str">
            <v>Bangli - Bali</v>
          </cell>
          <cell r="Q3621" t="str">
            <v>Ds. Bayung Gede, Kintamani, Bangli</v>
          </cell>
          <cell r="R3621" t="str">
            <v>Bali</v>
          </cell>
          <cell r="S3621" t="str">
            <v>S Bali1</v>
          </cell>
          <cell r="T3621" t="str">
            <v>Wira</v>
          </cell>
          <cell r="U3621">
            <v>30</v>
          </cell>
        </row>
        <row r="3622">
          <cell r="E3622" t="str">
            <v>D25015450</v>
          </cell>
          <cell r="F3622"/>
          <cell r="G3622">
            <v>400000000</v>
          </cell>
          <cell r="H3622" t="str">
            <v>Zakia</v>
          </cell>
          <cell r="I3622" t="str">
            <v>Tiya</v>
          </cell>
          <cell r="J3622"/>
          <cell r="K3622" t="str">
            <v>BG</v>
          </cell>
          <cell r="L3622" t="str">
            <v>JELI01</v>
          </cell>
          <cell r="M3622" t="str">
            <v>Jelita, UD</v>
          </cell>
          <cell r="N3622" t="str">
            <v>I Nyoman Genting</v>
          </cell>
          <cell r="O3622" t="str">
            <v>Ds. Bayung Gede, Kintamani, Bangli</v>
          </cell>
          <cell r="P3622" t="str">
            <v>Bangli - Bali</v>
          </cell>
          <cell r="Q3622" t="str">
            <v>Ds. Bayung Gede, Kintamani, Bangli</v>
          </cell>
          <cell r="R3622" t="str">
            <v>Bali</v>
          </cell>
          <cell r="S3622" t="str">
            <v>S Bali1</v>
          </cell>
          <cell r="T3622" t="str">
            <v>Wira</v>
          </cell>
          <cell r="U3622">
            <v>30</v>
          </cell>
        </row>
        <row r="3623">
          <cell r="E3623" t="str">
            <v>D25015450</v>
          </cell>
          <cell r="F3623"/>
          <cell r="G3623">
            <v>400000000</v>
          </cell>
          <cell r="H3623" t="str">
            <v>Zakia</v>
          </cell>
          <cell r="I3623" t="str">
            <v>Tiya</v>
          </cell>
          <cell r="J3623"/>
          <cell r="K3623" t="str">
            <v>BG</v>
          </cell>
          <cell r="L3623" t="str">
            <v>JELI01</v>
          </cell>
          <cell r="M3623" t="str">
            <v>Jelita, UD</v>
          </cell>
          <cell r="N3623" t="str">
            <v>I Nyoman Genting</v>
          </cell>
          <cell r="O3623" t="str">
            <v>Ds. Bayung Gede, Kintamani, Bangli</v>
          </cell>
          <cell r="P3623" t="str">
            <v>Bangli - Bali</v>
          </cell>
          <cell r="Q3623" t="str">
            <v>Ds. Bayung Gede, Kintamani, Bangli</v>
          </cell>
          <cell r="R3623" t="str">
            <v>Bali</v>
          </cell>
          <cell r="S3623" t="str">
            <v>S Bali1</v>
          </cell>
          <cell r="T3623" t="str">
            <v>Wira</v>
          </cell>
          <cell r="U3623">
            <v>30</v>
          </cell>
        </row>
        <row r="3624">
          <cell r="E3624" t="str">
            <v>B25013334</v>
          </cell>
          <cell r="F3624"/>
          <cell r="G3624">
            <v>400000000</v>
          </cell>
          <cell r="H3624" t="str">
            <v>Zakia</v>
          </cell>
          <cell r="I3624" t="str">
            <v>Tiya</v>
          </cell>
          <cell r="J3624"/>
          <cell r="K3624" t="str">
            <v>BG</v>
          </cell>
          <cell r="L3624" t="str">
            <v>JELI01</v>
          </cell>
          <cell r="M3624" t="str">
            <v>Jelita, UD</v>
          </cell>
          <cell r="N3624" t="str">
            <v>I Nyoman Genting</v>
          </cell>
          <cell r="O3624" t="str">
            <v>Ds. Bayung Gede, Kintamani, Bangli</v>
          </cell>
          <cell r="P3624" t="str">
            <v>Bangli - Bali</v>
          </cell>
          <cell r="Q3624" t="str">
            <v>Ds. Bayung Gede, Kintamani, Bangli</v>
          </cell>
          <cell r="R3624" t="str">
            <v>Bali</v>
          </cell>
          <cell r="S3624" t="str">
            <v>S Bali1</v>
          </cell>
          <cell r="T3624" t="str">
            <v>Wira</v>
          </cell>
          <cell r="U3624">
            <v>30</v>
          </cell>
        </row>
        <row r="3625">
          <cell r="E3625" t="str">
            <v>D25016139</v>
          </cell>
          <cell r="F3625"/>
          <cell r="G3625">
            <v>400000000</v>
          </cell>
          <cell r="H3625" t="str">
            <v>Zakia</v>
          </cell>
          <cell r="I3625" t="str">
            <v>Tiya</v>
          </cell>
          <cell r="J3625"/>
          <cell r="K3625" t="str">
            <v>BG</v>
          </cell>
          <cell r="L3625" t="str">
            <v>JELI01</v>
          </cell>
          <cell r="M3625" t="str">
            <v>Jelita, UD</v>
          </cell>
          <cell r="N3625" t="str">
            <v>I Nyoman Genting</v>
          </cell>
          <cell r="O3625" t="str">
            <v>Ds. Bayung Gede, Kintamani, Bangli</v>
          </cell>
          <cell r="P3625" t="str">
            <v>Bangli - Bali</v>
          </cell>
          <cell r="Q3625" t="str">
            <v>Ds. Bayung Gede, Kintamani, Bangli</v>
          </cell>
          <cell r="R3625" t="str">
            <v>Bali</v>
          </cell>
          <cell r="S3625" t="str">
            <v>S Bali1</v>
          </cell>
          <cell r="T3625" t="str">
            <v>Wira</v>
          </cell>
          <cell r="U3625">
            <v>30</v>
          </cell>
        </row>
        <row r="3626">
          <cell r="E3626" t="str">
            <v>D25014530</v>
          </cell>
          <cell r="F3626"/>
          <cell r="G3626">
            <v>1000</v>
          </cell>
          <cell r="H3626" t="str">
            <v>Reni</v>
          </cell>
          <cell r="I3626" t="str">
            <v>Farida</v>
          </cell>
          <cell r="J3626" t="str">
            <v>New 02/08/21</v>
          </cell>
          <cell r="K3626" t="str">
            <v>KU</v>
          </cell>
          <cell r="L3626" t="str">
            <v>JOKO12</v>
          </cell>
          <cell r="M3626" t="str">
            <v>Joko Barokah/Dewi</v>
          </cell>
          <cell r="N3626" t="str">
            <v>Dewi Lestari</v>
          </cell>
          <cell r="O3626" t="str">
            <v>Perum Griya Mangli Indah Blok O.31 RT.001/RW.006, Kel. Mangli, Kec. Kaliwates</v>
          </cell>
          <cell r="P3626" t="str">
            <v>Jember</v>
          </cell>
          <cell r="Q3626" t="str">
            <v>Grand Bromo Village Blok G 12 No.10 RT.001/RW.007, Malang Anggun Sejahtera, Sumberporong, Lawang</v>
          </cell>
          <cell r="R3626" t="str">
            <v>Malang</v>
          </cell>
          <cell r="S3626" t="str">
            <v>F Utara1</v>
          </cell>
          <cell r="T3626" t="str">
            <v>Tomi</v>
          </cell>
          <cell r="U3626">
            <v>0</v>
          </cell>
        </row>
        <row r="3627">
          <cell r="E3627" t="str">
            <v>D25014530</v>
          </cell>
          <cell r="F3627"/>
          <cell r="G3627">
            <v>1000</v>
          </cell>
          <cell r="H3627" t="str">
            <v>Reni</v>
          </cell>
          <cell r="I3627" t="str">
            <v>Farida</v>
          </cell>
          <cell r="J3627" t="str">
            <v>New 02/08/21</v>
          </cell>
          <cell r="K3627" t="str">
            <v>KU</v>
          </cell>
          <cell r="L3627" t="str">
            <v>JOKO12</v>
          </cell>
          <cell r="M3627" t="str">
            <v>Joko Barokah/Dewi</v>
          </cell>
          <cell r="N3627" t="str">
            <v>Dewi Lestari</v>
          </cell>
          <cell r="O3627" t="str">
            <v>Perum Griya Mangli Indah Blok O.31 RT.001/RW.006, Kel. Mangli, Kec. Kaliwates</v>
          </cell>
          <cell r="P3627" t="str">
            <v>Jember</v>
          </cell>
          <cell r="Q3627" t="str">
            <v>Grand Bromo Village Blok G 12 No.10 RT.001/RW.007, Malang Anggun Sejahtera, Sumberporong, Lawang</v>
          </cell>
          <cell r="R3627" t="str">
            <v>Malang</v>
          </cell>
          <cell r="S3627" t="str">
            <v>F Utara1</v>
          </cell>
          <cell r="T3627" t="str">
            <v>Tomi</v>
          </cell>
          <cell r="U3627">
            <v>0</v>
          </cell>
        </row>
        <row r="3628">
          <cell r="E3628" t="str">
            <v>D25015369</v>
          </cell>
          <cell r="F3628"/>
          <cell r="G3628">
            <v>1000</v>
          </cell>
          <cell r="H3628" t="str">
            <v>Reni</v>
          </cell>
          <cell r="I3628" t="str">
            <v>Farida</v>
          </cell>
          <cell r="J3628" t="str">
            <v>New 02/08/21</v>
          </cell>
          <cell r="K3628" t="str">
            <v>KU</v>
          </cell>
          <cell r="L3628" t="str">
            <v>JOKO12</v>
          </cell>
          <cell r="M3628" t="str">
            <v>Joko Barokah/Dewi</v>
          </cell>
          <cell r="N3628" t="str">
            <v>Dewi Lestari</v>
          </cell>
          <cell r="O3628" t="str">
            <v>Perum Griya Mangli Indah Blok O.31 RT.001/RW.006, Kel. Mangli, Kec. Kaliwates</v>
          </cell>
          <cell r="P3628" t="str">
            <v>Jember</v>
          </cell>
          <cell r="Q3628" t="str">
            <v>Grand Bromo Village Blok G 12 No.10 RT.001/RW.007, Malang Anggun Sejahtera, Sumberporong, Lawang</v>
          </cell>
          <cell r="R3628" t="str">
            <v>Malang</v>
          </cell>
          <cell r="S3628" t="str">
            <v>F Utara1</v>
          </cell>
          <cell r="T3628" t="str">
            <v>Tomi</v>
          </cell>
          <cell r="U3628">
            <v>0</v>
          </cell>
        </row>
        <row r="3629">
          <cell r="E3629" t="str">
            <v>D25015369</v>
          </cell>
          <cell r="F3629"/>
          <cell r="G3629">
            <v>1000</v>
          </cell>
          <cell r="H3629" t="str">
            <v>Reni</v>
          </cell>
          <cell r="I3629" t="str">
            <v>Farida</v>
          </cell>
          <cell r="J3629" t="str">
            <v>New 02/08/21</v>
          </cell>
          <cell r="K3629" t="str">
            <v>KU</v>
          </cell>
          <cell r="L3629" t="str">
            <v>JOKO12</v>
          </cell>
          <cell r="M3629" t="str">
            <v>Joko Barokah/Dewi</v>
          </cell>
          <cell r="N3629" t="str">
            <v>Dewi Lestari</v>
          </cell>
          <cell r="O3629" t="str">
            <v>Perum Griya Mangli Indah Blok O.31 RT.001/RW.006, Kel. Mangli, Kec. Kaliwates</v>
          </cell>
          <cell r="P3629" t="str">
            <v>Jember</v>
          </cell>
          <cell r="Q3629" t="str">
            <v>Grand Bromo Village Blok G 12 No.10 RT.001/RW.007, Malang Anggun Sejahtera, Sumberporong, Lawang</v>
          </cell>
          <cell r="R3629" t="str">
            <v>Malang</v>
          </cell>
          <cell r="S3629" t="str">
            <v>F Utara1</v>
          </cell>
          <cell r="T3629" t="str">
            <v>Tomi</v>
          </cell>
          <cell r="U3629">
            <v>0</v>
          </cell>
        </row>
        <row r="3630">
          <cell r="E3630" t="str">
            <v>D25015769</v>
          </cell>
          <cell r="F3630"/>
          <cell r="G3630">
            <v>1000</v>
          </cell>
          <cell r="H3630" t="str">
            <v>Reni</v>
          </cell>
          <cell r="I3630" t="str">
            <v>Farida</v>
          </cell>
          <cell r="J3630" t="str">
            <v>New 02/08/21</v>
          </cell>
          <cell r="K3630" t="str">
            <v>KU</v>
          </cell>
          <cell r="L3630" t="str">
            <v>JOKO12</v>
          </cell>
          <cell r="M3630" t="str">
            <v>Joko Barokah/Dewi</v>
          </cell>
          <cell r="N3630" t="str">
            <v>Dewi Lestari</v>
          </cell>
          <cell r="O3630" t="str">
            <v>Perum Griya Mangli Indah Blok O.31 RT.001/RW.006, Kel. Mangli, Kec. Kaliwates</v>
          </cell>
          <cell r="P3630" t="str">
            <v>Jember</v>
          </cell>
          <cell r="Q3630" t="str">
            <v>Grand Bromo Village Blok G 12 No.10 RT.001/RW.007, Malang Anggun Sejahtera, Sumberporong, Lawang</v>
          </cell>
          <cell r="R3630" t="str">
            <v>Malang</v>
          </cell>
          <cell r="S3630" t="str">
            <v>F Utara1</v>
          </cell>
          <cell r="T3630" t="str">
            <v>Tomi</v>
          </cell>
          <cell r="U3630">
            <v>0</v>
          </cell>
        </row>
        <row r="3631">
          <cell r="E3631" t="str">
            <v>B25013701</v>
          </cell>
          <cell r="F3631"/>
          <cell r="G3631">
            <v>1000</v>
          </cell>
          <cell r="H3631" t="str">
            <v>Reni</v>
          </cell>
          <cell r="I3631" t="str">
            <v>Farida</v>
          </cell>
          <cell r="J3631" t="str">
            <v>New 02/08/21</v>
          </cell>
          <cell r="K3631" t="str">
            <v>KU</v>
          </cell>
          <cell r="L3631" t="str">
            <v>JOKO12</v>
          </cell>
          <cell r="M3631" t="str">
            <v>Joko Barokah/Dewi</v>
          </cell>
          <cell r="N3631" t="str">
            <v>Dewi Lestari</v>
          </cell>
          <cell r="O3631" t="str">
            <v>Perum Griya Mangli Indah Blok O.31 RT.001/RW.006, Kel. Mangli, Kec. Kaliwates</v>
          </cell>
          <cell r="P3631" t="str">
            <v>Jember</v>
          </cell>
          <cell r="Q3631" t="str">
            <v>Grand Bromo Village Blok G 12 No.10 RT.001/RW.007, Malang Anggun Sejahtera, Sumberporong, Lawang</v>
          </cell>
          <cell r="R3631" t="str">
            <v>Malang</v>
          </cell>
          <cell r="S3631" t="str">
            <v>F Utara1</v>
          </cell>
          <cell r="T3631" t="str">
            <v>Tomi</v>
          </cell>
          <cell r="U3631">
            <v>0</v>
          </cell>
        </row>
        <row r="3632">
          <cell r="E3632" t="str">
            <v>D25016203</v>
          </cell>
          <cell r="F3632"/>
          <cell r="G3632">
            <v>1000</v>
          </cell>
          <cell r="H3632" t="str">
            <v>Faris</v>
          </cell>
          <cell r="I3632" t="str">
            <v>Syahra</v>
          </cell>
          <cell r="J3632" t="str">
            <v>New 28/11/20</v>
          </cell>
          <cell r="K3632" t="str">
            <v>KU</v>
          </cell>
          <cell r="L3632" t="str">
            <v>JOKO10</v>
          </cell>
          <cell r="M3632" t="str">
            <v>Joko Supriyo</v>
          </cell>
          <cell r="N3632" t="str">
            <v>Joko Supriyo</v>
          </cell>
          <cell r="O3632" t="str">
            <v>Dusun Rimpis, RT.005/RW.001, Kel. Sumbersari, Kec. Srono</v>
          </cell>
          <cell r="P3632" t="str">
            <v>Banyuwangi</v>
          </cell>
          <cell r="Q3632" t="str">
            <v>Dusun Rimpis, RT.005/RW.001, Kel. Sumbersari, Kec. Srono</v>
          </cell>
          <cell r="R3632" t="str">
            <v>Banyuwangi</v>
          </cell>
          <cell r="S3632" t="str">
            <v>H Bwi2</v>
          </cell>
          <cell r="T3632" t="str">
            <v>Hafid</v>
          </cell>
          <cell r="U3632">
            <v>0</v>
          </cell>
        </row>
        <row r="3633">
          <cell r="E3633" t="str">
            <v>T25001601</v>
          </cell>
          <cell r="F3633"/>
          <cell r="G3633">
            <v>1000</v>
          </cell>
          <cell r="H3633" t="str">
            <v>Faris</v>
          </cell>
          <cell r="I3633" t="str">
            <v>Syahra</v>
          </cell>
          <cell r="J3633" t="str">
            <v>New 28/11/20</v>
          </cell>
          <cell r="K3633" t="str">
            <v>KU</v>
          </cell>
          <cell r="L3633" t="str">
            <v>JOKO10</v>
          </cell>
          <cell r="M3633" t="str">
            <v>Joko Supriyo</v>
          </cell>
          <cell r="N3633" t="str">
            <v>Joko Supriyo</v>
          </cell>
          <cell r="O3633" t="str">
            <v>Dusun Rimpis, RT.005/RW.001, Kel. Sumbersari, Kec. Srono</v>
          </cell>
          <cell r="P3633" t="str">
            <v>Banyuwangi</v>
          </cell>
          <cell r="Q3633" t="str">
            <v>Dusun Rimpis, RT.005/RW.001, Kel. Sumbersari, Kec. Srono</v>
          </cell>
          <cell r="R3633" t="str">
            <v>Banyuwangi</v>
          </cell>
          <cell r="S3633" t="str">
            <v>H Bwi2</v>
          </cell>
          <cell r="T3633" t="str">
            <v>Hafid</v>
          </cell>
          <cell r="U3633">
            <v>0</v>
          </cell>
        </row>
        <row r="3634">
          <cell r="E3634" t="str">
            <v>C25000889</v>
          </cell>
          <cell r="F3634"/>
          <cell r="G3634">
            <v>1000</v>
          </cell>
          <cell r="H3634" t="str">
            <v>Yuyun</v>
          </cell>
          <cell r="I3634" t="str">
            <v>Farida</v>
          </cell>
          <cell r="J3634" t="str">
            <v>New 04/09/19</v>
          </cell>
          <cell r="K3634" t="str">
            <v>Lobi</v>
          </cell>
          <cell r="L3634" t="str">
            <v>JOKO07</v>
          </cell>
          <cell r="M3634" t="str">
            <v>Joko/Prima Karya</v>
          </cell>
          <cell r="N3634" t="str">
            <v>CV Santoso Prima</v>
          </cell>
          <cell r="O3634" t="str">
            <v>Taman Gading Blok Nuri No.05, RT.002/RW.040 Kel. Tegal Besar, Kec. Kaliwates</v>
          </cell>
          <cell r="P3634" t="str">
            <v>Jember</v>
          </cell>
          <cell r="Q3634" t="str">
            <v>Taman Gading Blok Nuri No.05, RT.002/RW.040 Kel. Tegal Besar, Kec. Kaliwates</v>
          </cell>
          <cell r="R3634" t="str">
            <v>Jember</v>
          </cell>
          <cell r="S3634" t="str">
            <v>L Kota1</v>
          </cell>
          <cell r="T3634" t="str">
            <v>Wira</v>
          </cell>
          <cell r="U3634">
            <v>0</v>
          </cell>
        </row>
        <row r="3635">
          <cell r="E3635" t="str">
            <v>D25016253</v>
          </cell>
          <cell r="F3635"/>
          <cell r="G3635">
            <v>1000</v>
          </cell>
          <cell r="H3635" t="str">
            <v>Yuyun</v>
          </cell>
          <cell r="I3635" t="str">
            <v>Farida</v>
          </cell>
          <cell r="J3635" t="str">
            <v>New 04/09/19</v>
          </cell>
          <cell r="K3635" t="str">
            <v>Lobi</v>
          </cell>
          <cell r="L3635" t="str">
            <v>JOKO07</v>
          </cell>
          <cell r="M3635" t="str">
            <v>Joko/Prima Karya</v>
          </cell>
          <cell r="N3635" t="str">
            <v>CV Santoso Prima</v>
          </cell>
          <cell r="O3635" t="str">
            <v>Taman Gading Blok Nuri No.05, RT.002/RW.040 Kel. Tegal Besar, Kec. Kaliwates</v>
          </cell>
          <cell r="P3635" t="str">
            <v>Jember</v>
          </cell>
          <cell r="Q3635" t="str">
            <v>Taman Gading Blok Nuri No.05, RT.002/RW.040 Kel. Tegal Besar, Kec. Kaliwates</v>
          </cell>
          <cell r="R3635" t="str">
            <v>Jember</v>
          </cell>
          <cell r="S3635" t="str">
            <v>L Kota1</v>
          </cell>
          <cell r="T3635" t="str">
            <v>Wira</v>
          </cell>
          <cell r="U3635">
            <v>0</v>
          </cell>
        </row>
        <row r="3636">
          <cell r="E3636" t="str">
            <v>B25011622</v>
          </cell>
          <cell r="F3636"/>
          <cell r="G3636">
            <v>45000000</v>
          </cell>
          <cell r="H3636" t="str">
            <v>Ariyani</v>
          </cell>
          <cell r="I3636" t="str">
            <v>Fira</v>
          </cell>
          <cell r="J3636"/>
          <cell r="K3636" t="str">
            <v>KU</v>
          </cell>
          <cell r="L3636" t="str">
            <v>JOYO04</v>
          </cell>
          <cell r="M3636" t="str">
            <v>Joyo Tani Makmur, UD</v>
          </cell>
          <cell r="N3636" t="str">
            <v>Sugiono</v>
          </cell>
          <cell r="O3636" t="str">
            <v>Desa Gelang RT 03/02 Kec. Tulangan</v>
          </cell>
          <cell r="P3636" t="str">
            <v>Sidoarjo</v>
          </cell>
          <cell r="Q3636" t="str">
            <v>Gelang Tulangan</v>
          </cell>
          <cell r="R3636" t="str">
            <v>Sidoarjo</v>
          </cell>
          <cell r="S3636" t="str">
            <v>F Utara1</v>
          </cell>
          <cell r="T3636" t="str">
            <v>Tomi</v>
          </cell>
          <cell r="U3636">
            <v>30</v>
          </cell>
        </row>
        <row r="3637">
          <cell r="E3637" t="str">
            <v>B25011623</v>
          </cell>
          <cell r="F3637"/>
          <cell r="G3637">
            <v>45000000</v>
          </cell>
          <cell r="H3637" t="str">
            <v>Ariyani</v>
          </cell>
          <cell r="I3637" t="str">
            <v>Fira</v>
          </cell>
          <cell r="J3637"/>
          <cell r="K3637" t="str">
            <v>KU</v>
          </cell>
          <cell r="L3637" t="str">
            <v>JOYO04</v>
          </cell>
          <cell r="M3637" t="str">
            <v>Joyo Tani Makmur, UD</v>
          </cell>
          <cell r="N3637" t="str">
            <v>Sugiono</v>
          </cell>
          <cell r="O3637" t="str">
            <v>Desa Gelang RT 03/02 Kec. Tulangan</v>
          </cell>
          <cell r="P3637" t="str">
            <v>Sidoarjo</v>
          </cell>
          <cell r="Q3637" t="str">
            <v>Gelang Tulangan</v>
          </cell>
          <cell r="R3637" t="str">
            <v>Sidoarjo</v>
          </cell>
          <cell r="S3637" t="str">
            <v>F Utara1</v>
          </cell>
          <cell r="T3637" t="str">
            <v>Tomi</v>
          </cell>
          <cell r="U3637">
            <v>30</v>
          </cell>
        </row>
        <row r="3638">
          <cell r="E3638" t="str">
            <v>L25000046</v>
          </cell>
          <cell r="F3638"/>
          <cell r="G3638">
            <v>45000000</v>
          </cell>
          <cell r="H3638" t="str">
            <v>Ariyani</v>
          </cell>
          <cell r="I3638" t="str">
            <v>Fira</v>
          </cell>
          <cell r="J3638"/>
          <cell r="K3638" t="str">
            <v>KU</v>
          </cell>
          <cell r="L3638" t="str">
            <v>JOYO04</v>
          </cell>
          <cell r="M3638" t="str">
            <v>Joyo Tani Makmur, UD</v>
          </cell>
          <cell r="N3638" t="str">
            <v>Sugiono</v>
          </cell>
          <cell r="O3638" t="str">
            <v>Desa Gelang RT 03/02 Kec. Tulangan</v>
          </cell>
          <cell r="P3638" t="str">
            <v>Sidoarjo</v>
          </cell>
          <cell r="Q3638" t="str">
            <v>Gelang Tulangan</v>
          </cell>
          <cell r="R3638" t="str">
            <v>Sidoarjo</v>
          </cell>
          <cell r="S3638" t="str">
            <v>F Utara1</v>
          </cell>
          <cell r="T3638" t="str">
            <v>Tomi</v>
          </cell>
          <cell r="U3638">
            <v>30</v>
          </cell>
        </row>
        <row r="3639">
          <cell r="E3639" t="str">
            <v>B25012038</v>
          </cell>
          <cell r="F3639"/>
          <cell r="G3639">
            <v>45000000</v>
          </cell>
          <cell r="H3639" t="str">
            <v>Ariyani</v>
          </cell>
          <cell r="I3639" t="str">
            <v>Fira</v>
          </cell>
          <cell r="J3639"/>
          <cell r="K3639" t="str">
            <v>KU</v>
          </cell>
          <cell r="L3639" t="str">
            <v>JOYO04</v>
          </cell>
          <cell r="M3639" t="str">
            <v>Joyo Tani Makmur, UD</v>
          </cell>
          <cell r="N3639" t="str">
            <v>Sugiono</v>
          </cell>
          <cell r="O3639" t="str">
            <v>Desa Gelang RT 03/02 Kec. Tulangan</v>
          </cell>
          <cell r="P3639" t="str">
            <v>Sidoarjo</v>
          </cell>
          <cell r="Q3639" t="str">
            <v>Gelang Tulangan</v>
          </cell>
          <cell r="R3639" t="str">
            <v>Sidoarjo</v>
          </cell>
          <cell r="S3639" t="str">
            <v>F Utara1</v>
          </cell>
          <cell r="T3639" t="str">
            <v>Tomi</v>
          </cell>
          <cell r="U3639">
            <v>30</v>
          </cell>
        </row>
        <row r="3640">
          <cell r="E3640" t="str">
            <v>B25013568</v>
          </cell>
          <cell r="F3640"/>
          <cell r="G3640">
            <v>45000000</v>
          </cell>
          <cell r="H3640" t="str">
            <v>Ariyani</v>
          </cell>
          <cell r="I3640" t="str">
            <v>Fira</v>
          </cell>
          <cell r="J3640"/>
          <cell r="K3640" t="str">
            <v>KU</v>
          </cell>
          <cell r="L3640" t="str">
            <v>JOYO04</v>
          </cell>
          <cell r="M3640" t="str">
            <v>Joyo Tani Makmur, UD</v>
          </cell>
          <cell r="N3640" t="str">
            <v>Sugiono</v>
          </cell>
          <cell r="O3640" t="str">
            <v>Desa Gelang RT 03/02 Kec. Tulangan</v>
          </cell>
          <cell r="P3640" t="str">
            <v>Sidoarjo</v>
          </cell>
          <cell r="Q3640" t="str">
            <v>Gelang Tulangan</v>
          </cell>
          <cell r="R3640" t="str">
            <v>Sidoarjo</v>
          </cell>
          <cell r="S3640" t="str">
            <v>F Utara1</v>
          </cell>
          <cell r="T3640" t="str">
            <v>Tomi</v>
          </cell>
          <cell r="U3640">
            <v>30</v>
          </cell>
        </row>
        <row r="3641">
          <cell r="E3641" t="str">
            <v>D25013831</v>
          </cell>
          <cell r="F3641"/>
          <cell r="G3641">
            <v>75000000</v>
          </cell>
          <cell r="H3641" t="str">
            <v>Yuyun</v>
          </cell>
          <cell r="I3641" t="str">
            <v>Farida</v>
          </cell>
          <cell r="J3641" t="str">
            <v>New 20/08/25</v>
          </cell>
          <cell r="K3641" t="str">
            <v>KU</v>
          </cell>
          <cell r="L3641" t="str">
            <v>JOYO09</v>
          </cell>
          <cell r="M3641" t="str">
            <v>Joyo Tani/Wiwik</v>
          </cell>
          <cell r="N3641" t="str">
            <v>Wiwik Sestu Rahayu</v>
          </cell>
          <cell r="O3641" t="str">
            <v>Dusun karang Anyar RT.003/RW,006, Kel. Rowotamtu, Kec. Rambipuji</v>
          </cell>
          <cell r="P3641" t="str">
            <v>Jember</v>
          </cell>
          <cell r="Q3641" t="str">
            <v>Glagah Weroh, Panti</v>
          </cell>
          <cell r="R3641" t="str">
            <v>Jember</v>
          </cell>
          <cell r="S3641" t="str">
            <v>L Kota1</v>
          </cell>
          <cell r="T3641" t="str">
            <v>Wira</v>
          </cell>
          <cell r="U3641">
            <v>30</v>
          </cell>
        </row>
        <row r="3642">
          <cell r="E3642" t="str">
            <v>D25013846</v>
          </cell>
          <cell r="F3642"/>
          <cell r="G3642">
            <v>75000000</v>
          </cell>
          <cell r="H3642" t="str">
            <v>Yuyun</v>
          </cell>
          <cell r="I3642" t="str">
            <v>Farida</v>
          </cell>
          <cell r="J3642" t="str">
            <v>New 20/08/25</v>
          </cell>
          <cell r="K3642" t="str">
            <v>KU</v>
          </cell>
          <cell r="L3642" t="str">
            <v>JOYO09</v>
          </cell>
          <cell r="M3642" t="str">
            <v>Joyo Tani/Wiwik</v>
          </cell>
          <cell r="N3642" t="str">
            <v>Wiwik Sestu Rahayu</v>
          </cell>
          <cell r="O3642" t="str">
            <v>Dusun karang Anyar RT.003/RW,006, Kel. Rowotamtu, Kec. Rambipuji</v>
          </cell>
          <cell r="P3642" t="str">
            <v>Jember</v>
          </cell>
          <cell r="Q3642" t="str">
            <v>Glagah Weroh, Panti</v>
          </cell>
          <cell r="R3642" t="str">
            <v>Jember</v>
          </cell>
          <cell r="S3642" t="str">
            <v>L Kota1</v>
          </cell>
          <cell r="T3642" t="str">
            <v>Wira</v>
          </cell>
          <cell r="U3642">
            <v>30</v>
          </cell>
        </row>
        <row r="3643">
          <cell r="E3643" t="str">
            <v>D25013846</v>
          </cell>
          <cell r="F3643"/>
          <cell r="G3643">
            <v>75000000</v>
          </cell>
          <cell r="H3643" t="str">
            <v>Yuyun</v>
          </cell>
          <cell r="I3643" t="str">
            <v>Farida</v>
          </cell>
          <cell r="J3643" t="str">
            <v>New 20/08/25</v>
          </cell>
          <cell r="K3643" t="str">
            <v>KU</v>
          </cell>
          <cell r="L3643" t="str">
            <v>JOYO09</v>
          </cell>
          <cell r="M3643" t="str">
            <v>Joyo Tani/Wiwik</v>
          </cell>
          <cell r="N3643" t="str">
            <v>Wiwik Sestu Rahayu</v>
          </cell>
          <cell r="O3643" t="str">
            <v>Dusun karang Anyar RT.003/RW,006, Kel. Rowotamtu, Kec. Rambipuji</v>
          </cell>
          <cell r="P3643" t="str">
            <v>Jember</v>
          </cell>
          <cell r="Q3643" t="str">
            <v>Glagah Weroh, Panti</v>
          </cell>
          <cell r="R3643" t="str">
            <v>Jember</v>
          </cell>
          <cell r="S3643" t="str">
            <v>L Kota1</v>
          </cell>
          <cell r="T3643" t="str">
            <v>Wira</v>
          </cell>
          <cell r="U3643">
            <v>30</v>
          </cell>
        </row>
        <row r="3644">
          <cell r="E3644" t="str">
            <v>D25014382</v>
          </cell>
          <cell r="F3644"/>
          <cell r="G3644">
            <v>75000000</v>
          </cell>
          <cell r="H3644" t="str">
            <v>Yuyun</v>
          </cell>
          <cell r="I3644" t="str">
            <v>Farida</v>
          </cell>
          <cell r="J3644" t="str">
            <v>New 20/08/25</v>
          </cell>
          <cell r="K3644" t="str">
            <v>KU</v>
          </cell>
          <cell r="L3644" t="str">
            <v>JOYO09</v>
          </cell>
          <cell r="M3644" t="str">
            <v>Joyo Tani/Wiwik</v>
          </cell>
          <cell r="N3644" t="str">
            <v>Wiwik Sestu Rahayu</v>
          </cell>
          <cell r="O3644" t="str">
            <v>Dusun karang Anyar RT.003/RW,006, Kel. Rowotamtu, Kec. Rambipuji</v>
          </cell>
          <cell r="P3644" t="str">
            <v>Jember</v>
          </cell>
          <cell r="Q3644" t="str">
            <v>Glagah Weroh, Panti</v>
          </cell>
          <cell r="R3644" t="str">
            <v>Jember</v>
          </cell>
          <cell r="S3644" t="str">
            <v>L Kota1</v>
          </cell>
          <cell r="T3644" t="str">
            <v>Wira</v>
          </cell>
          <cell r="U3644">
            <v>30</v>
          </cell>
        </row>
        <row r="3645">
          <cell r="E3645" t="str">
            <v>D25014997</v>
          </cell>
          <cell r="F3645"/>
          <cell r="G3645">
            <v>75000000</v>
          </cell>
          <cell r="H3645" t="str">
            <v>Yuyun</v>
          </cell>
          <cell r="I3645" t="str">
            <v>Farida</v>
          </cell>
          <cell r="J3645" t="str">
            <v>New 20/08/25</v>
          </cell>
          <cell r="K3645" t="str">
            <v>KU</v>
          </cell>
          <cell r="L3645" t="str">
            <v>JOYO09</v>
          </cell>
          <cell r="M3645" t="str">
            <v>Joyo Tani/Wiwik</v>
          </cell>
          <cell r="N3645" t="str">
            <v>Wiwik Sestu Rahayu</v>
          </cell>
          <cell r="O3645" t="str">
            <v>Dusun karang Anyar RT.003/RW,006, Kel. Rowotamtu, Kec. Rambipuji</v>
          </cell>
          <cell r="P3645" t="str">
            <v>Jember</v>
          </cell>
          <cell r="Q3645" t="str">
            <v>Glagah Weroh, Panti</v>
          </cell>
          <cell r="R3645" t="str">
            <v>Jember</v>
          </cell>
          <cell r="S3645" t="str">
            <v>L Kota1</v>
          </cell>
          <cell r="T3645" t="str">
            <v>Wira</v>
          </cell>
          <cell r="U3645">
            <v>30</v>
          </cell>
        </row>
        <row r="3646">
          <cell r="E3646" t="str">
            <v>D25015034</v>
          </cell>
          <cell r="F3646"/>
          <cell r="G3646">
            <v>75000000</v>
          </cell>
          <cell r="H3646" t="str">
            <v>Yuyun</v>
          </cell>
          <cell r="I3646" t="str">
            <v>Farida</v>
          </cell>
          <cell r="J3646" t="str">
            <v>New 20/08/25</v>
          </cell>
          <cell r="K3646" t="str">
            <v>KU</v>
          </cell>
          <cell r="L3646" t="str">
            <v>JOYO09</v>
          </cell>
          <cell r="M3646" t="str">
            <v>Joyo Tani/Wiwik</v>
          </cell>
          <cell r="N3646" t="str">
            <v>Wiwik Sestu Rahayu</v>
          </cell>
          <cell r="O3646" t="str">
            <v>Dusun karang Anyar RT.003/RW,006, Kel. Rowotamtu, Kec. Rambipuji</v>
          </cell>
          <cell r="P3646" t="str">
            <v>Jember</v>
          </cell>
          <cell r="Q3646" t="str">
            <v>Glagah Weroh, Panti</v>
          </cell>
          <cell r="R3646" t="str">
            <v>Jember</v>
          </cell>
          <cell r="S3646" t="str">
            <v>L Kota1</v>
          </cell>
          <cell r="T3646" t="str">
            <v>Wira</v>
          </cell>
          <cell r="U3646">
            <v>30</v>
          </cell>
        </row>
        <row r="3647">
          <cell r="E3647" t="str">
            <v>D25016119</v>
          </cell>
          <cell r="F3647"/>
          <cell r="G3647">
            <v>75000000</v>
          </cell>
          <cell r="H3647" t="str">
            <v>Yuyun</v>
          </cell>
          <cell r="I3647" t="str">
            <v>Farida</v>
          </cell>
          <cell r="J3647" t="str">
            <v>New 20/08/25</v>
          </cell>
          <cell r="K3647" t="str">
            <v>KU</v>
          </cell>
          <cell r="L3647" t="str">
            <v>JOYO09</v>
          </cell>
          <cell r="M3647" t="str">
            <v>Joyo Tani/Wiwik</v>
          </cell>
          <cell r="N3647" t="str">
            <v>Wiwik Sestu Rahayu</v>
          </cell>
          <cell r="O3647" t="str">
            <v>Dusun karang Anyar RT.003/RW,006, Kel. Rowotamtu, Kec. Rambipuji</v>
          </cell>
          <cell r="P3647" t="str">
            <v>Jember</v>
          </cell>
          <cell r="Q3647" t="str">
            <v>Glagah Weroh, Panti</v>
          </cell>
          <cell r="R3647" t="str">
            <v>Jember</v>
          </cell>
          <cell r="S3647" t="str">
            <v>L Kota1</v>
          </cell>
          <cell r="T3647" t="str">
            <v>Wira</v>
          </cell>
          <cell r="U3647">
            <v>30</v>
          </cell>
        </row>
        <row r="3648">
          <cell r="E3648" t="str">
            <v>B25012516</v>
          </cell>
          <cell r="F3648"/>
          <cell r="G3648">
            <v>1000</v>
          </cell>
          <cell r="H3648" t="str">
            <v>Ariyani</v>
          </cell>
          <cell r="I3648" t="str">
            <v>Fira</v>
          </cell>
          <cell r="J3648" t="str">
            <v>New 14/03/2025</v>
          </cell>
          <cell r="K3648" t="str">
            <v>COD</v>
          </cell>
          <cell r="L3648" t="str">
            <v>JUJU04</v>
          </cell>
          <cell r="M3648" t="str">
            <v>Jujur Jaya/Mul</v>
          </cell>
          <cell r="N3648" t="str">
            <v>Hadi Suryo Mulyono</v>
          </cell>
          <cell r="O3648" t="str">
            <v>Taman Muding Mekar E/8 Link. Kesambi RT.000/RW.000 , Kel. Kerobokan Kec. Kuta Utara</v>
          </cell>
          <cell r="P3648" t="str">
            <v>Badung</v>
          </cell>
          <cell r="Q3648" t="str">
            <v>Jalan Ambulu Watu Ulo Km 5 , Kel. Krajan Sabrang Kec. Ambulu</v>
          </cell>
          <cell r="R3648" t="str">
            <v xml:space="preserve">Jember </v>
          </cell>
          <cell r="S3648" t="str">
            <v>L Kota2</v>
          </cell>
          <cell r="T3648" t="str">
            <v>Efendi</v>
          </cell>
          <cell r="U3648">
            <v>0</v>
          </cell>
        </row>
        <row r="3649">
          <cell r="E3649" t="str">
            <v>B25013400</v>
          </cell>
          <cell r="F3649"/>
          <cell r="G3649">
            <v>1000</v>
          </cell>
          <cell r="H3649" t="str">
            <v>Ariyani</v>
          </cell>
          <cell r="I3649" t="str">
            <v>Fira</v>
          </cell>
          <cell r="J3649" t="str">
            <v>New 14/03/2025</v>
          </cell>
          <cell r="K3649" t="str">
            <v>COD</v>
          </cell>
          <cell r="L3649" t="str">
            <v>JUJU04</v>
          </cell>
          <cell r="M3649" t="str">
            <v>Jujur Jaya/Mul</v>
          </cell>
          <cell r="N3649" t="str">
            <v>Hadi Suryo Mulyono</v>
          </cell>
          <cell r="O3649" t="str">
            <v>Taman Muding Mekar E/8 Link. Kesambi RT.000/RW.000 , Kel. Kerobokan Kec. Kuta Utara</v>
          </cell>
          <cell r="P3649" t="str">
            <v>Badung</v>
          </cell>
          <cell r="Q3649" t="str">
            <v>Jalan Ambulu Watu Ulo Km 5 , Kel. Krajan Sabrang Kec. Ambulu</v>
          </cell>
          <cell r="R3649" t="str">
            <v xml:space="preserve">Jember </v>
          </cell>
          <cell r="S3649" t="str">
            <v>L Kota2</v>
          </cell>
          <cell r="T3649" t="str">
            <v>Efendi</v>
          </cell>
          <cell r="U3649">
            <v>0</v>
          </cell>
        </row>
        <row r="3650">
          <cell r="E3650" t="str">
            <v>D25014872</v>
          </cell>
          <cell r="F3650"/>
          <cell r="G3650">
            <v>65000000</v>
          </cell>
          <cell r="H3650" t="str">
            <v>Ariyani</v>
          </cell>
          <cell r="I3650" t="str">
            <v>Fira</v>
          </cell>
          <cell r="J3650"/>
          <cell r="K3650" t="str">
            <v>KU</v>
          </cell>
          <cell r="L3650" t="str">
            <v>JUNA02</v>
          </cell>
          <cell r="M3650" t="str">
            <v>Junaidi Ginting</v>
          </cell>
          <cell r="N3650" t="str">
            <v>Junaidi Ginting</v>
          </cell>
          <cell r="O3650" t="str">
            <v>Jl. Merbabu M-8, RT.007/RW.009 Kel. Kepuh Kiriman, Kec. Waru</v>
          </cell>
          <cell r="P3650" t="str">
            <v>Sidoarjo</v>
          </cell>
          <cell r="Q3650" t="str">
            <v>Jl. Merbabu M-8 Kepuh Permai Waru</v>
          </cell>
          <cell r="R3650" t="str">
            <v>Sidoarjo</v>
          </cell>
          <cell r="S3650" t="str">
            <v>F Utara1</v>
          </cell>
          <cell r="T3650" t="str">
            <v>Tomi</v>
          </cell>
          <cell r="U3650">
            <v>30</v>
          </cell>
        </row>
        <row r="3651">
          <cell r="E3651" t="str">
            <v>B25013110</v>
          </cell>
          <cell r="F3651"/>
          <cell r="G3651">
            <v>1000</v>
          </cell>
          <cell r="H3651" t="str">
            <v>Faris</v>
          </cell>
          <cell r="I3651" t="str">
            <v>Syahra</v>
          </cell>
          <cell r="J3651" t="str">
            <v>New 19/03/25</v>
          </cell>
          <cell r="K3651" t="str">
            <v>CBD</v>
          </cell>
          <cell r="L3651" t="str">
            <v>KABU01</v>
          </cell>
          <cell r="M3651" t="str">
            <v>Kabul Jaya</v>
          </cell>
          <cell r="N3651" t="str">
            <v>Supriono</v>
          </cell>
          <cell r="O3651" t="str">
            <v>Dusun Pecemengan RT.004/RW.001 , Kel. Buluagung Kec. Siliragung</v>
          </cell>
          <cell r="P3651" t="str">
            <v>Banyuwangi</v>
          </cell>
          <cell r="Q3651" t="str">
            <v>Dusun Pecemengan RT.004/RW.001 , Kel. Buluagung Kec. Siliragung</v>
          </cell>
          <cell r="R3651" t="str">
            <v xml:space="preserve">Banyuwangi </v>
          </cell>
          <cell r="S3651" t="str">
            <v>H Bwi4</v>
          </cell>
          <cell r="T3651" t="str">
            <v>Hafid</v>
          </cell>
          <cell r="U3651">
            <v>0</v>
          </cell>
        </row>
        <row r="3652">
          <cell r="E3652" t="str">
            <v>T25000698</v>
          </cell>
          <cell r="F3652"/>
          <cell r="G3652">
            <v>1000</v>
          </cell>
          <cell r="H3652" t="str">
            <v>Yuyun</v>
          </cell>
          <cell r="I3652" t="str">
            <v>Syahra</v>
          </cell>
          <cell r="J3652" t="str">
            <v>New 02/06/23</v>
          </cell>
          <cell r="K3652" t="str">
            <v>KU</v>
          </cell>
          <cell r="L3652" t="str">
            <v>KALA01</v>
          </cell>
          <cell r="M3652" t="str">
            <v>Kalatham, PT</v>
          </cell>
          <cell r="N3652" t="str">
            <v>Kalatham, PT</v>
          </cell>
          <cell r="O3652" t="str">
            <v>Jl. Raden Saleh I No. 15B, Kenari, Senen</v>
          </cell>
          <cell r="P3652" t="str">
            <v>Jakarta Pusat</v>
          </cell>
          <cell r="Q3652" t="str">
            <v>Jl. Raden Saleh I No. 15B, Kenari, Senen</v>
          </cell>
          <cell r="R3652" t="str">
            <v xml:space="preserve">Jakarta Pusat </v>
          </cell>
          <cell r="S3652" t="str">
            <v>B Agronomis</v>
          </cell>
          <cell r="T3652" t="str">
            <v>Non SE &amp; JSE</v>
          </cell>
          <cell r="U3652">
            <v>0</v>
          </cell>
        </row>
        <row r="3653">
          <cell r="E3653" t="str">
            <v>T25000700</v>
          </cell>
          <cell r="F3653"/>
          <cell r="G3653">
            <v>1000</v>
          </cell>
          <cell r="H3653" t="str">
            <v>Yuyun</v>
          </cell>
          <cell r="I3653" t="str">
            <v>Syahra</v>
          </cell>
          <cell r="J3653" t="str">
            <v>New 02/06/23</v>
          </cell>
          <cell r="K3653" t="str">
            <v>KU</v>
          </cell>
          <cell r="L3653" t="str">
            <v>KALA01</v>
          </cell>
          <cell r="M3653" t="str">
            <v>Kalatham, PT</v>
          </cell>
          <cell r="N3653" t="str">
            <v>Kalatham, PT</v>
          </cell>
          <cell r="O3653" t="str">
            <v>Jl. Raden Saleh I No. 15B, Kenari, Senen</v>
          </cell>
          <cell r="P3653" t="str">
            <v>Jakarta Pusat</v>
          </cell>
          <cell r="Q3653" t="str">
            <v>Jl. Raden Saleh I No. 15B, Kenari, Senen</v>
          </cell>
          <cell r="R3653" t="str">
            <v xml:space="preserve">Jakarta Pusat </v>
          </cell>
          <cell r="S3653" t="str">
            <v>B Agronomis</v>
          </cell>
          <cell r="T3653" t="str">
            <v>Non SE &amp; JSE</v>
          </cell>
          <cell r="U3653">
            <v>0</v>
          </cell>
        </row>
        <row r="3654">
          <cell r="E3654" t="str">
            <v>B25008457</v>
          </cell>
          <cell r="F3654"/>
          <cell r="G3654">
            <v>100000000</v>
          </cell>
          <cell r="H3654" t="str">
            <v>Reni</v>
          </cell>
          <cell r="I3654" t="str">
            <v>Farida</v>
          </cell>
          <cell r="J3654" t="str">
            <v>New 13/11/20</v>
          </cell>
          <cell r="K3654" t="str">
            <v>KU</v>
          </cell>
          <cell r="L3654" t="str">
            <v>KAMP01</v>
          </cell>
          <cell r="M3654" t="str">
            <v>Kampung Tani/Aguk</v>
          </cell>
          <cell r="N3654" t="str">
            <v>Aguk Purwanto</v>
          </cell>
          <cell r="O3654" t="str">
            <v>Jentir, RT.001/RW.002, Kel. Ngangkatan, Kec. Rejoso</v>
          </cell>
          <cell r="P3654" t="str">
            <v>Nganjuk</v>
          </cell>
          <cell r="Q3654" t="str">
            <v>Jentir, RT.001/RW.002, Kel. Ngangkatan, Kec. Rejoso</v>
          </cell>
          <cell r="R3654" t="str">
            <v>Nganjuk</v>
          </cell>
          <cell r="S3654" t="str">
            <v>D Barat1</v>
          </cell>
          <cell r="T3654" t="str">
            <v>Dian</v>
          </cell>
          <cell r="U3654">
            <v>60</v>
          </cell>
        </row>
        <row r="3655">
          <cell r="E3655" t="str">
            <v>D25010543</v>
          </cell>
          <cell r="F3655"/>
          <cell r="G3655">
            <v>100000000</v>
          </cell>
          <cell r="H3655" t="str">
            <v>Reni</v>
          </cell>
          <cell r="I3655" t="str">
            <v>Farida</v>
          </cell>
          <cell r="J3655" t="str">
            <v>New 13/11/20</v>
          </cell>
          <cell r="K3655" t="str">
            <v>KU</v>
          </cell>
          <cell r="L3655" t="str">
            <v>KAMP01</v>
          </cell>
          <cell r="M3655" t="str">
            <v>Kampung Tani/Aguk</v>
          </cell>
          <cell r="N3655" t="str">
            <v>Aguk Purwanto</v>
          </cell>
          <cell r="O3655" t="str">
            <v>Jentir, RT.001/RW.002, Kel. Ngangkatan, Kec. Rejoso</v>
          </cell>
          <cell r="P3655" t="str">
            <v>Nganjuk</v>
          </cell>
          <cell r="Q3655" t="str">
            <v>Jentir, RT.001/RW.002, Kel. Ngangkatan, Kec. Rejoso</v>
          </cell>
          <cell r="R3655" t="str">
            <v>Nganjuk</v>
          </cell>
          <cell r="S3655" t="str">
            <v>D Barat1</v>
          </cell>
          <cell r="T3655" t="str">
            <v>Dian</v>
          </cell>
          <cell r="U3655">
            <v>60</v>
          </cell>
        </row>
        <row r="3656">
          <cell r="E3656" t="str">
            <v>D25010554</v>
          </cell>
          <cell r="F3656"/>
          <cell r="G3656">
            <v>100000000</v>
          </cell>
          <cell r="H3656" t="str">
            <v>Reni</v>
          </cell>
          <cell r="I3656" t="str">
            <v>Farida</v>
          </cell>
          <cell r="J3656" t="str">
            <v>New 13/11/20</v>
          </cell>
          <cell r="K3656" t="str">
            <v>KU</v>
          </cell>
          <cell r="L3656" t="str">
            <v>KAMP01</v>
          </cell>
          <cell r="M3656" t="str">
            <v>Kampung Tani/Aguk</v>
          </cell>
          <cell r="N3656" t="str">
            <v>Aguk Purwanto</v>
          </cell>
          <cell r="O3656" t="str">
            <v>Jentir, RT.001/RW.002, Kel. Ngangkatan, Kec. Rejoso</v>
          </cell>
          <cell r="P3656" t="str">
            <v>Nganjuk</v>
          </cell>
          <cell r="Q3656" t="str">
            <v>Jentir, RT.001/RW.002, Kel. Ngangkatan, Kec. Rejoso</v>
          </cell>
          <cell r="R3656" t="str">
            <v>Nganjuk</v>
          </cell>
          <cell r="S3656" t="str">
            <v>D Barat1</v>
          </cell>
          <cell r="T3656" t="str">
            <v>Dian</v>
          </cell>
          <cell r="U3656">
            <v>60</v>
          </cell>
        </row>
        <row r="3657">
          <cell r="E3657" t="str">
            <v>D25010704</v>
          </cell>
          <cell r="F3657"/>
          <cell r="G3657">
            <v>100000000</v>
          </cell>
          <cell r="H3657" t="str">
            <v>Reni</v>
          </cell>
          <cell r="I3657" t="str">
            <v>Farida</v>
          </cell>
          <cell r="J3657" t="str">
            <v>New 13/11/20</v>
          </cell>
          <cell r="K3657" t="str">
            <v>KU</v>
          </cell>
          <cell r="L3657" t="str">
            <v>KAMP01</v>
          </cell>
          <cell r="M3657" t="str">
            <v>Kampung Tani/Aguk</v>
          </cell>
          <cell r="N3657" t="str">
            <v>Aguk Purwanto</v>
          </cell>
          <cell r="O3657" t="str">
            <v>Jentir, RT.001/RW.002, Kel. Ngangkatan, Kec. Rejoso</v>
          </cell>
          <cell r="P3657" t="str">
            <v>Nganjuk</v>
          </cell>
          <cell r="Q3657" t="str">
            <v>Jentir, RT.001/RW.002, Kel. Ngangkatan, Kec. Rejoso</v>
          </cell>
          <cell r="R3657" t="str">
            <v>Nganjuk</v>
          </cell>
          <cell r="S3657" t="str">
            <v>D Barat1</v>
          </cell>
          <cell r="T3657" t="str">
            <v>Dian</v>
          </cell>
          <cell r="U3657">
            <v>60</v>
          </cell>
        </row>
        <row r="3658">
          <cell r="E3658" t="str">
            <v>D25010704</v>
          </cell>
          <cell r="F3658"/>
          <cell r="G3658">
            <v>100000000</v>
          </cell>
          <cell r="H3658" t="str">
            <v>Reni</v>
          </cell>
          <cell r="I3658" t="str">
            <v>Farida</v>
          </cell>
          <cell r="J3658" t="str">
            <v>New 13/11/20</v>
          </cell>
          <cell r="K3658" t="str">
            <v>KU</v>
          </cell>
          <cell r="L3658" t="str">
            <v>KAMP01</v>
          </cell>
          <cell r="M3658" t="str">
            <v>Kampung Tani/Aguk</v>
          </cell>
          <cell r="N3658" t="str">
            <v>Aguk Purwanto</v>
          </cell>
          <cell r="O3658" t="str">
            <v>Jentir, RT.001/RW.002, Kel. Ngangkatan, Kec. Rejoso</v>
          </cell>
          <cell r="P3658" t="str">
            <v>Nganjuk</v>
          </cell>
          <cell r="Q3658" t="str">
            <v>Jentir, RT.001/RW.002, Kel. Ngangkatan, Kec. Rejoso</v>
          </cell>
          <cell r="R3658" t="str">
            <v>Nganjuk</v>
          </cell>
          <cell r="S3658" t="str">
            <v>D Barat1</v>
          </cell>
          <cell r="T3658" t="str">
            <v>Dian</v>
          </cell>
          <cell r="U3658">
            <v>60</v>
          </cell>
        </row>
        <row r="3659">
          <cell r="E3659" t="str">
            <v>T25001117</v>
          </cell>
          <cell r="F3659"/>
          <cell r="G3659">
            <v>100000000</v>
          </cell>
          <cell r="H3659" t="str">
            <v>Reni</v>
          </cell>
          <cell r="I3659" t="str">
            <v>Farida</v>
          </cell>
          <cell r="J3659" t="str">
            <v>New 13/11/20</v>
          </cell>
          <cell r="K3659" t="str">
            <v>KU</v>
          </cell>
          <cell r="L3659" t="str">
            <v>KAMP01</v>
          </cell>
          <cell r="M3659" t="str">
            <v>Kampung Tani/Aguk</v>
          </cell>
          <cell r="N3659" t="str">
            <v>Aguk Purwanto</v>
          </cell>
          <cell r="O3659" t="str">
            <v>Jentir, RT.001/RW.002, Kel. Ngangkatan, Kec. Rejoso</v>
          </cell>
          <cell r="P3659" t="str">
            <v>Nganjuk</v>
          </cell>
          <cell r="Q3659" t="str">
            <v>Jentir, RT.001/RW.002, Kel. Ngangkatan, Kec. Rejoso</v>
          </cell>
          <cell r="R3659" t="str">
            <v>Nganjuk</v>
          </cell>
          <cell r="S3659" t="str">
            <v>D Barat1</v>
          </cell>
          <cell r="T3659" t="str">
            <v>Dian</v>
          </cell>
          <cell r="U3659">
            <v>60</v>
          </cell>
        </row>
        <row r="3660">
          <cell r="E3660" t="str">
            <v>T25001117</v>
          </cell>
          <cell r="F3660"/>
          <cell r="G3660">
            <v>100000000</v>
          </cell>
          <cell r="H3660" t="str">
            <v>Reni</v>
          </cell>
          <cell r="I3660" t="str">
            <v>Farida</v>
          </cell>
          <cell r="J3660" t="str">
            <v>New 13/11/20</v>
          </cell>
          <cell r="K3660" t="str">
            <v>KU</v>
          </cell>
          <cell r="L3660" t="str">
            <v>KAMP01</v>
          </cell>
          <cell r="M3660" t="str">
            <v>Kampung Tani/Aguk</v>
          </cell>
          <cell r="N3660" t="str">
            <v>Aguk Purwanto</v>
          </cell>
          <cell r="O3660" t="str">
            <v>Jentir, RT.001/RW.002, Kel. Ngangkatan, Kec. Rejoso</v>
          </cell>
          <cell r="P3660" t="str">
            <v>Nganjuk</v>
          </cell>
          <cell r="Q3660" t="str">
            <v>Jentir, RT.001/RW.002, Kel. Ngangkatan, Kec. Rejoso</v>
          </cell>
          <cell r="R3660" t="str">
            <v>Nganjuk</v>
          </cell>
          <cell r="S3660" t="str">
            <v>D Barat1</v>
          </cell>
          <cell r="T3660" t="str">
            <v>Dian</v>
          </cell>
          <cell r="U3660">
            <v>60</v>
          </cell>
        </row>
        <row r="3661">
          <cell r="E3661" t="str">
            <v>B25009136</v>
          </cell>
          <cell r="F3661"/>
          <cell r="G3661">
            <v>100000000</v>
          </cell>
          <cell r="H3661" t="str">
            <v>Reni</v>
          </cell>
          <cell r="I3661" t="str">
            <v>Farida</v>
          </cell>
          <cell r="J3661" t="str">
            <v>New 13/11/20</v>
          </cell>
          <cell r="K3661" t="str">
            <v>KU</v>
          </cell>
          <cell r="L3661" t="str">
            <v>KAMP01</v>
          </cell>
          <cell r="M3661" t="str">
            <v>Kampung Tani/Aguk</v>
          </cell>
          <cell r="N3661" t="str">
            <v>Aguk Purwanto</v>
          </cell>
          <cell r="O3661" t="str">
            <v>Jentir, RT.001/RW.002, Kel. Ngangkatan, Kec. Rejoso</v>
          </cell>
          <cell r="P3661" t="str">
            <v>Nganjuk</v>
          </cell>
          <cell r="Q3661" t="str">
            <v>Jentir, RT.001/RW.002, Kel. Ngangkatan, Kec. Rejoso</v>
          </cell>
          <cell r="R3661" t="str">
            <v>Nganjuk</v>
          </cell>
          <cell r="S3661" t="str">
            <v>D Barat1</v>
          </cell>
          <cell r="T3661" t="str">
            <v>Dian</v>
          </cell>
          <cell r="U3661">
            <v>60</v>
          </cell>
        </row>
        <row r="3662">
          <cell r="E3662" t="str">
            <v>B25009136</v>
          </cell>
          <cell r="F3662"/>
          <cell r="G3662">
            <v>100000000</v>
          </cell>
          <cell r="H3662" t="str">
            <v>Reni</v>
          </cell>
          <cell r="I3662" t="str">
            <v>Farida</v>
          </cell>
          <cell r="J3662" t="str">
            <v>New 13/11/20</v>
          </cell>
          <cell r="K3662" t="str">
            <v>KU</v>
          </cell>
          <cell r="L3662" t="str">
            <v>KAMP01</v>
          </cell>
          <cell r="M3662" t="str">
            <v>Kampung Tani/Aguk</v>
          </cell>
          <cell r="N3662" t="str">
            <v>Aguk Purwanto</v>
          </cell>
          <cell r="O3662" t="str">
            <v>Jentir, RT.001/RW.002, Kel. Ngangkatan, Kec. Rejoso</v>
          </cell>
          <cell r="P3662" t="str">
            <v>Nganjuk</v>
          </cell>
          <cell r="Q3662" t="str">
            <v>Jentir, RT.001/RW.002, Kel. Ngangkatan, Kec. Rejoso</v>
          </cell>
          <cell r="R3662" t="str">
            <v>Nganjuk</v>
          </cell>
          <cell r="S3662" t="str">
            <v>D Barat1</v>
          </cell>
          <cell r="T3662" t="str">
            <v>Dian</v>
          </cell>
          <cell r="U3662">
            <v>60</v>
          </cell>
        </row>
        <row r="3663">
          <cell r="E3663" t="str">
            <v>B25009142</v>
          </cell>
          <cell r="F3663"/>
          <cell r="G3663">
            <v>100000000</v>
          </cell>
          <cell r="H3663" t="str">
            <v>Reni</v>
          </cell>
          <cell r="I3663" t="str">
            <v>Farida</v>
          </cell>
          <cell r="J3663" t="str">
            <v>New 13/11/20</v>
          </cell>
          <cell r="K3663" t="str">
            <v>KU</v>
          </cell>
          <cell r="L3663" t="str">
            <v>KAMP01</v>
          </cell>
          <cell r="M3663" t="str">
            <v>Kampung Tani/Aguk</v>
          </cell>
          <cell r="N3663" t="str">
            <v>Aguk Purwanto</v>
          </cell>
          <cell r="O3663" t="str">
            <v>Jentir, RT.001/RW.002, Kel. Ngangkatan, Kec. Rejoso</v>
          </cell>
          <cell r="P3663" t="str">
            <v>Nganjuk</v>
          </cell>
          <cell r="Q3663" t="str">
            <v>Jentir, RT.001/RW.002, Kel. Ngangkatan, Kec. Rejoso</v>
          </cell>
          <cell r="R3663" t="str">
            <v>Nganjuk</v>
          </cell>
          <cell r="S3663" t="str">
            <v>D Barat1</v>
          </cell>
          <cell r="T3663" t="str">
            <v>Dian</v>
          </cell>
          <cell r="U3663">
            <v>60</v>
          </cell>
        </row>
        <row r="3664">
          <cell r="E3664" t="str">
            <v>B25009349</v>
          </cell>
          <cell r="F3664"/>
          <cell r="G3664">
            <v>100000000</v>
          </cell>
          <cell r="H3664" t="str">
            <v>Reni</v>
          </cell>
          <cell r="I3664" t="str">
            <v>Farida</v>
          </cell>
          <cell r="J3664" t="str">
            <v>New 13/11/20</v>
          </cell>
          <cell r="K3664" t="str">
            <v>KU</v>
          </cell>
          <cell r="L3664" t="str">
            <v>KAMP01</v>
          </cell>
          <cell r="M3664" t="str">
            <v>Kampung Tani/Aguk</v>
          </cell>
          <cell r="N3664" t="str">
            <v>Aguk Purwanto</v>
          </cell>
          <cell r="O3664" t="str">
            <v>Jentir, RT.001/RW.002, Kel. Ngangkatan, Kec. Rejoso</v>
          </cell>
          <cell r="P3664" t="str">
            <v>Nganjuk</v>
          </cell>
          <cell r="Q3664" t="str">
            <v>Jentir, RT.001/RW.002, Kel. Ngangkatan, Kec. Rejoso</v>
          </cell>
          <cell r="R3664" t="str">
            <v>Nganjuk</v>
          </cell>
          <cell r="S3664" t="str">
            <v>D Barat1</v>
          </cell>
          <cell r="T3664" t="str">
            <v>Dian</v>
          </cell>
          <cell r="U3664">
            <v>60</v>
          </cell>
        </row>
        <row r="3665">
          <cell r="E3665" t="str">
            <v>B25009507</v>
          </cell>
          <cell r="F3665"/>
          <cell r="G3665">
            <v>100000000</v>
          </cell>
          <cell r="H3665" t="str">
            <v>Reni</v>
          </cell>
          <cell r="I3665" t="str">
            <v>Farida</v>
          </cell>
          <cell r="J3665" t="str">
            <v>New 13/11/20</v>
          </cell>
          <cell r="K3665" t="str">
            <v>KU</v>
          </cell>
          <cell r="L3665" t="str">
            <v>KAMP01</v>
          </cell>
          <cell r="M3665" t="str">
            <v>Kampung Tani/Aguk</v>
          </cell>
          <cell r="N3665" t="str">
            <v>Aguk Purwanto</v>
          </cell>
          <cell r="O3665" t="str">
            <v>Jentir, RT.001/RW.002, Kel. Ngangkatan, Kec. Rejoso</v>
          </cell>
          <cell r="P3665" t="str">
            <v>Nganjuk</v>
          </cell>
          <cell r="Q3665" t="str">
            <v>Jentir, RT.001/RW.002, Kel. Ngangkatan, Kec. Rejoso</v>
          </cell>
          <cell r="R3665" t="str">
            <v>Nganjuk</v>
          </cell>
          <cell r="S3665" t="str">
            <v>D Barat1</v>
          </cell>
          <cell r="T3665" t="str">
            <v>Dian</v>
          </cell>
          <cell r="U3665">
            <v>60</v>
          </cell>
        </row>
        <row r="3666">
          <cell r="E3666" t="str">
            <v>B25009507</v>
          </cell>
          <cell r="F3666"/>
          <cell r="G3666">
            <v>100000000</v>
          </cell>
          <cell r="H3666" t="str">
            <v>Reni</v>
          </cell>
          <cell r="I3666" t="str">
            <v>Farida</v>
          </cell>
          <cell r="J3666" t="str">
            <v>New 13/11/20</v>
          </cell>
          <cell r="K3666" t="str">
            <v>KU</v>
          </cell>
          <cell r="L3666" t="str">
            <v>KAMP01</v>
          </cell>
          <cell r="M3666" t="str">
            <v>Kampung Tani/Aguk</v>
          </cell>
          <cell r="N3666" t="str">
            <v>Aguk Purwanto</v>
          </cell>
          <cell r="O3666" t="str">
            <v>Jentir, RT.001/RW.002, Kel. Ngangkatan, Kec. Rejoso</v>
          </cell>
          <cell r="P3666" t="str">
            <v>Nganjuk</v>
          </cell>
          <cell r="Q3666" t="str">
            <v>Jentir, RT.001/RW.002, Kel. Ngangkatan, Kec. Rejoso</v>
          </cell>
          <cell r="R3666" t="str">
            <v>Nganjuk</v>
          </cell>
          <cell r="S3666" t="str">
            <v>D Barat1</v>
          </cell>
          <cell r="T3666" t="str">
            <v>Dian</v>
          </cell>
          <cell r="U3666">
            <v>60</v>
          </cell>
        </row>
        <row r="3667">
          <cell r="E3667" t="str">
            <v>D25011419</v>
          </cell>
          <cell r="F3667"/>
          <cell r="G3667">
            <v>100000000</v>
          </cell>
          <cell r="H3667" t="str">
            <v>Reni</v>
          </cell>
          <cell r="I3667" t="str">
            <v>Farida</v>
          </cell>
          <cell r="J3667" t="str">
            <v>New 13/11/20</v>
          </cell>
          <cell r="K3667" t="str">
            <v>KU</v>
          </cell>
          <cell r="L3667" t="str">
            <v>KAMP01</v>
          </cell>
          <cell r="M3667" t="str">
            <v>Kampung Tani/Aguk</v>
          </cell>
          <cell r="N3667" t="str">
            <v>Aguk Purwanto</v>
          </cell>
          <cell r="O3667" t="str">
            <v>Jentir, RT.001/RW.002, Kel. Ngangkatan, Kec. Rejoso</v>
          </cell>
          <cell r="P3667" t="str">
            <v>Nganjuk</v>
          </cell>
          <cell r="Q3667" t="str">
            <v>Jentir, RT.001/RW.002, Kel. Ngangkatan, Kec. Rejoso</v>
          </cell>
          <cell r="R3667" t="str">
            <v>Nganjuk</v>
          </cell>
          <cell r="S3667" t="str">
            <v>D Barat1</v>
          </cell>
          <cell r="T3667" t="str">
            <v>Dian</v>
          </cell>
          <cell r="U3667">
            <v>60</v>
          </cell>
        </row>
        <row r="3668">
          <cell r="E3668" t="str">
            <v>D25012122</v>
          </cell>
          <cell r="F3668"/>
          <cell r="G3668">
            <v>100000000</v>
          </cell>
          <cell r="H3668" t="str">
            <v>Reni</v>
          </cell>
          <cell r="I3668" t="str">
            <v>Farida</v>
          </cell>
          <cell r="J3668" t="str">
            <v>New 13/11/20</v>
          </cell>
          <cell r="K3668" t="str">
            <v>KU</v>
          </cell>
          <cell r="L3668" t="str">
            <v>KAMP01</v>
          </cell>
          <cell r="M3668" t="str">
            <v>Kampung Tani/Aguk</v>
          </cell>
          <cell r="N3668" t="str">
            <v>Aguk Purwanto</v>
          </cell>
          <cell r="O3668" t="str">
            <v>Jentir, RT.001/RW.002, Kel. Ngangkatan, Kec. Rejoso</v>
          </cell>
          <cell r="P3668" t="str">
            <v>Nganjuk</v>
          </cell>
          <cell r="Q3668" t="str">
            <v>Jentir, RT.001/RW.002, Kel. Ngangkatan, Kec. Rejoso</v>
          </cell>
          <cell r="R3668" t="str">
            <v>Nganjuk</v>
          </cell>
          <cell r="S3668" t="str">
            <v>D Barat1</v>
          </cell>
          <cell r="T3668" t="str">
            <v>Dian</v>
          </cell>
          <cell r="U3668">
            <v>60</v>
          </cell>
        </row>
        <row r="3669">
          <cell r="E3669" t="str">
            <v>B25010422</v>
          </cell>
          <cell r="F3669"/>
          <cell r="G3669">
            <v>100000000</v>
          </cell>
          <cell r="H3669" t="str">
            <v>Reni</v>
          </cell>
          <cell r="I3669" t="str">
            <v>Farida</v>
          </cell>
          <cell r="J3669" t="str">
            <v>New 13/11/20</v>
          </cell>
          <cell r="K3669" t="str">
            <v>KU</v>
          </cell>
          <cell r="L3669" t="str">
            <v>KAMP01</v>
          </cell>
          <cell r="M3669" t="str">
            <v>Kampung Tani/Aguk</v>
          </cell>
          <cell r="N3669" t="str">
            <v>Aguk Purwanto</v>
          </cell>
          <cell r="O3669" t="str">
            <v>Jentir, RT.001/RW.002, Kel. Ngangkatan, Kec. Rejoso</v>
          </cell>
          <cell r="P3669" t="str">
            <v>Nganjuk</v>
          </cell>
          <cell r="Q3669" t="str">
            <v>Jentir, RT.001/RW.002, Kel. Ngangkatan, Kec. Rejoso</v>
          </cell>
          <cell r="R3669" t="str">
            <v>Nganjuk</v>
          </cell>
          <cell r="S3669" t="str">
            <v>D Barat1</v>
          </cell>
          <cell r="T3669" t="str">
            <v>Dian</v>
          </cell>
          <cell r="U3669">
            <v>60</v>
          </cell>
        </row>
        <row r="3670">
          <cell r="E3670" t="str">
            <v>B25010824</v>
          </cell>
          <cell r="F3670"/>
          <cell r="G3670">
            <v>100000000</v>
          </cell>
          <cell r="H3670" t="str">
            <v>Reni</v>
          </cell>
          <cell r="I3670" t="str">
            <v>Farida</v>
          </cell>
          <cell r="J3670" t="str">
            <v>New 13/11/20</v>
          </cell>
          <cell r="K3670" t="str">
            <v>KU</v>
          </cell>
          <cell r="L3670" t="str">
            <v>KAMP01</v>
          </cell>
          <cell r="M3670" t="str">
            <v>Kampung Tani/Aguk</v>
          </cell>
          <cell r="N3670" t="str">
            <v>Aguk Purwanto</v>
          </cell>
          <cell r="O3670" t="str">
            <v>Jentir, RT.001/RW.002, Kel. Ngangkatan, Kec. Rejoso</v>
          </cell>
          <cell r="P3670" t="str">
            <v>Nganjuk</v>
          </cell>
          <cell r="Q3670" t="str">
            <v>Jentir, RT.001/RW.002, Kel. Ngangkatan, Kec. Rejoso</v>
          </cell>
          <cell r="R3670" t="str">
            <v>Nganjuk</v>
          </cell>
          <cell r="S3670" t="str">
            <v>D Barat1</v>
          </cell>
          <cell r="T3670" t="str">
            <v>Dian</v>
          </cell>
          <cell r="U3670">
            <v>60</v>
          </cell>
        </row>
        <row r="3671">
          <cell r="E3671" t="str">
            <v>B25010832</v>
          </cell>
          <cell r="F3671"/>
          <cell r="G3671">
            <v>100000000</v>
          </cell>
          <cell r="H3671" t="str">
            <v>Reni</v>
          </cell>
          <cell r="I3671" t="str">
            <v>Farida</v>
          </cell>
          <cell r="J3671" t="str">
            <v>New 13/11/20</v>
          </cell>
          <cell r="K3671" t="str">
            <v>KU</v>
          </cell>
          <cell r="L3671" t="str">
            <v>KAMP01</v>
          </cell>
          <cell r="M3671" t="str">
            <v>Kampung Tani/Aguk</v>
          </cell>
          <cell r="N3671" t="str">
            <v>Aguk Purwanto</v>
          </cell>
          <cell r="O3671" t="str">
            <v>Jentir, RT.001/RW.002, Kel. Ngangkatan, Kec. Rejoso</v>
          </cell>
          <cell r="P3671" t="str">
            <v>Nganjuk</v>
          </cell>
          <cell r="Q3671" t="str">
            <v>Jentir, RT.001/RW.002, Kel. Ngangkatan, Kec. Rejoso</v>
          </cell>
          <cell r="R3671" t="str">
            <v>Nganjuk</v>
          </cell>
          <cell r="S3671" t="str">
            <v>D Barat1</v>
          </cell>
          <cell r="T3671" t="str">
            <v>Dian</v>
          </cell>
          <cell r="U3671">
            <v>60</v>
          </cell>
        </row>
        <row r="3672">
          <cell r="E3672" t="str">
            <v>D25013830</v>
          </cell>
          <cell r="F3672"/>
          <cell r="G3672">
            <v>100000000</v>
          </cell>
          <cell r="H3672" t="str">
            <v>Reni</v>
          </cell>
          <cell r="I3672" t="str">
            <v>Farida</v>
          </cell>
          <cell r="J3672" t="str">
            <v>New 13/11/20</v>
          </cell>
          <cell r="K3672" t="str">
            <v>KU</v>
          </cell>
          <cell r="L3672" t="str">
            <v>KAMP01</v>
          </cell>
          <cell r="M3672" t="str">
            <v>Kampung Tani/Aguk</v>
          </cell>
          <cell r="N3672" t="str">
            <v>Aguk Purwanto</v>
          </cell>
          <cell r="O3672" t="str">
            <v>Jentir, RT.001/RW.002, Kel. Ngangkatan, Kec. Rejoso</v>
          </cell>
          <cell r="P3672" t="str">
            <v>Nganjuk</v>
          </cell>
          <cell r="Q3672" t="str">
            <v>Jentir, RT.001/RW.002, Kel. Ngangkatan, Kec. Rejoso</v>
          </cell>
          <cell r="R3672" t="str">
            <v>Nganjuk</v>
          </cell>
          <cell r="S3672" t="str">
            <v>D Barat1</v>
          </cell>
          <cell r="T3672" t="str">
            <v>Dian</v>
          </cell>
          <cell r="U3672">
            <v>60</v>
          </cell>
        </row>
        <row r="3673">
          <cell r="E3673" t="str">
            <v>D25013942</v>
          </cell>
          <cell r="F3673"/>
          <cell r="G3673">
            <v>100000000</v>
          </cell>
          <cell r="H3673" t="str">
            <v>Reni</v>
          </cell>
          <cell r="I3673" t="str">
            <v>Farida</v>
          </cell>
          <cell r="J3673" t="str">
            <v>New 13/11/20</v>
          </cell>
          <cell r="K3673" t="str">
            <v>KU</v>
          </cell>
          <cell r="L3673" t="str">
            <v>KAMP01</v>
          </cell>
          <cell r="M3673" t="str">
            <v>Kampung Tani/Aguk</v>
          </cell>
          <cell r="N3673" t="str">
            <v>Aguk Purwanto</v>
          </cell>
          <cell r="O3673" t="str">
            <v>Jentir, RT.001/RW.002, Kel. Ngangkatan, Kec. Rejoso</v>
          </cell>
          <cell r="P3673" t="str">
            <v>Nganjuk</v>
          </cell>
          <cell r="Q3673" t="str">
            <v>Jentir, RT.001/RW.002, Kel. Ngangkatan, Kec. Rejoso</v>
          </cell>
          <cell r="R3673" t="str">
            <v>Nganjuk</v>
          </cell>
          <cell r="S3673" t="str">
            <v>D Barat1</v>
          </cell>
          <cell r="T3673" t="str">
            <v>Dian</v>
          </cell>
          <cell r="U3673">
            <v>60</v>
          </cell>
        </row>
        <row r="3674">
          <cell r="E3674" t="str">
            <v>D25015886</v>
          </cell>
          <cell r="F3674"/>
          <cell r="G3674">
            <v>100000000</v>
          </cell>
          <cell r="H3674" t="str">
            <v>Reni</v>
          </cell>
          <cell r="I3674" t="str">
            <v>Farida</v>
          </cell>
          <cell r="J3674" t="str">
            <v>New 13/11/20</v>
          </cell>
          <cell r="K3674" t="str">
            <v>KU</v>
          </cell>
          <cell r="L3674" t="str">
            <v>KAMP01</v>
          </cell>
          <cell r="M3674" t="str">
            <v>Kampung Tani/Aguk</v>
          </cell>
          <cell r="N3674" t="str">
            <v>Aguk Purwanto</v>
          </cell>
          <cell r="O3674" t="str">
            <v>Jentir, RT.001/RW.002, Kel. Ngangkatan, Kec. Rejoso</v>
          </cell>
          <cell r="P3674" t="str">
            <v>Nganjuk</v>
          </cell>
          <cell r="Q3674" t="str">
            <v>Jentir, RT.001/RW.002, Kel. Ngangkatan, Kec. Rejoso</v>
          </cell>
          <cell r="R3674" t="str">
            <v>Nganjuk</v>
          </cell>
          <cell r="S3674" t="str">
            <v>D Barat1</v>
          </cell>
          <cell r="T3674" t="str">
            <v>Dian</v>
          </cell>
          <cell r="U3674">
            <v>60</v>
          </cell>
        </row>
        <row r="3675">
          <cell r="E3675" t="str">
            <v>D25015895</v>
          </cell>
          <cell r="F3675"/>
          <cell r="G3675">
            <v>100000000</v>
          </cell>
          <cell r="H3675" t="str">
            <v>Reni</v>
          </cell>
          <cell r="I3675" t="str">
            <v>Farida</v>
          </cell>
          <cell r="J3675" t="str">
            <v>New 13/11/20</v>
          </cell>
          <cell r="K3675" t="str">
            <v>KU</v>
          </cell>
          <cell r="L3675" t="str">
            <v>KAMP01</v>
          </cell>
          <cell r="M3675" t="str">
            <v>Kampung Tani/Aguk</v>
          </cell>
          <cell r="N3675" t="str">
            <v>Aguk Purwanto</v>
          </cell>
          <cell r="O3675" t="str">
            <v>Jentir, RT.001/RW.002, Kel. Ngangkatan, Kec. Rejoso</v>
          </cell>
          <cell r="P3675" t="str">
            <v>Nganjuk</v>
          </cell>
          <cell r="Q3675" t="str">
            <v>Jentir, RT.001/RW.002, Kel. Ngangkatan, Kec. Rejoso</v>
          </cell>
          <cell r="R3675" t="str">
            <v>Nganjuk</v>
          </cell>
          <cell r="S3675" t="str">
            <v>D Barat1</v>
          </cell>
          <cell r="T3675" t="str">
            <v>Dian</v>
          </cell>
          <cell r="U3675">
            <v>60</v>
          </cell>
        </row>
        <row r="3676">
          <cell r="E3676" t="str">
            <v>D25016035</v>
          </cell>
          <cell r="F3676"/>
          <cell r="G3676">
            <v>100000000</v>
          </cell>
          <cell r="H3676" t="str">
            <v>Reni</v>
          </cell>
          <cell r="I3676" t="str">
            <v>Farida</v>
          </cell>
          <cell r="J3676" t="str">
            <v>New 13/11/20</v>
          </cell>
          <cell r="K3676" t="str">
            <v>KU</v>
          </cell>
          <cell r="L3676" t="str">
            <v>KAMP01</v>
          </cell>
          <cell r="M3676" t="str">
            <v>Kampung Tani/Aguk</v>
          </cell>
          <cell r="N3676" t="str">
            <v>Aguk Purwanto</v>
          </cell>
          <cell r="O3676" t="str">
            <v>Jentir, RT.001/RW.002, Kel. Ngangkatan, Kec. Rejoso</v>
          </cell>
          <cell r="P3676" t="str">
            <v>Nganjuk</v>
          </cell>
          <cell r="Q3676" t="str">
            <v>Jentir, RT.001/RW.002, Kel. Ngangkatan, Kec. Rejoso</v>
          </cell>
          <cell r="R3676" t="str">
            <v>Nganjuk</v>
          </cell>
          <cell r="S3676" t="str">
            <v>D Barat1</v>
          </cell>
          <cell r="T3676" t="str">
            <v>Dian</v>
          </cell>
          <cell r="U3676">
            <v>60</v>
          </cell>
        </row>
        <row r="3677">
          <cell r="E3677" t="str">
            <v>D25016066</v>
          </cell>
          <cell r="F3677"/>
          <cell r="G3677">
            <v>100000000</v>
          </cell>
          <cell r="H3677" t="str">
            <v>Reni</v>
          </cell>
          <cell r="I3677" t="str">
            <v>Farida</v>
          </cell>
          <cell r="J3677" t="str">
            <v>New 13/11/20</v>
          </cell>
          <cell r="K3677" t="str">
            <v>KU</v>
          </cell>
          <cell r="L3677" t="str">
            <v>KAMP01</v>
          </cell>
          <cell r="M3677" t="str">
            <v>Kampung Tani/Aguk</v>
          </cell>
          <cell r="N3677" t="str">
            <v>Aguk Purwanto</v>
          </cell>
          <cell r="O3677" t="str">
            <v>Jentir, RT.001/RW.002, Kel. Ngangkatan, Kec. Rejoso</v>
          </cell>
          <cell r="P3677" t="str">
            <v>Nganjuk</v>
          </cell>
          <cell r="Q3677" t="str">
            <v>Jentir, RT.001/RW.002, Kel. Ngangkatan, Kec. Rejoso</v>
          </cell>
          <cell r="R3677" t="str">
            <v>Nganjuk</v>
          </cell>
          <cell r="S3677" t="str">
            <v>D Barat1</v>
          </cell>
          <cell r="T3677" t="str">
            <v>Dian</v>
          </cell>
          <cell r="U3677">
            <v>60</v>
          </cell>
        </row>
        <row r="3678">
          <cell r="E3678" t="str">
            <v>B25013141</v>
          </cell>
          <cell r="F3678"/>
          <cell r="G3678">
            <v>1000</v>
          </cell>
          <cell r="H3678" t="str">
            <v>Hendra</v>
          </cell>
          <cell r="I3678" t="str">
            <v>Tiya</v>
          </cell>
          <cell r="J3678" t="str">
            <v>New 15/10/25</v>
          </cell>
          <cell r="K3678" t="str">
            <v>KU</v>
          </cell>
          <cell r="L3678" t="str">
            <v>KANC02</v>
          </cell>
          <cell r="M3678" t="str">
            <v>Kancil Mas Agromakmur</v>
          </cell>
          <cell r="N3678" t="str">
            <v>Kancil Mas Agromakmur</v>
          </cell>
          <cell r="O3678" t="str">
            <v>Jl. Raya Soreang Banjaran No. 337 RT,002/RW.009, Soreang, Soreang</v>
          </cell>
          <cell r="P3678" t="str">
            <v>Bandung</v>
          </cell>
          <cell r="Q3678" t="str">
            <v>Jl. Raya Soreang Banjaran No. 337 RT,002/RW.009, Soreang, Soreang</v>
          </cell>
          <cell r="R3678" t="str">
            <v>Bandung</v>
          </cell>
          <cell r="S3678" t="str">
            <v>I Jabar Jateng</v>
          </cell>
          <cell r="T3678" t="str">
            <v>Non SE &amp; JSE</v>
          </cell>
          <cell r="U3678">
            <v>15</v>
          </cell>
        </row>
        <row r="3679">
          <cell r="E3679" t="str">
            <v>B25007986</v>
          </cell>
          <cell r="F3679"/>
          <cell r="G3679">
            <v>1500000000</v>
          </cell>
          <cell r="H3679" t="str">
            <v>Hendra</v>
          </cell>
          <cell r="I3679" t="str">
            <v>Tiya</v>
          </cell>
          <cell r="J3679"/>
          <cell r="K3679" t="str">
            <v>KU</v>
          </cell>
          <cell r="L3679" t="str">
            <v>KARI01</v>
          </cell>
          <cell r="M3679" t="str">
            <v>Karisma Bumi Indah/Fedo</v>
          </cell>
          <cell r="N3679" t="str">
            <v>Karisma Bumi Indah, CV</v>
          </cell>
          <cell r="O3679" t="str">
            <v>Perum Taman Kopo Katapang Blok C6 No. 18 RT/RW 01/13, Katapang</v>
          </cell>
          <cell r="P3679" t="str">
            <v>Bandung</v>
          </cell>
          <cell r="Q3679" t="str">
            <v>Jl. Terusan Soreang-Cipatik km. 9.8, Kel. Jelegong, Kec. Kutawaringin</v>
          </cell>
          <cell r="R3679" t="str">
            <v>Bandung</v>
          </cell>
          <cell r="S3679" t="str">
            <v>I Jabar Jateng</v>
          </cell>
          <cell r="T3679" t="str">
            <v>Non SE &amp; JSE</v>
          </cell>
          <cell r="U3679">
            <v>80</v>
          </cell>
        </row>
        <row r="3680">
          <cell r="E3680" t="str">
            <v>B25007987</v>
          </cell>
          <cell r="F3680"/>
          <cell r="G3680">
            <v>1500000000</v>
          </cell>
          <cell r="H3680" t="str">
            <v>Hendra</v>
          </cell>
          <cell r="I3680" t="str">
            <v>Tiya</v>
          </cell>
          <cell r="J3680"/>
          <cell r="K3680" t="str">
            <v>KU</v>
          </cell>
          <cell r="L3680" t="str">
            <v>KARI01</v>
          </cell>
          <cell r="M3680" t="str">
            <v>Karisma Bumi Indah/Fedo</v>
          </cell>
          <cell r="N3680" t="str">
            <v>Karisma Bumi Indah, CV</v>
          </cell>
          <cell r="O3680" t="str">
            <v>Perum Taman Kopo Katapang Blok C6 No. 18 RT/RW 01/13, Katapang</v>
          </cell>
          <cell r="P3680" t="str">
            <v>Bandung</v>
          </cell>
          <cell r="Q3680" t="str">
            <v>Jl. Terusan Soreang-Cipatik km. 9.8, Kel. Jelegong, Kec. Kutawaringin</v>
          </cell>
          <cell r="R3680" t="str">
            <v>Bandung</v>
          </cell>
          <cell r="S3680" t="str">
            <v>I Jabar Jateng</v>
          </cell>
          <cell r="T3680" t="str">
            <v>Non SE &amp; JSE</v>
          </cell>
          <cell r="U3680">
            <v>80</v>
          </cell>
        </row>
        <row r="3681">
          <cell r="E3681" t="str">
            <v>B25007987</v>
          </cell>
          <cell r="F3681"/>
          <cell r="G3681">
            <v>1500000000</v>
          </cell>
          <cell r="H3681" t="str">
            <v>Hendra</v>
          </cell>
          <cell r="I3681" t="str">
            <v>Tiya</v>
          </cell>
          <cell r="J3681"/>
          <cell r="K3681" t="str">
            <v>KU</v>
          </cell>
          <cell r="L3681" t="str">
            <v>KARI01</v>
          </cell>
          <cell r="M3681" t="str">
            <v>Karisma Bumi Indah/Fedo</v>
          </cell>
          <cell r="N3681" t="str">
            <v>Karisma Bumi Indah, CV</v>
          </cell>
          <cell r="O3681" t="str">
            <v>Perum Taman Kopo Katapang Blok C6 No. 18 RT/RW 01/13, Katapang</v>
          </cell>
          <cell r="P3681" t="str">
            <v>Bandung</v>
          </cell>
          <cell r="Q3681" t="str">
            <v>Jl. Terusan Soreang-Cipatik km. 9.8, Kel. Jelegong, Kec. Kutawaringin</v>
          </cell>
          <cell r="R3681" t="str">
            <v>Bandung</v>
          </cell>
          <cell r="S3681" t="str">
            <v>I Jabar Jateng</v>
          </cell>
          <cell r="T3681" t="str">
            <v>Non SE &amp; JSE</v>
          </cell>
          <cell r="U3681">
            <v>80</v>
          </cell>
        </row>
        <row r="3682">
          <cell r="E3682" t="str">
            <v>B25008331</v>
          </cell>
          <cell r="F3682"/>
          <cell r="G3682">
            <v>1500000000</v>
          </cell>
          <cell r="H3682" t="str">
            <v>Hendra</v>
          </cell>
          <cell r="I3682" t="str">
            <v>Tiya</v>
          </cell>
          <cell r="J3682"/>
          <cell r="K3682" t="str">
            <v>KU</v>
          </cell>
          <cell r="L3682" t="str">
            <v>KARI01</v>
          </cell>
          <cell r="M3682" t="str">
            <v>Karisma Bumi Indah/Fedo</v>
          </cell>
          <cell r="N3682" t="str">
            <v>Karisma Bumi Indah, CV</v>
          </cell>
          <cell r="O3682" t="str">
            <v>Perum Taman Kopo Katapang Blok C6 No. 18 RT/RW 01/13, Katapang</v>
          </cell>
          <cell r="P3682" t="str">
            <v>Bandung</v>
          </cell>
          <cell r="Q3682" t="str">
            <v>Jl. Terusan Soreang-Cipatik km. 9.8, Kel. Jelegong, Kec. Kutawaringin</v>
          </cell>
          <cell r="R3682" t="str">
            <v>Bandung</v>
          </cell>
          <cell r="S3682" t="str">
            <v>I Jabar Jateng</v>
          </cell>
          <cell r="T3682" t="str">
            <v>Non SE &amp; JSE</v>
          </cell>
          <cell r="U3682">
            <v>80</v>
          </cell>
        </row>
        <row r="3683">
          <cell r="E3683" t="str">
            <v>B25009153</v>
          </cell>
          <cell r="F3683"/>
          <cell r="G3683">
            <v>1500000000</v>
          </cell>
          <cell r="H3683" t="str">
            <v>Hendra</v>
          </cell>
          <cell r="I3683" t="str">
            <v>Tiya</v>
          </cell>
          <cell r="J3683"/>
          <cell r="K3683" t="str">
            <v>KU</v>
          </cell>
          <cell r="L3683" t="str">
            <v>KARI01</v>
          </cell>
          <cell r="M3683" t="str">
            <v>Karisma Bumi Indah/Fedo</v>
          </cell>
          <cell r="N3683" t="str">
            <v>Karisma Bumi Indah, CV</v>
          </cell>
          <cell r="O3683" t="str">
            <v>Perum Taman Kopo Katapang Blok C6 No. 18 RT/RW 01/13, Katapang</v>
          </cell>
          <cell r="P3683" t="str">
            <v>Bandung</v>
          </cell>
          <cell r="Q3683" t="str">
            <v>Jl. Terusan Soreang-Cipatik km. 9.8, Kel. Jelegong, Kec. Kutawaringin</v>
          </cell>
          <cell r="R3683" t="str">
            <v>Bandung</v>
          </cell>
          <cell r="S3683" t="str">
            <v>I Jabar Jateng</v>
          </cell>
          <cell r="T3683" t="str">
            <v>Non SE &amp; JSE</v>
          </cell>
          <cell r="U3683">
            <v>80</v>
          </cell>
        </row>
        <row r="3684">
          <cell r="E3684" t="str">
            <v>B25009165</v>
          </cell>
          <cell r="F3684"/>
          <cell r="G3684">
            <v>1500000000</v>
          </cell>
          <cell r="H3684" t="str">
            <v>Hendra</v>
          </cell>
          <cell r="I3684" t="str">
            <v>Tiya</v>
          </cell>
          <cell r="J3684"/>
          <cell r="K3684" t="str">
            <v>KU</v>
          </cell>
          <cell r="L3684" t="str">
            <v>KARI01</v>
          </cell>
          <cell r="M3684" t="str">
            <v>Karisma Bumi Indah/Fedo</v>
          </cell>
          <cell r="N3684" t="str">
            <v>Karisma Bumi Indah, CV</v>
          </cell>
          <cell r="O3684" t="str">
            <v>Perum Taman Kopo Katapang Blok C6 No. 18 RT/RW 01/13, Katapang</v>
          </cell>
          <cell r="P3684" t="str">
            <v>Bandung</v>
          </cell>
          <cell r="Q3684" t="str">
            <v>Jl. Terusan Soreang-Cipatik km. 9.8, Kel. Jelegong, Kec. Kutawaringin</v>
          </cell>
          <cell r="R3684" t="str">
            <v>Bandung</v>
          </cell>
          <cell r="S3684" t="str">
            <v>I Jabar Jateng</v>
          </cell>
          <cell r="T3684" t="str">
            <v>Non SE &amp; JSE</v>
          </cell>
          <cell r="U3684">
            <v>80</v>
          </cell>
        </row>
        <row r="3685">
          <cell r="E3685" t="str">
            <v>D25013106</v>
          </cell>
          <cell r="F3685"/>
          <cell r="G3685">
            <v>1500000000</v>
          </cell>
          <cell r="H3685" t="str">
            <v>Hendra</v>
          </cell>
          <cell r="I3685" t="str">
            <v>Tiya</v>
          </cell>
          <cell r="J3685"/>
          <cell r="K3685" t="str">
            <v>KU</v>
          </cell>
          <cell r="L3685" t="str">
            <v>KARI01</v>
          </cell>
          <cell r="M3685" t="str">
            <v>Karisma Bumi Indah/Fedo</v>
          </cell>
          <cell r="N3685" t="str">
            <v>Karisma Bumi Indah, CV</v>
          </cell>
          <cell r="O3685" t="str">
            <v>Perum Taman Kopo Katapang Blok C6 No. 18 RT/RW 01/13, Katapang</v>
          </cell>
          <cell r="P3685" t="str">
            <v>Bandung</v>
          </cell>
          <cell r="Q3685" t="str">
            <v>Jl. Terusan Soreang-Cipatik km. 9.8, Kel. Jelegong, Kec. Kutawaringin</v>
          </cell>
          <cell r="R3685" t="str">
            <v>Bandung</v>
          </cell>
          <cell r="S3685" t="str">
            <v>I Jabar Jateng</v>
          </cell>
          <cell r="T3685" t="str">
            <v>Non SE &amp; JSE</v>
          </cell>
          <cell r="U3685">
            <v>80</v>
          </cell>
        </row>
        <row r="3686">
          <cell r="E3686" t="str">
            <v>B25011060</v>
          </cell>
          <cell r="F3686"/>
          <cell r="G3686">
            <v>1500000000</v>
          </cell>
          <cell r="H3686" t="str">
            <v>Hendra</v>
          </cell>
          <cell r="I3686" t="str">
            <v>Tiya</v>
          </cell>
          <cell r="J3686"/>
          <cell r="K3686" t="str">
            <v>KU</v>
          </cell>
          <cell r="L3686" t="str">
            <v>KARI01</v>
          </cell>
          <cell r="M3686" t="str">
            <v>Karisma Bumi Indah/Fedo</v>
          </cell>
          <cell r="N3686" t="str">
            <v>Karisma Bumi Indah, CV</v>
          </cell>
          <cell r="O3686" t="str">
            <v>Perum Taman Kopo Katapang Blok C6 No. 18 RT/RW 01/13, Katapang</v>
          </cell>
          <cell r="P3686" t="str">
            <v>Bandung</v>
          </cell>
          <cell r="Q3686" t="str">
            <v>Jl. Terusan Soreang-Cipatik km. 9.8, Kel. Jelegong, Kec. Kutawaringin</v>
          </cell>
          <cell r="R3686" t="str">
            <v>Bandung</v>
          </cell>
          <cell r="S3686" t="str">
            <v>I Jabar Jateng</v>
          </cell>
          <cell r="T3686" t="str">
            <v>Non SE &amp; JSE</v>
          </cell>
          <cell r="U3686">
            <v>80</v>
          </cell>
        </row>
        <row r="3687">
          <cell r="E3687" t="str">
            <v>D25013282</v>
          </cell>
          <cell r="F3687"/>
          <cell r="G3687">
            <v>1500000000</v>
          </cell>
          <cell r="H3687" t="str">
            <v>Hendra</v>
          </cell>
          <cell r="I3687" t="str">
            <v>Tiya</v>
          </cell>
          <cell r="J3687"/>
          <cell r="K3687" t="str">
            <v>KU</v>
          </cell>
          <cell r="L3687" t="str">
            <v>KARI01</v>
          </cell>
          <cell r="M3687" t="str">
            <v>Karisma Bumi Indah/Fedo</v>
          </cell>
          <cell r="N3687" t="str">
            <v>Karisma Bumi Indah, CV</v>
          </cell>
          <cell r="O3687" t="str">
            <v>Perum Taman Kopo Katapang Blok C6 No. 18 RT/RW 01/13, Katapang</v>
          </cell>
          <cell r="P3687" t="str">
            <v>Bandung</v>
          </cell>
          <cell r="Q3687" t="str">
            <v>Jl. Terusan Soreang-Cipatik km. 9.8, Kel. Jelegong, Kec. Kutawaringin</v>
          </cell>
          <cell r="R3687" t="str">
            <v>Bandung</v>
          </cell>
          <cell r="S3687" t="str">
            <v>I Jabar Jateng</v>
          </cell>
          <cell r="T3687" t="str">
            <v>Non SE &amp; JSE</v>
          </cell>
          <cell r="U3687">
            <v>80</v>
          </cell>
        </row>
        <row r="3688">
          <cell r="E3688" t="str">
            <v>B25011282</v>
          </cell>
          <cell r="F3688"/>
          <cell r="G3688">
            <v>1500000000</v>
          </cell>
          <cell r="H3688" t="str">
            <v>Hendra</v>
          </cell>
          <cell r="I3688" t="str">
            <v>Tiya</v>
          </cell>
          <cell r="J3688"/>
          <cell r="K3688" t="str">
            <v>KU</v>
          </cell>
          <cell r="L3688" t="str">
            <v>KARI01</v>
          </cell>
          <cell r="M3688" t="str">
            <v>Karisma Bumi Indah/Fedo</v>
          </cell>
          <cell r="N3688" t="str">
            <v>Karisma Bumi Indah, CV</v>
          </cell>
          <cell r="O3688" t="str">
            <v>Perum Taman Kopo Katapang Blok C6 No. 18 RT/RW 01/13, Katapang</v>
          </cell>
          <cell r="P3688" t="str">
            <v>Bandung</v>
          </cell>
          <cell r="Q3688" t="str">
            <v>Jl. Terusan Soreang-Cipatik km. 9.8, Kel. Jelegong, Kec. Kutawaringin</v>
          </cell>
          <cell r="R3688" t="str">
            <v>Bandung</v>
          </cell>
          <cell r="S3688" t="str">
            <v>I Jabar Jateng</v>
          </cell>
          <cell r="T3688" t="str">
            <v>Non SE &amp; JSE</v>
          </cell>
          <cell r="U3688">
            <v>80</v>
          </cell>
        </row>
        <row r="3689">
          <cell r="E3689" t="str">
            <v>B25013223</v>
          </cell>
          <cell r="F3689"/>
          <cell r="G3689">
            <v>1500000000</v>
          </cell>
          <cell r="H3689" t="str">
            <v>Hendra</v>
          </cell>
          <cell r="I3689" t="str">
            <v>Tiya</v>
          </cell>
          <cell r="J3689"/>
          <cell r="K3689" t="str">
            <v>KU</v>
          </cell>
          <cell r="L3689" t="str">
            <v>KARI01</v>
          </cell>
          <cell r="M3689" t="str">
            <v>Karisma Bumi Indah/Fedo</v>
          </cell>
          <cell r="N3689" t="str">
            <v>Karisma Bumi Indah, CV</v>
          </cell>
          <cell r="O3689" t="str">
            <v>Perum Taman Kopo Katapang Blok C6 No. 18 RT/RW 01/13, Katapang</v>
          </cell>
          <cell r="P3689" t="str">
            <v>Bandung</v>
          </cell>
          <cell r="Q3689" t="str">
            <v>Jl. Terusan Soreang-Cipatik km. 9.8, Kel. Jelegong, Kec. Kutawaringin</v>
          </cell>
          <cell r="R3689" t="str">
            <v>Bandung</v>
          </cell>
          <cell r="S3689" t="str">
            <v>I Jabar Jateng</v>
          </cell>
          <cell r="T3689" t="str">
            <v>Non SE &amp; JSE</v>
          </cell>
          <cell r="U3689">
            <v>80</v>
          </cell>
        </row>
        <row r="3690">
          <cell r="E3690" t="str">
            <v>D25015491</v>
          </cell>
          <cell r="F3690"/>
          <cell r="G3690">
            <v>1500000000</v>
          </cell>
          <cell r="H3690" t="str">
            <v>Hendra</v>
          </cell>
          <cell r="I3690" t="str">
            <v>Tiya</v>
          </cell>
          <cell r="J3690"/>
          <cell r="K3690" t="str">
            <v>KU</v>
          </cell>
          <cell r="L3690" t="str">
            <v>KARI01</v>
          </cell>
          <cell r="M3690" t="str">
            <v>Karisma Bumi Indah/Fedo</v>
          </cell>
          <cell r="N3690" t="str">
            <v>Karisma Bumi Indah, CV</v>
          </cell>
          <cell r="O3690" t="str">
            <v>Perum Taman Kopo Katapang Blok C6 No. 18 RT/RW 01/13, Katapang</v>
          </cell>
          <cell r="P3690" t="str">
            <v>Bandung</v>
          </cell>
          <cell r="Q3690" t="str">
            <v>Jl. Terusan Soreang-Cipatik km. 9.8, Kel. Jelegong, Kec. Kutawaringin</v>
          </cell>
          <cell r="R3690" t="str">
            <v>Bandung</v>
          </cell>
          <cell r="S3690" t="str">
            <v>I Jabar Jateng</v>
          </cell>
          <cell r="T3690" t="str">
            <v>Non SE &amp; JSE</v>
          </cell>
          <cell r="U3690">
            <v>80</v>
          </cell>
        </row>
        <row r="3691">
          <cell r="E3691" t="str">
            <v>D25015492</v>
          </cell>
          <cell r="F3691"/>
          <cell r="G3691">
            <v>1500000000</v>
          </cell>
          <cell r="H3691" t="str">
            <v>Hendra</v>
          </cell>
          <cell r="I3691" t="str">
            <v>Tiya</v>
          </cell>
          <cell r="J3691"/>
          <cell r="K3691" t="str">
            <v>KU</v>
          </cell>
          <cell r="L3691" t="str">
            <v>KARI01</v>
          </cell>
          <cell r="M3691" t="str">
            <v>Karisma Bumi Indah/Fedo</v>
          </cell>
          <cell r="N3691" t="str">
            <v>Karisma Bumi Indah, CV</v>
          </cell>
          <cell r="O3691" t="str">
            <v>Perum Taman Kopo Katapang Blok C6 No. 18 RT/RW 01/13, Katapang</v>
          </cell>
          <cell r="P3691" t="str">
            <v>Bandung</v>
          </cell>
          <cell r="Q3691" t="str">
            <v>Jl. Terusan Soreang-Cipatik km. 9.8, Kel. Jelegong, Kec. Kutawaringin</v>
          </cell>
          <cell r="R3691" t="str">
            <v>Bandung</v>
          </cell>
          <cell r="S3691" t="str">
            <v>I Jabar Jateng</v>
          </cell>
          <cell r="T3691" t="str">
            <v>Non SE &amp; JSE</v>
          </cell>
          <cell r="U3691">
            <v>80</v>
          </cell>
        </row>
        <row r="3692">
          <cell r="E3692" t="str">
            <v>D25015518</v>
          </cell>
          <cell r="F3692"/>
          <cell r="G3692">
            <v>1500000000</v>
          </cell>
          <cell r="H3692" t="str">
            <v>Hendra</v>
          </cell>
          <cell r="I3692" t="str">
            <v>Tiya</v>
          </cell>
          <cell r="J3692"/>
          <cell r="K3692" t="str">
            <v>KU</v>
          </cell>
          <cell r="L3692" t="str">
            <v>KARI01</v>
          </cell>
          <cell r="M3692" t="str">
            <v>Karisma Bumi Indah/Fedo</v>
          </cell>
          <cell r="N3692" t="str">
            <v>Karisma Bumi Indah, CV</v>
          </cell>
          <cell r="O3692" t="str">
            <v>Perum Taman Kopo Katapang Blok C6 No. 18 RT/RW 01/13, Katapang</v>
          </cell>
          <cell r="P3692" t="str">
            <v>Bandung</v>
          </cell>
          <cell r="Q3692" t="str">
            <v>Jl. Terusan Soreang-Cipatik km. 9.8, Kel. Jelegong, Kec. Kutawaringin</v>
          </cell>
          <cell r="R3692" t="str">
            <v>Bandung</v>
          </cell>
          <cell r="S3692" t="str">
            <v>I Jabar Jateng</v>
          </cell>
          <cell r="T3692" t="str">
            <v>Non SE &amp; JSE</v>
          </cell>
          <cell r="U3692">
            <v>80</v>
          </cell>
        </row>
        <row r="3693">
          <cell r="E3693" t="str">
            <v>D25015519</v>
          </cell>
          <cell r="F3693"/>
          <cell r="G3693">
            <v>1500000000</v>
          </cell>
          <cell r="H3693" t="str">
            <v>Hendra</v>
          </cell>
          <cell r="I3693" t="str">
            <v>Tiya</v>
          </cell>
          <cell r="J3693"/>
          <cell r="K3693" t="str">
            <v>KU</v>
          </cell>
          <cell r="L3693" t="str">
            <v>KARI01</v>
          </cell>
          <cell r="M3693" t="str">
            <v>Karisma Bumi Indah/Fedo</v>
          </cell>
          <cell r="N3693" t="str">
            <v>Karisma Bumi Indah, CV</v>
          </cell>
          <cell r="O3693" t="str">
            <v>Perum Taman Kopo Katapang Blok C6 No. 18 RT/RW 01/13, Katapang</v>
          </cell>
          <cell r="P3693" t="str">
            <v>Bandung</v>
          </cell>
          <cell r="Q3693" t="str">
            <v>Jl. Terusan Soreang-Cipatik km. 9.8, Kel. Jelegong, Kec. Kutawaringin</v>
          </cell>
          <cell r="R3693" t="str">
            <v>Bandung</v>
          </cell>
          <cell r="S3693" t="str">
            <v>I Jabar Jateng</v>
          </cell>
          <cell r="T3693" t="str">
            <v>Non SE &amp; JSE</v>
          </cell>
          <cell r="U3693">
            <v>80</v>
          </cell>
        </row>
        <row r="3694">
          <cell r="E3694" t="str">
            <v>B25007769</v>
          </cell>
          <cell r="F3694"/>
          <cell r="G3694">
            <v>5000000000</v>
          </cell>
          <cell r="H3694" t="str">
            <v>Hendra</v>
          </cell>
          <cell r="I3694" t="str">
            <v>Tiya</v>
          </cell>
          <cell r="J3694"/>
          <cell r="K3694" t="str">
            <v>KU</v>
          </cell>
          <cell r="L3694" t="str">
            <v>KHAR02</v>
          </cell>
          <cell r="M3694" t="str">
            <v>Karisma Eka Putra</v>
          </cell>
          <cell r="N3694" t="str">
            <v>Karisma Eka Putra, PT</v>
          </cell>
          <cell r="O3694" t="str">
            <v>Jalan Mayor Unus 10 Punduhan RT.005/RW.001, Jogonegoro, Mertoyudan</v>
          </cell>
          <cell r="P3694" t="str">
            <v>Magelang</v>
          </cell>
          <cell r="Q3694" t="str">
            <v>Magelang</v>
          </cell>
          <cell r="R3694" t="str">
            <v>Magelang</v>
          </cell>
          <cell r="S3694" t="str">
            <v>I Jabar Jateng</v>
          </cell>
          <cell r="T3694" t="str">
            <v>OTHERS</v>
          </cell>
          <cell r="U3694">
            <v>60</v>
          </cell>
        </row>
        <row r="3695">
          <cell r="E3695" t="str">
            <v>B25007770</v>
          </cell>
          <cell r="F3695"/>
          <cell r="G3695">
            <v>5000000000</v>
          </cell>
          <cell r="H3695" t="str">
            <v>Hendra</v>
          </cell>
          <cell r="I3695" t="str">
            <v>Tiya</v>
          </cell>
          <cell r="J3695"/>
          <cell r="K3695" t="str">
            <v>KU</v>
          </cell>
          <cell r="L3695" t="str">
            <v>KHAR02</v>
          </cell>
          <cell r="M3695" t="str">
            <v>Karisma Eka Putra</v>
          </cell>
          <cell r="N3695" t="str">
            <v>Karisma Eka Putra, PT</v>
          </cell>
          <cell r="O3695" t="str">
            <v>Jalan Mayor Unus 10 Punduhan RT.005/RW.001, Jogonegoro, Mertoyudan</v>
          </cell>
          <cell r="P3695" t="str">
            <v>Magelang</v>
          </cell>
          <cell r="Q3695" t="str">
            <v>Magelang</v>
          </cell>
          <cell r="R3695" t="str">
            <v>Magelang</v>
          </cell>
          <cell r="S3695" t="str">
            <v>I Jabar Jateng</v>
          </cell>
          <cell r="T3695" t="str">
            <v>OTHERS</v>
          </cell>
          <cell r="U3695">
            <v>60</v>
          </cell>
        </row>
        <row r="3696">
          <cell r="E3696" t="str">
            <v>B25007771</v>
          </cell>
          <cell r="F3696"/>
          <cell r="G3696">
            <v>5000000000</v>
          </cell>
          <cell r="H3696" t="str">
            <v>Hendra</v>
          </cell>
          <cell r="I3696" t="str">
            <v>Tiya</v>
          </cell>
          <cell r="J3696"/>
          <cell r="K3696" t="str">
            <v>KU</v>
          </cell>
          <cell r="L3696" t="str">
            <v>KHAR02</v>
          </cell>
          <cell r="M3696" t="str">
            <v>Karisma Eka Putra</v>
          </cell>
          <cell r="N3696" t="str">
            <v>Karisma Eka Putra, PT</v>
          </cell>
          <cell r="O3696" t="str">
            <v>Jalan Mayor Unus 10 Punduhan RT.005/RW.001, Jogonegoro, Mertoyudan</v>
          </cell>
          <cell r="P3696" t="str">
            <v>Magelang</v>
          </cell>
          <cell r="Q3696" t="str">
            <v>Magelang</v>
          </cell>
          <cell r="R3696" t="str">
            <v>Magelang</v>
          </cell>
          <cell r="S3696" t="str">
            <v>I Jabar Jateng</v>
          </cell>
          <cell r="T3696" t="str">
            <v>OTHERS</v>
          </cell>
          <cell r="U3696">
            <v>60</v>
          </cell>
        </row>
        <row r="3697">
          <cell r="E3697" t="str">
            <v>B25008063</v>
          </cell>
          <cell r="F3697"/>
          <cell r="G3697">
            <v>5000000000</v>
          </cell>
          <cell r="H3697" t="str">
            <v>Hendra</v>
          </cell>
          <cell r="I3697" t="str">
            <v>Tiya</v>
          </cell>
          <cell r="J3697"/>
          <cell r="K3697" t="str">
            <v>KU</v>
          </cell>
          <cell r="L3697" t="str">
            <v>KHAR02</v>
          </cell>
          <cell r="M3697" t="str">
            <v>Karisma Eka Putra</v>
          </cell>
          <cell r="N3697" t="str">
            <v>Karisma Eka Putra, PT</v>
          </cell>
          <cell r="O3697" t="str">
            <v>Jalan Mayor Unus 10 Punduhan RT.005/RW.001, Jogonegoro, Mertoyudan</v>
          </cell>
          <cell r="P3697" t="str">
            <v>Magelang</v>
          </cell>
          <cell r="Q3697" t="str">
            <v>Magelang</v>
          </cell>
          <cell r="R3697" t="str">
            <v>Magelang</v>
          </cell>
          <cell r="S3697" t="str">
            <v>I Jabar Jateng</v>
          </cell>
          <cell r="T3697" t="str">
            <v>OTHERS</v>
          </cell>
          <cell r="U3697">
            <v>60</v>
          </cell>
        </row>
        <row r="3698">
          <cell r="E3698" t="str">
            <v>D25010063</v>
          </cell>
          <cell r="F3698"/>
          <cell r="G3698">
            <v>5000000000</v>
          </cell>
          <cell r="H3698" t="str">
            <v>Hendra</v>
          </cell>
          <cell r="I3698" t="str">
            <v>Tiya</v>
          </cell>
          <cell r="J3698"/>
          <cell r="K3698" t="str">
            <v>KU</v>
          </cell>
          <cell r="L3698" t="str">
            <v>KHAR02</v>
          </cell>
          <cell r="M3698" t="str">
            <v>Karisma Eka Putra</v>
          </cell>
          <cell r="N3698" t="str">
            <v>Karisma Eka Putra, PT</v>
          </cell>
          <cell r="O3698" t="str">
            <v>Jalan Mayor Unus 10 Punduhan RT.005/RW.001, Jogonegoro, Mertoyudan</v>
          </cell>
          <cell r="P3698" t="str">
            <v>Magelang</v>
          </cell>
          <cell r="Q3698" t="str">
            <v>Magelang</v>
          </cell>
          <cell r="R3698" t="str">
            <v>Magelang</v>
          </cell>
          <cell r="S3698" t="str">
            <v>I Jabar Jateng</v>
          </cell>
          <cell r="T3698" t="str">
            <v>OTHERS</v>
          </cell>
          <cell r="U3698">
            <v>60</v>
          </cell>
        </row>
        <row r="3699">
          <cell r="E3699" t="str">
            <v>D25010064</v>
          </cell>
          <cell r="F3699"/>
          <cell r="G3699">
            <v>5000000000</v>
          </cell>
          <cell r="H3699" t="str">
            <v>Hendra</v>
          </cell>
          <cell r="I3699" t="str">
            <v>Tiya</v>
          </cell>
          <cell r="J3699"/>
          <cell r="K3699" t="str">
            <v>KU</v>
          </cell>
          <cell r="L3699" t="str">
            <v>KHAR02</v>
          </cell>
          <cell r="M3699" t="str">
            <v>Karisma Eka Putra</v>
          </cell>
          <cell r="N3699" t="str">
            <v>Karisma Eka Putra, PT</v>
          </cell>
          <cell r="O3699" t="str">
            <v>Jalan Mayor Unus 10 Punduhan RT.005/RW.001, Jogonegoro, Mertoyudan</v>
          </cell>
          <cell r="P3699" t="str">
            <v>Magelang</v>
          </cell>
          <cell r="Q3699" t="str">
            <v>Magelang</v>
          </cell>
          <cell r="R3699" t="str">
            <v>Magelang</v>
          </cell>
          <cell r="S3699" t="str">
            <v>I Jabar Jateng</v>
          </cell>
          <cell r="T3699" t="str">
            <v>OTHERS</v>
          </cell>
          <cell r="U3699">
            <v>60</v>
          </cell>
        </row>
        <row r="3700">
          <cell r="E3700" t="str">
            <v>B25008264</v>
          </cell>
          <cell r="F3700"/>
          <cell r="G3700">
            <v>5000000000</v>
          </cell>
          <cell r="H3700" t="str">
            <v>Hendra</v>
          </cell>
          <cell r="I3700" t="str">
            <v>Tiya</v>
          </cell>
          <cell r="J3700"/>
          <cell r="K3700" t="str">
            <v>KU</v>
          </cell>
          <cell r="L3700" t="str">
            <v>KHAR02</v>
          </cell>
          <cell r="M3700" t="str">
            <v>Karisma Eka Putra</v>
          </cell>
          <cell r="N3700" t="str">
            <v>Karisma Eka Putra, PT</v>
          </cell>
          <cell r="O3700" t="str">
            <v>Jalan Mayor Unus 10 Punduhan RT.005/RW.001, Jogonegoro, Mertoyudan</v>
          </cell>
          <cell r="P3700" t="str">
            <v>Magelang</v>
          </cell>
          <cell r="Q3700" t="str">
            <v>Magelang</v>
          </cell>
          <cell r="R3700" t="str">
            <v>Magelang</v>
          </cell>
          <cell r="S3700" t="str">
            <v>I Jabar Jateng</v>
          </cell>
          <cell r="T3700" t="str">
            <v>OTHERS</v>
          </cell>
          <cell r="U3700">
            <v>60</v>
          </cell>
        </row>
        <row r="3701">
          <cell r="E3701" t="str">
            <v>B25008693</v>
          </cell>
          <cell r="F3701"/>
          <cell r="G3701">
            <v>5000000000</v>
          </cell>
          <cell r="H3701" t="str">
            <v>Hendra</v>
          </cell>
          <cell r="I3701" t="str">
            <v>Tiya</v>
          </cell>
          <cell r="J3701"/>
          <cell r="K3701" t="str">
            <v>KU</v>
          </cell>
          <cell r="L3701" t="str">
            <v>KHAR02</v>
          </cell>
          <cell r="M3701" t="str">
            <v>Karisma Eka Putra</v>
          </cell>
          <cell r="N3701" t="str">
            <v>Karisma Eka Putra, PT</v>
          </cell>
          <cell r="O3701" t="str">
            <v>Jalan Mayor Unus 10 Punduhan RT.005/RW.001, Jogonegoro, Mertoyudan</v>
          </cell>
          <cell r="P3701" t="str">
            <v>Magelang</v>
          </cell>
          <cell r="Q3701" t="str">
            <v>Magelang</v>
          </cell>
          <cell r="R3701" t="str">
            <v>Magelang</v>
          </cell>
          <cell r="S3701" t="str">
            <v>I Jabar Jateng</v>
          </cell>
          <cell r="T3701" t="str">
            <v>OTHERS</v>
          </cell>
          <cell r="U3701">
            <v>60</v>
          </cell>
        </row>
        <row r="3702">
          <cell r="E3702" t="str">
            <v>B25008848</v>
          </cell>
          <cell r="F3702"/>
          <cell r="G3702">
            <v>5000000000</v>
          </cell>
          <cell r="H3702" t="str">
            <v>Hendra</v>
          </cell>
          <cell r="I3702" t="str">
            <v>Tiya</v>
          </cell>
          <cell r="J3702"/>
          <cell r="K3702" t="str">
            <v>KU</v>
          </cell>
          <cell r="L3702" t="str">
            <v>KHAR02</v>
          </cell>
          <cell r="M3702" t="str">
            <v>Karisma Eka Putra</v>
          </cell>
          <cell r="N3702" t="str">
            <v>Karisma Eka Putra, PT</v>
          </cell>
          <cell r="O3702" t="str">
            <v>Jalan Mayor Unus 10 Punduhan RT.005/RW.001, Jogonegoro, Mertoyudan</v>
          </cell>
          <cell r="P3702" t="str">
            <v>Magelang</v>
          </cell>
          <cell r="Q3702" t="str">
            <v>Magelang</v>
          </cell>
          <cell r="R3702" t="str">
            <v>Magelang</v>
          </cell>
          <cell r="S3702" t="str">
            <v>I Jabar Jateng</v>
          </cell>
          <cell r="T3702" t="str">
            <v>OTHERS</v>
          </cell>
          <cell r="U3702">
            <v>60</v>
          </cell>
        </row>
        <row r="3703">
          <cell r="E3703" t="str">
            <v>B25008880</v>
          </cell>
          <cell r="F3703"/>
          <cell r="G3703">
            <v>5000000000</v>
          </cell>
          <cell r="H3703" t="str">
            <v>Hendra</v>
          </cell>
          <cell r="I3703" t="str">
            <v>Tiya</v>
          </cell>
          <cell r="J3703"/>
          <cell r="K3703" t="str">
            <v>KU</v>
          </cell>
          <cell r="L3703" t="str">
            <v>KHAR02</v>
          </cell>
          <cell r="M3703" t="str">
            <v>Karisma Eka Putra</v>
          </cell>
          <cell r="N3703" t="str">
            <v>Karisma Eka Putra, PT</v>
          </cell>
          <cell r="O3703" t="str">
            <v>Jalan Mayor Unus 10 Punduhan RT.005/RW.001, Jogonegoro, Mertoyudan</v>
          </cell>
          <cell r="P3703" t="str">
            <v>Magelang</v>
          </cell>
          <cell r="Q3703" t="str">
            <v>Magelang</v>
          </cell>
          <cell r="R3703" t="str">
            <v>Magelang</v>
          </cell>
          <cell r="S3703" t="str">
            <v>I Jabar Jateng</v>
          </cell>
          <cell r="T3703" t="str">
            <v>OTHERS</v>
          </cell>
          <cell r="U3703">
            <v>60</v>
          </cell>
        </row>
        <row r="3704">
          <cell r="E3704" t="str">
            <v>B25008973</v>
          </cell>
          <cell r="F3704"/>
          <cell r="G3704">
            <v>5000000000</v>
          </cell>
          <cell r="H3704" t="str">
            <v>Hendra</v>
          </cell>
          <cell r="I3704" t="str">
            <v>Tiya</v>
          </cell>
          <cell r="J3704"/>
          <cell r="K3704" t="str">
            <v>KU</v>
          </cell>
          <cell r="L3704" t="str">
            <v>KHAR02</v>
          </cell>
          <cell r="M3704" t="str">
            <v>Karisma Eka Putra</v>
          </cell>
          <cell r="N3704" t="str">
            <v>Karisma Eka Putra, PT</v>
          </cell>
          <cell r="O3704" t="str">
            <v>Jalan Mayor Unus 10 Punduhan RT.005/RW.001, Jogonegoro, Mertoyudan</v>
          </cell>
          <cell r="P3704" t="str">
            <v>Magelang</v>
          </cell>
          <cell r="Q3704" t="str">
            <v>Magelang</v>
          </cell>
          <cell r="R3704" t="str">
            <v>Magelang</v>
          </cell>
          <cell r="S3704" t="str">
            <v>I Jabar Jateng</v>
          </cell>
          <cell r="T3704" t="str">
            <v>OTHERS</v>
          </cell>
          <cell r="U3704">
            <v>60</v>
          </cell>
        </row>
        <row r="3705">
          <cell r="E3705" t="str">
            <v>B25009228</v>
          </cell>
          <cell r="F3705"/>
          <cell r="G3705">
            <v>5000000000</v>
          </cell>
          <cell r="H3705" t="str">
            <v>Hendra</v>
          </cell>
          <cell r="I3705" t="str">
            <v>Tiya</v>
          </cell>
          <cell r="J3705"/>
          <cell r="K3705" t="str">
            <v>KU</v>
          </cell>
          <cell r="L3705" t="str">
            <v>KHAR02</v>
          </cell>
          <cell r="M3705" t="str">
            <v>Karisma Eka Putra</v>
          </cell>
          <cell r="N3705" t="str">
            <v>Karisma Eka Putra, PT</v>
          </cell>
          <cell r="O3705" t="str">
            <v>Jalan Mayor Unus 10 Punduhan RT.005/RW.001, Jogonegoro, Mertoyudan</v>
          </cell>
          <cell r="P3705" t="str">
            <v>Magelang</v>
          </cell>
          <cell r="Q3705" t="str">
            <v>Magelang</v>
          </cell>
          <cell r="R3705" t="str">
            <v>Magelang</v>
          </cell>
          <cell r="S3705" t="str">
            <v>I Jabar Jateng</v>
          </cell>
          <cell r="T3705" t="str">
            <v>OTHERS</v>
          </cell>
          <cell r="U3705">
            <v>60</v>
          </cell>
        </row>
        <row r="3706">
          <cell r="E3706" t="str">
            <v>B25009594</v>
          </cell>
          <cell r="F3706"/>
          <cell r="G3706">
            <v>5000000000</v>
          </cell>
          <cell r="H3706" t="str">
            <v>Hendra</v>
          </cell>
          <cell r="I3706" t="str">
            <v>Tiya</v>
          </cell>
          <cell r="J3706"/>
          <cell r="K3706" t="str">
            <v>KU</v>
          </cell>
          <cell r="L3706" t="str">
            <v>KHAR02</v>
          </cell>
          <cell r="M3706" t="str">
            <v>Karisma Eka Putra</v>
          </cell>
          <cell r="N3706" t="str">
            <v>Karisma Eka Putra, PT</v>
          </cell>
          <cell r="O3706" t="str">
            <v>Jalan Mayor Unus 10 Punduhan RT.005/RW.001, Jogonegoro, Mertoyudan</v>
          </cell>
          <cell r="P3706" t="str">
            <v>Magelang</v>
          </cell>
          <cell r="Q3706" t="str">
            <v>Magelang</v>
          </cell>
          <cell r="R3706" t="str">
            <v>Magelang</v>
          </cell>
          <cell r="S3706" t="str">
            <v>I Jabar Jateng</v>
          </cell>
          <cell r="T3706" t="str">
            <v>OTHERS</v>
          </cell>
          <cell r="U3706">
            <v>60</v>
          </cell>
        </row>
        <row r="3707">
          <cell r="E3707" t="str">
            <v>B25009776</v>
          </cell>
          <cell r="F3707"/>
          <cell r="G3707">
            <v>5000000000</v>
          </cell>
          <cell r="H3707" t="str">
            <v>Hendra</v>
          </cell>
          <cell r="I3707" t="str">
            <v>Tiya</v>
          </cell>
          <cell r="J3707"/>
          <cell r="K3707" t="str">
            <v>KU</v>
          </cell>
          <cell r="L3707" t="str">
            <v>KHAR02</v>
          </cell>
          <cell r="M3707" t="str">
            <v>Karisma Eka Putra</v>
          </cell>
          <cell r="N3707" t="str">
            <v>Karisma Eka Putra, PT</v>
          </cell>
          <cell r="O3707" t="str">
            <v>Jalan Mayor Unus 10 Punduhan RT.005/RW.001, Jogonegoro, Mertoyudan</v>
          </cell>
          <cell r="P3707" t="str">
            <v>Magelang</v>
          </cell>
          <cell r="Q3707" t="str">
            <v>Magelang</v>
          </cell>
          <cell r="R3707" t="str">
            <v>Magelang</v>
          </cell>
          <cell r="S3707" t="str">
            <v>I Jabar Jateng</v>
          </cell>
          <cell r="T3707" t="str">
            <v>OTHERS</v>
          </cell>
          <cell r="U3707">
            <v>60</v>
          </cell>
        </row>
        <row r="3708">
          <cell r="E3708" t="str">
            <v>B25009799</v>
          </cell>
          <cell r="F3708"/>
          <cell r="G3708">
            <v>5000000000</v>
          </cell>
          <cell r="H3708" t="str">
            <v>Hendra</v>
          </cell>
          <cell r="I3708" t="str">
            <v>Tiya</v>
          </cell>
          <cell r="J3708"/>
          <cell r="K3708" t="str">
            <v>KU</v>
          </cell>
          <cell r="L3708" t="str">
            <v>KHAR02</v>
          </cell>
          <cell r="M3708" t="str">
            <v>Karisma Eka Putra</v>
          </cell>
          <cell r="N3708" t="str">
            <v>Karisma Eka Putra, PT</v>
          </cell>
          <cell r="O3708" t="str">
            <v>Jalan Mayor Unus 10 Punduhan RT.005/RW.001, Jogonegoro, Mertoyudan</v>
          </cell>
          <cell r="P3708" t="str">
            <v>Magelang</v>
          </cell>
          <cell r="Q3708" t="str">
            <v>Magelang</v>
          </cell>
          <cell r="R3708" t="str">
            <v>Magelang</v>
          </cell>
          <cell r="S3708" t="str">
            <v>I Jabar Jateng</v>
          </cell>
          <cell r="T3708" t="str">
            <v>OTHERS</v>
          </cell>
          <cell r="U3708">
            <v>60</v>
          </cell>
        </row>
        <row r="3709">
          <cell r="E3709" t="str">
            <v>B25009800</v>
          </cell>
          <cell r="F3709"/>
          <cell r="G3709">
            <v>5000000000</v>
          </cell>
          <cell r="H3709" t="str">
            <v>Hendra</v>
          </cell>
          <cell r="I3709" t="str">
            <v>Tiya</v>
          </cell>
          <cell r="J3709"/>
          <cell r="K3709" t="str">
            <v>KU</v>
          </cell>
          <cell r="L3709" t="str">
            <v>KHAR02</v>
          </cell>
          <cell r="M3709" t="str">
            <v>Karisma Eka Putra</v>
          </cell>
          <cell r="N3709" t="str">
            <v>Karisma Eka Putra, PT</v>
          </cell>
          <cell r="O3709" t="str">
            <v>Jalan Mayor Unus 10 Punduhan RT.005/RW.001, Jogonegoro, Mertoyudan</v>
          </cell>
          <cell r="P3709" t="str">
            <v>Magelang</v>
          </cell>
          <cell r="Q3709" t="str">
            <v>Magelang</v>
          </cell>
          <cell r="R3709" t="str">
            <v>Magelang</v>
          </cell>
          <cell r="S3709" t="str">
            <v>I Jabar Jateng</v>
          </cell>
          <cell r="T3709" t="str">
            <v>OTHERS</v>
          </cell>
          <cell r="U3709">
            <v>60</v>
          </cell>
        </row>
        <row r="3710">
          <cell r="E3710" t="str">
            <v>B25010101</v>
          </cell>
          <cell r="F3710"/>
          <cell r="G3710">
            <v>5000000000</v>
          </cell>
          <cell r="H3710" t="str">
            <v>Hendra</v>
          </cell>
          <cell r="I3710" t="str">
            <v>Tiya</v>
          </cell>
          <cell r="J3710"/>
          <cell r="K3710" t="str">
            <v>KU</v>
          </cell>
          <cell r="L3710" t="str">
            <v>KHAR02</v>
          </cell>
          <cell r="M3710" t="str">
            <v>Karisma Eka Putra</v>
          </cell>
          <cell r="N3710" t="str">
            <v>Karisma Eka Putra, PT</v>
          </cell>
          <cell r="O3710" t="str">
            <v>Jalan Mayor Unus 10 Punduhan RT.005/RW.001, Jogonegoro, Mertoyudan</v>
          </cell>
          <cell r="P3710" t="str">
            <v>Magelang</v>
          </cell>
          <cell r="Q3710" t="str">
            <v>Magelang</v>
          </cell>
          <cell r="R3710" t="str">
            <v>Magelang</v>
          </cell>
          <cell r="S3710" t="str">
            <v>I Jabar Jateng</v>
          </cell>
          <cell r="T3710" t="str">
            <v>OTHERS</v>
          </cell>
          <cell r="U3710">
            <v>60</v>
          </cell>
        </row>
        <row r="3711">
          <cell r="E3711" t="str">
            <v>B25010275</v>
          </cell>
          <cell r="F3711"/>
          <cell r="G3711">
            <v>5000000000</v>
          </cell>
          <cell r="H3711" t="str">
            <v>Hendra</v>
          </cell>
          <cell r="I3711" t="str">
            <v>Tiya</v>
          </cell>
          <cell r="J3711"/>
          <cell r="K3711" t="str">
            <v>KU</v>
          </cell>
          <cell r="L3711" t="str">
            <v>KHAR02</v>
          </cell>
          <cell r="M3711" t="str">
            <v>Karisma Eka Putra</v>
          </cell>
          <cell r="N3711" t="str">
            <v>Karisma Eka Putra, PT</v>
          </cell>
          <cell r="O3711" t="str">
            <v>Jalan Mayor Unus 10 Punduhan RT.005/RW.001, Jogonegoro, Mertoyudan</v>
          </cell>
          <cell r="P3711" t="str">
            <v>Magelang</v>
          </cell>
          <cell r="Q3711" t="str">
            <v>Magelang</v>
          </cell>
          <cell r="R3711" t="str">
            <v>Magelang</v>
          </cell>
          <cell r="S3711" t="str">
            <v>I Jabar Jateng</v>
          </cell>
          <cell r="T3711" t="str">
            <v>OTHERS</v>
          </cell>
          <cell r="U3711">
            <v>60</v>
          </cell>
        </row>
        <row r="3712">
          <cell r="E3712" t="str">
            <v>B25010486</v>
          </cell>
          <cell r="F3712"/>
          <cell r="G3712">
            <v>5000000000</v>
          </cell>
          <cell r="H3712" t="str">
            <v>Hendra</v>
          </cell>
          <cell r="I3712" t="str">
            <v>Tiya</v>
          </cell>
          <cell r="J3712"/>
          <cell r="K3712" t="str">
            <v>KU</v>
          </cell>
          <cell r="L3712" t="str">
            <v>KHAR02</v>
          </cell>
          <cell r="M3712" t="str">
            <v>Karisma Eka Putra</v>
          </cell>
          <cell r="N3712" t="str">
            <v>Karisma Eka Putra, PT</v>
          </cell>
          <cell r="O3712" t="str">
            <v>Jalan Mayor Unus 10 Punduhan RT.005/RW.001, Jogonegoro, Mertoyudan</v>
          </cell>
          <cell r="P3712" t="str">
            <v>Magelang</v>
          </cell>
          <cell r="Q3712" t="str">
            <v>Magelang</v>
          </cell>
          <cell r="R3712" t="str">
            <v>Magelang</v>
          </cell>
          <cell r="S3712" t="str">
            <v>I Jabar Jateng</v>
          </cell>
          <cell r="T3712" t="str">
            <v>OTHERS</v>
          </cell>
          <cell r="U3712">
            <v>60</v>
          </cell>
        </row>
        <row r="3713">
          <cell r="E3713" t="str">
            <v>D25012876</v>
          </cell>
          <cell r="F3713"/>
          <cell r="G3713">
            <v>5000000000</v>
          </cell>
          <cell r="H3713" t="str">
            <v>Hendra</v>
          </cell>
          <cell r="I3713" t="str">
            <v>Tiya</v>
          </cell>
          <cell r="J3713"/>
          <cell r="K3713" t="str">
            <v>KU</v>
          </cell>
          <cell r="L3713" t="str">
            <v>KHAR02</v>
          </cell>
          <cell r="M3713" t="str">
            <v>Karisma Eka Putra</v>
          </cell>
          <cell r="N3713" t="str">
            <v>Karisma Eka Putra, PT</v>
          </cell>
          <cell r="O3713" t="str">
            <v>Jalan Mayor Unus 10 Punduhan RT.005/RW.001, Jogonegoro, Mertoyudan</v>
          </cell>
          <cell r="P3713" t="str">
            <v>Magelang</v>
          </cell>
          <cell r="Q3713" t="str">
            <v>Magelang</v>
          </cell>
          <cell r="R3713" t="str">
            <v>Magelang</v>
          </cell>
          <cell r="S3713" t="str">
            <v>I Jabar Jateng</v>
          </cell>
          <cell r="T3713" t="str">
            <v>OTHERS</v>
          </cell>
          <cell r="U3713">
            <v>60</v>
          </cell>
        </row>
        <row r="3714">
          <cell r="E3714" t="str">
            <v>B25011067</v>
          </cell>
          <cell r="F3714"/>
          <cell r="G3714">
            <v>5000000000</v>
          </cell>
          <cell r="H3714" t="str">
            <v>Hendra</v>
          </cell>
          <cell r="I3714" t="str">
            <v>Tiya</v>
          </cell>
          <cell r="J3714"/>
          <cell r="K3714" t="str">
            <v>KU</v>
          </cell>
          <cell r="L3714" t="str">
            <v>KHAR02</v>
          </cell>
          <cell r="M3714" t="str">
            <v>Karisma Eka Putra</v>
          </cell>
          <cell r="N3714" t="str">
            <v>Karisma Eka Putra, PT</v>
          </cell>
          <cell r="O3714" t="str">
            <v>Jalan Mayor Unus 10 Punduhan RT.005/RW.001, Jogonegoro, Mertoyudan</v>
          </cell>
          <cell r="P3714" t="str">
            <v>Magelang</v>
          </cell>
          <cell r="Q3714" t="str">
            <v>Magelang</v>
          </cell>
          <cell r="R3714" t="str">
            <v>Magelang</v>
          </cell>
          <cell r="S3714" t="str">
            <v>I Jabar Jateng</v>
          </cell>
          <cell r="T3714" t="str">
            <v>OTHERS</v>
          </cell>
          <cell r="U3714">
            <v>60</v>
          </cell>
        </row>
        <row r="3715">
          <cell r="E3715" t="str">
            <v>D25013547</v>
          </cell>
          <cell r="F3715"/>
          <cell r="G3715">
            <v>5000000000</v>
          </cell>
          <cell r="H3715" t="str">
            <v>Hendra</v>
          </cell>
          <cell r="I3715" t="str">
            <v>Tiya</v>
          </cell>
          <cell r="J3715"/>
          <cell r="K3715" t="str">
            <v>KU</v>
          </cell>
          <cell r="L3715" t="str">
            <v>KHAR02</v>
          </cell>
          <cell r="M3715" t="str">
            <v>Karisma Eka Putra</v>
          </cell>
          <cell r="N3715" t="str">
            <v>Karisma Eka Putra, PT</v>
          </cell>
          <cell r="O3715" t="str">
            <v>Jalan Mayor Unus 10 Punduhan RT.005/RW.001, Jogonegoro, Mertoyudan</v>
          </cell>
          <cell r="P3715" t="str">
            <v>Magelang</v>
          </cell>
          <cell r="Q3715" t="str">
            <v>Magelang</v>
          </cell>
          <cell r="R3715" t="str">
            <v>Magelang</v>
          </cell>
          <cell r="S3715" t="str">
            <v>I Jabar Jateng</v>
          </cell>
          <cell r="T3715" t="str">
            <v>OTHERS</v>
          </cell>
          <cell r="U3715">
            <v>60</v>
          </cell>
        </row>
        <row r="3716">
          <cell r="E3716" t="str">
            <v>D25013555</v>
          </cell>
          <cell r="F3716"/>
          <cell r="G3716">
            <v>5000000000</v>
          </cell>
          <cell r="H3716" t="str">
            <v>Hendra</v>
          </cell>
          <cell r="I3716" t="str">
            <v>Tiya</v>
          </cell>
          <cell r="J3716"/>
          <cell r="K3716" t="str">
            <v>KU</v>
          </cell>
          <cell r="L3716" t="str">
            <v>KHAR02</v>
          </cell>
          <cell r="M3716" t="str">
            <v>Karisma Eka Putra</v>
          </cell>
          <cell r="N3716" t="str">
            <v>Karisma Eka Putra, PT</v>
          </cell>
          <cell r="O3716" t="str">
            <v>Jalan Mayor Unus 10 Punduhan RT.005/RW.001, Jogonegoro, Mertoyudan</v>
          </cell>
          <cell r="P3716" t="str">
            <v>Magelang</v>
          </cell>
          <cell r="Q3716" t="str">
            <v>Magelang</v>
          </cell>
          <cell r="R3716" t="str">
            <v>Magelang</v>
          </cell>
          <cell r="S3716" t="str">
            <v>I Jabar Jateng</v>
          </cell>
          <cell r="T3716" t="str">
            <v>OTHERS</v>
          </cell>
          <cell r="U3716">
            <v>60</v>
          </cell>
        </row>
        <row r="3717">
          <cell r="E3717" t="str">
            <v>D25013601</v>
          </cell>
          <cell r="F3717"/>
          <cell r="G3717">
            <v>5000000000</v>
          </cell>
          <cell r="H3717" t="str">
            <v>Hendra</v>
          </cell>
          <cell r="I3717" t="str">
            <v>Tiya</v>
          </cell>
          <cell r="J3717"/>
          <cell r="K3717" t="str">
            <v>KU</v>
          </cell>
          <cell r="L3717" t="str">
            <v>KHAR02</v>
          </cell>
          <cell r="M3717" t="str">
            <v>Karisma Eka Putra</v>
          </cell>
          <cell r="N3717" t="str">
            <v>Karisma Eka Putra, PT</v>
          </cell>
          <cell r="O3717" t="str">
            <v>Jalan Mayor Unus 10 Punduhan RT.005/RW.001, Jogonegoro, Mertoyudan</v>
          </cell>
          <cell r="P3717" t="str">
            <v>Magelang</v>
          </cell>
          <cell r="Q3717" t="str">
            <v>Magelang</v>
          </cell>
          <cell r="R3717" t="str">
            <v>Magelang</v>
          </cell>
          <cell r="S3717" t="str">
            <v>I Jabar Jateng</v>
          </cell>
          <cell r="T3717" t="str">
            <v>OTHERS</v>
          </cell>
          <cell r="U3717">
            <v>60</v>
          </cell>
        </row>
        <row r="3718">
          <cell r="E3718" t="str">
            <v>B25011777</v>
          </cell>
          <cell r="F3718"/>
          <cell r="G3718">
            <v>5000000000</v>
          </cell>
          <cell r="H3718" t="str">
            <v>Hendra</v>
          </cell>
          <cell r="I3718" t="str">
            <v>Tiya</v>
          </cell>
          <cell r="J3718"/>
          <cell r="K3718" t="str">
            <v>KU</v>
          </cell>
          <cell r="L3718" t="str">
            <v>KHAR02</v>
          </cell>
          <cell r="M3718" t="str">
            <v>Karisma Eka Putra</v>
          </cell>
          <cell r="N3718" t="str">
            <v>Karisma Eka Putra, PT</v>
          </cell>
          <cell r="O3718" t="str">
            <v>Jalan Mayor Unus 10 Punduhan RT.005/RW.001, Jogonegoro, Mertoyudan</v>
          </cell>
          <cell r="P3718" t="str">
            <v>Magelang</v>
          </cell>
          <cell r="Q3718" t="str">
            <v>Magelang</v>
          </cell>
          <cell r="R3718" t="str">
            <v>Magelang</v>
          </cell>
          <cell r="S3718" t="str">
            <v>I Jabar Jateng</v>
          </cell>
          <cell r="T3718" t="str">
            <v>OTHERS</v>
          </cell>
          <cell r="U3718">
            <v>60</v>
          </cell>
        </row>
        <row r="3719">
          <cell r="E3719" t="str">
            <v>D25014078</v>
          </cell>
          <cell r="F3719"/>
          <cell r="G3719">
            <v>5000000000</v>
          </cell>
          <cell r="H3719" t="str">
            <v>Hendra</v>
          </cell>
          <cell r="I3719" t="str">
            <v>Tiya</v>
          </cell>
          <cell r="J3719"/>
          <cell r="K3719" t="str">
            <v>KU</v>
          </cell>
          <cell r="L3719" t="str">
            <v>KHAR02</v>
          </cell>
          <cell r="M3719" t="str">
            <v>Karisma Eka Putra</v>
          </cell>
          <cell r="N3719" t="str">
            <v>Karisma Eka Putra, PT</v>
          </cell>
          <cell r="O3719" t="str">
            <v>Jalan Mayor Unus 10 Punduhan RT.005/RW.001, Jogonegoro, Mertoyudan</v>
          </cell>
          <cell r="P3719" t="str">
            <v>Magelang</v>
          </cell>
          <cell r="Q3719" t="str">
            <v>Magelang</v>
          </cell>
          <cell r="R3719" t="str">
            <v>Magelang</v>
          </cell>
          <cell r="S3719" t="str">
            <v>I Jabar Jateng</v>
          </cell>
          <cell r="T3719" t="str">
            <v>OTHERS</v>
          </cell>
          <cell r="U3719">
            <v>60</v>
          </cell>
        </row>
        <row r="3720">
          <cell r="E3720" t="str">
            <v>D25014111</v>
          </cell>
          <cell r="F3720"/>
          <cell r="G3720">
            <v>5000000000</v>
          </cell>
          <cell r="H3720" t="str">
            <v>Hendra</v>
          </cell>
          <cell r="I3720" t="str">
            <v>Tiya</v>
          </cell>
          <cell r="J3720"/>
          <cell r="K3720" t="str">
            <v>KU</v>
          </cell>
          <cell r="L3720" t="str">
            <v>KHAR02</v>
          </cell>
          <cell r="M3720" t="str">
            <v>Karisma Eka Putra</v>
          </cell>
          <cell r="N3720" t="str">
            <v>Karisma Eka Putra, PT</v>
          </cell>
          <cell r="O3720" t="str">
            <v>Jalan Mayor Unus 10 Punduhan RT.005/RW.001, Jogonegoro, Mertoyudan</v>
          </cell>
          <cell r="P3720" t="str">
            <v>Magelang</v>
          </cell>
          <cell r="Q3720" t="str">
            <v>Magelang</v>
          </cell>
          <cell r="R3720" t="str">
            <v>Magelang</v>
          </cell>
          <cell r="S3720" t="str">
            <v>I Jabar Jateng</v>
          </cell>
          <cell r="T3720" t="str">
            <v>OTHERS</v>
          </cell>
          <cell r="U3720">
            <v>60</v>
          </cell>
        </row>
        <row r="3721">
          <cell r="E3721" t="str">
            <v>B25012230</v>
          </cell>
          <cell r="F3721"/>
          <cell r="G3721">
            <v>5000000000</v>
          </cell>
          <cell r="H3721" t="str">
            <v>Hendra</v>
          </cell>
          <cell r="I3721" t="str">
            <v>Tiya</v>
          </cell>
          <cell r="J3721"/>
          <cell r="K3721" t="str">
            <v>KU</v>
          </cell>
          <cell r="L3721" t="str">
            <v>KHAR02</v>
          </cell>
          <cell r="M3721" t="str">
            <v>Karisma Eka Putra</v>
          </cell>
          <cell r="N3721" t="str">
            <v>Karisma Eka Putra, PT</v>
          </cell>
          <cell r="O3721" t="str">
            <v>Jalan Mayor Unus 10 Punduhan RT.005/RW.001, Jogonegoro, Mertoyudan</v>
          </cell>
          <cell r="P3721" t="str">
            <v>Magelang</v>
          </cell>
          <cell r="Q3721" t="str">
            <v>Magelang</v>
          </cell>
          <cell r="R3721" t="str">
            <v>Magelang</v>
          </cell>
          <cell r="S3721" t="str">
            <v>I Jabar Jateng</v>
          </cell>
          <cell r="T3721" t="str">
            <v>OTHERS</v>
          </cell>
          <cell r="U3721">
            <v>60</v>
          </cell>
        </row>
        <row r="3722">
          <cell r="E3722" t="str">
            <v>D25014573</v>
          </cell>
          <cell r="F3722"/>
          <cell r="G3722">
            <v>5000000000</v>
          </cell>
          <cell r="H3722" t="str">
            <v>Hendra</v>
          </cell>
          <cell r="I3722" t="str">
            <v>Tiya</v>
          </cell>
          <cell r="J3722"/>
          <cell r="K3722" t="str">
            <v>KU</v>
          </cell>
          <cell r="L3722" t="str">
            <v>KHAR02</v>
          </cell>
          <cell r="M3722" t="str">
            <v>Karisma Eka Putra</v>
          </cell>
          <cell r="N3722" t="str">
            <v>Karisma Eka Putra, PT</v>
          </cell>
          <cell r="O3722" t="str">
            <v>Jalan Mayor Unus 10 Punduhan RT.005/RW.001, Jogonegoro, Mertoyudan</v>
          </cell>
          <cell r="P3722" t="str">
            <v>Magelang</v>
          </cell>
          <cell r="Q3722" t="str">
            <v>Magelang</v>
          </cell>
          <cell r="R3722" t="str">
            <v>Magelang</v>
          </cell>
          <cell r="S3722" t="str">
            <v>I Jabar Jateng</v>
          </cell>
          <cell r="T3722" t="str">
            <v>OTHERS</v>
          </cell>
          <cell r="U3722">
            <v>60</v>
          </cell>
        </row>
        <row r="3723">
          <cell r="E3723" t="str">
            <v>B25012367</v>
          </cell>
          <cell r="F3723"/>
          <cell r="G3723">
            <v>5000000000</v>
          </cell>
          <cell r="H3723" t="str">
            <v>Hendra</v>
          </cell>
          <cell r="I3723" t="str">
            <v>Tiya</v>
          </cell>
          <cell r="J3723"/>
          <cell r="K3723" t="str">
            <v>KU</v>
          </cell>
          <cell r="L3723" t="str">
            <v>KHAR02</v>
          </cell>
          <cell r="M3723" t="str">
            <v>Karisma Eka Putra</v>
          </cell>
          <cell r="N3723" t="str">
            <v>Karisma Eka Putra, PT</v>
          </cell>
          <cell r="O3723" t="str">
            <v>Jalan Mayor Unus 10 Punduhan RT.005/RW.001, Jogonegoro, Mertoyudan</v>
          </cell>
          <cell r="P3723" t="str">
            <v>Magelang</v>
          </cell>
          <cell r="Q3723" t="str">
            <v>Magelang</v>
          </cell>
          <cell r="R3723" t="str">
            <v>Magelang</v>
          </cell>
          <cell r="S3723" t="str">
            <v>I Jabar Jateng</v>
          </cell>
          <cell r="T3723" t="str">
            <v>OTHERS</v>
          </cell>
          <cell r="U3723">
            <v>60</v>
          </cell>
        </row>
        <row r="3724">
          <cell r="E3724" t="str">
            <v>B25012455</v>
          </cell>
          <cell r="F3724"/>
          <cell r="G3724">
            <v>5000000000</v>
          </cell>
          <cell r="H3724" t="str">
            <v>Hendra</v>
          </cell>
          <cell r="I3724" t="str">
            <v>Tiya</v>
          </cell>
          <cell r="J3724"/>
          <cell r="K3724" t="str">
            <v>KU</v>
          </cell>
          <cell r="L3724" t="str">
            <v>KHAR02</v>
          </cell>
          <cell r="M3724" t="str">
            <v>Karisma Eka Putra</v>
          </cell>
          <cell r="N3724" t="str">
            <v>Karisma Eka Putra, PT</v>
          </cell>
          <cell r="O3724" t="str">
            <v>Jalan Mayor Unus 10 Punduhan RT.005/RW.001, Jogonegoro, Mertoyudan</v>
          </cell>
          <cell r="P3724" t="str">
            <v>Magelang</v>
          </cell>
          <cell r="Q3724" t="str">
            <v>Magelang</v>
          </cell>
          <cell r="R3724" t="str">
            <v>Magelang</v>
          </cell>
          <cell r="S3724" t="str">
            <v>I Jabar Jateng</v>
          </cell>
          <cell r="T3724" t="str">
            <v>OTHERS</v>
          </cell>
          <cell r="U3724">
            <v>60</v>
          </cell>
        </row>
        <row r="3725">
          <cell r="E3725" t="str">
            <v>B25012709</v>
          </cell>
          <cell r="F3725"/>
          <cell r="G3725">
            <v>5000000000</v>
          </cell>
          <cell r="H3725" t="str">
            <v>Hendra</v>
          </cell>
          <cell r="I3725" t="str">
            <v>Tiya</v>
          </cell>
          <cell r="J3725"/>
          <cell r="K3725" t="str">
            <v>KU</v>
          </cell>
          <cell r="L3725" t="str">
            <v>KHAR02</v>
          </cell>
          <cell r="M3725" t="str">
            <v>Karisma Eka Putra</v>
          </cell>
          <cell r="N3725" t="str">
            <v>Karisma Eka Putra, PT</v>
          </cell>
          <cell r="O3725" t="str">
            <v>Jalan Mayor Unus 10 Punduhan RT.005/RW.001, Jogonegoro, Mertoyudan</v>
          </cell>
          <cell r="P3725" t="str">
            <v>Magelang</v>
          </cell>
          <cell r="Q3725" t="str">
            <v>Magelang</v>
          </cell>
          <cell r="R3725" t="str">
            <v>Magelang</v>
          </cell>
          <cell r="S3725" t="str">
            <v>I Jabar Jateng</v>
          </cell>
          <cell r="T3725" t="str">
            <v>OTHERS</v>
          </cell>
          <cell r="U3725">
            <v>60</v>
          </cell>
        </row>
        <row r="3726">
          <cell r="E3726" t="str">
            <v>B25012875</v>
          </cell>
          <cell r="F3726"/>
          <cell r="G3726">
            <v>5000000000</v>
          </cell>
          <cell r="H3726" t="str">
            <v>Hendra</v>
          </cell>
          <cell r="I3726" t="str">
            <v>Tiya</v>
          </cell>
          <cell r="J3726"/>
          <cell r="K3726" t="str">
            <v>KU</v>
          </cell>
          <cell r="L3726" t="str">
            <v>KHAR02</v>
          </cell>
          <cell r="M3726" t="str">
            <v>Karisma Eka Putra</v>
          </cell>
          <cell r="N3726" t="str">
            <v>Karisma Eka Putra, PT</v>
          </cell>
          <cell r="O3726" t="str">
            <v>Jalan Mayor Unus 10 Punduhan RT.005/RW.001, Jogonegoro, Mertoyudan</v>
          </cell>
          <cell r="P3726" t="str">
            <v>Magelang</v>
          </cell>
          <cell r="Q3726" t="str">
            <v>Magelang</v>
          </cell>
          <cell r="R3726" t="str">
            <v>Magelang</v>
          </cell>
          <cell r="S3726" t="str">
            <v>I Jabar Jateng</v>
          </cell>
          <cell r="T3726" t="str">
            <v>OTHERS</v>
          </cell>
          <cell r="U3726">
            <v>60</v>
          </cell>
        </row>
        <row r="3727">
          <cell r="E3727" t="str">
            <v>B25012876</v>
          </cell>
          <cell r="F3727"/>
          <cell r="G3727">
            <v>5000000000</v>
          </cell>
          <cell r="H3727" t="str">
            <v>Hendra</v>
          </cell>
          <cell r="I3727" t="str">
            <v>Tiya</v>
          </cell>
          <cell r="J3727"/>
          <cell r="K3727" t="str">
            <v>KU</v>
          </cell>
          <cell r="L3727" t="str">
            <v>KHAR02</v>
          </cell>
          <cell r="M3727" t="str">
            <v>Karisma Eka Putra</v>
          </cell>
          <cell r="N3727" t="str">
            <v>Karisma Eka Putra, PT</v>
          </cell>
          <cell r="O3727" t="str">
            <v>Jalan Mayor Unus 10 Punduhan RT.005/RW.001, Jogonegoro, Mertoyudan</v>
          </cell>
          <cell r="P3727" t="str">
            <v>Magelang</v>
          </cell>
          <cell r="Q3727" t="str">
            <v>Magelang</v>
          </cell>
          <cell r="R3727" t="str">
            <v>Magelang</v>
          </cell>
          <cell r="S3727" t="str">
            <v>I Jabar Jateng</v>
          </cell>
          <cell r="T3727" t="str">
            <v>OTHERS</v>
          </cell>
          <cell r="U3727">
            <v>60</v>
          </cell>
        </row>
        <row r="3728">
          <cell r="E3728" t="str">
            <v>B25012907</v>
          </cell>
          <cell r="F3728"/>
          <cell r="G3728">
            <v>5000000000</v>
          </cell>
          <cell r="H3728" t="str">
            <v>Hendra</v>
          </cell>
          <cell r="I3728" t="str">
            <v>Tiya</v>
          </cell>
          <cell r="J3728"/>
          <cell r="K3728" t="str">
            <v>KU</v>
          </cell>
          <cell r="L3728" t="str">
            <v>KHAR02</v>
          </cell>
          <cell r="M3728" t="str">
            <v>Karisma Eka Putra</v>
          </cell>
          <cell r="N3728" t="str">
            <v>Karisma Eka Putra, PT</v>
          </cell>
          <cell r="O3728" t="str">
            <v>Jalan Mayor Unus 10 Punduhan RT.005/RW.001, Jogonegoro, Mertoyudan</v>
          </cell>
          <cell r="P3728" t="str">
            <v>Magelang</v>
          </cell>
          <cell r="Q3728" t="str">
            <v>Magelang</v>
          </cell>
          <cell r="R3728" t="str">
            <v>Magelang</v>
          </cell>
          <cell r="S3728" t="str">
            <v>I Jabar Jateng</v>
          </cell>
          <cell r="T3728" t="str">
            <v>OTHERS</v>
          </cell>
          <cell r="U3728">
            <v>60</v>
          </cell>
        </row>
        <row r="3729">
          <cell r="E3729" t="str">
            <v>D25016022</v>
          </cell>
          <cell r="F3729"/>
          <cell r="G3729">
            <v>5000000000</v>
          </cell>
          <cell r="H3729" t="str">
            <v>Hendra</v>
          </cell>
          <cell r="I3729" t="str">
            <v>Tiya</v>
          </cell>
          <cell r="J3729"/>
          <cell r="K3729" t="str">
            <v>KU</v>
          </cell>
          <cell r="L3729" t="str">
            <v>KHAR02</v>
          </cell>
          <cell r="M3729" t="str">
            <v>Karisma Eka Putra</v>
          </cell>
          <cell r="N3729" t="str">
            <v>Karisma Eka Putra, PT</v>
          </cell>
          <cell r="O3729" t="str">
            <v>Jalan Mayor Unus 10 Punduhan RT.005/RW.001, Jogonegoro, Mertoyudan</v>
          </cell>
          <cell r="P3729" t="str">
            <v>Magelang</v>
          </cell>
          <cell r="Q3729" t="str">
            <v>Magelang</v>
          </cell>
          <cell r="R3729" t="str">
            <v>Magelang</v>
          </cell>
          <cell r="S3729" t="str">
            <v>I Jabar Jateng</v>
          </cell>
          <cell r="T3729" t="str">
            <v>OTHERS</v>
          </cell>
          <cell r="U3729">
            <v>60</v>
          </cell>
        </row>
        <row r="3730">
          <cell r="E3730" t="str">
            <v>D25016347</v>
          </cell>
          <cell r="F3730"/>
          <cell r="G3730">
            <v>5000000000</v>
          </cell>
          <cell r="H3730" t="str">
            <v>Hendra</v>
          </cell>
          <cell r="I3730" t="str">
            <v>Tiya</v>
          </cell>
          <cell r="J3730"/>
          <cell r="K3730" t="str">
            <v>KU</v>
          </cell>
          <cell r="L3730" t="str">
            <v>KHAR02</v>
          </cell>
          <cell r="M3730" t="str">
            <v>Karisma Eka Putra</v>
          </cell>
          <cell r="N3730" t="str">
            <v>Karisma Eka Putra, PT</v>
          </cell>
          <cell r="O3730" t="str">
            <v>Jalan Mayor Unus 10 Punduhan RT.005/RW.001, Jogonegoro, Mertoyudan</v>
          </cell>
          <cell r="P3730" t="str">
            <v>Magelang</v>
          </cell>
          <cell r="Q3730" t="str">
            <v>Magelang</v>
          </cell>
          <cell r="R3730" t="str">
            <v>Magelang</v>
          </cell>
          <cell r="S3730" t="str">
            <v>I Jabar Jateng</v>
          </cell>
          <cell r="T3730" t="str">
            <v>OTHERS</v>
          </cell>
          <cell r="U3730">
            <v>60</v>
          </cell>
        </row>
        <row r="3731">
          <cell r="E3731" t="str">
            <v>T22000046</v>
          </cell>
          <cell r="F3731"/>
          <cell r="G3731">
            <v>1000000000</v>
          </cell>
          <cell r="H3731" t="str">
            <v>Others</v>
          </cell>
          <cell r="I3731" t="str">
            <v>Exclusive</v>
          </cell>
          <cell r="J3731" t="str">
            <v>New 06/04/21</v>
          </cell>
          <cell r="K3731" t="str">
            <v>HDPD</v>
          </cell>
          <cell r="L3731" t="str">
            <v>KARI09</v>
          </cell>
          <cell r="M3731" t="str">
            <v>Karisma Indoagro Universal, PT</v>
          </cell>
          <cell r="N3731" t="str">
            <v>Karisma Indoagro Universal, PT</v>
          </cell>
          <cell r="O3731" t="str">
            <v>Jl. Semeru No. 89 RT.001/RW.004, Ajung</v>
          </cell>
          <cell r="P3731" t="str">
            <v>Jember</v>
          </cell>
          <cell r="Q3731" t="str">
            <v>Jl. Semeru No. 89 RT.001/RW.004, Ajung</v>
          </cell>
          <cell r="R3731" t="str">
            <v>Jember</v>
          </cell>
          <cell r="S3731" t="str">
            <v>L Kota1</v>
          </cell>
          <cell r="T3731" t="str">
            <v>OTHERS</v>
          </cell>
          <cell r="U3731">
            <v>0</v>
          </cell>
        </row>
        <row r="3732">
          <cell r="E3732" t="str">
            <v>T22000053</v>
          </cell>
          <cell r="F3732"/>
          <cell r="G3732">
            <v>1000000000</v>
          </cell>
          <cell r="H3732" t="str">
            <v>Others</v>
          </cell>
          <cell r="I3732" t="str">
            <v>Exclusive</v>
          </cell>
          <cell r="J3732" t="str">
            <v>New 06/04/21</v>
          </cell>
          <cell r="K3732" t="str">
            <v>HDPD</v>
          </cell>
          <cell r="L3732" t="str">
            <v>KARI09</v>
          </cell>
          <cell r="M3732" t="str">
            <v>Karisma Indoagro Universal, PT</v>
          </cell>
          <cell r="N3732" t="str">
            <v>Karisma Indoagro Universal, PT</v>
          </cell>
          <cell r="O3732" t="str">
            <v>Jl. Semeru No. 89 RT.001/RW.004, Ajung</v>
          </cell>
          <cell r="P3732" t="str">
            <v>Jember</v>
          </cell>
          <cell r="Q3732" t="str">
            <v>Jl. Semeru No. 89 RT.001/RW.004, Ajung</v>
          </cell>
          <cell r="R3732" t="str">
            <v>Jember</v>
          </cell>
          <cell r="S3732" t="str">
            <v>L Kota1</v>
          </cell>
          <cell r="T3732" t="str">
            <v>OTHERS</v>
          </cell>
          <cell r="U3732">
            <v>0</v>
          </cell>
        </row>
        <row r="3733">
          <cell r="E3733" t="str">
            <v>T22000087</v>
          </cell>
          <cell r="F3733"/>
          <cell r="G3733">
            <v>1000000000</v>
          </cell>
          <cell r="H3733" t="str">
            <v>Others</v>
          </cell>
          <cell r="I3733" t="str">
            <v>Exclusive</v>
          </cell>
          <cell r="J3733" t="str">
            <v>New 06/04/21</v>
          </cell>
          <cell r="K3733" t="str">
            <v>HDPD</v>
          </cell>
          <cell r="L3733" t="str">
            <v>KARI09</v>
          </cell>
          <cell r="M3733" t="str">
            <v>Karisma Indoagro Universal, PT</v>
          </cell>
          <cell r="N3733" t="str">
            <v>Karisma Indoagro Universal, PT</v>
          </cell>
          <cell r="O3733" t="str">
            <v>Jl. Semeru No. 89 RT.001/RW.004, Ajung</v>
          </cell>
          <cell r="P3733" t="str">
            <v>Jember</v>
          </cell>
          <cell r="Q3733" t="str">
            <v>Jl. Semeru No. 89 RT.001/RW.004, Ajung</v>
          </cell>
          <cell r="R3733" t="str">
            <v>Jember</v>
          </cell>
          <cell r="S3733" t="str">
            <v>L Kota1</v>
          </cell>
          <cell r="T3733" t="str">
            <v>OTHERS</v>
          </cell>
          <cell r="U3733">
            <v>0</v>
          </cell>
        </row>
        <row r="3734">
          <cell r="E3734" t="str">
            <v>T22000122</v>
          </cell>
          <cell r="F3734"/>
          <cell r="G3734">
            <v>1000000000</v>
          </cell>
          <cell r="H3734" t="str">
            <v>Others</v>
          </cell>
          <cell r="I3734" t="str">
            <v>Exclusive</v>
          </cell>
          <cell r="J3734" t="str">
            <v>New 06/04/21</v>
          </cell>
          <cell r="K3734" t="str">
            <v>HDPD</v>
          </cell>
          <cell r="L3734" t="str">
            <v>KARI09</v>
          </cell>
          <cell r="M3734" t="str">
            <v>Karisma Indoagro Universal, PT</v>
          </cell>
          <cell r="N3734" t="str">
            <v>Karisma Indoagro Universal, PT</v>
          </cell>
          <cell r="O3734" t="str">
            <v>Jl. Semeru No. 89 RT.001/RW.004, Ajung</v>
          </cell>
          <cell r="P3734" t="str">
            <v>Jember</v>
          </cell>
          <cell r="Q3734" t="str">
            <v>Jl. Semeru No. 89 RT.001/RW.004, Ajung</v>
          </cell>
          <cell r="R3734" t="str">
            <v>Jember</v>
          </cell>
          <cell r="S3734" t="str">
            <v>L Kota1</v>
          </cell>
          <cell r="T3734" t="str">
            <v>OTHERS</v>
          </cell>
          <cell r="U3734">
            <v>30</v>
          </cell>
        </row>
        <row r="3735">
          <cell r="E3735" t="str">
            <v>T22000131</v>
          </cell>
          <cell r="F3735"/>
          <cell r="G3735">
            <v>1000000000</v>
          </cell>
          <cell r="H3735" t="str">
            <v>Others</v>
          </cell>
          <cell r="I3735" t="str">
            <v>Exclusive</v>
          </cell>
          <cell r="J3735" t="str">
            <v>New 06/04/21</v>
          </cell>
          <cell r="K3735" t="str">
            <v>HDPD</v>
          </cell>
          <cell r="L3735" t="str">
            <v>KARI09</v>
          </cell>
          <cell r="M3735" t="str">
            <v>Karisma Indoagro Universal, PT</v>
          </cell>
          <cell r="N3735" t="str">
            <v>Karisma Indoagro Universal, PT</v>
          </cell>
          <cell r="O3735" t="str">
            <v>Jl. Semeru No. 89 RT.001/RW.004, Ajung</v>
          </cell>
          <cell r="P3735" t="str">
            <v>Jember</v>
          </cell>
          <cell r="Q3735" t="str">
            <v>Jl. Semeru No. 89 RT.001/RW.004, Ajung</v>
          </cell>
          <cell r="R3735" t="str">
            <v>Jember</v>
          </cell>
          <cell r="S3735" t="str">
            <v>L Kota1</v>
          </cell>
          <cell r="T3735" t="str">
            <v>OTHERS</v>
          </cell>
          <cell r="U3735">
            <v>30</v>
          </cell>
        </row>
        <row r="3736">
          <cell r="E3736" t="str">
            <v>T22000134</v>
          </cell>
          <cell r="F3736"/>
          <cell r="G3736">
            <v>1000000000</v>
          </cell>
          <cell r="H3736" t="str">
            <v>Others</v>
          </cell>
          <cell r="I3736" t="str">
            <v>Exclusive</v>
          </cell>
          <cell r="J3736" t="str">
            <v>New 06/04/21</v>
          </cell>
          <cell r="K3736" t="str">
            <v>HDPD</v>
          </cell>
          <cell r="L3736" t="str">
            <v>KARI09</v>
          </cell>
          <cell r="M3736" t="str">
            <v>Karisma Indoagro Universal, PT</v>
          </cell>
          <cell r="N3736" t="str">
            <v>Karisma Indoagro Universal, PT</v>
          </cell>
          <cell r="O3736" t="str">
            <v>Jl. Semeru No. 89 RT.001/RW.004, Ajung</v>
          </cell>
          <cell r="P3736" t="str">
            <v>Jember</v>
          </cell>
          <cell r="Q3736" t="str">
            <v>Jl. Semeru No. 89 RT.001/RW.004, Ajung</v>
          </cell>
          <cell r="R3736" t="str">
            <v>Jember</v>
          </cell>
          <cell r="S3736" t="str">
            <v>L Kota1</v>
          </cell>
          <cell r="T3736" t="str">
            <v>OTHERS</v>
          </cell>
          <cell r="U3736">
            <v>30</v>
          </cell>
        </row>
        <row r="3737">
          <cell r="E3737" t="str">
            <v>T22000139</v>
          </cell>
          <cell r="F3737"/>
          <cell r="G3737">
            <v>1000000000</v>
          </cell>
          <cell r="H3737" t="str">
            <v>Others</v>
          </cell>
          <cell r="I3737" t="str">
            <v>Exclusive</v>
          </cell>
          <cell r="J3737" t="str">
            <v>New 06/04/21</v>
          </cell>
          <cell r="K3737" t="str">
            <v>HDPD</v>
          </cell>
          <cell r="L3737" t="str">
            <v>KARI09</v>
          </cell>
          <cell r="M3737" t="str">
            <v>Karisma Indoagro Universal, PT</v>
          </cell>
          <cell r="N3737" t="str">
            <v>Karisma Indoagro Universal, PT</v>
          </cell>
          <cell r="O3737" t="str">
            <v>Jl. Semeru No. 89 RT.001/RW.004, Ajung</v>
          </cell>
          <cell r="P3737" t="str">
            <v>Jember</v>
          </cell>
          <cell r="Q3737" t="str">
            <v>Jl. Semeru No. 89 RT.001/RW.004, Ajung</v>
          </cell>
          <cell r="R3737" t="str">
            <v>Jember</v>
          </cell>
          <cell r="S3737" t="str">
            <v>L Kota1</v>
          </cell>
          <cell r="T3737" t="str">
            <v>OTHERS</v>
          </cell>
          <cell r="U3737">
            <v>30</v>
          </cell>
        </row>
        <row r="3738">
          <cell r="E3738" t="str">
            <v>T22000141</v>
          </cell>
          <cell r="F3738"/>
          <cell r="G3738">
            <v>1000000000</v>
          </cell>
          <cell r="H3738" t="str">
            <v>Others</v>
          </cell>
          <cell r="I3738" t="str">
            <v>Exclusive</v>
          </cell>
          <cell r="J3738" t="str">
            <v>New 06/04/21</v>
          </cell>
          <cell r="K3738" t="str">
            <v>HDPD</v>
          </cell>
          <cell r="L3738" t="str">
            <v>KARI09</v>
          </cell>
          <cell r="M3738" t="str">
            <v>Karisma Indoagro Universal, PT</v>
          </cell>
          <cell r="N3738" t="str">
            <v>Karisma Indoagro Universal, PT</v>
          </cell>
          <cell r="O3738" t="str">
            <v>Jl. Semeru No. 89 RT.001/RW.004, Ajung</v>
          </cell>
          <cell r="P3738" t="str">
            <v>Jember</v>
          </cell>
          <cell r="Q3738" t="str">
            <v>Jl. Semeru No. 89 RT.001/RW.004, Ajung</v>
          </cell>
          <cell r="R3738" t="str">
            <v>Jember</v>
          </cell>
          <cell r="S3738" t="str">
            <v>L Kota1</v>
          </cell>
          <cell r="T3738" t="str">
            <v>OTHERS</v>
          </cell>
          <cell r="U3738">
            <v>30</v>
          </cell>
        </row>
        <row r="3739">
          <cell r="E3739" t="str">
            <v>T22000167</v>
          </cell>
          <cell r="F3739"/>
          <cell r="G3739">
            <v>1000000000</v>
          </cell>
          <cell r="H3739" t="str">
            <v>Others</v>
          </cell>
          <cell r="I3739" t="str">
            <v>Exclusive</v>
          </cell>
          <cell r="J3739" t="str">
            <v>New 06/04/21</v>
          </cell>
          <cell r="K3739" t="str">
            <v>HDPD</v>
          </cell>
          <cell r="L3739" t="str">
            <v>KARI09</v>
          </cell>
          <cell r="M3739" t="str">
            <v>Karisma Indoagro Universal, PT</v>
          </cell>
          <cell r="N3739" t="str">
            <v>Karisma Indoagro Universal, PT</v>
          </cell>
          <cell r="O3739" t="str">
            <v>Jl. Semeru No. 89 RT.001/RW.004, Ajung</v>
          </cell>
          <cell r="P3739" t="str">
            <v>Jember</v>
          </cell>
          <cell r="Q3739" t="str">
            <v>Jl. Semeru No. 89 RT.001/RW.004, Ajung</v>
          </cell>
          <cell r="R3739" t="str">
            <v>Jember</v>
          </cell>
          <cell r="S3739" t="str">
            <v>L Kota1</v>
          </cell>
          <cell r="T3739" t="str">
            <v>OTHERS</v>
          </cell>
          <cell r="U3739">
            <v>30</v>
          </cell>
        </row>
        <row r="3740">
          <cell r="E3740" t="str">
            <v>T22000207</v>
          </cell>
          <cell r="F3740"/>
          <cell r="G3740">
            <v>1000000000</v>
          </cell>
          <cell r="H3740" t="str">
            <v>Others</v>
          </cell>
          <cell r="I3740" t="str">
            <v>Exclusive</v>
          </cell>
          <cell r="J3740" t="str">
            <v>New 06/04/21</v>
          </cell>
          <cell r="K3740" t="str">
            <v>HDPD</v>
          </cell>
          <cell r="L3740" t="str">
            <v>KARI09</v>
          </cell>
          <cell r="M3740" t="str">
            <v>Karisma Indoagro Universal, PT</v>
          </cell>
          <cell r="N3740" t="str">
            <v>Karisma Indoagro Universal, PT</v>
          </cell>
          <cell r="O3740" t="str">
            <v>Jl. Semeru No. 89 RT.001/RW.004, Ajung</v>
          </cell>
          <cell r="P3740" t="str">
            <v>Jember</v>
          </cell>
          <cell r="Q3740" t="str">
            <v>Jl. Semeru No. 89 RT.001/RW.004, Ajung</v>
          </cell>
          <cell r="R3740" t="str">
            <v>Jember</v>
          </cell>
          <cell r="S3740" t="str">
            <v>L Kota1</v>
          </cell>
          <cell r="T3740" t="str">
            <v>OTHERS</v>
          </cell>
          <cell r="U3740">
            <v>0</v>
          </cell>
        </row>
        <row r="3741">
          <cell r="E3741" t="str">
            <v>T22000231</v>
          </cell>
          <cell r="F3741"/>
          <cell r="G3741">
            <v>1000000000</v>
          </cell>
          <cell r="H3741" t="str">
            <v>Others</v>
          </cell>
          <cell r="I3741" t="str">
            <v>Exclusive</v>
          </cell>
          <cell r="J3741" t="str">
            <v>New 06/04/21</v>
          </cell>
          <cell r="K3741" t="str">
            <v>HDPD</v>
          </cell>
          <cell r="L3741" t="str">
            <v>KARI09</v>
          </cell>
          <cell r="M3741" t="str">
            <v>Karisma Indoagro Universal, PT</v>
          </cell>
          <cell r="N3741" t="str">
            <v>Karisma Indoagro Universal, PT</v>
          </cell>
          <cell r="O3741" t="str">
            <v>Jl. Semeru No. 89 RT.001/RW.004, Ajung</v>
          </cell>
          <cell r="P3741" t="str">
            <v>Jember</v>
          </cell>
          <cell r="Q3741" t="str">
            <v>Jl. Semeru No. 89 RT.001/RW.004, Ajung</v>
          </cell>
          <cell r="R3741" t="str">
            <v>Jember</v>
          </cell>
          <cell r="S3741" t="str">
            <v>L Kota1</v>
          </cell>
          <cell r="T3741" t="str">
            <v>OTHERS</v>
          </cell>
          <cell r="U3741">
            <v>0</v>
          </cell>
        </row>
        <row r="3742">
          <cell r="E3742" t="str">
            <v>T22000232</v>
          </cell>
          <cell r="F3742"/>
          <cell r="G3742">
            <v>1000000000</v>
          </cell>
          <cell r="H3742" t="str">
            <v>Others</v>
          </cell>
          <cell r="I3742" t="str">
            <v>Exclusive</v>
          </cell>
          <cell r="J3742" t="str">
            <v>New 06/04/21</v>
          </cell>
          <cell r="K3742" t="str">
            <v>HDPD</v>
          </cell>
          <cell r="L3742" t="str">
            <v>KARI09</v>
          </cell>
          <cell r="M3742" t="str">
            <v>Karisma Indoagro Universal, PT</v>
          </cell>
          <cell r="N3742" t="str">
            <v>Karisma Indoagro Universal, PT</v>
          </cell>
          <cell r="O3742" t="str">
            <v>Jl. Semeru No. 89 RT.001/RW.004, Ajung</v>
          </cell>
          <cell r="P3742" t="str">
            <v>Jember</v>
          </cell>
          <cell r="Q3742" t="str">
            <v>Jl. Semeru No. 89 RT.001/RW.004, Ajung</v>
          </cell>
          <cell r="R3742" t="str">
            <v>Jember</v>
          </cell>
          <cell r="S3742" t="str">
            <v>L Kota1</v>
          </cell>
          <cell r="T3742" t="str">
            <v>OTHERS</v>
          </cell>
          <cell r="U3742">
            <v>30</v>
          </cell>
        </row>
        <row r="3743">
          <cell r="E3743" t="str">
            <v>T22000239</v>
          </cell>
          <cell r="F3743"/>
          <cell r="G3743">
            <v>1000000000</v>
          </cell>
          <cell r="H3743" t="str">
            <v>Others</v>
          </cell>
          <cell r="I3743" t="str">
            <v>Exclusive</v>
          </cell>
          <cell r="J3743" t="str">
            <v>New 06/04/21</v>
          </cell>
          <cell r="K3743" t="str">
            <v>HDPD</v>
          </cell>
          <cell r="L3743" t="str">
            <v>KARI09</v>
          </cell>
          <cell r="M3743" t="str">
            <v>Karisma Indoagro Universal, PT</v>
          </cell>
          <cell r="N3743" t="str">
            <v>Karisma Indoagro Universal, PT</v>
          </cell>
          <cell r="O3743" t="str">
            <v>Jl. Semeru No. 89 RT.001/RW.004, Ajung</v>
          </cell>
          <cell r="P3743" t="str">
            <v>Jember</v>
          </cell>
          <cell r="Q3743" t="str">
            <v>Jl. Semeru No. 89 RT.001/RW.004, Ajung</v>
          </cell>
          <cell r="R3743" t="str">
            <v>Jember</v>
          </cell>
          <cell r="S3743" t="str">
            <v>L Kota1</v>
          </cell>
          <cell r="T3743" t="str">
            <v>OTHERS</v>
          </cell>
          <cell r="U3743">
            <v>30</v>
          </cell>
        </row>
        <row r="3744">
          <cell r="E3744" t="str">
            <v>T22000254</v>
          </cell>
          <cell r="F3744"/>
          <cell r="G3744">
            <v>1000000000</v>
          </cell>
          <cell r="H3744" t="str">
            <v>Others</v>
          </cell>
          <cell r="I3744" t="str">
            <v>Exclusive</v>
          </cell>
          <cell r="J3744" t="str">
            <v>New 06/04/21</v>
          </cell>
          <cell r="K3744" t="str">
            <v>HDPD</v>
          </cell>
          <cell r="L3744" t="str">
            <v>KARI09</v>
          </cell>
          <cell r="M3744" t="str">
            <v>Karisma Indoagro Universal, PT</v>
          </cell>
          <cell r="N3744" t="str">
            <v>Karisma Indoagro Universal, PT</v>
          </cell>
          <cell r="O3744" t="str">
            <v>Jl. Semeru No. 89 RT.001/RW.004, Ajung</v>
          </cell>
          <cell r="P3744" t="str">
            <v>Jember</v>
          </cell>
          <cell r="Q3744" t="str">
            <v>Jl. Semeru No. 89 RT.001/RW.004, Ajung</v>
          </cell>
          <cell r="R3744" t="str">
            <v>Jember</v>
          </cell>
          <cell r="S3744" t="str">
            <v>L Kota1</v>
          </cell>
          <cell r="T3744" t="str">
            <v>OTHERS</v>
          </cell>
          <cell r="U3744">
            <v>30</v>
          </cell>
        </row>
        <row r="3745">
          <cell r="E3745" t="str">
            <v>T22000265</v>
          </cell>
          <cell r="F3745"/>
          <cell r="G3745">
            <v>1000000000</v>
          </cell>
          <cell r="H3745" t="str">
            <v>Others</v>
          </cell>
          <cell r="I3745" t="str">
            <v>Exclusive</v>
          </cell>
          <cell r="J3745" t="str">
            <v>New 06/04/21</v>
          </cell>
          <cell r="K3745" t="str">
            <v>HDPD</v>
          </cell>
          <cell r="L3745" t="str">
            <v>KARI09</v>
          </cell>
          <cell r="M3745" t="str">
            <v>Karisma Indoagro Universal, PT</v>
          </cell>
          <cell r="N3745" t="str">
            <v>Karisma Indoagro Universal, PT</v>
          </cell>
          <cell r="O3745" t="str">
            <v>Jl. Semeru No. 89 RT.001/RW.004, Ajung</v>
          </cell>
          <cell r="P3745" t="str">
            <v>Jember</v>
          </cell>
          <cell r="Q3745" t="str">
            <v>Jl. Semeru No. 89 RT.001/RW.004, Ajung</v>
          </cell>
          <cell r="R3745" t="str">
            <v>Jember</v>
          </cell>
          <cell r="S3745" t="str">
            <v>L Kota1</v>
          </cell>
          <cell r="T3745" t="str">
            <v>OTHERS</v>
          </cell>
          <cell r="U3745">
            <v>30</v>
          </cell>
        </row>
        <row r="3746">
          <cell r="E3746" t="str">
            <v>T22000282</v>
          </cell>
          <cell r="F3746"/>
          <cell r="G3746">
            <v>1000000000</v>
          </cell>
          <cell r="H3746" t="str">
            <v>Others</v>
          </cell>
          <cell r="I3746" t="str">
            <v>Exclusive</v>
          </cell>
          <cell r="J3746" t="str">
            <v>New 06/04/21</v>
          </cell>
          <cell r="K3746" t="str">
            <v>HDPD</v>
          </cell>
          <cell r="L3746" t="str">
            <v>KARI09</v>
          </cell>
          <cell r="M3746" t="str">
            <v>Karisma Indoagro Universal, PT</v>
          </cell>
          <cell r="N3746" t="str">
            <v>Karisma Indoagro Universal, PT</v>
          </cell>
          <cell r="O3746" t="str">
            <v>Jl. Semeru No. 89 RT.001/RW.004, Ajung</v>
          </cell>
          <cell r="P3746" t="str">
            <v>Jember</v>
          </cell>
          <cell r="Q3746" t="str">
            <v>Jl. Semeru No. 89 RT.001/RW.004, Ajung</v>
          </cell>
          <cell r="R3746" t="str">
            <v>Jember</v>
          </cell>
          <cell r="S3746" t="str">
            <v>L Kota1</v>
          </cell>
          <cell r="T3746" t="str">
            <v>OTHERS</v>
          </cell>
          <cell r="U3746">
            <v>30</v>
          </cell>
        </row>
        <row r="3747">
          <cell r="E3747" t="str">
            <v>T22000316</v>
          </cell>
          <cell r="F3747"/>
          <cell r="G3747">
            <v>1000000000</v>
          </cell>
          <cell r="H3747" t="str">
            <v>Others</v>
          </cell>
          <cell r="I3747" t="str">
            <v>Exclusive</v>
          </cell>
          <cell r="J3747" t="str">
            <v>New 06/04/21</v>
          </cell>
          <cell r="K3747" t="str">
            <v>HDPD</v>
          </cell>
          <cell r="L3747" t="str">
            <v>KARI09</v>
          </cell>
          <cell r="M3747" t="str">
            <v>Karisma Indoagro Universal, PT</v>
          </cell>
          <cell r="N3747" t="str">
            <v>Karisma Indoagro Universal, PT</v>
          </cell>
          <cell r="O3747" t="str">
            <v>Jl. Semeru No. 89 RT.001/RW.004, Ajung</v>
          </cell>
          <cell r="P3747" t="str">
            <v>Jember</v>
          </cell>
          <cell r="Q3747" t="str">
            <v>Jl. Semeru No. 89 RT.001/RW.004, Ajung</v>
          </cell>
          <cell r="R3747" t="str">
            <v>Jember</v>
          </cell>
          <cell r="S3747" t="str">
            <v>L Kota1</v>
          </cell>
          <cell r="T3747" t="str">
            <v>OTHERS</v>
          </cell>
          <cell r="U3747">
            <v>30</v>
          </cell>
        </row>
        <row r="3748">
          <cell r="E3748" t="str">
            <v>T22000338</v>
          </cell>
          <cell r="F3748"/>
          <cell r="G3748">
            <v>1000000000</v>
          </cell>
          <cell r="H3748" t="str">
            <v>Others</v>
          </cell>
          <cell r="I3748" t="str">
            <v>Exclusive</v>
          </cell>
          <cell r="J3748" t="str">
            <v>New 06/04/21</v>
          </cell>
          <cell r="K3748" t="str">
            <v>HDPD</v>
          </cell>
          <cell r="L3748" t="str">
            <v>KARI09</v>
          </cell>
          <cell r="M3748" t="str">
            <v>Karisma Indoagro Universal, PT</v>
          </cell>
          <cell r="N3748" t="str">
            <v>Karisma Indoagro Universal, PT</v>
          </cell>
          <cell r="O3748" t="str">
            <v>Jl. Semeru No. 89 RT.001/RW.004, Ajung</v>
          </cell>
          <cell r="P3748" t="str">
            <v>Jember</v>
          </cell>
          <cell r="Q3748" t="str">
            <v>Jl. Semeru No. 89 RT.001/RW.004, Ajung</v>
          </cell>
          <cell r="R3748" t="str">
            <v>Jember</v>
          </cell>
          <cell r="S3748" t="str">
            <v>L Kota1</v>
          </cell>
          <cell r="T3748" t="str">
            <v>OTHERS</v>
          </cell>
          <cell r="U3748">
            <v>30</v>
          </cell>
        </row>
        <row r="3749">
          <cell r="E3749" t="str">
            <v>T22000378</v>
          </cell>
          <cell r="F3749"/>
          <cell r="G3749">
            <v>1000000000</v>
          </cell>
          <cell r="H3749" t="str">
            <v>Others</v>
          </cell>
          <cell r="I3749" t="str">
            <v>Exclusive</v>
          </cell>
          <cell r="J3749" t="str">
            <v>New 06/04/21</v>
          </cell>
          <cell r="K3749" t="str">
            <v>HDPD</v>
          </cell>
          <cell r="L3749" t="str">
            <v>KARI09</v>
          </cell>
          <cell r="M3749" t="str">
            <v>Karisma Indoagro Universal, PT</v>
          </cell>
          <cell r="N3749" t="str">
            <v>Karisma Indoagro Universal, PT</v>
          </cell>
          <cell r="O3749" t="str">
            <v>Jl. Semeru No. 89 RT.001/RW.004, Ajung</v>
          </cell>
          <cell r="P3749" t="str">
            <v>Jember</v>
          </cell>
          <cell r="Q3749" t="str">
            <v>Jl. Semeru No. 89 RT.001/RW.004, Ajung</v>
          </cell>
          <cell r="R3749" t="str">
            <v>Jember</v>
          </cell>
          <cell r="S3749" t="str">
            <v>L Kota1</v>
          </cell>
          <cell r="T3749" t="str">
            <v>OTHERS</v>
          </cell>
          <cell r="U3749">
            <v>30</v>
          </cell>
        </row>
        <row r="3750">
          <cell r="E3750" t="str">
            <v>T22000394</v>
          </cell>
          <cell r="F3750"/>
          <cell r="G3750">
            <v>1000000000</v>
          </cell>
          <cell r="H3750" t="str">
            <v>Others</v>
          </cell>
          <cell r="I3750" t="str">
            <v>Exclusive</v>
          </cell>
          <cell r="J3750" t="str">
            <v>New 06/04/21</v>
          </cell>
          <cell r="K3750" t="str">
            <v>HDPD</v>
          </cell>
          <cell r="L3750" t="str">
            <v>KARI09</v>
          </cell>
          <cell r="M3750" t="str">
            <v>Karisma Indoagro Universal, PT</v>
          </cell>
          <cell r="N3750" t="str">
            <v>Karisma Indoagro Universal, PT</v>
          </cell>
          <cell r="O3750" t="str">
            <v>Jl. Semeru No. 89 RT.001/RW.004, Ajung</v>
          </cell>
          <cell r="P3750" t="str">
            <v>Jember</v>
          </cell>
          <cell r="Q3750" t="str">
            <v>Jl. Semeru No. 89 RT.001/RW.004, Ajung</v>
          </cell>
          <cell r="R3750" t="str">
            <v>Jember</v>
          </cell>
          <cell r="S3750" t="str">
            <v>L Kota1</v>
          </cell>
          <cell r="T3750" t="str">
            <v>OTHERS</v>
          </cell>
          <cell r="U3750">
            <v>30</v>
          </cell>
        </row>
        <row r="3751">
          <cell r="E3751" t="str">
            <v>T22000405</v>
          </cell>
          <cell r="F3751"/>
          <cell r="G3751">
            <v>1000000000</v>
          </cell>
          <cell r="H3751" t="str">
            <v>Others</v>
          </cell>
          <cell r="I3751" t="str">
            <v>Exclusive</v>
          </cell>
          <cell r="J3751" t="str">
            <v>New 06/04/21</v>
          </cell>
          <cell r="K3751" t="str">
            <v>HDPD</v>
          </cell>
          <cell r="L3751" t="str">
            <v>KARI09</v>
          </cell>
          <cell r="M3751" t="str">
            <v>Karisma Indoagro Universal, PT</v>
          </cell>
          <cell r="N3751" t="str">
            <v>Karisma Indoagro Universal, PT</v>
          </cell>
          <cell r="O3751" t="str">
            <v>Jl. Semeru No. 89 RT.001/RW.004, Ajung</v>
          </cell>
          <cell r="P3751" t="str">
            <v>Jember</v>
          </cell>
          <cell r="Q3751" t="str">
            <v>Jl. Semeru No. 89 RT.001/RW.004, Ajung</v>
          </cell>
          <cell r="R3751" t="str">
            <v>Jember</v>
          </cell>
          <cell r="S3751" t="str">
            <v>L Kota1</v>
          </cell>
          <cell r="T3751" t="str">
            <v>OTHERS</v>
          </cell>
          <cell r="U3751">
            <v>30</v>
          </cell>
        </row>
        <row r="3752">
          <cell r="E3752" t="str">
            <v>T22000425</v>
          </cell>
          <cell r="F3752"/>
          <cell r="G3752">
            <v>1000000000</v>
          </cell>
          <cell r="H3752" t="str">
            <v>Others</v>
          </cell>
          <cell r="I3752" t="str">
            <v>Exclusive</v>
          </cell>
          <cell r="J3752" t="str">
            <v>New 06/04/21</v>
          </cell>
          <cell r="K3752" t="str">
            <v>HDPD</v>
          </cell>
          <cell r="L3752" t="str">
            <v>KARI09</v>
          </cell>
          <cell r="M3752" t="str">
            <v>Karisma Indoagro Universal, PT</v>
          </cell>
          <cell r="N3752" t="str">
            <v>Karisma Indoagro Universal, PT</v>
          </cell>
          <cell r="O3752" t="str">
            <v>Jl. Semeru No. 89 RT.001/RW.004, Ajung</v>
          </cell>
          <cell r="P3752" t="str">
            <v>Jember</v>
          </cell>
          <cell r="Q3752" t="str">
            <v>Jl. Semeru No. 89 RT.001/RW.004, Ajung</v>
          </cell>
          <cell r="R3752" t="str">
            <v>Jember</v>
          </cell>
          <cell r="S3752" t="str">
            <v>L Kota1</v>
          </cell>
          <cell r="T3752" t="str">
            <v>OTHERS</v>
          </cell>
          <cell r="U3752">
            <v>0</v>
          </cell>
        </row>
        <row r="3753">
          <cell r="E3753" t="str">
            <v>T22000456</v>
          </cell>
          <cell r="F3753"/>
          <cell r="G3753">
            <v>1000000000</v>
          </cell>
          <cell r="H3753" t="str">
            <v>Others</v>
          </cell>
          <cell r="I3753" t="str">
            <v>Exclusive</v>
          </cell>
          <cell r="J3753" t="str">
            <v>New 06/04/21</v>
          </cell>
          <cell r="K3753" t="str">
            <v>HDPD</v>
          </cell>
          <cell r="L3753" t="str">
            <v>KARI09</v>
          </cell>
          <cell r="M3753" t="str">
            <v>Karisma Indoagro Universal, PT</v>
          </cell>
          <cell r="N3753" t="str">
            <v>Karisma Indoagro Universal, PT</v>
          </cell>
          <cell r="O3753" t="str">
            <v>Jl. Semeru No. 89 RT.001/RW.004, Ajung</v>
          </cell>
          <cell r="P3753" t="str">
            <v>Jember</v>
          </cell>
          <cell r="Q3753" t="str">
            <v>Jl. Semeru No. 89 RT.001/RW.004, Ajung</v>
          </cell>
          <cell r="R3753" t="str">
            <v>Jember</v>
          </cell>
          <cell r="S3753" t="str">
            <v>L Kota1</v>
          </cell>
          <cell r="T3753" t="str">
            <v>OTHERS</v>
          </cell>
          <cell r="U3753">
            <v>30</v>
          </cell>
        </row>
        <row r="3754">
          <cell r="E3754" t="str">
            <v>T22000472</v>
          </cell>
          <cell r="F3754"/>
          <cell r="G3754">
            <v>1000000000</v>
          </cell>
          <cell r="H3754" t="str">
            <v>Others</v>
          </cell>
          <cell r="I3754" t="str">
            <v>Exclusive</v>
          </cell>
          <cell r="J3754" t="str">
            <v>New 06/04/21</v>
          </cell>
          <cell r="K3754" t="str">
            <v>HDPD</v>
          </cell>
          <cell r="L3754" t="str">
            <v>KARI09</v>
          </cell>
          <cell r="M3754" t="str">
            <v>Karisma Indoagro Universal, PT</v>
          </cell>
          <cell r="N3754" t="str">
            <v>Karisma Indoagro Universal, PT</v>
          </cell>
          <cell r="O3754" t="str">
            <v>Jl. Semeru No. 89 RT.001/RW.004, Ajung</v>
          </cell>
          <cell r="P3754" t="str">
            <v>Jember</v>
          </cell>
          <cell r="Q3754" t="str">
            <v>Jl. Semeru No. 89 RT.001/RW.004, Ajung</v>
          </cell>
          <cell r="R3754" t="str">
            <v>Jember</v>
          </cell>
          <cell r="S3754" t="str">
            <v>L Kota1</v>
          </cell>
          <cell r="T3754" t="str">
            <v>OTHERS</v>
          </cell>
          <cell r="U3754">
            <v>30</v>
          </cell>
        </row>
        <row r="3755">
          <cell r="E3755" t="str">
            <v>T22000491</v>
          </cell>
          <cell r="F3755"/>
          <cell r="G3755">
            <v>1000000000</v>
          </cell>
          <cell r="H3755" t="str">
            <v>Others</v>
          </cell>
          <cell r="I3755" t="str">
            <v>Exclusive</v>
          </cell>
          <cell r="J3755" t="str">
            <v>New 06/04/21</v>
          </cell>
          <cell r="K3755" t="str">
            <v>HDPD</v>
          </cell>
          <cell r="L3755" t="str">
            <v>KARI09</v>
          </cell>
          <cell r="M3755" t="str">
            <v>Karisma Indoagro Universal, PT</v>
          </cell>
          <cell r="N3755" t="str">
            <v>Karisma Indoagro Universal, PT</v>
          </cell>
          <cell r="O3755" t="str">
            <v>Jl. Semeru No. 89 RT.001/RW.004, Ajung</v>
          </cell>
          <cell r="P3755" t="str">
            <v>Jember</v>
          </cell>
          <cell r="Q3755" t="str">
            <v>Jl. Semeru No. 89 RT.001/RW.004, Ajung</v>
          </cell>
          <cell r="R3755" t="str">
            <v>Jember</v>
          </cell>
          <cell r="S3755" t="str">
            <v>L Kota1</v>
          </cell>
          <cell r="T3755" t="str">
            <v>OTHERS</v>
          </cell>
          <cell r="U3755">
            <v>30</v>
          </cell>
        </row>
        <row r="3756">
          <cell r="E3756" t="str">
            <v>T22000520</v>
          </cell>
          <cell r="F3756"/>
          <cell r="G3756">
            <v>1000000000</v>
          </cell>
          <cell r="H3756" t="str">
            <v>Others</v>
          </cell>
          <cell r="I3756" t="str">
            <v>Exclusive</v>
          </cell>
          <cell r="J3756" t="str">
            <v>New 06/04/21</v>
          </cell>
          <cell r="K3756" t="str">
            <v>HDPD</v>
          </cell>
          <cell r="L3756" t="str">
            <v>KARI09</v>
          </cell>
          <cell r="M3756" t="str">
            <v>Karisma Indoagro Universal, PT</v>
          </cell>
          <cell r="N3756" t="str">
            <v>Karisma Indoagro Universal, PT</v>
          </cell>
          <cell r="O3756" t="str">
            <v>Jl. Semeru No. 89 RT.001/RW.004, Ajung</v>
          </cell>
          <cell r="P3756" t="str">
            <v>Jember</v>
          </cell>
          <cell r="Q3756" t="str">
            <v>Jl. Semeru No. 89 RT.001/RW.004, Ajung</v>
          </cell>
          <cell r="R3756" t="str">
            <v>Jember</v>
          </cell>
          <cell r="S3756" t="str">
            <v>L Kota1</v>
          </cell>
          <cell r="T3756" t="str">
            <v>OTHERS</v>
          </cell>
          <cell r="U3756">
            <v>30</v>
          </cell>
        </row>
        <row r="3757">
          <cell r="E3757" t="str">
            <v>T22000521</v>
          </cell>
          <cell r="F3757"/>
          <cell r="G3757">
            <v>1000000000</v>
          </cell>
          <cell r="H3757" t="str">
            <v>Others</v>
          </cell>
          <cell r="I3757" t="str">
            <v>Exclusive</v>
          </cell>
          <cell r="J3757" t="str">
            <v>New 06/04/21</v>
          </cell>
          <cell r="K3757" t="str">
            <v>HDPD</v>
          </cell>
          <cell r="L3757" t="str">
            <v>KARI09</v>
          </cell>
          <cell r="M3757" t="str">
            <v>Karisma Indoagro Universal, PT</v>
          </cell>
          <cell r="N3757" t="str">
            <v>Karisma Indoagro Universal, PT</v>
          </cell>
          <cell r="O3757" t="str">
            <v>Jl. Semeru No. 89 RT.001/RW.004, Ajung</v>
          </cell>
          <cell r="P3757" t="str">
            <v>Jember</v>
          </cell>
          <cell r="Q3757" t="str">
            <v>Jl. Semeru No. 89 RT.001/RW.004, Ajung</v>
          </cell>
          <cell r="R3757" t="str">
            <v>Jember</v>
          </cell>
          <cell r="S3757" t="str">
            <v>L Kota1</v>
          </cell>
          <cell r="T3757" t="str">
            <v>OTHERS</v>
          </cell>
          <cell r="U3757">
            <v>30</v>
          </cell>
        </row>
        <row r="3758">
          <cell r="E3758" t="str">
            <v>T22000560</v>
          </cell>
          <cell r="F3758"/>
          <cell r="G3758">
            <v>1000000000</v>
          </cell>
          <cell r="H3758" t="str">
            <v>Others</v>
          </cell>
          <cell r="I3758" t="str">
            <v>Exclusive</v>
          </cell>
          <cell r="J3758" t="str">
            <v>New 06/04/21</v>
          </cell>
          <cell r="K3758" t="str">
            <v>HDPD</v>
          </cell>
          <cell r="L3758" t="str">
            <v>KARI09</v>
          </cell>
          <cell r="M3758" t="str">
            <v>Karisma Indoagro Universal, PT</v>
          </cell>
          <cell r="N3758" t="str">
            <v>Karisma Indoagro Universal, PT</v>
          </cell>
          <cell r="O3758" t="str">
            <v>Jl. Semeru No. 89 RT.001/RW.004, Ajung</v>
          </cell>
          <cell r="P3758" t="str">
            <v>Jember</v>
          </cell>
          <cell r="Q3758" t="str">
            <v>Jl. Semeru No. 89 RT.001/RW.004, Ajung</v>
          </cell>
          <cell r="R3758" t="str">
            <v>Jember</v>
          </cell>
          <cell r="S3758" t="str">
            <v>L Kota1</v>
          </cell>
          <cell r="T3758" t="str">
            <v>OTHERS</v>
          </cell>
          <cell r="U3758">
            <v>30</v>
          </cell>
        </row>
        <row r="3759">
          <cell r="E3759" t="str">
            <v>T22000561</v>
          </cell>
          <cell r="F3759"/>
          <cell r="G3759">
            <v>1000000000</v>
          </cell>
          <cell r="H3759" t="str">
            <v>Others</v>
          </cell>
          <cell r="I3759" t="str">
            <v>Exclusive</v>
          </cell>
          <cell r="J3759" t="str">
            <v>New 06/04/21</v>
          </cell>
          <cell r="K3759" t="str">
            <v>HDPD</v>
          </cell>
          <cell r="L3759" t="str">
            <v>KARI09</v>
          </cell>
          <cell r="M3759" t="str">
            <v>Karisma Indoagro Universal, PT</v>
          </cell>
          <cell r="N3759" t="str">
            <v>Karisma Indoagro Universal, PT</v>
          </cell>
          <cell r="O3759" t="str">
            <v>Jl. Semeru No. 89 RT.001/RW.004, Ajung</v>
          </cell>
          <cell r="P3759" t="str">
            <v>Jember</v>
          </cell>
          <cell r="Q3759" t="str">
            <v>Jl. Semeru No. 89 RT.001/RW.004, Ajung</v>
          </cell>
          <cell r="R3759" t="str">
            <v>Jember</v>
          </cell>
          <cell r="S3759" t="str">
            <v>L Kota1</v>
          </cell>
          <cell r="T3759" t="str">
            <v>OTHERS</v>
          </cell>
          <cell r="U3759">
            <v>30</v>
          </cell>
        </row>
        <row r="3760">
          <cell r="E3760" t="str">
            <v>T22000580</v>
          </cell>
          <cell r="F3760"/>
          <cell r="G3760">
            <v>1000000000</v>
          </cell>
          <cell r="H3760" t="str">
            <v>Others</v>
          </cell>
          <cell r="I3760" t="str">
            <v>Exclusive</v>
          </cell>
          <cell r="J3760" t="str">
            <v>New 06/04/21</v>
          </cell>
          <cell r="K3760" t="str">
            <v>HDPD</v>
          </cell>
          <cell r="L3760" t="str">
            <v>KARI09</v>
          </cell>
          <cell r="M3760" t="str">
            <v>Karisma Indoagro Universal, PT</v>
          </cell>
          <cell r="N3760" t="str">
            <v>Karisma Indoagro Universal, PT</v>
          </cell>
          <cell r="O3760" t="str">
            <v>Jl. Semeru No. 89 RT.001/RW.004, Ajung</v>
          </cell>
          <cell r="P3760" t="str">
            <v>Jember</v>
          </cell>
          <cell r="Q3760" t="str">
            <v>Jl. Semeru No. 89 RT.001/RW.004, Ajung</v>
          </cell>
          <cell r="R3760" t="str">
            <v>Jember</v>
          </cell>
          <cell r="S3760" t="str">
            <v>L Kota1</v>
          </cell>
          <cell r="T3760" t="str">
            <v>OTHERS</v>
          </cell>
          <cell r="U3760">
            <v>30</v>
          </cell>
        </row>
        <row r="3761">
          <cell r="E3761" t="str">
            <v>T22000604</v>
          </cell>
          <cell r="F3761"/>
          <cell r="G3761">
            <v>1000000000</v>
          </cell>
          <cell r="H3761" t="str">
            <v>Others</v>
          </cell>
          <cell r="I3761" t="str">
            <v>Exclusive</v>
          </cell>
          <cell r="J3761" t="str">
            <v>New 06/04/21</v>
          </cell>
          <cell r="K3761" t="str">
            <v>HDPD</v>
          </cell>
          <cell r="L3761" t="str">
            <v>KARI09</v>
          </cell>
          <cell r="M3761" t="str">
            <v>Karisma Indoagro Universal, PT</v>
          </cell>
          <cell r="N3761" t="str">
            <v>Karisma Indoagro Universal, PT</v>
          </cell>
          <cell r="O3761" t="str">
            <v>Jl. Semeru No. 89 RT.001/RW.004, Ajung</v>
          </cell>
          <cell r="P3761" t="str">
            <v>Jember</v>
          </cell>
          <cell r="Q3761" t="str">
            <v>Jl. Semeru No. 89 RT.001/RW.004, Ajung</v>
          </cell>
          <cell r="R3761" t="str">
            <v>Jember</v>
          </cell>
          <cell r="S3761" t="str">
            <v>L Kota1</v>
          </cell>
          <cell r="T3761" t="str">
            <v>OTHERS</v>
          </cell>
          <cell r="U3761">
            <v>30</v>
          </cell>
        </row>
        <row r="3762">
          <cell r="E3762" t="str">
            <v>T22000664</v>
          </cell>
          <cell r="F3762"/>
          <cell r="G3762">
            <v>1000000000</v>
          </cell>
          <cell r="H3762" t="str">
            <v>Others</v>
          </cell>
          <cell r="I3762" t="str">
            <v>Exclusive</v>
          </cell>
          <cell r="J3762" t="str">
            <v>New 06/04/21</v>
          </cell>
          <cell r="K3762" t="str">
            <v>HDPD</v>
          </cell>
          <cell r="L3762" t="str">
            <v>KARI09</v>
          </cell>
          <cell r="M3762" t="str">
            <v>Karisma Indoagro Universal, PT</v>
          </cell>
          <cell r="N3762" t="str">
            <v>Karisma Indoagro Universal, PT</v>
          </cell>
          <cell r="O3762" t="str">
            <v>Jl. Semeru No. 89 RT.001/RW.004, Ajung</v>
          </cell>
          <cell r="P3762" t="str">
            <v>Jember</v>
          </cell>
          <cell r="Q3762" t="str">
            <v>Jl. Semeru No. 89 RT.001/RW.004, Ajung</v>
          </cell>
          <cell r="R3762" t="str">
            <v>Jember</v>
          </cell>
          <cell r="S3762" t="str">
            <v>L Kota1</v>
          </cell>
          <cell r="T3762" t="str">
            <v>OTHERS</v>
          </cell>
          <cell r="U3762">
            <v>30</v>
          </cell>
        </row>
        <row r="3763">
          <cell r="E3763" t="str">
            <v>T22000725</v>
          </cell>
          <cell r="F3763"/>
          <cell r="G3763">
            <v>1000000000</v>
          </cell>
          <cell r="H3763" t="str">
            <v>Others</v>
          </cell>
          <cell r="I3763" t="str">
            <v>Exclusive</v>
          </cell>
          <cell r="J3763" t="str">
            <v>New 06/04/21</v>
          </cell>
          <cell r="K3763" t="str">
            <v>HDPD</v>
          </cell>
          <cell r="L3763" t="str">
            <v>KARI09</v>
          </cell>
          <cell r="M3763" t="str">
            <v>Karisma Indoagro Universal, PT</v>
          </cell>
          <cell r="N3763" t="str">
            <v>Karisma Indoagro Universal, PT</v>
          </cell>
          <cell r="O3763" t="str">
            <v>Jl. Semeru No. 89 RT.001/RW.004, Ajung</v>
          </cell>
          <cell r="P3763" t="str">
            <v>Jember</v>
          </cell>
          <cell r="Q3763" t="str">
            <v>Jl. Semeru No. 89 RT.001/RW.004, Ajung</v>
          </cell>
          <cell r="R3763" t="str">
            <v>Jember</v>
          </cell>
          <cell r="S3763" t="str">
            <v>L Kota1</v>
          </cell>
          <cell r="T3763" t="str">
            <v>OTHERS</v>
          </cell>
          <cell r="U3763">
            <v>30</v>
          </cell>
        </row>
        <row r="3764">
          <cell r="E3764" t="str">
            <v>T22000772</v>
          </cell>
          <cell r="F3764"/>
          <cell r="G3764">
            <v>1000000000</v>
          </cell>
          <cell r="H3764" t="str">
            <v>Others</v>
          </cell>
          <cell r="I3764" t="str">
            <v>Exclusive</v>
          </cell>
          <cell r="J3764" t="str">
            <v>New 06/04/21</v>
          </cell>
          <cell r="K3764" t="str">
            <v>HDPD</v>
          </cell>
          <cell r="L3764" t="str">
            <v>KARI09</v>
          </cell>
          <cell r="M3764" t="str">
            <v>Karisma Indoagro Universal, PT</v>
          </cell>
          <cell r="N3764" t="str">
            <v>Karisma Indoagro Universal, PT</v>
          </cell>
          <cell r="O3764" t="str">
            <v>Jl. Semeru No. 89 RT.001/RW.004, Ajung</v>
          </cell>
          <cell r="P3764" t="str">
            <v>Jember</v>
          </cell>
          <cell r="Q3764" t="str">
            <v>Jl. Semeru No. 89 RT.001/RW.004, Ajung</v>
          </cell>
          <cell r="R3764" t="str">
            <v>Jember</v>
          </cell>
          <cell r="S3764" t="str">
            <v>L Kota1</v>
          </cell>
          <cell r="T3764" t="str">
            <v>OTHERS</v>
          </cell>
          <cell r="U3764">
            <v>30</v>
          </cell>
        </row>
        <row r="3765">
          <cell r="E3765" t="str">
            <v>T22000799</v>
          </cell>
          <cell r="F3765"/>
          <cell r="G3765">
            <v>1000000000</v>
          </cell>
          <cell r="H3765" t="str">
            <v>Others</v>
          </cell>
          <cell r="I3765" t="str">
            <v>Exclusive</v>
          </cell>
          <cell r="J3765" t="str">
            <v>New 06/04/21</v>
          </cell>
          <cell r="K3765" t="str">
            <v>HDPD</v>
          </cell>
          <cell r="L3765" t="str">
            <v>KARI09</v>
          </cell>
          <cell r="M3765" t="str">
            <v>Karisma Indoagro Universal, PT</v>
          </cell>
          <cell r="N3765" t="str">
            <v>Karisma Indoagro Universal, PT</v>
          </cell>
          <cell r="O3765" t="str">
            <v>Jl. Semeru No. 89 RT.001/RW.004, Ajung</v>
          </cell>
          <cell r="P3765" t="str">
            <v>Jember</v>
          </cell>
          <cell r="Q3765" t="str">
            <v>Jl. Semeru No. 89 RT.001/RW.004, Ajung</v>
          </cell>
          <cell r="R3765" t="str">
            <v>Jember</v>
          </cell>
          <cell r="S3765" t="str">
            <v>L Kota1</v>
          </cell>
          <cell r="T3765" t="str">
            <v>OTHERS</v>
          </cell>
          <cell r="U3765">
            <v>0</v>
          </cell>
        </row>
        <row r="3766">
          <cell r="E3766" t="str">
            <v>T23000003</v>
          </cell>
          <cell r="F3766"/>
          <cell r="G3766">
            <v>1000000000</v>
          </cell>
          <cell r="H3766" t="str">
            <v>Others</v>
          </cell>
          <cell r="I3766" t="str">
            <v>Exclusive</v>
          </cell>
          <cell r="J3766" t="str">
            <v>New 06/04/21</v>
          </cell>
          <cell r="K3766" t="str">
            <v>HDPD</v>
          </cell>
          <cell r="L3766" t="str">
            <v>KARI09</v>
          </cell>
          <cell r="M3766" t="str">
            <v>Karisma Indoagro Universal, PT</v>
          </cell>
          <cell r="N3766" t="str">
            <v>Karisma Indoagro Universal, PT</v>
          </cell>
          <cell r="O3766" t="str">
            <v>Jl. Semeru No. 89 RT.001/RW.004, Ajung</v>
          </cell>
          <cell r="P3766" t="str">
            <v>Jember</v>
          </cell>
          <cell r="Q3766" t="str">
            <v>Jl. Semeru No. 89 RT.001/RW.004, Ajung</v>
          </cell>
          <cell r="R3766" t="str">
            <v>Jember</v>
          </cell>
          <cell r="S3766" t="str">
            <v>L Kota1</v>
          </cell>
          <cell r="T3766" t="str">
            <v>OTHERS</v>
          </cell>
          <cell r="U3766">
            <v>30</v>
          </cell>
        </row>
        <row r="3767">
          <cell r="E3767" t="str">
            <v>T23000012</v>
          </cell>
          <cell r="F3767"/>
          <cell r="G3767">
            <v>1000000000</v>
          </cell>
          <cell r="H3767" t="str">
            <v>Others</v>
          </cell>
          <cell r="I3767" t="str">
            <v>Exclusive</v>
          </cell>
          <cell r="J3767" t="str">
            <v>New 06/04/21</v>
          </cell>
          <cell r="K3767" t="str">
            <v>HDPD</v>
          </cell>
          <cell r="L3767" t="str">
            <v>KARI09</v>
          </cell>
          <cell r="M3767" t="str">
            <v>Karisma Indoagro Universal, PT</v>
          </cell>
          <cell r="N3767" t="str">
            <v>Karisma Indoagro Universal, PT</v>
          </cell>
          <cell r="O3767" t="str">
            <v>Jl. Semeru No. 89 RT.001/RW.004, Ajung</v>
          </cell>
          <cell r="P3767" t="str">
            <v>Jember</v>
          </cell>
          <cell r="Q3767" t="str">
            <v>Jl. Semeru No. 89 RT.001/RW.004, Ajung</v>
          </cell>
          <cell r="R3767" t="str">
            <v>Jember</v>
          </cell>
          <cell r="S3767" t="str">
            <v>L Kota1</v>
          </cell>
          <cell r="T3767" t="str">
            <v>OTHERS</v>
          </cell>
          <cell r="U3767">
            <v>30</v>
          </cell>
        </row>
        <row r="3768">
          <cell r="E3768" t="str">
            <v>T23000013</v>
          </cell>
          <cell r="F3768"/>
          <cell r="G3768">
            <v>1000000000</v>
          </cell>
          <cell r="H3768" t="str">
            <v>Others</v>
          </cell>
          <cell r="I3768" t="str">
            <v>Exclusive</v>
          </cell>
          <cell r="J3768" t="str">
            <v>New 06/04/21</v>
          </cell>
          <cell r="K3768" t="str">
            <v>HDPD</v>
          </cell>
          <cell r="L3768" t="str">
            <v>KARI09</v>
          </cell>
          <cell r="M3768" t="str">
            <v>Karisma Indoagro Universal, PT</v>
          </cell>
          <cell r="N3768" t="str">
            <v>Karisma Indoagro Universal, PT</v>
          </cell>
          <cell r="O3768" t="str">
            <v>Jl. Semeru No. 89 RT.001/RW.004, Ajung</v>
          </cell>
          <cell r="P3768" t="str">
            <v>Jember</v>
          </cell>
          <cell r="Q3768" t="str">
            <v>Jl. Semeru No. 89 RT.001/RW.004, Ajung</v>
          </cell>
          <cell r="R3768" t="str">
            <v>Jember</v>
          </cell>
          <cell r="S3768" t="str">
            <v>L Kota1</v>
          </cell>
          <cell r="T3768" t="str">
            <v>OTHERS</v>
          </cell>
          <cell r="U3768">
            <v>30</v>
          </cell>
        </row>
        <row r="3769">
          <cell r="E3769" t="str">
            <v>T23000057</v>
          </cell>
          <cell r="F3769"/>
          <cell r="G3769">
            <v>1000000000</v>
          </cell>
          <cell r="H3769" t="str">
            <v>Others</v>
          </cell>
          <cell r="I3769" t="str">
            <v>Exclusive</v>
          </cell>
          <cell r="J3769" t="str">
            <v>New 06/04/21</v>
          </cell>
          <cell r="K3769" t="str">
            <v>HDPD</v>
          </cell>
          <cell r="L3769" t="str">
            <v>KARI09</v>
          </cell>
          <cell r="M3769" t="str">
            <v>Karisma Indoagro Universal, PT</v>
          </cell>
          <cell r="N3769" t="str">
            <v>Karisma Indoagro Universal, PT</v>
          </cell>
          <cell r="O3769" t="str">
            <v>Jl. Semeru No. 89 RT.001/RW.004, Ajung</v>
          </cell>
          <cell r="P3769" t="str">
            <v>Jember</v>
          </cell>
          <cell r="Q3769" t="str">
            <v>Jl. Semeru No. 89 RT.001/RW.004, Ajung</v>
          </cell>
          <cell r="R3769" t="str">
            <v>Jember</v>
          </cell>
          <cell r="S3769" t="str">
            <v>L Kota1</v>
          </cell>
          <cell r="T3769" t="str">
            <v>OTHERS</v>
          </cell>
          <cell r="U3769">
            <v>30</v>
          </cell>
        </row>
        <row r="3770">
          <cell r="E3770" t="str">
            <v>T23000064</v>
          </cell>
          <cell r="F3770"/>
          <cell r="G3770">
            <v>1000000000</v>
          </cell>
          <cell r="H3770" t="str">
            <v>Others</v>
          </cell>
          <cell r="I3770" t="str">
            <v>Exclusive</v>
          </cell>
          <cell r="J3770" t="str">
            <v>New 06/04/21</v>
          </cell>
          <cell r="K3770" t="str">
            <v>HDPD</v>
          </cell>
          <cell r="L3770" t="str">
            <v>KARI09</v>
          </cell>
          <cell r="M3770" t="str">
            <v>Karisma Indoagro Universal, PT</v>
          </cell>
          <cell r="N3770" t="str">
            <v>Karisma Indoagro Universal, PT</v>
          </cell>
          <cell r="O3770" t="str">
            <v>Jl. Semeru No. 89 RT.001/RW.004, Ajung</v>
          </cell>
          <cell r="P3770" t="str">
            <v>Jember</v>
          </cell>
          <cell r="Q3770" t="str">
            <v>Jl. Semeru No. 89 RT.001/RW.004, Ajung</v>
          </cell>
          <cell r="R3770" t="str">
            <v>Jember</v>
          </cell>
          <cell r="S3770" t="str">
            <v>L Kota1</v>
          </cell>
          <cell r="T3770" t="str">
            <v>OTHERS</v>
          </cell>
          <cell r="U3770">
            <v>30</v>
          </cell>
        </row>
        <row r="3771">
          <cell r="E3771" t="str">
            <v>T23000087</v>
          </cell>
          <cell r="F3771"/>
          <cell r="G3771">
            <v>1000000000</v>
          </cell>
          <cell r="H3771" t="str">
            <v>Others</v>
          </cell>
          <cell r="I3771" t="str">
            <v>Exclusive</v>
          </cell>
          <cell r="J3771" t="str">
            <v>New 06/04/21</v>
          </cell>
          <cell r="K3771" t="str">
            <v>HDPD</v>
          </cell>
          <cell r="L3771" t="str">
            <v>KARI09</v>
          </cell>
          <cell r="M3771" t="str">
            <v>Karisma Indoagro Universal, PT</v>
          </cell>
          <cell r="N3771" t="str">
            <v>Karisma Indoagro Universal, PT</v>
          </cell>
          <cell r="O3771" t="str">
            <v>Jl. Semeru No. 89 RT.001/RW.004, Ajung</v>
          </cell>
          <cell r="P3771" t="str">
            <v>Jember</v>
          </cell>
          <cell r="Q3771" t="str">
            <v>Jl. Semeru No. 89 RT.001/RW.004, Ajung</v>
          </cell>
          <cell r="R3771" t="str">
            <v>Jember</v>
          </cell>
          <cell r="S3771" t="str">
            <v>L Kota1</v>
          </cell>
          <cell r="T3771" t="str">
            <v>OTHERS</v>
          </cell>
          <cell r="U3771">
            <v>30</v>
          </cell>
        </row>
        <row r="3772">
          <cell r="E3772" t="str">
            <v>T23000120</v>
          </cell>
          <cell r="F3772"/>
          <cell r="G3772">
            <v>1000000000</v>
          </cell>
          <cell r="H3772" t="str">
            <v>Others</v>
          </cell>
          <cell r="I3772" t="str">
            <v>Exclusive</v>
          </cell>
          <cell r="J3772" t="str">
            <v>New 06/04/21</v>
          </cell>
          <cell r="K3772" t="str">
            <v>HDPD</v>
          </cell>
          <cell r="L3772" t="str">
            <v>KARI09</v>
          </cell>
          <cell r="M3772" t="str">
            <v>Karisma Indoagro Universal, PT</v>
          </cell>
          <cell r="N3772" t="str">
            <v>Karisma Indoagro Universal, PT</v>
          </cell>
          <cell r="O3772" t="str">
            <v>Jl. Semeru No. 89 RT.001/RW.004, Ajung</v>
          </cell>
          <cell r="P3772" t="str">
            <v>Jember</v>
          </cell>
          <cell r="Q3772" t="str">
            <v>Jl. Semeru No. 89 RT.001/RW.004, Ajung</v>
          </cell>
          <cell r="R3772" t="str">
            <v>Jember</v>
          </cell>
          <cell r="S3772" t="str">
            <v>L Kota1</v>
          </cell>
          <cell r="T3772" t="str">
            <v>OTHERS</v>
          </cell>
          <cell r="U3772">
            <v>30</v>
          </cell>
        </row>
        <row r="3773">
          <cell r="E3773" t="str">
            <v>D23001207</v>
          </cell>
          <cell r="F3773"/>
          <cell r="G3773">
            <v>1000000000</v>
          </cell>
          <cell r="H3773" t="str">
            <v>Others</v>
          </cell>
          <cell r="I3773" t="str">
            <v>Exclusive</v>
          </cell>
          <cell r="J3773" t="str">
            <v>New 06/04/21</v>
          </cell>
          <cell r="K3773" t="str">
            <v>HDPD</v>
          </cell>
          <cell r="L3773" t="str">
            <v>KARI09</v>
          </cell>
          <cell r="M3773" t="str">
            <v>Karisma Indoagro Universal, PT</v>
          </cell>
          <cell r="N3773" t="str">
            <v>Karisma Indoagro Universal, PT</v>
          </cell>
          <cell r="O3773" t="str">
            <v>Jl. Semeru No. 89 RT.001/RW.004, Ajung</v>
          </cell>
          <cell r="P3773" t="str">
            <v>Jember</v>
          </cell>
          <cell r="Q3773" t="str">
            <v>Jl. Semeru No. 89 RT.001/RW.004, Ajung</v>
          </cell>
          <cell r="R3773" t="str">
            <v>Jember</v>
          </cell>
          <cell r="S3773" t="str">
            <v>L Kota1</v>
          </cell>
          <cell r="T3773" t="str">
            <v>OTHERS</v>
          </cell>
          <cell r="U3773">
            <v>30</v>
          </cell>
        </row>
        <row r="3774">
          <cell r="E3774" t="str">
            <v>T23000149</v>
          </cell>
          <cell r="F3774"/>
          <cell r="G3774">
            <v>1000000000</v>
          </cell>
          <cell r="H3774" t="str">
            <v>Others</v>
          </cell>
          <cell r="I3774" t="str">
            <v>Exclusive</v>
          </cell>
          <cell r="J3774" t="str">
            <v>New 06/04/21</v>
          </cell>
          <cell r="K3774" t="str">
            <v>HDPD</v>
          </cell>
          <cell r="L3774" t="str">
            <v>KARI09</v>
          </cell>
          <cell r="M3774" t="str">
            <v>Karisma Indoagro Universal, PT</v>
          </cell>
          <cell r="N3774" t="str">
            <v>Karisma Indoagro Universal, PT</v>
          </cell>
          <cell r="O3774" t="str">
            <v>Jl. Semeru No. 89 RT.001/RW.004, Ajung</v>
          </cell>
          <cell r="P3774" t="str">
            <v>Jember</v>
          </cell>
          <cell r="Q3774" t="str">
            <v>Jl. Semeru No. 89 RT.001/RW.004, Ajung</v>
          </cell>
          <cell r="R3774" t="str">
            <v>Jember</v>
          </cell>
          <cell r="S3774" t="str">
            <v>L Kota1</v>
          </cell>
          <cell r="T3774" t="str">
            <v>OTHERS</v>
          </cell>
          <cell r="U3774">
            <v>30</v>
          </cell>
        </row>
        <row r="3775">
          <cell r="E3775" t="str">
            <v>T23000180</v>
          </cell>
          <cell r="F3775"/>
          <cell r="G3775">
            <v>1000000000</v>
          </cell>
          <cell r="H3775" t="str">
            <v>Others</v>
          </cell>
          <cell r="I3775" t="str">
            <v>Exclusive</v>
          </cell>
          <cell r="J3775" t="str">
            <v>New 06/04/21</v>
          </cell>
          <cell r="K3775" t="str">
            <v>HDPD</v>
          </cell>
          <cell r="L3775" t="str">
            <v>KARI09</v>
          </cell>
          <cell r="M3775" t="str">
            <v>Karisma Indoagro Universal, PT</v>
          </cell>
          <cell r="N3775" t="str">
            <v>Karisma Indoagro Universal, PT</v>
          </cell>
          <cell r="O3775" t="str">
            <v>Jl. Semeru No. 89 RT.001/RW.004, Ajung</v>
          </cell>
          <cell r="P3775" t="str">
            <v>Jember</v>
          </cell>
          <cell r="Q3775" t="str">
            <v>Jl. Semeru No. 89 RT.001/RW.004, Ajung</v>
          </cell>
          <cell r="R3775" t="str">
            <v>Jember</v>
          </cell>
          <cell r="S3775" t="str">
            <v>L Kota1</v>
          </cell>
          <cell r="T3775" t="str">
            <v>OTHERS</v>
          </cell>
          <cell r="U3775">
            <v>30</v>
          </cell>
        </row>
        <row r="3776">
          <cell r="E3776" t="str">
            <v>T23000184</v>
          </cell>
          <cell r="F3776"/>
          <cell r="G3776">
            <v>1000000000</v>
          </cell>
          <cell r="H3776" t="str">
            <v>Others</v>
          </cell>
          <cell r="I3776" t="str">
            <v>Exclusive</v>
          </cell>
          <cell r="J3776" t="str">
            <v>New 06/04/21</v>
          </cell>
          <cell r="K3776" t="str">
            <v>HDPD</v>
          </cell>
          <cell r="L3776" t="str">
            <v>KARI09</v>
          </cell>
          <cell r="M3776" t="str">
            <v>Karisma Indoagro Universal, PT</v>
          </cell>
          <cell r="N3776" t="str">
            <v>Karisma Indoagro Universal, PT</v>
          </cell>
          <cell r="O3776" t="str">
            <v>Jl. Semeru No. 89 RT.001/RW.004, Ajung</v>
          </cell>
          <cell r="P3776" t="str">
            <v>Jember</v>
          </cell>
          <cell r="Q3776" t="str">
            <v>Jl. Semeru No. 89 RT.001/RW.004, Ajung</v>
          </cell>
          <cell r="R3776" t="str">
            <v>Jember</v>
          </cell>
          <cell r="S3776" t="str">
            <v>L Kota1</v>
          </cell>
          <cell r="T3776" t="str">
            <v>OTHERS</v>
          </cell>
          <cell r="U3776">
            <v>0</v>
          </cell>
        </row>
        <row r="3777">
          <cell r="E3777" t="str">
            <v>T23000187</v>
          </cell>
          <cell r="F3777"/>
          <cell r="G3777">
            <v>1000000000</v>
          </cell>
          <cell r="H3777" t="str">
            <v>Others</v>
          </cell>
          <cell r="I3777" t="str">
            <v>Exclusive</v>
          </cell>
          <cell r="J3777" t="str">
            <v>New 06/04/21</v>
          </cell>
          <cell r="K3777" t="str">
            <v>HDPD</v>
          </cell>
          <cell r="L3777" t="str">
            <v>KARI09</v>
          </cell>
          <cell r="M3777" t="str">
            <v>Karisma Indoagro Universal, PT</v>
          </cell>
          <cell r="N3777" t="str">
            <v>Karisma Indoagro Universal, PT</v>
          </cell>
          <cell r="O3777" t="str">
            <v>Jl. Semeru No. 89 RT.001/RW.004, Ajung</v>
          </cell>
          <cell r="P3777" t="str">
            <v>Jember</v>
          </cell>
          <cell r="Q3777" t="str">
            <v>Jl. Semeru No. 89 RT.001/RW.004, Ajung</v>
          </cell>
          <cell r="R3777" t="str">
            <v>Jember</v>
          </cell>
          <cell r="S3777" t="str">
            <v>L Kota1</v>
          </cell>
          <cell r="T3777" t="str">
            <v>OTHERS</v>
          </cell>
          <cell r="U3777">
            <v>0</v>
          </cell>
        </row>
        <row r="3778">
          <cell r="E3778" t="str">
            <v>T23000252</v>
          </cell>
          <cell r="F3778"/>
          <cell r="G3778">
            <v>1000000000</v>
          </cell>
          <cell r="H3778" t="str">
            <v>Others</v>
          </cell>
          <cell r="I3778" t="str">
            <v>Exclusive</v>
          </cell>
          <cell r="J3778" t="str">
            <v>New 06/04/21</v>
          </cell>
          <cell r="K3778" t="str">
            <v>HDPD</v>
          </cell>
          <cell r="L3778" t="str">
            <v>KARI09</v>
          </cell>
          <cell r="M3778" t="str">
            <v>Karisma Indoagro Universal, PT</v>
          </cell>
          <cell r="N3778" t="str">
            <v>Karisma Indoagro Universal, PT</v>
          </cell>
          <cell r="O3778" t="str">
            <v>Jl. Semeru No. 89 RT.001/RW.004, Ajung</v>
          </cell>
          <cell r="P3778" t="str">
            <v>Jember</v>
          </cell>
          <cell r="Q3778" t="str">
            <v>Jl. Semeru No. 89 RT.001/RW.004, Ajung</v>
          </cell>
          <cell r="R3778" t="str">
            <v>Jember</v>
          </cell>
          <cell r="S3778" t="str">
            <v>L Kota1</v>
          </cell>
          <cell r="T3778" t="str">
            <v>OTHERS</v>
          </cell>
          <cell r="U3778">
            <v>0</v>
          </cell>
        </row>
        <row r="3779">
          <cell r="E3779" t="str">
            <v>T23000257</v>
          </cell>
          <cell r="F3779"/>
          <cell r="G3779">
            <v>1000000000</v>
          </cell>
          <cell r="H3779" t="str">
            <v>Others</v>
          </cell>
          <cell r="I3779" t="str">
            <v>Exclusive</v>
          </cell>
          <cell r="J3779" t="str">
            <v>New 06/04/21</v>
          </cell>
          <cell r="K3779" t="str">
            <v>HDPD</v>
          </cell>
          <cell r="L3779" t="str">
            <v>KARI09</v>
          </cell>
          <cell r="M3779" t="str">
            <v>Karisma Indoagro Universal, PT</v>
          </cell>
          <cell r="N3779" t="str">
            <v>Karisma Indoagro Universal, PT</v>
          </cell>
          <cell r="O3779" t="str">
            <v>Jl. Semeru No. 89 RT.001/RW.004, Ajung</v>
          </cell>
          <cell r="P3779" t="str">
            <v>Jember</v>
          </cell>
          <cell r="Q3779" t="str">
            <v>Jl. Semeru No. 89 RT.001/RW.004, Ajung</v>
          </cell>
          <cell r="R3779" t="str">
            <v>Jember</v>
          </cell>
          <cell r="S3779" t="str">
            <v>L Kota1</v>
          </cell>
          <cell r="T3779" t="str">
            <v>OTHERS</v>
          </cell>
          <cell r="U3779">
            <v>0</v>
          </cell>
        </row>
        <row r="3780">
          <cell r="E3780" t="str">
            <v>T23000275</v>
          </cell>
          <cell r="F3780"/>
          <cell r="G3780">
            <v>1000000000</v>
          </cell>
          <cell r="H3780" t="str">
            <v>Others</v>
          </cell>
          <cell r="I3780" t="str">
            <v>Exclusive</v>
          </cell>
          <cell r="J3780" t="str">
            <v>New 06/04/21</v>
          </cell>
          <cell r="K3780" t="str">
            <v>HDPD</v>
          </cell>
          <cell r="L3780" t="str">
            <v>KARI09</v>
          </cell>
          <cell r="M3780" t="str">
            <v>Karisma Indoagro Universal, PT</v>
          </cell>
          <cell r="N3780" t="str">
            <v>Karisma Indoagro Universal, PT</v>
          </cell>
          <cell r="O3780" t="str">
            <v>Jl. Semeru No. 89 RT.001/RW.004, Ajung</v>
          </cell>
          <cell r="P3780" t="str">
            <v>Jember</v>
          </cell>
          <cell r="Q3780" t="str">
            <v>Jl. Semeru No. 89 RT.001/RW.004, Ajung</v>
          </cell>
          <cell r="R3780" t="str">
            <v>Jember</v>
          </cell>
          <cell r="S3780" t="str">
            <v>L Kota1</v>
          </cell>
          <cell r="T3780" t="str">
            <v>OTHERS</v>
          </cell>
          <cell r="U3780">
            <v>30</v>
          </cell>
        </row>
        <row r="3781">
          <cell r="E3781" t="str">
            <v>T23000285</v>
          </cell>
          <cell r="F3781"/>
          <cell r="G3781">
            <v>1000000000</v>
          </cell>
          <cell r="H3781" t="str">
            <v>Others</v>
          </cell>
          <cell r="I3781" t="str">
            <v>Exclusive</v>
          </cell>
          <cell r="J3781" t="str">
            <v>New 06/04/21</v>
          </cell>
          <cell r="K3781" t="str">
            <v>HDPD</v>
          </cell>
          <cell r="L3781" t="str">
            <v>KARI09</v>
          </cell>
          <cell r="M3781" t="str">
            <v>Karisma Indoagro Universal, PT</v>
          </cell>
          <cell r="N3781" t="str">
            <v>Karisma Indoagro Universal, PT</v>
          </cell>
          <cell r="O3781" t="str">
            <v>Jl. Semeru No. 89 RT.001/RW.004, Ajung</v>
          </cell>
          <cell r="P3781" t="str">
            <v>Jember</v>
          </cell>
          <cell r="Q3781" t="str">
            <v>Jl. Semeru No. 89 RT.001/RW.004, Ajung</v>
          </cell>
          <cell r="R3781" t="str">
            <v>Jember</v>
          </cell>
          <cell r="S3781" t="str">
            <v>L Kota1</v>
          </cell>
          <cell r="T3781" t="str">
            <v>OTHERS</v>
          </cell>
          <cell r="U3781">
            <v>30</v>
          </cell>
        </row>
        <row r="3782">
          <cell r="E3782" t="str">
            <v>T23000332</v>
          </cell>
          <cell r="F3782"/>
          <cell r="G3782">
            <v>1000000000</v>
          </cell>
          <cell r="H3782" t="str">
            <v>Others</v>
          </cell>
          <cell r="I3782" t="str">
            <v>Exclusive</v>
          </cell>
          <cell r="J3782" t="str">
            <v>New 06/04/21</v>
          </cell>
          <cell r="K3782" t="str">
            <v>HDPD</v>
          </cell>
          <cell r="L3782" t="str">
            <v>KARI09</v>
          </cell>
          <cell r="M3782" t="str">
            <v>Karisma Indoagro Universal, PT</v>
          </cell>
          <cell r="N3782" t="str">
            <v>Karisma Indoagro Universal, PT</v>
          </cell>
          <cell r="O3782" t="str">
            <v>Jl. Semeru No. 89 RT.001/RW.004, Ajung</v>
          </cell>
          <cell r="P3782" t="str">
            <v>Jember</v>
          </cell>
          <cell r="Q3782" t="str">
            <v>Jl. Semeru No. 89 RT.001/RW.004, Ajung</v>
          </cell>
          <cell r="R3782" t="str">
            <v>Jember</v>
          </cell>
          <cell r="S3782" t="str">
            <v>L Kota1</v>
          </cell>
          <cell r="T3782" t="str">
            <v>OTHERS</v>
          </cell>
          <cell r="U3782">
            <v>0</v>
          </cell>
        </row>
        <row r="3783">
          <cell r="E3783" t="str">
            <v>T23000355</v>
          </cell>
          <cell r="F3783"/>
          <cell r="G3783">
            <v>1000000000</v>
          </cell>
          <cell r="H3783" t="str">
            <v>Others</v>
          </cell>
          <cell r="I3783" t="str">
            <v>Exclusive</v>
          </cell>
          <cell r="J3783" t="str">
            <v>New 06/04/21</v>
          </cell>
          <cell r="K3783" t="str">
            <v>HDPD</v>
          </cell>
          <cell r="L3783" t="str">
            <v>KARI09</v>
          </cell>
          <cell r="M3783" t="str">
            <v>Karisma Indoagro Universal, PT</v>
          </cell>
          <cell r="N3783" t="str">
            <v>Karisma Indoagro Universal, PT</v>
          </cell>
          <cell r="O3783" t="str">
            <v>Jl. Semeru No. 89 RT.001/RW.004, Ajung</v>
          </cell>
          <cell r="P3783" t="str">
            <v>Jember</v>
          </cell>
          <cell r="Q3783" t="str">
            <v>Jl. Semeru No. 89 RT.001/RW.004, Ajung</v>
          </cell>
          <cell r="R3783" t="str">
            <v>Jember</v>
          </cell>
          <cell r="S3783" t="str">
            <v>L Kota1</v>
          </cell>
          <cell r="T3783" t="str">
            <v>OTHERS</v>
          </cell>
          <cell r="U3783">
            <v>30</v>
          </cell>
        </row>
        <row r="3784">
          <cell r="E3784" t="str">
            <v>T23000382</v>
          </cell>
          <cell r="F3784"/>
          <cell r="G3784">
            <v>1000000000</v>
          </cell>
          <cell r="H3784" t="str">
            <v>Others</v>
          </cell>
          <cell r="I3784" t="str">
            <v>Exclusive</v>
          </cell>
          <cell r="J3784" t="str">
            <v>New 06/04/21</v>
          </cell>
          <cell r="K3784" t="str">
            <v>HDPD</v>
          </cell>
          <cell r="L3784" t="str">
            <v>KARI09</v>
          </cell>
          <cell r="M3784" t="str">
            <v>Karisma Indoagro Universal, PT</v>
          </cell>
          <cell r="N3784" t="str">
            <v>Karisma Indoagro Universal, PT</v>
          </cell>
          <cell r="O3784" t="str">
            <v>Jl. Semeru No. 89 RT.001/RW.004, Ajung</v>
          </cell>
          <cell r="P3784" t="str">
            <v>Jember</v>
          </cell>
          <cell r="Q3784" t="str">
            <v>Jl. Semeru No. 89 RT.001/RW.004, Ajung</v>
          </cell>
          <cell r="R3784" t="str">
            <v>Jember</v>
          </cell>
          <cell r="S3784" t="str">
            <v>L Kota1</v>
          </cell>
          <cell r="T3784" t="str">
            <v>OTHERS</v>
          </cell>
          <cell r="U3784">
            <v>30</v>
          </cell>
        </row>
        <row r="3785">
          <cell r="E3785" t="str">
            <v>T23000419</v>
          </cell>
          <cell r="F3785"/>
          <cell r="G3785">
            <v>1000000000</v>
          </cell>
          <cell r="H3785" t="str">
            <v>Others</v>
          </cell>
          <cell r="I3785" t="str">
            <v>Exclusive</v>
          </cell>
          <cell r="J3785" t="str">
            <v>New 06/04/21</v>
          </cell>
          <cell r="K3785" t="str">
            <v>HDPD</v>
          </cell>
          <cell r="L3785" t="str">
            <v>KARI09</v>
          </cell>
          <cell r="M3785" t="str">
            <v>Karisma Indoagro Universal, PT</v>
          </cell>
          <cell r="N3785" t="str">
            <v>Karisma Indoagro Universal, PT</v>
          </cell>
          <cell r="O3785" t="str">
            <v>Jl. Semeru No. 89 RT.001/RW.004, Ajung</v>
          </cell>
          <cell r="P3785" t="str">
            <v>Jember</v>
          </cell>
          <cell r="Q3785" t="str">
            <v>Jl. Semeru No. 89 RT.001/RW.004, Ajung</v>
          </cell>
          <cell r="R3785" t="str">
            <v>Jember</v>
          </cell>
          <cell r="S3785" t="str">
            <v>L Kota1</v>
          </cell>
          <cell r="T3785" t="str">
            <v>OTHERS</v>
          </cell>
          <cell r="U3785">
            <v>30</v>
          </cell>
        </row>
        <row r="3786">
          <cell r="E3786" t="str">
            <v>T23000426</v>
          </cell>
          <cell r="F3786"/>
          <cell r="G3786">
            <v>1000000000</v>
          </cell>
          <cell r="H3786" t="str">
            <v>Others</v>
          </cell>
          <cell r="I3786" t="str">
            <v>Exclusive</v>
          </cell>
          <cell r="J3786" t="str">
            <v>New 06/04/21</v>
          </cell>
          <cell r="K3786" t="str">
            <v>HDPD</v>
          </cell>
          <cell r="L3786" t="str">
            <v>KARI09</v>
          </cell>
          <cell r="M3786" t="str">
            <v>Karisma Indoagro Universal, PT</v>
          </cell>
          <cell r="N3786" t="str">
            <v>Karisma Indoagro Universal, PT</v>
          </cell>
          <cell r="O3786" t="str">
            <v>Jl. Semeru No. 89 RT.001/RW.004, Ajung</v>
          </cell>
          <cell r="P3786" t="str">
            <v>Jember</v>
          </cell>
          <cell r="Q3786" t="str">
            <v>Jl. Semeru No. 89 RT.001/RW.004, Ajung</v>
          </cell>
          <cell r="R3786" t="str">
            <v>Jember</v>
          </cell>
          <cell r="S3786" t="str">
            <v>L Kota1</v>
          </cell>
          <cell r="T3786" t="str">
            <v>OTHERS</v>
          </cell>
          <cell r="U3786">
            <v>30</v>
          </cell>
        </row>
        <row r="3787">
          <cell r="E3787" t="str">
            <v>T23000485</v>
          </cell>
          <cell r="F3787"/>
          <cell r="G3787">
            <v>1000000000</v>
          </cell>
          <cell r="H3787" t="str">
            <v>Others</v>
          </cell>
          <cell r="I3787" t="str">
            <v>Exclusive</v>
          </cell>
          <cell r="J3787" t="str">
            <v>New 06/04/21</v>
          </cell>
          <cell r="K3787" t="str">
            <v>HDPD</v>
          </cell>
          <cell r="L3787" t="str">
            <v>KARI09</v>
          </cell>
          <cell r="M3787" t="str">
            <v>Karisma Indoagro Universal, PT</v>
          </cell>
          <cell r="N3787" t="str">
            <v>Karisma Indoagro Universal, PT</v>
          </cell>
          <cell r="O3787" t="str">
            <v>Jl. Semeru No. 89 RT.001/RW.004, Ajung</v>
          </cell>
          <cell r="P3787" t="str">
            <v>Jember</v>
          </cell>
          <cell r="Q3787" t="str">
            <v>Jl. Semeru No. 89 RT.001/RW.004, Ajung</v>
          </cell>
          <cell r="R3787" t="str">
            <v>Jember</v>
          </cell>
          <cell r="S3787" t="str">
            <v>L Kota1</v>
          </cell>
          <cell r="T3787" t="str">
            <v>OTHERS</v>
          </cell>
          <cell r="U3787">
            <v>30</v>
          </cell>
        </row>
        <row r="3788">
          <cell r="E3788" t="str">
            <v>T23000492</v>
          </cell>
          <cell r="F3788"/>
          <cell r="G3788">
            <v>1000000000</v>
          </cell>
          <cell r="H3788" t="str">
            <v>Others</v>
          </cell>
          <cell r="I3788" t="str">
            <v>Exclusive</v>
          </cell>
          <cell r="J3788" t="str">
            <v>New 06/04/21</v>
          </cell>
          <cell r="K3788" t="str">
            <v>HDPD</v>
          </cell>
          <cell r="L3788" t="str">
            <v>KARI09</v>
          </cell>
          <cell r="M3788" t="str">
            <v>Karisma Indoagro Universal, PT</v>
          </cell>
          <cell r="N3788" t="str">
            <v>Karisma Indoagro Universal, PT</v>
          </cell>
          <cell r="O3788" t="str">
            <v>Jl. Semeru No. 89 RT.001/RW.004, Ajung</v>
          </cell>
          <cell r="P3788" t="str">
            <v>Jember</v>
          </cell>
          <cell r="Q3788" t="str">
            <v>Jl. Semeru No. 89 RT.001/RW.004, Ajung</v>
          </cell>
          <cell r="R3788" t="str">
            <v>Jember</v>
          </cell>
          <cell r="S3788" t="str">
            <v>L Kota1</v>
          </cell>
          <cell r="T3788" t="str">
            <v>OTHERS</v>
          </cell>
          <cell r="U3788">
            <v>30</v>
          </cell>
        </row>
        <row r="3789">
          <cell r="E3789" t="str">
            <v>T23000504</v>
          </cell>
          <cell r="F3789"/>
          <cell r="G3789">
            <v>1000000000</v>
          </cell>
          <cell r="H3789" t="str">
            <v>Others</v>
          </cell>
          <cell r="I3789" t="str">
            <v>Exclusive</v>
          </cell>
          <cell r="J3789" t="str">
            <v>New 06/04/21</v>
          </cell>
          <cell r="K3789" t="str">
            <v>HDPD</v>
          </cell>
          <cell r="L3789" t="str">
            <v>KARI09</v>
          </cell>
          <cell r="M3789" t="str">
            <v>Karisma Indoagro Universal, PT</v>
          </cell>
          <cell r="N3789" t="str">
            <v>Karisma Indoagro Universal, PT</v>
          </cell>
          <cell r="O3789" t="str">
            <v>Jl. Semeru No. 89 RT.001/RW.004, Ajung</v>
          </cell>
          <cell r="P3789" t="str">
            <v>Jember</v>
          </cell>
          <cell r="Q3789" t="str">
            <v>Jl. Semeru No. 89 RT.001/RW.004, Ajung</v>
          </cell>
          <cell r="R3789" t="str">
            <v>Jember</v>
          </cell>
          <cell r="S3789" t="str">
            <v>L Kota1</v>
          </cell>
          <cell r="T3789" t="str">
            <v>OTHERS</v>
          </cell>
          <cell r="U3789">
            <v>30</v>
          </cell>
        </row>
        <row r="3790">
          <cell r="E3790" t="str">
            <v>T23000507</v>
          </cell>
          <cell r="F3790"/>
          <cell r="G3790">
            <v>1000000000</v>
          </cell>
          <cell r="H3790" t="str">
            <v>Others</v>
          </cell>
          <cell r="I3790" t="str">
            <v>Exclusive</v>
          </cell>
          <cell r="J3790" t="str">
            <v>New 06/04/21</v>
          </cell>
          <cell r="K3790" t="str">
            <v>HDPD</v>
          </cell>
          <cell r="L3790" t="str">
            <v>KARI09</v>
          </cell>
          <cell r="M3790" t="str">
            <v>Karisma Indoagro Universal, PT</v>
          </cell>
          <cell r="N3790" t="str">
            <v>Karisma Indoagro Universal, PT</v>
          </cell>
          <cell r="O3790" t="str">
            <v>Jl. Semeru No. 89 RT.001/RW.004, Ajung</v>
          </cell>
          <cell r="P3790" t="str">
            <v>Jember</v>
          </cell>
          <cell r="Q3790" t="str">
            <v>Jl. Semeru No. 89 RT.001/RW.004, Ajung</v>
          </cell>
          <cell r="R3790" t="str">
            <v>Jember</v>
          </cell>
          <cell r="S3790" t="str">
            <v>L Kota1</v>
          </cell>
          <cell r="T3790" t="str">
            <v>OTHERS</v>
          </cell>
          <cell r="U3790">
            <v>30</v>
          </cell>
        </row>
        <row r="3791">
          <cell r="E3791" t="str">
            <v>T23000508</v>
          </cell>
          <cell r="F3791"/>
          <cell r="G3791">
            <v>1000000000</v>
          </cell>
          <cell r="H3791" t="str">
            <v>Others</v>
          </cell>
          <cell r="I3791" t="str">
            <v>Exclusive</v>
          </cell>
          <cell r="J3791" t="str">
            <v>New 06/04/21</v>
          </cell>
          <cell r="K3791" t="str">
            <v>HDPD</v>
          </cell>
          <cell r="L3791" t="str">
            <v>KARI09</v>
          </cell>
          <cell r="M3791" t="str">
            <v>Karisma Indoagro Universal, PT</v>
          </cell>
          <cell r="N3791" t="str">
            <v>Karisma Indoagro Universal, PT</v>
          </cell>
          <cell r="O3791" t="str">
            <v>Jl. Semeru No. 89 RT.001/RW.004, Ajung</v>
          </cell>
          <cell r="P3791" t="str">
            <v>Jember</v>
          </cell>
          <cell r="Q3791" t="str">
            <v>Jl. Semeru No. 89 RT.001/RW.004, Ajung</v>
          </cell>
          <cell r="R3791" t="str">
            <v>Jember</v>
          </cell>
          <cell r="S3791" t="str">
            <v>L Kota1</v>
          </cell>
          <cell r="T3791" t="str">
            <v>OTHERS</v>
          </cell>
          <cell r="U3791">
            <v>30</v>
          </cell>
        </row>
        <row r="3792">
          <cell r="E3792" t="str">
            <v>T23000509</v>
          </cell>
          <cell r="F3792"/>
          <cell r="G3792">
            <v>1000000000</v>
          </cell>
          <cell r="H3792" t="str">
            <v>Others</v>
          </cell>
          <cell r="I3792" t="str">
            <v>Exclusive</v>
          </cell>
          <cell r="J3792" t="str">
            <v>New 06/04/21</v>
          </cell>
          <cell r="K3792" t="str">
            <v>HDPD</v>
          </cell>
          <cell r="L3792" t="str">
            <v>KARI09</v>
          </cell>
          <cell r="M3792" t="str">
            <v>Karisma Indoagro Universal, PT</v>
          </cell>
          <cell r="N3792" t="str">
            <v>Karisma Indoagro Universal, PT</v>
          </cell>
          <cell r="O3792" t="str">
            <v>Jl. Semeru No. 89 RT.001/RW.004, Ajung</v>
          </cell>
          <cell r="P3792" t="str">
            <v>Jember</v>
          </cell>
          <cell r="Q3792" t="str">
            <v>Jl. Semeru No. 89 RT.001/RW.004, Ajung</v>
          </cell>
          <cell r="R3792" t="str">
            <v>Jember</v>
          </cell>
          <cell r="S3792" t="str">
            <v>L Kota1</v>
          </cell>
          <cell r="T3792" t="str">
            <v>OTHERS</v>
          </cell>
          <cell r="U3792">
            <v>30</v>
          </cell>
        </row>
        <row r="3793">
          <cell r="E3793" t="str">
            <v>T23000522</v>
          </cell>
          <cell r="F3793"/>
          <cell r="G3793">
            <v>1000000000</v>
          </cell>
          <cell r="H3793" t="str">
            <v>Others</v>
          </cell>
          <cell r="I3793" t="str">
            <v>Exclusive</v>
          </cell>
          <cell r="J3793" t="str">
            <v>New 06/04/21</v>
          </cell>
          <cell r="K3793" t="str">
            <v>HDPD</v>
          </cell>
          <cell r="L3793" t="str">
            <v>KARI09</v>
          </cell>
          <cell r="M3793" t="str">
            <v>Karisma Indoagro Universal, PT</v>
          </cell>
          <cell r="N3793" t="str">
            <v>Karisma Indoagro Universal, PT</v>
          </cell>
          <cell r="O3793" t="str">
            <v>Jl. Semeru No. 89 RT.001/RW.004, Ajung</v>
          </cell>
          <cell r="P3793" t="str">
            <v>Jember</v>
          </cell>
          <cell r="Q3793" t="str">
            <v>Jl. Semeru No. 89 RT.001/RW.004, Ajung</v>
          </cell>
          <cell r="R3793" t="str">
            <v>Jember</v>
          </cell>
          <cell r="S3793" t="str">
            <v>L Kota1</v>
          </cell>
          <cell r="T3793" t="str">
            <v>OTHERS</v>
          </cell>
          <cell r="U3793">
            <v>30</v>
          </cell>
        </row>
        <row r="3794">
          <cell r="E3794" t="str">
            <v>T23000524</v>
          </cell>
          <cell r="F3794"/>
          <cell r="G3794">
            <v>1000000000</v>
          </cell>
          <cell r="H3794" t="str">
            <v>Others</v>
          </cell>
          <cell r="I3794" t="str">
            <v>Exclusive</v>
          </cell>
          <cell r="J3794" t="str">
            <v>New 06/04/21</v>
          </cell>
          <cell r="K3794" t="str">
            <v>HDPD</v>
          </cell>
          <cell r="L3794" t="str">
            <v>KARI09</v>
          </cell>
          <cell r="M3794" t="str">
            <v>Karisma Indoagro Universal, PT</v>
          </cell>
          <cell r="N3794" t="str">
            <v>Karisma Indoagro Universal, PT</v>
          </cell>
          <cell r="O3794" t="str">
            <v>Jl. Semeru No. 89 RT.001/RW.004, Ajung</v>
          </cell>
          <cell r="P3794" t="str">
            <v>Jember</v>
          </cell>
          <cell r="Q3794" t="str">
            <v>Jl. Semeru No. 89 RT.001/RW.004, Ajung</v>
          </cell>
          <cell r="R3794" t="str">
            <v>Jember</v>
          </cell>
          <cell r="S3794" t="str">
            <v>L Kota1</v>
          </cell>
          <cell r="T3794" t="str">
            <v>OTHERS</v>
          </cell>
          <cell r="U3794">
            <v>30</v>
          </cell>
        </row>
        <row r="3795">
          <cell r="E3795" t="str">
            <v>T23000577</v>
          </cell>
          <cell r="F3795"/>
          <cell r="G3795">
            <v>1000000000</v>
          </cell>
          <cell r="H3795" t="str">
            <v>Others</v>
          </cell>
          <cell r="I3795" t="str">
            <v>Exclusive</v>
          </cell>
          <cell r="J3795" t="str">
            <v>New 06/04/21</v>
          </cell>
          <cell r="K3795" t="str">
            <v>HDPD</v>
          </cell>
          <cell r="L3795" t="str">
            <v>KARI09</v>
          </cell>
          <cell r="M3795" t="str">
            <v>Karisma Indoagro Universal, PT</v>
          </cell>
          <cell r="N3795" t="str">
            <v>Karisma Indoagro Universal, PT</v>
          </cell>
          <cell r="O3795" t="str">
            <v>Jl. Semeru No. 89 RT.001/RW.004, Ajung</v>
          </cell>
          <cell r="P3795" t="str">
            <v>Jember</v>
          </cell>
          <cell r="Q3795" t="str">
            <v>Jl. Semeru No. 89 RT.001/RW.004, Ajung</v>
          </cell>
          <cell r="R3795" t="str">
            <v>Jember</v>
          </cell>
          <cell r="S3795" t="str">
            <v>L Kota1</v>
          </cell>
          <cell r="T3795" t="str">
            <v>OTHERS</v>
          </cell>
          <cell r="U3795">
            <v>30</v>
          </cell>
        </row>
        <row r="3796">
          <cell r="E3796" t="str">
            <v>T23000584</v>
          </cell>
          <cell r="F3796"/>
          <cell r="G3796">
            <v>1000000000</v>
          </cell>
          <cell r="H3796" t="str">
            <v>Others</v>
          </cell>
          <cell r="I3796" t="str">
            <v>Exclusive</v>
          </cell>
          <cell r="J3796" t="str">
            <v>New 06/04/21</v>
          </cell>
          <cell r="K3796" t="str">
            <v>HDPD</v>
          </cell>
          <cell r="L3796" t="str">
            <v>KARI09</v>
          </cell>
          <cell r="M3796" t="str">
            <v>Karisma Indoagro Universal, PT</v>
          </cell>
          <cell r="N3796" t="str">
            <v>Karisma Indoagro Universal, PT</v>
          </cell>
          <cell r="O3796" t="str">
            <v>Jl. Semeru No. 89 RT.001/RW.004, Ajung</v>
          </cell>
          <cell r="P3796" t="str">
            <v>Jember</v>
          </cell>
          <cell r="Q3796" t="str">
            <v>Jl. Semeru No. 89 RT.001/RW.004, Ajung</v>
          </cell>
          <cell r="R3796" t="str">
            <v>Jember</v>
          </cell>
          <cell r="S3796" t="str">
            <v>L Kota1</v>
          </cell>
          <cell r="T3796" t="str">
            <v>OTHERS</v>
          </cell>
          <cell r="U3796">
            <v>30</v>
          </cell>
        </row>
        <row r="3797">
          <cell r="E3797" t="str">
            <v>T23000594</v>
          </cell>
          <cell r="F3797"/>
          <cell r="G3797">
            <v>1000000000</v>
          </cell>
          <cell r="H3797" t="str">
            <v>Others</v>
          </cell>
          <cell r="I3797" t="str">
            <v>Exclusive</v>
          </cell>
          <cell r="J3797" t="str">
            <v>New 06/04/21</v>
          </cell>
          <cell r="K3797" t="str">
            <v>HDPD</v>
          </cell>
          <cell r="L3797" t="str">
            <v>KARI09</v>
          </cell>
          <cell r="M3797" t="str">
            <v>Karisma Indoagro Universal, PT</v>
          </cell>
          <cell r="N3797" t="str">
            <v>Karisma Indoagro Universal, PT</v>
          </cell>
          <cell r="O3797" t="str">
            <v>Jl. Semeru No. 89 RT.001/RW.004, Ajung</v>
          </cell>
          <cell r="P3797" t="str">
            <v>Jember</v>
          </cell>
          <cell r="Q3797" t="str">
            <v>Jl. Semeru No. 89 RT.001/RW.004, Ajung</v>
          </cell>
          <cell r="R3797" t="str">
            <v>Jember</v>
          </cell>
          <cell r="S3797" t="str">
            <v>L Kota1</v>
          </cell>
          <cell r="T3797" t="str">
            <v>OTHERS</v>
          </cell>
          <cell r="U3797">
            <v>30</v>
          </cell>
        </row>
        <row r="3798">
          <cell r="E3798" t="str">
            <v>T23000630</v>
          </cell>
          <cell r="F3798"/>
          <cell r="G3798">
            <v>1000000000</v>
          </cell>
          <cell r="H3798" t="str">
            <v>Others</v>
          </cell>
          <cell r="I3798" t="str">
            <v>Exclusive</v>
          </cell>
          <cell r="J3798" t="str">
            <v>New 06/04/21</v>
          </cell>
          <cell r="K3798" t="str">
            <v>HDPD</v>
          </cell>
          <cell r="L3798" t="str">
            <v>KARI09</v>
          </cell>
          <cell r="M3798" t="str">
            <v>Karisma Indoagro Universal, PT</v>
          </cell>
          <cell r="N3798" t="str">
            <v>Karisma Indoagro Universal, PT</v>
          </cell>
          <cell r="O3798" t="str">
            <v>Jl. Semeru No. 89 RT.001/RW.004, Ajung</v>
          </cell>
          <cell r="P3798" t="str">
            <v>Jember</v>
          </cell>
          <cell r="Q3798" t="str">
            <v>Jl. Semeru No. 89 RT.001/RW.004, Ajung</v>
          </cell>
          <cell r="R3798" t="str">
            <v>Jember</v>
          </cell>
          <cell r="S3798" t="str">
            <v>L Kota1</v>
          </cell>
          <cell r="T3798" t="str">
            <v>OTHERS</v>
          </cell>
          <cell r="U3798">
            <v>30</v>
          </cell>
        </row>
        <row r="3799">
          <cell r="E3799" t="str">
            <v>T23000644</v>
          </cell>
          <cell r="F3799"/>
          <cell r="G3799">
            <v>1000000000</v>
          </cell>
          <cell r="H3799" t="str">
            <v>Others</v>
          </cell>
          <cell r="I3799" t="str">
            <v>Exclusive</v>
          </cell>
          <cell r="J3799" t="str">
            <v>New 06/04/21</v>
          </cell>
          <cell r="K3799" t="str">
            <v>HDPD</v>
          </cell>
          <cell r="L3799" t="str">
            <v>KARI09</v>
          </cell>
          <cell r="M3799" t="str">
            <v>Karisma Indoagro Universal, PT</v>
          </cell>
          <cell r="N3799" t="str">
            <v>Karisma Indoagro Universal, PT</v>
          </cell>
          <cell r="O3799" t="str">
            <v>Jl. Semeru No. 89 RT.001/RW.004, Ajung</v>
          </cell>
          <cell r="P3799" t="str">
            <v>Jember</v>
          </cell>
          <cell r="Q3799" t="str">
            <v>Jl. Semeru No. 89 RT.001/RW.004, Ajung</v>
          </cell>
          <cell r="R3799" t="str">
            <v>Jember</v>
          </cell>
          <cell r="S3799" t="str">
            <v>L Kota1</v>
          </cell>
          <cell r="T3799" t="str">
            <v>OTHERS</v>
          </cell>
          <cell r="U3799">
            <v>30</v>
          </cell>
        </row>
        <row r="3800">
          <cell r="E3800" t="str">
            <v>T23000686</v>
          </cell>
          <cell r="F3800"/>
          <cell r="G3800">
            <v>1000000000</v>
          </cell>
          <cell r="H3800" t="str">
            <v>Others</v>
          </cell>
          <cell r="I3800" t="str">
            <v>Exclusive</v>
          </cell>
          <cell r="J3800" t="str">
            <v>New 06/04/21</v>
          </cell>
          <cell r="K3800" t="str">
            <v>HDPD</v>
          </cell>
          <cell r="L3800" t="str">
            <v>KARI09</v>
          </cell>
          <cell r="M3800" t="str">
            <v>Karisma Indoagro Universal, PT</v>
          </cell>
          <cell r="N3800" t="str">
            <v>Karisma Indoagro Universal, PT</v>
          </cell>
          <cell r="O3800" t="str">
            <v>Jl. Semeru No. 89 RT.001/RW.004, Ajung</v>
          </cell>
          <cell r="P3800" t="str">
            <v>Jember</v>
          </cell>
          <cell r="Q3800" t="str">
            <v>Jl. Semeru No. 89 RT.001/RW.004, Ajung</v>
          </cell>
          <cell r="R3800" t="str">
            <v>Jember</v>
          </cell>
          <cell r="S3800" t="str">
            <v>L Kota1</v>
          </cell>
          <cell r="T3800" t="str">
            <v>OTHERS</v>
          </cell>
          <cell r="U3800">
            <v>30</v>
          </cell>
        </row>
        <row r="3801">
          <cell r="E3801" t="str">
            <v>T23000695</v>
          </cell>
          <cell r="F3801"/>
          <cell r="G3801">
            <v>1000000000</v>
          </cell>
          <cell r="H3801" t="str">
            <v>Others</v>
          </cell>
          <cell r="I3801" t="str">
            <v>Exclusive</v>
          </cell>
          <cell r="J3801" t="str">
            <v>New 06/04/21</v>
          </cell>
          <cell r="K3801" t="str">
            <v>HDPD</v>
          </cell>
          <cell r="L3801" t="str">
            <v>KARI09</v>
          </cell>
          <cell r="M3801" t="str">
            <v>Karisma Indoagro Universal, PT</v>
          </cell>
          <cell r="N3801" t="str">
            <v>Karisma Indoagro Universal, PT</v>
          </cell>
          <cell r="O3801" t="str">
            <v>Jl. Semeru No. 89 RT.001/RW.004, Ajung</v>
          </cell>
          <cell r="P3801" t="str">
            <v>Jember</v>
          </cell>
          <cell r="Q3801" t="str">
            <v>Jl. Semeru No. 89 RT.001/RW.004, Ajung</v>
          </cell>
          <cell r="R3801" t="str">
            <v>Jember</v>
          </cell>
          <cell r="S3801" t="str">
            <v>L Kota1</v>
          </cell>
          <cell r="T3801" t="str">
            <v>OTHERS</v>
          </cell>
          <cell r="U3801">
            <v>30</v>
          </cell>
        </row>
        <row r="3802">
          <cell r="E3802" t="str">
            <v>T23000741</v>
          </cell>
          <cell r="F3802"/>
          <cell r="G3802">
            <v>1000000000</v>
          </cell>
          <cell r="H3802" t="str">
            <v>Others</v>
          </cell>
          <cell r="I3802" t="str">
            <v>Exclusive</v>
          </cell>
          <cell r="J3802" t="str">
            <v>New 06/04/21</v>
          </cell>
          <cell r="K3802" t="str">
            <v>HDPD</v>
          </cell>
          <cell r="L3802" t="str">
            <v>KARI09</v>
          </cell>
          <cell r="M3802" t="str">
            <v>Karisma Indoagro Universal, PT</v>
          </cell>
          <cell r="N3802" t="str">
            <v>Karisma Indoagro Universal, PT</v>
          </cell>
          <cell r="O3802" t="str">
            <v>Jl. Semeru No. 89 RT.001/RW.004, Ajung</v>
          </cell>
          <cell r="P3802" t="str">
            <v>Jember</v>
          </cell>
          <cell r="Q3802" t="str">
            <v>Jl. Semeru No. 89 RT.001/RW.004, Ajung</v>
          </cell>
          <cell r="R3802" t="str">
            <v>Jember</v>
          </cell>
          <cell r="S3802" t="str">
            <v>L Kota1</v>
          </cell>
          <cell r="T3802" t="str">
            <v>OTHERS</v>
          </cell>
          <cell r="U3802">
            <v>30</v>
          </cell>
        </row>
        <row r="3803">
          <cell r="E3803" t="str">
            <v>T23000742</v>
          </cell>
          <cell r="F3803"/>
          <cell r="G3803">
            <v>1000000000</v>
          </cell>
          <cell r="H3803" t="str">
            <v>Others</v>
          </cell>
          <cell r="I3803" t="str">
            <v>Exclusive</v>
          </cell>
          <cell r="J3803" t="str">
            <v>New 06/04/21</v>
          </cell>
          <cell r="K3803" t="str">
            <v>HDPD</v>
          </cell>
          <cell r="L3803" t="str">
            <v>KARI09</v>
          </cell>
          <cell r="M3803" t="str">
            <v>Karisma Indoagro Universal, PT</v>
          </cell>
          <cell r="N3803" t="str">
            <v>Karisma Indoagro Universal, PT</v>
          </cell>
          <cell r="O3803" t="str">
            <v>Jl. Semeru No. 89 RT.001/RW.004, Ajung</v>
          </cell>
          <cell r="P3803" t="str">
            <v>Jember</v>
          </cell>
          <cell r="Q3803" t="str">
            <v>Jl. Semeru No. 89 RT.001/RW.004, Ajung</v>
          </cell>
          <cell r="R3803" t="str">
            <v>Jember</v>
          </cell>
          <cell r="S3803" t="str">
            <v>L Kota1</v>
          </cell>
          <cell r="T3803" t="str">
            <v>OTHERS</v>
          </cell>
          <cell r="U3803">
            <v>30</v>
          </cell>
        </row>
        <row r="3804">
          <cell r="E3804" t="str">
            <v>T23000772</v>
          </cell>
          <cell r="F3804"/>
          <cell r="G3804">
            <v>1000000000</v>
          </cell>
          <cell r="H3804" t="str">
            <v>Others</v>
          </cell>
          <cell r="I3804" t="str">
            <v>Exclusive</v>
          </cell>
          <cell r="J3804" t="str">
            <v>New 06/04/21</v>
          </cell>
          <cell r="K3804" t="str">
            <v>HDPD</v>
          </cell>
          <cell r="L3804" t="str">
            <v>KARI09</v>
          </cell>
          <cell r="M3804" t="str">
            <v>Karisma Indoagro Universal, PT</v>
          </cell>
          <cell r="N3804" t="str">
            <v>Karisma Indoagro Universal, PT</v>
          </cell>
          <cell r="O3804" t="str">
            <v>Jl. Semeru No. 89 RT.001/RW.004, Ajung</v>
          </cell>
          <cell r="P3804" t="str">
            <v>Jember</v>
          </cell>
          <cell r="Q3804" t="str">
            <v>Jl. Semeru No. 89 RT.001/RW.004, Ajung</v>
          </cell>
          <cell r="R3804" t="str">
            <v>Jember</v>
          </cell>
          <cell r="S3804" t="str">
            <v>L Kota1</v>
          </cell>
          <cell r="T3804" t="str">
            <v>OTHERS</v>
          </cell>
          <cell r="U3804">
            <v>30</v>
          </cell>
        </row>
        <row r="3805">
          <cell r="E3805" t="str">
            <v>T23000781</v>
          </cell>
          <cell r="F3805"/>
          <cell r="G3805">
            <v>1000000000</v>
          </cell>
          <cell r="H3805" t="str">
            <v>Others</v>
          </cell>
          <cell r="I3805" t="str">
            <v>Exclusive</v>
          </cell>
          <cell r="J3805" t="str">
            <v>New 06/04/21</v>
          </cell>
          <cell r="K3805" t="str">
            <v>HDPD</v>
          </cell>
          <cell r="L3805" t="str">
            <v>KARI09</v>
          </cell>
          <cell r="M3805" t="str">
            <v>Karisma Indoagro Universal, PT</v>
          </cell>
          <cell r="N3805" t="str">
            <v>Karisma Indoagro Universal, PT</v>
          </cell>
          <cell r="O3805" t="str">
            <v>Jl. Semeru No. 89 RT.001/RW.004, Ajung</v>
          </cell>
          <cell r="P3805" t="str">
            <v>Jember</v>
          </cell>
          <cell r="Q3805" t="str">
            <v>Jl. Semeru No. 89 RT.001/RW.004, Ajung</v>
          </cell>
          <cell r="R3805" t="str">
            <v>Jember</v>
          </cell>
          <cell r="S3805" t="str">
            <v>L Kota1</v>
          </cell>
          <cell r="T3805" t="str">
            <v>OTHERS</v>
          </cell>
          <cell r="U3805">
            <v>30</v>
          </cell>
        </row>
        <row r="3806">
          <cell r="E3806" t="str">
            <v>T23000782</v>
          </cell>
          <cell r="F3806"/>
          <cell r="G3806">
            <v>1000000000</v>
          </cell>
          <cell r="H3806" t="str">
            <v>Others</v>
          </cell>
          <cell r="I3806" t="str">
            <v>Exclusive</v>
          </cell>
          <cell r="J3806" t="str">
            <v>New 06/04/21</v>
          </cell>
          <cell r="K3806" t="str">
            <v>HDPD</v>
          </cell>
          <cell r="L3806" t="str">
            <v>KARI09</v>
          </cell>
          <cell r="M3806" t="str">
            <v>Karisma Indoagro Universal, PT</v>
          </cell>
          <cell r="N3806" t="str">
            <v>Karisma Indoagro Universal, PT</v>
          </cell>
          <cell r="O3806" t="str">
            <v>Jl. Semeru No. 89 RT.001/RW.004, Ajung</v>
          </cell>
          <cell r="P3806" t="str">
            <v>Jember</v>
          </cell>
          <cell r="Q3806" t="str">
            <v>Jl. Semeru No. 89 RT.001/RW.004, Ajung</v>
          </cell>
          <cell r="R3806" t="str">
            <v>Jember</v>
          </cell>
          <cell r="S3806" t="str">
            <v>L Kota1</v>
          </cell>
          <cell r="T3806" t="str">
            <v>OTHERS</v>
          </cell>
          <cell r="U3806">
            <v>0</v>
          </cell>
        </row>
        <row r="3807">
          <cell r="E3807" t="str">
            <v>T23000809</v>
          </cell>
          <cell r="F3807"/>
          <cell r="G3807">
            <v>1000000000</v>
          </cell>
          <cell r="H3807" t="str">
            <v>Others</v>
          </cell>
          <cell r="I3807" t="str">
            <v>Exclusive</v>
          </cell>
          <cell r="J3807" t="str">
            <v>New 06/04/21</v>
          </cell>
          <cell r="K3807" t="str">
            <v>HDPD</v>
          </cell>
          <cell r="L3807" t="str">
            <v>KARI09</v>
          </cell>
          <cell r="M3807" t="str">
            <v>Karisma Indoagro Universal, PT</v>
          </cell>
          <cell r="N3807" t="str">
            <v>Karisma Indoagro Universal, PT</v>
          </cell>
          <cell r="O3807" t="str">
            <v>Jl. Semeru No. 89 RT.001/RW.004, Ajung</v>
          </cell>
          <cell r="P3807" t="str">
            <v>Jember</v>
          </cell>
          <cell r="Q3807" t="str">
            <v>Jl. Semeru No. 89 RT.001/RW.004, Ajung</v>
          </cell>
          <cell r="R3807" t="str">
            <v>Jember</v>
          </cell>
          <cell r="S3807" t="str">
            <v>L Kota1</v>
          </cell>
          <cell r="T3807" t="str">
            <v>OTHERS</v>
          </cell>
          <cell r="U3807">
            <v>30</v>
          </cell>
        </row>
        <row r="3808">
          <cell r="E3808" t="str">
            <v>T23000845</v>
          </cell>
          <cell r="F3808"/>
          <cell r="G3808">
            <v>1000000000</v>
          </cell>
          <cell r="H3808" t="str">
            <v>Others</v>
          </cell>
          <cell r="I3808" t="str">
            <v>Exclusive</v>
          </cell>
          <cell r="J3808" t="str">
            <v>New 06/04/21</v>
          </cell>
          <cell r="K3808" t="str">
            <v>HDPD</v>
          </cell>
          <cell r="L3808" t="str">
            <v>KARI09</v>
          </cell>
          <cell r="M3808" t="str">
            <v>Karisma Indoagro Universal, PT</v>
          </cell>
          <cell r="N3808" t="str">
            <v>Karisma Indoagro Universal, PT</v>
          </cell>
          <cell r="O3808" t="str">
            <v>Jl. Semeru No. 89 RT.001/RW.004, Ajung</v>
          </cell>
          <cell r="P3808" t="str">
            <v>Jember</v>
          </cell>
          <cell r="Q3808" t="str">
            <v>Jl. Semeru No. 89 RT.001/RW.004, Ajung</v>
          </cell>
          <cell r="R3808" t="str">
            <v>Jember</v>
          </cell>
          <cell r="S3808" t="str">
            <v>L Kota1</v>
          </cell>
          <cell r="T3808" t="str">
            <v>OTHERS</v>
          </cell>
          <cell r="U3808">
            <v>30</v>
          </cell>
        </row>
        <row r="3809">
          <cell r="E3809" t="str">
            <v>T23000846</v>
          </cell>
          <cell r="F3809"/>
          <cell r="G3809">
            <v>1000000000</v>
          </cell>
          <cell r="H3809" t="str">
            <v>Others</v>
          </cell>
          <cell r="I3809" t="str">
            <v>Exclusive</v>
          </cell>
          <cell r="J3809" t="str">
            <v>New 06/04/21</v>
          </cell>
          <cell r="K3809" t="str">
            <v>HDPD</v>
          </cell>
          <cell r="L3809" t="str">
            <v>KARI09</v>
          </cell>
          <cell r="M3809" t="str">
            <v>Karisma Indoagro Universal, PT</v>
          </cell>
          <cell r="N3809" t="str">
            <v>Karisma Indoagro Universal, PT</v>
          </cell>
          <cell r="O3809" t="str">
            <v>Jl. Semeru No. 89 RT.001/RW.004, Ajung</v>
          </cell>
          <cell r="P3809" t="str">
            <v>Jember</v>
          </cell>
          <cell r="Q3809" t="str">
            <v>Jl. Semeru No. 89 RT.001/RW.004, Ajung</v>
          </cell>
          <cell r="R3809" t="str">
            <v>Jember</v>
          </cell>
          <cell r="S3809" t="str">
            <v>L Kota1</v>
          </cell>
          <cell r="T3809" t="str">
            <v>OTHERS</v>
          </cell>
          <cell r="U3809">
            <v>30</v>
          </cell>
        </row>
        <row r="3810">
          <cell r="E3810" t="str">
            <v>T23000860</v>
          </cell>
          <cell r="F3810"/>
          <cell r="G3810">
            <v>1000000000</v>
          </cell>
          <cell r="H3810" t="str">
            <v>Others</v>
          </cell>
          <cell r="I3810" t="str">
            <v>Exclusive</v>
          </cell>
          <cell r="J3810" t="str">
            <v>New 06/04/21</v>
          </cell>
          <cell r="K3810" t="str">
            <v>HDPD</v>
          </cell>
          <cell r="L3810" t="str">
            <v>KARI09</v>
          </cell>
          <cell r="M3810" t="str">
            <v>Karisma Indoagro Universal, PT</v>
          </cell>
          <cell r="N3810" t="str">
            <v>Karisma Indoagro Universal, PT</v>
          </cell>
          <cell r="O3810" t="str">
            <v>Jl. Semeru No. 89 RT.001/RW.004, Ajung</v>
          </cell>
          <cell r="P3810" t="str">
            <v>Jember</v>
          </cell>
          <cell r="Q3810" t="str">
            <v>Jl. Semeru No. 89 RT.001/RW.004, Ajung</v>
          </cell>
          <cell r="R3810" t="str">
            <v>Jember</v>
          </cell>
          <cell r="S3810" t="str">
            <v>L Kota1</v>
          </cell>
          <cell r="T3810" t="str">
            <v>OTHERS</v>
          </cell>
          <cell r="U3810">
            <v>30</v>
          </cell>
        </row>
        <row r="3811">
          <cell r="E3811" t="str">
            <v>T23000881</v>
          </cell>
          <cell r="F3811"/>
          <cell r="G3811">
            <v>1000000000</v>
          </cell>
          <cell r="H3811" t="str">
            <v>Others</v>
          </cell>
          <cell r="I3811" t="str">
            <v>Exclusive</v>
          </cell>
          <cell r="J3811" t="str">
            <v>New 06/04/21</v>
          </cell>
          <cell r="K3811" t="str">
            <v>HDPD</v>
          </cell>
          <cell r="L3811" t="str">
            <v>KARI09</v>
          </cell>
          <cell r="M3811" t="str">
            <v>Karisma Indoagro Universal, PT</v>
          </cell>
          <cell r="N3811" t="str">
            <v>Karisma Indoagro Universal, PT</v>
          </cell>
          <cell r="O3811" t="str">
            <v>Jl. Semeru No. 89 RT.001/RW.004, Ajung</v>
          </cell>
          <cell r="P3811" t="str">
            <v>Jember</v>
          </cell>
          <cell r="Q3811" t="str">
            <v>Jl. Semeru No. 89 RT.001/RW.004, Ajung</v>
          </cell>
          <cell r="R3811" t="str">
            <v>Jember</v>
          </cell>
          <cell r="S3811" t="str">
            <v>L Kota1</v>
          </cell>
          <cell r="T3811" t="str">
            <v>OTHERS</v>
          </cell>
          <cell r="U3811">
            <v>30</v>
          </cell>
        </row>
        <row r="3812">
          <cell r="E3812" t="str">
            <v>T23000884</v>
          </cell>
          <cell r="F3812"/>
          <cell r="G3812">
            <v>1000000000</v>
          </cell>
          <cell r="H3812" t="str">
            <v>Others</v>
          </cell>
          <cell r="I3812" t="str">
            <v>Exclusive</v>
          </cell>
          <cell r="J3812" t="str">
            <v>New 06/04/21</v>
          </cell>
          <cell r="K3812" t="str">
            <v>HDPD</v>
          </cell>
          <cell r="L3812" t="str">
            <v>KARI09</v>
          </cell>
          <cell r="M3812" t="str">
            <v>Karisma Indoagro Universal, PT</v>
          </cell>
          <cell r="N3812" t="str">
            <v>Karisma Indoagro Universal, PT</v>
          </cell>
          <cell r="O3812" t="str">
            <v>Jl. Semeru No. 89 RT.001/RW.004, Ajung</v>
          </cell>
          <cell r="P3812" t="str">
            <v>Jember</v>
          </cell>
          <cell r="Q3812" t="str">
            <v>Jl. Semeru No. 89 RT.001/RW.004, Ajung</v>
          </cell>
          <cell r="R3812" t="str">
            <v>Jember</v>
          </cell>
          <cell r="S3812" t="str">
            <v>L Kota1</v>
          </cell>
          <cell r="T3812" t="str">
            <v>OTHERS</v>
          </cell>
          <cell r="U3812">
            <v>30</v>
          </cell>
        </row>
        <row r="3813">
          <cell r="E3813" t="str">
            <v>T23000911</v>
          </cell>
          <cell r="F3813"/>
          <cell r="G3813">
            <v>1000000000</v>
          </cell>
          <cell r="H3813" t="str">
            <v>Others</v>
          </cell>
          <cell r="I3813" t="str">
            <v>Exclusive</v>
          </cell>
          <cell r="J3813" t="str">
            <v>New 06/04/21</v>
          </cell>
          <cell r="K3813" t="str">
            <v>HDPD</v>
          </cell>
          <cell r="L3813" t="str">
            <v>KARI09</v>
          </cell>
          <cell r="M3813" t="str">
            <v>Karisma Indoagro Universal, PT</v>
          </cell>
          <cell r="N3813" t="str">
            <v>Karisma Indoagro Universal, PT</v>
          </cell>
          <cell r="O3813" t="str">
            <v>Jl. Semeru No. 89 RT.001/RW.004, Ajung</v>
          </cell>
          <cell r="P3813" t="str">
            <v>Jember</v>
          </cell>
          <cell r="Q3813" t="str">
            <v>Jl. Semeru No. 89 RT.001/RW.004, Ajung</v>
          </cell>
          <cell r="R3813" t="str">
            <v>Jember</v>
          </cell>
          <cell r="S3813" t="str">
            <v>L Kota1</v>
          </cell>
          <cell r="T3813" t="str">
            <v>OTHERS</v>
          </cell>
          <cell r="U3813">
            <v>30</v>
          </cell>
        </row>
        <row r="3814">
          <cell r="E3814" t="str">
            <v>T23000912</v>
          </cell>
          <cell r="F3814"/>
          <cell r="G3814">
            <v>1000000000</v>
          </cell>
          <cell r="H3814" t="str">
            <v>Others</v>
          </cell>
          <cell r="I3814" t="str">
            <v>Exclusive</v>
          </cell>
          <cell r="J3814" t="str">
            <v>New 06/04/21</v>
          </cell>
          <cell r="K3814" t="str">
            <v>HDPD</v>
          </cell>
          <cell r="L3814" t="str">
            <v>KARI09</v>
          </cell>
          <cell r="M3814" t="str">
            <v>Karisma Indoagro Universal, PT</v>
          </cell>
          <cell r="N3814" t="str">
            <v>Karisma Indoagro Universal, PT</v>
          </cell>
          <cell r="O3814" t="str">
            <v>Jl. Semeru No. 89 RT.001/RW.004, Ajung</v>
          </cell>
          <cell r="P3814" t="str">
            <v>Jember</v>
          </cell>
          <cell r="Q3814" t="str">
            <v>Jl. Semeru No. 89 RT.001/RW.004, Ajung</v>
          </cell>
          <cell r="R3814" t="str">
            <v>Jember</v>
          </cell>
          <cell r="S3814" t="str">
            <v>L Kota1</v>
          </cell>
          <cell r="T3814" t="str">
            <v>OTHERS</v>
          </cell>
          <cell r="U3814">
            <v>30</v>
          </cell>
        </row>
        <row r="3815">
          <cell r="E3815" t="str">
            <v>T23000914</v>
          </cell>
          <cell r="F3815"/>
          <cell r="G3815">
            <v>1000000000</v>
          </cell>
          <cell r="H3815" t="str">
            <v>Others</v>
          </cell>
          <cell r="I3815" t="str">
            <v>Exclusive</v>
          </cell>
          <cell r="J3815" t="str">
            <v>New 06/04/21</v>
          </cell>
          <cell r="K3815" t="str">
            <v>HDPD</v>
          </cell>
          <cell r="L3815" t="str">
            <v>KARI09</v>
          </cell>
          <cell r="M3815" t="str">
            <v>Karisma Indoagro Universal, PT</v>
          </cell>
          <cell r="N3815" t="str">
            <v>Karisma Indoagro Universal, PT</v>
          </cell>
          <cell r="O3815" t="str">
            <v>Jl. Semeru No. 89 RT.001/RW.004, Ajung</v>
          </cell>
          <cell r="P3815" t="str">
            <v>Jember</v>
          </cell>
          <cell r="Q3815" t="str">
            <v>Jl. Semeru No. 89 RT.001/RW.004, Ajung</v>
          </cell>
          <cell r="R3815" t="str">
            <v>Jember</v>
          </cell>
          <cell r="S3815" t="str">
            <v>L Kota1</v>
          </cell>
          <cell r="T3815" t="str">
            <v>OTHERS</v>
          </cell>
          <cell r="U3815">
            <v>30</v>
          </cell>
        </row>
        <row r="3816">
          <cell r="E3816" t="str">
            <v>T23000919</v>
          </cell>
          <cell r="F3816"/>
          <cell r="G3816">
            <v>1000000000</v>
          </cell>
          <cell r="H3816" t="str">
            <v>Others</v>
          </cell>
          <cell r="I3816" t="str">
            <v>Exclusive</v>
          </cell>
          <cell r="J3816" t="str">
            <v>New 06/04/21</v>
          </cell>
          <cell r="K3816" t="str">
            <v>HDPD</v>
          </cell>
          <cell r="L3816" t="str">
            <v>KARI09</v>
          </cell>
          <cell r="M3816" t="str">
            <v>Karisma Indoagro Universal, PT</v>
          </cell>
          <cell r="N3816" t="str">
            <v>Karisma Indoagro Universal, PT</v>
          </cell>
          <cell r="O3816" t="str">
            <v>Jl. Semeru No. 89 RT.001/RW.004, Ajung</v>
          </cell>
          <cell r="P3816" t="str">
            <v>Jember</v>
          </cell>
          <cell r="Q3816" t="str">
            <v>Jl. Semeru No. 89 RT.001/RW.004, Ajung</v>
          </cell>
          <cell r="R3816" t="str">
            <v>Jember</v>
          </cell>
          <cell r="S3816" t="str">
            <v>L Kota1</v>
          </cell>
          <cell r="T3816" t="str">
            <v>OTHERS</v>
          </cell>
          <cell r="U3816">
            <v>30</v>
          </cell>
        </row>
        <row r="3817">
          <cell r="E3817" t="str">
            <v>T23000924</v>
          </cell>
          <cell r="F3817"/>
          <cell r="G3817">
            <v>1000000000</v>
          </cell>
          <cell r="H3817" t="str">
            <v>Others</v>
          </cell>
          <cell r="I3817" t="str">
            <v>Exclusive</v>
          </cell>
          <cell r="J3817" t="str">
            <v>New 06/04/21</v>
          </cell>
          <cell r="K3817" t="str">
            <v>HDPD</v>
          </cell>
          <cell r="L3817" t="str">
            <v>KARI09</v>
          </cell>
          <cell r="M3817" t="str">
            <v>Karisma Indoagro Universal, PT</v>
          </cell>
          <cell r="N3817" t="str">
            <v>Karisma Indoagro Universal, PT</v>
          </cell>
          <cell r="O3817" t="str">
            <v>Jl. Semeru No. 89 RT.001/RW.004, Ajung</v>
          </cell>
          <cell r="P3817" t="str">
            <v>Jember</v>
          </cell>
          <cell r="Q3817" t="str">
            <v>Jl. Semeru No. 89 RT.001/RW.004, Ajung</v>
          </cell>
          <cell r="R3817" t="str">
            <v>Jember</v>
          </cell>
          <cell r="S3817" t="str">
            <v>L Kota1</v>
          </cell>
          <cell r="T3817" t="str">
            <v>OTHERS</v>
          </cell>
          <cell r="U3817">
            <v>30</v>
          </cell>
        </row>
        <row r="3818">
          <cell r="E3818" t="str">
            <v>T23000935</v>
          </cell>
          <cell r="F3818"/>
          <cell r="G3818">
            <v>1000000000</v>
          </cell>
          <cell r="H3818" t="str">
            <v>Others</v>
          </cell>
          <cell r="I3818" t="str">
            <v>Exclusive</v>
          </cell>
          <cell r="J3818" t="str">
            <v>New 06/04/21</v>
          </cell>
          <cell r="K3818" t="str">
            <v>HDPD</v>
          </cell>
          <cell r="L3818" t="str">
            <v>KARI09</v>
          </cell>
          <cell r="M3818" t="str">
            <v>Karisma Indoagro Universal, PT</v>
          </cell>
          <cell r="N3818" t="str">
            <v>Karisma Indoagro Universal, PT</v>
          </cell>
          <cell r="O3818" t="str">
            <v>Jl. Semeru No. 89 RT.001/RW.004, Ajung</v>
          </cell>
          <cell r="P3818" t="str">
            <v>Jember</v>
          </cell>
          <cell r="Q3818" t="str">
            <v>Jl. Semeru No. 89 RT.001/RW.004, Ajung</v>
          </cell>
          <cell r="R3818" t="str">
            <v>Jember</v>
          </cell>
          <cell r="S3818" t="str">
            <v>L Kota1</v>
          </cell>
          <cell r="T3818" t="str">
            <v>OTHERS</v>
          </cell>
          <cell r="U3818">
            <v>60</v>
          </cell>
        </row>
        <row r="3819">
          <cell r="E3819" t="str">
            <v>T23000936</v>
          </cell>
          <cell r="F3819"/>
          <cell r="G3819">
            <v>1000000000</v>
          </cell>
          <cell r="H3819" t="str">
            <v>Others</v>
          </cell>
          <cell r="I3819" t="str">
            <v>Exclusive</v>
          </cell>
          <cell r="J3819" t="str">
            <v>New 06/04/21</v>
          </cell>
          <cell r="K3819" t="str">
            <v>HDPD</v>
          </cell>
          <cell r="L3819" t="str">
            <v>KARI09</v>
          </cell>
          <cell r="M3819" t="str">
            <v>Karisma Indoagro Universal, PT</v>
          </cell>
          <cell r="N3819" t="str">
            <v>Karisma Indoagro Universal, PT</v>
          </cell>
          <cell r="O3819" t="str">
            <v>Jl. Semeru No. 89 RT.001/RW.004, Ajung</v>
          </cell>
          <cell r="P3819" t="str">
            <v>Jember</v>
          </cell>
          <cell r="Q3819" t="str">
            <v>Jl. Semeru No. 89 RT.001/RW.004, Ajung</v>
          </cell>
          <cell r="R3819" t="str">
            <v>Jember</v>
          </cell>
          <cell r="S3819" t="str">
            <v>L Kota1</v>
          </cell>
          <cell r="T3819" t="str">
            <v>OTHERS</v>
          </cell>
          <cell r="U3819">
            <v>60</v>
          </cell>
        </row>
        <row r="3820">
          <cell r="E3820" t="str">
            <v>T23000986</v>
          </cell>
          <cell r="F3820"/>
          <cell r="G3820">
            <v>1000000000</v>
          </cell>
          <cell r="H3820" t="str">
            <v>Others</v>
          </cell>
          <cell r="I3820" t="str">
            <v>Exclusive</v>
          </cell>
          <cell r="J3820" t="str">
            <v>New 06/04/21</v>
          </cell>
          <cell r="K3820" t="str">
            <v>HDPD</v>
          </cell>
          <cell r="L3820" t="str">
            <v>KARI09</v>
          </cell>
          <cell r="M3820" t="str">
            <v>Karisma Indoagro Universal, PT</v>
          </cell>
          <cell r="N3820" t="str">
            <v>Karisma Indoagro Universal, PT</v>
          </cell>
          <cell r="O3820" t="str">
            <v>Jl. Semeru No. 89 RT.001/RW.004, Ajung</v>
          </cell>
          <cell r="P3820" t="str">
            <v>Jember</v>
          </cell>
          <cell r="Q3820" t="str">
            <v>Jl. Semeru No. 89 RT.001/RW.004, Ajung</v>
          </cell>
          <cell r="R3820" t="str">
            <v>Jember</v>
          </cell>
          <cell r="S3820" t="str">
            <v>L Kota1</v>
          </cell>
          <cell r="T3820" t="str">
            <v>OTHERS</v>
          </cell>
          <cell r="U3820">
            <v>60</v>
          </cell>
        </row>
        <row r="3821">
          <cell r="E3821" t="str">
            <v>T23000989</v>
          </cell>
          <cell r="F3821"/>
          <cell r="G3821">
            <v>1000000000</v>
          </cell>
          <cell r="H3821" t="str">
            <v>Others</v>
          </cell>
          <cell r="I3821" t="str">
            <v>Exclusive</v>
          </cell>
          <cell r="J3821" t="str">
            <v>New 06/04/21</v>
          </cell>
          <cell r="K3821" t="str">
            <v>HDPD</v>
          </cell>
          <cell r="L3821" t="str">
            <v>KARI09</v>
          </cell>
          <cell r="M3821" t="str">
            <v>Karisma Indoagro Universal, PT</v>
          </cell>
          <cell r="N3821" t="str">
            <v>Karisma Indoagro Universal, PT</v>
          </cell>
          <cell r="O3821" t="str">
            <v>Jl. Semeru No. 89 RT.001/RW.004, Ajung</v>
          </cell>
          <cell r="P3821" t="str">
            <v>Jember</v>
          </cell>
          <cell r="Q3821" t="str">
            <v>Jl. Semeru No. 89 RT.001/RW.004, Ajung</v>
          </cell>
          <cell r="R3821" t="str">
            <v>Jember</v>
          </cell>
          <cell r="S3821" t="str">
            <v>L Kota1</v>
          </cell>
          <cell r="T3821" t="str">
            <v>OTHERS</v>
          </cell>
          <cell r="U3821">
            <v>30</v>
          </cell>
        </row>
        <row r="3822">
          <cell r="E3822" t="str">
            <v>T23000994</v>
          </cell>
          <cell r="F3822"/>
          <cell r="G3822">
            <v>1000000000</v>
          </cell>
          <cell r="H3822" t="str">
            <v>Others</v>
          </cell>
          <cell r="I3822" t="str">
            <v>Exclusive</v>
          </cell>
          <cell r="J3822" t="str">
            <v>New 06/04/21</v>
          </cell>
          <cell r="K3822" t="str">
            <v>HDPD</v>
          </cell>
          <cell r="L3822" t="str">
            <v>KARI09</v>
          </cell>
          <cell r="M3822" t="str">
            <v>Karisma Indoagro Universal, PT</v>
          </cell>
          <cell r="N3822" t="str">
            <v>Karisma Indoagro Universal, PT</v>
          </cell>
          <cell r="O3822" t="str">
            <v>Jl. Semeru No. 89 RT.001/RW.004, Ajung</v>
          </cell>
          <cell r="P3822" t="str">
            <v>Jember</v>
          </cell>
          <cell r="Q3822" t="str">
            <v>Jl. Semeru No. 89 RT.001/RW.004, Ajung</v>
          </cell>
          <cell r="R3822" t="str">
            <v>Jember</v>
          </cell>
          <cell r="S3822" t="str">
            <v>L Kota1</v>
          </cell>
          <cell r="T3822" t="str">
            <v>OTHERS</v>
          </cell>
          <cell r="U3822">
            <v>60</v>
          </cell>
        </row>
        <row r="3823">
          <cell r="E3823" t="str">
            <v>T23000998</v>
          </cell>
          <cell r="F3823"/>
          <cell r="G3823">
            <v>1000000000</v>
          </cell>
          <cell r="H3823" t="str">
            <v>Others</v>
          </cell>
          <cell r="I3823" t="str">
            <v>Exclusive</v>
          </cell>
          <cell r="J3823" t="str">
            <v>New 06/04/21</v>
          </cell>
          <cell r="K3823" t="str">
            <v>HDPD</v>
          </cell>
          <cell r="L3823" t="str">
            <v>KARI09</v>
          </cell>
          <cell r="M3823" t="str">
            <v>Karisma Indoagro Universal, PT</v>
          </cell>
          <cell r="N3823" t="str">
            <v>Karisma Indoagro Universal, PT</v>
          </cell>
          <cell r="O3823" t="str">
            <v>Jl. Semeru No. 89 RT.001/RW.004, Ajung</v>
          </cell>
          <cell r="P3823" t="str">
            <v>Jember</v>
          </cell>
          <cell r="Q3823" t="str">
            <v>Jl. Semeru No. 89 RT.001/RW.004, Ajung</v>
          </cell>
          <cell r="R3823" t="str">
            <v>Jember</v>
          </cell>
          <cell r="S3823" t="str">
            <v>L Kota1</v>
          </cell>
          <cell r="T3823" t="str">
            <v>OTHERS</v>
          </cell>
          <cell r="U3823">
            <v>60</v>
          </cell>
        </row>
        <row r="3824">
          <cell r="E3824" t="str">
            <v>T23000999</v>
          </cell>
          <cell r="F3824"/>
          <cell r="G3824">
            <v>1000000000</v>
          </cell>
          <cell r="H3824" t="str">
            <v>Others</v>
          </cell>
          <cell r="I3824" t="str">
            <v>Exclusive</v>
          </cell>
          <cell r="J3824" t="str">
            <v>New 06/04/21</v>
          </cell>
          <cell r="K3824" t="str">
            <v>HDPD</v>
          </cell>
          <cell r="L3824" t="str">
            <v>KARI09</v>
          </cell>
          <cell r="M3824" t="str">
            <v>Karisma Indoagro Universal, PT</v>
          </cell>
          <cell r="N3824" t="str">
            <v>Karisma Indoagro Universal, PT</v>
          </cell>
          <cell r="O3824" t="str">
            <v>Jl. Semeru No. 89 RT.001/RW.004, Ajung</v>
          </cell>
          <cell r="P3824" t="str">
            <v>Jember</v>
          </cell>
          <cell r="Q3824" t="str">
            <v>Jl. Semeru No. 89 RT.001/RW.004, Ajung</v>
          </cell>
          <cell r="R3824" t="str">
            <v>Jember</v>
          </cell>
          <cell r="S3824" t="str">
            <v>L Kota1</v>
          </cell>
          <cell r="T3824" t="str">
            <v>OTHERS</v>
          </cell>
          <cell r="U3824">
            <v>60</v>
          </cell>
        </row>
        <row r="3825">
          <cell r="E3825" t="str">
            <v>T23001024</v>
          </cell>
          <cell r="F3825"/>
          <cell r="G3825">
            <v>1000000000</v>
          </cell>
          <cell r="H3825" t="str">
            <v>Others</v>
          </cell>
          <cell r="I3825" t="str">
            <v>Exclusive</v>
          </cell>
          <cell r="J3825" t="str">
            <v>New 06/04/21</v>
          </cell>
          <cell r="K3825" t="str">
            <v>HDPD</v>
          </cell>
          <cell r="L3825" t="str">
            <v>KARI09</v>
          </cell>
          <cell r="M3825" t="str">
            <v>Karisma Indoagro Universal, PT</v>
          </cell>
          <cell r="N3825" t="str">
            <v>Karisma Indoagro Universal, PT</v>
          </cell>
          <cell r="O3825" t="str">
            <v>Jl. Semeru No. 89 RT.001/RW.004, Ajung</v>
          </cell>
          <cell r="P3825" t="str">
            <v>Jember</v>
          </cell>
          <cell r="Q3825" t="str">
            <v>Jl. Semeru No. 89 RT.001/RW.004, Ajung</v>
          </cell>
          <cell r="R3825" t="str">
            <v>Jember</v>
          </cell>
          <cell r="S3825" t="str">
            <v>L Kota1</v>
          </cell>
          <cell r="T3825" t="str">
            <v>OTHERS</v>
          </cell>
          <cell r="U3825">
            <v>30</v>
          </cell>
        </row>
        <row r="3826">
          <cell r="E3826" t="str">
            <v>T23001025</v>
          </cell>
          <cell r="F3826"/>
          <cell r="G3826">
            <v>1000000000</v>
          </cell>
          <cell r="H3826" t="str">
            <v>Others</v>
          </cell>
          <cell r="I3826" t="str">
            <v>Exclusive</v>
          </cell>
          <cell r="J3826" t="str">
            <v>New 06/04/21</v>
          </cell>
          <cell r="K3826" t="str">
            <v>HDPD</v>
          </cell>
          <cell r="L3826" t="str">
            <v>KARI09</v>
          </cell>
          <cell r="M3826" t="str">
            <v>Karisma Indoagro Universal, PT</v>
          </cell>
          <cell r="N3826" t="str">
            <v>Karisma Indoagro Universal, PT</v>
          </cell>
          <cell r="O3826" t="str">
            <v>Jl. Semeru No. 89 RT.001/RW.004, Ajung</v>
          </cell>
          <cell r="P3826" t="str">
            <v>Jember</v>
          </cell>
          <cell r="Q3826" t="str">
            <v>Jl. Semeru No. 89 RT.001/RW.004, Ajung</v>
          </cell>
          <cell r="R3826" t="str">
            <v>Jember</v>
          </cell>
          <cell r="S3826" t="str">
            <v>L Kota1</v>
          </cell>
          <cell r="T3826" t="str">
            <v>OTHERS</v>
          </cell>
          <cell r="U3826">
            <v>30</v>
          </cell>
        </row>
        <row r="3827">
          <cell r="E3827" t="str">
            <v>T23001026</v>
          </cell>
          <cell r="F3827"/>
          <cell r="G3827">
            <v>1000000000</v>
          </cell>
          <cell r="H3827" t="str">
            <v>Others</v>
          </cell>
          <cell r="I3827" t="str">
            <v>Exclusive</v>
          </cell>
          <cell r="J3827" t="str">
            <v>New 06/04/21</v>
          </cell>
          <cell r="K3827" t="str">
            <v>HDPD</v>
          </cell>
          <cell r="L3827" t="str">
            <v>KARI09</v>
          </cell>
          <cell r="M3827" t="str">
            <v>Karisma Indoagro Universal, PT</v>
          </cell>
          <cell r="N3827" t="str">
            <v>Karisma Indoagro Universal, PT</v>
          </cell>
          <cell r="O3827" t="str">
            <v>Jl. Semeru No. 89 RT.001/RW.004, Ajung</v>
          </cell>
          <cell r="P3827" t="str">
            <v>Jember</v>
          </cell>
          <cell r="Q3827" t="str">
            <v>Jl. Semeru No. 89 RT.001/RW.004, Ajung</v>
          </cell>
          <cell r="R3827" t="str">
            <v>Jember</v>
          </cell>
          <cell r="S3827" t="str">
            <v>L Kota1</v>
          </cell>
          <cell r="T3827" t="str">
            <v>OTHERS</v>
          </cell>
          <cell r="U3827">
            <v>30</v>
          </cell>
        </row>
        <row r="3828">
          <cell r="E3828" t="str">
            <v>T23001057</v>
          </cell>
          <cell r="F3828"/>
          <cell r="G3828">
            <v>1000000000</v>
          </cell>
          <cell r="H3828" t="str">
            <v>Others</v>
          </cell>
          <cell r="I3828" t="str">
            <v>Exclusive</v>
          </cell>
          <cell r="J3828" t="str">
            <v>New 06/04/21</v>
          </cell>
          <cell r="K3828" t="str">
            <v>HDPD</v>
          </cell>
          <cell r="L3828" t="str">
            <v>KARI09</v>
          </cell>
          <cell r="M3828" t="str">
            <v>Karisma Indoagro Universal, PT</v>
          </cell>
          <cell r="N3828" t="str">
            <v>Karisma Indoagro Universal, PT</v>
          </cell>
          <cell r="O3828" t="str">
            <v>Jl. Semeru No. 89 RT.001/RW.004, Ajung</v>
          </cell>
          <cell r="P3828" t="str">
            <v>Jember</v>
          </cell>
          <cell r="Q3828" t="str">
            <v>Jl. Semeru No. 89 RT.001/RW.004, Ajung</v>
          </cell>
          <cell r="R3828" t="str">
            <v>Jember</v>
          </cell>
          <cell r="S3828" t="str">
            <v>L Kota1</v>
          </cell>
          <cell r="T3828" t="str">
            <v>OTHERS</v>
          </cell>
          <cell r="U3828">
            <v>0</v>
          </cell>
        </row>
        <row r="3829">
          <cell r="E3829" t="str">
            <v>T23001090</v>
          </cell>
          <cell r="F3829"/>
          <cell r="G3829">
            <v>1000000000</v>
          </cell>
          <cell r="H3829" t="str">
            <v>Others</v>
          </cell>
          <cell r="I3829" t="str">
            <v>Exclusive</v>
          </cell>
          <cell r="J3829" t="str">
            <v>New 06/04/21</v>
          </cell>
          <cell r="K3829" t="str">
            <v>HDPD</v>
          </cell>
          <cell r="L3829" t="str">
            <v>KARI09</v>
          </cell>
          <cell r="M3829" t="str">
            <v>Karisma Indoagro Universal, PT</v>
          </cell>
          <cell r="N3829" t="str">
            <v>Karisma Indoagro Universal, PT</v>
          </cell>
          <cell r="O3829" t="str">
            <v>Jl. Semeru No. 89 RT.001/RW.004, Ajung</v>
          </cell>
          <cell r="P3829" t="str">
            <v>Jember</v>
          </cell>
          <cell r="Q3829" t="str">
            <v>Jl. Semeru No. 89 RT.001/RW.004, Ajung</v>
          </cell>
          <cell r="R3829" t="str">
            <v>Jember</v>
          </cell>
          <cell r="S3829" t="str">
            <v>L Kota1</v>
          </cell>
          <cell r="T3829" t="str">
            <v>OTHERS</v>
          </cell>
          <cell r="U3829">
            <v>30</v>
          </cell>
        </row>
        <row r="3830">
          <cell r="E3830" t="str">
            <v>T23001094</v>
          </cell>
          <cell r="F3830"/>
          <cell r="G3830">
            <v>1000000000</v>
          </cell>
          <cell r="H3830" t="str">
            <v>Others</v>
          </cell>
          <cell r="I3830" t="str">
            <v>Exclusive</v>
          </cell>
          <cell r="J3830" t="str">
            <v>New 06/04/21</v>
          </cell>
          <cell r="K3830" t="str">
            <v>HDPD</v>
          </cell>
          <cell r="L3830" t="str">
            <v>KARI09</v>
          </cell>
          <cell r="M3830" t="str">
            <v>Karisma Indoagro Universal, PT</v>
          </cell>
          <cell r="N3830" t="str">
            <v>Karisma Indoagro Universal, PT</v>
          </cell>
          <cell r="O3830" t="str">
            <v>Jl. Semeru No. 89 RT.001/RW.004, Ajung</v>
          </cell>
          <cell r="P3830" t="str">
            <v>Jember</v>
          </cell>
          <cell r="Q3830" t="str">
            <v>Jl. Semeru No. 89 RT.001/RW.004, Ajung</v>
          </cell>
          <cell r="R3830" t="str">
            <v>Jember</v>
          </cell>
          <cell r="S3830" t="str">
            <v>L Kota1</v>
          </cell>
          <cell r="T3830" t="str">
            <v>OTHERS</v>
          </cell>
          <cell r="U3830">
            <v>30</v>
          </cell>
        </row>
        <row r="3831">
          <cell r="E3831" t="str">
            <v>T23001095</v>
          </cell>
          <cell r="F3831"/>
          <cell r="G3831">
            <v>1000000000</v>
          </cell>
          <cell r="H3831" t="str">
            <v>Others</v>
          </cell>
          <cell r="I3831" t="str">
            <v>Exclusive</v>
          </cell>
          <cell r="J3831" t="str">
            <v>New 06/04/21</v>
          </cell>
          <cell r="K3831" t="str">
            <v>HDPD</v>
          </cell>
          <cell r="L3831" t="str">
            <v>KARI09</v>
          </cell>
          <cell r="M3831" t="str">
            <v>Karisma Indoagro Universal, PT</v>
          </cell>
          <cell r="N3831" t="str">
            <v>Karisma Indoagro Universal, PT</v>
          </cell>
          <cell r="O3831" t="str">
            <v>Jl. Semeru No. 89 RT.001/RW.004, Ajung</v>
          </cell>
          <cell r="P3831" t="str">
            <v>Jember</v>
          </cell>
          <cell r="Q3831" t="str">
            <v>Jl. Semeru No. 89 RT.001/RW.004, Ajung</v>
          </cell>
          <cell r="R3831" t="str">
            <v>Jember</v>
          </cell>
          <cell r="S3831" t="str">
            <v>L Kota1</v>
          </cell>
          <cell r="T3831" t="str">
            <v>OTHERS</v>
          </cell>
          <cell r="U3831">
            <v>30</v>
          </cell>
        </row>
        <row r="3832">
          <cell r="E3832" t="str">
            <v>T23001103</v>
          </cell>
          <cell r="F3832"/>
          <cell r="G3832">
            <v>1000000000</v>
          </cell>
          <cell r="H3832" t="str">
            <v>Others</v>
          </cell>
          <cell r="I3832" t="str">
            <v>Exclusive</v>
          </cell>
          <cell r="J3832" t="str">
            <v>New 06/04/21</v>
          </cell>
          <cell r="K3832" t="str">
            <v>HDPD</v>
          </cell>
          <cell r="L3832" t="str">
            <v>KARI09</v>
          </cell>
          <cell r="M3832" t="str">
            <v>Karisma Indoagro Universal, PT</v>
          </cell>
          <cell r="N3832" t="str">
            <v>Karisma Indoagro Universal, PT</v>
          </cell>
          <cell r="O3832" t="str">
            <v>Jl. Semeru No. 89 RT.001/RW.004, Ajung</v>
          </cell>
          <cell r="P3832" t="str">
            <v>Jember</v>
          </cell>
          <cell r="Q3832" t="str">
            <v>Jl. Semeru No. 89 RT.001/RW.004, Ajung</v>
          </cell>
          <cell r="R3832" t="str">
            <v>Jember</v>
          </cell>
          <cell r="S3832" t="str">
            <v>L Kota1</v>
          </cell>
          <cell r="T3832" t="str">
            <v>OTHERS</v>
          </cell>
          <cell r="U3832">
            <v>30</v>
          </cell>
        </row>
        <row r="3833">
          <cell r="E3833" t="str">
            <v>T24000001</v>
          </cell>
          <cell r="F3833"/>
          <cell r="G3833">
            <v>1000000000</v>
          </cell>
          <cell r="H3833" t="str">
            <v>Others</v>
          </cell>
          <cell r="I3833" t="str">
            <v>Exclusive</v>
          </cell>
          <cell r="J3833" t="str">
            <v>New 06/04/21</v>
          </cell>
          <cell r="K3833" t="str">
            <v>HDPD</v>
          </cell>
          <cell r="L3833" t="str">
            <v>KARI09</v>
          </cell>
          <cell r="M3833" t="str">
            <v>Karisma Indoagro Universal, PT</v>
          </cell>
          <cell r="N3833" t="str">
            <v>Karisma Indoagro Universal, PT</v>
          </cell>
          <cell r="O3833" t="str">
            <v>Jl. Semeru No. 89 RT.001/RW.004, Ajung</v>
          </cell>
          <cell r="P3833" t="str">
            <v>Jember</v>
          </cell>
          <cell r="Q3833" t="str">
            <v>Jl. Semeru No. 89 RT.001/RW.004, Ajung</v>
          </cell>
          <cell r="R3833" t="str">
            <v>Jember</v>
          </cell>
          <cell r="S3833" t="str">
            <v>L Kota1</v>
          </cell>
          <cell r="T3833" t="str">
            <v>OTHERS</v>
          </cell>
          <cell r="U3833">
            <v>30</v>
          </cell>
        </row>
        <row r="3834">
          <cell r="E3834" t="str">
            <v>T24000018</v>
          </cell>
          <cell r="F3834"/>
          <cell r="G3834">
            <v>1000000000</v>
          </cell>
          <cell r="H3834" t="str">
            <v>Others</v>
          </cell>
          <cell r="I3834" t="str">
            <v>Exclusive</v>
          </cell>
          <cell r="J3834" t="str">
            <v>New 06/04/21</v>
          </cell>
          <cell r="K3834" t="str">
            <v>HDPD</v>
          </cell>
          <cell r="L3834" t="str">
            <v>KARI09</v>
          </cell>
          <cell r="M3834" t="str">
            <v>Karisma Indoagro Universal, PT</v>
          </cell>
          <cell r="N3834" t="str">
            <v>Karisma Indoagro Universal, PT</v>
          </cell>
          <cell r="O3834" t="str">
            <v>Jl. Semeru No. 89 RT.001/RW.004, Ajung</v>
          </cell>
          <cell r="P3834" t="str">
            <v>Jember</v>
          </cell>
          <cell r="Q3834" t="str">
            <v>Jl. Semeru No. 89 RT.001/RW.004, Ajung</v>
          </cell>
          <cell r="R3834" t="str">
            <v>Jember</v>
          </cell>
          <cell r="S3834" t="str">
            <v>L Kota1</v>
          </cell>
          <cell r="T3834" t="str">
            <v>OTHERS</v>
          </cell>
          <cell r="U3834">
            <v>30</v>
          </cell>
        </row>
        <row r="3835">
          <cell r="E3835" t="str">
            <v>T24000040</v>
          </cell>
          <cell r="F3835"/>
          <cell r="G3835">
            <v>1000000000</v>
          </cell>
          <cell r="H3835" t="str">
            <v>Others</v>
          </cell>
          <cell r="I3835" t="str">
            <v>Exclusive</v>
          </cell>
          <cell r="J3835" t="str">
            <v>New 06/04/21</v>
          </cell>
          <cell r="K3835" t="str">
            <v>HDPD</v>
          </cell>
          <cell r="L3835" t="str">
            <v>KARI09</v>
          </cell>
          <cell r="M3835" t="str">
            <v>Karisma Indoagro Universal, PT</v>
          </cell>
          <cell r="N3835" t="str">
            <v>Karisma Indoagro Universal, PT</v>
          </cell>
          <cell r="O3835" t="str">
            <v>Jl. Semeru No. 89 RT.001/RW.004, Ajung</v>
          </cell>
          <cell r="P3835" t="str">
            <v>Jember</v>
          </cell>
          <cell r="Q3835" t="str">
            <v>Jl. Semeru No. 89 RT.001/RW.004, Ajung</v>
          </cell>
          <cell r="R3835" t="str">
            <v>Jember</v>
          </cell>
          <cell r="S3835" t="str">
            <v>L Kota1</v>
          </cell>
          <cell r="T3835" t="str">
            <v>OTHERS</v>
          </cell>
          <cell r="U3835">
            <v>30</v>
          </cell>
        </row>
        <row r="3836">
          <cell r="E3836" t="str">
            <v>T24000113</v>
          </cell>
          <cell r="F3836"/>
          <cell r="G3836">
            <v>1000000000</v>
          </cell>
          <cell r="H3836" t="str">
            <v>Others</v>
          </cell>
          <cell r="I3836" t="str">
            <v>Exclusive</v>
          </cell>
          <cell r="J3836" t="str">
            <v>New 06/04/21</v>
          </cell>
          <cell r="K3836" t="str">
            <v>HDPD</v>
          </cell>
          <cell r="L3836" t="str">
            <v>KARI09</v>
          </cell>
          <cell r="M3836" t="str">
            <v>Karisma Indoagro Universal, PT</v>
          </cell>
          <cell r="N3836" t="str">
            <v>Karisma Indoagro Universal, PT</v>
          </cell>
          <cell r="O3836" t="str">
            <v>Jl. Semeru No. 89 RT.001/RW.004, Ajung</v>
          </cell>
          <cell r="P3836" t="str">
            <v>Jember</v>
          </cell>
          <cell r="Q3836" t="str">
            <v>Jl. Semeru No. 89 RT.001/RW.004, Ajung</v>
          </cell>
          <cell r="R3836" t="str">
            <v>Jember</v>
          </cell>
          <cell r="S3836" t="str">
            <v>L Kota1</v>
          </cell>
          <cell r="T3836" t="str">
            <v>OTHERS</v>
          </cell>
          <cell r="U3836">
            <v>30</v>
          </cell>
        </row>
        <row r="3837">
          <cell r="E3837" t="str">
            <v>T24000118</v>
          </cell>
          <cell r="F3837"/>
          <cell r="G3837">
            <v>1000000000</v>
          </cell>
          <cell r="H3837" t="str">
            <v>Others</v>
          </cell>
          <cell r="I3837" t="str">
            <v>Exclusive</v>
          </cell>
          <cell r="J3837" t="str">
            <v>New 06/04/21</v>
          </cell>
          <cell r="K3837" t="str">
            <v>HDPD</v>
          </cell>
          <cell r="L3837" t="str">
            <v>KARI09</v>
          </cell>
          <cell r="M3837" t="str">
            <v>Karisma Indoagro Universal, PT</v>
          </cell>
          <cell r="N3837" t="str">
            <v>Karisma Indoagro Universal, PT</v>
          </cell>
          <cell r="O3837" t="str">
            <v>Jl. Semeru No. 89 RT.001/RW.004, Ajung</v>
          </cell>
          <cell r="P3837" t="str">
            <v>Jember</v>
          </cell>
          <cell r="Q3837" t="str">
            <v>Jl. Semeru No. 89 RT.001/RW.004, Ajung</v>
          </cell>
          <cell r="R3837" t="str">
            <v>Jember</v>
          </cell>
          <cell r="S3837" t="str">
            <v>L Kota1</v>
          </cell>
          <cell r="T3837" t="str">
            <v>OTHERS</v>
          </cell>
          <cell r="U3837">
            <v>30</v>
          </cell>
        </row>
        <row r="3838">
          <cell r="E3838" t="str">
            <v>T24000126</v>
          </cell>
          <cell r="F3838"/>
          <cell r="G3838">
            <v>1000000000</v>
          </cell>
          <cell r="H3838" t="str">
            <v>Others</v>
          </cell>
          <cell r="I3838" t="str">
            <v>Exclusive</v>
          </cell>
          <cell r="J3838" t="str">
            <v>New 06/04/21</v>
          </cell>
          <cell r="K3838" t="str">
            <v>HDPD</v>
          </cell>
          <cell r="L3838" t="str">
            <v>KARI09</v>
          </cell>
          <cell r="M3838" t="str">
            <v>Karisma Indoagro Universal, PT</v>
          </cell>
          <cell r="N3838" t="str">
            <v>Karisma Indoagro Universal, PT</v>
          </cell>
          <cell r="O3838" t="str">
            <v>Jl. Semeru No. 89 RT.001/RW.004, Ajung</v>
          </cell>
          <cell r="P3838" t="str">
            <v>Jember</v>
          </cell>
          <cell r="Q3838" t="str">
            <v>Jl. Semeru No. 89 RT.001/RW.004, Ajung</v>
          </cell>
          <cell r="R3838" t="str">
            <v>Jember</v>
          </cell>
          <cell r="S3838" t="str">
            <v>L Kota1</v>
          </cell>
          <cell r="T3838" t="str">
            <v>OTHERS</v>
          </cell>
          <cell r="U3838">
            <v>30</v>
          </cell>
        </row>
        <row r="3839">
          <cell r="E3839" t="str">
            <v>T24000149</v>
          </cell>
          <cell r="F3839"/>
          <cell r="G3839">
            <v>1000000000</v>
          </cell>
          <cell r="H3839" t="str">
            <v>Others</v>
          </cell>
          <cell r="I3839" t="str">
            <v>Exclusive</v>
          </cell>
          <cell r="J3839" t="str">
            <v>New 06/04/21</v>
          </cell>
          <cell r="K3839" t="str">
            <v>HDPD</v>
          </cell>
          <cell r="L3839" t="str">
            <v>KARI09</v>
          </cell>
          <cell r="M3839" t="str">
            <v>Karisma Indoagro Universal, PT</v>
          </cell>
          <cell r="N3839" t="str">
            <v>Karisma Indoagro Universal, PT</v>
          </cell>
          <cell r="O3839" t="str">
            <v>Jl. Semeru No. 89 RT.001/RW.004, Ajung</v>
          </cell>
          <cell r="P3839" t="str">
            <v>Jember</v>
          </cell>
          <cell r="Q3839" t="str">
            <v>Jl. Semeru No. 89 RT.001/RW.004, Ajung</v>
          </cell>
          <cell r="R3839" t="str">
            <v>Jember</v>
          </cell>
          <cell r="S3839" t="str">
            <v>L Kota1</v>
          </cell>
          <cell r="T3839" t="str">
            <v>OTHERS</v>
          </cell>
          <cell r="U3839">
            <v>30</v>
          </cell>
        </row>
        <row r="3840">
          <cell r="E3840" t="str">
            <v>T24000166</v>
          </cell>
          <cell r="F3840"/>
          <cell r="G3840">
            <v>1000000000</v>
          </cell>
          <cell r="H3840" t="str">
            <v>Others</v>
          </cell>
          <cell r="I3840" t="str">
            <v>Exclusive</v>
          </cell>
          <cell r="J3840" t="str">
            <v>New 06/04/21</v>
          </cell>
          <cell r="K3840" t="str">
            <v>HDPD</v>
          </cell>
          <cell r="L3840" t="str">
            <v>KARI09</v>
          </cell>
          <cell r="M3840" t="str">
            <v>Karisma Indoagro Universal, PT</v>
          </cell>
          <cell r="N3840" t="str">
            <v>Karisma Indoagro Universal, PT</v>
          </cell>
          <cell r="O3840" t="str">
            <v>Jl. Semeru No. 89 RT.001/RW.004, Ajung</v>
          </cell>
          <cell r="P3840" t="str">
            <v>Jember</v>
          </cell>
          <cell r="Q3840" t="str">
            <v>Jl. Semeru No. 89 RT.001/RW.004, Ajung</v>
          </cell>
          <cell r="R3840" t="str">
            <v>Jember</v>
          </cell>
          <cell r="S3840" t="str">
            <v>L Kota1</v>
          </cell>
          <cell r="T3840" t="str">
            <v>OTHERS</v>
          </cell>
          <cell r="U3840">
            <v>30</v>
          </cell>
        </row>
        <row r="3841">
          <cell r="E3841" t="str">
            <v>T24000175</v>
          </cell>
          <cell r="F3841"/>
          <cell r="G3841">
            <v>1000000000</v>
          </cell>
          <cell r="H3841" t="str">
            <v>Others</v>
          </cell>
          <cell r="I3841" t="str">
            <v>Exclusive</v>
          </cell>
          <cell r="J3841" t="str">
            <v>New 06/04/21</v>
          </cell>
          <cell r="K3841" t="str">
            <v>HDPD</v>
          </cell>
          <cell r="L3841" t="str">
            <v>KARI09</v>
          </cell>
          <cell r="M3841" t="str">
            <v>Karisma Indoagro Universal, PT</v>
          </cell>
          <cell r="N3841" t="str">
            <v>Karisma Indoagro Universal, PT</v>
          </cell>
          <cell r="O3841" t="str">
            <v>Jl. Semeru No. 89 RT.001/RW.004, Ajung</v>
          </cell>
          <cell r="P3841" t="str">
            <v>Jember</v>
          </cell>
          <cell r="Q3841" t="str">
            <v>Jl. Semeru No. 89 RT.001/RW.004, Ajung</v>
          </cell>
          <cell r="R3841" t="str">
            <v>Jember</v>
          </cell>
          <cell r="S3841" t="str">
            <v>L Kota1</v>
          </cell>
          <cell r="T3841" t="str">
            <v>OTHERS</v>
          </cell>
          <cell r="U3841">
            <v>30</v>
          </cell>
        </row>
        <row r="3842">
          <cell r="E3842" t="str">
            <v>T24000176</v>
          </cell>
          <cell r="F3842"/>
          <cell r="G3842">
            <v>1000000000</v>
          </cell>
          <cell r="H3842" t="str">
            <v>Others</v>
          </cell>
          <cell r="I3842" t="str">
            <v>Exclusive</v>
          </cell>
          <cell r="J3842" t="str">
            <v>New 06/04/21</v>
          </cell>
          <cell r="K3842" t="str">
            <v>HDPD</v>
          </cell>
          <cell r="L3842" t="str">
            <v>KARI09</v>
          </cell>
          <cell r="M3842" t="str">
            <v>Karisma Indoagro Universal, PT</v>
          </cell>
          <cell r="N3842" t="str">
            <v>Karisma Indoagro Universal, PT</v>
          </cell>
          <cell r="O3842" t="str">
            <v>Jl. Semeru No. 89 RT.001/RW.004, Ajung</v>
          </cell>
          <cell r="P3842" t="str">
            <v>Jember</v>
          </cell>
          <cell r="Q3842" t="str">
            <v>Jl. Semeru No. 89 RT.001/RW.004, Ajung</v>
          </cell>
          <cell r="R3842" t="str">
            <v>Jember</v>
          </cell>
          <cell r="S3842" t="str">
            <v>L Kota1</v>
          </cell>
          <cell r="T3842" t="str">
            <v>OTHERS</v>
          </cell>
          <cell r="U3842">
            <v>30</v>
          </cell>
        </row>
        <row r="3843">
          <cell r="E3843" t="str">
            <v>T24000250</v>
          </cell>
          <cell r="F3843"/>
          <cell r="G3843">
            <v>1000000000</v>
          </cell>
          <cell r="H3843" t="str">
            <v>Others</v>
          </cell>
          <cell r="I3843" t="str">
            <v>Exclusive</v>
          </cell>
          <cell r="J3843" t="str">
            <v>New 06/04/21</v>
          </cell>
          <cell r="K3843" t="str">
            <v>HDPD</v>
          </cell>
          <cell r="L3843" t="str">
            <v>KARI09</v>
          </cell>
          <cell r="M3843" t="str">
            <v>Karisma Indoagro Universal, PT</v>
          </cell>
          <cell r="N3843" t="str">
            <v>Karisma Indoagro Universal, PT</v>
          </cell>
          <cell r="O3843" t="str">
            <v>Jl. Semeru No. 89 RT.001/RW.004, Ajung</v>
          </cell>
          <cell r="P3843" t="str">
            <v>Jember</v>
          </cell>
          <cell r="Q3843" t="str">
            <v>Jl. Semeru No. 89 RT.001/RW.004, Ajung</v>
          </cell>
          <cell r="R3843" t="str">
            <v>Jember</v>
          </cell>
          <cell r="S3843" t="str">
            <v>L Kota1</v>
          </cell>
          <cell r="T3843" t="str">
            <v>OTHERS</v>
          </cell>
          <cell r="U3843">
            <v>30</v>
          </cell>
        </row>
        <row r="3844">
          <cell r="E3844" t="str">
            <v>T24000251</v>
          </cell>
          <cell r="F3844"/>
          <cell r="G3844">
            <v>1000000000</v>
          </cell>
          <cell r="H3844" t="str">
            <v>Others</v>
          </cell>
          <cell r="I3844" t="str">
            <v>Exclusive</v>
          </cell>
          <cell r="J3844" t="str">
            <v>New 06/04/21</v>
          </cell>
          <cell r="K3844" t="str">
            <v>HDPD</v>
          </cell>
          <cell r="L3844" t="str">
            <v>KARI09</v>
          </cell>
          <cell r="M3844" t="str">
            <v>Karisma Indoagro Universal, PT</v>
          </cell>
          <cell r="N3844" t="str">
            <v>Karisma Indoagro Universal, PT</v>
          </cell>
          <cell r="O3844" t="str">
            <v>Jl. Semeru No. 89 RT.001/RW.004, Ajung</v>
          </cell>
          <cell r="P3844" t="str">
            <v>Jember</v>
          </cell>
          <cell r="Q3844" t="str">
            <v>Jl. Semeru No. 89 RT.001/RW.004, Ajung</v>
          </cell>
          <cell r="R3844" t="str">
            <v>Jember</v>
          </cell>
          <cell r="S3844" t="str">
            <v>L Kota1</v>
          </cell>
          <cell r="T3844" t="str">
            <v>OTHERS</v>
          </cell>
          <cell r="U3844">
            <v>30</v>
          </cell>
        </row>
        <row r="3845">
          <cell r="E3845" t="str">
            <v>T24000260</v>
          </cell>
          <cell r="F3845"/>
          <cell r="G3845">
            <v>1000000000</v>
          </cell>
          <cell r="H3845" t="str">
            <v>Others</v>
          </cell>
          <cell r="I3845" t="str">
            <v>Exclusive</v>
          </cell>
          <cell r="J3845" t="str">
            <v>New 06/04/21</v>
          </cell>
          <cell r="K3845" t="str">
            <v>HDPD</v>
          </cell>
          <cell r="L3845" t="str">
            <v>KARI09</v>
          </cell>
          <cell r="M3845" t="str">
            <v>Karisma Indoagro Universal, PT</v>
          </cell>
          <cell r="N3845" t="str">
            <v>Karisma Indoagro Universal, PT</v>
          </cell>
          <cell r="O3845" t="str">
            <v>Jl. Semeru No. 89 RT.001/RW.004, Ajung</v>
          </cell>
          <cell r="P3845" t="str">
            <v>Jember</v>
          </cell>
          <cell r="Q3845" t="str">
            <v>Jl. Semeru No. 89 RT.001/RW.004, Ajung</v>
          </cell>
          <cell r="R3845" t="str">
            <v>Jember</v>
          </cell>
          <cell r="S3845" t="str">
            <v>L Kota1</v>
          </cell>
          <cell r="T3845" t="str">
            <v>OTHERS</v>
          </cell>
          <cell r="U3845">
            <v>0</v>
          </cell>
        </row>
        <row r="3846">
          <cell r="E3846" t="str">
            <v>T24000265</v>
          </cell>
          <cell r="F3846"/>
          <cell r="G3846">
            <v>1000000000</v>
          </cell>
          <cell r="H3846" t="str">
            <v>Others</v>
          </cell>
          <cell r="I3846" t="str">
            <v>Exclusive</v>
          </cell>
          <cell r="J3846" t="str">
            <v>New 06/04/21</v>
          </cell>
          <cell r="K3846" t="str">
            <v>HDPD</v>
          </cell>
          <cell r="L3846" t="str">
            <v>KARI09</v>
          </cell>
          <cell r="M3846" t="str">
            <v>Karisma Indoagro Universal, PT</v>
          </cell>
          <cell r="N3846" t="str">
            <v>Karisma Indoagro Universal, PT</v>
          </cell>
          <cell r="O3846" t="str">
            <v>Jl. Semeru No. 89 RT.001/RW.004, Ajung</v>
          </cell>
          <cell r="P3846" t="str">
            <v>Jember</v>
          </cell>
          <cell r="Q3846" t="str">
            <v>Jl. Semeru No. 89 RT.001/RW.004, Ajung</v>
          </cell>
          <cell r="R3846" t="str">
            <v>Jember</v>
          </cell>
          <cell r="S3846" t="str">
            <v>L Kota1</v>
          </cell>
          <cell r="T3846" t="str">
            <v>OTHERS</v>
          </cell>
          <cell r="U3846">
            <v>30</v>
          </cell>
        </row>
        <row r="3847">
          <cell r="E3847" t="str">
            <v>T24000279</v>
          </cell>
          <cell r="F3847"/>
          <cell r="G3847">
            <v>1000000000</v>
          </cell>
          <cell r="H3847" t="str">
            <v>Others</v>
          </cell>
          <cell r="I3847" t="str">
            <v>Exclusive</v>
          </cell>
          <cell r="J3847" t="str">
            <v>New 06/04/21</v>
          </cell>
          <cell r="K3847" t="str">
            <v>HDPD</v>
          </cell>
          <cell r="L3847" t="str">
            <v>KARI09</v>
          </cell>
          <cell r="M3847" t="str">
            <v>Karisma Indoagro Universal, PT</v>
          </cell>
          <cell r="N3847" t="str">
            <v>Karisma Indoagro Universal, PT</v>
          </cell>
          <cell r="O3847" t="str">
            <v>Jl. Semeru No. 89 RT.001/RW.004, Ajung</v>
          </cell>
          <cell r="P3847" t="str">
            <v>Jember</v>
          </cell>
          <cell r="Q3847" t="str">
            <v>Jl. Semeru No. 89 RT.001/RW.004, Ajung</v>
          </cell>
          <cell r="R3847" t="str">
            <v>Jember</v>
          </cell>
          <cell r="S3847" t="str">
            <v>L Kota1</v>
          </cell>
          <cell r="T3847" t="str">
            <v>OTHERS</v>
          </cell>
          <cell r="U3847">
            <v>0</v>
          </cell>
        </row>
        <row r="3848">
          <cell r="E3848" t="str">
            <v>T24000299</v>
          </cell>
          <cell r="F3848"/>
          <cell r="G3848">
            <v>1000000000</v>
          </cell>
          <cell r="H3848" t="str">
            <v>Others</v>
          </cell>
          <cell r="I3848" t="str">
            <v>Exclusive</v>
          </cell>
          <cell r="J3848" t="str">
            <v>New 06/04/21</v>
          </cell>
          <cell r="K3848" t="str">
            <v>HDPD</v>
          </cell>
          <cell r="L3848" t="str">
            <v>KARI09</v>
          </cell>
          <cell r="M3848" t="str">
            <v>Karisma Indoagro Universal, PT</v>
          </cell>
          <cell r="N3848" t="str">
            <v>Karisma Indoagro Universal, PT</v>
          </cell>
          <cell r="O3848" t="str">
            <v>Jl. Semeru No. 89 RT.001/RW.004, Ajung</v>
          </cell>
          <cell r="P3848" t="str">
            <v>Jember</v>
          </cell>
          <cell r="Q3848" t="str">
            <v>Jl. Semeru No. 89 RT.001/RW.004, Ajung</v>
          </cell>
          <cell r="R3848" t="str">
            <v>Jember</v>
          </cell>
          <cell r="S3848" t="str">
            <v>L Kota1</v>
          </cell>
          <cell r="T3848" t="str">
            <v>OTHERS</v>
          </cell>
          <cell r="U3848">
            <v>30</v>
          </cell>
        </row>
        <row r="3849">
          <cell r="E3849" t="str">
            <v>T24000376</v>
          </cell>
          <cell r="F3849"/>
          <cell r="G3849">
            <v>1000000000</v>
          </cell>
          <cell r="H3849" t="str">
            <v>Others</v>
          </cell>
          <cell r="I3849" t="str">
            <v>Exclusive</v>
          </cell>
          <cell r="J3849" t="str">
            <v>New 06/04/21</v>
          </cell>
          <cell r="K3849" t="str">
            <v>HDPD</v>
          </cell>
          <cell r="L3849" t="str">
            <v>KARI09</v>
          </cell>
          <cell r="M3849" t="str">
            <v>Karisma Indoagro Universal, PT</v>
          </cell>
          <cell r="N3849" t="str">
            <v>Karisma Indoagro Universal, PT</v>
          </cell>
          <cell r="O3849" t="str">
            <v>Jl. Semeru No. 89 RT.001/RW.004, Ajung</v>
          </cell>
          <cell r="P3849" t="str">
            <v>Jember</v>
          </cell>
          <cell r="Q3849" t="str">
            <v>Jl. Semeru No. 89 RT.001/RW.004, Ajung</v>
          </cell>
          <cell r="R3849" t="str">
            <v>Jember</v>
          </cell>
          <cell r="S3849" t="str">
            <v>L Kota1</v>
          </cell>
          <cell r="T3849" t="str">
            <v>OTHERS</v>
          </cell>
          <cell r="U3849">
            <v>60</v>
          </cell>
        </row>
        <row r="3850">
          <cell r="E3850" t="str">
            <v>T24000384</v>
          </cell>
          <cell r="F3850"/>
          <cell r="G3850">
            <v>1000000000</v>
          </cell>
          <cell r="H3850" t="str">
            <v>Others</v>
          </cell>
          <cell r="I3850" t="str">
            <v>Exclusive</v>
          </cell>
          <cell r="J3850" t="str">
            <v>New 06/04/21</v>
          </cell>
          <cell r="K3850" t="str">
            <v>HDPD</v>
          </cell>
          <cell r="L3850" t="str">
            <v>KARI09</v>
          </cell>
          <cell r="M3850" t="str">
            <v>Karisma Indoagro Universal, PT</v>
          </cell>
          <cell r="N3850" t="str">
            <v>Karisma Indoagro Universal, PT</v>
          </cell>
          <cell r="O3850" t="str">
            <v>Jl. Semeru No. 89 RT.001/RW.004, Ajung</v>
          </cell>
          <cell r="P3850" t="str">
            <v>Jember</v>
          </cell>
          <cell r="Q3850" t="str">
            <v>Jl. Semeru No. 89 RT.001/RW.004, Ajung</v>
          </cell>
          <cell r="R3850" t="str">
            <v>Jember</v>
          </cell>
          <cell r="S3850" t="str">
            <v>L Kota1</v>
          </cell>
          <cell r="T3850" t="str">
            <v>OTHERS</v>
          </cell>
          <cell r="U3850">
            <v>60</v>
          </cell>
        </row>
        <row r="3851">
          <cell r="E3851" t="str">
            <v>T24000391</v>
          </cell>
          <cell r="F3851"/>
          <cell r="G3851">
            <v>1000000000</v>
          </cell>
          <cell r="H3851" t="str">
            <v>Others</v>
          </cell>
          <cell r="I3851" t="str">
            <v>Exclusive</v>
          </cell>
          <cell r="J3851" t="str">
            <v>New 06/04/21</v>
          </cell>
          <cell r="K3851" t="str">
            <v>HDPD</v>
          </cell>
          <cell r="L3851" t="str">
            <v>KARI09</v>
          </cell>
          <cell r="M3851" t="str">
            <v>Karisma Indoagro Universal, PT</v>
          </cell>
          <cell r="N3851" t="str">
            <v>Karisma Indoagro Universal, PT</v>
          </cell>
          <cell r="O3851" t="str">
            <v>Jl. Semeru No. 89 RT.001/RW.004, Ajung</v>
          </cell>
          <cell r="P3851" t="str">
            <v>Jember</v>
          </cell>
          <cell r="Q3851" t="str">
            <v>Jl. Semeru No. 89 RT.001/RW.004, Ajung</v>
          </cell>
          <cell r="R3851" t="str">
            <v>Jember</v>
          </cell>
          <cell r="S3851" t="str">
            <v>L Kota1</v>
          </cell>
          <cell r="T3851" t="str">
            <v>OTHERS</v>
          </cell>
          <cell r="U3851">
            <v>60</v>
          </cell>
        </row>
        <row r="3852">
          <cell r="E3852" t="str">
            <v>T24000392</v>
          </cell>
          <cell r="F3852"/>
          <cell r="G3852">
            <v>1000000000</v>
          </cell>
          <cell r="H3852" t="str">
            <v>Others</v>
          </cell>
          <cell r="I3852" t="str">
            <v>Exclusive</v>
          </cell>
          <cell r="J3852" t="str">
            <v>New 06/04/21</v>
          </cell>
          <cell r="K3852" t="str">
            <v>HDPD</v>
          </cell>
          <cell r="L3852" t="str">
            <v>KARI09</v>
          </cell>
          <cell r="M3852" t="str">
            <v>Karisma Indoagro Universal, PT</v>
          </cell>
          <cell r="N3852" t="str">
            <v>Karisma Indoagro Universal, PT</v>
          </cell>
          <cell r="O3852" t="str">
            <v>Jl. Semeru No. 89 RT.001/RW.004, Ajung</v>
          </cell>
          <cell r="P3852" t="str">
            <v>Jember</v>
          </cell>
          <cell r="Q3852" t="str">
            <v>Jl. Semeru No. 89 RT.001/RW.004, Ajung</v>
          </cell>
          <cell r="R3852" t="str">
            <v>Jember</v>
          </cell>
          <cell r="S3852" t="str">
            <v>L Kota1</v>
          </cell>
          <cell r="T3852" t="str">
            <v>OTHERS</v>
          </cell>
          <cell r="U3852">
            <v>60</v>
          </cell>
        </row>
        <row r="3853">
          <cell r="E3853" t="str">
            <v>T24000419</v>
          </cell>
          <cell r="F3853"/>
          <cell r="G3853">
            <v>1000000000</v>
          </cell>
          <cell r="H3853" t="str">
            <v>Others</v>
          </cell>
          <cell r="I3853" t="str">
            <v>Exclusive</v>
          </cell>
          <cell r="J3853" t="str">
            <v>New 06/04/21</v>
          </cell>
          <cell r="K3853" t="str">
            <v>HDPD</v>
          </cell>
          <cell r="L3853" t="str">
            <v>KARI09</v>
          </cell>
          <cell r="M3853" t="str">
            <v>Karisma Indoagro Universal, PT</v>
          </cell>
          <cell r="N3853" t="str">
            <v>Karisma Indoagro Universal, PT</v>
          </cell>
          <cell r="O3853" t="str">
            <v>Jl. Semeru No. 89 RT.001/RW.004, Ajung</v>
          </cell>
          <cell r="P3853" t="str">
            <v>Jember</v>
          </cell>
          <cell r="Q3853" t="str">
            <v>Jl. Semeru No. 89 RT.001/RW.004, Ajung</v>
          </cell>
          <cell r="R3853" t="str">
            <v>Jember</v>
          </cell>
          <cell r="S3853" t="str">
            <v>L Kota1</v>
          </cell>
          <cell r="T3853" t="str">
            <v>OTHERS</v>
          </cell>
          <cell r="U3853">
            <v>60</v>
          </cell>
        </row>
        <row r="3854">
          <cell r="E3854" t="str">
            <v>T24000448</v>
          </cell>
          <cell r="F3854"/>
          <cell r="G3854">
            <v>1000000000</v>
          </cell>
          <cell r="H3854" t="str">
            <v>Others</v>
          </cell>
          <cell r="I3854" t="str">
            <v>Exclusive</v>
          </cell>
          <cell r="J3854" t="str">
            <v>New 06/04/21</v>
          </cell>
          <cell r="K3854" t="str">
            <v>HDPD</v>
          </cell>
          <cell r="L3854" t="str">
            <v>KARI09</v>
          </cell>
          <cell r="M3854" t="str">
            <v>Karisma Indoagro Universal, PT</v>
          </cell>
          <cell r="N3854" t="str">
            <v>Karisma Indoagro Universal, PT</v>
          </cell>
          <cell r="O3854" t="str">
            <v>Jl. Semeru No. 89 RT.001/RW.004, Ajung</v>
          </cell>
          <cell r="P3854" t="str">
            <v>Jember</v>
          </cell>
          <cell r="Q3854" t="str">
            <v>Jl. Semeru No. 89 RT.001/RW.004, Ajung</v>
          </cell>
          <cell r="R3854" t="str">
            <v>Jember</v>
          </cell>
          <cell r="S3854" t="str">
            <v>L Kota1</v>
          </cell>
          <cell r="T3854" t="str">
            <v>OTHERS</v>
          </cell>
          <cell r="U3854">
            <v>60</v>
          </cell>
        </row>
        <row r="3855">
          <cell r="E3855" t="str">
            <v>T24000488</v>
          </cell>
          <cell r="F3855"/>
          <cell r="G3855">
            <v>1000000000</v>
          </cell>
          <cell r="H3855" t="str">
            <v>Others</v>
          </cell>
          <cell r="I3855" t="str">
            <v>Exclusive</v>
          </cell>
          <cell r="J3855" t="str">
            <v>New 06/04/21</v>
          </cell>
          <cell r="K3855" t="str">
            <v>HDPD</v>
          </cell>
          <cell r="L3855" t="str">
            <v>KARI09</v>
          </cell>
          <cell r="M3855" t="str">
            <v>Karisma Indoagro Universal, PT</v>
          </cell>
          <cell r="N3855" t="str">
            <v>Karisma Indoagro Universal, PT</v>
          </cell>
          <cell r="O3855" t="str">
            <v>Jl. Semeru No. 89 RT.001/RW.004, Ajung</v>
          </cell>
          <cell r="P3855" t="str">
            <v>Jember</v>
          </cell>
          <cell r="Q3855" t="str">
            <v>Jl. Semeru No. 89 RT.001/RW.004, Ajung</v>
          </cell>
          <cell r="R3855" t="str">
            <v>Jember</v>
          </cell>
          <cell r="S3855" t="str">
            <v>L Kota1</v>
          </cell>
          <cell r="T3855" t="str">
            <v>OTHERS</v>
          </cell>
          <cell r="U3855">
            <v>60</v>
          </cell>
        </row>
        <row r="3856">
          <cell r="E3856" t="str">
            <v>T24000489</v>
          </cell>
          <cell r="F3856"/>
          <cell r="G3856">
            <v>1000000000</v>
          </cell>
          <cell r="H3856" t="str">
            <v>Others</v>
          </cell>
          <cell r="I3856" t="str">
            <v>Exclusive</v>
          </cell>
          <cell r="J3856" t="str">
            <v>New 06/04/21</v>
          </cell>
          <cell r="K3856" t="str">
            <v>HDPD</v>
          </cell>
          <cell r="L3856" t="str">
            <v>KARI09</v>
          </cell>
          <cell r="M3856" t="str">
            <v>Karisma Indoagro Universal, PT</v>
          </cell>
          <cell r="N3856" t="str">
            <v>Karisma Indoagro Universal, PT</v>
          </cell>
          <cell r="O3856" t="str">
            <v>Jl. Semeru No. 89 RT.001/RW.004, Ajung</v>
          </cell>
          <cell r="P3856" t="str">
            <v>Jember</v>
          </cell>
          <cell r="Q3856" t="str">
            <v>Jl. Semeru No. 89 RT.001/RW.004, Ajung</v>
          </cell>
          <cell r="R3856" t="str">
            <v>Jember</v>
          </cell>
          <cell r="S3856" t="str">
            <v>L Kota1</v>
          </cell>
          <cell r="T3856" t="str">
            <v>OTHERS</v>
          </cell>
          <cell r="U3856">
            <v>60</v>
          </cell>
        </row>
        <row r="3857">
          <cell r="E3857" t="str">
            <v>T24000495</v>
          </cell>
          <cell r="F3857"/>
          <cell r="G3857">
            <v>1000000000</v>
          </cell>
          <cell r="H3857" t="str">
            <v>Others</v>
          </cell>
          <cell r="I3857" t="str">
            <v>Exclusive</v>
          </cell>
          <cell r="J3857" t="str">
            <v>New 06/04/21</v>
          </cell>
          <cell r="K3857" t="str">
            <v>HDPD</v>
          </cell>
          <cell r="L3857" t="str">
            <v>KARI09</v>
          </cell>
          <cell r="M3857" t="str">
            <v>Karisma Indoagro Universal, PT</v>
          </cell>
          <cell r="N3857" t="str">
            <v>Karisma Indoagro Universal, PT</v>
          </cell>
          <cell r="O3857" t="str">
            <v>Jl. Semeru No. 89 RT.001/RW.004, Ajung</v>
          </cell>
          <cell r="P3857" t="str">
            <v>Jember</v>
          </cell>
          <cell r="Q3857" t="str">
            <v>Jl. Semeru No. 89 RT.001/RW.004, Ajung</v>
          </cell>
          <cell r="R3857" t="str">
            <v>Jember</v>
          </cell>
          <cell r="S3857" t="str">
            <v>L Kota1</v>
          </cell>
          <cell r="T3857" t="str">
            <v>OTHERS</v>
          </cell>
          <cell r="U3857">
            <v>60</v>
          </cell>
        </row>
        <row r="3858">
          <cell r="E3858" t="str">
            <v>T24000496</v>
          </cell>
          <cell r="F3858"/>
          <cell r="G3858">
            <v>1000000000</v>
          </cell>
          <cell r="H3858" t="str">
            <v>Others</v>
          </cell>
          <cell r="I3858" t="str">
            <v>Exclusive</v>
          </cell>
          <cell r="J3858" t="str">
            <v>New 06/04/21</v>
          </cell>
          <cell r="K3858" t="str">
            <v>HDPD</v>
          </cell>
          <cell r="L3858" t="str">
            <v>KARI09</v>
          </cell>
          <cell r="M3858" t="str">
            <v>Karisma Indoagro Universal, PT</v>
          </cell>
          <cell r="N3858" t="str">
            <v>Karisma Indoagro Universal, PT</v>
          </cell>
          <cell r="O3858" t="str">
            <v>Jl. Semeru No. 89 RT.001/RW.004, Ajung</v>
          </cell>
          <cell r="P3858" t="str">
            <v>Jember</v>
          </cell>
          <cell r="Q3858" t="str">
            <v>Jl. Semeru No. 89 RT.001/RW.004, Ajung</v>
          </cell>
          <cell r="R3858" t="str">
            <v>Jember</v>
          </cell>
          <cell r="S3858" t="str">
            <v>L Kota1</v>
          </cell>
          <cell r="T3858" t="str">
            <v>OTHERS</v>
          </cell>
          <cell r="U3858">
            <v>60</v>
          </cell>
        </row>
        <row r="3859">
          <cell r="E3859" t="str">
            <v>T24000497</v>
          </cell>
          <cell r="F3859"/>
          <cell r="G3859">
            <v>1000000000</v>
          </cell>
          <cell r="H3859" t="str">
            <v>Others</v>
          </cell>
          <cell r="I3859" t="str">
            <v>Exclusive</v>
          </cell>
          <cell r="J3859" t="str">
            <v>New 06/04/21</v>
          </cell>
          <cell r="K3859" t="str">
            <v>HDPD</v>
          </cell>
          <cell r="L3859" t="str">
            <v>KARI09</v>
          </cell>
          <cell r="M3859" t="str">
            <v>Karisma Indoagro Universal, PT</v>
          </cell>
          <cell r="N3859" t="str">
            <v>Karisma Indoagro Universal, PT</v>
          </cell>
          <cell r="O3859" t="str">
            <v>Jl. Semeru No. 89 RT.001/RW.004, Ajung</v>
          </cell>
          <cell r="P3859" t="str">
            <v>Jember</v>
          </cell>
          <cell r="Q3859" t="str">
            <v>Jl. Semeru No. 89 RT.001/RW.004, Ajung</v>
          </cell>
          <cell r="R3859" t="str">
            <v>Jember</v>
          </cell>
          <cell r="S3859" t="str">
            <v>L Kota1</v>
          </cell>
          <cell r="T3859" t="str">
            <v>OTHERS</v>
          </cell>
          <cell r="U3859">
            <v>60</v>
          </cell>
        </row>
        <row r="3860">
          <cell r="E3860" t="str">
            <v>T24000498</v>
          </cell>
          <cell r="F3860"/>
          <cell r="G3860">
            <v>1000000000</v>
          </cell>
          <cell r="H3860" t="str">
            <v>Others</v>
          </cell>
          <cell r="I3860" t="str">
            <v>Exclusive</v>
          </cell>
          <cell r="J3860" t="str">
            <v>New 06/04/21</v>
          </cell>
          <cell r="K3860" t="str">
            <v>HDPD</v>
          </cell>
          <cell r="L3860" t="str">
            <v>KARI09</v>
          </cell>
          <cell r="M3860" t="str">
            <v>Karisma Indoagro Universal, PT</v>
          </cell>
          <cell r="N3860" t="str">
            <v>Karisma Indoagro Universal, PT</v>
          </cell>
          <cell r="O3860" t="str">
            <v>Jl. Semeru No. 89 RT.001/RW.004, Ajung</v>
          </cell>
          <cell r="P3860" t="str">
            <v>Jember</v>
          </cell>
          <cell r="Q3860" t="str">
            <v>Jl. Semeru No. 89 RT.001/RW.004, Ajung</v>
          </cell>
          <cell r="R3860" t="str">
            <v>Jember</v>
          </cell>
          <cell r="S3860" t="str">
            <v>L Kota1</v>
          </cell>
          <cell r="T3860" t="str">
            <v>OTHERS</v>
          </cell>
          <cell r="U3860">
            <v>60</v>
          </cell>
        </row>
        <row r="3861">
          <cell r="E3861" t="str">
            <v>T24000499</v>
          </cell>
          <cell r="F3861"/>
          <cell r="G3861">
            <v>1000000000</v>
          </cell>
          <cell r="H3861" t="str">
            <v>Others</v>
          </cell>
          <cell r="I3861" t="str">
            <v>Exclusive</v>
          </cell>
          <cell r="J3861" t="str">
            <v>New 06/04/21</v>
          </cell>
          <cell r="K3861" t="str">
            <v>HDPD</v>
          </cell>
          <cell r="L3861" t="str">
            <v>KARI09</v>
          </cell>
          <cell r="M3861" t="str">
            <v>Karisma Indoagro Universal, PT</v>
          </cell>
          <cell r="N3861" t="str">
            <v>Karisma Indoagro Universal, PT</v>
          </cell>
          <cell r="O3861" t="str">
            <v>Jl. Semeru No. 89 RT.001/RW.004, Ajung</v>
          </cell>
          <cell r="P3861" t="str">
            <v>Jember</v>
          </cell>
          <cell r="Q3861" t="str">
            <v>Jl. Semeru No. 89 RT.001/RW.004, Ajung</v>
          </cell>
          <cell r="R3861" t="str">
            <v>Jember</v>
          </cell>
          <cell r="S3861" t="str">
            <v>L Kota1</v>
          </cell>
          <cell r="T3861" t="str">
            <v>OTHERS</v>
          </cell>
          <cell r="U3861">
            <v>60</v>
          </cell>
        </row>
        <row r="3862">
          <cell r="E3862" t="str">
            <v>T24000519</v>
          </cell>
          <cell r="F3862"/>
          <cell r="G3862">
            <v>1000000000</v>
          </cell>
          <cell r="H3862" t="str">
            <v>Others</v>
          </cell>
          <cell r="I3862" t="str">
            <v>Exclusive</v>
          </cell>
          <cell r="J3862" t="str">
            <v>New 06/04/21</v>
          </cell>
          <cell r="K3862" t="str">
            <v>HDPD</v>
          </cell>
          <cell r="L3862" t="str">
            <v>KARI09</v>
          </cell>
          <cell r="M3862" t="str">
            <v>Karisma Indoagro Universal, PT</v>
          </cell>
          <cell r="N3862" t="str">
            <v>Karisma Indoagro Universal, PT</v>
          </cell>
          <cell r="O3862" t="str">
            <v>Jl. Semeru No. 89 RT.001/RW.004, Ajung</v>
          </cell>
          <cell r="P3862" t="str">
            <v>Jember</v>
          </cell>
          <cell r="Q3862" t="str">
            <v>Jl. Semeru No. 89 RT.001/RW.004, Ajung</v>
          </cell>
          <cell r="R3862" t="str">
            <v>Jember</v>
          </cell>
          <cell r="S3862" t="str">
            <v>L Kota1</v>
          </cell>
          <cell r="T3862" t="str">
            <v>OTHERS</v>
          </cell>
          <cell r="U3862">
            <v>60</v>
          </cell>
        </row>
        <row r="3863">
          <cell r="E3863" t="str">
            <v>T24000527</v>
          </cell>
          <cell r="F3863"/>
          <cell r="G3863">
            <v>1000000000</v>
          </cell>
          <cell r="H3863" t="str">
            <v>Others</v>
          </cell>
          <cell r="I3863" t="str">
            <v>Exclusive</v>
          </cell>
          <cell r="J3863" t="str">
            <v>New 06/04/21</v>
          </cell>
          <cell r="K3863" t="str">
            <v>HDPD</v>
          </cell>
          <cell r="L3863" t="str">
            <v>KARI09</v>
          </cell>
          <cell r="M3863" t="str">
            <v>Karisma Indoagro Universal, PT</v>
          </cell>
          <cell r="N3863" t="str">
            <v>Karisma Indoagro Universal, PT</v>
          </cell>
          <cell r="O3863" t="str">
            <v>Jl. Semeru No. 89 RT.001/RW.004, Ajung</v>
          </cell>
          <cell r="P3863" t="str">
            <v>Jember</v>
          </cell>
          <cell r="Q3863" t="str">
            <v>Jl. Semeru No. 89 RT.001/RW.004, Ajung</v>
          </cell>
          <cell r="R3863" t="str">
            <v>Jember</v>
          </cell>
          <cell r="S3863" t="str">
            <v>L Kota1</v>
          </cell>
          <cell r="T3863" t="str">
            <v>OTHERS</v>
          </cell>
          <cell r="U3863">
            <v>60</v>
          </cell>
        </row>
        <row r="3864">
          <cell r="E3864" t="str">
            <v>T24000598</v>
          </cell>
          <cell r="F3864"/>
          <cell r="G3864">
            <v>1000000000</v>
          </cell>
          <cell r="H3864" t="str">
            <v>Others</v>
          </cell>
          <cell r="I3864" t="str">
            <v>Exclusive</v>
          </cell>
          <cell r="J3864" t="str">
            <v>New 06/04/21</v>
          </cell>
          <cell r="K3864" t="str">
            <v>HDPD</v>
          </cell>
          <cell r="L3864" t="str">
            <v>KARI09</v>
          </cell>
          <cell r="M3864" t="str">
            <v>Karisma Indoagro Universal, PT</v>
          </cell>
          <cell r="N3864" t="str">
            <v>Karisma Indoagro Universal, PT</v>
          </cell>
          <cell r="O3864" t="str">
            <v>Jl. Semeru No. 89 RT.001/RW.004, Ajung</v>
          </cell>
          <cell r="P3864" t="str">
            <v>Jember</v>
          </cell>
          <cell r="Q3864" t="str">
            <v>Jl. Semeru No. 89 RT.001/RW.004, Ajung</v>
          </cell>
          <cell r="R3864" t="str">
            <v>Jember</v>
          </cell>
          <cell r="S3864" t="str">
            <v>L Kota1</v>
          </cell>
          <cell r="T3864" t="str">
            <v>OTHERS</v>
          </cell>
          <cell r="U3864">
            <v>60</v>
          </cell>
        </row>
        <row r="3865">
          <cell r="E3865" t="str">
            <v>T24000600</v>
          </cell>
          <cell r="F3865"/>
          <cell r="G3865">
            <v>1000000000</v>
          </cell>
          <cell r="H3865" t="str">
            <v>Others</v>
          </cell>
          <cell r="I3865" t="str">
            <v>Exclusive</v>
          </cell>
          <cell r="J3865" t="str">
            <v>New 06/04/21</v>
          </cell>
          <cell r="K3865" t="str">
            <v>HDPD</v>
          </cell>
          <cell r="L3865" t="str">
            <v>KARI09</v>
          </cell>
          <cell r="M3865" t="str">
            <v>Karisma Indoagro Universal, PT</v>
          </cell>
          <cell r="N3865" t="str">
            <v>Karisma Indoagro Universal, PT</v>
          </cell>
          <cell r="O3865" t="str">
            <v>Jl. Semeru No. 89 RT.001/RW.004, Ajung</v>
          </cell>
          <cell r="P3865" t="str">
            <v>Jember</v>
          </cell>
          <cell r="Q3865" t="str">
            <v>Jl. Semeru No. 89 RT.001/RW.004, Ajung</v>
          </cell>
          <cell r="R3865" t="str">
            <v>Jember</v>
          </cell>
          <cell r="S3865" t="str">
            <v>L Kota1</v>
          </cell>
          <cell r="T3865" t="str">
            <v>OTHERS</v>
          </cell>
          <cell r="U3865">
            <v>60</v>
          </cell>
        </row>
        <row r="3866">
          <cell r="E3866" t="str">
            <v>T24000601</v>
          </cell>
          <cell r="F3866"/>
          <cell r="G3866">
            <v>1000000000</v>
          </cell>
          <cell r="H3866" t="str">
            <v>Others</v>
          </cell>
          <cell r="I3866" t="str">
            <v>Exclusive</v>
          </cell>
          <cell r="J3866" t="str">
            <v>New 06/04/21</v>
          </cell>
          <cell r="K3866" t="str">
            <v>HDPD</v>
          </cell>
          <cell r="L3866" t="str">
            <v>KARI09</v>
          </cell>
          <cell r="M3866" t="str">
            <v>Karisma Indoagro Universal, PT</v>
          </cell>
          <cell r="N3866" t="str">
            <v>Karisma Indoagro Universal, PT</v>
          </cell>
          <cell r="O3866" t="str">
            <v>Jl. Semeru No. 89 RT.001/RW.004, Ajung</v>
          </cell>
          <cell r="P3866" t="str">
            <v>Jember</v>
          </cell>
          <cell r="Q3866" t="str">
            <v>Jl. Semeru No. 89 RT.001/RW.004, Ajung</v>
          </cell>
          <cell r="R3866" t="str">
            <v>Jember</v>
          </cell>
          <cell r="S3866" t="str">
            <v>L Kota1</v>
          </cell>
          <cell r="T3866" t="str">
            <v>OTHERS</v>
          </cell>
          <cell r="U3866">
            <v>60</v>
          </cell>
        </row>
        <row r="3867">
          <cell r="E3867" t="str">
            <v>T24000602</v>
          </cell>
          <cell r="F3867"/>
          <cell r="G3867">
            <v>1000000000</v>
          </cell>
          <cell r="H3867" t="str">
            <v>Others</v>
          </cell>
          <cell r="I3867" t="str">
            <v>Exclusive</v>
          </cell>
          <cell r="J3867" t="str">
            <v>New 06/04/21</v>
          </cell>
          <cell r="K3867" t="str">
            <v>HDPD</v>
          </cell>
          <cell r="L3867" t="str">
            <v>KARI09</v>
          </cell>
          <cell r="M3867" t="str">
            <v>Karisma Indoagro Universal, PT</v>
          </cell>
          <cell r="N3867" t="str">
            <v>Karisma Indoagro Universal, PT</v>
          </cell>
          <cell r="O3867" t="str">
            <v>Jl. Semeru No. 89 RT.001/RW.004, Ajung</v>
          </cell>
          <cell r="P3867" t="str">
            <v>Jember</v>
          </cell>
          <cell r="Q3867" t="str">
            <v>Jl. Semeru No. 89 RT.001/RW.004, Ajung</v>
          </cell>
          <cell r="R3867" t="str">
            <v>Jember</v>
          </cell>
          <cell r="S3867" t="str">
            <v>L Kota1</v>
          </cell>
          <cell r="T3867" t="str">
            <v>OTHERS</v>
          </cell>
          <cell r="U3867">
            <v>60</v>
          </cell>
        </row>
        <row r="3868">
          <cell r="E3868" t="str">
            <v>T24000603</v>
          </cell>
          <cell r="F3868"/>
          <cell r="G3868">
            <v>1000000000</v>
          </cell>
          <cell r="H3868" t="str">
            <v>Others</v>
          </cell>
          <cell r="I3868" t="str">
            <v>Exclusive</v>
          </cell>
          <cell r="J3868" t="str">
            <v>New 06/04/21</v>
          </cell>
          <cell r="K3868" t="str">
            <v>HDPD</v>
          </cell>
          <cell r="L3868" t="str">
            <v>KARI09</v>
          </cell>
          <cell r="M3868" t="str">
            <v>Karisma Indoagro Universal, PT</v>
          </cell>
          <cell r="N3868" t="str">
            <v>Karisma Indoagro Universal, PT</v>
          </cell>
          <cell r="O3868" t="str">
            <v>Jl. Semeru No. 89 RT.001/RW.004, Ajung</v>
          </cell>
          <cell r="P3868" t="str">
            <v>Jember</v>
          </cell>
          <cell r="Q3868" t="str">
            <v>Jl. Semeru No. 89 RT.001/RW.004, Ajung</v>
          </cell>
          <cell r="R3868" t="str">
            <v>Jember</v>
          </cell>
          <cell r="S3868" t="str">
            <v>L Kota1</v>
          </cell>
          <cell r="T3868" t="str">
            <v>OTHERS</v>
          </cell>
          <cell r="U3868">
            <v>60</v>
          </cell>
        </row>
        <row r="3869">
          <cell r="E3869" t="str">
            <v>T24000612</v>
          </cell>
          <cell r="F3869"/>
          <cell r="G3869">
            <v>1000000000</v>
          </cell>
          <cell r="H3869" t="str">
            <v>Others</v>
          </cell>
          <cell r="I3869" t="str">
            <v>Exclusive</v>
          </cell>
          <cell r="J3869" t="str">
            <v>New 06/04/21</v>
          </cell>
          <cell r="K3869" t="str">
            <v>HDPD</v>
          </cell>
          <cell r="L3869" t="str">
            <v>KARI09</v>
          </cell>
          <cell r="M3869" t="str">
            <v>Karisma Indoagro Universal, PT</v>
          </cell>
          <cell r="N3869" t="str">
            <v>Karisma Indoagro Universal, PT</v>
          </cell>
          <cell r="O3869" t="str">
            <v>Jl. Semeru No. 89 RT.001/RW.004, Ajung</v>
          </cell>
          <cell r="P3869" t="str">
            <v>Jember</v>
          </cell>
          <cell r="Q3869" t="str">
            <v>Jl. Semeru No. 89 RT.001/RW.004, Ajung</v>
          </cell>
          <cell r="R3869" t="str">
            <v>Jember</v>
          </cell>
          <cell r="S3869" t="str">
            <v>L Kota1</v>
          </cell>
          <cell r="T3869" t="str">
            <v>OTHERS</v>
          </cell>
          <cell r="U3869">
            <v>60</v>
          </cell>
        </row>
        <row r="3870">
          <cell r="E3870" t="str">
            <v>T24000631</v>
          </cell>
          <cell r="F3870"/>
          <cell r="G3870">
            <v>1000000000</v>
          </cell>
          <cell r="H3870" t="str">
            <v>Others</v>
          </cell>
          <cell r="I3870" t="str">
            <v>Exclusive</v>
          </cell>
          <cell r="J3870" t="str">
            <v>New 06/04/21</v>
          </cell>
          <cell r="K3870" t="str">
            <v>HDPD</v>
          </cell>
          <cell r="L3870" t="str">
            <v>KARI09</v>
          </cell>
          <cell r="M3870" t="str">
            <v>Karisma Indoagro Universal, PT</v>
          </cell>
          <cell r="N3870" t="str">
            <v>Karisma Indoagro Universal, PT</v>
          </cell>
          <cell r="O3870" t="str">
            <v>Jl. Semeru No. 89 RT.001/RW.004, Ajung</v>
          </cell>
          <cell r="P3870" t="str">
            <v>Jember</v>
          </cell>
          <cell r="Q3870" t="str">
            <v>Jl. Semeru No. 89 RT.001/RW.004, Ajung</v>
          </cell>
          <cell r="R3870" t="str">
            <v>Jember</v>
          </cell>
          <cell r="S3870" t="str">
            <v>L Kota1</v>
          </cell>
          <cell r="T3870" t="str">
            <v>OTHERS</v>
          </cell>
          <cell r="U3870">
            <v>60</v>
          </cell>
        </row>
        <row r="3871">
          <cell r="E3871" t="str">
            <v>T24000635</v>
          </cell>
          <cell r="F3871"/>
          <cell r="G3871">
            <v>1000000000</v>
          </cell>
          <cell r="H3871" t="str">
            <v>Others</v>
          </cell>
          <cell r="I3871" t="str">
            <v>Exclusive</v>
          </cell>
          <cell r="J3871" t="str">
            <v>New 06/04/21</v>
          </cell>
          <cell r="K3871" t="str">
            <v>HDPD</v>
          </cell>
          <cell r="L3871" t="str">
            <v>KARI09</v>
          </cell>
          <cell r="M3871" t="str">
            <v>Karisma Indoagro Universal, PT</v>
          </cell>
          <cell r="N3871" t="str">
            <v>Karisma Indoagro Universal, PT</v>
          </cell>
          <cell r="O3871" t="str">
            <v>Jl. Semeru No. 89 RT.001/RW.004, Ajung</v>
          </cell>
          <cell r="P3871" t="str">
            <v>Jember</v>
          </cell>
          <cell r="Q3871" t="str">
            <v>Jl. Semeru No. 89 RT.001/RW.004, Ajung</v>
          </cell>
          <cell r="R3871" t="str">
            <v>Jember</v>
          </cell>
          <cell r="S3871" t="str">
            <v>L Kota1</v>
          </cell>
          <cell r="T3871" t="str">
            <v>OTHERS</v>
          </cell>
          <cell r="U3871">
            <v>60</v>
          </cell>
        </row>
        <row r="3872">
          <cell r="E3872" t="str">
            <v>T24000673</v>
          </cell>
          <cell r="F3872"/>
          <cell r="G3872">
            <v>1000000000</v>
          </cell>
          <cell r="H3872" t="str">
            <v>Others</v>
          </cell>
          <cell r="I3872" t="str">
            <v>Exclusive</v>
          </cell>
          <cell r="J3872" t="str">
            <v>New 06/04/21</v>
          </cell>
          <cell r="K3872" t="str">
            <v>HDPD</v>
          </cell>
          <cell r="L3872" t="str">
            <v>KARI09</v>
          </cell>
          <cell r="M3872" t="str">
            <v>Karisma Indoagro Universal, PT</v>
          </cell>
          <cell r="N3872" t="str">
            <v>Karisma Indoagro Universal, PT</v>
          </cell>
          <cell r="O3872" t="str">
            <v>Jl. Semeru No. 89 RT.001/RW.004, Ajung</v>
          </cell>
          <cell r="P3872" t="str">
            <v>Jember</v>
          </cell>
          <cell r="Q3872" t="str">
            <v>Jl. Semeru No. 89 RT.001/RW.004, Ajung</v>
          </cell>
          <cell r="R3872" t="str">
            <v>Jember</v>
          </cell>
          <cell r="S3872" t="str">
            <v>L Kota1</v>
          </cell>
          <cell r="T3872" t="str">
            <v>OTHERS</v>
          </cell>
          <cell r="U3872">
            <v>60</v>
          </cell>
        </row>
        <row r="3873">
          <cell r="E3873" t="str">
            <v>T24000717</v>
          </cell>
          <cell r="F3873"/>
          <cell r="G3873">
            <v>1000000000</v>
          </cell>
          <cell r="H3873" t="str">
            <v>Others</v>
          </cell>
          <cell r="I3873" t="str">
            <v>Exclusive</v>
          </cell>
          <cell r="J3873" t="str">
            <v>New 06/04/21</v>
          </cell>
          <cell r="K3873" t="str">
            <v>HDPD</v>
          </cell>
          <cell r="L3873" t="str">
            <v>KARI09</v>
          </cell>
          <cell r="M3873" t="str">
            <v>Karisma Indoagro Universal, PT</v>
          </cell>
          <cell r="N3873" t="str">
            <v>Karisma Indoagro Universal, PT</v>
          </cell>
          <cell r="O3873" t="str">
            <v>Jl. Semeru No. 89 RT.001/RW.004, Ajung</v>
          </cell>
          <cell r="P3873" t="str">
            <v>Jember</v>
          </cell>
          <cell r="Q3873" t="str">
            <v>Jl. Semeru No. 89 RT.001/RW.004, Ajung</v>
          </cell>
          <cell r="R3873" t="str">
            <v>Jember</v>
          </cell>
          <cell r="S3873" t="str">
            <v>L Kota1</v>
          </cell>
          <cell r="T3873" t="str">
            <v>OTHERS</v>
          </cell>
          <cell r="U3873">
            <v>30</v>
          </cell>
        </row>
        <row r="3874">
          <cell r="E3874" t="str">
            <v>T24000718</v>
          </cell>
          <cell r="F3874"/>
          <cell r="G3874">
            <v>1000000000</v>
          </cell>
          <cell r="H3874" t="str">
            <v>Others</v>
          </cell>
          <cell r="I3874" t="str">
            <v>Exclusive</v>
          </cell>
          <cell r="J3874" t="str">
            <v>New 06/04/21</v>
          </cell>
          <cell r="K3874" t="str">
            <v>HDPD</v>
          </cell>
          <cell r="L3874" t="str">
            <v>KARI09</v>
          </cell>
          <cell r="M3874" t="str">
            <v>Karisma Indoagro Universal, PT</v>
          </cell>
          <cell r="N3874" t="str">
            <v>Karisma Indoagro Universal, PT</v>
          </cell>
          <cell r="O3874" t="str">
            <v>Jl. Semeru No. 89 RT.001/RW.004, Ajung</v>
          </cell>
          <cell r="P3874" t="str">
            <v>Jember</v>
          </cell>
          <cell r="Q3874" t="str">
            <v>Jl. Semeru No. 89 RT.001/RW.004, Ajung</v>
          </cell>
          <cell r="R3874" t="str">
            <v>Jember</v>
          </cell>
          <cell r="S3874" t="str">
            <v>L Kota1</v>
          </cell>
          <cell r="T3874" t="str">
            <v>OTHERS</v>
          </cell>
          <cell r="U3874">
            <v>60</v>
          </cell>
        </row>
        <row r="3875">
          <cell r="E3875" t="str">
            <v>T24000719</v>
          </cell>
          <cell r="F3875"/>
          <cell r="G3875">
            <v>1000000000</v>
          </cell>
          <cell r="H3875" t="str">
            <v>Others</v>
          </cell>
          <cell r="I3875" t="str">
            <v>Exclusive</v>
          </cell>
          <cell r="J3875" t="str">
            <v>New 06/04/21</v>
          </cell>
          <cell r="K3875" t="str">
            <v>HDPD</v>
          </cell>
          <cell r="L3875" t="str">
            <v>KARI09</v>
          </cell>
          <cell r="M3875" t="str">
            <v>Karisma Indoagro Universal, PT</v>
          </cell>
          <cell r="N3875" t="str">
            <v>Karisma Indoagro Universal, PT</v>
          </cell>
          <cell r="O3875" t="str">
            <v>Jl. Semeru No. 89 RT.001/RW.004, Ajung</v>
          </cell>
          <cell r="P3875" t="str">
            <v>Jember</v>
          </cell>
          <cell r="Q3875" t="str">
            <v>Jl. Semeru No. 89 RT.001/RW.004, Ajung</v>
          </cell>
          <cell r="R3875" t="str">
            <v>Jember</v>
          </cell>
          <cell r="S3875" t="str">
            <v>L Kota1</v>
          </cell>
          <cell r="T3875" t="str">
            <v>OTHERS</v>
          </cell>
          <cell r="U3875">
            <v>60</v>
          </cell>
        </row>
        <row r="3876">
          <cell r="E3876" t="str">
            <v>T24000720</v>
          </cell>
          <cell r="F3876"/>
          <cell r="G3876">
            <v>1000000000</v>
          </cell>
          <cell r="H3876" t="str">
            <v>Others</v>
          </cell>
          <cell r="I3876" t="str">
            <v>Exclusive</v>
          </cell>
          <cell r="J3876" t="str">
            <v>New 06/04/21</v>
          </cell>
          <cell r="K3876" t="str">
            <v>HDPD</v>
          </cell>
          <cell r="L3876" t="str">
            <v>KARI09</v>
          </cell>
          <cell r="M3876" t="str">
            <v>Karisma Indoagro Universal, PT</v>
          </cell>
          <cell r="N3876" t="str">
            <v>Karisma Indoagro Universal, PT</v>
          </cell>
          <cell r="O3876" t="str">
            <v>Jl. Semeru No. 89 RT.001/RW.004, Ajung</v>
          </cell>
          <cell r="P3876" t="str">
            <v>Jember</v>
          </cell>
          <cell r="Q3876" t="str">
            <v>Jl. Semeru No. 89 RT.001/RW.004, Ajung</v>
          </cell>
          <cell r="R3876" t="str">
            <v>Jember</v>
          </cell>
          <cell r="S3876" t="str">
            <v>L Kota1</v>
          </cell>
          <cell r="T3876" t="str">
            <v>OTHERS</v>
          </cell>
          <cell r="U3876">
            <v>60</v>
          </cell>
        </row>
        <row r="3877">
          <cell r="E3877" t="str">
            <v>T24000726</v>
          </cell>
          <cell r="F3877"/>
          <cell r="G3877">
            <v>1000000000</v>
          </cell>
          <cell r="H3877" t="str">
            <v>Others</v>
          </cell>
          <cell r="I3877" t="str">
            <v>Exclusive</v>
          </cell>
          <cell r="J3877" t="str">
            <v>New 06/04/21</v>
          </cell>
          <cell r="K3877" t="str">
            <v>HDPD</v>
          </cell>
          <cell r="L3877" t="str">
            <v>KARI09</v>
          </cell>
          <cell r="M3877" t="str">
            <v>Karisma Indoagro Universal, PT</v>
          </cell>
          <cell r="N3877" t="str">
            <v>Karisma Indoagro Universal, PT</v>
          </cell>
          <cell r="O3877" t="str">
            <v>Jl. Semeru No. 89 RT.001/RW.004, Ajung</v>
          </cell>
          <cell r="P3877" t="str">
            <v>Jember</v>
          </cell>
          <cell r="Q3877" t="str">
            <v>Jl. Semeru No. 89 RT.001/RW.004, Ajung</v>
          </cell>
          <cell r="R3877" t="str">
            <v>Jember</v>
          </cell>
          <cell r="S3877" t="str">
            <v>L Kota1</v>
          </cell>
          <cell r="T3877" t="str">
            <v>OTHERS</v>
          </cell>
          <cell r="U3877">
            <v>0</v>
          </cell>
        </row>
        <row r="3878">
          <cell r="E3878" t="str">
            <v>T24000727</v>
          </cell>
          <cell r="F3878"/>
          <cell r="G3878">
            <v>1000000000</v>
          </cell>
          <cell r="H3878" t="str">
            <v>Others</v>
          </cell>
          <cell r="I3878" t="str">
            <v>Exclusive</v>
          </cell>
          <cell r="J3878" t="str">
            <v>New 06/04/21</v>
          </cell>
          <cell r="K3878" t="str">
            <v>HDPD</v>
          </cell>
          <cell r="L3878" t="str">
            <v>KARI09</v>
          </cell>
          <cell r="M3878" t="str">
            <v>Karisma Indoagro Universal, PT</v>
          </cell>
          <cell r="N3878" t="str">
            <v>Karisma Indoagro Universal, PT</v>
          </cell>
          <cell r="O3878" t="str">
            <v>Jl. Semeru No. 89 RT.001/RW.004, Ajung</v>
          </cell>
          <cell r="P3878" t="str">
            <v>Jember</v>
          </cell>
          <cell r="Q3878" t="str">
            <v>Jl. Semeru No. 89 RT.001/RW.004, Ajung</v>
          </cell>
          <cell r="R3878" t="str">
            <v>Jember</v>
          </cell>
          <cell r="S3878" t="str">
            <v>L Kota1</v>
          </cell>
          <cell r="T3878" t="str">
            <v>OTHERS</v>
          </cell>
          <cell r="U3878">
            <v>60</v>
          </cell>
        </row>
        <row r="3879">
          <cell r="E3879" t="str">
            <v>T24000754</v>
          </cell>
          <cell r="F3879"/>
          <cell r="G3879">
            <v>1000000000</v>
          </cell>
          <cell r="H3879" t="str">
            <v>Others</v>
          </cell>
          <cell r="I3879" t="str">
            <v>Exclusive</v>
          </cell>
          <cell r="J3879" t="str">
            <v>New 06/04/21</v>
          </cell>
          <cell r="K3879" t="str">
            <v>HDPD</v>
          </cell>
          <cell r="L3879" t="str">
            <v>KARI09</v>
          </cell>
          <cell r="M3879" t="str">
            <v>Karisma Indoagro Universal, PT</v>
          </cell>
          <cell r="N3879" t="str">
            <v>Karisma Indoagro Universal, PT</v>
          </cell>
          <cell r="O3879" t="str">
            <v>Jl. Semeru No. 89 RT.001/RW.004, Ajung</v>
          </cell>
          <cell r="P3879" t="str">
            <v>Jember</v>
          </cell>
          <cell r="Q3879" t="str">
            <v>Jl. Semeru No. 89 RT.001/RW.004, Ajung</v>
          </cell>
          <cell r="R3879" t="str">
            <v>Jember</v>
          </cell>
          <cell r="S3879" t="str">
            <v>L Kota1</v>
          </cell>
          <cell r="T3879" t="str">
            <v>OTHERS</v>
          </cell>
          <cell r="U3879">
            <v>60</v>
          </cell>
        </row>
        <row r="3880">
          <cell r="E3880" t="str">
            <v>T24000755</v>
          </cell>
          <cell r="F3880"/>
          <cell r="G3880">
            <v>1000000000</v>
          </cell>
          <cell r="H3880" t="str">
            <v>Others</v>
          </cell>
          <cell r="I3880" t="str">
            <v>Exclusive</v>
          </cell>
          <cell r="J3880" t="str">
            <v>New 06/04/21</v>
          </cell>
          <cell r="K3880" t="str">
            <v>HDPD</v>
          </cell>
          <cell r="L3880" t="str">
            <v>KARI09</v>
          </cell>
          <cell r="M3880" t="str">
            <v>Karisma Indoagro Universal, PT</v>
          </cell>
          <cell r="N3880" t="str">
            <v>Karisma Indoagro Universal, PT</v>
          </cell>
          <cell r="O3880" t="str">
            <v>Jl. Semeru No. 89 RT.001/RW.004, Ajung</v>
          </cell>
          <cell r="P3880" t="str">
            <v>Jember</v>
          </cell>
          <cell r="Q3880" t="str">
            <v>Jl. Semeru No. 89 RT.001/RW.004, Ajung</v>
          </cell>
          <cell r="R3880" t="str">
            <v>Jember</v>
          </cell>
          <cell r="S3880" t="str">
            <v>L Kota1</v>
          </cell>
          <cell r="T3880" t="str">
            <v>OTHERS</v>
          </cell>
          <cell r="U3880">
            <v>30</v>
          </cell>
        </row>
        <row r="3881">
          <cell r="E3881" t="str">
            <v>T24000787</v>
          </cell>
          <cell r="F3881"/>
          <cell r="G3881">
            <v>1000000000</v>
          </cell>
          <cell r="H3881" t="str">
            <v>Others</v>
          </cell>
          <cell r="I3881" t="str">
            <v>Exclusive</v>
          </cell>
          <cell r="J3881" t="str">
            <v>New 06/04/21</v>
          </cell>
          <cell r="K3881" t="str">
            <v>HDPD</v>
          </cell>
          <cell r="L3881" t="str">
            <v>KARI09</v>
          </cell>
          <cell r="M3881" t="str">
            <v>Karisma Indoagro Universal, PT</v>
          </cell>
          <cell r="N3881" t="str">
            <v>Karisma Indoagro Universal, PT</v>
          </cell>
          <cell r="O3881" t="str">
            <v>Jl. Semeru No. 89 RT.001/RW.004, Ajung</v>
          </cell>
          <cell r="P3881" t="str">
            <v>Jember</v>
          </cell>
          <cell r="Q3881" t="str">
            <v>Jl. Semeru No. 89 RT.001/RW.004, Ajung</v>
          </cell>
          <cell r="R3881" t="str">
            <v>Jember</v>
          </cell>
          <cell r="S3881" t="str">
            <v>L Kota1</v>
          </cell>
          <cell r="T3881" t="str">
            <v>OTHERS</v>
          </cell>
          <cell r="U3881">
            <v>30</v>
          </cell>
        </row>
        <row r="3882">
          <cell r="E3882" t="str">
            <v>T24000865</v>
          </cell>
          <cell r="F3882"/>
          <cell r="G3882">
            <v>1000000000</v>
          </cell>
          <cell r="H3882" t="str">
            <v>Others</v>
          </cell>
          <cell r="I3882" t="str">
            <v>Exclusive</v>
          </cell>
          <cell r="J3882" t="str">
            <v>New 06/04/21</v>
          </cell>
          <cell r="K3882" t="str">
            <v>HDPD</v>
          </cell>
          <cell r="L3882" t="str">
            <v>KARI09</v>
          </cell>
          <cell r="M3882" t="str">
            <v>Karisma Indoagro Universal, PT</v>
          </cell>
          <cell r="N3882" t="str">
            <v>Karisma Indoagro Universal, PT</v>
          </cell>
          <cell r="O3882" t="str">
            <v>Jl. Semeru No. 89 RT.001/RW.004, Ajung</v>
          </cell>
          <cell r="P3882" t="str">
            <v>Jember</v>
          </cell>
          <cell r="Q3882" t="str">
            <v>Jl. Semeru No. 89 RT.001/RW.004, Ajung</v>
          </cell>
          <cell r="R3882" t="str">
            <v>Jember</v>
          </cell>
          <cell r="S3882" t="str">
            <v>L Kota1</v>
          </cell>
          <cell r="T3882" t="str">
            <v>OTHERS</v>
          </cell>
          <cell r="U3882">
            <v>30</v>
          </cell>
        </row>
        <row r="3883">
          <cell r="E3883" t="str">
            <v>T24000936</v>
          </cell>
          <cell r="F3883"/>
          <cell r="G3883">
            <v>1000000000</v>
          </cell>
          <cell r="H3883" t="str">
            <v>Others</v>
          </cell>
          <cell r="I3883" t="str">
            <v>Exclusive</v>
          </cell>
          <cell r="J3883" t="str">
            <v>New 06/04/21</v>
          </cell>
          <cell r="K3883" t="str">
            <v>HDPD</v>
          </cell>
          <cell r="L3883" t="str">
            <v>KARI09</v>
          </cell>
          <cell r="M3883" t="str">
            <v>Karisma Indoagro Universal, PT</v>
          </cell>
          <cell r="N3883" t="str">
            <v>Karisma Indoagro Universal, PT</v>
          </cell>
          <cell r="O3883" t="str">
            <v>Jl. Semeru No. 89 RT.001/RW.004, Ajung</v>
          </cell>
          <cell r="P3883" t="str">
            <v>Jember</v>
          </cell>
          <cell r="Q3883" t="str">
            <v>Jl. Semeru No. 89 RT.001/RW.004, Ajung</v>
          </cell>
          <cell r="R3883" t="str">
            <v>Jember</v>
          </cell>
          <cell r="S3883" t="str">
            <v>L Kota1</v>
          </cell>
          <cell r="T3883" t="str">
            <v>OTHERS</v>
          </cell>
          <cell r="U3883">
            <v>30</v>
          </cell>
        </row>
        <row r="3884">
          <cell r="E3884" t="str">
            <v>T24000937</v>
          </cell>
          <cell r="F3884"/>
          <cell r="G3884">
            <v>1000000000</v>
          </cell>
          <cell r="H3884" t="str">
            <v>Others</v>
          </cell>
          <cell r="I3884" t="str">
            <v>Exclusive</v>
          </cell>
          <cell r="J3884" t="str">
            <v>New 06/04/21</v>
          </cell>
          <cell r="K3884" t="str">
            <v>HDPD</v>
          </cell>
          <cell r="L3884" t="str">
            <v>KARI09</v>
          </cell>
          <cell r="M3884" t="str">
            <v>Karisma Indoagro Universal, PT</v>
          </cell>
          <cell r="N3884" t="str">
            <v>Karisma Indoagro Universal, PT</v>
          </cell>
          <cell r="O3884" t="str">
            <v>Jl. Semeru No. 89 RT.001/RW.004, Ajung</v>
          </cell>
          <cell r="P3884" t="str">
            <v>Jember</v>
          </cell>
          <cell r="Q3884" t="str">
            <v>Jl. Semeru No. 89 RT.001/RW.004, Ajung</v>
          </cell>
          <cell r="R3884" t="str">
            <v>Jember</v>
          </cell>
          <cell r="S3884" t="str">
            <v>L Kota1</v>
          </cell>
          <cell r="T3884" t="str">
            <v>OTHERS</v>
          </cell>
          <cell r="U3884">
            <v>30</v>
          </cell>
        </row>
        <row r="3885">
          <cell r="E3885" t="str">
            <v>T24000938</v>
          </cell>
          <cell r="F3885"/>
          <cell r="G3885">
            <v>1000000000</v>
          </cell>
          <cell r="H3885" t="str">
            <v>Others</v>
          </cell>
          <cell r="I3885" t="str">
            <v>Exclusive</v>
          </cell>
          <cell r="J3885" t="str">
            <v>New 06/04/21</v>
          </cell>
          <cell r="K3885" t="str">
            <v>HDPD</v>
          </cell>
          <cell r="L3885" t="str">
            <v>KARI09</v>
          </cell>
          <cell r="M3885" t="str">
            <v>Karisma Indoagro Universal, PT</v>
          </cell>
          <cell r="N3885" t="str">
            <v>Karisma Indoagro Universal, PT</v>
          </cell>
          <cell r="O3885" t="str">
            <v>Jl. Semeru No. 89 RT.001/RW.004, Ajung</v>
          </cell>
          <cell r="P3885" t="str">
            <v>Jember</v>
          </cell>
          <cell r="Q3885" t="str">
            <v>Jl. Semeru No. 89 RT.001/RW.004, Ajung</v>
          </cell>
          <cell r="R3885" t="str">
            <v>Jember</v>
          </cell>
          <cell r="S3885" t="str">
            <v>L Kota1</v>
          </cell>
          <cell r="T3885" t="str">
            <v>OTHERS</v>
          </cell>
          <cell r="U3885">
            <v>30</v>
          </cell>
        </row>
        <row r="3886">
          <cell r="E3886" t="str">
            <v>T24000939</v>
          </cell>
          <cell r="F3886"/>
          <cell r="G3886">
            <v>1000000000</v>
          </cell>
          <cell r="H3886" t="str">
            <v>Others</v>
          </cell>
          <cell r="I3886" t="str">
            <v>Exclusive</v>
          </cell>
          <cell r="J3886" t="str">
            <v>New 06/04/21</v>
          </cell>
          <cell r="K3886" t="str">
            <v>HDPD</v>
          </cell>
          <cell r="L3886" t="str">
            <v>KARI09</v>
          </cell>
          <cell r="M3886" t="str">
            <v>Karisma Indoagro Universal, PT</v>
          </cell>
          <cell r="N3886" t="str">
            <v>Karisma Indoagro Universal, PT</v>
          </cell>
          <cell r="O3886" t="str">
            <v>Jl. Semeru No. 89 RT.001/RW.004, Ajung</v>
          </cell>
          <cell r="P3886" t="str">
            <v>Jember</v>
          </cell>
          <cell r="Q3886" t="str">
            <v>Jl. Semeru No. 89 RT.001/RW.004, Ajung</v>
          </cell>
          <cell r="R3886" t="str">
            <v>Jember</v>
          </cell>
          <cell r="S3886" t="str">
            <v>L Kota1</v>
          </cell>
          <cell r="T3886" t="str">
            <v>OTHERS</v>
          </cell>
          <cell r="U3886">
            <v>30</v>
          </cell>
        </row>
        <row r="3887">
          <cell r="E3887" t="str">
            <v>T24000946</v>
          </cell>
          <cell r="F3887"/>
          <cell r="G3887">
            <v>1000000000</v>
          </cell>
          <cell r="H3887" t="str">
            <v>Others</v>
          </cell>
          <cell r="I3887" t="str">
            <v>Exclusive</v>
          </cell>
          <cell r="J3887" t="str">
            <v>New 06/04/21</v>
          </cell>
          <cell r="K3887" t="str">
            <v>HDPD</v>
          </cell>
          <cell r="L3887" t="str">
            <v>KARI09</v>
          </cell>
          <cell r="M3887" t="str">
            <v>Karisma Indoagro Universal, PT</v>
          </cell>
          <cell r="N3887" t="str">
            <v>Karisma Indoagro Universal, PT</v>
          </cell>
          <cell r="O3887" t="str">
            <v>Jl. Semeru No. 89 RT.001/RW.004, Ajung</v>
          </cell>
          <cell r="P3887" t="str">
            <v>Jember</v>
          </cell>
          <cell r="Q3887" t="str">
            <v>Jl. Semeru No. 89 RT.001/RW.004, Ajung</v>
          </cell>
          <cell r="R3887" t="str">
            <v>Jember</v>
          </cell>
          <cell r="S3887" t="str">
            <v>L Kota1</v>
          </cell>
          <cell r="T3887" t="str">
            <v>OTHERS</v>
          </cell>
          <cell r="U3887">
            <v>30</v>
          </cell>
        </row>
        <row r="3888">
          <cell r="E3888" t="str">
            <v>T24000983</v>
          </cell>
          <cell r="F3888"/>
          <cell r="G3888">
            <v>1000000000</v>
          </cell>
          <cell r="H3888" t="str">
            <v>Others</v>
          </cell>
          <cell r="I3888" t="str">
            <v>Exclusive</v>
          </cell>
          <cell r="J3888" t="str">
            <v>New 06/04/21</v>
          </cell>
          <cell r="K3888" t="str">
            <v>HDPD</v>
          </cell>
          <cell r="L3888" t="str">
            <v>KARI09</v>
          </cell>
          <cell r="M3888" t="str">
            <v>Karisma Indoagro Universal, PT</v>
          </cell>
          <cell r="N3888" t="str">
            <v>Karisma Indoagro Universal, PT</v>
          </cell>
          <cell r="O3888" t="str">
            <v>Jl. Semeru No. 89 RT.001/RW.004, Ajung</v>
          </cell>
          <cell r="P3888" t="str">
            <v>Jember</v>
          </cell>
          <cell r="Q3888" t="str">
            <v>Jl. Semeru No. 89 RT.001/RW.004, Ajung</v>
          </cell>
          <cell r="R3888" t="str">
            <v>Jember</v>
          </cell>
          <cell r="S3888" t="str">
            <v>L Kota1</v>
          </cell>
          <cell r="T3888" t="str">
            <v>OTHERS</v>
          </cell>
          <cell r="U3888">
            <v>60</v>
          </cell>
        </row>
        <row r="3889">
          <cell r="E3889" t="str">
            <v>T24000984</v>
          </cell>
          <cell r="F3889"/>
          <cell r="G3889">
            <v>1000000000</v>
          </cell>
          <cell r="H3889" t="str">
            <v>Others</v>
          </cell>
          <cell r="I3889" t="str">
            <v>Exclusive</v>
          </cell>
          <cell r="J3889" t="str">
            <v>New 06/04/21</v>
          </cell>
          <cell r="K3889" t="str">
            <v>HDPD</v>
          </cell>
          <cell r="L3889" t="str">
            <v>KARI09</v>
          </cell>
          <cell r="M3889" t="str">
            <v>Karisma Indoagro Universal, PT</v>
          </cell>
          <cell r="N3889" t="str">
            <v>Karisma Indoagro Universal, PT</v>
          </cell>
          <cell r="O3889" t="str">
            <v>Jl. Semeru No. 89 RT.001/RW.004, Ajung</v>
          </cell>
          <cell r="P3889" t="str">
            <v>Jember</v>
          </cell>
          <cell r="Q3889" t="str">
            <v>Jl. Semeru No. 89 RT.001/RW.004, Ajung</v>
          </cell>
          <cell r="R3889" t="str">
            <v>Jember</v>
          </cell>
          <cell r="S3889" t="str">
            <v>L Kota1</v>
          </cell>
          <cell r="T3889" t="str">
            <v>OTHERS</v>
          </cell>
          <cell r="U3889">
            <v>30</v>
          </cell>
        </row>
        <row r="3890">
          <cell r="E3890" t="str">
            <v>T24000985</v>
          </cell>
          <cell r="F3890"/>
          <cell r="G3890">
            <v>1000000000</v>
          </cell>
          <cell r="H3890" t="str">
            <v>Others</v>
          </cell>
          <cell r="I3890" t="str">
            <v>Exclusive</v>
          </cell>
          <cell r="J3890" t="str">
            <v>New 06/04/21</v>
          </cell>
          <cell r="K3890" t="str">
            <v>HDPD</v>
          </cell>
          <cell r="L3890" t="str">
            <v>KARI09</v>
          </cell>
          <cell r="M3890" t="str">
            <v>Karisma Indoagro Universal, PT</v>
          </cell>
          <cell r="N3890" t="str">
            <v>Karisma Indoagro Universal, PT</v>
          </cell>
          <cell r="O3890" t="str">
            <v>Jl. Semeru No. 89 RT.001/RW.004, Ajung</v>
          </cell>
          <cell r="P3890" t="str">
            <v>Jember</v>
          </cell>
          <cell r="Q3890" t="str">
            <v>Jl. Semeru No. 89 RT.001/RW.004, Ajung</v>
          </cell>
          <cell r="R3890" t="str">
            <v>Jember</v>
          </cell>
          <cell r="S3890" t="str">
            <v>L Kota1</v>
          </cell>
          <cell r="T3890" t="str">
            <v>OTHERS</v>
          </cell>
          <cell r="U3890">
            <v>60</v>
          </cell>
        </row>
        <row r="3891">
          <cell r="E3891" t="str">
            <v>T24001031</v>
          </cell>
          <cell r="F3891"/>
          <cell r="G3891">
            <v>1000000000</v>
          </cell>
          <cell r="H3891" t="str">
            <v>Others</v>
          </cell>
          <cell r="I3891" t="str">
            <v>Exclusive</v>
          </cell>
          <cell r="J3891" t="str">
            <v>New 06/04/21</v>
          </cell>
          <cell r="K3891" t="str">
            <v>HDPD</v>
          </cell>
          <cell r="L3891" t="str">
            <v>KARI09</v>
          </cell>
          <cell r="M3891" t="str">
            <v>Karisma Indoagro Universal, PT</v>
          </cell>
          <cell r="N3891" t="str">
            <v>Karisma Indoagro Universal, PT</v>
          </cell>
          <cell r="O3891" t="str">
            <v>Jl. Semeru No. 89 RT.001/RW.004, Ajung</v>
          </cell>
          <cell r="P3891" t="str">
            <v>Jember</v>
          </cell>
          <cell r="Q3891" t="str">
            <v>Jl. Semeru No. 89 RT.001/RW.004, Ajung</v>
          </cell>
          <cell r="R3891" t="str">
            <v>Jember</v>
          </cell>
          <cell r="S3891" t="str">
            <v>L Kota1</v>
          </cell>
          <cell r="T3891" t="str">
            <v>OTHERS</v>
          </cell>
          <cell r="U3891">
            <v>60</v>
          </cell>
        </row>
        <row r="3892">
          <cell r="E3892" t="str">
            <v>T24001077</v>
          </cell>
          <cell r="F3892"/>
          <cell r="G3892">
            <v>1000000000</v>
          </cell>
          <cell r="H3892" t="str">
            <v>Others</v>
          </cell>
          <cell r="I3892" t="str">
            <v>Exclusive</v>
          </cell>
          <cell r="J3892" t="str">
            <v>New 06/04/21</v>
          </cell>
          <cell r="K3892" t="str">
            <v>HDPD</v>
          </cell>
          <cell r="L3892" t="str">
            <v>KARI09</v>
          </cell>
          <cell r="M3892" t="str">
            <v>Karisma Indoagro Universal, PT</v>
          </cell>
          <cell r="N3892" t="str">
            <v>Karisma Indoagro Universal, PT</v>
          </cell>
          <cell r="O3892" t="str">
            <v>Jl. Semeru No. 89 RT.001/RW.004, Ajung</v>
          </cell>
          <cell r="P3892" t="str">
            <v>Jember</v>
          </cell>
          <cell r="Q3892" t="str">
            <v>Jl. Semeru No. 89 RT.001/RW.004, Ajung</v>
          </cell>
          <cell r="R3892" t="str">
            <v>Jember</v>
          </cell>
          <cell r="S3892" t="str">
            <v>L Kota1</v>
          </cell>
          <cell r="T3892" t="str">
            <v>OTHERS</v>
          </cell>
          <cell r="U3892">
            <v>30</v>
          </cell>
        </row>
        <row r="3893">
          <cell r="E3893" t="str">
            <v>T24001078</v>
          </cell>
          <cell r="F3893"/>
          <cell r="G3893">
            <v>1000000000</v>
          </cell>
          <cell r="H3893" t="str">
            <v>Others</v>
          </cell>
          <cell r="I3893" t="str">
            <v>Exclusive</v>
          </cell>
          <cell r="J3893" t="str">
            <v>New 06/04/21</v>
          </cell>
          <cell r="K3893" t="str">
            <v>HDPD</v>
          </cell>
          <cell r="L3893" t="str">
            <v>KARI09</v>
          </cell>
          <cell r="M3893" t="str">
            <v>Karisma Indoagro Universal, PT</v>
          </cell>
          <cell r="N3893" t="str">
            <v>Karisma Indoagro Universal, PT</v>
          </cell>
          <cell r="O3893" t="str">
            <v>Jl. Semeru No. 89 RT.001/RW.004, Ajung</v>
          </cell>
          <cell r="P3893" t="str">
            <v>Jember</v>
          </cell>
          <cell r="Q3893" t="str">
            <v>Jl. Semeru No. 89 RT.001/RW.004, Ajung</v>
          </cell>
          <cell r="R3893" t="str">
            <v>Jember</v>
          </cell>
          <cell r="S3893" t="str">
            <v>L Kota1</v>
          </cell>
          <cell r="T3893" t="str">
            <v>OTHERS</v>
          </cell>
          <cell r="U3893">
            <v>30</v>
          </cell>
        </row>
        <row r="3894">
          <cell r="E3894" t="str">
            <v>T24001079</v>
          </cell>
          <cell r="F3894"/>
          <cell r="G3894">
            <v>1000000000</v>
          </cell>
          <cell r="H3894" t="str">
            <v>Others</v>
          </cell>
          <cell r="I3894" t="str">
            <v>Exclusive</v>
          </cell>
          <cell r="J3894" t="str">
            <v>New 06/04/21</v>
          </cell>
          <cell r="K3894" t="str">
            <v>HDPD</v>
          </cell>
          <cell r="L3894" t="str">
            <v>KARI09</v>
          </cell>
          <cell r="M3894" t="str">
            <v>Karisma Indoagro Universal, PT</v>
          </cell>
          <cell r="N3894" t="str">
            <v>Karisma Indoagro Universal, PT</v>
          </cell>
          <cell r="O3894" t="str">
            <v>Jl. Semeru No. 89 RT.001/RW.004, Ajung</v>
          </cell>
          <cell r="P3894" t="str">
            <v>Jember</v>
          </cell>
          <cell r="Q3894" t="str">
            <v>Jl. Semeru No. 89 RT.001/RW.004, Ajung</v>
          </cell>
          <cell r="R3894" t="str">
            <v>Jember</v>
          </cell>
          <cell r="S3894" t="str">
            <v>L Kota1</v>
          </cell>
          <cell r="T3894" t="str">
            <v>OTHERS</v>
          </cell>
          <cell r="U3894">
            <v>30</v>
          </cell>
        </row>
        <row r="3895">
          <cell r="E3895" t="str">
            <v>T24001085</v>
          </cell>
          <cell r="F3895"/>
          <cell r="G3895">
            <v>1000000000</v>
          </cell>
          <cell r="H3895" t="str">
            <v>Others</v>
          </cell>
          <cell r="I3895" t="str">
            <v>Exclusive</v>
          </cell>
          <cell r="J3895" t="str">
            <v>New 06/04/21</v>
          </cell>
          <cell r="K3895" t="str">
            <v>HDPD</v>
          </cell>
          <cell r="L3895" t="str">
            <v>KARI09</v>
          </cell>
          <cell r="M3895" t="str">
            <v>Karisma Indoagro Universal, PT</v>
          </cell>
          <cell r="N3895" t="str">
            <v>Karisma Indoagro Universal, PT</v>
          </cell>
          <cell r="O3895" t="str">
            <v>Jl. Semeru No. 89 RT.001/RW.004, Ajung</v>
          </cell>
          <cell r="P3895" t="str">
            <v>Jember</v>
          </cell>
          <cell r="Q3895" t="str">
            <v>Jl. Semeru No. 89 RT.001/RW.004, Ajung</v>
          </cell>
          <cell r="R3895" t="str">
            <v>Jember</v>
          </cell>
          <cell r="S3895" t="str">
            <v>L Kota1</v>
          </cell>
          <cell r="T3895" t="str">
            <v>OTHERS</v>
          </cell>
          <cell r="U3895">
            <v>30</v>
          </cell>
        </row>
        <row r="3896">
          <cell r="E3896" t="str">
            <v>T24001086</v>
          </cell>
          <cell r="F3896"/>
          <cell r="G3896">
            <v>1000000000</v>
          </cell>
          <cell r="H3896" t="str">
            <v>Others</v>
          </cell>
          <cell r="I3896" t="str">
            <v>Exclusive</v>
          </cell>
          <cell r="J3896" t="str">
            <v>New 06/04/21</v>
          </cell>
          <cell r="K3896" t="str">
            <v>HDPD</v>
          </cell>
          <cell r="L3896" t="str">
            <v>KARI09</v>
          </cell>
          <cell r="M3896" t="str">
            <v>Karisma Indoagro Universal, PT</v>
          </cell>
          <cell r="N3896" t="str">
            <v>Karisma Indoagro Universal, PT</v>
          </cell>
          <cell r="O3896" t="str">
            <v>Jl. Semeru No. 89 RT.001/RW.004, Ajung</v>
          </cell>
          <cell r="P3896" t="str">
            <v>Jember</v>
          </cell>
          <cell r="Q3896" t="str">
            <v>Jl. Semeru No. 89 RT.001/RW.004, Ajung</v>
          </cell>
          <cell r="R3896" t="str">
            <v>Jember</v>
          </cell>
          <cell r="S3896" t="str">
            <v>L Kota1</v>
          </cell>
          <cell r="T3896" t="str">
            <v>OTHERS</v>
          </cell>
          <cell r="U3896">
            <v>30</v>
          </cell>
        </row>
        <row r="3897">
          <cell r="E3897" t="str">
            <v>T24001087</v>
          </cell>
          <cell r="F3897"/>
          <cell r="G3897">
            <v>1000000000</v>
          </cell>
          <cell r="H3897" t="str">
            <v>Others</v>
          </cell>
          <cell r="I3897" t="str">
            <v>Exclusive</v>
          </cell>
          <cell r="J3897" t="str">
            <v>New 06/04/21</v>
          </cell>
          <cell r="K3897" t="str">
            <v>HDPD</v>
          </cell>
          <cell r="L3897" t="str">
            <v>KARI09</v>
          </cell>
          <cell r="M3897" t="str">
            <v>Karisma Indoagro Universal, PT</v>
          </cell>
          <cell r="N3897" t="str">
            <v>Karisma Indoagro Universal, PT</v>
          </cell>
          <cell r="O3897" t="str">
            <v>Jl. Semeru No. 89 RT.001/RW.004, Ajung</v>
          </cell>
          <cell r="P3897" t="str">
            <v>Jember</v>
          </cell>
          <cell r="Q3897" t="str">
            <v>Jl. Semeru No. 89 RT.001/RW.004, Ajung</v>
          </cell>
          <cell r="R3897" t="str">
            <v>Jember</v>
          </cell>
          <cell r="S3897" t="str">
            <v>L Kota1</v>
          </cell>
          <cell r="T3897" t="str">
            <v>OTHERS</v>
          </cell>
          <cell r="U3897">
            <v>30</v>
          </cell>
        </row>
        <row r="3898">
          <cell r="E3898" t="str">
            <v>T24001088</v>
          </cell>
          <cell r="F3898"/>
          <cell r="G3898">
            <v>1000000000</v>
          </cell>
          <cell r="H3898" t="str">
            <v>Others</v>
          </cell>
          <cell r="I3898" t="str">
            <v>Exclusive</v>
          </cell>
          <cell r="J3898" t="str">
            <v>New 06/04/21</v>
          </cell>
          <cell r="K3898" t="str">
            <v>HDPD</v>
          </cell>
          <cell r="L3898" t="str">
            <v>KARI09</v>
          </cell>
          <cell r="M3898" t="str">
            <v>Karisma Indoagro Universal, PT</v>
          </cell>
          <cell r="N3898" t="str">
            <v>Karisma Indoagro Universal, PT</v>
          </cell>
          <cell r="O3898" t="str">
            <v>Jl. Semeru No. 89 RT.001/RW.004, Ajung</v>
          </cell>
          <cell r="P3898" t="str">
            <v>Jember</v>
          </cell>
          <cell r="Q3898" t="str">
            <v>Jl. Semeru No. 89 RT.001/RW.004, Ajung</v>
          </cell>
          <cell r="R3898" t="str">
            <v>Jember</v>
          </cell>
          <cell r="S3898" t="str">
            <v>L Kota1</v>
          </cell>
          <cell r="T3898" t="str">
            <v>OTHERS</v>
          </cell>
          <cell r="U3898">
            <v>30</v>
          </cell>
        </row>
        <row r="3899">
          <cell r="E3899" t="str">
            <v>T24001108</v>
          </cell>
          <cell r="F3899"/>
          <cell r="G3899">
            <v>1000000000</v>
          </cell>
          <cell r="H3899" t="str">
            <v>Others</v>
          </cell>
          <cell r="I3899" t="str">
            <v>Exclusive</v>
          </cell>
          <cell r="J3899" t="str">
            <v>New 06/04/21</v>
          </cell>
          <cell r="K3899" t="str">
            <v>HDPD</v>
          </cell>
          <cell r="L3899" t="str">
            <v>KARI09</v>
          </cell>
          <cell r="M3899" t="str">
            <v>Karisma Indoagro Universal, PT</v>
          </cell>
          <cell r="N3899" t="str">
            <v>Karisma Indoagro Universal, PT</v>
          </cell>
          <cell r="O3899" t="str">
            <v>Jl. Semeru No. 89 RT.001/RW.004, Ajung</v>
          </cell>
          <cell r="P3899" t="str">
            <v>Jember</v>
          </cell>
          <cell r="Q3899" t="str">
            <v>Jl. Semeru No. 89 RT.001/RW.004, Ajung</v>
          </cell>
          <cell r="R3899" t="str">
            <v>Jember</v>
          </cell>
          <cell r="S3899" t="str">
            <v>L Kota1</v>
          </cell>
          <cell r="T3899" t="str">
            <v>OTHERS</v>
          </cell>
          <cell r="U3899">
            <v>30</v>
          </cell>
        </row>
        <row r="3900">
          <cell r="E3900" t="str">
            <v>T24001119</v>
          </cell>
          <cell r="F3900"/>
          <cell r="G3900">
            <v>1000000000</v>
          </cell>
          <cell r="H3900" t="str">
            <v>Others</v>
          </cell>
          <cell r="I3900" t="str">
            <v>Exclusive</v>
          </cell>
          <cell r="J3900" t="str">
            <v>New 06/04/21</v>
          </cell>
          <cell r="K3900" t="str">
            <v>HDPD</v>
          </cell>
          <cell r="L3900" t="str">
            <v>KARI09</v>
          </cell>
          <cell r="M3900" t="str">
            <v>Karisma Indoagro Universal, PT</v>
          </cell>
          <cell r="N3900" t="str">
            <v>Karisma Indoagro Universal, PT</v>
          </cell>
          <cell r="O3900" t="str">
            <v>Jl. Semeru No. 89 RT.001/RW.004, Ajung</v>
          </cell>
          <cell r="P3900" t="str">
            <v>Jember</v>
          </cell>
          <cell r="Q3900" t="str">
            <v>Jl. Semeru No. 89 RT.001/RW.004, Ajung</v>
          </cell>
          <cell r="R3900" t="str">
            <v>Jember</v>
          </cell>
          <cell r="S3900" t="str">
            <v>L Kota1</v>
          </cell>
          <cell r="T3900" t="str">
            <v>OTHERS</v>
          </cell>
          <cell r="U3900">
            <v>30</v>
          </cell>
        </row>
        <row r="3901">
          <cell r="E3901" t="str">
            <v>T24001120</v>
          </cell>
          <cell r="F3901"/>
          <cell r="G3901">
            <v>1000000000</v>
          </cell>
          <cell r="H3901" t="str">
            <v>Others</v>
          </cell>
          <cell r="I3901" t="str">
            <v>Exclusive</v>
          </cell>
          <cell r="J3901" t="str">
            <v>New 06/04/21</v>
          </cell>
          <cell r="K3901" t="str">
            <v>HDPD</v>
          </cell>
          <cell r="L3901" t="str">
            <v>KARI09</v>
          </cell>
          <cell r="M3901" t="str">
            <v>Karisma Indoagro Universal, PT</v>
          </cell>
          <cell r="N3901" t="str">
            <v>Karisma Indoagro Universal, PT</v>
          </cell>
          <cell r="O3901" t="str">
            <v>Jl. Semeru No. 89 RT.001/RW.004, Ajung</v>
          </cell>
          <cell r="P3901" t="str">
            <v>Jember</v>
          </cell>
          <cell r="Q3901" t="str">
            <v>Jl. Semeru No. 89 RT.001/RW.004, Ajung</v>
          </cell>
          <cell r="R3901" t="str">
            <v>Jember</v>
          </cell>
          <cell r="S3901" t="str">
            <v>L Kota1</v>
          </cell>
          <cell r="T3901" t="str">
            <v>OTHERS</v>
          </cell>
          <cell r="U3901">
            <v>30</v>
          </cell>
        </row>
        <row r="3902">
          <cell r="E3902" t="str">
            <v>T24001121</v>
          </cell>
          <cell r="F3902"/>
          <cell r="G3902">
            <v>1000000000</v>
          </cell>
          <cell r="H3902" t="str">
            <v>Others</v>
          </cell>
          <cell r="I3902" t="str">
            <v>Exclusive</v>
          </cell>
          <cell r="J3902" t="str">
            <v>New 06/04/21</v>
          </cell>
          <cell r="K3902" t="str">
            <v>HDPD</v>
          </cell>
          <cell r="L3902" t="str">
            <v>KARI09</v>
          </cell>
          <cell r="M3902" t="str">
            <v>Karisma Indoagro Universal, PT</v>
          </cell>
          <cell r="N3902" t="str">
            <v>Karisma Indoagro Universal, PT</v>
          </cell>
          <cell r="O3902" t="str">
            <v>Jl. Semeru No. 89 RT.001/RW.004, Ajung</v>
          </cell>
          <cell r="P3902" t="str">
            <v>Jember</v>
          </cell>
          <cell r="Q3902" t="str">
            <v>Jl. Semeru No. 89 RT.001/RW.004, Ajung</v>
          </cell>
          <cell r="R3902" t="str">
            <v>Jember</v>
          </cell>
          <cell r="S3902" t="str">
            <v>L Kota1</v>
          </cell>
          <cell r="T3902" t="str">
            <v>OTHERS</v>
          </cell>
          <cell r="U3902">
            <v>30</v>
          </cell>
        </row>
        <row r="3903">
          <cell r="E3903" t="str">
            <v>T24001210</v>
          </cell>
          <cell r="F3903"/>
          <cell r="G3903">
            <v>1000000000</v>
          </cell>
          <cell r="H3903" t="str">
            <v>Others</v>
          </cell>
          <cell r="I3903" t="str">
            <v>Exclusive</v>
          </cell>
          <cell r="J3903" t="str">
            <v>New 06/04/21</v>
          </cell>
          <cell r="K3903" t="str">
            <v>HDPD</v>
          </cell>
          <cell r="L3903" t="str">
            <v>KARI09</v>
          </cell>
          <cell r="M3903" t="str">
            <v>Karisma Indoagro Universal, PT</v>
          </cell>
          <cell r="N3903" t="str">
            <v>Karisma Indoagro Universal, PT</v>
          </cell>
          <cell r="O3903" t="str">
            <v>Jl. Semeru No. 89 RT.001/RW.004, Ajung</v>
          </cell>
          <cell r="P3903" t="str">
            <v>Jember</v>
          </cell>
          <cell r="Q3903" t="str">
            <v>Jl. Semeru No. 89 RT.001/RW.004, Ajung</v>
          </cell>
          <cell r="R3903" t="str">
            <v>Jember</v>
          </cell>
          <cell r="S3903" t="str">
            <v>L Kota1</v>
          </cell>
          <cell r="T3903" t="str">
            <v>OTHERS</v>
          </cell>
          <cell r="U3903">
            <v>0</v>
          </cell>
        </row>
        <row r="3904">
          <cell r="E3904" t="str">
            <v>T24001211</v>
          </cell>
          <cell r="F3904"/>
          <cell r="G3904">
            <v>1000000000</v>
          </cell>
          <cell r="H3904" t="str">
            <v>Others</v>
          </cell>
          <cell r="I3904" t="str">
            <v>Exclusive</v>
          </cell>
          <cell r="J3904" t="str">
            <v>New 06/04/21</v>
          </cell>
          <cell r="K3904" t="str">
            <v>HDPD</v>
          </cell>
          <cell r="L3904" t="str">
            <v>KARI09</v>
          </cell>
          <cell r="M3904" t="str">
            <v>Karisma Indoagro Universal, PT</v>
          </cell>
          <cell r="N3904" t="str">
            <v>Karisma Indoagro Universal, PT</v>
          </cell>
          <cell r="O3904" t="str">
            <v>Jl. Semeru No. 89 RT.001/RW.004, Ajung</v>
          </cell>
          <cell r="P3904" t="str">
            <v>Jember</v>
          </cell>
          <cell r="Q3904" t="str">
            <v>Jl. Semeru No. 89 RT.001/RW.004, Ajung</v>
          </cell>
          <cell r="R3904" t="str">
            <v>Jember</v>
          </cell>
          <cell r="S3904" t="str">
            <v>L Kota1</v>
          </cell>
          <cell r="T3904" t="str">
            <v>OTHERS</v>
          </cell>
          <cell r="U3904">
            <v>0</v>
          </cell>
        </row>
        <row r="3905">
          <cell r="E3905" t="str">
            <v>T24001215</v>
          </cell>
          <cell r="F3905"/>
          <cell r="G3905">
            <v>1000000000</v>
          </cell>
          <cell r="H3905" t="str">
            <v>Others</v>
          </cell>
          <cell r="I3905" t="str">
            <v>Exclusive</v>
          </cell>
          <cell r="J3905" t="str">
            <v>New 06/04/21</v>
          </cell>
          <cell r="K3905" t="str">
            <v>HDPD</v>
          </cell>
          <cell r="L3905" t="str">
            <v>KARI09</v>
          </cell>
          <cell r="M3905" t="str">
            <v>Karisma Indoagro Universal, PT</v>
          </cell>
          <cell r="N3905" t="str">
            <v>Karisma Indoagro Universal, PT</v>
          </cell>
          <cell r="O3905" t="str">
            <v>Jl. Semeru No. 89 RT.001/RW.004, Ajung</v>
          </cell>
          <cell r="P3905" t="str">
            <v>Jember</v>
          </cell>
          <cell r="Q3905" t="str">
            <v>Jl. Semeru No. 89 RT.001/RW.004, Ajung</v>
          </cell>
          <cell r="R3905" t="str">
            <v>Jember</v>
          </cell>
          <cell r="S3905" t="str">
            <v>L Kota1</v>
          </cell>
          <cell r="T3905" t="str">
            <v>OTHERS</v>
          </cell>
          <cell r="U3905">
            <v>30</v>
          </cell>
        </row>
        <row r="3906">
          <cell r="E3906" t="str">
            <v>T24001220</v>
          </cell>
          <cell r="F3906"/>
          <cell r="G3906">
            <v>1000000000</v>
          </cell>
          <cell r="H3906" t="str">
            <v>Others</v>
          </cell>
          <cell r="I3906" t="str">
            <v>Exclusive</v>
          </cell>
          <cell r="J3906" t="str">
            <v>New 06/04/21</v>
          </cell>
          <cell r="K3906" t="str">
            <v>HDPD</v>
          </cell>
          <cell r="L3906" t="str">
            <v>KARI09</v>
          </cell>
          <cell r="M3906" t="str">
            <v>Karisma Indoagro Universal, PT</v>
          </cell>
          <cell r="N3906" t="str">
            <v>Karisma Indoagro Universal, PT</v>
          </cell>
          <cell r="O3906" t="str">
            <v>Jl. Semeru No. 89 RT.001/RW.004, Ajung</v>
          </cell>
          <cell r="P3906" t="str">
            <v>Jember</v>
          </cell>
          <cell r="Q3906" t="str">
            <v>Jl. Semeru No. 89 RT.001/RW.004, Ajung</v>
          </cell>
          <cell r="R3906" t="str">
            <v>Jember</v>
          </cell>
          <cell r="S3906" t="str">
            <v>L Kota1</v>
          </cell>
          <cell r="T3906" t="str">
            <v>OTHERS</v>
          </cell>
          <cell r="U3906">
            <v>30</v>
          </cell>
        </row>
        <row r="3907">
          <cell r="E3907" t="str">
            <v>T24001241</v>
          </cell>
          <cell r="F3907"/>
          <cell r="G3907">
            <v>1000000000</v>
          </cell>
          <cell r="H3907" t="str">
            <v>Others</v>
          </cell>
          <cell r="I3907" t="str">
            <v>Exclusive</v>
          </cell>
          <cell r="J3907" t="str">
            <v>New 06/04/21</v>
          </cell>
          <cell r="K3907" t="str">
            <v>HDPD</v>
          </cell>
          <cell r="L3907" t="str">
            <v>KARI09</v>
          </cell>
          <cell r="M3907" t="str">
            <v>Karisma Indoagro Universal, PT</v>
          </cell>
          <cell r="N3907" t="str">
            <v>Karisma Indoagro Universal, PT</v>
          </cell>
          <cell r="O3907" t="str">
            <v>Jl. Semeru No. 89 RT.001/RW.004, Ajung</v>
          </cell>
          <cell r="P3907" t="str">
            <v>Jember</v>
          </cell>
          <cell r="Q3907" t="str">
            <v>Jl. Semeru No. 89 RT.001/RW.004, Ajung</v>
          </cell>
          <cell r="R3907" t="str">
            <v>Jember</v>
          </cell>
          <cell r="S3907" t="str">
            <v>L Kota1</v>
          </cell>
          <cell r="T3907" t="str">
            <v>OTHERS</v>
          </cell>
          <cell r="U3907">
            <v>30</v>
          </cell>
        </row>
        <row r="3908">
          <cell r="E3908" t="str">
            <v>T24001249</v>
          </cell>
          <cell r="F3908"/>
          <cell r="G3908">
            <v>1000000000</v>
          </cell>
          <cell r="H3908" t="str">
            <v>Others</v>
          </cell>
          <cell r="I3908" t="str">
            <v>Exclusive</v>
          </cell>
          <cell r="J3908" t="str">
            <v>New 06/04/21</v>
          </cell>
          <cell r="K3908" t="str">
            <v>HDPD</v>
          </cell>
          <cell r="L3908" t="str">
            <v>KARI09</v>
          </cell>
          <cell r="M3908" t="str">
            <v>Karisma Indoagro Universal, PT</v>
          </cell>
          <cell r="N3908" t="str">
            <v>Karisma Indoagro Universal, PT</v>
          </cell>
          <cell r="O3908" t="str">
            <v>Jl. Semeru No. 89 RT.001/RW.004, Ajung</v>
          </cell>
          <cell r="P3908" t="str">
            <v>Jember</v>
          </cell>
          <cell r="Q3908" t="str">
            <v>Jl. Semeru No. 89 RT.001/RW.004, Ajung</v>
          </cell>
          <cell r="R3908" t="str">
            <v>Jember</v>
          </cell>
          <cell r="S3908" t="str">
            <v>L Kota1</v>
          </cell>
          <cell r="T3908" t="str">
            <v>OTHERS</v>
          </cell>
          <cell r="U3908">
            <v>30</v>
          </cell>
        </row>
        <row r="3909">
          <cell r="E3909" t="str">
            <v>T24001250</v>
          </cell>
          <cell r="F3909"/>
          <cell r="G3909">
            <v>1000000000</v>
          </cell>
          <cell r="H3909" t="str">
            <v>Others</v>
          </cell>
          <cell r="I3909" t="str">
            <v>Exclusive</v>
          </cell>
          <cell r="J3909" t="str">
            <v>New 06/04/21</v>
          </cell>
          <cell r="K3909" t="str">
            <v>HDPD</v>
          </cell>
          <cell r="L3909" t="str">
            <v>KARI09</v>
          </cell>
          <cell r="M3909" t="str">
            <v>Karisma Indoagro Universal, PT</v>
          </cell>
          <cell r="N3909" t="str">
            <v>Karisma Indoagro Universal, PT</v>
          </cell>
          <cell r="O3909" t="str">
            <v>Jl. Semeru No. 89 RT.001/RW.004, Ajung</v>
          </cell>
          <cell r="P3909" t="str">
            <v>Jember</v>
          </cell>
          <cell r="Q3909" t="str">
            <v>Jl. Semeru No. 89 RT.001/RW.004, Ajung</v>
          </cell>
          <cell r="R3909" t="str">
            <v>Jember</v>
          </cell>
          <cell r="S3909" t="str">
            <v>L Kota1</v>
          </cell>
          <cell r="T3909" t="str">
            <v>OTHERS</v>
          </cell>
          <cell r="U3909">
            <v>30</v>
          </cell>
        </row>
        <row r="3910">
          <cell r="E3910" t="str">
            <v>T24001265</v>
          </cell>
          <cell r="F3910"/>
          <cell r="G3910">
            <v>1000000000</v>
          </cell>
          <cell r="H3910" t="str">
            <v>Others</v>
          </cell>
          <cell r="I3910" t="str">
            <v>Exclusive</v>
          </cell>
          <cell r="J3910" t="str">
            <v>New 06/04/21</v>
          </cell>
          <cell r="K3910" t="str">
            <v>HDPD</v>
          </cell>
          <cell r="L3910" t="str">
            <v>KARI09</v>
          </cell>
          <cell r="M3910" t="str">
            <v>Karisma Indoagro Universal, PT</v>
          </cell>
          <cell r="N3910" t="str">
            <v>Karisma Indoagro Universal, PT</v>
          </cell>
          <cell r="O3910" t="str">
            <v>Jl. Semeru No. 89 RT.001/RW.004, Ajung</v>
          </cell>
          <cell r="P3910" t="str">
            <v>Jember</v>
          </cell>
          <cell r="Q3910" t="str">
            <v>Jl. Semeru No. 89 RT.001/RW.004, Ajung</v>
          </cell>
          <cell r="R3910" t="str">
            <v>Jember</v>
          </cell>
          <cell r="S3910" t="str">
            <v>L Kota1</v>
          </cell>
          <cell r="T3910" t="str">
            <v>OTHERS</v>
          </cell>
          <cell r="U3910">
            <v>30</v>
          </cell>
        </row>
        <row r="3911">
          <cell r="E3911" t="str">
            <v>T24001359</v>
          </cell>
          <cell r="F3911"/>
          <cell r="G3911">
            <v>1000000000</v>
          </cell>
          <cell r="H3911" t="str">
            <v>Others</v>
          </cell>
          <cell r="I3911" t="str">
            <v>Exclusive</v>
          </cell>
          <cell r="J3911" t="str">
            <v>New 06/04/21</v>
          </cell>
          <cell r="K3911" t="str">
            <v>HDPD</v>
          </cell>
          <cell r="L3911" t="str">
            <v>KARI09</v>
          </cell>
          <cell r="M3911" t="str">
            <v>Karisma Indoagro Universal, PT</v>
          </cell>
          <cell r="N3911" t="str">
            <v>Karisma Indoagro Universal, PT</v>
          </cell>
          <cell r="O3911" t="str">
            <v>Jl. Semeru No. 89 RT.001/RW.004, Ajung</v>
          </cell>
          <cell r="P3911" t="str">
            <v>Jember</v>
          </cell>
          <cell r="Q3911" t="str">
            <v>Jl. Semeru No. 89 RT.001/RW.004, Ajung</v>
          </cell>
          <cell r="R3911" t="str">
            <v>Jember</v>
          </cell>
          <cell r="S3911" t="str">
            <v>L Kota1</v>
          </cell>
          <cell r="T3911" t="str">
            <v>OTHERS</v>
          </cell>
          <cell r="U3911">
            <v>30</v>
          </cell>
        </row>
        <row r="3912">
          <cell r="E3912" t="str">
            <v>T24001360</v>
          </cell>
          <cell r="F3912"/>
          <cell r="G3912">
            <v>1000000000</v>
          </cell>
          <cell r="H3912" t="str">
            <v>Others</v>
          </cell>
          <cell r="I3912" t="str">
            <v>Exclusive</v>
          </cell>
          <cell r="J3912" t="str">
            <v>New 06/04/21</v>
          </cell>
          <cell r="K3912" t="str">
            <v>HDPD</v>
          </cell>
          <cell r="L3912" t="str">
            <v>KARI09</v>
          </cell>
          <cell r="M3912" t="str">
            <v>Karisma Indoagro Universal, PT</v>
          </cell>
          <cell r="N3912" t="str">
            <v>Karisma Indoagro Universal, PT</v>
          </cell>
          <cell r="O3912" t="str">
            <v>Jl. Semeru No. 89 RT.001/RW.004, Ajung</v>
          </cell>
          <cell r="P3912" t="str">
            <v>Jember</v>
          </cell>
          <cell r="Q3912" t="str">
            <v>Jl. Semeru No. 89 RT.001/RW.004, Ajung</v>
          </cell>
          <cell r="R3912" t="str">
            <v>Jember</v>
          </cell>
          <cell r="S3912" t="str">
            <v>L Kota1</v>
          </cell>
          <cell r="T3912" t="str">
            <v>OTHERS</v>
          </cell>
          <cell r="U3912">
            <v>60</v>
          </cell>
        </row>
        <row r="3913">
          <cell r="E3913" t="str">
            <v>T24001361</v>
          </cell>
          <cell r="F3913"/>
          <cell r="G3913">
            <v>1000000000</v>
          </cell>
          <cell r="H3913" t="str">
            <v>Others</v>
          </cell>
          <cell r="I3913" t="str">
            <v>Exclusive</v>
          </cell>
          <cell r="J3913" t="str">
            <v>New 06/04/21</v>
          </cell>
          <cell r="K3913" t="str">
            <v>HDPD</v>
          </cell>
          <cell r="L3913" t="str">
            <v>KARI09</v>
          </cell>
          <cell r="M3913" t="str">
            <v>Karisma Indoagro Universal, PT</v>
          </cell>
          <cell r="N3913" t="str">
            <v>Karisma Indoagro Universal, PT</v>
          </cell>
          <cell r="O3913" t="str">
            <v>Jl. Semeru No. 89 RT.001/RW.004, Ajung</v>
          </cell>
          <cell r="P3913" t="str">
            <v>Jember</v>
          </cell>
          <cell r="Q3913" t="str">
            <v>Jl. Semeru No. 89 RT.001/RW.004, Ajung</v>
          </cell>
          <cell r="R3913" t="str">
            <v>Jember</v>
          </cell>
          <cell r="S3913" t="str">
            <v>L Kota1</v>
          </cell>
          <cell r="T3913" t="str">
            <v>OTHERS</v>
          </cell>
          <cell r="U3913">
            <v>60</v>
          </cell>
        </row>
        <row r="3914">
          <cell r="E3914" t="str">
            <v>T24001369</v>
          </cell>
          <cell r="F3914"/>
          <cell r="G3914">
            <v>1000000000</v>
          </cell>
          <cell r="H3914" t="str">
            <v>Others</v>
          </cell>
          <cell r="I3914" t="str">
            <v>Exclusive</v>
          </cell>
          <cell r="J3914" t="str">
            <v>New 06/04/21</v>
          </cell>
          <cell r="K3914" t="str">
            <v>HDPD</v>
          </cell>
          <cell r="L3914" t="str">
            <v>KARI09</v>
          </cell>
          <cell r="M3914" t="str">
            <v>Karisma Indoagro Universal, PT</v>
          </cell>
          <cell r="N3914" t="str">
            <v>Karisma Indoagro Universal, PT</v>
          </cell>
          <cell r="O3914" t="str">
            <v>Jl. Semeru No. 89 RT.001/RW.004, Ajung</v>
          </cell>
          <cell r="P3914" t="str">
            <v>Jember</v>
          </cell>
          <cell r="Q3914" t="str">
            <v>Jl. Semeru No. 89 RT.001/RW.004, Ajung</v>
          </cell>
          <cell r="R3914" t="str">
            <v>Jember</v>
          </cell>
          <cell r="S3914" t="str">
            <v>L Kota1</v>
          </cell>
          <cell r="T3914" t="str">
            <v>OTHERS</v>
          </cell>
          <cell r="U3914">
            <v>60</v>
          </cell>
        </row>
        <row r="3915">
          <cell r="E3915" t="str">
            <v>T24001372</v>
          </cell>
          <cell r="F3915"/>
          <cell r="G3915">
            <v>1000000000</v>
          </cell>
          <cell r="H3915" t="str">
            <v>Others</v>
          </cell>
          <cell r="I3915" t="str">
            <v>Exclusive</v>
          </cell>
          <cell r="J3915" t="str">
            <v>New 06/04/21</v>
          </cell>
          <cell r="K3915" t="str">
            <v>HDPD</v>
          </cell>
          <cell r="L3915" t="str">
            <v>KARI09</v>
          </cell>
          <cell r="M3915" t="str">
            <v>Karisma Indoagro Universal, PT</v>
          </cell>
          <cell r="N3915" t="str">
            <v>Karisma Indoagro Universal, PT</v>
          </cell>
          <cell r="O3915" t="str">
            <v>Jl. Semeru No. 89 RT.001/RW.004, Ajung</v>
          </cell>
          <cell r="P3915" t="str">
            <v>Jember</v>
          </cell>
          <cell r="Q3915" t="str">
            <v>Jl. Semeru No. 89 RT.001/RW.004, Ajung</v>
          </cell>
          <cell r="R3915" t="str">
            <v>Jember</v>
          </cell>
          <cell r="S3915" t="str">
            <v>L Kota1</v>
          </cell>
          <cell r="T3915" t="str">
            <v>OTHERS</v>
          </cell>
          <cell r="U3915">
            <v>0</v>
          </cell>
        </row>
        <row r="3916">
          <cell r="E3916" t="str">
            <v>T24001380</v>
          </cell>
          <cell r="F3916"/>
          <cell r="G3916">
            <v>1000000000</v>
          </cell>
          <cell r="H3916" t="str">
            <v>Others</v>
          </cell>
          <cell r="I3916" t="str">
            <v>Exclusive</v>
          </cell>
          <cell r="J3916" t="str">
            <v>New 06/04/21</v>
          </cell>
          <cell r="K3916" t="str">
            <v>HDPD</v>
          </cell>
          <cell r="L3916" t="str">
            <v>KARI09</v>
          </cell>
          <cell r="M3916" t="str">
            <v>Karisma Indoagro Universal, PT</v>
          </cell>
          <cell r="N3916" t="str">
            <v>Karisma Indoagro Universal, PT</v>
          </cell>
          <cell r="O3916" t="str">
            <v>Jl. Semeru No. 89 RT.001/RW.004, Ajung</v>
          </cell>
          <cell r="P3916" t="str">
            <v>Jember</v>
          </cell>
          <cell r="Q3916" t="str">
            <v>Jl. Semeru No. 89 RT.001/RW.004, Ajung</v>
          </cell>
          <cell r="R3916" t="str">
            <v>Jember</v>
          </cell>
          <cell r="S3916" t="str">
            <v>L Kota1</v>
          </cell>
          <cell r="T3916" t="str">
            <v>OTHERS</v>
          </cell>
          <cell r="U3916">
            <v>30</v>
          </cell>
        </row>
        <row r="3917">
          <cell r="E3917" t="str">
            <v>T24001423</v>
          </cell>
          <cell r="F3917"/>
          <cell r="G3917">
            <v>1000000000</v>
          </cell>
          <cell r="H3917" t="str">
            <v>Others</v>
          </cell>
          <cell r="I3917" t="str">
            <v>Exclusive</v>
          </cell>
          <cell r="J3917" t="str">
            <v>New 06/04/21</v>
          </cell>
          <cell r="K3917" t="str">
            <v>HDPD</v>
          </cell>
          <cell r="L3917" t="str">
            <v>KARI09</v>
          </cell>
          <cell r="M3917" t="str">
            <v>Karisma Indoagro Universal, PT</v>
          </cell>
          <cell r="N3917" t="str">
            <v>Karisma Indoagro Universal, PT</v>
          </cell>
          <cell r="O3917" t="str">
            <v>Jl. Semeru No. 89 RT.001/RW.004, Ajung</v>
          </cell>
          <cell r="P3917" t="str">
            <v>Jember</v>
          </cell>
          <cell r="Q3917" t="str">
            <v>Jl. Semeru No. 89 RT.001/RW.004, Ajung</v>
          </cell>
          <cell r="R3917" t="str">
            <v>Jember</v>
          </cell>
          <cell r="S3917" t="str">
            <v>L Kota1</v>
          </cell>
          <cell r="T3917" t="str">
            <v>OTHERS</v>
          </cell>
          <cell r="U3917">
            <v>0</v>
          </cell>
        </row>
        <row r="3918">
          <cell r="E3918" t="str">
            <v>T24001424</v>
          </cell>
          <cell r="F3918"/>
          <cell r="G3918">
            <v>1000000000</v>
          </cell>
          <cell r="H3918" t="str">
            <v>Others</v>
          </cell>
          <cell r="I3918" t="str">
            <v>Exclusive</v>
          </cell>
          <cell r="J3918" t="str">
            <v>New 06/04/21</v>
          </cell>
          <cell r="K3918" t="str">
            <v>HDPD</v>
          </cell>
          <cell r="L3918" t="str">
            <v>KARI09</v>
          </cell>
          <cell r="M3918" t="str">
            <v>Karisma Indoagro Universal, PT</v>
          </cell>
          <cell r="N3918" t="str">
            <v>Karisma Indoagro Universal, PT</v>
          </cell>
          <cell r="O3918" t="str">
            <v>Jl. Semeru No. 89 RT.001/RW.004, Ajung</v>
          </cell>
          <cell r="P3918" t="str">
            <v>Jember</v>
          </cell>
          <cell r="Q3918" t="str">
            <v>Jl. Semeru No. 89 RT.001/RW.004, Ajung</v>
          </cell>
          <cell r="R3918" t="str">
            <v>Jember</v>
          </cell>
          <cell r="S3918" t="str">
            <v>L Kota1</v>
          </cell>
          <cell r="T3918" t="str">
            <v>OTHERS</v>
          </cell>
          <cell r="U3918">
            <v>60</v>
          </cell>
        </row>
        <row r="3919">
          <cell r="E3919" t="str">
            <v>T24001446</v>
          </cell>
          <cell r="F3919"/>
          <cell r="G3919">
            <v>1000000000</v>
          </cell>
          <cell r="H3919" t="str">
            <v>Others</v>
          </cell>
          <cell r="I3919" t="str">
            <v>Exclusive</v>
          </cell>
          <cell r="J3919" t="str">
            <v>New 06/04/21</v>
          </cell>
          <cell r="K3919" t="str">
            <v>HDPD</v>
          </cell>
          <cell r="L3919" t="str">
            <v>KARI09</v>
          </cell>
          <cell r="M3919" t="str">
            <v>Karisma Indoagro Universal, PT</v>
          </cell>
          <cell r="N3919" t="str">
            <v>Karisma Indoagro Universal, PT</v>
          </cell>
          <cell r="O3919" t="str">
            <v>Jl. Semeru No. 89 RT.001/RW.004, Ajung</v>
          </cell>
          <cell r="P3919" t="str">
            <v>Jember</v>
          </cell>
          <cell r="Q3919" t="str">
            <v>Jl. Semeru No. 89 RT.001/RW.004, Ajung</v>
          </cell>
          <cell r="R3919" t="str">
            <v>Jember</v>
          </cell>
          <cell r="S3919" t="str">
            <v>L Kota1</v>
          </cell>
          <cell r="T3919" t="str">
            <v>OTHERS</v>
          </cell>
          <cell r="U3919">
            <v>60</v>
          </cell>
        </row>
        <row r="3920">
          <cell r="E3920" t="str">
            <v>T24001447</v>
          </cell>
          <cell r="F3920"/>
          <cell r="G3920">
            <v>1000000000</v>
          </cell>
          <cell r="H3920" t="str">
            <v>Others</v>
          </cell>
          <cell r="I3920" t="str">
            <v>Exclusive</v>
          </cell>
          <cell r="J3920" t="str">
            <v>New 06/04/21</v>
          </cell>
          <cell r="K3920" t="str">
            <v>HDPD</v>
          </cell>
          <cell r="L3920" t="str">
            <v>KARI09</v>
          </cell>
          <cell r="M3920" t="str">
            <v>Karisma Indoagro Universal, PT</v>
          </cell>
          <cell r="N3920" t="str">
            <v>Karisma Indoagro Universal, PT</v>
          </cell>
          <cell r="O3920" t="str">
            <v>Jl. Semeru No. 89 RT.001/RW.004, Ajung</v>
          </cell>
          <cell r="P3920" t="str">
            <v>Jember</v>
          </cell>
          <cell r="Q3920" t="str">
            <v>Jl. Semeru No. 89 RT.001/RW.004, Ajung</v>
          </cell>
          <cell r="R3920" t="str">
            <v>Jember</v>
          </cell>
          <cell r="S3920" t="str">
            <v>L Kota1</v>
          </cell>
          <cell r="T3920" t="str">
            <v>OTHERS</v>
          </cell>
          <cell r="U3920">
            <v>60</v>
          </cell>
        </row>
        <row r="3921">
          <cell r="E3921" t="str">
            <v>T24001638</v>
          </cell>
          <cell r="F3921"/>
          <cell r="G3921">
            <v>1000000000</v>
          </cell>
          <cell r="H3921" t="str">
            <v>Others</v>
          </cell>
          <cell r="I3921" t="str">
            <v>Exclusive</v>
          </cell>
          <cell r="J3921" t="str">
            <v>New 06/04/21</v>
          </cell>
          <cell r="K3921" t="str">
            <v>HDPD</v>
          </cell>
          <cell r="L3921" t="str">
            <v>KARI09</v>
          </cell>
          <cell r="M3921" t="str">
            <v>Karisma Indoagro Universal, PT</v>
          </cell>
          <cell r="N3921" t="str">
            <v>Karisma Indoagro Universal, PT</v>
          </cell>
          <cell r="O3921" t="str">
            <v>Jl. Semeru No. 89 RT.001/RW.004, Ajung</v>
          </cell>
          <cell r="P3921" t="str">
            <v>Jember</v>
          </cell>
          <cell r="Q3921" t="str">
            <v>Jl. Semeru No. 89 RT.001/RW.004, Ajung</v>
          </cell>
          <cell r="R3921" t="str">
            <v>Jember</v>
          </cell>
          <cell r="S3921" t="str">
            <v>L Kota1</v>
          </cell>
          <cell r="T3921" t="str">
            <v>OTHERS</v>
          </cell>
          <cell r="U3921">
            <v>30</v>
          </cell>
        </row>
        <row r="3922">
          <cell r="E3922" t="str">
            <v>T24001639</v>
          </cell>
          <cell r="F3922"/>
          <cell r="G3922">
            <v>1000000000</v>
          </cell>
          <cell r="H3922" t="str">
            <v>Others</v>
          </cell>
          <cell r="I3922" t="str">
            <v>Exclusive</v>
          </cell>
          <cell r="J3922" t="str">
            <v>New 06/04/21</v>
          </cell>
          <cell r="K3922" t="str">
            <v>HDPD</v>
          </cell>
          <cell r="L3922" t="str">
            <v>KARI09</v>
          </cell>
          <cell r="M3922" t="str">
            <v>Karisma Indoagro Universal, PT</v>
          </cell>
          <cell r="N3922" t="str">
            <v>Karisma Indoagro Universal, PT</v>
          </cell>
          <cell r="O3922" t="str">
            <v>Jl. Semeru No. 89 RT.001/RW.004, Ajung</v>
          </cell>
          <cell r="P3922" t="str">
            <v>Jember</v>
          </cell>
          <cell r="Q3922" t="str">
            <v>Jl. Semeru No. 89 RT.001/RW.004, Ajung</v>
          </cell>
          <cell r="R3922" t="str">
            <v>Jember</v>
          </cell>
          <cell r="S3922" t="str">
            <v>L Kota1</v>
          </cell>
          <cell r="T3922" t="str">
            <v>OTHERS</v>
          </cell>
          <cell r="U3922">
            <v>30</v>
          </cell>
        </row>
        <row r="3923">
          <cell r="E3923" t="str">
            <v>T24001651</v>
          </cell>
          <cell r="F3923"/>
          <cell r="G3923">
            <v>1000000000</v>
          </cell>
          <cell r="H3923" t="str">
            <v>Others</v>
          </cell>
          <cell r="I3923" t="str">
            <v>Exclusive</v>
          </cell>
          <cell r="J3923" t="str">
            <v>New 06/04/21</v>
          </cell>
          <cell r="K3923" t="str">
            <v>HDPD</v>
          </cell>
          <cell r="L3923" t="str">
            <v>KARI09</v>
          </cell>
          <cell r="M3923" t="str">
            <v>Karisma Indoagro Universal, PT</v>
          </cell>
          <cell r="N3923" t="str">
            <v>Karisma Indoagro Universal, PT</v>
          </cell>
          <cell r="O3923" t="str">
            <v>Jl. Semeru No. 89 RT.001/RW.004, Ajung</v>
          </cell>
          <cell r="P3923" t="str">
            <v>Jember</v>
          </cell>
          <cell r="Q3923" t="str">
            <v>Jl. Semeru No. 89 RT.001/RW.004, Ajung</v>
          </cell>
          <cell r="R3923" t="str">
            <v>Jember</v>
          </cell>
          <cell r="S3923" t="str">
            <v>L Kota1</v>
          </cell>
          <cell r="T3923" t="str">
            <v>OTHERS</v>
          </cell>
          <cell r="U3923">
            <v>60</v>
          </cell>
        </row>
        <row r="3924">
          <cell r="E3924" t="str">
            <v>T24001652</v>
          </cell>
          <cell r="F3924"/>
          <cell r="G3924">
            <v>1000000000</v>
          </cell>
          <cell r="H3924" t="str">
            <v>Others</v>
          </cell>
          <cell r="I3924" t="str">
            <v>Exclusive</v>
          </cell>
          <cell r="J3924" t="str">
            <v>New 06/04/21</v>
          </cell>
          <cell r="K3924" t="str">
            <v>HDPD</v>
          </cell>
          <cell r="L3924" t="str">
            <v>KARI09</v>
          </cell>
          <cell r="M3924" t="str">
            <v>Karisma Indoagro Universal, PT</v>
          </cell>
          <cell r="N3924" t="str">
            <v>Karisma Indoagro Universal, PT</v>
          </cell>
          <cell r="O3924" t="str">
            <v>Jl. Semeru No. 89 RT.001/RW.004, Ajung</v>
          </cell>
          <cell r="P3924" t="str">
            <v>Jember</v>
          </cell>
          <cell r="Q3924" t="str">
            <v>Jl. Semeru No. 89 RT.001/RW.004, Ajung</v>
          </cell>
          <cell r="R3924" t="str">
            <v>Jember</v>
          </cell>
          <cell r="S3924" t="str">
            <v>L Kota1</v>
          </cell>
          <cell r="T3924" t="str">
            <v>OTHERS</v>
          </cell>
          <cell r="U3924">
            <v>60</v>
          </cell>
        </row>
        <row r="3925">
          <cell r="E3925" t="str">
            <v>T24001653</v>
          </cell>
          <cell r="F3925"/>
          <cell r="G3925">
            <v>1000000000</v>
          </cell>
          <cell r="H3925" t="str">
            <v>Others</v>
          </cell>
          <cell r="I3925" t="str">
            <v>Exclusive</v>
          </cell>
          <cell r="J3925" t="str">
            <v>New 06/04/21</v>
          </cell>
          <cell r="K3925" t="str">
            <v>HDPD</v>
          </cell>
          <cell r="L3925" t="str">
            <v>KARI09</v>
          </cell>
          <cell r="M3925" t="str">
            <v>Karisma Indoagro Universal, PT</v>
          </cell>
          <cell r="N3925" t="str">
            <v>Karisma Indoagro Universal, PT</v>
          </cell>
          <cell r="O3925" t="str">
            <v>Jl. Semeru No. 89 RT.001/RW.004, Ajung</v>
          </cell>
          <cell r="P3925" t="str">
            <v>Jember</v>
          </cell>
          <cell r="Q3925" t="str">
            <v>Jl. Semeru No. 89 RT.001/RW.004, Ajung</v>
          </cell>
          <cell r="R3925" t="str">
            <v>Jember</v>
          </cell>
          <cell r="S3925" t="str">
            <v>L Kota1</v>
          </cell>
          <cell r="T3925" t="str">
            <v>OTHERS</v>
          </cell>
          <cell r="U3925">
            <v>60</v>
          </cell>
        </row>
        <row r="3926">
          <cell r="E3926" t="str">
            <v>T24001654</v>
          </cell>
          <cell r="F3926"/>
          <cell r="G3926">
            <v>1000000000</v>
          </cell>
          <cell r="H3926" t="str">
            <v>Others</v>
          </cell>
          <cell r="I3926" t="str">
            <v>Exclusive</v>
          </cell>
          <cell r="J3926" t="str">
            <v>New 06/04/21</v>
          </cell>
          <cell r="K3926" t="str">
            <v>HDPD</v>
          </cell>
          <cell r="L3926" t="str">
            <v>KARI09</v>
          </cell>
          <cell r="M3926" t="str">
            <v>Karisma Indoagro Universal, PT</v>
          </cell>
          <cell r="N3926" t="str">
            <v>Karisma Indoagro Universal, PT</v>
          </cell>
          <cell r="O3926" t="str">
            <v>Jl. Semeru No. 89 RT.001/RW.004, Ajung</v>
          </cell>
          <cell r="P3926" t="str">
            <v>Jember</v>
          </cell>
          <cell r="Q3926" t="str">
            <v>Jl. Semeru No. 89 RT.001/RW.004, Ajung</v>
          </cell>
          <cell r="R3926" t="str">
            <v>Jember</v>
          </cell>
          <cell r="S3926" t="str">
            <v>L Kota1</v>
          </cell>
          <cell r="T3926" t="str">
            <v>OTHERS</v>
          </cell>
          <cell r="U3926">
            <v>60</v>
          </cell>
        </row>
        <row r="3927">
          <cell r="E3927" t="str">
            <v>T24001655</v>
          </cell>
          <cell r="F3927"/>
          <cell r="G3927">
            <v>1000000000</v>
          </cell>
          <cell r="H3927" t="str">
            <v>Others</v>
          </cell>
          <cell r="I3927" t="str">
            <v>Exclusive</v>
          </cell>
          <cell r="J3927" t="str">
            <v>New 06/04/21</v>
          </cell>
          <cell r="K3927" t="str">
            <v>HDPD</v>
          </cell>
          <cell r="L3927" t="str">
            <v>KARI09</v>
          </cell>
          <cell r="M3927" t="str">
            <v>Karisma Indoagro Universal, PT</v>
          </cell>
          <cell r="N3927" t="str">
            <v>Karisma Indoagro Universal, PT</v>
          </cell>
          <cell r="O3927" t="str">
            <v>Jl. Semeru No. 89 RT.001/RW.004, Ajung</v>
          </cell>
          <cell r="P3927" t="str">
            <v>Jember</v>
          </cell>
          <cell r="Q3927" t="str">
            <v>Jl. Semeru No. 89 RT.001/RW.004, Ajung</v>
          </cell>
          <cell r="R3927" t="str">
            <v>Jember</v>
          </cell>
          <cell r="S3927" t="str">
            <v>L Kota1</v>
          </cell>
          <cell r="T3927" t="str">
            <v>OTHERS</v>
          </cell>
          <cell r="U3927">
            <v>60</v>
          </cell>
        </row>
        <row r="3928">
          <cell r="E3928" t="str">
            <v>T24001697</v>
          </cell>
          <cell r="F3928"/>
          <cell r="G3928">
            <v>1000000000</v>
          </cell>
          <cell r="H3928" t="str">
            <v>Others</v>
          </cell>
          <cell r="I3928" t="str">
            <v>Exclusive</v>
          </cell>
          <cell r="J3928" t="str">
            <v>New 06/04/21</v>
          </cell>
          <cell r="K3928" t="str">
            <v>HDPD</v>
          </cell>
          <cell r="L3928" t="str">
            <v>KARI09</v>
          </cell>
          <cell r="M3928" t="str">
            <v>Karisma Indoagro Universal, PT</v>
          </cell>
          <cell r="N3928" t="str">
            <v>Karisma Indoagro Universal, PT</v>
          </cell>
          <cell r="O3928" t="str">
            <v>Jl. Semeru No. 89 RT.001/RW.004, Ajung</v>
          </cell>
          <cell r="P3928" t="str">
            <v>Jember</v>
          </cell>
          <cell r="Q3928" t="str">
            <v>Jl. Semeru No. 89 RT.001/RW.004, Ajung</v>
          </cell>
          <cell r="R3928" t="str">
            <v>Jember</v>
          </cell>
          <cell r="S3928" t="str">
            <v>L Kota1</v>
          </cell>
          <cell r="T3928" t="str">
            <v>OTHERS</v>
          </cell>
          <cell r="U3928">
            <v>60</v>
          </cell>
        </row>
        <row r="3929">
          <cell r="E3929" t="str">
            <v>T24001717</v>
          </cell>
          <cell r="F3929"/>
          <cell r="G3929">
            <v>1000000000</v>
          </cell>
          <cell r="H3929" t="str">
            <v>Others</v>
          </cell>
          <cell r="I3929" t="str">
            <v>Exclusive</v>
          </cell>
          <cell r="J3929" t="str">
            <v>New 06/04/21</v>
          </cell>
          <cell r="K3929" t="str">
            <v>HDPD</v>
          </cell>
          <cell r="L3929" t="str">
            <v>KARI09</v>
          </cell>
          <cell r="M3929" t="str">
            <v>Karisma Indoagro Universal, PT</v>
          </cell>
          <cell r="N3929" t="str">
            <v>Karisma Indoagro Universal, PT</v>
          </cell>
          <cell r="O3929" t="str">
            <v>Jl. Semeru No. 89 RT.001/RW.004, Ajung</v>
          </cell>
          <cell r="P3929" t="str">
            <v>Jember</v>
          </cell>
          <cell r="Q3929" t="str">
            <v>Jl. Semeru No. 89 RT.001/RW.004, Ajung</v>
          </cell>
          <cell r="R3929" t="str">
            <v>Jember</v>
          </cell>
          <cell r="S3929" t="str">
            <v>L Kota1</v>
          </cell>
          <cell r="T3929" t="str">
            <v>OTHERS</v>
          </cell>
          <cell r="U3929">
            <v>60</v>
          </cell>
        </row>
        <row r="3930">
          <cell r="E3930" t="str">
            <v>T24001721</v>
          </cell>
          <cell r="F3930"/>
          <cell r="G3930">
            <v>1000000000</v>
          </cell>
          <cell r="H3930" t="str">
            <v>Others</v>
          </cell>
          <cell r="I3930" t="str">
            <v>Exclusive</v>
          </cell>
          <cell r="J3930" t="str">
            <v>New 06/04/21</v>
          </cell>
          <cell r="K3930" t="str">
            <v>HDPD</v>
          </cell>
          <cell r="L3930" t="str">
            <v>KARI09</v>
          </cell>
          <cell r="M3930" t="str">
            <v>Karisma Indoagro Universal, PT</v>
          </cell>
          <cell r="N3930" t="str">
            <v>Karisma Indoagro Universal, PT</v>
          </cell>
          <cell r="O3930" t="str">
            <v>Jl. Semeru No. 89 RT.001/RW.004, Ajung</v>
          </cell>
          <cell r="P3930" t="str">
            <v>Jember</v>
          </cell>
          <cell r="Q3930" t="str">
            <v>Jl. Semeru No. 89 RT.001/RW.004, Ajung</v>
          </cell>
          <cell r="R3930" t="str">
            <v>Jember</v>
          </cell>
          <cell r="S3930" t="str">
            <v>L Kota1</v>
          </cell>
          <cell r="T3930" t="str">
            <v>OTHERS</v>
          </cell>
          <cell r="U3930">
            <v>60</v>
          </cell>
        </row>
        <row r="3931">
          <cell r="E3931" t="str">
            <v>T24001842</v>
          </cell>
          <cell r="F3931"/>
          <cell r="G3931">
            <v>1000000000</v>
          </cell>
          <cell r="H3931" t="str">
            <v>Others</v>
          </cell>
          <cell r="I3931" t="str">
            <v>Exclusive</v>
          </cell>
          <cell r="J3931" t="str">
            <v>New 06/04/21</v>
          </cell>
          <cell r="K3931" t="str">
            <v>HDPD</v>
          </cell>
          <cell r="L3931" t="str">
            <v>KARI09</v>
          </cell>
          <cell r="M3931" t="str">
            <v>Karisma Indoagro Universal, PT</v>
          </cell>
          <cell r="N3931" t="str">
            <v>Karisma Indoagro Universal, PT</v>
          </cell>
          <cell r="O3931" t="str">
            <v>Jl. Semeru No. 89 RT.001/RW.004, Ajung</v>
          </cell>
          <cell r="P3931" t="str">
            <v>Jember</v>
          </cell>
          <cell r="Q3931" t="str">
            <v>Jl. Semeru No. 89 RT.001/RW.004, Ajung</v>
          </cell>
          <cell r="R3931" t="str">
            <v>Jember</v>
          </cell>
          <cell r="S3931" t="str">
            <v>L Kota1</v>
          </cell>
          <cell r="T3931" t="str">
            <v>OTHERS</v>
          </cell>
          <cell r="U3931">
            <v>0</v>
          </cell>
        </row>
        <row r="3932">
          <cell r="E3932" t="str">
            <v>T25000023</v>
          </cell>
          <cell r="F3932"/>
          <cell r="G3932">
            <v>1000000000</v>
          </cell>
          <cell r="H3932" t="str">
            <v>Others</v>
          </cell>
          <cell r="I3932" t="str">
            <v>Exclusive</v>
          </cell>
          <cell r="J3932" t="str">
            <v>New 06/04/21</v>
          </cell>
          <cell r="K3932" t="str">
            <v>HDPD</v>
          </cell>
          <cell r="L3932" t="str">
            <v>KARI09</v>
          </cell>
          <cell r="M3932" t="str">
            <v>Karisma Indoagro Universal, PT</v>
          </cell>
          <cell r="N3932" t="str">
            <v>Karisma Indoagro Universal, PT</v>
          </cell>
          <cell r="O3932" t="str">
            <v>Jl. Semeru No. 89 RT.001/RW.004, Ajung</v>
          </cell>
          <cell r="P3932" t="str">
            <v>Jember</v>
          </cell>
          <cell r="Q3932" t="str">
            <v>Jl. Semeru No. 89 RT.001/RW.004, Ajung</v>
          </cell>
          <cell r="R3932" t="str">
            <v>Jember</v>
          </cell>
          <cell r="S3932" t="str">
            <v>L Kota1</v>
          </cell>
          <cell r="T3932" t="str">
            <v>OTHERS</v>
          </cell>
          <cell r="U3932">
            <v>30</v>
          </cell>
        </row>
        <row r="3933">
          <cell r="E3933" t="str">
            <v>T25000025</v>
          </cell>
          <cell r="F3933"/>
          <cell r="G3933">
            <v>1000000000</v>
          </cell>
          <cell r="H3933" t="str">
            <v>Others</v>
          </cell>
          <cell r="I3933" t="str">
            <v>Exclusive</v>
          </cell>
          <cell r="J3933" t="str">
            <v>New 06/04/21</v>
          </cell>
          <cell r="K3933" t="str">
            <v>HDPD</v>
          </cell>
          <cell r="L3933" t="str">
            <v>KARI09</v>
          </cell>
          <cell r="M3933" t="str">
            <v>Karisma Indoagro Universal, PT</v>
          </cell>
          <cell r="N3933" t="str">
            <v>Karisma Indoagro Universal, PT</v>
          </cell>
          <cell r="O3933" t="str">
            <v>Jl. Semeru No. 89 RT.001/RW.004, Ajung</v>
          </cell>
          <cell r="P3933" t="str">
            <v>Jember</v>
          </cell>
          <cell r="Q3933" t="str">
            <v>Jl. Semeru No. 89 RT.001/RW.004, Ajung</v>
          </cell>
          <cell r="R3933" t="str">
            <v>Jember</v>
          </cell>
          <cell r="S3933" t="str">
            <v>L Kota1</v>
          </cell>
          <cell r="T3933" t="str">
            <v>OTHERS</v>
          </cell>
          <cell r="U3933">
            <v>60</v>
          </cell>
        </row>
        <row r="3934">
          <cell r="E3934" t="str">
            <v>T25000026</v>
          </cell>
          <cell r="F3934"/>
          <cell r="G3934">
            <v>1000000000</v>
          </cell>
          <cell r="H3934" t="str">
            <v>Others</v>
          </cell>
          <cell r="I3934" t="str">
            <v>Exclusive</v>
          </cell>
          <cell r="J3934" t="str">
            <v>New 06/04/21</v>
          </cell>
          <cell r="K3934" t="str">
            <v>HDPD</v>
          </cell>
          <cell r="L3934" t="str">
            <v>KARI09</v>
          </cell>
          <cell r="M3934" t="str">
            <v>Karisma Indoagro Universal, PT</v>
          </cell>
          <cell r="N3934" t="str">
            <v>Karisma Indoagro Universal, PT</v>
          </cell>
          <cell r="O3934" t="str">
            <v>Jl. Semeru No. 89 RT.001/RW.004, Ajung</v>
          </cell>
          <cell r="P3934" t="str">
            <v>Jember</v>
          </cell>
          <cell r="Q3934" t="str">
            <v>Jl. Semeru No. 89 RT.001/RW.004, Ajung</v>
          </cell>
          <cell r="R3934" t="str">
            <v>Jember</v>
          </cell>
          <cell r="S3934" t="str">
            <v>L Kota1</v>
          </cell>
          <cell r="T3934" t="str">
            <v>OTHERS</v>
          </cell>
          <cell r="U3934">
            <v>60</v>
          </cell>
        </row>
        <row r="3935">
          <cell r="E3935" t="str">
            <v>T25000027</v>
          </cell>
          <cell r="F3935"/>
          <cell r="G3935">
            <v>1000000000</v>
          </cell>
          <cell r="H3935" t="str">
            <v>Others</v>
          </cell>
          <cell r="I3935" t="str">
            <v>Exclusive</v>
          </cell>
          <cell r="J3935" t="str">
            <v>New 06/04/21</v>
          </cell>
          <cell r="K3935" t="str">
            <v>HDPD</v>
          </cell>
          <cell r="L3935" t="str">
            <v>KARI09</v>
          </cell>
          <cell r="M3935" t="str">
            <v>Karisma Indoagro Universal, PT</v>
          </cell>
          <cell r="N3935" t="str">
            <v>Karisma Indoagro Universal, PT</v>
          </cell>
          <cell r="O3935" t="str">
            <v>Jl. Semeru No. 89 RT.001/RW.004, Ajung</v>
          </cell>
          <cell r="P3935" t="str">
            <v>Jember</v>
          </cell>
          <cell r="Q3935" t="str">
            <v>Jl. Semeru No. 89 RT.001/RW.004, Ajung</v>
          </cell>
          <cell r="R3935" t="str">
            <v>Jember</v>
          </cell>
          <cell r="S3935" t="str">
            <v>L Kota1</v>
          </cell>
          <cell r="T3935" t="str">
            <v>OTHERS</v>
          </cell>
          <cell r="U3935">
            <v>60</v>
          </cell>
        </row>
        <row r="3936">
          <cell r="E3936" t="str">
            <v>T25000028</v>
          </cell>
          <cell r="F3936"/>
          <cell r="G3936">
            <v>1000000000</v>
          </cell>
          <cell r="H3936" t="str">
            <v>Others</v>
          </cell>
          <cell r="I3936" t="str">
            <v>Exclusive</v>
          </cell>
          <cell r="J3936" t="str">
            <v>New 06/04/21</v>
          </cell>
          <cell r="K3936" t="str">
            <v>HDPD</v>
          </cell>
          <cell r="L3936" t="str">
            <v>KARI09</v>
          </cell>
          <cell r="M3936" t="str">
            <v>Karisma Indoagro Universal, PT</v>
          </cell>
          <cell r="N3936" t="str">
            <v>Karisma Indoagro Universal, PT</v>
          </cell>
          <cell r="O3936" t="str">
            <v>Jl. Semeru No. 89 RT.001/RW.004, Ajung</v>
          </cell>
          <cell r="P3936" t="str">
            <v>Jember</v>
          </cell>
          <cell r="Q3936" t="str">
            <v>Jl. Semeru No. 89 RT.001/RW.004, Ajung</v>
          </cell>
          <cell r="R3936" t="str">
            <v>Jember</v>
          </cell>
          <cell r="S3936" t="str">
            <v>L Kota1</v>
          </cell>
          <cell r="T3936" t="str">
            <v>OTHERS</v>
          </cell>
          <cell r="U3936">
            <v>60</v>
          </cell>
        </row>
        <row r="3937">
          <cell r="E3937" t="str">
            <v>T25000029</v>
          </cell>
          <cell r="F3937"/>
          <cell r="G3937">
            <v>1000000000</v>
          </cell>
          <cell r="H3937" t="str">
            <v>Others</v>
          </cell>
          <cell r="I3937" t="str">
            <v>Exclusive</v>
          </cell>
          <cell r="J3937" t="str">
            <v>New 06/04/21</v>
          </cell>
          <cell r="K3937" t="str">
            <v>HDPD</v>
          </cell>
          <cell r="L3937" t="str">
            <v>KARI09</v>
          </cell>
          <cell r="M3937" t="str">
            <v>Karisma Indoagro Universal, PT</v>
          </cell>
          <cell r="N3937" t="str">
            <v>Karisma Indoagro Universal, PT</v>
          </cell>
          <cell r="O3937" t="str">
            <v>Jl. Semeru No. 89 RT.001/RW.004, Ajung</v>
          </cell>
          <cell r="P3937" t="str">
            <v>Jember</v>
          </cell>
          <cell r="Q3937" t="str">
            <v>Jl. Semeru No. 89 RT.001/RW.004, Ajung</v>
          </cell>
          <cell r="R3937" t="str">
            <v>Jember</v>
          </cell>
          <cell r="S3937" t="str">
            <v>L Kota1</v>
          </cell>
          <cell r="T3937" t="str">
            <v>OTHERS</v>
          </cell>
          <cell r="U3937">
            <v>60</v>
          </cell>
        </row>
        <row r="3938">
          <cell r="E3938" t="str">
            <v>T25000035</v>
          </cell>
          <cell r="F3938"/>
          <cell r="G3938">
            <v>1000000000</v>
          </cell>
          <cell r="H3938" t="str">
            <v>Others</v>
          </cell>
          <cell r="I3938" t="str">
            <v>Exclusive</v>
          </cell>
          <cell r="J3938" t="str">
            <v>New 06/04/21</v>
          </cell>
          <cell r="K3938" t="str">
            <v>HDPD</v>
          </cell>
          <cell r="L3938" t="str">
            <v>KARI09</v>
          </cell>
          <cell r="M3938" t="str">
            <v>Karisma Indoagro Universal, PT</v>
          </cell>
          <cell r="N3938" t="str">
            <v>Karisma Indoagro Universal, PT</v>
          </cell>
          <cell r="O3938" t="str">
            <v>Jl. Semeru No. 89 RT.001/RW.004, Ajung</v>
          </cell>
          <cell r="P3938" t="str">
            <v>Jember</v>
          </cell>
          <cell r="Q3938" t="str">
            <v>Jl. Semeru No. 89 RT.001/RW.004, Ajung</v>
          </cell>
          <cell r="R3938" t="str">
            <v>Jember</v>
          </cell>
          <cell r="S3938" t="str">
            <v>L Kota1</v>
          </cell>
          <cell r="T3938" t="str">
            <v>OTHERS</v>
          </cell>
          <cell r="U3938">
            <v>60</v>
          </cell>
        </row>
        <row r="3939">
          <cell r="E3939" t="str">
            <v>T25000036</v>
          </cell>
          <cell r="F3939"/>
          <cell r="G3939">
            <v>1000000000</v>
          </cell>
          <cell r="H3939" t="str">
            <v>Others</v>
          </cell>
          <cell r="I3939" t="str">
            <v>Exclusive</v>
          </cell>
          <cell r="J3939" t="str">
            <v>New 06/04/21</v>
          </cell>
          <cell r="K3939" t="str">
            <v>HDPD</v>
          </cell>
          <cell r="L3939" t="str">
            <v>KARI09</v>
          </cell>
          <cell r="M3939" t="str">
            <v>Karisma Indoagro Universal, PT</v>
          </cell>
          <cell r="N3939" t="str">
            <v>Karisma Indoagro Universal, PT</v>
          </cell>
          <cell r="O3939" t="str">
            <v>Jl. Semeru No. 89 RT.001/RW.004, Ajung</v>
          </cell>
          <cell r="P3939" t="str">
            <v>Jember</v>
          </cell>
          <cell r="Q3939" t="str">
            <v>Jl. Semeru No. 89 RT.001/RW.004, Ajung</v>
          </cell>
          <cell r="R3939" t="str">
            <v>Jember</v>
          </cell>
          <cell r="S3939" t="str">
            <v>L Kota1</v>
          </cell>
          <cell r="T3939" t="str">
            <v>OTHERS</v>
          </cell>
          <cell r="U3939">
            <v>60</v>
          </cell>
        </row>
        <row r="3940">
          <cell r="E3940" t="str">
            <v>T25000091</v>
          </cell>
          <cell r="F3940"/>
          <cell r="G3940">
            <v>1000000000</v>
          </cell>
          <cell r="H3940" t="str">
            <v>Others</v>
          </cell>
          <cell r="I3940" t="str">
            <v>Exclusive</v>
          </cell>
          <cell r="J3940" t="str">
            <v>New 06/04/21</v>
          </cell>
          <cell r="K3940" t="str">
            <v>HDPD</v>
          </cell>
          <cell r="L3940" t="str">
            <v>KARI09</v>
          </cell>
          <cell r="M3940" t="str">
            <v>Karisma Indoagro Universal, PT</v>
          </cell>
          <cell r="N3940" t="str">
            <v>Karisma Indoagro Universal, PT</v>
          </cell>
          <cell r="O3940" t="str">
            <v>Jl. Semeru No. 89 RT.001/RW.004, Ajung</v>
          </cell>
          <cell r="P3940" t="str">
            <v>Jember</v>
          </cell>
          <cell r="Q3940" t="str">
            <v>Jl. Semeru No. 89 RT.001/RW.004, Ajung</v>
          </cell>
          <cell r="R3940" t="str">
            <v>Jember</v>
          </cell>
          <cell r="S3940" t="str">
            <v>L Kota1</v>
          </cell>
          <cell r="T3940" t="str">
            <v>OTHERS</v>
          </cell>
          <cell r="U3940">
            <v>0</v>
          </cell>
        </row>
        <row r="3941">
          <cell r="E3941" t="str">
            <v>T25000142</v>
          </cell>
          <cell r="F3941"/>
          <cell r="G3941">
            <v>1000000000</v>
          </cell>
          <cell r="H3941" t="str">
            <v>Others</v>
          </cell>
          <cell r="I3941" t="str">
            <v>Exclusive</v>
          </cell>
          <cell r="J3941" t="str">
            <v>New 06/04/21</v>
          </cell>
          <cell r="K3941" t="str">
            <v>HDPD</v>
          </cell>
          <cell r="L3941" t="str">
            <v>KARI09</v>
          </cell>
          <cell r="M3941" t="str">
            <v>Karisma Indoagro Universal, PT</v>
          </cell>
          <cell r="N3941" t="str">
            <v>Karisma Indoagro Universal, PT</v>
          </cell>
          <cell r="O3941" t="str">
            <v>Jl. Semeru No. 89 RT.001/RW.004, Ajung</v>
          </cell>
          <cell r="P3941" t="str">
            <v>Jember</v>
          </cell>
          <cell r="Q3941" t="str">
            <v>Jl. Semeru No. 89 RT.001/RW.004, Ajung</v>
          </cell>
          <cell r="R3941" t="str">
            <v>Jember</v>
          </cell>
          <cell r="S3941" t="str">
            <v>L Kota1</v>
          </cell>
          <cell r="T3941" t="str">
            <v>OTHERS</v>
          </cell>
          <cell r="U3941">
            <v>60</v>
          </cell>
        </row>
        <row r="3942">
          <cell r="E3942" t="str">
            <v>T25000157</v>
          </cell>
          <cell r="F3942"/>
          <cell r="G3942">
            <v>1000000000</v>
          </cell>
          <cell r="H3942" t="str">
            <v>Others</v>
          </cell>
          <cell r="I3942" t="str">
            <v>Exclusive</v>
          </cell>
          <cell r="J3942" t="str">
            <v>New 06/04/21</v>
          </cell>
          <cell r="K3942" t="str">
            <v>HDPD</v>
          </cell>
          <cell r="L3942" t="str">
            <v>KARI09</v>
          </cell>
          <cell r="M3942" t="str">
            <v>Karisma Indoagro Universal, PT</v>
          </cell>
          <cell r="N3942" t="str">
            <v>Karisma Indoagro Universal, PT</v>
          </cell>
          <cell r="O3942" t="str">
            <v>Jl. Semeru No. 89 RT.001/RW.004, Ajung</v>
          </cell>
          <cell r="P3942" t="str">
            <v>Jember</v>
          </cell>
          <cell r="Q3942" t="str">
            <v>Jl. Semeru No. 89 RT.001/RW.004, Ajung</v>
          </cell>
          <cell r="R3942" t="str">
            <v>Jember</v>
          </cell>
          <cell r="S3942" t="str">
            <v>L Kota1</v>
          </cell>
          <cell r="T3942" t="str">
            <v>OTHERS</v>
          </cell>
          <cell r="U3942">
            <v>60</v>
          </cell>
        </row>
        <row r="3943">
          <cell r="E3943" t="str">
            <v>T25000158</v>
          </cell>
          <cell r="F3943"/>
          <cell r="G3943">
            <v>1000000000</v>
          </cell>
          <cell r="H3943" t="str">
            <v>Others</v>
          </cell>
          <cell r="I3943" t="str">
            <v>Exclusive</v>
          </cell>
          <cell r="J3943" t="str">
            <v>New 06/04/21</v>
          </cell>
          <cell r="K3943" t="str">
            <v>HDPD</v>
          </cell>
          <cell r="L3943" t="str">
            <v>KARI09</v>
          </cell>
          <cell r="M3943" t="str">
            <v>Karisma Indoagro Universal, PT</v>
          </cell>
          <cell r="N3943" t="str">
            <v>Karisma Indoagro Universal, PT</v>
          </cell>
          <cell r="O3943" t="str">
            <v>Jl. Semeru No. 89 RT.001/RW.004, Ajung</v>
          </cell>
          <cell r="P3943" t="str">
            <v>Jember</v>
          </cell>
          <cell r="Q3943" t="str">
            <v>Jl. Semeru No. 89 RT.001/RW.004, Ajung</v>
          </cell>
          <cell r="R3943" t="str">
            <v>Jember</v>
          </cell>
          <cell r="S3943" t="str">
            <v>L Kota1</v>
          </cell>
          <cell r="T3943" t="str">
            <v>OTHERS</v>
          </cell>
          <cell r="U3943">
            <v>60</v>
          </cell>
        </row>
        <row r="3944">
          <cell r="E3944" t="str">
            <v>T25000161</v>
          </cell>
          <cell r="F3944"/>
          <cell r="G3944">
            <v>1000000000</v>
          </cell>
          <cell r="H3944" t="str">
            <v>Others</v>
          </cell>
          <cell r="I3944" t="str">
            <v>Exclusive</v>
          </cell>
          <cell r="J3944" t="str">
            <v>New 06/04/21</v>
          </cell>
          <cell r="K3944" t="str">
            <v>HDPD</v>
          </cell>
          <cell r="L3944" t="str">
            <v>KARI09</v>
          </cell>
          <cell r="M3944" t="str">
            <v>Karisma Indoagro Universal, PT</v>
          </cell>
          <cell r="N3944" t="str">
            <v>Karisma Indoagro Universal, PT</v>
          </cell>
          <cell r="O3944" t="str">
            <v>Jl. Semeru No. 89 RT.001/RW.004, Ajung</v>
          </cell>
          <cell r="P3944" t="str">
            <v>Jember</v>
          </cell>
          <cell r="Q3944" t="str">
            <v>Jl. Semeru No. 89 RT.001/RW.004, Ajung</v>
          </cell>
          <cell r="R3944" t="str">
            <v>Jember</v>
          </cell>
          <cell r="S3944" t="str">
            <v>L Kota1</v>
          </cell>
          <cell r="T3944" t="str">
            <v>OTHERS</v>
          </cell>
          <cell r="U3944">
            <v>60</v>
          </cell>
        </row>
        <row r="3945">
          <cell r="E3945" t="str">
            <v>T25000171</v>
          </cell>
          <cell r="F3945"/>
          <cell r="G3945">
            <v>1000000000</v>
          </cell>
          <cell r="H3945" t="str">
            <v>Others</v>
          </cell>
          <cell r="I3945" t="str">
            <v>Exclusive</v>
          </cell>
          <cell r="J3945" t="str">
            <v>New 06/04/21</v>
          </cell>
          <cell r="K3945" t="str">
            <v>HDPD</v>
          </cell>
          <cell r="L3945" t="str">
            <v>KARI09</v>
          </cell>
          <cell r="M3945" t="str">
            <v>Karisma Indoagro Universal, PT</v>
          </cell>
          <cell r="N3945" t="str">
            <v>Karisma Indoagro Universal, PT</v>
          </cell>
          <cell r="O3945" t="str">
            <v>Jl. Semeru No. 89 RT.001/RW.004, Ajung</v>
          </cell>
          <cell r="P3945" t="str">
            <v>Jember</v>
          </cell>
          <cell r="Q3945" t="str">
            <v>Jl. Semeru No. 89 RT.001/RW.004, Ajung</v>
          </cell>
          <cell r="R3945" t="str">
            <v>Jember</v>
          </cell>
          <cell r="S3945" t="str">
            <v>L Kota1</v>
          </cell>
          <cell r="T3945" t="str">
            <v>OTHERS</v>
          </cell>
          <cell r="U3945">
            <v>60</v>
          </cell>
        </row>
        <row r="3946">
          <cell r="E3946" t="str">
            <v>T25000172</v>
          </cell>
          <cell r="F3946"/>
          <cell r="G3946">
            <v>1000000000</v>
          </cell>
          <cell r="H3946" t="str">
            <v>Others</v>
          </cell>
          <cell r="I3946" t="str">
            <v>Exclusive</v>
          </cell>
          <cell r="J3946" t="str">
            <v>New 06/04/21</v>
          </cell>
          <cell r="K3946" t="str">
            <v>HDPD</v>
          </cell>
          <cell r="L3946" t="str">
            <v>KARI09</v>
          </cell>
          <cell r="M3946" t="str">
            <v>Karisma Indoagro Universal, PT</v>
          </cell>
          <cell r="N3946" t="str">
            <v>Karisma Indoagro Universal, PT</v>
          </cell>
          <cell r="O3946" t="str">
            <v>Jl. Semeru No. 89 RT.001/RW.004, Ajung</v>
          </cell>
          <cell r="P3946" t="str">
            <v>Jember</v>
          </cell>
          <cell r="Q3946" t="str">
            <v>Jl. Semeru No. 89 RT.001/RW.004, Ajung</v>
          </cell>
          <cell r="R3946" t="str">
            <v>Jember</v>
          </cell>
          <cell r="S3946" t="str">
            <v>L Kota1</v>
          </cell>
          <cell r="T3946" t="str">
            <v>OTHERS</v>
          </cell>
          <cell r="U3946">
            <v>60</v>
          </cell>
        </row>
        <row r="3947">
          <cell r="E3947" t="str">
            <v>T25000178</v>
          </cell>
          <cell r="F3947"/>
          <cell r="G3947">
            <v>1000000000</v>
          </cell>
          <cell r="H3947" t="str">
            <v>Others</v>
          </cell>
          <cell r="I3947" t="str">
            <v>Exclusive</v>
          </cell>
          <cell r="J3947" t="str">
            <v>New 06/04/21</v>
          </cell>
          <cell r="K3947" t="str">
            <v>HDPD</v>
          </cell>
          <cell r="L3947" t="str">
            <v>KARI09</v>
          </cell>
          <cell r="M3947" t="str">
            <v>Karisma Indoagro Universal, PT</v>
          </cell>
          <cell r="N3947" t="str">
            <v>Karisma Indoagro Universal, PT</v>
          </cell>
          <cell r="O3947" t="str">
            <v>Jl. Semeru No. 89 RT.001/RW.004, Ajung</v>
          </cell>
          <cell r="P3947" t="str">
            <v>Jember</v>
          </cell>
          <cell r="Q3947" t="str">
            <v>Jl. Semeru No. 89 RT.001/RW.004, Ajung</v>
          </cell>
          <cell r="R3947" t="str">
            <v>Jember</v>
          </cell>
          <cell r="S3947" t="str">
            <v>L Kota1</v>
          </cell>
          <cell r="T3947" t="str">
            <v>OTHERS</v>
          </cell>
          <cell r="U3947">
            <v>60</v>
          </cell>
        </row>
        <row r="3948">
          <cell r="E3948" t="str">
            <v>T25000328</v>
          </cell>
          <cell r="F3948"/>
          <cell r="G3948">
            <v>1000000000</v>
          </cell>
          <cell r="H3948" t="str">
            <v>Others</v>
          </cell>
          <cell r="I3948" t="str">
            <v>Exclusive</v>
          </cell>
          <cell r="J3948" t="str">
            <v>New 06/04/21</v>
          </cell>
          <cell r="K3948" t="str">
            <v>HDPD</v>
          </cell>
          <cell r="L3948" t="str">
            <v>KARI09</v>
          </cell>
          <cell r="M3948" t="str">
            <v>Karisma Indoagro Universal, PT</v>
          </cell>
          <cell r="N3948" t="str">
            <v>Karisma Indoagro Universal, PT</v>
          </cell>
          <cell r="O3948" t="str">
            <v>Jl. Semeru No. 89 RT.001/RW.004, Ajung</v>
          </cell>
          <cell r="P3948" t="str">
            <v>Jember</v>
          </cell>
          <cell r="Q3948" t="str">
            <v>Jl. Semeru No. 89 RT.001/RW.004, Ajung</v>
          </cell>
          <cell r="R3948" t="str">
            <v>Jember</v>
          </cell>
          <cell r="S3948" t="str">
            <v>L Kota1</v>
          </cell>
          <cell r="T3948" t="str">
            <v>OTHERS</v>
          </cell>
          <cell r="U3948">
            <v>0</v>
          </cell>
        </row>
        <row r="3949">
          <cell r="E3949" t="str">
            <v>T25000329</v>
          </cell>
          <cell r="F3949"/>
          <cell r="G3949">
            <v>1000000000</v>
          </cell>
          <cell r="H3949" t="str">
            <v>Others</v>
          </cell>
          <cell r="I3949" t="str">
            <v>Exclusive</v>
          </cell>
          <cell r="J3949" t="str">
            <v>New 06/04/21</v>
          </cell>
          <cell r="K3949" t="str">
            <v>HDPD</v>
          </cell>
          <cell r="L3949" t="str">
            <v>KARI09</v>
          </cell>
          <cell r="M3949" t="str">
            <v>Karisma Indoagro Universal, PT</v>
          </cell>
          <cell r="N3949" t="str">
            <v>Karisma Indoagro Universal, PT</v>
          </cell>
          <cell r="O3949" t="str">
            <v>Jl. Semeru No. 89 RT.001/RW.004, Ajung</v>
          </cell>
          <cell r="P3949" t="str">
            <v>Jember</v>
          </cell>
          <cell r="Q3949" t="str">
            <v>Jl. Semeru No. 89 RT.001/RW.004, Ajung</v>
          </cell>
          <cell r="R3949" t="str">
            <v>Jember</v>
          </cell>
          <cell r="S3949" t="str">
            <v>L Kota1</v>
          </cell>
          <cell r="T3949" t="str">
            <v>OTHERS</v>
          </cell>
          <cell r="U3949">
            <v>60</v>
          </cell>
        </row>
        <row r="3950">
          <cell r="E3950" t="str">
            <v>T25000357</v>
          </cell>
          <cell r="F3950"/>
          <cell r="G3950">
            <v>1000000000</v>
          </cell>
          <cell r="H3950" t="str">
            <v>Others</v>
          </cell>
          <cell r="I3950" t="str">
            <v>Exclusive</v>
          </cell>
          <cell r="J3950" t="str">
            <v>New 06/04/21</v>
          </cell>
          <cell r="K3950" t="str">
            <v>HDPD</v>
          </cell>
          <cell r="L3950" t="str">
            <v>KARI09</v>
          </cell>
          <cell r="M3950" t="str">
            <v>Karisma Indoagro Universal, PT</v>
          </cell>
          <cell r="N3950" t="str">
            <v>Karisma Indoagro Universal, PT</v>
          </cell>
          <cell r="O3950" t="str">
            <v>Jl. Semeru No. 89 RT.001/RW.004, Ajung</v>
          </cell>
          <cell r="P3950" t="str">
            <v>Jember</v>
          </cell>
          <cell r="Q3950" t="str">
            <v>Jl. Semeru No. 89 RT.001/RW.004, Ajung</v>
          </cell>
          <cell r="R3950" t="str">
            <v>Jember</v>
          </cell>
          <cell r="S3950" t="str">
            <v>L Kota1</v>
          </cell>
          <cell r="T3950" t="str">
            <v>OTHERS</v>
          </cell>
          <cell r="U3950">
            <v>60</v>
          </cell>
        </row>
        <row r="3951">
          <cell r="E3951" t="str">
            <v>T25000363</v>
          </cell>
          <cell r="F3951"/>
          <cell r="G3951">
            <v>1000000000</v>
          </cell>
          <cell r="H3951" t="str">
            <v>Others</v>
          </cell>
          <cell r="I3951" t="str">
            <v>Exclusive</v>
          </cell>
          <cell r="J3951" t="str">
            <v>New 06/04/21</v>
          </cell>
          <cell r="K3951" t="str">
            <v>HDPD</v>
          </cell>
          <cell r="L3951" t="str">
            <v>KARI09</v>
          </cell>
          <cell r="M3951" t="str">
            <v>Karisma Indoagro Universal, PT</v>
          </cell>
          <cell r="N3951" t="str">
            <v>Karisma Indoagro Universal, PT</v>
          </cell>
          <cell r="O3951" t="str">
            <v>Jl. Semeru No. 89 RT.001/RW.004, Ajung</v>
          </cell>
          <cell r="P3951" t="str">
            <v>Jember</v>
          </cell>
          <cell r="Q3951" t="str">
            <v>Jl. Semeru No. 89 RT.001/RW.004, Ajung</v>
          </cell>
          <cell r="R3951" t="str">
            <v>Jember</v>
          </cell>
          <cell r="S3951" t="str">
            <v>L Kota1</v>
          </cell>
          <cell r="T3951" t="str">
            <v>OTHERS</v>
          </cell>
          <cell r="U3951">
            <v>60</v>
          </cell>
        </row>
        <row r="3952">
          <cell r="E3952" t="str">
            <v>T25000364</v>
          </cell>
          <cell r="F3952"/>
          <cell r="G3952">
            <v>1000000000</v>
          </cell>
          <cell r="H3952" t="str">
            <v>Others</v>
          </cell>
          <cell r="I3952" t="str">
            <v>Exclusive</v>
          </cell>
          <cell r="J3952" t="str">
            <v>New 06/04/21</v>
          </cell>
          <cell r="K3952" t="str">
            <v>HDPD</v>
          </cell>
          <cell r="L3952" t="str">
            <v>KARI09</v>
          </cell>
          <cell r="M3952" t="str">
            <v>Karisma Indoagro Universal, PT</v>
          </cell>
          <cell r="N3952" t="str">
            <v>Karisma Indoagro Universal, PT</v>
          </cell>
          <cell r="O3952" t="str">
            <v>Jl. Semeru No. 89 RT.001/RW.004, Ajung</v>
          </cell>
          <cell r="P3952" t="str">
            <v>Jember</v>
          </cell>
          <cell r="Q3952" t="str">
            <v>Jl. Semeru No. 89 RT.001/RW.004, Ajung</v>
          </cell>
          <cell r="R3952" t="str">
            <v>Jember</v>
          </cell>
          <cell r="S3952" t="str">
            <v>L Kota1</v>
          </cell>
          <cell r="T3952" t="str">
            <v>OTHERS</v>
          </cell>
          <cell r="U3952">
            <v>60</v>
          </cell>
        </row>
        <row r="3953">
          <cell r="E3953" t="str">
            <v>T25000365</v>
          </cell>
          <cell r="F3953"/>
          <cell r="G3953">
            <v>1000000000</v>
          </cell>
          <cell r="H3953" t="str">
            <v>Others</v>
          </cell>
          <cell r="I3953" t="str">
            <v>Exclusive</v>
          </cell>
          <cell r="J3953" t="str">
            <v>New 06/04/21</v>
          </cell>
          <cell r="K3953" t="str">
            <v>HDPD</v>
          </cell>
          <cell r="L3953" t="str">
            <v>KARI09</v>
          </cell>
          <cell r="M3953" t="str">
            <v>Karisma Indoagro Universal, PT</v>
          </cell>
          <cell r="N3953" t="str">
            <v>Karisma Indoagro Universal, PT</v>
          </cell>
          <cell r="O3953" t="str">
            <v>Jl. Semeru No. 89 RT.001/RW.004, Ajung</v>
          </cell>
          <cell r="P3953" t="str">
            <v>Jember</v>
          </cell>
          <cell r="Q3953" t="str">
            <v>Jl. Semeru No. 89 RT.001/RW.004, Ajung</v>
          </cell>
          <cell r="R3953" t="str">
            <v>Jember</v>
          </cell>
          <cell r="S3953" t="str">
            <v>L Kota1</v>
          </cell>
          <cell r="T3953" t="str">
            <v>OTHERS</v>
          </cell>
          <cell r="U3953">
            <v>60</v>
          </cell>
        </row>
        <row r="3954">
          <cell r="E3954" t="str">
            <v>T25000366</v>
          </cell>
          <cell r="F3954"/>
          <cell r="G3954">
            <v>1000000000</v>
          </cell>
          <cell r="H3954" t="str">
            <v>Others</v>
          </cell>
          <cell r="I3954" t="str">
            <v>Exclusive</v>
          </cell>
          <cell r="J3954" t="str">
            <v>New 06/04/21</v>
          </cell>
          <cell r="K3954" t="str">
            <v>HDPD</v>
          </cell>
          <cell r="L3954" t="str">
            <v>KARI09</v>
          </cell>
          <cell r="M3954" t="str">
            <v>Karisma Indoagro Universal, PT</v>
          </cell>
          <cell r="N3954" t="str">
            <v>Karisma Indoagro Universal, PT</v>
          </cell>
          <cell r="O3954" t="str">
            <v>Jl. Semeru No. 89 RT.001/RW.004, Ajung</v>
          </cell>
          <cell r="P3954" t="str">
            <v>Jember</v>
          </cell>
          <cell r="Q3954" t="str">
            <v>Jl. Semeru No. 89 RT.001/RW.004, Ajung</v>
          </cell>
          <cell r="R3954" t="str">
            <v>Jember</v>
          </cell>
          <cell r="S3954" t="str">
            <v>L Kota1</v>
          </cell>
          <cell r="T3954" t="str">
            <v>OTHERS</v>
          </cell>
          <cell r="U3954">
            <v>60</v>
          </cell>
        </row>
        <row r="3955">
          <cell r="E3955" t="str">
            <v>T25000367</v>
          </cell>
          <cell r="F3955"/>
          <cell r="G3955">
            <v>1000000000</v>
          </cell>
          <cell r="H3955" t="str">
            <v>Others</v>
          </cell>
          <cell r="I3955" t="str">
            <v>Exclusive</v>
          </cell>
          <cell r="J3955" t="str">
            <v>New 06/04/21</v>
          </cell>
          <cell r="K3955" t="str">
            <v>HDPD</v>
          </cell>
          <cell r="L3955" t="str">
            <v>KARI09</v>
          </cell>
          <cell r="M3955" t="str">
            <v>Karisma Indoagro Universal, PT</v>
          </cell>
          <cell r="N3955" t="str">
            <v>Karisma Indoagro Universal, PT</v>
          </cell>
          <cell r="O3955" t="str">
            <v>Jl. Semeru No. 89 RT.001/RW.004, Ajung</v>
          </cell>
          <cell r="P3955" t="str">
            <v>Jember</v>
          </cell>
          <cell r="Q3955" t="str">
            <v>Jl. Semeru No. 89 RT.001/RW.004, Ajung</v>
          </cell>
          <cell r="R3955" t="str">
            <v>Jember</v>
          </cell>
          <cell r="S3955" t="str">
            <v>L Kota1</v>
          </cell>
          <cell r="T3955" t="str">
            <v>OTHERS</v>
          </cell>
          <cell r="U3955">
            <v>60</v>
          </cell>
        </row>
        <row r="3956">
          <cell r="E3956" t="str">
            <v>T25000368</v>
          </cell>
          <cell r="F3956"/>
          <cell r="G3956">
            <v>1000000000</v>
          </cell>
          <cell r="H3956" t="str">
            <v>Others</v>
          </cell>
          <cell r="I3956" t="str">
            <v>Exclusive</v>
          </cell>
          <cell r="J3956" t="str">
            <v>New 06/04/21</v>
          </cell>
          <cell r="K3956" t="str">
            <v>HDPD</v>
          </cell>
          <cell r="L3956" t="str">
            <v>KARI09</v>
          </cell>
          <cell r="M3956" t="str">
            <v>Karisma Indoagro Universal, PT</v>
          </cell>
          <cell r="N3956" t="str">
            <v>Karisma Indoagro Universal, PT</v>
          </cell>
          <cell r="O3956" t="str">
            <v>Jl. Semeru No. 89 RT.001/RW.004, Ajung</v>
          </cell>
          <cell r="P3956" t="str">
            <v>Jember</v>
          </cell>
          <cell r="Q3956" t="str">
            <v>Jl. Semeru No. 89 RT.001/RW.004, Ajung</v>
          </cell>
          <cell r="R3956" t="str">
            <v>Jember</v>
          </cell>
          <cell r="S3956" t="str">
            <v>L Kota1</v>
          </cell>
          <cell r="T3956" t="str">
            <v>OTHERS</v>
          </cell>
          <cell r="U3956">
            <v>60</v>
          </cell>
        </row>
        <row r="3957">
          <cell r="E3957" t="str">
            <v>T25000372</v>
          </cell>
          <cell r="F3957"/>
          <cell r="G3957">
            <v>1000000000</v>
          </cell>
          <cell r="H3957" t="str">
            <v>Others</v>
          </cell>
          <cell r="I3957" t="str">
            <v>Exclusive</v>
          </cell>
          <cell r="J3957" t="str">
            <v>New 06/04/21</v>
          </cell>
          <cell r="K3957" t="str">
            <v>HDPD</v>
          </cell>
          <cell r="L3957" t="str">
            <v>KARI09</v>
          </cell>
          <cell r="M3957" t="str">
            <v>Karisma Indoagro Universal, PT</v>
          </cell>
          <cell r="N3957" t="str">
            <v>Karisma Indoagro Universal, PT</v>
          </cell>
          <cell r="O3957" t="str">
            <v>Jl. Semeru No. 89 RT.001/RW.004, Ajung</v>
          </cell>
          <cell r="P3957" t="str">
            <v>Jember</v>
          </cell>
          <cell r="Q3957" t="str">
            <v>Jl. Semeru No. 89 RT.001/RW.004, Ajung</v>
          </cell>
          <cell r="R3957" t="str">
            <v>Jember</v>
          </cell>
          <cell r="S3957" t="str">
            <v>L Kota1</v>
          </cell>
          <cell r="T3957" t="str">
            <v>OTHERS</v>
          </cell>
          <cell r="U3957">
            <v>60</v>
          </cell>
        </row>
        <row r="3958">
          <cell r="E3958" t="str">
            <v>T25000432</v>
          </cell>
          <cell r="F3958"/>
          <cell r="G3958">
            <v>1000000000</v>
          </cell>
          <cell r="H3958" t="str">
            <v>Others</v>
          </cell>
          <cell r="I3958" t="str">
            <v>Exclusive</v>
          </cell>
          <cell r="J3958" t="str">
            <v>New 06/04/21</v>
          </cell>
          <cell r="K3958" t="str">
            <v>HDPD</v>
          </cell>
          <cell r="L3958" t="str">
            <v>KARI09</v>
          </cell>
          <cell r="M3958" t="str">
            <v>Karisma Indoagro Universal, PT</v>
          </cell>
          <cell r="N3958" t="str">
            <v>Karisma Indoagro Universal, PT</v>
          </cell>
          <cell r="O3958" t="str">
            <v>Jl. Semeru No. 89 RT.001/RW.004, Ajung</v>
          </cell>
          <cell r="P3958" t="str">
            <v>Jember</v>
          </cell>
          <cell r="Q3958" t="str">
            <v>Jl. Semeru No. 89 RT.001/RW.004, Ajung</v>
          </cell>
          <cell r="R3958" t="str">
            <v>Jember</v>
          </cell>
          <cell r="S3958" t="str">
            <v>L Kota1</v>
          </cell>
          <cell r="T3958" t="str">
            <v>OTHERS</v>
          </cell>
          <cell r="U3958">
            <v>60</v>
          </cell>
        </row>
        <row r="3959">
          <cell r="E3959" t="str">
            <v>T25000523</v>
          </cell>
          <cell r="F3959"/>
          <cell r="G3959">
            <v>1000000000</v>
          </cell>
          <cell r="H3959" t="str">
            <v>Others</v>
          </cell>
          <cell r="I3959" t="str">
            <v>Exclusive</v>
          </cell>
          <cell r="J3959" t="str">
            <v>New 06/04/21</v>
          </cell>
          <cell r="K3959" t="str">
            <v>HDPD</v>
          </cell>
          <cell r="L3959" t="str">
            <v>KARI09</v>
          </cell>
          <cell r="M3959" t="str">
            <v>Karisma Indoagro Universal, PT</v>
          </cell>
          <cell r="N3959" t="str">
            <v>Karisma Indoagro Universal, PT</v>
          </cell>
          <cell r="O3959" t="str">
            <v>Jl. Semeru No. 89 RT.001/RW.004, Ajung</v>
          </cell>
          <cell r="P3959" t="str">
            <v>Jember</v>
          </cell>
          <cell r="Q3959" t="str">
            <v>Jl. Semeru No. 89 RT.001/RW.004, Ajung</v>
          </cell>
          <cell r="R3959" t="str">
            <v>Jember</v>
          </cell>
          <cell r="S3959" t="str">
            <v>L Kota1</v>
          </cell>
          <cell r="T3959" t="str">
            <v>OTHERS</v>
          </cell>
          <cell r="U3959">
            <v>60</v>
          </cell>
        </row>
        <row r="3960">
          <cell r="E3960" t="str">
            <v>T25000546</v>
          </cell>
          <cell r="F3960"/>
          <cell r="G3960">
            <v>1000000000</v>
          </cell>
          <cell r="H3960" t="str">
            <v>Others</v>
          </cell>
          <cell r="I3960" t="str">
            <v>Exclusive</v>
          </cell>
          <cell r="J3960" t="str">
            <v>New 06/04/21</v>
          </cell>
          <cell r="K3960" t="str">
            <v>HDPD</v>
          </cell>
          <cell r="L3960" t="str">
            <v>KARI09</v>
          </cell>
          <cell r="M3960" t="str">
            <v>Karisma Indoagro Universal, PT</v>
          </cell>
          <cell r="N3960" t="str">
            <v>Karisma Indoagro Universal, PT</v>
          </cell>
          <cell r="O3960" t="str">
            <v>Jl. Semeru No. 89 RT.001/RW.004, Ajung</v>
          </cell>
          <cell r="P3960" t="str">
            <v>Jember</v>
          </cell>
          <cell r="Q3960" t="str">
            <v>Jl. Semeru No. 89 RT.001/RW.004, Ajung</v>
          </cell>
          <cell r="R3960" t="str">
            <v>Jember</v>
          </cell>
          <cell r="S3960" t="str">
            <v>L Kota1</v>
          </cell>
          <cell r="T3960" t="str">
            <v>OTHERS</v>
          </cell>
          <cell r="U3960">
            <v>60</v>
          </cell>
        </row>
        <row r="3961">
          <cell r="E3961" t="str">
            <v>T25000547</v>
          </cell>
          <cell r="F3961"/>
          <cell r="G3961">
            <v>1000000000</v>
          </cell>
          <cell r="H3961" t="str">
            <v>Others</v>
          </cell>
          <cell r="I3961" t="str">
            <v>Exclusive</v>
          </cell>
          <cell r="J3961" t="str">
            <v>New 06/04/21</v>
          </cell>
          <cell r="K3961" t="str">
            <v>HDPD</v>
          </cell>
          <cell r="L3961" t="str">
            <v>KARI09</v>
          </cell>
          <cell r="M3961" t="str">
            <v>Karisma Indoagro Universal, PT</v>
          </cell>
          <cell r="N3961" t="str">
            <v>Karisma Indoagro Universal, PT</v>
          </cell>
          <cell r="O3961" t="str">
            <v>Jl. Semeru No. 89 RT.001/RW.004, Ajung</v>
          </cell>
          <cell r="P3961" t="str">
            <v>Jember</v>
          </cell>
          <cell r="Q3961" t="str">
            <v>Jl. Semeru No. 89 RT.001/RW.004, Ajung</v>
          </cell>
          <cell r="R3961" t="str">
            <v>Jember</v>
          </cell>
          <cell r="S3961" t="str">
            <v>L Kota1</v>
          </cell>
          <cell r="T3961" t="str">
            <v>OTHERS</v>
          </cell>
          <cell r="U3961">
            <v>60</v>
          </cell>
        </row>
        <row r="3962">
          <cell r="E3962" t="str">
            <v>T25000548</v>
          </cell>
          <cell r="F3962"/>
          <cell r="G3962">
            <v>1000000000</v>
          </cell>
          <cell r="H3962" t="str">
            <v>Others</v>
          </cell>
          <cell r="I3962" t="str">
            <v>Exclusive</v>
          </cell>
          <cell r="J3962" t="str">
            <v>New 06/04/21</v>
          </cell>
          <cell r="K3962" t="str">
            <v>HDPD</v>
          </cell>
          <cell r="L3962" t="str">
            <v>KARI09</v>
          </cell>
          <cell r="M3962" t="str">
            <v>Karisma Indoagro Universal, PT</v>
          </cell>
          <cell r="N3962" t="str">
            <v>Karisma Indoagro Universal, PT</v>
          </cell>
          <cell r="O3962" t="str">
            <v>Jl. Semeru No. 89 RT.001/RW.004, Ajung</v>
          </cell>
          <cell r="P3962" t="str">
            <v>Jember</v>
          </cell>
          <cell r="Q3962" t="str">
            <v>Jl. Semeru No. 89 RT.001/RW.004, Ajung</v>
          </cell>
          <cell r="R3962" t="str">
            <v>Jember</v>
          </cell>
          <cell r="S3962" t="str">
            <v>L Kota1</v>
          </cell>
          <cell r="T3962" t="str">
            <v>OTHERS</v>
          </cell>
          <cell r="U3962">
            <v>60</v>
          </cell>
        </row>
        <row r="3963">
          <cell r="E3963" t="str">
            <v>T25000558</v>
          </cell>
          <cell r="F3963"/>
          <cell r="G3963">
            <v>1000000000</v>
          </cell>
          <cell r="H3963" t="str">
            <v>Others</v>
          </cell>
          <cell r="I3963" t="str">
            <v>Exclusive</v>
          </cell>
          <cell r="J3963" t="str">
            <v>New 06/04/21</v>
          </cell>
          <cell r="K3963" t="str">
            <v>HDPD</v>
          </cell>
          <cell r="L3963" t="str">
            <v>KARI09</v>
          </cell>
          <cell r="M3963" t="str">
            <v>Karisma Indoagro Universal, PT</v>
          </cell>
          <cell r="N3963" t="str">
            <v>Karisma Indoagro Universal, PT</v>
          </cell>
          <cell r="O3963" t="str">
            <v>Jl. Semeru No. 89 RT.001/RW.004, Ajung</v>
          </cell>
          <cell r="P3963" t="str">
            <v>Jember</v>
          </cell>
          <cell r="Q3963" t="str">
            <v>Jl. Semeru No. 89 RT.001/RW.004, Ajung</v>
          </cell>
          <cell r="R3963" t="str">
            <v>Jember</v>
          </cell>
          <cell r="S3963" t="str">
            <v>L Kota1</v>
          </cell>
          <cell r="T3963" t="str">
            <v>OTHERS</v>
          </cell>
          <cell r="U3963">
            <v>60</v>
          </cell>
        </row>
        <row r="3964">
          <cell r="E3964" t="str">
            <v>T25000559</v>
          </cell>
          <cell r="F3964"/>
          <cell r="G3964">
            <v>1000000000</v>
          </cell>
          <cell r="H3964" t="str">
            <v>Others</v>
          </cell>
          <cell r="I3964" t="str">
            <v>Exclusive</v>
          </cell>
          <cell r="J3964" t="str">
            <v>New 06/04/21</v>
          </cell>
          <cell r="K3964" t="str">
            <v>HDPD</v>
          </cell>
          <cell r="L3964" t="str">
            <v>KARI09</v>
          </cell>
          <cell r="M3964" t="str">
            <v>Karisma Indoagro Universal, PT</v>
          </cell>
          <cell r="N3964" t="str">
            <v>Karisma Indoagro Universal, PT</v>
          </cell>
          <cell r="O3964" t="str">
            <v>Jl. Semeru No. 89 RT.001/RW.004, Ajung</v>
          </cell>
          <cell r="P3964" t="str">
            <v>Jember</v>
          </cell>
          <cell r="Q3964" t="str">
            <v>Jl. Semeru No. 89 RT.001/RW.004, Ajung</v>
          </cell>
          <cell r="R3964" t="str">
            <v>Jember</v>
          </cell>
          <cell r="S3964" t="str">
            <v>L Kota1</v>
          </cell>
          <cell r="T3964" t="str">
            <v>OTHERS</v>
          </cell>
          <cell r="U3964">
            <v>0</v>
          </cell>
        </row>
        <row r="3965">
          <cell r="E3965" t="str">
            <v>T25000563</v>
          </cell>
          <cell r="F3965"/>
          <cell r="G3965">
            <v>1000000000</v>
          </cell>
          <cell r="H3965" t="str">
            <v>Others</v>
          </cell>
          <cell r="I3965" t="str">
            <v>Exclusive</v>
          </cell>
          <cell r="J3965" t="str">
            <v>New 06/04/21</v>
          </cell>
          <cell r="K3965" t="str">
            <v>HDPD</v>
          </cell>
          <cell r="L3965" t="str">
            <v>KARI09</v>
          </cell>
          <cell r="M3965" t="str">
            <v>Karisma Indoagro Universal, PT</v>
          </cell>
          <cell r="N3965" t="str">
            <v>Karisma Indoagro Universal, PT</v>
          </cell>
          <cell r="O3965" t="str">
            <v>Jl. Semeru No. 89 RT.001/RW.004, Ajung</v>
          </cell>
          <cell r="P3965" t="str">
            <v>Jember</v>
          </cell>
          <cell r="Q3965" t="str">
            <v>Jl. Semeru No. 89 RT.001/RW.004, Ajung</v>
          </cell>
          <cell r="R3965" t="str">
            <v>Jember</v>
          </cell>
          <cell r="S3965" t="str">
            <v>L Kota1</v>
          </cell>
          <cell r="T3965" t="str">
            <v>OTHERS</v>
          </cell>
          <cell r="U3965">
            <v>60</v>
          </cell>
        </row>
        <row r="3966">
          <cell r="E3966" t="str">
            <v>T25000564</v>
          </cell>
          <cell r="F3966"/>
          <cell r="G3966">
            <v>1000000000</v>
          </cell>
          <cell r="H3966" t="str">
            <v>Others</v>
          </cell>
          <cell r="I3966" t="str">
            <v>Exclusive</v>
          </cell>
          <cell r="J3966" t="str">
            <v>New 06/04/21</v>
          </cell>
          <cell r="K3966" t="str">
            <v>HDPD</v>
          </cell>
          <cell r="L3966" t="str">
            <v>KARI09</v>
          </cell>
          <cell r="M3966" t="str">
            <v>Karisma Indoagro Universal, PT</v>
          </cell>
          <cell r="N3966" t="str">
            <v>Karisma Indoagro Universal, PT</v>
          </cell>
          <cell r="O3966" t="str">
            <v>Jl. Semeru No. 89 RT.001/RW.004, Ajung</v>
          </cell>
          <cell r="P3966" t="str">
            <v>Jember</v>
          </cell>
          <cell r="Q3966" t="str">
            <v>Jl. Semeru No. 89 RT.001/RW.004, Ajung</v>
          </cell>
          <cell r="R3966" t="str">
            <v>Jember</v>
          </cell>
          <cell r="S3966" t="str">
            <v>L Kota1</v>
          </cell>
          <cell r="T3966" t="str">
            <v>OTHERS</v>
          </cell>
          <cell r="U3966">
            <v>60</v>
          </cell>
        </row>
        <row r="3967">
          <cell r="E3967" t="str">
            <v>T25000578</v>
          </cell>
          <cell r="F3967"/>
          <cell r="G3967">
            <v>1000000000</v>
          </cell>
          <cell r="H3967" t="str">
            <v>Others</v>
          </cell>
          <cell r="I3967" t="str">
            <v>Exclusive</v>
          </cell>
          <cell r="J3967" t="str">
            <v>New 06/04/21</v>
          </cell>
          <cell r="K3967" t="str">
            <v>HDPD</v>
          </cell>
          <cell r="L3967" t="str">
            <v>KARI09</v>
          </cell>
          <cell r="M3967" t="str">
            <v>Karisma Indoagro Universal, PT</v>
          </cell>
          <cell r="N3967" t="str">
            <v>Karisma Indoagro Universal, PT</v>
          </cell>
          <cell r="O3967" t="str">
            <v>Jl. Semeru No. 89 RT.001/RW.004, Ajung</v>
          </cell>
          <cell r="P3967" t="str">
            <v>Jember</v>
          </cell>
          <cell r="Q3967" t="str">
            <v>Jl. Semeru No. 89 RT.001/RW.004, Ajung</v>
          </cell>
          <cell r="R3967" t="str">
            <v>Jember</v>
          </cell>
          <cell r="S3967" t="str">
            <v>L Kota1</v>
          </cell>
          <cell r="T3967" t="str">
            <v>OTHERS</v>
          </cell>
          <cell r="U3967">
            <v>60</v>
          </cell>
        </row>
        <row r="3968">
          <cell r="E3968" t="str">
            <v>T25000626</v>
          </cell>
          <cell r="F3968"/>
          <cell r="G3968">
            <v>1000000000</v>
          </cell>
          <cell r="H3968" t="str">
            <v>Others</v>
          </cell>
          <cell r="I3968" t="str">
            <v>Exclusive</v>
          </cell>
          <cell r="J3968" t="str">
            <v>New 06/04/21</v>
          </cell>
          <cell r="K3968" t="str">
            <v>HDPD</v>
          </cell>
          <cell r="L3968" t="str">
            <v>KARI09</v>
          </cell>
          <cell r="M3968" t="str">
            <v>Karisma Indoagro Universal, PT</v>
          </cell>
          <cell r="N3968" t="str">
            <v>Karisma Indoagro Universal, PT</v>
          </cell>
          <cell r="O3968" t="str">
            <v>Jl. Semeru No. 89 RT.001/RW.004, Ajung</v>
          </cell>
          <cell r="P3968" t="str">
            <v>Jember</v>
          </cell>
          <cell r="Q3968" t="str">
            <v>Jl. Semeru No. 89 RT.001/RW.004, Ajung</v>
          </cell>
          <cell r="R3968" t="str">
            <v>Jember</v>
          </cell>
          <cell r="S3968" t="str">
            <v>L Kota1</v>
          </cell>
          <cell r="T3968" t="str">
            <v>OTHERS</v>
          </cell>
          <cell r="U3968">
            <v>60</v>
          </cell>
        </row>
        <row r="3969">
          <cell r="E3969" t="str">
            <v>T25000685</v>
          </cell>
          <cell r="F3969"/>
          <cell r="G3969">
            <v>1000000000</v>
          </cell>
          <cell r="H3969" t="str">
            <v>Others</v>
          </cell>
          <cell r="I3969" t="str">
            <v>Exclusive</v>
          </cell>
          <cell r="J3969" t="str">
            <v>New 06/04/21</v>
          </cell>
          <cell r="K3969" t="str">
            <v>HDPD</v>
          </cell>
          <cell r="L3969" t="str">
            <v>KARI09</v>
          </cell>
          <cell r="M3969" t="str">
            <v>Karisma Indoagro Universal, PT</v>
          </cell>
          <cell r="N3969" t="str">
            <v>Karisma Indoagro Universal, PT</v>
          </cell>
          <cell r="O3969" t="str">
            <v>Jl. Semeru No. 89 RT.001/RW.004, Ajung</v>
          </cell>
          <cell r="P3969" t="str">
            <v>Jember</v>
          </cell>
          <cell r="Q3969" t="str">
            <v>Jl. Semeru No. 89 RT.001/RW.004, Ajung</v>
          </cell>
          <cell r="R3969" t="str">
            <v>Jember</v>
          </cell>
          <cell r="S3969" t="str">
            <v>L Kota1</v>
          </cell>
          <cell r="T3969" t="str">
            <v>OTHERS</v>
          </cell>
          <cell r="U3969">
            <v>60</v>
          </cell>
        </row>
        <row r="3970">
          <cell r="E3970" t="str">
            <v>T25000686</v>
          </cell>
          <cell r="F3970"/>
          <cell r="G3970">
            <v>1000000000</v>
          </cell>
          <cell r="H3970" t="str">
            <v>Others</v>
          </cell>
          <cell r="I3970" t="str">
            <v>Exclusive</v>
          </cell>
          <cell r="J3970" t="str">
            <v>New 06/04/21</v>
          </cell>
          <cell r="K3970" t="str">
            <v>HDPD</v>
          </cell>
          <cell r="L3970" t="str">
            <v>KARI09</v>
          </cell>
          <cell r="M3970" t="str">
            <v>Karisma Indoagro Universal, PT</v>
          </cell>
          <cell r="N3970" t="str">
            <v>Karisma Indoagro Universal, PT</v>
          </cell>
          <cell r="O3970" t="str">
            <v>Jl. Semeru No. 89 RT.001/RW.004, Ajung</v>
          </cell>
          <cell r="P3970" t="str">
            <v>Jember</v>
          </cell>
          <cell r="Q3970" t="str">
            <v>Jl. Semeru No. 89 RT.001/RW.004, Ajung</v>
          </cell>
          <cell r="R3970" t="str">
            <v>Jember</v>
          </cell>
          <cell r="S3970" t="str">
            <v>L Kota1</v>
          </cell>
          <cell r="T3970" t="str">
            <v>OTHERS</v>
          </cell>
          <cell r="U3970">
            <v>60</v>
          </cell>
        </row>
        <row r="3971">
          <cell r="E3971" t="str">
            <v>T25000702</v>
          </cell>
          <cell r="F3971"/>
          <cell r="G3971">
            <v>1000000000</v>
          </cell>
          <cell r="H3971" t="str">
            <v>Others</v>
          </cell>
          <cell r="I3971" t="str">
            <v>Exclusive</v>
          </cell>
          <cell r="J3971" t="str">
            <v>New 06/04/21</v>
          </cell>
          <cell r="K3971" t="str">
            <v>HDPD</v>
          </cell>
          <cell r="L3971" t="str">
            <v>KARI09</v>
          </cell>
          <cell r="M3971" t="str">
            <v>Karisma Indoagro Universal, PT</v>
          </cell>
          <cell r="N3971" t="str">
            <v>Karisma Indoagro Universal, PT</v>
          </cell>
          <cell r="O3971" t="str">
            <v>Jl. Semeru No. 89 RT.001/RW.004, Ajung</v>
          </cell>
          <cell r="P3971" t="str">
            <v>Jember</v>
          </cell>
          <cell r="Q3971" t="str">
            <v>Jl. Semeru No. 89 RT.001/RW.004, Ajung</v>
          </cell>
          <cell r="R3971" t="str">
            <v>Jember</v>
          </cell>
          <cell r="S3971" t="str">
            <v>L Kota1</v>
          </cell>
          <cell r="T3971" t="str">
            <v>OTHERS</v>
          </cell>
          <cell r="U3971">
            <v>60</v>
          </cell>
        </row>
        <row r="3972">
          <cell r="E3972" t="str">
            <v>T25000706</v>
          </cell>
          <cell r="F3972"/>
          <cell r="G3972">
            <v>1000000000</v>
          </cell>
          <cell r="H3972" t="str">
            <v>Others</v>
          </cell>
          <cell r="I3972" t="str">
            <v>Exclusive</v>
          </cell>
          <cell r="J3972" t="str">
            <v>New 06/04/21</v>
          </cell>
          <cell r="K3972" t="str">
            <v>HDPD</v>
          </cell>
          <cell r="L3972" t="str">
            <v>KARI09</v>
          </cell>
          <cell r="M3972" t="str">
            <v>Karisma Indoagro Universal, PT</v>
          </cell>
          <cell r="N3972" t="str">
            <v>Karisma Indoagro Universal, PT</v>
          </cell>
          <cell r="O3972" t="str">
            <v>Jl. Semeru No. 89 RT.001/RW.004, Ajung</v>
          </cell>
          <cell r="P3972" t="str">
            <v>Jember</v>
          </cell>
          <cell r="Q3972" t="str">
            <v>Jl. Semeru No. 89 RT.001/RW.004, Ajung</v>
          </cell>
          <cell r="R3972" t="str">
            <v>Jember</v>
          </cell>
          <cell r="S3972" t="str">
            <v>L Kota1</v>
          </cell>
          <cell r="T3972" t="str">
            <v>OTHERS</v>
          </cell>
          <cell r="U3972">
            <v>60</v>
          </cell>
        </row>
        <row r="3973">
          <cell r="E3973" t="str">
            <v>T25000707</v>
          </cell>
          <cell r="F3973"/>
          <cell r="G3973">
            <v>1000000000</v>
          </cell>
          <cell r="H3973" t="str">
            <v>Others</v>
          </cell>
          <cell r="I3973" t="str">
            <v>Exclusive</v>
          </cell>
          <cell r="J3973" t="str">
            <v>New 06/04/21</v>
          </cell>
          <cell r="K3973" t="str">
            <v>HDPD</v>
          </cell>
          <cell r="L3973" t="str">
            <v>KARI09</v>
          </cell>
          <cell r="M3973" t="str">
            <v>Karisma Indoagro Universal, PT</v>
          </cell>
          <cell r="N3973" t="str">
            <v>Karisma Indoagro Universal, PT</v>
          </cell>
          <cell r="O3973" t="str">
            <v>Jl. Semeru No. 89 RT.001/RW.004, Ajung</v>
          </cell>
          <cell r="P3973" t="str">
            <v>Jember</v>
          </cell>
          <cell r="Q3973" t="str">
            <v>Jl. Semeru No. 89 RT.001/RW.004, Ajung</v>
          </cell>
          <cell r="R3973" t="str">
            <v>Jember</v>
          </cell>
          <cell r="S3973" t="str">
            <v>L Kota1</v>
          </cell>
          <cell r="T3973" t="str">
            <v>OTHERS</v>
          </cell>
          <cell r="U3973">
            <v>60</v>
          </cell>
        </row>
        <row r="3974">
          <cell r="E3974" t="str">
            <v>T25000734</v>
          </cell>
          <cell r="F3974"/>
          <cell r="G3974">
            <v>1000000000</v>
          </cell>
          <cell r="H3974" t="str">
            <v>Others</v>
          </cell>
          <cell r="I3974" t="str">
            <v>Exclusive</v>
          </cell>
          <cell r="J3974" t="str">
            <v>New 06/04/21</v>
          </cell>
          <cell r="K3974" t="str">
            <v>HDPD</v>
          </cell>
          <cell r="L3974" t="str">
            <v>KARI09</v>
          </cell>
          <cell r="M3974" t="str">
            <v>Karisma Indoagro Universal, PT</v>
          </cell>
          <cell r="N3974" t="str">
            <v>Karisma Indoagro Universal, PT</v>
          </cell>
          <cell r="O3974" t="str">
            <v>Jl. Semeru No. 89 RT.001/RW.004, Ajung</v>
          </cell>
          <cell r="P3974" t="str">
            <v>Jember</v>
          </cell>
          <cell r="Q3974" t="str">
            <v>Jl. Semeru No. 89 RT.001/RW.004, Ajung</v>
          </cell>
          <cell r="R3974" t="str">
            <v>Jember</v>
          </cell>
          <cell r="S3974" t="str">
            <v>L Kota1</v>
          </cell>
          <cell r="T3974" t="str">
            <v>OTHERS</v>
          </cell>
          <cell r="U3974">
            <v>60</v>
          </cell>
        </row>
        <row r="3975">
          <cell r="E3975" t="str">
            <v>T25000735</v>
          </cell>
          <cell r="F3975"/>
          <cell r="G3975">
            <v>1000000000</v>
          </cell>
          <cell r="H3975" t="str">
            <v>Others</v>
          </cell>
          <cell r="I3975" t="str">
            <v>Exclusive</v>
          </cell>
          <cell r="J3975" t="str">
            <v>New 06/04/21</v>
          </cell>
          <cell r="K3975" t="str">
            <v>HDPD</v>
          </cell>
          <cell r="L3975" t="str">
            <v>KARI09</v>
          </cell>
          <cell r="M3975" t="str">
            <v>Karisma Indoagro Universal, PT</v>
          </cell>
          <cell r="N3975" t="str">
            <v>Karisma Indoagro Universal, PT</v>
          </cell>
          <cell r="O3975" t="str">
            <v>Jl. Semeru No. 89 RT.001/RW.004, Ajung</v>
          </cell>
          <cell r="P3975" t="str">
            <v>Jember</v>
          </cell>
          <cell r="Q3975" t="str">
            <v>Jl. Semeru No. 89 RT.001/RW.004, Ajung</v>
          </cell>
          <cell r="R3975" t="str">
            <v>Jember</v>
          </cell>
          <cell r="S3975" t="str">
            <v>L Kota1</v>
          </cell>
          <cell r="T3975" t="str">
            <v>OTHERS</v>
          </cell>
          <cell r="U3975">
            <v>60</v>
          </cell>
        </row>
        <row r="3976">
          <cell r="E3976" t="str">
            <v>T25000740</v>
          </cell>
          <cell r="F3976"/>
          <cell r="G3976">
            <v>1000000000</v>
          </cell>
          <cell r="H3976" t="str">
            <v>Others</v>
          </cell>
          <cell r="I3976" t="str">
            <v>Exclusive</v>
          </cell>
          <cell r="J3976" t="str">
            <v>New 06/04/21</v>
          </cell>
          <cell r="K3976" t="str">
            <v>HDPD</v>
          </cell>
          <cell r="L3976" t="str">
            <v>KARI09</v>
          </cell>
          <cell r="M3976" t="str">
            <v>Karisma Indoagro Universal, PT</v>
          </cell>
          <cell r="N3976" t="str">
            <v>Karisma Indoagro Universal, PT</v>
          </cell>
          <cell r="O3976" t="str">
            <v>Jl. Semeru No. 89 RT.001/RW.004, Ajung</v>
          </cell>
          <cell r="P3976" t="str">
            <v>Jember</v>
          </cell>
          <cell r="Q3976" t="str">
            <v>Jl. Semeru No. 89 RT.001/RW.004, Ajung</v>
          </cell>
          <cell r="R3976" t="str">
            <v>Jember</v>
          </cell>
          <cell r="S3976" t="str">
            <v>L Kota1</v>
          </cell>
          <cell r="T3976" t="str">
            <v>OTHERS</v>
          </cell>
          <cell r="U3976">
            <v>60</v>
          </cell>
        </row>
        <row r="3977">
          <cell r="E3977" t="str">
            <v>T25000764</v>
          </cell>
          <cell r="F3977"/>
          <cell r="G3977">
            <v>1000000000</v>
          </cell>
          <cell r="H3977" t="str">
            <v>Others</v>
          </cell>
          <cell r="I3977" t="str">
            <v>Exclusive</v>
          </cell>
          <cell r="J3977" t="str">
            <v>New 06/04/21</v>
          </cell>
          <cell r="K3977" t="str">
            <v>HDPD</v>
          </cell>
          <cell r="L3977" t="str">
            <v>KARI09</v>
          </cell>
          <cell r="M3977" t="str">
            <v>Karisma Indoagro Universal, PT</v>
          </cell>
          <cell r="N3977" t="str">
            <v>Karisma Indoagro Universal, PT</v>
          </cell>
          <cell r="O3977" t="str">
            <v>Jl. Semeru No. 89 RT.001/RW.004, Ajung</v>
          </cell>
          <cell r="P3977" t="str">
            <v>Jember</v>
          </cell>
          <cell r="Q3977" t="str">
            <v>Jl. Semeru No. 89 RT.001/RW.004, Ajung</v>
          </cell>
          <cell r="R3977" t="str">
            <v>Jember</v>
          </cell>
          <cell r="S3977" t="str">
            <v>L Kota1</v>
          </cell>
          <cell r="T3977" t="str">
            <v>OTHERS</v>
          </cell>
          <cell r="U3977">
            <v>60</v>
          </cell>
        </row>
        <row r="3978">
          <cell r="E3978" t="str">
            <v>T25000770</v>
          </cell>
          <cell r="F3978"/>
          <cell r="G3978">
            <v>1000000000</v>
          </cell>
          <cell r="H3978" t="str">
            <v>Others</v>
          </cell>
          <cell r="I3978" t="str">
            <v>Exclusive</v>
          </cell>
          <cell r="J3978" t="str">
            <v>New 06/04/21</v>
          </cell>
          <cell r="K3978" t="str">
            <v>HDPD</v>
          </cell>
          <cell r="L3978" t="str">
            <v>KARI09</v>
          </cell>
          <cell r="M3978" t="str">
            <v>Karisma Indoagro Universal, PT</v>
          </cell>
          <cell r="N3978" t="str">
            <v>Karisma Indoagro Universal, PT</v>
          </cell>
          <cell r="O3978" t="str">
            <v>Jl. Semeru No. 89 RT.001/RW.004, Ajung</v>
          </cell>
          <cell r="P3978" t="str">
            <v>Jember</v>
          </cell>
          <cell r="Q3978" t="str">
            <v>Jl. Semeru No. 89 RT.001/RW.004, Ajung</v>
          </cell>
          <cell r="R3978" t="str">
            <v>Jember</v>
          </cell>
          <cell r="S3978" t="str">
            <v>L Kota1</v>
          </cell>
          <cell r="T3978" t="str">
            <v>OTHERS</v>
          </cell>
          <cell r="U3978">
            <v>60</v>
          </cell>
        </row>
        <row r="3979">
          <cell r="E3979" t="str">
            <v>R25000015</v>
          </cell>
          <cell r="F3979"/>
          <cell r="G3979">
            <v>1000000000</v>
          </cell>
          <cell r="H3979" t="str">
            <v>Others</v>
          </cell>
          <cell r="I3979" t="str">
            <v>Exclusive</v>
          </cell>
          <cell r="J3979" t="str">
            <v>New 06/04/21</v>
          </cell>
          <cell r="K3979" t="str">
            <v>HDPD</v>
          </cell>
          <cell r="L3979" t="str">
            <v>KARI09</v>
          </cell>
          <cell r="M3979" t="str">
            <v>Karisma Indoagro Universal, PT</v>
          </cell>
          <cell r="N3979" t="str">
            <v>Karisma Indoagro Universal, PT</v>
          </cell>
          <cell r="O3979" t="str">
            <v>Jl. Semeru No. 89 RT.001/RW.004, Ajung</v>
          </cell>
          <cell r="P3979" t="str">
            <v>Jember</v>
          </cell>
          <cell r="Q3979" t="str">
            <v>Jl. Semeru No. 89 RT.001/RW.004, Ajung</v>
          </cell>
          <cell r="R3979" t="str">
            <v>Jember</v>
          </cell>
          <cell r="S3979" t="str">
            <v>L Kota1</v>
          </cell>
          <cell r="T3979" t="str">
            <v>OTHERS</v>
          </cell>
          <cell r="U3979">
            <v>0</v>
          </cell>
        </row>
        <row r="3980">
          <cell r="E3980" t="str">
            <v>T25000878</v>
          </cell>
          <cell r="F3980"/>
          <cell r="G3980">
            <v>1000000000</v>
          </cell>
          <cell r="H3980" t="str">
            <v>Others</v>
          </cell>
          <cell r="I3980" t="str">
            <v>Exclusive</v>
          </cell>
          <cell r="J3980" t="str">
            <v>New 06/04/21</v>
          </cell>
          <cell r="K3980" t="str">
            <v>HDPD</v>
          </cell>
          <cell r="L3980" t="str">
            <v>KARI09</v>
          </cell>
          <cell r="M3980" t="str">
            <v>Karisma Indoagro Universal, PT</v>
          </cell>
          <cell r="N3980" t="str">
            <v>Karisma Indoagro Universal, PT</v>
          </cell>
          <cell r="O3980" t="str">
            <v>Jl. Semeru No. 89 RT.001/RW.004, Ajung</v>
          </cell>
          <cell r="P3980" t="str">
            <v>Jember</v>
          </cell>
          <cell r="Q3980" t="str">
            <v>Jl. Semeru No. 89 RT.001/RW.004, Ajung</v>
          </cell>
          <cell r="R3980" t="str">
            <v>Jember</v>
          </cell>
          <cell r="S3980" t="str">
            <v>L Kota1</v>
          </cell>
          <cell r="T3980" t="str">
            <v>OTHERS</v>
          </cell>
          <cell r="U3980">
            <v>60</v>
          </cell>
        </row>
        <row r="3981">
          <cell r="E3981" t="str">
            <v>T25000886</v>
          </cell>
          <cell r="F3981"/>
          <cell r="G3981">
            <v>1000000000</v>
          </cell>
          <cell r="H3981" t="str">
            <v>Others</v>
          </cell>
          <cell r="I3981" t="str">
            <v>Exclusive</v>
          </cell>
          <cell r="J3981" t="str">
            <v>New 06/04/21</v>
          </cell>
          <cell r="K3981" t="str">
            <v>HDPD</v>
          </cell>
          <cell r="L3981" t="str">
            <v>KARI09</v>
          </cell>
          <cell r="M3981" t="str">
            <v>Karisma Indoagro Universal, PT</v>
          </cell>
          <cell r="N3981" t="str">
            <v>Karisma Indoagro Universal, PT</v>
          </cell>
          <cell r="O3981" t="str">
            <v>Jl. Semeru No. 89 RT.001/RW.004, Ajung</v>
          </cell>
          <cell r="P3981" t="str">
            <v>Jember</v>
          </cell>
          <cell r="Q3981" t="str">
            <v>Jl. Semeru No. 89 RT.001/RW.004, Ajung</v>
          </cell>
          <cell r="R3981" t="str">
            <v>Jember</v>
          </cell>
          <cell r="S3981" t="str">
            <v>L Kota1</v>
          </cell>
          <cell r="T3981" t="str">
            <v>OTHERS</v>
          </cell>
          <cell r="U3981">
            <v>60</v>
          </cell>
        </row>
        <row r="3982">
          <cell r="E3982" t="str">
            <v>T25000887</v>
          </cell>
          <cell r="F3982"/>
          <cell r="G3982">
            <v>1000000000</v>
          </cell>
          <cell r="H3982" t="str">
            <v>Others</v>
          </cell>
          <cell r="I3982" t="str">
            <v>Exclusive</v>
          </cell>
          <cell r="J3982" t="str">
            <v>New 06/04/21</v>
          </cell>
          <cell r="K3982" t="str">
            <v>HDPD</v>
          </cell>
          <cell r="L3982" t="str">
            <v>KARI09</v>
          </cell>
          <cell r="M3982" t="str">
            <v>Karisma Indoagro Universal, PT</v>
          </cell>
          <cell r="N3982" t="str">
            <v>Karisma Indoagro Universal, PT</v>
          </cell>
          <cell r="O3982" t="str">
            <v>Jl. Semeru No. 89 RT.001/RW.004, Ajung</v>
          </cell>
          <cell r="P3982" t="str">
            <v>Jember</v>
          </cell>
          <cell r="Q3982" t="str">
            <v>Jl. Semeru No. 89 RT.001/RW.004, Ajung</v>
          </cell>
          <cell r="R3982" t="str">
            <v>Jember</v>
          </cell>
          <cell r="S3982" t="str">
            <v>L Kota1</v>
          </cell>
          <cell r="T3982" t="str">
            <v>OTHERS</v>
          </cell>
          <cell r="U3982">
            <v>60</v>
          </cell>
        </row>
        <row r="3983">
          <cell r="E3983" t="str">
            <v>T25000888</v>
          </cell>
          <cell r="F3983"/>
          <cell r="G3983">
            <v>1000000000</v>
          </cell>
          <cell r="H3983" t="str">
            <v>Others</v>
          </cell>
          <cell r="I3983" t="str">
            <v>Exclusive</v>
          </cell>
          <cell r="J3983" t="str">
            <v>New 06/04/21</v>
          </cell>
          <cell r="K3983" t="str">
            <v>HDPD</v>
          </cell>
          <cell r="L3983" t="str">
            <v>KARI09</v>
          </cell>
          <cell r="M3983" t="str">
            <v>Karisma Indoagro Universal, PT</v>
          </cell>
          <cell r="N3983" t="str">
            <v>Karisma Indoagro Universal, PT</v>
          </cell>
          <cell r="O3983" t="str">
            <v>Jl. Semeru No. 89 RT.001/RW.004, Ajung</v>
          </cell>
          <cell r="P3983" t="str">
            <v>Jember</v>
          </cell>
          <cell r="Q3983" t="str">
            <v>Jl. Semeru No. 89 RT.001/RW.004, Ajung</v>
          </cell>
          <cell r="R3983" t="str">
            <v>Jember</v>
          </cell>
          <cell r="S3983" t="str">
            <v>L Kota1</v>
          </cell>
          <cell r="T3983" t="str">
            <v>OTHERS</v>
          </cell>
          <cell r="U3983">
            <v>60</v>
          </cell>
        </row>
        <row r="3984">
          <cell r="E3984" t="str">
            <v>T25000895</v>
          </cell>
          <cell r="F3984"/>
          <cell r="G3984">
            <v>1000000000</v>
          </cell>
          <cell r="H3984" t="str">
            <v>Others</v>
          </cell>
          <cell r="I3984" t="str">
            <v>Exclusive</v>
          </cell>
          <cell r="J3984" t="str">
            <v>New 06/04/21</v>
          </cell>
          <cell r="K3984" t="str">
            <v>HDPD</v>
          </cell>
          <cell r="L3984" t="str">
            <v>KARI09</v>
          </cell>
          <cell r="M3984" t="str">
            <v>Karisma Indoagro Universal, PT</v>
          </cell>
          <cell r="N3984" t="str">
            <v>Karisma Indoagro Universal, PT</v>
          </cell>
          <cell r="O3984" t="str">
            <v>Jl. Semeru No. 89 RT.001/RW.004, Ajung</v>
          </cell>
          <cell r="P3984" t="str">
            <v>Jember</v>
          </cell>
          <cell r="Q3984" t="str">
            <v>Jl. Semeru No. 89 RT.001/RW.004, Ajung</v>
          </cell>
          <cell r="R3984" t="str">
            <v>Jember</v>
          </cell>
          <cell r="S3984" t="str">
            <v>L Kota1</v>
          </cell>
          <cell r="T3984" t="str">
            <v>OTHERS</v>
          </cell>
          <cell r="U3984">
            <v>60</v>
          </cell>
        </row>
        <row r="3985">
          <cell r="E3985" t="str">
            <v>T25000902</v>
          </cell>
          <cell r="F3985"/>
          <cell r="G3985">
            <v>1000000000</v>
          </cell>
          <cell r="H3985" t="str">
            <v>Others</v>
          </cell>
          <cell r="I3985" t="str">
            <v>Exclusive</v>
          </cell>
          <cell r="J3985" t="str">
            <v>New 06/04/21</v>
          </cell>
          <cell r="K3985" t="str">
            <v>HDPD</v>
          </cell>
          <cell r="L3985" t="str">
            <v>KARI09</v>
          </cell>
          <cell r="M3985" t="str">
            <v>Karisma Indoagro Universal, PT</v>
          </cell>
          <cell r="N3985" t="str">
            <v>Karisma Indoagro Universal, PT</v>
          </cell>
          <cell r="O3985" t="str">
            <v>Jl. Semeru No. 89 RT.001/RW.004, Ajung</v>
          </cell>
          <cell r="P3985" t="str">
            <v>Jember</v>
          </cell>
          <cell r="Q3985" t="str">
            <v>Jl. Semeru No. 89 RT.001/RW.004, Ajung</v>
          </cell>
          <cell r="R3985" t="str">
            <v>Jember</v>
          </cell>
          <cell r="S3985" t="str">
            <v>L Kota1</v>
          </cell>
          <cell r="T3985" t="str">
            <v>OTHERS</v>
          </cell>
          <cell r="U3985">
            <v>60</v>
          </cell>
        </row>
        <row r="3986">
          <cell r="E3986" t="str">
            <v>T25000903</v>
          </cell>
          <cell r="F3986"/>
          <cell r="G3986">
            <v>1000000000</v>
          </cell>
          <cell r="H3986" t="str">
            <v>Others</v>
          </cell>
          <cell r="I3986" t="str">
            <v>Exclusive</v>
          </cell>
          <cell r="J3986" t="str">
            <v>New 06/04/21</v>
          </cell>
          <cell r="K3986" t="str">
            <v>HDPD</v>
          </cell>
          <cell r="L3986" t="str">
            <v>KARI09</v>
          </cell>
          <cell r="M3986" t="str">
            <v>Karisma Indoagro Universal, PT</v>
          </cell>
          <cell r="N3986" t="str">
            <v>Karisma Indoagro Universal, PT</v>
          </cell>
          <cell r="O3986" t="str">
            <v>Jl. Semeru No. 89 RT.001/RW.004, Ajung</v>
          </cell>
          <cell r="P3986" t="str">
            <v>Jember</v>
          </cell>
          <cell r="Q3986" t="str">
            <v>Jl. Semeru No. 89 RT.001/RW.004, Ajung</v>
          </cell>
          <cell r="R3986" t="str">
            <v>Jember</v>
          </cell>
          <cell r="S3986" t="str">
            <v>L Kota1</v>
          </cell>
          <cell r="T3986" t="str">
            <v>OTHERS</v>
          </cell>
          <cell r="U3986">
            <v>60</v>
          </cell>
        </row>
        <row r="3987">
          <cell r="E3987" t="str">
            <v>T25000912</v>
          </cell>
          <cell r="F3987"/>
          <cell r="G3987">
            <v>1000000000</v>
          </cell>
          <cell r="H3987" t="str">
            <v>Others</v>
          </cell>
          <cell r="I3987" t="str">
            <v>Exclusive</v>
          </cell>
          <cell r="J3987" t="str">
            <v>New 06/04/21</v>
          </cell>
          <cell r="K3987" t="str">
            <v>HDPD</v>
          </cell>
          <cell r="L3987" t="str">
            <v>KARI09</v>
          </cell>
          <cell r="M3987" t="str">
            <v>Karisma Indoagro Universal, PT</v>
          </cell>
          <cell r="N3987" t="str">
            <v>Karisma Indoagro Universal, PT</v>
          </cell>
          <cell r="O3987" t="str">
            <v>Jl. Semeru No. 89 RT.001/RW.004, Ajung</v>
          </cell>
          <cell r="P3987" t="str">
            <v>Jember</v>
          </cell>
          <cell r="Q3987" t="str">
            <v>Jl. Semeru No. 89 RT.001/RW.004, Ajung</v>
          </cell>
          <cell r="R3987" t="str">
            <v>Jember</v>
          </cell>
          <cell r="S3987" t="str">
            <v>L Kota1</v>
          </cell>
          <cell r="T3987" t="str">
            <v>OTHERS</v>
          </cell>
          <cell r="U3987">
            <v>0</v>
          </cell>
        </row>
        <row r="3988">
          <cell r="E3988" t="str">
            <v>T25000914</v>
          </cell>
          <cell r="F3988"/>
          <cell r="G3988">
            <v>1000000000</v>
          </cell>
          <cell r="H3988" t="str">
            <v>Others</v>
          </cell>
          <cell r="I3988" t="str">
            <v>Exclusive</v>
          </cell>
          <cell r="J3988" t="str">
            <v>New 06/04/21</v>
          </cell>
          <cell r="K3988" t="str">
            <v>HDPD</v>
          </cell>
          <cell r="L3988" t="str">
            <v>KARI09</v>
          </cell>
          <cell r="M3988" t="str">
            <v>Karisma Indoagro Universal, PT</v>
          </cell>
          <cell r="N3988" t="str">
            <v>Karisma Indoagro Universal, PT</v>
          </cell>
          <cell r="O3988" t="str">
            <v>Jl. Semeru No. 89 RT.001/RW.004, Ajung</v>
          </cell>
          <cell r="P3988" t="str">
            <v>Jember</v>
          </cell>
          <cell r="Q3988" t="str">
            <v>Jl. Semeru No. 89 RT.001/RW.004, Ajung</v>
          </cell>
          <cell r="R3988" t="str">
            <v>Jember</v>
          </cell>
          <cell r="S3988" t="str">
            <v>L Kota1</v>
          </cell>
          <cell r="T3988" t="str">
            <v>OTHERS</v>
          </cell>
          <cell r="U3988">
            <v>60</v>
          </cell>
        </row>
        <row r="3989">
          <cell r="E3989" t="str">
            <v>T25000915</v>
          </cell>
          <cell r="F3989"/>
          <cell r="G3989">
            <v>1000000000</v>
          </cell>
          <cell r="H3989" t="str">
            <v>Others</v>
          </cell>
          <cell r="I3989" t="str">
            <v>Exclusive</v>
          </cell>
          <cell r="J3989" t="str">
            <v>New 06/04/21</v>
          </cell>
          <cell r="K3989" t="str">
            <v>HDPD</v>
          </cell>
          <cell r="L3989" t="str">
            <v>KARI09</v>
          </cell>
          <cell r="M3989" t="str">
            <v>Karisma Indoagro Universal, PT</v>
          </cell>
          <cell r="N3989" t="str">
            <v>Karisma Indoagro Universal, PT</v>
          </cell>
          <cell r="O3989" t="str">
            <v>Jl. Semeru No. 89 RT.001/RW.004, Ajung</v>
          </cell>
          <cell r="P3989" t="str">
            <v>Jember</v>
          </cell>
          <cell r="Q3989" t="str">
            <v>Jl. Semeru No. 89 RT.001/RW.004, Ajung</v>
          </cell>
          <cell r="R3989" t="str">
            <v>Jember</v>
          </cell>
          <cell r="S3989" t="str">
            <v>L Kota1</v>
          </cell>
          <cell r="T3989" t="str">
            <v>OTHERS</v>
          </cell>
          <cell r="U3989">
            <v>60</v>
          </cell>
        </row>
        <row r="3990">
          <cell r="E3990" t="str">
            <v>C25000475</v>
          </cell>
          <cell r="F3990"/>
          <cell r="G3990">
            <v>1000000000</v>
          </cell>
          <cell r="H3990" t="str">
            <v>Others</v>
          </cell>
          <cell r="I3990" t="str">
            <v>Exclusive</v>
          </cell>
          <cell r="J3990" t="str">
            <v>New 06/04/21</v>
          </cell>
          <cell r="K3990" t="str">
            <v>HDPD</v>
          </cell>
          <cell r="L3990" t="str">
            <v>KARI09</v>
          </cell>
          <cell r="M3990" t="str">
            <v>Karisma Indoagro Universal, PT</v>
          </cell>
          <cell r="N3990" t="str">
            <v>Karisma Indoagro Universal, PT</v>
          </cell>
          <cell r="O3990" t="str">
            <v>Jl. Semeru No. 89 RT.001/RW.004, Ajung</v>
          </cell>
          <cell r="P3990" t="str">
            <v>Jember</v>
          </cell>
          <cell r="Q3990" t="str">
            <v>Jl. Semeru No. 89 RT.001/RW.004, Ajung</v>
          </cell>
          <cell r="R3990" t="str">
            <v>Jember</v>
          </cell>
          <cell r="S3990" t="str">
            <v>L Kota1</v>
          </cell>
          <cell r="T3990" t="str">
            <v>OTHERS</v>
          </cell>
          <cell r="U3990">
            <v>0</v>
          </cell>
        </row>
        <row r="3991">
          <cell r="E3991" t="str">
            <v>T25000936</v>
          </cell>
          <cell r="F3991"/>
          <cell r="G3991">
            <v>1000000000</v>
          </cell>
          <cell r="H3991" t="str">
            <v>Others</v>
          </cell>
          <cell r="I3991" t="str">
            <v>Exclusive</v>
          </cell>
          <cell r="J3991" t="str">
            <v>New 06/04/21</v>
          </cell>
          <cell r="K3991" t="str">
            <v>HDPD</v>
          </cell>
          <cell r="L3991" t="str">
            <v>KARI09</v>
          </cell>
          <cell r="M3991" t="str">
            <v>Karisma Indoagro Universal, PT</v>
          </cell>
          <cell r="N3991" t="str">
            <v>Karisma Indoagro Universal, PT</v>
          </cell>
          <cell r="O3991" t="str">
            <v>Jl. Semeru No. 89 RT.001/RW.004, Ajung</v>
          </cell>
          <cell r="P3991" t="str">
            <v>Jember</v>
          </cell>
          <cell r="Q3991" t="str">
            <v>Jl. Semeru No. 89 RT.001/RW.004, Ajung</v>
          </cell>
          <cell r="R3991" t="str">
            <v>Jember</v>
          </cell>
          <cell r="S3991" t="str">
            <v>L Kota1</v>
          </cell>
          <cell r="T3991" t="str">
            <v>OTHERS</v>
          </cell>
          <cell r="U3991">
            <v>60</v>
          </cell>
        </row>
        <row r="3992">
          <cell r="E3992" t="str">
            <v>T25000956</v>
          </cell>
          <cell r="F3992"/>
          <cell r="G3992">
            <v>1000000000</v>
          </cell>
          <cell r="H3992" t="str">
            <v>Others</v>
          </cell>
          <cell r="I3992" t="str">
            <v>Exclusive</v>
          </cell>
          <cell r="J3992" t="str">
            <v>New 06/04/21</v>
          </cell>
          <cell r="K3992" t="str">
            <v>HDPD</v>
          </cell>
          <cell r="L3992" t="str">
            <v>KARI09</v>
          </cell>
          <cell r="M3992" t="str">
            <v>Karisma Indoagro Universal, PT</v>
          </cell>
          <cell r="N3992" t="str">
            <v>Karisma Indoagro Universal, PT</v>
          </cell>
          <cell r="O3992" t="str">
            <v>Jl. Semeru No. 89 RT.001/RW.004, Ajung</v>
          </cell>
          <cell r="P3992" t="str">
            <v>Jember</v>
          </cell>
          <cell r="Q3992" t="str">
            <v>Jl. Semeru No. 89 RT.001/RW.004, Ajung</v>
          </cell>
          <cell r="R3992" t="str">
            <v>Jember</v>
          </cell>
          <cell r="S3992" t="str">
            <v>L Kota1</v>
          </cell>
          <cell r="T3992" t="str">
            <v>OTHERS</v>
          </cell>
          <cell r="U3992">
            <v>60</v>
          </cell>
        </row>
        <row r="3993">
          <cell r="E3993" t="str">
            <v>T25000957</v>
          </cell>
          <cell r="F3993"/>
          <cell r="G3993">
            <v>1000000000</v>
          </cell>
          <cell r="H3993" t="str">
            <v>Others</v>
          </cell>
          <cell r="I3993" t="str">
            <v>Exclusive</v>
          </cell>
          <cell r="J3993" t="str">
            <v>New 06/04/21</v>
          </cell>
          <cell r="K3993" t="str">
            <v>HDPD</v>
          </cell>
          <cell r="L3993" t="str">
            <v>KARI09</v>
          </cell>
          <cell r="M3993" t="str">
            <v>Karisma Indoagro Universal, PT</v>
          </cell>
          <cell r="N3993" t="str">
            <v>Karisma Indoagro Universal, PT</v>
          </cell>
          <cell r="O3993" t="str">
            <v>Jl. Semeru No. 89 RT.001/RW.004, Ajung</v>
          </cell>
          <cell r="P3993" t="str">
            <v>Jember</v>
          </cell>
          <cell r="Q3993" t="str">
            <v>Jl. Semeru No. 89 RT.001/RW.004, Ajung</v>
          </cell>
          <cell r="R3993" t="str">
            <v>Jember</v>
          </cell>
          <cell r="S3993" t="str">
            <v>L Kota1</v>
          </cell>
          <cell r="T3993" t="str">
            <v>OTHERS</v>
          </cell>
          <cell r="U3993">
            <v>60</v>
          </cell>
        </row>
        <row r="3994">
          <cell r="E3994" t="str">
            <v>T25000958</v>
          </cell>
          <cell r="F3994"/>
          <cell r="G3994">
            <v>1000000000</v>
          </cell>
          <cell r="H3994" t="str">
            <v>Others</v>
          </cell>
          <cell r="I3994" t="str">
            <v>Exclusive</v>
          </cell>
          <cell r="J3994" t="str">
            <v>New 06/04/21</v>
          </cell>
          <cell r="K3994" t="str">
            <v>HDPD</v>
          </cell>
          <cell r="L3994" t="str">
            <v>KARI09</v>
          </cell>
          <cell r="M3994" t="str">
            <v>Karisma Indoagro Universal, PT</v>
          </cell>
          <cell r="N3994" t="str">
            <v>Karisma Indoagro Universal, PT</v>
          </cell>
          <cell r="O3994" t="str">
            <v>Jl. Semeru No. 89 RT.001/RW.004, Ajung</v>
          </cell>
          <cell r="P3994" t="str">
            <v>Jember</v>
          </cell>
          <cell r="Q3994" t="str">
            <v>Jl. Semeru No. 89 RT.001/RW.004, Ajung</v>
          </cell>
          <cell r="R3994" t="str">
            <v>Jember</v>
          </cell>
          <cell r="S3994" t="str">
            <v>L Kota1</v>
          </cell>
          <cell r="T3994" t="str">
            <v>OTHERS</v>
          </cell>
          <cell r="U3994">
            <v>60</v>
          </cell>
        </row>
        <row r="3995">
          <cell r="E3995" t="str">
            <v>D25009205</v>
          </cell>
          <cell r="F3995"/>
          <cell r="G3995">
            <v>1000000000</v>
          </cell>
          <cell r="H3995" t="str">
            <v>Others</v>
          </cell>
          <cell r="I3995" t="str">
            <v>Exclusive</v>
          </cell>
          <cell r="J3995" t="str">
            <v>New 06/04/21</v>
          </cell>
          <cell r="K3995" t="str">
            <v>HDPD</v>
          </cell>
          <cell r="L3995" t="str">
            <v>KARI09</v>
          </cell>
          <cell r="M3995" t="str">
            <v>Karisma Indoagro Universal, PT</v>
          </cell>
          <cell r="N3995" t="str">
            <v>Karisma Indoagro Universal, PT</v>
          </cell>
          <cell r="O3995" t="str">
            <v>Jl. Semeru No. 89 RT.001/RW.004, Ajung</v>
          </cell>
          <cell r="P3995" t="str">
            <v>Jember</v>
          </cell>
          <cell r="Q3995" t="str">
            <v>Jl. Semeru No. 89 RT.001/RW.004, Ajung</v>
          </cell>
          <cell r="R3995" t="str">
            <v>Jember</v>
          </cell>
          <cell r="S3995" t="str">
            <v>L Kota1</v>
          </cell>
          <cell r="T3995" t="str">
            <v>OTHERS</v>
          </cell>
          <cell r="U3995">
            <v>30</v>
          </cell>
        </row>
        <row r="3996">
          <cell r="E3996" t="str">
            <v>T25000988</v>
          </cell>
          <cell r="F3996"/>
          <cell r="G3996">
            <v>1000000000</v>
          </cell>
          <cell r="H3996" t="str">
            <v>Others</v>
          </cell>
          <cell r="I3996" t="str">
            <v>Exclusive</v>
          </cell>
          <cell r="J3996" t="str">
            <v>New 06/04/21</v>
          </cell>
          <cell r="K3996" t="str">
            <v>HDPD</v>
          </cell>
          <cell r="L3996" t="str">
            <v>KARI09</v>
          </cell>
          <cell r="M3996" t="str">
            <v>Karisma Indoagro Universal, PT</v>
          </cell>
          <cell r="N3996" t="str">
            <v>Karisma Indoagro Universal, PT</v>
          </cell>
          <cell r="O3996" t="str">
            <v>Jl. Semeru No. 89 RT.001/RW.004, Ajung</v>
          </cell>
          <cell r="P3996" t="str">
            <v>Jember</v>
          </cell>
          <cell r="Q3996" t="str">
            <v>Jl. Semeru No. 89 RT.001/RW.004, Ajung</v>
          </cell>
          <cell r="R3996" t="str">
            <v>Jember</v>
          </cell>
          <cell r="S3996" t="str">
            <v>L Kota1</v>
          </cell>
          <cell r="T3996" t="str">
            <v>OTHERS</v>
          </cell>
          <cell r="U3996">
            <v>60</v>
          </cell>
        </row>
        <row r="3997">
          <cell r="E3997" t="str">
            <v>T25000997</v>
          </cell>
          <cell r="F3997"/>
          <cell r="G3997">
            <v>1000000000</v>
          </cell>
          <cell r="H3997" t="str">
            <v>Others</v>
          </cell>
          <cell r="I3997" t="str">
            <v>Exclusive</v>
          </cell>
          <cell r="J3997" t="str">
            <v>New 06/04/21</v>
          </cell>
          <cell r="K3997" t="str">
            <v>HDPD</v>
          </cell>
          <cell r="L3997" t="str">
            <v>KARI09</v>
          </cell>
          <cell r="M3997" t="str">
            <v>Karisma Indoagro Universal, PT</v>
          </cell>
          <cell r="N3997" t="str">
            <v>Karisma Indoagro Universal, PT</v>
          </cell>
          <cell r="O3997" t="str">
            <v>Jl. Semeru No. 89 RT.001/RW.004, Ajung</v>
          </cell>
          <cell r="P3997" t="str">
            <v>Jember</v>
          </cell>
          <cell r="Q3997" t="str">
            <v>Jl. Semeru No. 89 RT.001/RW.004, Ajung</v>
          </cell>
          <cell r="R3997" t="str">
            <v>Jember</v>
          </cell>
          <cell r="S3997" t="str">
            <v>L Kota1</v>
          </cell>
          <cell r="T3997" t="str">
            <v>OTHERS</v>
          </cell>
          <cell r="U3997">
            <v>60</v>
          </cell>
        </row>
        <row r="3998">
          <cell r="E3998" t="str">
            <v>T25000999</v>
          </cell>
          <cell r="F3998"/>
          <cell r="G3998">
            <v>1000000000</v>
          </cell>
          <cell r="H3998" t="str">
            <v>Others</v>
          </cell>
          <cell r="I3998" t="str">
            <v>Exclusive</v>
          </cell>
          <cell r="J3998" t="str">
            <v>New 06/04/21</v>
          </cell>
          <cell r="K3998" t="str">
            <v>HDPD</v>
          </cell>
          <cell r="L3998" t="str">
            <v>KARI09</v>
          </cell>
          <cell r="M3998" t="str">
            <v>Karisma Indoagro Universal, PT</v>
          </cell>
          <cell r="N3998" t="str">
            <v>Karisma Indoagro Universal, PT</v>
          </cell>
          <cell r="O3998" t="str">
            <v>Jl. Semeru No. 89 RT.001/RW.004, Ajung</v>
          </cell>
          <cell r="P3998" t="str">
            <v>Jember</v>
          </cell>
          <cell r="Q3998" t="str">
            <v>Jl. Semeru No. 89 RT.001/RW.004, Ajung</v>
          </cell>
          <cell r="R3998" t="str">
            <v>Jember</v>
          </cell>
          <cell r="S3998" t="str">
            <v>L Kota1</v>
          </cell>
          <cell r="T3998" t="str">
            <v>OTHERS</v>
          </cell>
          <cell r="U3998">
            <v>60</v>
          </cell>
        </row>
        <row r="3999">
          <cell r="E3999" t="str">
            <v>T25001020</v>
          </cell>
          <cell r="F3999"/>
          <cell r="G3999">
            <v>1000000000</v>
          </cell>
          <cell r="H3999" t="str">
            <v>Others</v>
          </cell>
          <cell r="I3999" t="str">
            <v>Exclusive</v>
          </cell>
          <cell r="J3999" t="str">
            <v>New 06/04/21</v>
          </cell>
          <cell r="K3999" t="str">
            <v>HDPD</v>
          </cell>
          <cell r="L3999" t="str">
            <v>KARI09</v>
          </cell>
          <cell r="M3999" t="str">
            <v>Karisma Indoagro Universal, PT</v>
          </cell>
          <cell r="N3999" t="str">
            <v>Karisma Indoagro Universal, PT</v>
          </cell>
          <cell r="O3999" t="str">
            <v>Jl. Semeru No. 89 RT.001/RW.004, Ajung</v>
          </cell>
          <cell r="P3999" t="str">
            <v>Jember</v>
          </cell>
          <cell r="Q3999" t="str">
            <v>Jl. Semeru No. 89 RT.001/RW.004, Ajung</v>
          </cell>
          <cell r="R3999" t="str">
            <v>Jember</v>
          </cell>
          <cell r="S3999" t="str">
            <v>L Kota1</v>
          </cell>
          <cell r="T3999" t="str">
            <v>OTHERS</v>
          </cell>
          <cell r="U3999">
            <v>60</v>
          </cell>
        </row>
        <row r="4000">
          <cell r="E4000" t="str">
            <v>T25001022</v>
          </cell>
          <cell r="F4000"/>
          <cell r="G4000">
            <v>1000000000</v>
          </cell>
          <cell r="H4000" t="str">
            <v>Others</v>
          </cell>
          <cell r="I4000" t="str">
            <v>Exclusive</v>
          </cell>
          <cell r="J4000" t="str">
            <v>New 06/04/21</v>
          </cell>
          <cell r="K4000" t="str">
            <v>HDPD</v>
          </cell>
          <cell r="L4000" t="str">
            <v>KARI09</v>
          </cell>
          <cell r="M4000" t="str">
            <v>Karisma Indoagro Universal, PT</v>
          </cell>
          <cell r="N4000" t="str">
            <v>Karisma Indoagro Universal, PT</v>
          </cell>
          <cell r="O4000" t="str">
            <v>Jl. Semeru No. 89 RT.001/RW.004, Ajung</v>
          </cell>
          <cell r="P4000" t="str">
            <v>Jember</v>
          </cell>
          <cell r="Q4000" t="str">
            <v>Jl. Semeru No. 89 RT.001/RW.004, Ajung</v>
          </cell>
          <cell r="R4000" t="str">
            <v>Jember</v>
          </cell>
          <cell r="S4000" t="str">
            <v>L Kota1</v>
          </cell>
          <cell r="T4000" t="str">
            <v>OTHERS</v>
          </cell>
          <cell r="U4000">
            <v>30</v>
          </cell>
        </row>
        <row r="4001">
          <cell r="E4001" t="str">
            <v>T25001023</v>
          </cell>
          <cell r="F4001"/>
          <cell r="G4001">
            <v>1000000000</v>
          </cell>
          <cell r="H4001" t="str">
            <v>Others</v>
          </cell>
          <cell r="I4001" t="str">
            <v>Exclusive</v>
          </cell>
          <cell r="J4001" t="str">
            <v>New 06/04/21</v>
          </cell>
          <cell r="K4001" t="str">
            <v>HDPD</v>
          </cell>
          <cell r="L4001" t="str">
            <v>KARI09</v>
          </cell>
          <cell r="M4001" t="str">
            <v>Karisma Indoagro Universal, PT</v>
          </cell>
          <cell r="N4001" t="str">
            <v>Karisma Indoagro Universal, PT</v>
          </cell>
          <cell r="O4001" t="str">
            <v>Jl. Semeru No. 89 RT.001/RW.004, Ajung</v>
          </cell>
          <cell r="P4001" t="str">
            <v>Jember</v>
          </cell>
          <cell r="Q4001" t="str">
            <v>Jl. Semeru No. 89 RT.001/RW.004, Ajung</v>
          </cell>
          <cell r="R4001" t="str">
            <v>Jember</v>
          </cell>
          <cell r="S4001" t="str">
            <v>L Kota1</v>
          </cell>
          <cell r="T4001" t="str">
            <v>OTHERS</v>
          </cell>
          <cell r="U4001">
            <v>60</v>
          </cell>
        </row>
        <row r="4002">
          <cell r="E4002" t="str">
            <v>T25001024</v>
          </cell>
          <cell r="F4002"/>
          <cell r="G4002">
            <v>1000000000</v>
          </cell>
          <cell r="H4002" t="str">
            <v>Others</v>
          </cell>
          <cell r="I4002" t="str">
            <v>Exclusive</v>
          </cell>
          <cell r="J4002" t="str">
            <v>New 06/04/21</v>
          </cell>
          <cell r="K4002" t="str">
            <v>HDPD</v>
          </cell>
          <cell r="L4002" t="str">
            <v>KARI09</v>
          </cell>
          <cell r="M4002" t="str">
            <v>Karisma Indoagro Universal, PT</v>
          </cell>
          <cell r="N4002" t="str">
            <v>Karisma Indoagro Universal, PT</v>
          </cell>
          <cell r="O4002" t="str">
            <v>Jl. Semeru No. 89 RT.001/RW.004, Ajung</v>
          </cell>
          <cell r="P4002" t="str">
            <v>Jember</v>
          </cell>
          <cell r="Q4002" t="str">
            <v>Jl. Semeru No. 89 RT.001/RW.004, Ajung</v>
          </cell>
          <cell r="R4002" t="str">
            <v>Jember</v>
          </cell>
          <cell r="S4002" t="str">
            <v>L Kota1</v>
          </cell>
          <cell r="T4002" t="str">
            <v>OTHERS</v>
          </cell>
          <cell r="U4002">
            <v>60</v>
          </cell>
        </row>
        <row r="4003">
          <cell r="E4003" t="str">
            <v>T25001025</v>
          </cell>
          <cell r="F4003"/>
          <cell r="G4003">
            <v>1000000000</v>
          </cell>
          <cell r="H4003" t="str">
            <v>Others</v>
          </cell>
          <cell r="I4003" t="str">
            <v>Exclusive</v>
          </cell>
          <cell r="J4003" t="str">
            <v>New 06/04/21</v>
          </cell>
          <cell r="K4003" t="str">
            <v>HDPD</v>
          </cell>
          <cell r="L4003" t="str">
            <v>KARI09</v>
          </cell>
          <cell r="M4003" t="str">
            <v>Karisma Indoagro Universal, PT</v>
          </cell>
          <cell r="N4003" t="str">
            <v>Karisma Indoagro Universal, PT</v>
          </cell>
          <cell r="O4003" t="str">
            <v>Jl. Semeru No. 89 RT.001/RW.004, Ajung</v>
          </cell>
          <cell r="P4003" t="str">
            <v>Jember</v>
          </cell>
          <cell r="Q4003" t="str">
            <v>Jl. Semeru No. 89 RT.001/RW.004, Ajung</v>
          </cell>
          <cell r="R4003" t="str">
            <v>Jember</v>
          </cell>
          <cell r="S4003" t="str">
            <v>L Kota1</v>
          </cell>
          <cell r="T4003" t="str">
            <v>OTHERS</v>
          </cell>
          <cell r="U4003">
            <v>60</v>
          </cell>
        </row>
        <row r="4004">
          <cell r="E4004" t="str">
            <v>T25001033</v>
          </cell>
          <cell r="F4004"/>
          <cell r="G4004">
            <v>1000000000</v>
          </cell>
          <cell r="H4004" t="str">
            <v>Others</v>
          </cell>
          <cell r="I4004" t="str">
            <v>Exclusive</v>
          </cell>
          <cell r="J4004" t="str">
            <v>New 06/04/21</v>
          </cell>
          <cell r="K4004" t="str">
            <v>HDPD</v>
          </cell>
          <cell r="L4004" t="str">
            <v>KARI09</v>
          </cell>
          <cell r="M4004" t="str">
            <v>Karisma Indoagro Universal, PT</v>
          </cell>
          <cell r="N4004" t="str">
            <v>Karisma Indoagro Universal, PT</v>
          </cell>
          <cell r="O4004" t="str">
            <v>Jl. Semeru No. 89 RT.001/RW.004, Ajung</v>
          </cell>
          <cell r="P4004" t="str">
            <v>Jember</v>
          </cell>
          <cell r="Q4004" t="str">
            <v>Jl. Semeru No. 89 RT.001/RW.004, Ajung</v>
          </cell>
          <cell r="R4004" t="str">
            <v>Jember</v>
          </cell>
          <cell r="S4004" t="str">
            <v>L Kota1</v>
          </cell>
          <cell r="T4004" t="str">
            <v>OTHERS</v>
          </cell>
          <cell r="U4004">
            <v>60</v>
          </cell>
        </row>
        <row r="4005">
          <cell r="E4005" t="str">
            <v>T25001062</v>
          </cell>
          <cell r="F4005"/>
          <cell r="G4005">
            <v>1000000000</v>
          </cell>
          <cell r="H4005" t="str">
            <v>Others</v>
          </cell>
          <cell r="I4005" t="str">
            <v>Exclusive</v>
          </cell>
          <cell r="J4005" t="str">
            <v>New 06/04/21</v>
          </cell>
          <cell r="K4005" t="str">
            <v>HDPD</v>
          </cell>
          <cell r="L4005" t="str">
            <v>KARI09</v>
          </cell>
          <cell r="M4005" t="str">
            <v>Karisma Indoagro Universal, PT</v>
          </cell>
          <cell r="N4005" t="str">
            <v>Karisma Indoagro Universal, PT</v>
          </cell>
          <cell r="O4005" t="str">
            <v>Jl. Semeru No. 89 RT.001/RW.004, Ajung</v>
          </cell>
          <cell r="P4005" t="str">
            <v>Jember</v>
          </cell>
          <cell r="Q4005" t="str">
            <v>Jl. Semeru No. 89 RT.001/RW.004, Ajung</v>
          </cell>
          <cell r="R4005" t="str">
            <v>Jember</v>
          </cell>
          <cell r="S4005" t="str">
            <v>L Kota1</v>
          </cell>
          <cell r="T4005" t="str">
            <v>OTHERS</v>
          </cell>
          <cell r="U4005">
            <v>60</v>
          </cell>
        </row>
        <row r="4006">
          <cell r="E4006" t="str">
            <v>T25001078</v>
          </cell>
          <cell r="F4006"/>
          <cell r="G4006">
            <v>1000000000</v>
          </cell>
          <cell r="H4006" t="str">
            <v>Others</v>
          </cell>
          <cell r="I4006" t="str">
            <v>Exclusive</v>
          </cell>
          <cell r="J4006" t="str">
            <v>New 06/04/21</v>
          </cell>
          <cell r="K4006" t="str">
            <v>HDPD</v>
          </cell>
          <cell r="L4006" t="str">
            <v>KARI09</v>
          </cell>
          <cell r="M4006" t="str">
            <v>Karisma Indoagro Universal, PT</v>
          </cell>
          <cell r="N4006" t="str">
            <v>Karisma Indoagro Universal, PT</v>
          </cell>
          <cell r="O4006" t="str">
            <v>Jl. Semeru No. 89 RT.001/RW.004, Ajung</v>
          </cell>
          <cell r="P4006" t="str">
            <v>Jember</v>
          </cell>
          <cell r="Q4006" t="str">
            <v>Jl. Semeru No. 89 RT.001/RW.004, Ajung</v>
          </cell>
          <cell r="R4006" t="str">
            <v>Jember</v>
          </cell>
          <cell r="S4006" t="str">
            <v>L Kota1</v>
          </cell>
          <cell r="T4006" t="str">
            <v>OTHERS</v>
          </cell>
          <cell r="U4006">
            <v>60</v>
          </cell>
        </row>
        <row r="4007">
          <cell r="E4007" t="str">
            <v>T25001110</v>
          </cell>
          <cell r="F4007"/>
          <cell r="G4007">
            <v>1000000000</v>
          </cell>
          <cell r="H4007" t="str">
            <v>Others</v>
          </cell>
          <cell r="I4007" t="str">
            <v>Exclusive</v>
          </cell>
          <cell r="J4007" t="str">
            <v>New 06/04/21</v>
          </cell>
          <cell r="K4007" t="str">
            <v>HDPD</v>
          </cell>
          <cell r="L4007" t="str">
            <v>KARI09</v>
          </cell>
          <cell r="M4007" t="str">
            <v>Karisma Indoagro Universal, PT</v>
          </cell>
          <cell r="N4007" t="str">
            <v>Karisma Indoagro Universal, PT</v>
          </cell>
          <cell r="O4007" t="str">
            <v>Jl. Semeru No. 89 RT.001/RW.004, Ajung</v>
          </cell>
          <cell r="P4007" t="str">
            <v>Jember</v>
          </cell>
          <cell r="Q4007" t="str">
            <v>Jl. Semeru No. 89 RT.001/RW.004, Ajung</v>
          </cell>
          <cell r="R4007" t="str">
            <v>Jember</v>
          </cell>
          <cell r="S4007" t="str">
            <v>L Kota1</v>
          </cell>
          <cell r="T4007" t="str">
            <v>OTHERS</v>
          </cell>
          <cell r="U4007">
            <v>60</v>
          </cell>
        </row>
        <row r="4008">
          <cell r="E4008" t="str">
            <v>T25001162</v>
          </cell>
          <cell r="F4008"/>
          <cell r="G4008">
            <v>1000000000</v>
          </cell>
          <cell r="H4008" t="str">
            <v>Others</v>
          </cell>
          <cell r="I4008" t="str">
            <v>Exclusive</v>
          </cell>
          <cell r="J4008" t="str">
            <v>New 06/04/21</v>
          </cell>
          <cell r="K4008" t="str">
            <v>HDPD</v>
          </cell>
          <cell r="L4008" t="str">
            <v>KARI09</v>
          </cell>
          <cell r="M4008" t="str">
            <v>Karisma Indoagro Universal, PT</v>
          </cell>
          <cell r="N4008" t="str">
            <v>Karisma Indoagro Universal, PT</v>
          </cell>
          <cell r="O4008" t="str">
            <v>Jl. Semeru No. 89 RT.001/RW.004, Ajung</v>
          </cell>
          <cell r="P4008" t="str">
            <v>Jember</v>
          </cell>
          <cell r="Q4008" t="str">
            <v>Jl. Semeru No. 89 RT.001/RW.004, Ajung</v>
          </cell>
          <cell r="R4008" t="str">
            <v>Jember</v>
          </cell>
          <cell r="S4008" t="str">
            <v>L Kota1</v>
          </cell>
          <cell r="T4008" t="str">
            <v>OTHERS</v>
          </cell>
          <cell r="U4008">
            <v>60</v>
          </cell>
        </row>
        <row r="4009">
          <cell r="E4009" t="str">
            <v>T25001165</v>
          </cell>
          <cell r="F4009"/>
          <cell r="G4009">
            <v>1000000000</v>
          </cell>
          <cell r="H4009" t="str">
            <v>Others</v>
          </cell>
          <cell r="I4009" t="str">
            <v>Exclusive</v>
          </cell>
          <cell r="J4009" t="str">
            <v>New 06/04/21</v>
          </cell>
          <cell r="K4009" t="str">
            <v>HDPD</v>
          </cell>
          <cell r="L4009" t="str">
            <v>KARI09</v>
          </cell>
          <cell r="M4009" t="str">
            <v>Karisma Indoagro Universal, PT</v>
          </cell>
          <cell r="N4009" t="str">
            <v>Karisma Indoagro Universal, PT</v>
          </cell>
          <cell r="O4009" t="str">
            <v>Jl. Semeru No. 89 RT.001/RW.004, Ajung</v>
          </cell>
          <cell r="P4009" t="str">
            <v>Jember</v>
          </cell>
          <cell r="Q4009" t="str">
            <v>Jl. Semeru No. 89 RT.001/RW.004, Ajung</v>
          </cell>
          <cell r="R4009" t="str">
            <v>Jember</v>
          </cell>
          <cell r="S4009" t="str">
            <v>L Kota1</v>
          </cell>
          <cell r="T4009" t="str">
            <v>OTHERS</v>
          </cell>
          <cell r="U4009">
            <v>60</v>
          </cell>
        </row>
        <row r="4010">
          <cell r="E4010" t="str">
            <v>T25001173</v>
          </cell>
          <cell r="F4010"/>
          <cell r="G4010">
            <v>1000000000</v>
          </cell>
          <cell r="H4010" t="str">
            <v>Others</v>
          </cell>
          <cell r="I4010" t="str">
            <v>Exclusive</v>
          </cell>
          <cell r="J4010" t="str">
            <v>New 06/04/21</v>
          </cell>
          <cell r="K4010" t="str">
            <v>HDPD</v>
          </cell>
          <cell r="L4010" t="str">
            <v>KARI09</v>
          </cell>
          <cell r="M4010" t="str">
            <v>Karisma Indoagro Universal, PT</v>
          </cell>
          <cell r="N4010" t="str">
            <v>Karisma Indoagro Universal, PT</v>
          </cell>
          <cell r="O4010" t="str">
            <v>Jl. Semeru No. 89 RT.001/RW.004, Ajung</v>
          </cell>
          <cell r="P4010" t="str">
            <v>Jember</v>
          </cell>
          <cell r="Q4010" t="str">
            <v>Jl. Semeru No. 89 RT.001/RW.004, Ajung</v>
          </cell>
          <cell r="R4010" t="str">
            <v>Jember</v>
          </cell>
          <cell r="S4010" t="str">
            <v>L Kota1</v>
          </cell>
          <cell r="T4010" t="str">
            <v>OTHERS</v>
          </cell>
          <cell r="U4010">
            <v>0</v>
          </cell>
        </row>
        <row r="4011">
          <cell r="E4011" t="str">
            <v>T25001189</v>
          </cell>
          <cell r="F4011"/>
          <cell r="G4011">
            <v>1000000000</v>
          </cell>
          <cell r="H4011" t="str">
            <v>Others</v>
          </cell>
          <cell r="I4011" t="str">
            <v>Exclusive</v>
          </cell>
          <cell r="J4011" t="str">
            <v>New 06/04/21</v>
          </cell>
          <cell r="K4011" t="str">
            <v>HDPD</v>
          </cell>
          <cell r="L4011" t="str">
            <v>KARI09</v>
          </cell>
          <cell r="M4011" t="str">
            <v>Karisma Indoagro Universal, PT</v>
          </cell>
          <cell r="N4011" t="str">
            <v>Karisma Indoagro Universal, PT</v>
          </cell>
          <cell r="O4011" t="str">
            <v>Jl. Semeru No. 89 RT.001/RW.004, Ajung</v>
          </cell>
          <cell r="P4011" t="str">
            <v>Jember</v>
          </cell>
          <cell r="Q4011" t="str">
            <v>Jl. Semeru No. 89 RT.001/RW.004, Ajung</v>
          </cell>
          <cell r="R4011" t="str">
            <v>Jember</v>
          </cell>
          <cell r="S4011" t="str">
            <v>L Kota1</v>
          </cell>
          <cell r="T4011" t="str">
            <v>OTHERS</v>
          </cell>
          <cell r="U4011">
            <v>0</v>
          </cell>
        </row>
        <row r="4012">
          <cell r="E4012" t="str">
            <v>T25001203</v>
          </cell>
          <cell r="F4012"/>
          <cell r="G4012">
            <v>1000000000</v>
          </cell>
          <cell r="H4012" t="str">
            <v>Others</v>
          </cell>
          <cell r="I4012" t="str">
            <v>Exclusive</v>
          </cell>
          <cell r="J4012" t="str">
            <v>New 06/04/21</v>
          </cell>
          <cell r="K4012" t="str">
            <v>HDPD</v>
          </cell>
          <cell r="L4012" t="str">
            <v>KARI09</v>
          </cell>
          <cell r="M4012" t="str">
            <v>Karisma Indoagro Universal, PT</v>
          </cell>
          <cell r="N4012" t="str">
            <v>Karisma Indoagro Universal, PT</v>
          </cell>
          <cell r="O4012" t="str">
            <v>Jl. Semeru No. 89 RT.001/RW.004, Ajung</v>
          </cell>
          <cell r="P4012" t="str">
            <v>Jember</v>
          </cell>
          <cell r="Q4012" t="str">
            <v>Jl. Semeru No. 89 RT.001/RW.004, Ajung</v>
          </cell>
          <cell r="R4012" t="str">
            <v>Jember</v>
          </cell>
          <cell r="S4012" t="str">
            <v>L Kota1</v>
          </cell>
          <cell r="T4012" t="str">
            <v>OTHERS</v>
          </cell>
          <cell r="U4012">
            <v>60</v>
          </cell>
        </row>
        <row r="4013">
          <cell r="E4013" t="str">
            <v>T25001207</v>
          </cell>
          <cell r="F4013"/>
          <cell r="G4013">
            <v>1000000000</v>
          </cell>
          <cell r="H4013" t="str">
            <v>Others</v>
          </cell>
          <cell r="I4013" t="str">
            <v>Exclusive</v>
          </cell>
          <cell r="J4013" t="str">
            <v>New 06/04/21</v>
          </cell>
          <cell r="K4013" t="str">
            <v>HDPD</v>
          </cell>
          <cell r="L4013" t="str">
            <v>KARI09</v>
          </cell>
          <cell r="M4013" t="str">
            <v>Karisma Indoagro Universal, PT</v>
          </cell>
          <cell r="N4013" t="str">
            <v>Karisma Indoagro Universal, PT</v>
          </cell>
          <cell r="O4013" t="str">
            <v>Jl. Semeru No. 89 RT.001/RW.004, Ajung</v>
          </cell>
          <cell r="P4013" t="str">
            <v>Jember</v>
          </cell>
          <cell r="Q4013" t="str">
            <v>Jl. Semeru No. 89 RT.001/RW.004, Ajung</v>
          </cell>
          <cell r="R4013" t="str">
            <v>Jember</v>
          </cell>
          <cell r="S4013" t="str">
            <v>L Kota1</v>
          </cell>
          <cell r="T4013" t="str">
            <v>OTHERS</v>
          </cell>
          <cell r="U4013">
            <v>60</v>
          </cell>
        </row>
        <row r="4014">
          <cell r="E4014" t="str">
            <v>T25001222</v>
          </cell>
          <cell r="F4014"/>
          <cell r="G4014">
            <v>1000000000</v>
          </cell>
          <cell r="H4014" t="str">
            <v>Others</v>
          </cell>
          <cell r="I4014" t="str">
            <v>Exclusive</v>
          </cell>
          <cell r="J4014" t="str">
            <v>New 06/04/21</v>
          </cell>
          <cell r="K4014" t="str">
            <v>HDPD</v>
          </cell>
          <cell r="L4014" t="str">
            <v>KARI09</v>
          </cell>
          <cell r="M4014" t="str">
            <v>Karisma Indoagro Universal, PT</v>
          </cell>
          <cell r="N4014" t="str">
            <v>Karisma Indoagro Universal, PT</v>
          </cell>
          <cell r="O4014" t="str">
            <v>Jl. Semeru No. 89 RT.001/RW.004, Ajung</v>
          </cell>
          <cell r="P4014" t="str">
            <v>Jember</v>
          </cell>
          <cell r="Q4014" t="str">
            <v>Jl. Semeru No. 89 RT.001/RW.004, Ajung</v>
          </cell>
          <cell r="R4014" t="str">
            <v>Jember</v>
          </cell>
          <cell r="S4014" t="str">
            <v>L Kota1</v>
          </cell>
          <cell r="T4014" t="str">
            <v>OTHERS</v>
          </cell>
          <cell r="U4014">
            <v>60</v>
          </cell>
        </row>
        <row r="4015">
          <cell r="E4015" t="str">
            <v>T25001269</v>
          </cell>
          <cell r="F4015"/>
          <cell r="G4015">
            <v>1000000000</v>
          </cell>
          <cell r="H4015" t="str">
            <v>Others</v>
          </cell>
          <cell r="I4015" t="str">
            <v>Exclusive</v>
          </cell>
          <cell r="J4015" t="str">
            <v>New 06/04/21</v>
          </cell>
          <cell r="K4015" t="str">
            <v>HDPD</v>
          </cell>
          <cell r="L4015" t="str">
            <v>KARI09</v>
          </cell>
          <cell r="M4015" t="str">
            <v>Karisma Indoagro Universal, PT</v>
          </cell>
          <cell r="N4015" t="str">
            <v>Karisma Indoagro Universal, PT</v>
          </cell>
          <cell r="O4015" t="str">
            <v>Jl. Semeru No. 89 RT.001/RW.004, Ajung</v>
          </cell>
          <cell r="P4015" t="str">
            <v>Jember</v>
          </cell>
          <cell r="Q4015" t="str">
            <v>Jl. Semeru No. 89 RT.001/RW.004, Ajung</v>
          </cell>
          <cell r="R4015" t="str">
            <v>Jember</v>
          </cell>
          <cell r="S4015" t="str">
            <v>L Kota1</v>
          </cell>
          <cell r="T4015" t="str">
            <v>OTHERS</v>
          </cell>
          <cell r="U4015">
            <v>60</v>
          </cell>
        </row>
        <row r="4016">
          <cell r="E4016" t="str">
            <v>T25001294</v>
          </cell>
          <cell r="F4016"/>
          <cell r="G4016">
            <v>1000000000</v>
          </cell>
          <cell r="H4016" t="str">
            <v>Others</v>
          </cell>
          <cell r="I4016" t="str">
            <v>Exclusive</v>
          </cell>
          <cell r="J4016" t="str">
            <v>New 06/04/21</v>
          </cell>
          <cell r="K4016" t="str">
            <v>HDPD</v>
          </cell>
          <cell r="L4016" t="str">
            <v>KARI09</v>
          </cell>
          <cell r="M4016" t="str">
            <v>Karisma Indoagro Universal, PT</v>
          </cell>
          <cell r="N4016" t="str">
            <v>Karisma Indoagro Universal, PT</v>
          </cell>
          <cell r="O4016" t="str">
            <v>Jl. Semeru No. 89 RT.001/RW.004, Ajung</v>
          </cell>
          <cell r="P4016" t="str">
            <v>Jember</v>
          </cell>
          <cell r="Q4016" t="str">
            <v>Jl. Semeru No. 89 RT.001/RW.004, Ajung</v>
          </cell>
          <cell r="R4016" t="str">
            <v>Jember</v>
          </cell>
          <cell r="S4016" t="str">
            <v>L Kota1</v>
          </cell>
          <cell r="T4016" t="str">
            <v>OTHERS</v>
          </cell>
          <cell r="U4016">
            <v>60</v>
          </cell>
        </row>
        <row r="4017">
          <cell r="E4017" t="str">
            <v>T25001317</v>
          </cell>
          <cell r="F4017"/>
          <cell r="G4017">
            <v>1000000000</v>
          </cell>
          <cell r="H4017" t="str">
            <v>Others</v>
          </cell>
          <cell r="I4017" t="str">
            <v>Exclusive</v>
          </cell>
          <cell r="J4017" t="str">
            <v>New 06/04/21</v>
          </cell>
          <cell r="K4017" t="str">
            <v>HDPD</v>
          </cell>
          <cell r="L4017" t="str">
            <v>KARI09</v>
          </cell>
          <cell r="M4017" t="str">
            <v>Karisma Indoagro Universal, PT</v>
          </cell>
          <cell r="N4017" t="str">
            <v>Karisma Indoagro Universal, PT</v>
          </cell>
          <cell r="O4017" t="str">
            <v>Jl. Semeru No. 89 RT.001/RW.004, Ajung</v>
          </cell>
          <cell r="P4017" t="str">
            <v>Jember</v>
          </cell>
          <cell r="Q4017" t="str">
            <v>Jl. Semeru No. 89 RT.001/RW.004, Ajung</v>
          </cell>
          <cell r="R4017" t="str">
            <v>Jember</v>
          </cell>
          <cell r="S4017" t="str">
            <v>L Kota1</v>
          </cell>
          <cell r="T4017" t="str">
            <v>OTHERS</v>
          </cell>
          <cell r="U4017">
            <v>0</v>
          </cell>
        </row>
        <row r="4018">
          <cell r="E4018" t="str">
            <v>T25001323</v>
          </cell>
          <cell r="F4018"/>
          <cell r="G4018">
            <v>1000000000</v>
          </cell>
          <cell r="H4018" t="str">
            <v>Others</v>
          </cell>
          <cell r="I4018" t="str">
            <v>Exclusive</v>
          </cell>
          <cell r="J4018" t="str">
            <v>New 06/04/21</v>
          </cell>
          <cell r="K4018" t="str">
            <v>HDPD</v>
          </cell>
          <cell r="L4018" t="str">
            <v>KARI09</v>
          </cell>
          <cell r="M4018" t="str">
            <v>Karisma Indoagro Universal, PT</v>
          </cell>
          <cell r="N4018" t="str">
            <v>Karisma Indoagro Universal, PT</v>
          </cell>
          <cell r="O4018" t="str">
            <v>Jl. Semeru No. 89 RT.001/RW.004, Ajung</v>
          </cell>
          <cell r="P4018" t="str">
            <v>Jember</v>
          </cell>
          <cell r="Q4018" t="str">
            <v>Jl. Semeru No. 89 RT.001/RW.004, Ajung</v>
          </cell>
          <cell r="R4018" t="str">
            <v>Jember</v>
          </cell>
          <cell r="S4018" t="str">
            <v>L Kota1</v>
          </cell>
          <cell r="T4018" t="str">
            <v>OTHERS</v>
          </cell>
          <cell r="U4018">
            <v>60</v>
          </cell>
        </row>
        <row r="4019">
          <cell r="E4019" t="str">
            <v>T25001329</v>
          </cell>
          <cell r="F4019"/>
          <cell r="G4019">
            <v>1000000000</v>
          </cell>
          <cell r="H4019" t="str">
            <v>Others</v>
          </cell>
          <cell r="I4019" t="str">
            <v>Exclusive</v>
          </cell>
          <cell r="J4019" t="str">
            <v>New 06/04/21</v>
          </cell>
          <cell r="K4019" t="str">
            <v>HDPD</v>
          </cell>
          <cell r="L4019" t="str">
            <v>KARI09</v>
          </cell>
          <cell r="M4019" t="str">
            <v>Karisma Indoagro Universal, PT</v>
          </cell>
          <cell r="N4019" t="str">
            <v>Karisma Indoagro Universal, PT</v>
          </cell>
          <cell r="O4019" t="str">
            <v>Jl. Semeru No. 89 RT.001/RW.004, Ajung</v>
          </cell>
          <cell r="P4019" t="str">
            <v>Jember</v>
          </cell>
          <cell r="Q4019" t="str">
            <v>Jl. Semeru No. 89 RT.001/RW.004, Ajung</v>
          </cell>
          <cell r="R4019" t="str">
            <v>Jember</v>
          </cell>
          <cell r="S4019" t="str">
            <v>L Kota1</v>
          </cell>
          <cell r="T4019" t="str">
            <v>OTHERS</v>
          </cell>
          <cell r="U4019">
            <v>60</v>
          </cell>
        </row>
        <row r="4020">
          <cell r="E4020" t="str">
            <v>T25001330</v>
          </cell>
          <cell r="F4020"/>
          <cell r="G4020">
            <v>1000000000</v>
          </cell>
          <cell r="H4020" t="str">
            <v>Others</v>
          </cell>
          <cell r="I4020" t="str">
            <v>Exclusive</v>
          </cell>
          <cell r="J4020" t="str">
            <v>New 06/04/21</v>
          </cell>
          <cell r="K4020" t="str">
            <v>HDPD</v>
          </cell>
          <cell r="L4020" t="str">
            <v>KARI09</v>
          </cell>
          <cell r="M4020" t="str">
            <v>Karisma Indoagro Universal, PT</v>
          </cell>
          <cell r="N4020" t="str">
            <v>Karisma Indoagro Universal, PT</v>
          </cell>
          <cell r="O4020" t="str">
            <v>Jl. Semeru No. 89 RT.001/RW.004, Ajung</v>
          </cell>
          <cell r="P4020" t="str">
            <v>Jember</v>
          </cell>
          <cell r="Q4020" t="str">
            <v>Jl. Semeru No. 89 RT.001/RW.004, Ajung</v>
          </cell>
          <cell r="R4020" t="str">
            <v>Jember</v>
          </cell>
          <cell r="S4020" t="str">
            <v>L Kota1</v>
          </cell>
          <cell r="T4020" t="str">
            <v>OTHERS</v>
          </cell>
          <cell r="U4020">
            <v>60</v>
          </cell>
        </row>
        <row r="4021">
          <cell r="E4021" t="str">
            <v>T25001336</v>
          </cell>
          <cell r="F4021"/>
          <cell r="G4021">
            <v>1000000000</v>
          </cell>
          <cell r="H4021" t="str">
            <v>Others</v>
          </cell>
          <cell r="I4021" t="str">
            <v>Exclusive</v>
          </cell>
          <cell r="J4021" t="str">
            <v>New 06/04/21</v>
          </cell>
          <cell r="K4021" t="str">
            <v>HDPD</v>
          </cell>
          <cell r="L4021" t="str">
            <v>KARI09</v>
          </cell>
          <cell r="M4021" t="str">
            <v>Karisma Indoagro Universal, PT</v>
          </cell>
          <cell r="N4021" t="str">
            <v>Karisma Indoagro Universal, PT</v>
          </cell>
          <cell r="O4021" t="str">
            <v>Jl. Semeru No. 89 RT.001/RW.004, Ajung</v>
          </cell>
          <cell r="P4021" t="str">
            <v>Jember</v>
          </cell>
          <cell r="Q4021" t="str">
            <v>Jl. Semeru No. 89 RT.001/RW.004, Ajung</v>
          </cell>
          <cell r="R4021" t="str">
            <v>Jember</v>
          </cell>
          <cell r="S4021" t="str">
            <v>L Kota1</v>
          </cell>
          <cell r="T4021" t="str">
            <v>OTHERS</v>
          </cell>
          <cell r="U4021">
            <v>60</v>
          </cell>
        </row>
        <row r="4022">
          <cell r="E4022" t="str">
            <v>T25001343</v>
          </cell>
          <cell r="F4022"/>
          <cell r="G4022">
            <v>1000000000</v>
          </cell>
          <cell r="H4022" t="str">
            <v>Others</v>
          </cell>
          <cell r="I4022" t="str">
            <v>Exclusive</v>
          </cell>
          <cell r="J4022" t="str">
            <v>New 06/04/21</v>
          </cell>
          <cell r="K4022" t="str">
            <v>HDPD</v>
          </cell>
          <cell r="L4022" t="str">
            <v>KARI09</v>
          </cell>
          <cell r="M4022" t="str">
            <v>Karisma Indoagro Universal, PT</v>
          </cell>
          <cell r="N4022" t="str">
            <v>Karisma Indoagro Universal, PT</v>
          </cell>
          <cell r="O4022" t="str">
            <v>Jl. Semeru No. 89 RT.001/RW.004, Ajung</v>
          </cell>
          <cell r="P4022" t="str">
            <v>Jember</v>
          </cell>
          <cell r="Q4022" t="str">
            <v>Jl. Semeru No. 89 RT.001/RW.004, Ajung</v>
          </cell>
          <cell r="R4022" t="str">
            <v>Jember</v>
          </cell>
          <cell r="S4022" t="str">
            <v>L Kota1</v>
          </cell>
          <cell r="T4022" t="str">
            <v>OTHERS</v>
          </cell>
          <cell r="U4022">
            <v>60</v>
          </cell>
        </row>
        <row r="4023">
          <cell r="E4023" t="str">
            <v>T25001395</v>
          </cell>
          <cell r="F4023"/>
          <cell r="G4023">
            <v>1000000000</v>
          </cell>
          <cell r="H4023" t="str">
            <v>Others</v>
          </cell>
          <cell r="I4023" t="str">
            <v>Exclusive</v>
          </cell>
          <cell r="J4023" t="str">
            <v>New 06/04/21</v>
          </cell>
          <cell r="K4023" t="str">
            <v>HDPD</v>
          </cell>
          <cell r="L4023" t="str">
            <v>KARI09</v>
          </cell>
          <cell r="M4023" t="str">
            <v>Karisma Indoagro Universal, PT</v>
          </cell>
          <cell r="N4023" t="str">
            <v>Karisma Indoagro Universal, PT</v>
          </cell>
          <cell r="O4023" t="str">
            <v>Jl. Semeru No. 89 RT.001/RW.004, Ajung</v>
          </cell>
          <cell r="P4023" t="str">
            <v>Jember</v>
          </cell>
          <cell r="Q4023" t="str">
            <v>Jl. Semeru No. 89 RT.001/RW.004, Ajung</v>
          </cell>
          <cell r="R4023" t="str">
            <v>Jember</v>
          </cell>
          <cell r="S4023" t="str">
            <v>L Kota1</v>
          </cell>
          <cell r="T4023" t="str">
            <v>OTHERS</v>
          </cell>
          <cell r="U4023">
            <v>60</v>
          </cell>
        </row>
        <row r="4024">
          <cell r="E4024" t="str">
            <v>T25001408</v>
          </cell>
          <cell r="F4024"/>
          <cell r="G4024">
            <v>1000000000</v>
          </cell>
          <cell r="H4024" t="str">
            <v>Others</v>
          </cell>
          <cell r="I4024" t="str">
            <v>Exclusive</v>
          </cell>
          <cell r="J4024" t="str">
            <v>New 06/04/21</v>
          </cell>
          <cell r="K4024" t="str">
            <v>HDPD</v>
          </cell>
          <cell r="L4024" t="str">
            <v>KARI09</v>
          </cell>
          <cell r="M4024" t="str">
            <v>Karisma Indoagro Universal, PT</v>
          </cell>
          <cell r="N4024" t="str">
            <v>Karisma Indoagro Universal, PT</v>
          </cell>
          <cell r="O4024" t="str">
            <v>Jl. Semeru No. 89 RT.001/RW.004, Ajung</v>
          </cell>
          <cell r="P4024" t="str">
            <v>Jember</v>
          </cell>
          <cell r="Q4024" t="str">
            <v>Jl. Semeru No. 89 RT.001/RW.004, Ajung</v>
          </cell>
          <cell r="R4024" t="str">
            <v>Jember</v>
          </cell>
          <cell r="S4024" t="str">
            <v>L Kota1</v>
          </cell>
          <cell r="T4024" t="str">
            <v>OTHERS</v>
          </cell>
          <cell r="U4024">
            <v>60</v>
          </cell>
        </row>
        <row r="4025">
          <cell r="E4025" t="str">
            <v>T25001452</v>
          </cell>
          <cell r="F4025"/>
          <cell r="G4025">
            <v>1000000000</v>
          </cell>
          <cell r="H4025" t="str">
            <v>Others</v>
          </cell>
          <cell r="I4025" t="str">
            <v>Exclusive</v>
          </cell>
          <cell r="J4025" t="str">
            <v>New 06/04/21</v>
          </cell>
          <cell r="K4025" t="str">
            <v>HDPD</v>
          </cell>
          <cell r="L4025" t="str">
            <v>KARI09</v>
          </cell>
          <cell r="M4025" t="str">
            <v>Karisma Indoagro Universal, PT</v>
          </cell>
          <cell r="N4025" t="str">
            <v>Karisma Indoagro Universal, PT</v>
          </cell>
          <cell r="O4025" t="str">
            <v>Jl. Semeru No. 89 RT.001/RW.004, Ajung</v>
          </cell>
          <cell r="P4025" t="str">
            <v>Jember</v>
          </cell>
          <cell r="Q4025" t="str">
            <v>Jl. Semeru No. 89 RT.001/RW.004, Ajung</v>
          </cell>
          <cell r="R4025" t="str">
            <v>Jember</v>
          </cell>
          <cell r="S4025" t="str">
            <v>L Kota1</v>
          </cell>
          <cell r="T4025" t="str">
            <v>OTHERS</v>
          </cell>
          <cell r="U4025">
            <v>60</v>
          </cell>
        </row>
        <row r="4026">
          <cell r="E4026" t="str">
            <v>T25001456</v>
          </cell>
          <cell r="F4026"/>
          <cell r="G4026">
            <v>1000000000</v>
          </cell>
          <cell r="H4026" t="str">
            <v>Others</v>
          </cell>
          <cell r="I4026" t="str">
            <v>Exclusive</v>
          </cell>
          <cell r="J4026" t="str">
            <v>New 06/04/21</v>
          </cell>
          <cell r="K4026" t="str">
            <v>HDPD</v>
          </cell>
          <cell r="L4026" t="str">
            <v>KARI09</v>
          </cell>
          <cell r="M4026" t="str">
            <v>Karisma Indoagro Universal, PT</v>
          </cell>
          <cell r="N4026" t="str">
            <v>Karisma Indoagro Universal, PT</v>
          </cell>
          <cell r="O4026" t="str">
            <v>Jl. Semeru No. 89 RT.001/RW.004, Ajung</v>
          </cell>
          <cell r="P4026" t="str">
            <v>Jember</v>
          </cell>
          <cell r="Q4026" t="str">
            <v>Jl. Semeru No. 89 RT.001/RW.004, Ajung</v>
          </cell>
          <cell r="R4026" t="str">
            <v>Jember</v>
          </cell>
          <cell r="S4026" t="str">
            <v>L Kota1</v>
          </cell>
          <cell r="T4026" t="str">
            <v>OTHERS</v>
          </cell>
          <cell r="U4026">
            <v>60</v>
          </cell>
        </row>
        <row r="4027">
          <cell r="E4027" t="str">
            <v>T25001457</v>
          </cell>
          <cell r="F4027"/>
          <cell r="G4027">
            <v>1000000000</v>
          </cell>
          <cell r="H4027" t="str">
            <v>Others</v>
          </cell>
          <cell r="I4027" t="str">
            <v>Exclusive</v>
          </cell>
          <cell r="J4027" t="str">
            <v>New 06/04/21</v>
          </cell>
          <cell r="K4027" t="str">
            <v>HDPD</v>
          </cell>
          <cell r="L4027" t="str">
            <v>KARI09</v>
          </cell>
          <cell r="M4027" t="str">
            <v>Karisma Indoagro Universal, PT</v>
          </cell>
          <cell r="N4027" t="str">
            <v>Karisma Indoagro Universal, PT</v>
          </cell>
          <cell r="O4027" t="str">
            <v>Jl. Semeru No. 89 RT.001/RW.004, Ajung</v>
          </cell>
          <cell r="P4027" t="str">
            <v>Jember</v>
          </cell>
          <cell r="Q4027" t="str">
            <v>Jl. Semeru No. 89 RT.001/RW.004, Ajung</v>
          </cell>
          <cell r="R4027" t="str">
            <v>Jember</v>
          </cell>
          <cell r="S4027" t="str">
            <v>L Kota1</v>
          </cell>
          <cell r="T4027" t="str">
            <v>OTHERS</v>
          </cell>
          <cell r="U4027">
            <v>60</v>
          </cell>
        </row>
        <row r="4028">
          <cell r="E4028" t="str">
            <v>T25001458</v>
          </cell>
          <cell r="F4028"/>
          <cell r="G4028">
            <v>1000000000</v>
          </cell>
          <cell r="H4028" t="str">
            <v>Others</v>
          </cell>
          <cell r="I4028" t="str">
            <v>Exclusive</v>
          </cell>
          <cell r="J4028" t="str">
            <v>New 06/04/21</v>
          </cell>
          <cell r="K4028" t="str">
            <v>HDPD</v>
          </cell>
          <cell r="L4028" t="str">
            <v>KARI09</v>
          </cell>
          <cell r="M4028" t="str">
            <v>Karisma Indoagro Universal, PT</v>
          </cell>
          <cell r="N4028" t="str">
            <v>Karisma Indoagro Universal, PT</v>
          </cell>
          <cell r="O4028" t="str">
            <v>Jl. Semeru No. 89 RT.001/RW.004, Ajung</v>
          </cell>
          <cell r="P4028" t="str">
            <v>Jember</v>
          </cell>
          <cell r="Q4028" t="str">
            <v>Jl. Semeru No. 89 RT.001/RW.004, Ajung</v>
          </cell>
          <cell r="R4028" t="str">
            <v>Jember</v>
          </cell>
          <cell r="S4028" t="str">
            <v>L Kota1</v>
          </cell>
          <cell r="T4028" t="str">
            <v>OTHERS</v>
          </cell>
          <cell r="U4028">
            <v>60</v>
          </cell>
        </row>
        <row r="4029">
          <cell r="E4029" t="str">
            <v>T25001459</v>
          </cell>
          <cell r="F4029"/>
          <cell r="G4029">
            <v>1000000000</v>
          </cell>
          <cell r="H4029" t="str">
            <v>Others</v>
          </cell>
          <cell r="I4029" t="str">
            <v>Exclusive</v>
          </cell>
          <cell r="J4029" t="str">
            <v>New 06/04/21</v>
          </cell>
          <cell r="K4029" t="str">
            <v>HDPD</v>
          </cell>
          <cell r="L4029" t="str">
            <v>KARI09</v>
          </cell>
          <cell r="M4029" t="str">
            <v>Karisma Indoagro Universal, PT</v>
          </cell>
          <cell r="N4029" t="str">
            <v>Karisma Indoagro Universal, PT</v>
          </cell>
          <cell r="O4029" t="str">
            <v>Jl. Semeru No. 89 RT.001/RW.004, Ajung</v>
          </cell>
          <cell r="P4029" t="str">
            <v>Jember</v>
          </cell>
          <cell r="Q4029" t="str">
            <v>Jl. Semeru No. 89 RT.001/RW.004, Ajung</v>
          </cell>
          <cell r="R4029" t="str">
            <v>Jember</v>
          </cell>
          <cell r="S4029" t="str">
            <v>L Kota1</v>
          </cell>
          <cell r="T4029" t="str">
            <v>OTHERS</v>
          </cell>
          <cell r="U4029">
            <v>60</v>
          </cell>
        </row>
        <row r="4030">
          <cell r="E4030" t="str">
            <v>T25001460</v>
          </cell>
          <cell r="F4030"/>
          <cell r="G4030">
            <v>1000000000</v>
          </cell>
          <cell r="H4030" t="str">
            <v>Others</v>
          </cell>
          <cell r="I4030" t="str">
            <v>Exclusive</v>
          </cell>
          <cell r="J4030" t="str">
            <v>New 06/04/21</v>
          </cell>
          <cell r="K4030" t="str">
            <v>HDPD</v>
          </cell>
          <cell r="L4030" t="str">
            <v>KARI09</v>
          </cell>
          <cell r="M4030" t="str">
            <v>Karisma Indoagro Universal, PT</v>
          </cell>
          <cell r="N4030" t="str">
            <v>Karisma Indoagro Universal, PT</v>
          </cell>
          <cell r="O4030" t="str">
            <v>Jl. Semeru No. 89 RT.001/RW.004, Ajung</v>
          </cell>
          <cell r="P4030" t="str">
            <v>Jember</v>
          </cell>
          <cell r="Q4030" t="str">
            <v>Jl. Semeru No. 89 RT.001/RW.004, Ajung</v>
          </cell>
          <cell r="R4030" t="str">
            <v>Jember</v>
          </cell>
          <cell r="S4030" t="str">
            <v>L Kota1</v>
          </cell>
          <cell r="T4030" t="str">
            <v>OTHERS</v>
          </cell>
          <cell r="U4030">
            <v>60</v>
          </cell>
        </row>
        <row r="4031">
          <cell r="E4031" t="str">
            <v>T25001463</v>
          </cell>
          <cell r="F4031"/>
          <cell r="G4031">
            <v>1000000000</v>
          </cell>
          <cell r="H4031" t="str">
            <v>Others</v>
          </cell>
          <cell r="I4031" t="str">
            <v>Exclusive</v>
          </cell>
          <cell r="J4031" t="str">
            <v>New 06/04/21</v>
          </cell>
          <cell r="K4031" t="str">
            <v>HDPD</v>
          </cell>
          <cell r="L4031" t="str">
            <v>KARI09</v>
          </cell>
          <cell r="M4031" t="str">
            <v>Karisma Indoagro Universal, PT</v>
          </cell>
          <cell r="N4031" t="str">
            <v>Karisma Indoagro Universal, PT</v>
          </cell>
          <cell r="O4031" t="str">
            <v>Jl. Semeru No. 89 RT.001/RW.004, Ajung</v>
          </cell>
          <cell r="P4031" t="str">
            <v>Jember</v>
          </cell>
          <cell r="Q4031" t="str">
            <v>Jl. Semeru No. 89 RT.001/RW.004, Ajung</v>
          </cell>
          <cell r="R4031" t="str">
            <v>Jember</v>
          </cell>
          <cell r="S4031" t="str">
            <v>L Kota1</v>
          </cell>
          <cell r="T4031" t="str">
            <v>OTHERS</v>
          </cell>
          <cell r="U4031">
            <v>60</v>
          </cell>
        </row>
        <row r="4032">
          <cell r="E4032" t="str">
            <v>T25001464</v>
          </cell>
          <cell r="F4032"/>
          <cell r="G4032">
            <v>1000000000</v>
          </cell>
          <cell r="H4032" t="str">
            <v>Others</v>
          </cell>
          <cell r="I4032" t="str">
            <v>Exclusive</v>
          </cell>
          <cell r="J4032" t="str">
            <v>New 06/04/21</v>
          </cell>
          <cell r="K4032" t="str">
            <v>HDPD</v>
          </cell>
          <cell r="L4032" t="str">
            <v>KARI09</v>
          </cell>
          <cell r="M4032" t="str">
            <v>Karisma Indoagro Universal, PT</v>
          </cell>
          <cell r="N4032" t="str">
            <v>Karisma Indoagro Universal, PT</v>
          </cell>
          <cell r="O4032" t="str">
            <v>Jl. Semeru No. 89 RT.001/RW.004, Ajung</v>
          </cell>
          <cell r="P4032" t="str">
            <v>Jember</v>
          </cell>
          <cell r="Q4032" t="str">
            <v>Jl. Semeru No. 89 RT.001/RW.004, Ajung</v>
          </cell>
          <cell r="R4032" t="str">
            <v>Jember</v>
          </cell>
          <cell r="S4032" t="str">
            <v>L Kota1</v>
          </cell>
          <cell r="T4032" t="str">
            <v>OTHERS</v>
          </cell>
          <cell r="U4032">
            <v>60</v>
          </cell>
        </row>
        <row r="4033">
          <cell r="E4033" t="str">
            <v>C25000796</v>
          </cell>
          <cell r="F4033"/>
          <cell r="G4033">
            <v>1000000000</v>
          </cell>
          <cell r="H4033" t="str">
            <v>Others</v>
          </cell>
          <cell r="I4033" t="str">
            <v>Exclusive</v>
          </cell>
          <cell r="J4033" t="str">
            <v>New 06/04/21</v>
          </cell>
          <cell r="K4033" t="str">
            <v>HDPD</v>
          </cell>
          <cell r="L4033" t="str">
            <v>KARI09</v>
          </cell>
          <cell r="M4033" t="str">
            <v>Karisma Indoagro Universal, PT</v>
          </cell>
          <cell r="N4033" t="str">
            <v>Karisma Indoagro Universal, PT</v>
          </cell>
          <cell r="O4033" t="str">
            <v>Jl. Semeru No. 89 RT.001/RW.004, Ajung</v>
          </cell>
          <cell r="P4033" t="str">
            <v>Jember</v>
          </cell>
          <cell r="Q4033" t="str">
            <v>Jl. Semeru No. 89 RT.001/RW.004, Ajung</v>
          </cell>
          <cell r="R4033" t="str">
            <v>Jember</v>
          </cell>
          <cell r="S4033" t="str">
            <v>L Kota1</v>
          </cell>
          <cell r="T4033" t="str">
            <v>OTHERS</v>
          </cell>
          <cell r="U4033">
            <v>0</v>
          </cell>
        </row>
        <row r="4034">
          <cell r="E4034" t="str">
            <v>T25001485</v>
          </cell>
          <cell r="F4034"/>
          <cell r="G4034">
            <v>1000000000</v>
          </cell>
          <cell r="H4034" t="str">
            <v>Others</v>
          </cell>
          <cell r="I4034" t="str">
            <v>Exclusive</v>
          </cell>
          <cell r="J4034" t="str">
            <v>New 06/04/21</v>
          </cell>
          <cell r="K4034" t="str">
            <v>HDPD</v>
          </cell>
          <cell r="L4034" t="str">
            <v>KARI09</v>
          </cell>
          <cell r="M4034" t="str">
            <v>Karisma Indoagro Universal, PT</v>
          </cell>
          <cell r="N4034" t="str">
            <v>Karisma Indoagro Universal, PT</v>
          </cell>
          <cell r="O4034" t="str">
            <v>Jl. Semeru No. 89 RT.001/RW.004, Ajung</v>
          </cell>
          <cell r="P4034" t="str">
            <v>Jember</v>
          </cell>
          <cell r="Q4034" t="str">
            <v>Jl. Semeru No. 89 RT.001/RW.004, Ajung</v>
          </cell>
          <cell r="R4034" t="str">
            <v>Jember</v>
          </cell>
          <cell r="S4034" t="str">
            <v>L Kota1</v>
          </cell>
          <cell r="T4034" t="str">
            <v>OTHERS</v>
          </cell>
          <cell r="U4034">
            <v>0</v>
          </cell>
        </row>
        <row r="4035">
          <cell r="E4035" t="str">
            <v>C25000798</v>
          </cell>
          <cell r="F4035"/>
          <cell r="G4035">
            <v>1000000000</v>
          </cell>
          <cell r="H4035" t="str">
            <v>Others</v>
          </cell>
          <cell r="I4035" t="str">
            <v>Exclusive</v>
          </cell>
          <cell r="J4035" t="str">
            <v>New 06/04/21</v>
          </cell>
          <cell r="K4035" t="str">
            <v>HDPD</v>
          </cell>
          <cell r="L4035" t="str">
            <v>KARI09</v>
          </cell>
          <cell r="M4035" t="str">
            <v>Karisma Indoagro Universal, PT</v>
          </cell>
          <cell r="N4035" t="str">
            <v>Karisma Indoagro Universal, PT</v>
          </cell>
          <cell r="O4035" t="str">
            <v>Jl. Semeru No. 89 RT.001/RW.004, Ajung</v>
          </cell>
          <cell r="P4035" t="str">
            <v>Jember</v>
          </cell>
          <cell r="Q4035" t="str">
            <v>Jl. Semeru No. 89 RT.001/RW.004, Ajung</v>
          </cell>
          <cell r="R4035" t="str">
            <v>Jember</v>
          </cell>
          <cell r="S4035" t="str">
            <v>L Kota1</v>
          </cell>
          <cell r="T4035" t="str">
            <v>OTHERS</v>
          </cell>
          <cell r="U4035">
            <v>0</v>
          </cell>
        </row>
        <row r="4036">
          <cell r="E4036" t="str">
            <v>T25001497</v>
          </cell>
          <cell r="F4036"/>
          <cell r="G4036">
            <v>1000000000</v>
          </cell>
          <cell r="H4036" t="str">
            <v>Others</v>
          </cell>
          <cell r="I4036" t="str">
            <v>Exclusive</v>
          </cell>
          <cell r="J4036" t="str">
            <v>New 06/04/21</v>
          </cell>
          <cell r="K4036" t="str">
            <v>HDPD</v>
          </cell>
          <cell r="L4036" t="str">
            <v>KARI09</v>
          </cell>
          <cell r="M4036" t="str">
            <v>Karisma Indoagro Universal, PT</v>
          </cell>
          <cell r="N4036" t="str">
            <v>Karisma Indoagro Universal, PT</v>
          </cell>
          <cell r="O4036" t="str">
            <v>Jl. Semeru No. 89 RT.001/RW.004, Ajung</v>
          </cell>
          <cell r="P4036" t="str">
            <v>Jember</v>
          </cell>
          <cell r="Q4036" t="str">
            <v>Jl. Semeru No. 89 RT.001/RW.004, Ajung</v>
          </cell>
          <cell r="R4036" t="str">
            <v>Jember</v>
          </cell>
          <cell r="S4036" t="str">
            <v>L Kota1</v>
          </cell>
          <cell r="T4036" t="str">
            <v>OTHERS</v>
          </cell>
          <cell r="U4036">
            <v>60</v>
          </cell>
        </row>
        <row r="4037">
          <cell r="E4037" t="str">
            <v>B25013372</v>
          </cell>
          <cell r="F4037"/>
          <cell r="G4037">
            <v>1000000000</v>
          </cell>
          <cell r="H4037" t="str">
            <v>Others</v>
          </cell>
          <cell r="I4037" t="str">
            <v>Exclusive</v>
          </cell>
          <cell r="J4037" t="str">
            <v>New 06/04/21</v>
          </cell>
          <cell r="K4037" t="str">
            <v>HDPD</v>
          </cell>
          <cell r="L4037" t="str">
            <v>KARI09</v>
          </cell>
          <cell r="M4037" t="str">
            <v>Karisma Indoagro Universal, PT</v>
          </cell>
          <cell r="N4037" t="str">
            <v>Karisma Indoagro Universal, PT</v>
          </cell>
          <cell r="O4037" t="str">
            <v>Jl. Semeru No. 89 RT.001/RW.004, Ajung</v>
          </cell>
          <cell r="P4037" t="str">
            <v>Jember</v>
          </cell>
          <cell r="Q4037" t="str">
            <v>Jl. Semeru No. 89 RT.001/RW.004, Ajung</v>
          </cell>
          <cell r="R4037" t="str">
            <v>Jember</v>
          </cell>
          <cell r="S4037" t="str">
            <v>L Kota1</v>
          </cell>
          <cell r="T4037" t="str">
            <v>OTHERS</v>
          </cell>
          <cell r="U4037">
            <v>30</v>
          </cell>
        </row>
        <row r="4038">
          <cell r="E4038" t="str">
            <v>T25001546</v>
          </cell>
          <cell r="F4038"/>
          <cell r="G4038">
            <v>1000000000</v>
          </cell>
          <cell r="H4038" t="str">
            <v>Others</v>
          </cell>
          <cell r="I4038" t="str">
            <v>Exclusive</v>
          </cell>
          <cell r="J4038" t="str">
            <v>New 06/04/21</v>
          </cell>
          <cell r="K4038" t="str">
            <v>HDPD</v>
          </cell>
          <cell r="L4038" t="str">
            <v>KARI09</v>
          </cell>
          <cell r="M4038" t="str">
            <v>Karisma Indoagro Universal, PT</v>
          </cell>
          <cell r="N4038" t="str">
            <v>Karisma Indoagro Universal, PT</v>
          </cell>
          <cell r="O4038" t="str">
            <v>Jl. Semeru No. 89 RT.001/RW.004, Ajung</v>
          </cell>
          <cell r="P4038" t="str">
            <v>Jember</v>
          </cell>
          <cell r="Q4038" t="str">
            <v>Jl. Semeru No. 89 RT.001/RW.004, Ajung</v>
          </cell>
          <cell r="R4038" t="str">
            <v>Jember</v>
          </cell>
          <cell r="S4038" t="str">
            <v>L Kota1</v>
          </cell>
          <cell r="T4038" t="str">
            <v>OTHERS</v>
          </cell>
          <cell r="U4038">
            <v>60</v>
          </cell>
        </row>
        <row r="4039">
          <cell r="E4039" t="str">
            <v>C25000881</v>
          </cell>
          <cell r="F4039"/>
          <cell r="G4039">
            <v>1000000000</v>
          </cell>
          <cell r="H4039" t="str">
            <v>Others</v>
          </cell>
          <cell r="I4039" t="str">
            <v>Exclusive</v>
          </cell>
          <cell r="J4039" t="str">
            <v>New 06/04/21</v>
          </cell>
          <cell r="K4039" t="str">
            <v>HDPD</v>
          </cell>
          <cell r="L4039" t="str">
            <v>KARI09</v>
          </cell>
          <cell r="M4039" t="str">
            <v>Karisma Indoagro Universal, PT</v>
          </cell>
          <cell r="N4039" t="str">
            <v>Karisma Indoagro Universal, PT</v>
          </cell>
          <cell r="O4039" t="str">
            <v>Jl. Semeru No. 89 RT.001/RW.004, Ajung</v>
          </cell>
          <cell r="P4039" t="str">
            <v>Jember</v>
          </cell>
          <cell r="Q4039" t="str">
            <v>Jl. Semeru No. 89 RT.001/RW.004, Ajung</v>
          </cell>
          <cell r="R4039" t="str">
            <v>Jember</v>
          </cell>
          <cell r="S4039" t="str">
            <v>L Kota1</v>
          </cell>
          <cell r="T4039" t="str">
            <v>OTHERS</v>
          </cell>
          <cell r="U4039">
            <v>0</v>
          </cell>
        </row>
        <row r="4040">
          <cell r="E4040" t="str">
            <v>T25001592</v>
          </cell>
          <cell r="F4040"/>
          <cell r="G4040">
            <v>1000000000</v>
          </cell>
          <cell r="H4040" t="str">
            <v>Others</v>
          </cell>
          <cell r="I4040" t="str">
            <v>Exclusive</v>
          </cell>
          <cell r="J4040" t="str">
            <v>New 06/04/21</v>
          </cell>
          <cell r="K4040" t="str">
            <v>HDPD</v>
          </cell>
          <cell r="L4040" t="str">
            <v>KARI09</v>
          </cell>
          <cell r="M4040" t="str">
            <v>Karisma Indoagro Universal, PT</v>
          </cell>
          <cell r="N4040" t="str">
            <v>Karisma Indoagro Universal, PT</v>
          </cell>
          <cell r="O4040" t="str">
            <v>Jl. Semeru No. 89 RT.001/RW.004, Ajung</v>
          </cell>
          <cell r="P4040" t="str">
            <v>Jember</v>
          </cell>
          <cell r="Q4040" t="str">
            <v>Jl. Semeru No. 89 RT.001/RW.004, Ajung</v>
          </cell>
          <cell r="R4040" t="str">
            <v>Jember</v>
          </cell>
          <cell r="S4040" t="str">
            <v>L Kota1</v>
          </cell>
          <cell r="T4040" t="str">
            <v>OTHERS</v>
          </cell>
          <cell r="U4040">
            <v>60</v>
          </cell>
        </row>
        <row r="4041">
          <cell r="E4041" t="str">
            <v>T25001593</v>
          </cell>
          <cell r="F4041"/>
          <cell r="G4041">
            <v>1000000000</v>
          </cell>
          <cell r="H4041" t="str">
            <v>Others</v>
          </cell>
          <cell r="I4041" t="str">
            <v>Exclusive</v>
          </cell>
          <cell r="J4041" t="str">
            <v>New 06/04/21</v>
          </cell>
          <cell r="K4041" t="str">
            <v>HDPD</v>
          </cell>
          <cell r="L4041" t="str">
            <v>KARI09</v>
          </cell>
          <cell r="M4041" t="str">
            <v>Karisma Indoagro Universal, PT</v>
          </cell>
          <cell r="N4041" t="str">
            <v>Karisma Indoagro Universal, PT</v>
          </cell>
          <cell r="O4041" t="str">
            <v>Jl. Semeru No. 89 RT.001/RW.004, Ajung</v>
          </cell>
          <cell r="P4041" t="str">
            <v>Jember</v>
          </cell>
          <cell r="Q4041" t="str">
            <v>Jl. Semeru No. 89 RT.001/RW.004, Ajung</v>
          </cell>
          <cell r="R4041" t="str">
            <v>Jember</v>
          </cell>
          <cell r="S4041" t="str">
            <v>L Kota1</v>
          </cell>
          <cell r="T4041" t="str">
            <v>OTHERS</v>
          </cell>
          <cell r="U4041">
            <v>60</v>
          </cell>
        </row>
        <row r="4042">
          <cell r="E4042" t="str">
            <v>T25001604</v>
          </cell>
          <cell r="F4042"/>
          <cell r="G4042">
            <v>1000000000</v>
          </cell>
          <cell r="H4042" t="str">
            <v>Others</v>
          </cell>
          <cell r="I4042" t="str">
            <v>Exclusive</v>
          </cell>
          <cell r="J4042" t="str">
            <v>New 06/04/21</v>
          </cell>
          <cell r="K4042" t="str">
            <v>HDPD</v>
          </cell>
          <cell r="L4042" t="str">
            <v>KARI09</v>
          </cell>
          <cell r="M4042" t="str">
            <v>Karisma Indoagro Universal, PT</v>
          </cell>
          <cell r="N4042" t="str">
            <v>Karisma Indoagro Universal, PT</v>
          </cell>
          <cell r="O4042" t="str">
            <v>Jl. Semeru No. 89 RT.001/RW.004, Ajung</v>
          </cell>
          <cell r="P4042" t="str">
            <v>Jember</v>
          </cell>
          <cell r="Q4042" t="str">
            <v>Jl. Semeru No. 89 RT.001/RW.004, Ajung</v>
          </cell>
          <cell r="R4042" t="str">
            <v>Jember</v>
          </cell>
          <cell r="S4042" t="str">
            <v>L Kota1</v>
          </cell>
          <cell r="T4042" t="str">
            <v>OTHERS</v>
          </cell>
          <cell r="U4042">
            <v>60</v>
          </cell>
        </row>
        <row r="4043">
          <cell r="E4043" t="str">
            <v>T25001608</v>
          </cell>
          <cell r="F4043"/>
          <cell r="G4043">
            <v>1000000000</v>
          </cell>
          <cell r="H4043" t="str">
            <v>Others</v>
          </cell>
          <cell r="I4043" t="str">
            <v>Exclusive</v>
          </cell>
          <cell r="J4043" t="str">
            <v>New 06/04/21</v>
          </cell>
          <cell r="K4043" t="str">
            <v>HDPD</v>
          </cell>
          <cell r="L4043" t="str">
            <v>KARI09</v>
          </cell>
          <cell r="M4043" t="str">
            <v>Karisma Indoagro Universal, PT</v>
          </cell>
          <cell r="N4043" t="str">
            <v>Karisma Indoagro Universal, PT</v>
          </cell>
          <cell r="O4043" t="str">
            <v>Jl. Semeru No. 89 RT.001/RW.004, Ajung</v>
          </cell>
          <cell r="P4043" t="str">
            <v>Jember</v>
          </cell>
          <cell r="Q4043" t="str">
            <v>Jl. Semeru No. 89 RT.001/RW.004, Ajung</v>
          </cell>
          <cell r="R4043" t="str">
            <v>Jember</v>
          </cell>
          <cell r="S4043" t="str">
            <v>L Kota1</v>
          </cell>
          <cell r="T4043" t="str">
            <v>OTHERS</v>
          </cell>
          <cell r="U4043">
            <v>60</v>
          </cell>
        </row>
        <row r="4044">
          <cell r="E4044" t="str">
            <v>Z25002820</v>
          </cell>
          <cell r="F4044"/>
          <cell r="G4044">
            <v>1000000000</v>
          </cell>
          <cell r="H4044" t="str">
            <v>Others</v>
          </cell>
          <cell r="I4044" t="str">
            <v>Exclusive</v>
          </cell>
          <cell r="J4044" t="str">
            <v>New 06/04/21</v>
          </cell>
          <cell r="K4044" t="str">
            <v>HDPD</v>
          </cell>
          <cell r="L4044" t="str">
            <v>KARI09</v>
          </cell>
          <cell r="M4044" t="str">
            <v>Karisma Indoagro Universal, PT</v>
          </cell>
          <cell r="N4044" t="str">
            <v>Karisma Indoagro Universal, PT</v>
          </cell>
          <cell r="O4044" t="str">
            <v>Jl. Semeru No. 89 RT.001/RW.004, Ajung</v>
          </cell>
          <cell r="P4044" t="str">
            <v>Jember</v>
          </cell>
          <cell r="Q4044" t="str">
            <v>Jl. Semeru No. 89 RT.001/RW.004, Ajung</v>
          </cell>
          <cell r="R4044" t="str">
            <v>Jember</v>
          </cell>
          <cell r="S4044" t="str">
            <v>L Kota1</v>
          </cell>
          <cell r="T4044" t="str">
            <v>OTHERS</v>
          </cell>
          <cell r="U4044">
            <v>0</v>
          </cell>
        </row>
        <row r="4045">
          <cell r="E4045" t="str">
            <v>D25011078</v>
          </cell>
          <cell r="F4045"/>
          <cell r="G4045">
            <v>25000000</v>
          </cell>
          <cell r="H4045" t="str">
            <v>Faris</v>
          </cell>
          <cell r="I4045" t="str">
            <v>Syahra</v>
          </cell>
          <cell r="J4045"/>
          <cell r="K4045" t="str">
            <v>KU</v>
          </cell>
          <cell r="L4045" t="str">
            <v>KARI04</v>
          </cell>
          <cell r="M4045" t="str">
            <v>Karisma Tani/Roeslan</v>
          </cell>
          <cell r="N4045" t="str">
            <v>Ruslan Sugiharto</v>
          </cell>
          <cell r="O4045" t="str">
            <v>Jl. Raya Trebungan RT.001/RW.003 Trebungan, Mangaran</v>
          </cell>
          <cell r="P4045" t="str">
            <v>Situbondo</v>
          </cell>
          <cell r="Q4045" t="str">
            <v>Jl. Raya Trebungan RT.001/RW.003 Trebungan, Mangaran</v>
          </cell>
          <cell r="R4045" t="str">
            <v>Situbondo</v>
          </cell>
          <cell r="S4045" t="str">
            <v>N Bdw Stb</v>
          </cell>
          <cell r="T4045" t="str">
            <v>Wira</v>
          </cell>
          <cell r="U4045">
            <v>30</v>
          </cell>
        </row>
        <row r="4046">
          <cell r="E4046" t="str">
            <v>D25011079</v>
          </cell>
          <cell r="F4046"/>
          <cell r="G4046">
            <v>25000000</v>
          </cell>
          <cell r="H4046" t="str">
            <v>Faris</v>
          </cell>
          <cell r="I4046" t="str">
            <v>Syahra</v>
          </cell>
          <cell r="J4046"/>
          <cell r="K4046" t="str">
            <v>KU</v>
          </cell>
          <cell r="L4046" t="str">
            <v>KARI04</v>
          </cell>
          <cell r="M4046" t="str">
            <v>Karisma Tani/Roeslan</v>
          </cell>
          <cell r="N4046" t="str">
            <v>Ruslan Sugiharto</v>
          </cell>
          <cell r="O4046" t="str">
            <v>Jl. Raya Trebungan RT.001/RW.003 Trebungan, Mangaran</v>
          </cell>
          <cell r="P4046" t="str">
            <v>Situbondo</v>
          </cell>
          <cell r="Q4046" t="str">
            <v>Jl. Raya Trebungan RT.001/RW.003 Trebungan, Mangaran</v>
          </cell>
          <cell r="R4046" t="str">
            <v>Situbondo</v>
          </cell>
          <cell r="S4046" t="str">
            <v>N Bdw Stb</v>
          </cell>
          <cell r="T4046" t="str">
            <v>Wira</v>
          </cell>
          <cell r="U4046">
            <v>30</v>
          </cell>
        </row>
        <row r="4047">
          <cell r="E4047" t="str">
            <v>B25009487</v>
          </cell>
          <cell r="F4047"/>
          <cell r="G4047">
            <v>25000000</v>
          </cell>
          <cell r="H4047" t="str">
            <v>Faris</v>
          </cell>
          <cell r="I4047" t="str">
            <v>Syahra</v>
          </cell>
          <cell r="J4047"/>
          <cell r="K4047" t="str">
            <v>KU</v>
          </cell>
          <cell r="L4047" t="str">
            <v>KARI04</v>
          </cell>
          <cell r="M4047" t="str">
            <v>Karisma Tani/Roeslan</v>
          </cell>
          <cell r="N4047" t="str">
            <v>Ruslan Sugiharto</v>
          </cell>
          <cell r="O4047" t="str">
            <v>Jl. Raya Trebungan RT.001/RW.003 Trebungan, Mangaran</v>
          </cell>
          <cell r="P4047" t="str">
            <v>Situbondo</v>
          </cell>
          <cell r="Q4047" t="str">
            <v>Jl. Raya Trebungan RT.001/RW.003 Trebungan, Mangaran</v>
          </cell>
          <cell r="R4047" t="str">
            <v>Situbondo</v>
          </cell>
          <cell r="S4047" t="str">
            <v>N Bdw Stb</v>
          </cell>
          <cell r="T4047" t="str">
            <v>Wira</v>
          </cell>
          <cell r="U4047">
            <v>30</v>
          </cell>
        </row>
        <row r="4048">
          <cell r="E4048" t="str">
            <v>B25010115</v>
          </cell>
          <cell r="F4048"/>
          <cell r="G4048">
            <v>25000000</v>
          </cell>
          <cell r="H4048" t="str">
            <v>Faris</v>
          </cell>
          <cell r="I4048" t="str">
            <v>Syahra</v>
          </cell>
          <cell r="J4048"/>
          <cell r="K4048" t="str">
            <v>KU</v>
          </cell>
          <cell r="L4048" t="str">
            <v>KARI04</v>
          </cell>
          <cell r="M4048" t="str">
            <v>Karisma Tani/Roeslan</v>
          </cell>
          <cell r="N4048" t="str">
            <v>Ruslan Sugiharto</v>
          </cell>
          <cell r="O4048" t="str">
            <v>Jl. Raya Trebungan RT.001/RW.003 Trebungan, Mangaran</v>
          </cell>
          <cell r="P4048" t="str">
            <v>Situbondo</v>
          </cell>
          <cell r="Q4048" t="str">
            <v>Jl. Raya Trebungan RT.001/RW.003 Trebungan, Mangaran</v>
          </cell>
          <cell r="R4048" t="str">
            <v>Situbondo</v>
          </cell>
          <cell r="S4048" t="str">
            <v>N Bdw Stb</v>
          </cell>
          <cell r="T4048" t="str">
            <v>Wira</v>
          </cell>
          <cell r="U4048">
            <v>60</v>
          </cell>
        </row>
        <row r="4049">
          <cell r="E4049" t="str">
            <v>B25010914</v>
          </cell>
          <cell r="F4049"/>
          <cell r="G4049">
            <v>25000000</v>
          </cell>
          <cell r="H4049" t="str">
            <v>Faris</v>
          </cell>
          <cell r="I4049" t="str">
            <v>Syahra</v>
          </cell>
          <cell r="J4049"/>
          <cell r="K4049" t="str">
            <v>KU</v>
          </cell>
          <cell r="L4049" t="str">
            <v>KARI04</v>
          </cell>
          <cell r="M4049" t="str">
            <v>Karisma Tani/Roeslan</v>
          </cell>
          <cell r="N4049" t="str">
            <v>Ruslan Sugiharto</v>
          </cell>
          <cell r="O4049" t="str">
            <v>Jl. Raya Trebungan RT.001/RW.003 Trebungan, Mangaran</v>
          </cell>
          <cell r="P4049" t="str">
            <v>Situbondo</v>
          </cell>
          <cell r="Q4049" t="str">
            <v>Jl. Raya Trebungan RT.001/RW.003 Trebungan, Mangaran</v>
          </cell>
          <cell r="R4049" t="str">
            <v>Situbondo</v>
          </cell>
          <cell r="S4049" t="str">
            <v>N Bdw Stb</v>
          </cell>
          <cell r="T4049" t="str">
            <v>Wira</v>
          </cell>
          <cell r="U4049">
            <v>60</v>
          </cell>
        </row>
        <row r="4050">
          <cell r="E4050" t="str">
            <v>B25011055</v>
          </cell>
          <cell r="F4050"/>
          <cell r="G4050">
            <v>25000000</v>
          </cell>
          <cell r="H4050" t="str">
            <v>Faris</v>
          </cell>
          <cell r="I4050" t="str">
            <v>Syahra</v>
          </cell>
          <cell r="J4050"/>
          <cell r="K4050" t="str">
            <v>KU</v>
          </cell>
          <cell r="L4050" t="str">
            <v>KARI04</v>
          </cell>
          <cell r="M4050" t="str">
            <v>Karisma Tani/Roeslan</v>
          </cell>
          <cell r="N4050" t="str">
            <v>Ruslan Sugiharto</v>
          </cell>
          <cell r="O4050" t="str">
            <v>Jl. Raya Trebungan RT.001/RW.003 Trebungan, Mangaran</v>
          </cell>
          <cell r="P4050" t="str">
            <v>Situbondo</v>
          </cell>
          <cell r="Q4050" t="str">
            <v>Jl. Raya Trebungan RT.001/RW.003 Trebungan, Mangaran</v>
          </cell>
          <cell r="R4050" t="str">
            <v>Situbondo</v>
          </cell>
          <cell r="S4050" t="str">
            <v>N Bdw Stb</v>
          </cell>
          <cell r="T4050" t="str">
            <v>Wira</v>
          </cell>
          <cell r="U4050">
            <v>30</v>
          </cell>
        </row>
        <row r="4051">
          <cell r="E4051" t="str">
            <v>B25011465</v>
          </cell>
          <cell r="F4051"/>
          <cell r="G4051">
            <v>25000000</v>
          </cell>
          <cell r="H4051" t="str">
            <v>Faris</v>
          </cell>
          <cell r="I4051" t="str">
            <v>Syahra</v>
          </cell>
          <cell r="J4051"/>
          <cell r="K4051" t="str">
            <v>KU</v>
          </cell>
          <cell r="L4051" t="str">
            <v>KARI04</v>
          </cell>
          <cell r="M4051" t="str">
            <v>Karisma Tani/Roeslan</v>
          </cell>
          <cell r="N4051" t="str">
            <v>Ruslan Sugiharto</v>
          </cell>
          <cell r="O4051" t="str">
            <v>Jl. Raya Trebungan RT.001/RW.003 Trebungan, Mangaran</v>
          </cell>
          <cell r="P4051" t="str">
            <v>Situbondo</v>
          </cell>
          <cell r="Q4051" t="str">
            <v>Jl. Raya Trebungan RT.001/RW.003 Trebungan, Mangaran</v>
          </cell>
          <cell r="R4051" t="str">
            <v>Situbondo</v>
          </cell>
          <cell r="S4051" t="str">
            <v>N Bdw Stb</v>
          </cell>
          <cell r="T4051" t="str">
            <v>Wira</v>
          </cell>
          <cell r="U4051">
            <v>30</v>
          </cell>
        </row>
        <row r="4052">
          <cell r="E4052" t="str">
            <v>M25000112</v>
          </cell>
          <cell r="F4052"/>
          <cell r="G4052">
            <v>1000000000</v>
          </cell>
          <cell r="H4052" t="str">
            <v>Others</v>
          </cell>
          <cell r="I4052" t="str">
            <v>Exclusive</v>
          </cell>
          <cell r="J4052"/>
          <cell r="K4052" t="str">
            <v>Tunai Lobi</v>
          </cell>
          <cell r="L4052" t="str">
            <v>KARI07</v>
          </cell>
          <cell r="M4052" t="str">
            <v>Karisma/Agoes</v>
          </cell>
          <cell r="N4052" t="str">
            <v>Agoes</v>
          </cell>
          <cell r="O4052" t="str">
            <v>Jember</v>
          </cell>
          <cell r="P4052" t="str">
            <v>Jember</v>
          </cell>
          <cell r="Q4052" t="str">
            <v>Jember</v>
          </cell>
          <cell r="R4052" t="str">
            <v>Jember</v>
          </cell>
          <cell r="S4052" t="str">
            <v>L Kota1</v>
          </cell>
          <cell r="T4052" t="str">
            <v>OTHERS</v>
          </cell>
          <cell r="U4052">
            <v>0</v>
          </cell>
        </row>
        <row r="4053">
          <cell r="E4053" t="str">
            <v>M25000113</v>
          </cell>
          <cell r="F4053"/>
          <cell r="G4053">
            <v>1000000000</v>
          </cell>
          <cell r="H4053" t="str">
            <v>Others</v>
          </cell>
          <cell r="I4053" t="str">
            <v>Exclusive</v>
          </cell>
          <cell r="J4053"/>
          <cell r="K4053" t="str">
            <v>Tunai Lobi</v>
          </cell>
          <cell r="L4053" t="str">
            <v>KARI07</v>
          </cell>
          <cell r="M4053" t="str">
            <v>Karisma/Agoes</v>
          </cell>
          <cell r="N4053" t="str">
            <v>Agoes</v>
          </cell>
          <cell r="O4053" t="str">
            <v>Jember</v>
          </cell>
          <cell r="P4053" t="str">
            <v>Jember</v>
          </cell>
          <cell r="Q4053" t="str">
            <v>Jember</v>
          </cell>
          <cell r="R4053" t="str">
            <v>Jember</v>
          </cell>
          <cell r="S4053" t="str">
            <v>L Kota1</v>
          </cell>
          <cell r="T4053" t="str">
            <v>OTHERS</v>
          </cell>
          <cell r="U4053">
            <v>0</v>
          </cell>
        </row>
        <row r="4054">
          <cell r="E4054" t="str">
            <v>M25000114</v>
          </cell>
          <cell r="F4054"/>
          <cell r="G4054">
            <v>1000000000</v>
          </cell>
          <cell r="H4054" t="str">
            <v>Others</v>
          </cell>
          <cell r="I4054" t="str">
            <v>Exclusive</v>
          </cell>
          <cell r="J4054"/>
          <cell r="K4054" t="str">
            <v>Tunai Lobi</v>
          </cell>
          <cell r="L4054" t="str">
            <v>KARI07</v>
          </cell>
          <cell r="M4054" t="str">
            <v>Karisma/Agoes</v>
          </cell>
          <cell r="N4054" t="str">
            <v>Agoes</v>
          </cell>
          <cell r="O4054" t="str">
            <v>Jember</v>
          </cell>
          <cell r="P4054" t="str">
            <v>Jember</v>
          </cell>
          <cell r="Q4054" t="str">
            <v>Jember</v>
          </cell>
          <cell r="R4054" t="str">
            <v>Jember</v>
          </cell>
          <cell r="S4054" t="str">
            <v>L Kota1</v>
          </cell>
          <cell r="T4054" t="str">
            <v>OTHERS</v>
          </cell>
          <cell r="U4054">
            <v>0</v>
          </cell>
        </row>
        <row r="4055">
          <cell r="E4055" t="str">
            <v>M25000115</v>
          </cell>
          <cell r="F4055"/>
          <cell r="G4055">
            <v>1000000000</v>
          </cell>
          <cell r="H4055" t="str">
            <v>Others</v>
          </cell>
          <cell r="I4055" t="str">
            <v>Exclusive</v>
          </cell>
          <cell r="J4055"/>
          <cell r="K4055" t="str">
            <v>Tunai Lobi</v>
          </cell>
          <cell r="L4055" t="str">
            <v>KARI07</v>
          </cell>
          <cell r="M4055" t="str">
            <v>Karisma/Agoes</v>
          </cell>
          <cell r="N4055" t="str">
            <v>Agoes</v>
          </cell>
          <cell r="O4055" t="str">
            <v>Jember</v>
          </cell>
          <cell r="P4055" t="str">
            <v>Jember</v>
          </cell>
          <cell r="Q4055" t="str">
            <v>Jember</v>
          </cell>
          <cell r="R4055" t="str">
            <v>Jember</v>
          </cell>
          <cell r="S4055" t="str">
            <v>L Kota1</v>
          </cell>
          <cell r="T4055" t="str">
            <v>OTHERS</v>
          </cell>
          <cell r="U4055">
            <v>0</v>
          </cell>
        </row>
        <row r="4056">
          <cell r="E4056" t="str">
            <v>M25000116</v>
          </cell>
          <cell r="F4056"/>
          <cell r="G4056">
            <v>1000000000</v>
          </cell>
          <cell r="H4056" t="str">
            <v>Others</v>
          </cell>
          <cell r="I4056" t="str">
            <v>Exclusive</v>
          </cell>
          <cell r="J4056"/>
          <cell r="K4056" t="str">
            <v>Tunai Lobi</v>
          </cell>
          <cell r="L4056" t="str">
            <v>KARI07</v>
          </cell>
          <cell r="M4056" t="str">
            <v>Karisma/Agoes</v>
          </cell>
          <cell r="N4056" t="str">
            <v>Agoes</v>
          </cell>
          <cell r="O4056" t="str">
            <v>Jember</v>
          </cell>
          <cell r="P4056" t="str">
            <v>Jember</v>
          </cell>
          <cell r="Q4056" t="str">
            <v>Jember</v>
          </cell>
          <cell r="R4056" t="str">
            <v>Jember</v>
          </cell>
          <cell r="S4056" t="str">
            <v>L Kota1</v>
          </cell>
          <cell r="T4056" t="str">
            <v>OTHERS</v>
          </cell>
          <cell r="U4056">
            <v>0</v>
          </cell>
        </row>
        <row r="4057">
          <cell r="E4057" t="str">
            <v>M25000117</v>
          </cell>
          <cell r="F4057"/>
          <cell r="G4057">
            <v>1000000000</v>
          </cell>
          <cell r="H4057" t="str">
            <v>Others</v>
          </cell>
          <cell r="I4057" t="str">
            <v>Exclusive</v>
          </cell>
          <cell r="J4057"/>
          <cell r="K4057" t="str">
            <v>Tunai Lobi</v>
          </cell>
          <cell r="L4057" t="str">
            <v>KARI07</v>
          </cell>
          <cell r="M4057" t="str">
            <v>Karisma/Agoes</v>
          </cell>
          <cell r="N4057" t="str">
            <v>Agoes</v>
          </cell>
          <cell r="O4057" t="str">
            <v>Jember</v>
          </cell>
          <cell r="P4057" t="str">
            <v>Jember</v>
          </cell>
          <cell r="Q4057" t="str">
            <v>Jember</v>
          </cell>
          <cell r="R4057" t="str">
            <v>Jember</v>
          </cell>
          <cell r="S4057" t="str">
            <v>L Kota1</v>
          </cell>
          <cell r="T4057" t="str">
            <v>OTHERS</v>
          </cell>
          <cell r="U4057">
            <v>0</v>
          </cell>
        </row>
        <row r="4058">
          <cell r="E4058" t="str">
            <v>M25000118</v>
          </cell>
          <cell r="F4058"/>
          <cell r="G4058">
            <v>1000000000</v>
          </cell>
          <cell r="H4058" t="str">
            <v>Others</v>
          </cell>
          <cell r="I4058" t="str">
            <v>Exclusive</v>
          </cell>
          <cell r="J4058"/>
          <cell r="K4058" t="str">
            <v>Tunai Lobi</v>
          </cell>
          <cell r="L4058" t="str">
            <v>KARI07</v>
          </cell>
          <cell r="M4058" t="str">
            <v>Karisma/Agoes</v>
          </cell>
          <cell r="N4058" t="str">
            <v>Agoes</v>
          </cell>
          <cell r="O4058" t="str">
            <v>Jember</v>
          </cell>
          <cell r="P4058" t="str">
            <v>Jember</v>
          </cell>
          <cell r="Q4058" t="str">
            <v>Jember</v>
          </cell>
          <cell r="R4058" t="str">
            <v>Jember</v>
          </cell>
          <cell r="S4058" t="str">
            <v>L Kota1</v>
          </cell>
          <cell r="T4058" t="str">
            <v>OTHERS</v>
          </cell>
          <cell r="U4058">
            <v>0</v>
          </cell>
        </row>
        <row r="4059">
          <cell r="E4059" t="str">
            <v>M25000119</v>
          </cell>
          <cell r="F4059"/>
          <cell r="G4059">
            <v>1000000000</v>
          </cell>
          <cell r="H4059" t="str">
            <v>Others</v>
          </cell>
          <cell r="I4059" t="str">
            <v>Exclusive</v>
          </cell>
          <cell r="J4059"/>
          <cell r="K4059" t="str">
            <v>Tunai Lobi</v>
          </cell>
          <cell r="L4059" t="str">
            <v>KARI07</v>
          </cell>
          <cell r="M4059" t="str">
            <v>Karisma/Agoes</v>
          </cell>
          <cell r="N4059" t="str">
            <v>Agoes</v>
          </cell>
          <cell r="O4059" t="str">
            <v>Jember</v>
          </cell>
          <cell r="P4059" t="str">
            <v>Jember</v>
          </cell>
          <cell r="Q4059" t="str">
            <v>Jember</v>
          </cell>
          <cell r="R4059" t="str">
            <v>Jember</v>
          </cell>
          <cell r="S4059" t="str">
            <v>L Kota1</v>
          </cell>
          <cell r="T4059" t="str">
            <v>OTHERS</v>
          </cell>
          <cell r="U4059">
            <v>0</v>
          </cell>
        </row>
        <row r="4060">
          <cell r="E4060" t="str">
            <v>N25000061</v>
          </cell>
          <cell r="F4060"/>
          <cell r="G4060">
            <v>1000000000</v>
          </cell>
          <cell r="H4060" t="str">
            <v>Others</v>
          </cell>
          <cell r="I4060" t="str">
            <v>Exclusive</v>
          </cell>
          <cell r="J4060"/>
          <cell r="K4060" t="str">
            <v>Tunai Lobi</v>
          </cell>
          <cell r="L4060" t="str">
            <v>KARI07</v>
          </cell>
          <cell r="M4060" t="str">
            <v>Karisma/Agoes</v>
          </cell>
          <cell r="N4060" t="str">
            <v>Agoes</v>
          </cell>
          <cell r="O4060" t="str">
            <v>Jember</v>
          </cell>
          <cell r="P4060" t="str">
            <v>Jember</v>
          </cell>
          <cell r="Q4060" t="str">
            <v>Jember</v>
          </cell>
          <cell r="R4060" t="str">
            <v>Jember</v>
          </cell>
          <cell r="S4060" t="str">
            <v>L Kota1</v>
          </cell>
          <cell r="T4060" t="str">
            <v>OTHERS</v>
          </cell>
          <cell r="U4060">
            <v>30</v>
          </cell>
        </row>
        <row r="4061">
          <cell r="E4061" t="str">
            <v>M25000120</v>
          </cell>
          <cell r="F4061"/>
          <cell r="G4061">
            <v>1000000000</v>
          </cell>
          <cell r="H4061" t="str">
            <v>Others</v>
          </cell>
          <cell r="I4061" t="str">
            <v>Exclusive</v>
          </cell>
          <cell r="J4061"/>
          <cell r="K4061" t="str">
            <v>Tunai Lobi</v>
          </cell>
          <cell r="L4061" t="str">
            <v>KARI07</v>
          </cell>
          <cell r="M4061" t="str">
            <v>Karisma/Agoes</v>
          </cell>
          <cell r="N4061" t="str">
            <v>Agoes</v>
          </cell>
          <cell r="O4061" t="str">
            <v>Jember</v>
          </cell>
          <cell r="P4061" t="str">
            <v>Jember</v>
          </cell>
          <cell r="Q4061" t="str">
            <v>Jember</v>
          </cell>
          <cell r="R4061" t="str">
            <v>Jember</v>
          </cell>
          <cell r="S4061" t="str">
            <v>L Kota1</v>
          </cell>
          <cell r="T4061" t="str">
            <v>OTHERS</v>
          </cell>
          <cell r="U4061">
            <v>0</v>
          </cell>
        </row>
        <row r="4062">
          <cell r="E4062" t="str">
            <v>M25000121</v>
          </cell>
          <cell r="F4062"/>
          <cell r="G4062">
            <v>1000000000</v>
          </cell>
          <cell r="H4062" t="str">
            <v>Others</v>
          </cell>
          <cell r="I4062" t="str">
            <v>Exclusive</v>
          </cell>
          <cell r="J4062"/>
          <cell r="K4062" t="str">
            <v>Tunai Lobi</v>
          </cell>
          <cell r="L4062" t="str">
            <v>KARI07</v>
          </cell>
          <cell r="M4062" t="str">
            <v>Karisma/Agoes</v>
          </cell>
          <cell r="N4062" t="str">
            <v>Agoes</v>
          </cell>
          <cell r="O4062" t="str">
            <v>Jember</v>
          </cell>
          <cell r="P4062" t="str">
            <v>Jember</v>
          </cell>
          <cell r="Q4062" t="str">
            <v>Jember</v>
          </cell>
          <cell r="R4062" t="str">
            <v>Jember</v>
          </cell>
          <cell r="S4062" t="str">
            <v>L Kota1</v>
          </cell>
          <cell r="T4062" t="str">
            <v>OTHERS</v>
          </cell>
          <cell r="U4062">
            <v>0</v>
          </cell>
        </row>
        <row r="4063">
          <cell r="E4063" t="str">
            <v>M25000123</v>
          </cell>
          <cell r="F4063"/>
          <cell r="G4063">
            <v>1000000000</v>
          </cell>
          <cell r="H4063" t="str">
            <v>Others</v>
          </cell>
          <cell r="I4063" t="str">
            <v>Exclusive</v>
          </cell>
          <cell r="J4063"/>
          <cell r="K4063" t="str">
            <v>Tunai Lobi</v>
          </cell>
          <cell r="L4063" t="str">
            <v>KARI07</v>
          </cell>
          <cell r="M4063" t="str">
            <v>Karisma/Agoes</v>
          </cell>
          <cell r="N4063" t="str">
            <v>Agoes</v>
          </cell>
          <cell r="O4063" t="str">
            <v>Jember</v>
          </cell>
          <cell r="P4063" t="str">
            <v>Jember</v>
          </cell>
          <cell r="Q4063" t="str">
            <v>Jember</v>
          </cell>
          <cell r="R4063" t="str">
            <v>Jember</v>
          </cell>
          <cell r="S4063" t="str">
            <v>L Kota1</v>
          </cell>
          <cell r="T4063" t="str">
            <v>OTHERS</v>
          </cell>
          <cell r="U4063">
            <v>0</v>
          </cell>
        </row>
        <row r="4064">
          <cell r="E4064" t="str">
            <v>M25000124</v>
          </cell>
          <cell r="F4064"/>
          <cell r="G4064">
            <v>1000000000</v>
          </cell>
          <cell r="H4064" t="str">
            <v>Others</v>
          </cell>
          <cell r="I4064" t="str">
            <v>Exclusive</v>
          </cell>
          <cell r="J4064"/>
          <cell r="K4064" t="str">
            <v>Tunai Lobi</v>
          </cell>
          <cell r="L4064" t="str">
            <v>KARI07</v>
          </cell>
          <cell r="M4064" t="str">
            <v>Karisma/Agoes</v>
          </cell>
          <cell r="N4064" t="str">
            <v>Agoes</v>
          </cell>
          <cell r="O4064" t="str">
            <v>Jember</v>
          </cell>
          <cell r="P4064" t="str">
            <v>Jember</v>
          </cell>
          <cell r="Q4064" t="str">
            <v>Jember</v>
          </cell>
          <cell r="R4064" t="str">
            <v>Jember</v>
          </cell>
          <cell r="S4064" t="str">
            <v>L Kota1</v>
          </cell>
          <cell r="T4064" t="str">
            <v>OTHERS</v>
          </cell>
          <cell r="U4064">
            <v>0</v>
          </cell>
        </row>
        <row r="4065">
          <cell r="E4065" t="str">
            <v>M25000125</v>
          </cell>
          <cell r="F4065"/>
          <cell r="G4065">
            <v>1000000000</v>
          </cell>
          <cell r="H4065" t="str">
            <v>Others</v>
          </cell>
          <cell r="I4065" t="str">
            <v>Exclusive</v>
          </cell>
          <cell r="J4065"/>
          <cell r="K4065" t="str">
            <v>Tunai Lobi</v>
          </cell>
          <cell r="L4065" t="str">
            <v>KARI07</v>
          </cell>
          <cell r="M4065" t="str">
            <v>Karisma/Agoes</v>
          </cell>
          <cell r="N4065" t="str">
            <v>Agoes</v>
          </cell>
          <cell r="O4065" t="str">
            <v>Jember</v>
          </cell>
          <cell r="P4065" t="str">
            <v>Jember</v>
          </cell>
          <cell r="Q4065" t="str">
            <v>Jember</v>
          </cell>
          <cell r="R4065" t="str">
            <v>Jember</v>
          </cell>
          <cell r="S4065" t="str">
            <v>L Kota1</v>
          </cell>
          <cell r="T4065" t="str">
            <v>OTHERS</v>
          </cell>
          <cell r="U4065">
            <v>0</v>
          </cell>
        </row>
        <row r="4066">
          <cell r="E4066" t="str">
            <v>M25000126</v>
          </cell>
          <cell r="F4066"/>
          <cell r="G4066">
            <v>1000000000</v>
          </cell>
          <cell r="H4066" t="str">
            <v>Others</v>
          </cell>
          <cell r="I4066" t="str">
            <v>Exclusive</v>
          </cell>
          <cell r="J4066"/>
          <cell r="K4066" t="str">
            <v>Tunai Lobi</v>
          </cell>
          <cell r="L4066" t="str">
            <v>KARI07</v>
          </cell>
          <cell r="M4066" t="str">
            <v>Karisma/Agoes</v>
          </cell>
          <cell r="N4066" t="str">
            <v>Agoes</v>
          </cell>
          <cell r="O4066" t="str">
            <v>Jember</v>
          </cell>
          <cell r="P4066" t="str">
            <v>Jember</v>
          </cell>
          <cell r="Q4066" t="str">
            <v>Jember</v>
          </cell>
          <cell r="R4066" t="str">
            <v>Jember</v>
          </cell>
          <cell r="S4066" t="str">
            <v>L Kota1</v>
          </cell>
          <cell r="T4066" t="str">
            <v>OTHERS</v>
          </cell>
          <cell r="U4066">
            <v>0</v>
          </cell>
        </row>
        <row r="4067">
          <cell r="E4067" t="str">
            <v>M25000127</v>
          </cell>
          <cell r="F4067"/>
          <cell r="G4067">
            <v>1000000000</v>
          </cell>
          <cell r="H4067" t="str">
            <v>Others</v>
          </cell>
          <cell r="I4067" t="str">
            <v>Exclusive</v>
          </cell>
          <cell r="J4067"/>
          <cell r="K4067" t="str">
            <v>Tunai Lobi</v>
          </cell>
          <cell r="L4067" t="str">
            <v>KARI07</v>
          </cell>
          <cell r="M4067" t="str">
            <v>Karisma/Agoes</v>
          </cell>
          <cell r="N4067" t="str">
            <v>Agoes</v>
          </cell>
          <cell r="O4067" t="str">
            <v>Jember</v>
          </cell>
          <cell r="P4067" t="str">
            <v>Jember</v>
          </cell>
          <cell r="Q4067" t="str">
            <v>Jember</v>
          </cell>
          <cell r="R4067" t="str">
            <v>Jember</v>
          </cell>
          <cell r="S4067" t="str">
            <v>L Kota1</v>
          </cell>
          <cell r="T4067" t="str">
            <v>OTHERS</v>
          </cell>
          <cell r="U4067">
            <v>0</v>
          </cell>
        </row>
        <row r="4068">
          <cell r="E4068" t="str">
            <v>D25014599</v>
          </cell>
          <cell r="F4068"/>
          <cell r="G4068">
            <v>30000000</v>
          </cell>
          <cell r="H4068" t="str">
            <v>Faris</v>
          </cell>
          <cell r="I4068" t="str">
            <v>Syahra</v>
          </cell>
          <cell r="J4068"/>
          <cell r="K4068" t="str">
            <v>KU</v>
          </cell>
          <cell r="L4068" t="str">
            <v>KARU05</v>
          </cell>
          <cell r="M4068" t="str">
            <v>Karunia Jaya/Sujud Abdillah</v>
          </cell>
          <cell r="N4068" t="str">
            <v>Sujud Abdilah</v>
          </cell>
          <cell r="O4068" t="str">
            <v>Dsn. Panjen RT.001/RW.001, Kel. Jambewangi, Kec. Sempu</v>
          </cell>
          <cell r="P4068" t="str">
            <v>Banyuwangi</v>
          </cell>
          <cell r="Q4068" t="str">
            <v>Jambe Wangi Sempu</v>
          </cell>
          <cell r="R4068" t="str">
            <v>Banyuwangi</v>
          </cell>
          <cell r="S4068" t="str">
            <v>H Bwi1</v>
          </cell>
          <cell r="T4068" t="str">
            <v>Hafid</v>
          </cell>
          <cell r="U4068">
            <v>0</v>
          </cell>
        </row>
        <row r="4069">
          <cell r="E4069" t="str">
            <v>B25012807</v>
          </cell>
          <cell r="F4069"/>
          <cell r="G4069">
            <v>30000000</v>
          </cell>
          <cell r="H4069" t="str">
            <v>Faris</v>
          </cell>
          <cell r="I4069" t="str">
            <v>Syahra</v>
          </cell>
          <cell r="J4069"/>
          <cell r="K4069" t="str">
            <v>KU</v>
          </cell>
          <cell r="L4069" t="str">
            <v>KARU05</v>
          </cell>
          <cell r="M4069" t="str">
            <v>Karunia Jaya/Sujud Abdillah</v>
          </cell>
          <cell r="N4069" t="str">
            <v>Sujud Abdilah</v>
          </cell>
          <cell r="O4069" t="str">
            <v>Dsn. Panjen RT.001/RW.001, Kel. Jambewangi, Kec. Sempu</v>
          </cell>
          <cell r="P4069" t="str">
            <v>Banyuwangi</v>
          </cell>
          <cell r="Q4069" t="str">
            <v>Jambe Wangi Sempu</v>
          </cell>
          <cell r="R4069" t="str">
            <v>Banyuwangi</v>
          </cell>
          <cell r="S4069" t="str">
            <v>H Bwi1</v>
          </cell>
          <cell r="T4069" t="str">
            <v>Hafid</v>
          </cell>
          <cell r="U4069">
            <v>30</v>
          </cell>
        </row>
        <row r="4070">
          <cell r="E4070" t="str">
            <v>T25001503</v>
          </cell>
          <cell r="F4070"/>
          <cell r="G4070">
            <v>30000000</v>
          </cell>
          <cell r="H4070" t="str">
            <v>Faris</v>
          </cell>
          <cell r="I4070" t="str">
            <v>Syahra</v>
          </cell>
          <cell r="J4070"/>
          <cell r="K4070" t="str">
            <v>KU</v>
          </cell>
          <cell r="L4070" t="str">
            <v>KARU05</v>
          </cell>
          <cell r="M4070" t="str">
            <v>Karunia Jaya/Sujud Abdillah</v>
          </cell>
          <cell r="N4070" t="str">
            <v>Sujud Abdilah</v>
          </cell>
          <cell r="O4070" t="str">
            <v>Dsn. Panjen RT.001/RW.001, Kel. Jambewangi, Kec. Sempu</v>
          </cell>
          <cell r="P4070" t="str">
            <v>Banyuwangi</v>
          </cell>
          <cell r="Q4070" t="str">
            <v>Jambe Wangi Sempu</v>
          </cell>
          <cell r="R4070" t="str">
            <v>Banyuwangi</v>
          </cell>
          <cell r="S4070" t="str">
            <v>H Bwi1</v>
          </cell>
          <cell r="T4070" t="str">
            <v>Hafid</v>
          </cell>
          <cell r="U4070">
            <v>60</v>
          </cell>
        </row>
        <row r="4071">
          <cell r="E4071" t="str">
            <v>D25015387</v>
          </cell>
          <cell r="F4071"/>
          <cell r="G4071">
            <v>30000000</v>
          </cell>
          <cell r="H4071" t="str">
            <v>Faris</v>
          </cell>
          <cell r="I4071" t="str">
            <v>Syahra</v>
          </cell>
          <cell r="J4071"/>
          <cell r="K4071" t="str">
            <v>KU</v>
          </cell>
          <cell r="L4071" t="str">
            <v>KARU05</v>
          </cell>
          <cell r="M4071" t="str">
            <v>Karunia Jaya/Sujud Abdillah</v>
          </cell>
          <cell r="N4071" t="str">
            <v>Sujud Abdilah</v>
          </cell>
          <cell r="O4071" t="str">
            <v>Dsn. Panjen RT.001/RW.001, Kel. Jambewangi, Kec. Sempu</v>
          </cell>
          <cell r="P4071" t="str">
            <v>Banyuwangi</v>
          </cell>
          <cell r="Q4071" t="str">
            <v>Jambe Wangi Sempu</v>
          </cell>
          <cell r="R4071" t="str">
            <v>Banyuwangi</v>
          </cell>
          <cell r="S4071" t="str">
            <v>H Bwi1</v>
          </cell>
          <cell r="T4071" t="str">
            <v>Hafid</v>
          </cell>
          <cell r="U4071">
            <v>0</v>
          </cell>
        </row>
        <row r="4072">
          <cell r="E4072" t="str">
            <v>B25013199</v>
          </cell>
          <cell r="F4072"/>
          <cell r="G4072">
            <v>30000000</v>
          </cell>
          <cell r="H4072" t="str">
            <v>Faris</v>
          </cell>
          <cell r="I4072" t="str">
            <v>Syahra</v>
          </cell>
          <cell r="J4072"/>
          <cell r="K4072" t="str">
            <v>KU</v>
          </cell>
          <cell r="L4072" t="str">
            <v>KARU05</v>
          </cell>
          <cell r="M4072" t="str">
            <v>Karunia Jaya/Sujud Abdillah</v>
          </cell>
          <cell r="N4072" t="str">
            <v>Sujud Abdilah</v>
          </cell>
          <cell r="O4072" t="str">
            <v>Dsn. Panjen RT.001/RW.001, Kel. Jambewangi, Kec. Sempu</v>
          </cell>
          <cell r="P4072" t="str">
            <v>Banyuwangi</v>
          </cell>
          <cell r="Q4072" t="str">
            <v>Jambe Wangi Sempu</v>
          </cell>
          <cell r="R4072" t="str">
            <v>Banyuwangi</v>
          </cell>
          <cell r="S4072" t="str">
            <v>H Bwi1</v>
          </cell>
          <cell r="T4072" t="str">
            <v>Hafid</v>
          </cell>
          <cell r="U4072">
            <v>30</v>
          </cell>
        </row>
        <row r="4073">
          <cell r="E4073" t="str">
            <v>Z25002650</v>
          </cell>
          <cell r="F4073"/>
          <cell r="G4073">
            <v>30000000</v>
          </cell>
          <cell r="H4073" t="str">
            <v>Faris</v>
          </cell>
          <cell r="I4073" t="str">
            <v>Syahra</v>
          </cell>
          <cell r="J4073"/>
          <cell r="K4073" t="str">
            <v>KU</v>
          </cell>
          <cell r="L4073" t="str">
            <v>KARU05</v>
          </cell>
          <cell r="M4073" t="str">
            <v>Karunia Jaya/Sujud Abdillah</v>
          </cell>
          <cell r="N4073" t="str">
            <v>Sujud Abdilah</v>
          </cell>
          <cell r="O4073" t="str">
            <v>Dsn. Panjen RT.001/RW.001, Kel. Jambewangi, Kec. Sempu</v>
          </cell>
          <cell r="P4073" t="str">
            <v>Banyuwangi</v>
          </cell>
          <cell r="Q4073" t="str">
            <v>Jambe Wangi Sempu</v>
          </cell>
          <cell r="R4073" t="str">
            <v>Banyuwangi</v>
          </cell>
          <cell r="S4073" t="str">
            <v>H Bwi1</v>
          </cell>
          <cell r="T4073" t="str">
            <v>Hafid</v>
          </cell>
          <cell r="U4073">
            <v>30</v>
          </cell>
        </row>
        <row r="4074">
          <cell r="E4074" t="str">
            <v>D25016163</v>
          </cell>
          <cell r="F4074"/>
          <cell r="G4074">
            <v>30000000</v>
          </cell>
          <cell r="H4074" t="str">
            <v>Faris</v>
          </cell>
          <cell r="I4074" t="str">
            <v>Syahra</v>
          </cell>
          <cell r="J4074"/>
          <cell r="K4074" t="str">
            <v>KU</v>
          </cell>
          <cell r="L4074" t="str">
            <v>KARU05</v>
          </cell>
          <cell r="M4074" t="str">
            <v>Karunia Jaya/Sujud Abdillah</v>
          </cell>
          <cell r="N4074" t="str">
            <v>Sujud Abdilah</v>
          </cell>
          <cell r="O4074" t="str">
            <v>Dsn. Panjen RT.001/RW.001, Kel. Jambewangi, Kec. Sempu</v>
          </cell>
          <cell r="P4074" t="str">
            <v>Banyuwangi</v>
          </cell>
          <cell r="Q4074" t="str">
            <v>Jambe Wangi Sempu</v>
          </cell>
          <cell r="R4074" t="str">
            <v>Banyuwangi</v>
          </cell>
          <cell r="S4074" t="str">
            <v>H Bwi1</v>
          </cell>
          <cell r="T4074" t="str">
            <v>Hafid</v>
          </cell>
          <cell r="U4074">
            <v>0</v>
          </cell>
        </row>
        <row r="4075">
          <cell r="E4075" t="str">
            <v>Z25002537</v>
          </cell>
          <cell r="F4075"/>
          <cell r="G4075">
            <v>300000000</v>
          </cell>
          <cell r="H4075" t="str">
            <v>Faris</v>
          </cell>
          <cell r="I4075" t="str">
            <v>Syahra</v>
          </cell>
          <cell r="J4075"/>
          <cell r="K4075" t="str">
            <v>KU</v>
          </cell>
          <cell r="L4075" t="str">
            <v>KARU01</v>
          </cell>
          <cell r="M4075" t="str">
            <v>Karunia Makmur, UD</v>
          </cell>
          <cell r="N4075" t="str">
            <v>Yenny</v>
          </cell>
          <cell r="O4075" t="str">
            <v>Dsn. Silirkrombang, RT.003/RW.002, Kel. Seneporejo, Siliragung</v>
          </cell>
          <cell r="P4075" t="str">
            <v>Banyuwangi</v>
          </cell>
          <cell r="Q4075" t="str">
            <v>Krombang</v>
          </cell>
          <cell r="R4075" t="str">
            <v>Banyuwangi</v>
          </cell>
          <cell r="S4075" t="str">
            <v>H Bwi4</v>
          </cell>
          <cell r="T4075" t="str">
            <v>Hafid</v>
          </cell>
          <cell r="U4075">
            <v>30</v>
          </cell>
        </row>
        <row r="4076">
          <cell r="E4076" t="str">
            <v>Z250032</v>
          </cell>
          <cell r="F4076"/>
          <cell r="G4076">
            <v>300000000</v>
          </cell>
          <cell r="H4076" t="str">
            <v>Faris</v>
          </cell>
          <cell r="I4076" t="str">
            <v>Syahra</v>
          </cell>
          <cell r="J4076"/>
          <cell r="K4076" t="str">
            <v>KU</v>
          </cell>
          <cell r="L4076" t="str">
            <v>KARU01</v>
          </cell>
          <cell r="M4076" t="str">
            <v>Karunia Makmur, UD</v>
          </cell>
          <cell r="N4076" t="str">
            <v>Yenny</v>
          </cell>
          <cell r="O4076" t="str">
            <v>Dsn. Silirkrombang, RT.003/RW.002, Kel. Seneporejo, Siliragung</v>
          </cell>
          <cell r="P4076" t="str">
            <v>Banyuwangi</v>
          </cell>
          <cell r="Q4076" t="str">
            <v>Krombang</v>
          </cell>
          <cell r="R4076" t="str">
            <v>Banyuwangi</v>
          </cell>
          <cell r="S4076" t="str">
            <v>H Bwi4</v>
          </cell>
          <cell r="T4076" t="str">
            <v>Hafid</v>
          </cell>
          <cell r="U4076">
            <v>30</v>
          </cell>
        </row>
        <row r="4077">
          <cell r="E4077" t="str">
            <v>Z25002575</v>
          </cell>
          <cell r="F4077"/>
          <cell r="G4077">
            <v>300000000</v>
          </cell>
          <cell r="H4077" t="str">
            <v>Faris</v>
          </cell>
          <cell r="I4077" t="str">
            <v>Syahra</v>
          </cell>
          <cell r="J4077"/>
          <cell r="K4077" t="str">
            <v>KU</v>
          </cell>
          <cell r="L4077" t="str">
            <v>KARU01</v>
          </cell>
          <cell r="M4077" t="str">
            <v>Karunia Makmur, UD</v>
          </cell>
          <cell r="N4077" t="str">
            <v>Yenny</v>
          </cell>
          <cell r="O4077" t="str">
            <v>Dsn. Silirkrombang, RT.003/RW.002, Kel. Seneporejo, Siliragung</v>
          </cell>
          <cell r="P4077" t="str">
            <v>Banyuwangi</v>
          </cell>
          <cell r="Q4077" t="str">
            <v>Krombang</v>
          </cell>
          <cell r="R4077" t="str">
            <v>Banyuwangi</v>
          </cell>
          <cell r="S4077" t="str">
            <v>H Bwi4</v>
          </cell>
          <cell r="T4077" t="str">
            <v>Hafid</v>
          </cell>
          <cell r="U4077">
            <v>30</v>
          </cell>
        </row>
        <row r="4078">
          <cell r="E4078" t="str">
            <v>Z25002576</v>
          </cell>
          <cell r="F4078"/>
          <cell r="G4078">
            <v>300000000</v>
          </cell>
          <cell r="H4078" t="str">
            <v>Faris</v>
          </cell>
          <cell r="I4078" t="str">
            <v>Syahra</v>
          </cell>
          <cell r="J4078"/>
          <cell r="K4078" t="str">
            <v>KU</v>
          </cell>
          <cell r="L4078" t="str">
            <v>KARU01</v>
          </cell>
          <cell r="M4078" t="str">
            <v>Karunia Makmur, UD</v>
          </cell>
          <cell r="N4078" t="str">
            <v>Yenny</v>
          </cell>
          <cell r="O4078" t="str">
            <v>Dsn. Silirkrombang, RT.003/RW.002, Kel. Seneporejo, Siliragung</v>
          </cell>
          <cell r="P4078" t="str">
            <v>Banyuwangi</v>
          </cell>
          <cell r="Q4078" t="str">
            <v>Krombang</v>
          </cell>
          <cell r="R4078" t="str">
            <v>Banyuwangi</v>
          </cell>
          <cell r="S4078" t="str">
            <v>H Bwi4</v>
          </cell>
          <cell r="T4078" t="str">
            <v>Hafid</v>
          </cell>
          <cell r="U4078">
            <v>30</v>
          </cell>
        </row>
        <row r="4079">
          <cell r="E4079" t="str">
            <v>Z25002611</v>
          </cell>
          <cell r="F4079"/>
          <cell r="G4079">
            <v>300000000</v>
          </cell>
          <cell r="H4079" t="str">
            <v>Faris</v>
          </cell>
          <cell r="I4079" t="str">
            <v>Syahra</v>
          </cell>
          <cell r="J4079"/>
          <cell r="K4079" t="str">
            <v>KU</v>
          </cell>
          <cell r="L4079" t="str">
            <v>KARU01</v>
          </cell>
          <cell r="M4079" t="str">
            <v>Karunia Makmur, UD</v>
          </cell>
          <cell r="N4079" t="str">
            <v>Yenny</v>
          </cell>
          <cell r="O4079" t="str">
            <v>Dsn. Silirkrombang, RT.003/RW.002, Kel. Seneporejo, Siliragung</v>
          </cell>
          <cell r="P4079" t="str">
            <v>Banyuwangi</v>
          </cell>
          <cell r="Q4079" t="str">
            <v>Krombang</v>
          </cell>
          <cell r="R4079" t="str">
            <v>Banyuwangi</v>
          </cell>
          <cell r="S4079" t="str">
            <v>H Bwi4</v>
          </cell>
          <cell r="T4079" t="str">
            <v>Hafid</v>
          </cell>
          <cell r="U4079">
            <v>30</v>
          </cell>
        </row>
        <row r="4080">
          <cell r="E4080" t="str">
            <v>Z25002775</v>
          </cell>
          <cell r="F4080"/>
          <cell r="G4080">
            <v>300000000</v>
          </cell>
          <cell r="H4080" t="str">
            <v>Faris</v>
          </cell>
          <cell r="I4080" t="str">
            <v>Syahra</v>
          </cell>
          <cell r="J4080"/>
          <cell r="K4080" t="str">
            <v>KU</v>
          </cell>
          <cell r="L4080" t="str">
            <v>KARU01</v>
          </cell>
          <cell r="M4080" t="str">
            <v>Karunia Makmur, UD</v>
          </cell>
          <cell r="N4080" t="str">
            <v>Yenny</v>
          </cell>
          <cell r="O4080" t="str">
            <v>Dsn. Silirkrombang, RT.003/RW.002, Kel. Seneporejo, Siliragung</v>
          </cell>
          <cell r="P4080" t="str">
            <v>Banyuwangi</v>
          </cell>
          <cell r="Q4080" t="str">
            <v>Krombang</v>
          </cell>
          <cell r="R4080" t="str">
            <v>Banyuwangi</v>
          </cell>
          <cell r="S4080" t="str">
            <v>H Bwi4</v>
          </cell>
          <cell r="T4080" t="str">
            <v>Hafid</v>
          </cell>
          <cell r="U4080">
            <v>30</v>
          </cell>
        </row>
        <row r="4081">
          <cell r="E4081" t="str">
            <v>Z250041</v>
          </cell>
          <cell r="F4081"/>
          <cell r="G4081">
            <v>300000000</v>
          </cell>
          <cell r="H4081" t="str">
            <v>Faris</v>
          </cell>
          <cell r="I4081" t="str">
            <v>Syahra</v>
          </cell>
          <cell r="J4081"/>
          <cell r="K4081" t="str">
            <v>KU</v>
          </cell>
          <cell r="L4081" t="str">
            <v>KARU01</v>
          </cell>
          <cell r="M4081" t="str">
            <v>Karunia Makmur, UD</v>
          </cell>
          <cell r="N4081" t="str">
            <v>Yenny</v>
          </cell>
          <cell r="O4081" t="str">
            <v>Dsn. Silirkrombang, RT.003/RW.002, Kel. Seneporejo, Siliragung</v>
          </cell>
          <cell r="P4081" t="str">
            <v>Banyuwangi</v>
          </cell>
          <cell r="Q4081" t="str">
            <v>Krombang</v>
          </cell>
          <cell r="R4081" t="str">
            <v>Banyuwangi</v>
          </cell>
          <cell r="S4081" t="str">
            <v>H Bwi4</v>
          </cell>
          <cell r="T4081" t="str">
            <v>Hafid</v>
          </cell>
          <cell r="U4081">
            <v>30</v>
          </cell>
        </row>
        <row r="4082">
          <cell r="E4082" t="str">
            <v>Z25002796</v>
          </cell>
          <cell r="F4082"/>
          <cell r="G4082">
            <v>300000000</v>
          </cell>
          <cell r="H4082" t="str">
            <v>Faris</v>
          </cell>
          <cell r="I4082" t="str">
            <v>Syahra</v>
          </cell>
          <cell r="J4082"/>
          <cell r="K4082" t="str">
            <v>KU</v>
          </cell>
          <cell r="L4082" t="str">
            <v>KARU01</v>
          </cell>
          <cell r="M4082" t="str">
            <v>Karunia Makmur, UD</v>
          </cell>
          <cell r="N4082" t="str">
            <v>Yenny</v>
          </cell>
          <cell r="O4082" t="str">
            <v>Dsn. Silirkrombang, RT.003/RW.002, Kel. Seneporejo, Siliragung</v>
          </cell>
          <cell r="P4082" t="str">
            <v>Banyuwangi</v>
          </cell>
          <cell r="Q4082" t="str">
            <v>Krombang</v>
          </cell>
          <cell r="R4082" t="str">
            <v>Banyuwangi</v>
          </cell>
          <cell r="S4082" t="str">
            <v>H Bwi4</v>
          </cell>
          <cell r="T4082" t="str">
            <v>Hafid</v>
          </cell>
          <cell r="U4082">
            <v>30</v>
          </cell>
        </row>
        <row r="4083">
          <cell r="E4083" t="str">
            <v>Z25002814</v>
          </cell>
          <cell r="F4083"/>
          <cell r="G4083">
            <v>300000000</v>
          </cell>
          <cell r="H4083" t="str">
            <v>Faris</v>
          </cell>
          <cell r="I4083" t="str">
            <v>Syahra</v>
          </cell>
          <cell r="J4083"/>
          <cell r="K4083" t="str">
            <v>KU</v>
          </cell>
          <cell r="L4083" t="str">
            <v>KARU01</v>
          </cell>
          <cell r="M4083" t="str">
            <v>Karunia Makmur, UD</v>
          </cell>
          <cell r="N4083" t="str">
            <v>Yenny</v>
          </cell>
          <cell r="O4083" t="str">
            <v>Dsn. Silirkrombang, RT.003/RW.002, Kel. Seneporejo, Siliragung</v>
          </cell>
          <cell r="P4083" t="str">
            <v>Banyuwangi</v>
          </cell>
          <cell r="Q4083" t="str">
            <v>Krombang</v>
          </cell>
          <cell r="R4083" t="str">
            <v>Banyuwangi</v>
          </cell>
          <cell r="S4083" t="str">
            <v>H Bwi4</v>
          </cell>
          <cell r="T4083" t="str">
            <v>Hafid</v>
          </cell>
          <cell r="U4083">
            <v>30</v>
          </cell>
        </row>
        <row r="4084">
          <cell r="E4084" t="str">
            <v>Z25002819</v>
          </cell>
          <cell r="F4084"/>
          <cell r="G4084">
            <v>300000000</v>
          </cell>
          <cell r="H4084" t="str">
            <v>Faris</v>
          </cell>
          <cell r="I4084" t="str">
            <v>Syahra</v>
          </cell>
          <cell r="J4084"/>
          <cell r="K4084" t="str">
            <v>KU</v>
          </cell>
          <cell r="L4084" t="str">
            <v>KARU01</v>
          </cell>
          <cell r="M4084" t="str">
            <v>Karunia Makmur, UD</v>
          </cell>
          <cell r="N4084" t="str">
            <v>Yenny</v>
          </cell>
          <cell r="O4084" t="str">
            <v>Dsn. Silirkrombang, RT.003/RW.002, Kel. Seneporejo, Siliragung</v>
          </cell>
          <cell r="P4084" t="str">
            <v>Banyuwangi</v>
          </cell>
          <cell r="Q4084" t="str">
            <v>Krombang</v>
          </cell>
          <cell r="R4084" t="str">
            <v>Banyuwangi</v>
          </cell>
          <cell r="S4084" t="str">
            <v>H Bwi4</v>
          </cell>
          <cell r="T4084" t="str">
            <v>Hafid</v>
          </cell>
          <cell r="U4084">
            <v>30</v>
          </cell>
        </row>
        <row r="4085">
          <cell r="E4085" t="str">
            <v>B25008719</v>
          </cell>
          <cell r="F4085"/>
          <cell r="G4085">
            <v>1000000000</v>
          </cell>
          <cell r="H4085" t="str">
            <v>Ariyani</v>
          </cell>
          <cell r="I4085" t="str">
            <v>Fira</v>
          </cell>
          <cell r="J4085"/>
          <cell r="K4085" t="str">
            <v>BG</v>
          </cell>
          <cell r="L4085" t="str">
            <v>KARY02</v>
          </cell>
          <cell r="M4085" t="str">
            <v>Karya Guna/Agus</v>
          </cell>
          <cell r="N4085" t="str">
            <v>Agus Wijaya Winanto</v>
          </cell>
          <cell r="O4085" t="str">
            <v>Krajan, RT.009/RW.001, Glagah Pakuniran, Kab. Probolinggo</v>
          </cell>
          <cell r="P4085" t="str">
            <v>Probolinggo</v>
          </cell>
          <cell r="Q4085" t="str">
            <v>Krajan, RT.009/RW.001, Glagah Pakuniran, Kab. Probolinggo</v>
          </cell>
          <cell r="R4085" t="str">
            <v>Probolinggo</v>
          </cell>
          <cell r="S4085" t="str">
            <v>G Prob2</v>
          </cell>
          <cell r="T4085" t="str">
            <v>Wira</v>
          </cell>
          <cell r="U4085">
            <v>60</v>
          </cell>
        </row>
        <row r="4086">
          <cell r="E4086" t="str">
            <v>B25008766</v>
          </cell>
          <cell r="F4086"/>
          <cell r="G4086">
            <v>1000000000</v>
          </cell>
          <cell r="H4086" t="str">
            <v>Ariyani</v>
          </cell>
          <cell r="I4086" t="str">
            <v>Fira</v>
          </cell>
          <cell r="J4086"/>
          <cell r="K4086" t="str">
            <v>BG</v>
          </cell>
          <cell r="L4086" t="str">
            <v>KARY02</v>
          </cell>
          <cell r="M4086" t="str">
            <v>Karya Guna/Agus</v>
          </cell>
          <cell r="N4086" t="str">
            <v>Agus Wijaya Winanto</v>
          </cell>
          <cell r="O4086" t="str">
            <v>Krajan, RT.009/RW.001, Glagah Pakuniran, Kab. Probolinggo</v>
          </cell>
          <cell r="P4086" t="str">
            <v>Probolinggo</v>
          </cell>
          <cell r="Q4086" t="str">
            <v>Krajan, RT.009/RW.001, Glagah Pakuniran, Kab. Probolinggo</v>
          </cell>
          <cell r="R4086" t="str">
            <v>Probolinggo</v>
          </cell>
          <cell r="S4086" t="str">
            <v>G Prob2</v>
          </cell>
          <cell r="T4086" t="str">
            <v>Wira</v>
          </cell>
          <cell r="U4086">
            <v>30</v>
          </cell>
        </row>
        <row r="4087">
          <cell r="E4087" t="str">
            <v>B25008767</v>
          </cell>
          <cell r="F4087"/>
          <cell r="G4087">
            <v>1000000000</v>
          </cell>
          <cell r="H4087" t="str">
            <v>Ariyani</v>
          </cell>
          <cell r="I4087" t="str">
            <v>Fira</v>
          </cell>
          <cell r="J4087"/>
          <cell r="K4087" t="str">
            <v>BG</v>
          </cell>
          <cell r="L4087" t="str">
            <v>KARY02</v>
          </cell>
          <cell r="M4087" t="str">
            <v>Karya Guna/Agus</v>
          </cell>
          <cell r="N4087" t="str">
            <v>Agus Wijaya Winanto</v>
          </cell>
          <cell r="O4087" t="str">
            <v>Krajan, RT.009/RW.001, Glagah Pakuniran, Kab. Probolinggo</v>
          </cell>
          <cell r="P4087" t="str">
            <v>Probolinggo</v>
          </cell>
          <cell r="Q4087" t="str">
            <v>Krajan, RT.009/RW.001, Glagah Pakuniran, Kab. Probolinggo</v>
          </cell>
          <cell r="R4087" t="str">
            <v>Probolinggo</v>
          </cell>
          <cell r="S4087" t="str">
            <v>G Prob2</v>
          </cell>
          <cell r="T4087" t="str">
            <v>Wira</v>
          </cell>
          <cell r="U4087">
            <v>30</v>
          </cell>
        </row>
        <row r="4088">
          <cell r="E4088" t="str">
            <v>B25008774</v>
          </cell>
          <cell r="F4088"/>
          <cell r="G4088">
            <v>1000000000</v>
          </cell>
          <cell r="H4088" t="str">
            <v>Ariyani</v>
          </cell>
          <cell r="I4088" t="str">
            <v>Fira</v>
          </cell>
          <cell r="J4088"/>
          <cell r="K4088" t="str">
            <v>BG</v>
          </cell>
          <cell r="L4088" t="str">
            <v>KARY02</v>
          </cell>
          <cell r="M4088" t="str">
            <v>Karya Guna/Agus</v>
          </cell>
          <cell r="N4088" t="str">
            <v>Agus Wijaya Winanto</v>
          </cell>
          <cell r="O4088" t="str">
            <v>Krajan, RT.009/RW.001, Glagah Pakuniran, Kab. Probolinggo</v>
          </cell>
          <cell r="P4088" t="str">
            <v>Probolinggo</v>
          </cell>
          <cell r="Q4088" t="str">
            <v>Krajan, RT.009/RW.001, Glagah Pakuniran, Kab. Probolinggo</v>
          </cell>
          <cell r="R4088" t="str">
            <v>Probolinggo</v>
          </cell>
          <cell r="S4088" t="str">
            <v>G Prob2</v>
          </cell>
          <cell r="T4088" t="str">
            <v>Wira</v>
          </cell>
          <cell r="U4088">
            <v>30</v>
          </cell>
        </row>
        <row r="4089">
          <cell r="E4089" t="str">
            <v>D25011047</v>
          </cell>
          <cell r="F4089"/>
          <cell r="G4089">
            <v>1000000000</v>
          </cell>
          <cell r="H4089" t="str">
            <v>Ariyani</v>
          </cell>
          <cell r="I4089" t="str">
            <v>Fira</v>
          </cell>
          <cell r="J4089"/>
          <cell r="K4089" t="str">
            <v>BG</v>
          </cell>
          <cell r="L4089" t="str">
            <v>KARY02</v>
          </cell>
          <cell r="M4089" t="str">
            <v>Karya Guna/Agus</v>
          </cell>
          <cell r="N4089" t="str">
            <v>Agus Wijaya Winanto</v>
          </cell>
          <cell r="O4089" t="str">
            <v>Krajan, RT.009/RW.001, Glagah Pakuniran, Kab. Probolinggo</v>
          </cell>
          <cell r="P4089" t="str">
            <v>Probolinggo</v>
          </cell>
          <cell r="Q4089" t="str">
            <v>Krajan, RT.009/RW.001, Glagah Pakuniran, Kab. Probolinggo</v>
          </cell>
          <cell r="R4089" t="str">
            <v>Probolinggo</v>
          </cell>
          <cell r="S4089" t="str">
            <v>G Prob2</v>
          </cell>
          <cell r="T4089" t="str">
            <v>Wira</v>
          </cell>
          <cell r="U4089">
            <v>30</v>
          </cell>
        </row>
        <row r="4090">
          <cell r="E4090" t="str">
            <v>D25011095</v>
          </cell>
          <cell r="F4090"/>
          <cell r="G4090">
            <v>1000000000</v>
          </cell>
          <cell r="H4090" t="str">
            <v>Ariyani</v>
          </cell>
          <cell r="I4090" t="str">
            <v>Fira</v>
          </cell>
          <cell r="J4090"/>
          <cell r="K4090" t="str">
            <v>BG</v>
          </cell>
          <cell r="L4090" t="str">
            <v>KARY02</v>
          </cell>
          <cell r="M4090" t="str">
            <v>Karya Guna/Agus</v>
          </cell>
          <cell r="N4090" t="str">
            <v>Agus Wijaya Winanto</v>
          </cell>
          <cell r="O4090" t="str">
            <v>Krajan, RT.009/RW.001, Glagah Pakuniran, Kab. Probolinggo</v>
          </cell>
          <cell r="P4090" t="str">
            <v>Probolinggo</v>
          </cell>
          <cell r="Q4090" t="str">
            <v>Krajan, RT.009/RW.001, Glagah Pakuniran, Kab. Probolinggo</v>
          </cell>
          <cell r="R4090" t="str">
            <v>Probolinggo</v>
          </cell>
          <cell r="S4090" t="str">
            <v>G Prob2</v>
          </cell>
          <cell r="T4090" t="str">
            <v>Wira</v>
          </cell>
          <cell r="U4090">
            <v>60</v>
          </cell>
        </row>
        <row r="4091">
          <cell r="E4091" t="str">
            <v>B25010424</v>
          </cell>
          <cell r="F4091"/>
          <cell r="G4091">
            <v>1000000000</v>
          </cell>
          <cell r="H4091" t="str">
            <v>Ariyani</v>
          </cell>
          <cell r="I4091" t="str">
            <v>Fira</v>
          </cell>
          <cell r="J4091"/>
          <cell r="K4091" t="str">
            <v>BG</v>
          </cell>
          <cell r="L4091" t="str">
            <v>KARY02</v>
          </cell>
          <cell r="M4091" t="str">
            <v>Karya Guna/Agus</v>
          </cell>
          <cell r="N4091" t="str">
            <v>Agus Wijaya Winanto</v>
          </cell>
          <cell r="O4091" t="str">
            <v>Krajan, RT.009/RW.001, Glagah Pakuniran, Kab. Probolinggo</v>
          </cell>
          <cell r="P4091" t="str">
            <v>Probolinggo</v>
          </cell>
          <cell r="Q4091" t="str">
            <v>Krajan, RT.009/RW.001, Glagah Pakuniran, Kab. Probolinggo</v>
          </cell>
          <cell r="R4091" t="str">
            <v>Probolinggo</v>
          </cell>
          <cell r="S4091" t="str">
            <v>G Prob2</v>
          </cell>
          <cell r="T4091" t="str">
            <v>Wira</v>
          </cell>
          <cell r="U4091">
            <v>30</v>
          </cell>
        </row>
        <row r="4092">
          <cell r="E4092" t="str">
            <v>B25010425</v>
          </cell>
          <cell r="F4092"/>
          <cell r="G4092">
            <v>1000000000</v>
          </cell>
          <cell r="H4092" t="str">
            <v>Ariyani</v>
          </cell>
          <cell r="I4092" t="str">
            <v>Fira</v>
          </cell>
          <cell r="J4092"/>
          <cell r="K4092" t="str">
            <v>BG</v>
          </cell>
          <cell r="L4092" t="str">
            <v>KARY02</v>
          </cell>
          <cell r="M4092" t="str">
            <v>Karya Guna/Agus</v>
          </cell>
          <cell r="N4092" t="str">
            <v>Agus Wijaya Winanto</v>
          </cell>
          <cell r="O4092" t="str">
            <v>Krajan, RT.009/RW.001, Glagah Pakuniran, Kab. Probolinggo</v>
          </cell>
          <cell r="P4092" t="str">
            <v>Probolinggo</v>
          </cell>
          <cell r="Q4092" t="str">
            <v>Krajan, RT.009/RW.001, Glagah Pakuniran, Kab. Probolinggo</v>
          </cell>
          <cell r="R4092" t="str">
            <v>Probolinggo</v>
          </cell>
          <cell r="S4092" t="str">
            <v>G Prob2</v>
          </cell>
          <cell r="T4092" t="str">
            <v>Wira</v>
          </cell>
          <cell r="U4092">
            <v>30</v>
          </cell>
        </row>
        <row r="4093">
          <cell r="E4093" t="str">
            <v>B25010534</v>
          </cell>
          <cell r="F4093"/>
          <cell r="G4093">
            <v>1000000000</v>
          </cell>
          <cell r="H4093" t="str">
            <v>Ariyani</v>
          </cell>
          <cell r="I4093" t="str">
            <v>Fira</v>
          </cell>
          <cell r="J4093"/>
          <cell r="K4093" t="str">
            <v>BG</v>
          </cell>
          <cell r="L4093" t="str">
            <v>KARY02</v>
          </cell>
          <cell r="M4093" t="str">
            <v>Karya Guna/Agus</v>
          </cell>
          <cell r="N4093" t="str">
            <v>Agus Wijaya Winanto</v>
          </cell>
          <cell r="O4093" t="str">
            <v>Krajan, RT.009/RW.001, Glagah Pakuniran, Kab. Probolinggo</v>
          </cell>
          <cell r="P4093" t="str">
            <v>Probolinggo</v>
          </cell>
          <cell r="Q4093" t="str">
            <v>Krajan, RT.009/RW.001, Glagah Pakuniran, Kab. Probolinggo</v>
          </cell>
          <cell r="R4093" t="str">
            <v>Probolinggo</v>
          </cell>
          <cell r="S4093" t="str">
            <v>G Prob2</v>
          </cell>
          <cell r="T4093" t="str">
            <v>Wira</v>
          </cell>
          <cell r="U4093">
            <v>60</v>
          </cell>
        </row>
        <row r="4094">
          <cell r="E4094" t="str">
            <v>D25012543</v>
          </cell>
          <cell r="F4094"/>
          <cell r="G4094">
            <v>1000000000</v>
          </cell>
          <cell r="H4094" t="str">
            <v>Ariyani</v>
          </cell>
          <cell r="I4094" t="str">
            <v>Fira</v>
          </cell>
          <cell r="J4094"/>
          <cell r="K4094" t="str">
            <v>BG</v>
          </cell>
          <cell r="L4094" t="str">
            <v>KARY02</v>
          </cell>
          <cell r="M4094" t="str">
            <v>Karya Guna/Agus</v>
          </cell>
          <cell r="N4094" t="str">
            <v>Agus Wijaya Winanto</v>
          </cell>
          <cell r="O4094" t="str">
            <v>Krajan, RT.009/RW.001, Glagah Pakuniran, Kab. Probolinggo</v>
          </cell>
          <cell r="P4094" t="str">
            <v>Probolinggo</v>
          </cell>
          <cell r="Q4094" t="str">
            <v>Krajan, RT.009/RW.001, Glagah Pakuniran, Kab. Probolinggo</v>
          </cell>
          <cell r="R4094" t="str">
            <v>Probolinggo</v>
          </cell>
          <cell r="S4094" t="str">
            <v>G Prob2</v>
          </cell>
          <cell r="T4094" t="str">
            <v>Wira</v>
          </cell>
          <cell r="U4094">
            <v>30</v>
          </cell>
        </row>
        <row r="4095">
          <cell r="E4095" t="str">
            <v>D25012878</v>
          </cell>
          <cell r="F4095"/>
          <cell r="G4095">
            <v>1000000000</v>
          </cell>
          <cell r="H4095" t="str">
            <v>Ariyani</v>
          </cell>
          <cell r="I4095" t="str">
            <v>Fira</v>
          </cell>
          <cell r="J4095"/>
          <cell r="K4095" t="str">
            <v>BG</v>
          </cell>
          <cell r="L4095" t="str">
            <v>KARY02</v>
          </cell>
          <cell r="M4095" t="str">
            <v>Karya Guna/Agus</v>
          </cell>
          <cell r="N4095" t="str">
            <v>Agus Wijaya Winanto</v>
          </cell>
          <cell r="O4095" t="str">
            <v>Krajan, RT.009/RW.001, Glagah Pakuniran, Kab. Probolinggo</v>
          </cell>
          <cell r="P4095" t="str">
            <v>Probolinggo</v>
          </cell>
          <cell r="Q4095" t="str">
            <v>Krajan, RT.009/RW.001, Glagah Pakuniran, Kab. Probolinggo</v>
          </cell>
          <cell r="R4095" t="str">
            <v>Probolinggo</v>
          </cell>
          <cell r="S4095" t="str">
            <v>G Prob2</v>
          </cell>
          <cell r="T4095" t="str">
            <v>Wira</v>
          </cell>
          <cell r="U4095">
            <v>30</v>
          </cell>
        </row>
        <row r="4096">
          <cell r="E4096" t="str">
            <v>B25010864</v>
          </cell>
          <cell r="F4096"/>
          <cell r="G4096">
            <v>1000000000</v>
          </cell>
          <cell r="H4096" t="str">
            <v>Ariyani</v>
          </cell>
          <cell r="I4096" t="str">
            <v>Fira</v>
          </cell>
          <cell r="J4096"/>
          <cell r="K4096" t="str">
            <v>BG</v>
          </cell>
          <cell r="L4096" t="str">
            <v>KARY02</v>
          </cell>
          <cell r="M4096" t="str">
            <v>Karya Guna/Agus</v>
          </cell>
          <cell r="N4096" t="str">
            <v>Agus Wijaya Winanto</v>
          </cell>
          <cell r="O4096" t="str">
            <v>Krajan, RT.009/RW.001, Glagah Pakuniran, Kab. Probolinggo</v>
          </cell>
          <cell r="P4096" t="str">
            <v>Probolinggo</v>
          </cell>
          <cell r="Q4096" t="str">
            <v>Krajan, RT.009/RW.001, Glagah Pakuniran, Kab. Probolinggo</v>
          </cell>
          <cell r="R4096" t="str">
            <v>Probolinggo</v>
          </cell>
          <cell r="S4096" t="str">
            <v>G Prob2</v>
          </cell>
          <cell r="T4096" t="str">
            <v>Wira</v>
          </cell>
          <cell r="U4096">
            <v>30</v>
          </cell>
        </row>
        <row r="4097">
          <cell r="E4097" t="str">
            <v>D25013029</v>
          </cell>
          <cell r="F4097"/>
          <cell r="G4097">
            <v>1000000000</v>
          </cell>
          <cell r="H4097" t="str">
            <v>Ariyani</v>
          </cell>
          <cell r="I4097" t="str">
            <v>Fira</v>
          </cell>
          <cell r="J4097"/>
          <cell r="K4097" t="str">
            <v>BG</v>
          </cell>
          <cell r="L4097" t="str">
            <v>KARY02</v>
          </cell>
          <cell r="M4097" t="str">
            <v>Karya Guna/Agus</v>
          </cell>
          <cell r="N4097" t="str">
            <v>Agus Wijaya Winanto</v>
          </cell>
          <cell r="O4097" t="str">
            <v>Krajan, RT.009/RW.001, Glagah Pakuniran, Kab. Probolinggo</v>
          </cell>
          <cell r="P4097" t="str">
            <v>Probolinggo</v>
          </cell>
          <cell r="Q4097" t="str">
            <v>Krajan, RT.009/RW.001, Glagah Pakuniran, Kab. Probolinggo</v>
          </cell>
          <cell r="R4097" t="str">
            <v>Probolinggo</v>
          </cell>
          <cell r="S4097" t="str">
            <v>G Prob2</v>
          </cell>
          <cell r="T4097" t="str">
            <v>Wira</v>
          </cell>
          <cell r="U4097">
            <v>30</v>
          </cell>
        </row>
        <row r="4098">
          <cell r="E4098" t="str">
            <v>B25010993</v>
          </cell>
          <cell r="F4098"/>
          <cell r="G4098">
            <v>1000000000</v>
          </cell>
          <cell r="H4098" t="str">
            <v>Ariyani</v>
          </cell>
          <cell r="I4098" t="str">
            <v>Fira</v>
          </cell>
          <cell r="J4098"/>
          <cell r="K4098" t="str">
            <v>BG</v>
          </cell>
          <cell r="L4098" t="str">
            <v>KARY02</v>
          </cell>
          <cell r="M4098" t="str">
            <v>Karya Guna/Agus</v>
          </cell>
          <cell r="N4098" t="str">
            <v>Agus Wijaya Winanto</v>
          </cell>
          <cell r="O4098" t="str">
            <v>Krajan, RT.009/RW.001, Glagah Pakuniran, Kab. Probolinggo</v>
          </cell>
          <cell r="P4098" t="str">
            <v>Probolinggo</v>
          </cell>
          <cell r="Q4098" t="str">
            <v>Krajan, RT.009/RW.001, Glagah Pakuniran, Kab. Probolinggo</v>
          </cell>
          <cell r="R4098" t="str">
            <v>Probolinggo</v>
          </cell>
          <cell r="S4098" t="str">
            <v>G Prob2</v>
          </cell>
          <cell r="T4098" t="str">
            <v>Wira</v>
          </cell>
          <cell r="U4098">
            <v>30</v>
          </cell>
        </row>
        <row r="4099">
          <cell r="E4099" t="str">
            <v>D25013560</v>
          </cell>
          <cell r="F4099"/>
          <cell r="G4099">
            <v>1000000000</v>
          </cell>
          <cell r="H4099" t="str">
            <v>Ariyani</v>
          </cell>
          <cell r="I4099" t="str">
            <v>Fira</v>
          </cell>
          <cell r="J4099"/>
          <cell r="K4099" t="str">
            <v>BG</v>
          </cell>
          <cell r="L4099" t="str">
            <v>KARY02</v>
          </cell>
          <cell r="M4099" t="str">
            <v>Karya Guna/Agus</v>
          </cell>
          <cell r="N4099" t="str">
            <v>Agus Wijaya Winanto</v>
          </cell>
          <cell r="O4099" t="str">
            <v>Krajan, RT.009/RW.001, Glagah Pakuniran, Kab. Probolinggo</v>
          </cell>
          <cell r="P4099" t="str">
            <v>Probolinggo</v>
          </cell>
          <cell r="Q4099" t="str">
            <v>Krajan, RT.009/RW.001, Glagah Pakuniran, Kab. Probolinggo</v>
          </cell>
          <cell r="R4099" t="str">
            <v>Probolinggo</v>
          </cell>
          <cell r="S4099" t="str">
            <v>G Prob2</v>
          </cell>
          <cell r="T4099" t="str">
            <v>Wira</v>
          </cell>
          <cell r="U4099">
            <v>30</v>
          </cell>
        </row>
        <row r="4100">
          <cell r="E4100" t="str">
            <v>B25011855</v>
          </cell>
          <cell r="F4100"/>
          <cell r="G4100">
            <v>1000000000</v>
          </cell>
          <cell r="H4100" t="str">
            <v>Ariyani</v>
          </cell>
          <cell r="I4100" t="str">
            <v>Fira</v>
          </cell>
          <cell r="J4100"/>
          <cell r="K4100" t="str">
            <v>BG</v>
          </cell>
          <cell r="L4100" t="str">
            <v>KARY02</v>
          </cell>
          <cell r="M4100" t="str">
            <v>Karya Guna/Agus</v>
          </cell>
          <cell r="N4100" t="str">
            <v>Agus Wijaya Winanto</v>
          </cell>
          <cell r="O4100" t="str">
            <v>Krajan, RT.009/RW.001, Glagah Pakuniran, Kab. Probolinggo</v>
          </cell>
          <cell r="P4100" t="str">
            <v>Probolinggo</v>
          </cell>
          <cell r="Q4100" t="str">
            <v>Krajan, RT.009/RW.001, Glagah Pakuniran, Kab. Probolinggo</v>
          </cell>
          <cell r="R4100" t="str">
            <v>Probolinggo</v>
          </cell>
          <cell r="S4100" t="str">
            <v>G Prob2</v>
          </cell>
          <cell r="T4100" t="str">
            <v>Wira</v>
          </cell>
          <cell r="U4100">
            <v>30</v>
          </cell>
        </row>
        <row r="4101">
          <cell r="E4101" t="str">
            <v>B25011857</v>
          </cell>
          <cell r="F4101"/>
          <cell r="G4101">
            <v>1000000000</v>
          </cell>
          <cell r="H4101" t="str">
            <v>Ariyani</v>
          </cell>
          <cell r="I4101" t="str">
            <v>Fira</v>
          </cell>
          <cell r="J4101"/>
          <cell r="K4101" t="str">
            <v>BG</v>
          </cell>
          <cell r="L4101" t="str">
            <v>KARY02</v>
          </cell>
          <cell r="M4101" t="str">
            <v>Karya Guna/Agus</v>
          </cell>
          <cell r="N4101" t="str">
            <v>Agus Wijaya Winanto</v>
          </cell>
          <cell r="O4101" t="str">
            <v>Krajan, RT.009/RW.001, Glagah Pakuniran, Kab. Probolinggo</v>
          </cell>
          <cell r="P4101" t="str">
            <v>Probolinggo</v>
          </cell>
          <cell r="Q4101" t="str">
            <v>Krajan, RT.009/RW.001, Glagah Pakuniran, Kab. Probolinggo</v>
          </cell>
          <cell r="R4101" t="str">
            <v>Probolinggo</v>
          </cell>
          <cell r="S4101" t="str">
            <v>G Prob2</v>
          </cell>
          <cell r="T4101" t="str">
            <v>Wira</v>
          </cell>
          <cell r="U4101">
            <v>30</v>
          </cell>
        </row>
        <row r="4102">
          <cell r="E4102" t="str">
            <v>B25012099</v>
          </cell>
          <cell r="F4102"/>
          <cell r="G4102">
            <v>1000000000</v>
          </cell>
          <cell r="H4102" t="str">
            <v>Ariyani</v>
          </cell>
          <cell r="I4102" t="str">
            <v>Fira</v>
          </cell>
          <cell r="J4102"/>
          <cell r="K4102" t="str">
            <v>BG</v>
          </cell>
          <cell r="L4102" t="str">
            <v>KARY02</v>
          </cell>
          <cell r="M4102" t="str">
            <v>Karya Guna/Agus</v>
          </cell>
          <cell r="N4102" t="str">
            <v>Agus Wijaya Winanto</v>
          </cell>
          <cell r="O4102" t="str">
            <v>Krajan, RT.009/RW.001, Glagah Pakuniran, Kab. Probolinggo</v>
          </cell>
          <cell r="P4102" t="str">
            <v>Probolinggo</v>
          </cell>
          <cell r="Q4102" t="str">
            <v>Krajan, RT.009/RW.001, Glagah Pakuniran, Kab. Probolinggo</v>
          </cell>
          <cell r="R4102" t="str">
            <v>Probolinggo</v>
          </cell>
          <cell r="S4102" t="str">
            <v>G Prob2</v>
          </cell>
          <cell r="T4102" t="str">
            <v>Wira</v>
          </cell>
          <cell r="U4102">
            <v>60</v>
          </cell>
        </row>
        <row r="4103">
          <cell r="E4103" t="str">
            <v>D25014329</v>
          </cell>
          <cell r="F4103"/>
          <cell r="G4103">
            <v>1000000000</v>
          </cell>
          <cell r="H4103" t="str">
            <v>Ariyani</v>
          </cell>
          <cell r="I4103" t="str">
            <v>Fira</v>
          </cell>
          <cell r="J4103"/>
          <cell r="K4103" t="str">
            <v>BG</v>
          </cell>
          <cell r="L4103" t="str">
            <v>KARY02</v>
          </cell>
          <cell r="M4103" t="str">
            <v>Karya Guna/Agus</v>
          </cell>
          <cell r="N4103" t="str">
            <v>Agus Wijaya Winanto</v>
          </cell>
          <cell r="O4103" t="str">
            <v>Krajan, RT.009/RW.001, Glagah Pakuniran, Kab. Probolinggo</v>
          </cell>
          <cell r="P4103" t="str">
            <v>Probolinggo</v>
          </cell>
          <cell r="Q4103" t="str">
            <v>Krajan, RT.009/RW.001, Glagah Pakuniran, Kab. Probolinggo</v>
          </cell>
          <cell r="R4103" t="str">
            <v>Probolinggo</v>
          </cell>
          <cell r="S4103" t="str">
            <v>G Prob2</v>
          </cell>
          <cell r="T4103" t="str">
            <v>Wira</v>
          </cell>
          <cell r="U4103">
            <v>0</v>
          </cell>
        </row>
        <row r="4104">
          <cell r="E4104" t="str">
            <v>D25014330</v>
          </cell>
          <cell r="F4104"/>
          <cell r="G4104">
            <v>1000000000</v>
          </cell>
          <cell r="H4104" t="str">
            <v>Ariyani</v>
          </cell>
          <cell r="I4104" t="str">
            <v>Fira</v>
          </cell>
          <cell r="J4104"/>
          <cell r="K4104" t="str">
            <v>BG</v>
          </cell>
          <cell r="L4104" t="str">
            <v>KARY02</v>
          </cell>
          <cell r="M4104" t="str">
            <v>Karya Guna/Agus</v>
          </cell>
          <cell r="N4104" t="str">
            <v>Agus Wijaya Winanto</v>
          </cell>
          <cell r="O4104" t="str">
            <v>Krajan, RT.009/RW.001, Glagah Pakuniran, Kab. Probolinggo</v>
          </cell>
          <cell r="P4104" t="str">
            <v>Probolinggo</v>
          </cell>
          <cell r="Q4104" t="str">
            <v>Krajan, RT.009/RW.001, Glagah Pakuniran, Kab. Probolinggo</v>
          </cell>
          <cell r="R4104" t="str">
            <v>Probolinggo</v>
          </cell>
          <cell r="S4104" t="str">
            <v>G Prob2</v>
          </cell>
          <cell r="T4104" t="str">
            <v>Wira</v>
          </cell>
          <cell r="U4104">
            <v>30</v>
          </cell>
        </row>
        <row r="4105">
          <cell r="E4105" t="str">
            <v>D25014333</v>
          </cell>
          <cell r="F4105"/>
          <cell r="G4105">
            <v>1000000000</v>
          </cell>
          <cell r="H4105" t="str">
            <v>Ariyani</v>
          </cell>
          <cell r="I4105" t="str">
            <v>Fira</v>
          </cell>
          <cell r="J4105"/>
          <cell r="K4105" t="str">
            <v>BG</v>
          </cell>
          <cell r="L4105" t="str">
            <v>KARY02</v>
          </cell>
          <cell r="M4105" t="str">
            <v>Karya Guna/Agus</v>
          </cell>
          <cell r="N4105" t="str">
            <v>Agus Wijaya Winanto</v>
          </cell>
          <cell r="O4105" t="str">
            <v>Krajan, RT.009/RW.001, Glagah Pakuniran, Kab. Probolinggo</v>
          </cell>
          <cell r="P4105" t="str">
            <v>Probolinggo</v>
          </cell>
          <cell r="Q4105" t="str">
            <v>Krajan, RT.009/RW.001, Glagah Pakuniran, Kab. Probolinggo</v>
          </cell>
          <cell r="R4105" t="str">
            <v>Probolinggo</v>
          </cell>
          <cell r="S4105" t="str">
            <v>G Prob2</v>
          </cell>
          <cell r="T4105" t="str">
            <v>Wira</v>
          </cell>
          <cell r="U4105">
            <v>30</v>
          </cell>
        </row>
        <row r="4106">
          <cell r="E4106" t="str">
            <v>B25012140</v>
          </cell>
          <cell r="F4106"/>
          <cell r="G4106">
            <v>1000000000</v>
          </cell>
          <cell r="H4106" t="str">
            <v>Ariyani</v>
          </cell>
          <cell r="I4106" t="str">
            <v>Fira</v>
          </cell>
          <cell r="J4106"/>
          <cell r="K4106" t="str">
            <v>BG</v>
          </cell>
          <cell r="L4106" t="str">
            <v>KARY02</v>
          </cell>
          <cell r="M4106" t="str">
            <v>Karya Guna/Agus</v>
          </cell>
          <cell r="N4106" t="str">
            <v>Agus Wijaya Winanto</v>
          </cell>
          <cell r="O4106" t="str">
            <v>Krajan, RT.009/RW.001, Glagah Pakuniran, Kab. Probolinggo</v>
          </cell>
          <cell r="P4106" t="str">
            <v>Probolinggo</v>
          </cell>
          <cell r="Q4106" t="str">
            <v>Krajan, RT.009/RW.001, Glagah Pakuniran, Kab. Probolinggo</v>
          </cell>
          <cell r="R4106" t="str">
            <v>Probolinggo</v>
          </cell>
          <cell r="S4106" t="str">
            <v>G Prob2</v>
          </cell>
          <cell r="T4106" t="str">
            <v>Wira</v>
          </cell>
          <cell r="U4106">
            <v>0</v>
          </cell>
        </row>
        <row r="4107">
          <cell r="E4107" t="str">
            <v>B25012535</v>
          </cell>
          <cell r="F4107"/>
          <cell r="G4107">
            <v>1000000000</v>
          </cell>
          <cell r="H4107" t="str">
            <v>Ariyani</v>
          </cell>
          <cell r="I4107" t="str">
            <v>Fira</v>
          </cell>
          <cell r="J4107"/>
          <cell r="K4107" t="str">
            <v>BG</v>
          </cell>
          <cell r="L4107" t="str">
            <v>KARY02</v>
          </cell>
          <cell r="M4107" t="str">
            <v>Karya Guna/Agus</v>
          </cell>
          <cell r="N4107" t="str">
            <v>Agus Wijaya Winanto</v>
          </cell>
          <cell r="O4107" t="str">
            <v>Krajan, RT.009/RW.001, Glagah Pakuniran, Kab. Probolinggo</v>
          </cell>
          <cell r="P4107" t="str">
            <v>Probolinggo</v>
          </cell>
          <cell r="Q4107" t="str">
            <v>Krajan, RT.009/RW.001, Glagah Pakuniran, Kab. Probolinggo</v>
          </cell>
          <cell r="R4107" t="str">
            <v>Probolinggo</v>
          </cell>
          <cell r="S4107" t="str">
            <v>G Prob2</v>
          </cell>
          <cell r="T4107" t="str">
            <v>Wira</v>
          </cell>
          <cell r="U4107">
            <v>60</v>
          </cell>
        </row>
        <row r="4108">
          <cell r="E4108" t="str">
            <v>B25012557</v>
          </cell>
          <cell r="F4108"/>
          <cell r="G4108">
            <v>1000000000</v>
          </cell>
          <cell r="H4108" t="str">
            <v>Ariyani</v>
          </cell>
          <cell r="I4108" t="str">
            <v>Fira</v>
          </cell>
          <cell r="J4108"/>
          <cell r="K4108" t="str">
            <v>BG</v>
          </cell>
          <cell r="L4108" t="str">
            <v>KARY02</v>
          </cell>
          <cell r="M4108" t="str">
            <v>Karya Guna/Agus</v>
          </cell>
          <cell r="N4108" t="str">
            <v>Agus Wijaya Winanto</v>
          </cell>
          <cell r="O4108" t="str">
            <v>Krajan, RT.009/RW.001, Glagah Pakuniran, Kab. Probolinggo</v>
          </cell>
          <cell r="P4108" t="str">
            <v>Probolinggo</v>
          </cell>
          <cell r="Q4108" t="str">
            <v>Krajan, RT.009/RW.001, Glagah Pakuniran, Kab. Probolinggo</v>
          </cell>
          <cell r="R4108" t="str">
            <v>Probolinggo</v>
          </cell>
          <cell r="S4108" t="str">
            <v>G Prob2</v>
          </cell>
          <cell r="T4108" t="str">
            <v>Wira</v>
          </cell>
          <cell r="U4108">
            <v>0</v>
          </cell>
        </row>
        <row r="4109">
          <cell r="E4109" t="str">
            <v>B25012633</v>
          </cell>
          <cell r="F4109"/>
          <cell r="G4109">
            <v>1000000000</v>
          </cell>
          <cell r="H4109" t="str">
            <v>Ariyani</v>
          </cell>
          <cell r="I4109" t="str">
            <v>Fira</v>
          </cell>
          <cell r="J4109"/>
          <cell r="K4109" t="str">
            <v>BG</v>
          </cell>
          <cell r="L4109" t="str">
            <v>KARY02</v>
          </cell>
          <cell r="M4109" t="str">
            <v>Karya Guna/Agus</v>
          </cell>
          <cell r="N4109" t="str">
            <v>Agus Wijaya Winanto</v>
          </cell>
          <cell r="O4109" t="str">
            <v>Krajan, RT.009/RW.001, Glagah Pakuniran, Kab. Probolinggo</v>
          </cell>
          <cell r="P4109" t="str">
            <v>Probolinggo</v>
          </cell>
          <cell r="Q4109" t="str">
            <v>Krajan, RT.009/RW.001, Glagah Pakuniran, Kab. Probolinggo</v>
          </cell>
          <cell r="R4109" t="str">
            <v>Probolinggo</v>
          </cell>
          <cell r="S4109" t="str">
            <v>G Prob2</v>
          </cell>
          <cell r="T4109" t="str">
            <v>Wira</v>
          </cell>
          <cell r="U4109">
            <v>30</v>
          </cell>
        </row>
        <row r="4110">
          <cell r="E4110" t="str">
            <v>D25014931</v>
          </cell>
          <cell r="F4110"/>
          <cell r="G4110">
            <v>1000000000</v>
          </cell>
          <cell r="H4110" t="str">
            <v>Ariyani</v>
          </cell>
          <cell r="I4110" t="str">
            <v>Fira</v>
          </cell>
          <cell r="J4110"/>
          <cell r="K4110" t="str">
            <v>BG</v>
          </cell>
          <cell r="L4110" t="str">
            <v>KARY02</v>
          </cell>
          <cell r="M4110" t="str">
            <v>Karya Guna/Agus</v>
          </cell>
          <cell r="N4110" t="str">
            <v>Agus Wijaya Winanto</v>
          </cell>
          <cell r="O4110" t="str">
            <v>Krajan, RT.009/RW.001, Glagah Pakuniran, Kab. Probolinggo</v>
          </cell>
          <cell r="P4110" t="str">
            <v>Probolinggo</v>
          </cell>
          <cell r="Q4110" t="str">
            <v>Krajan, RT.009/RW.001, Glagah Pakuniran, Kab. Probolinggo</v>
          </cell>
          <cell r="R4110" t="str">
            <v>Probolinggo</v>
          </cell>
          <cell r="S4110" t="str">
            <v>G Prob2</v>
          </cell>
          <cell r="T4110" t="str">
            <v>Wira</v>
          </cell>
          <cell r="U4110">
            <v>30</v>
          </cell>
        </row>
        <row r="4111">
          <cell r="E4111" t="str">
            <v>B25013046</v>
          </cell>
          <cell r="F4111"/>
          <cell r="G4111">
            <v>1000000000</v>
          </cell>
          <cell r="H4111" t="str">
            <v>Ariyani</v>
          </cell>
          <cell r="I4111" t="str">
            <v>Fira</v>
          </cell>
          <cell r="J4111"/>
          <cell r="K4111" t="str">
            <v>BG</v>
          </cell>
          <cell r="L4111" t="str">
            <v>KARY02</v>
          </cell>
          <cell r="M4111" t="str">
            <v>Karya Guna/Agus</v>
          </cell>
          <cell r="N4111" t="str">
            <v>Agus Wijaya Winanto</v>
          </cell>
          <cell r="O4111" t="str">
            <v>Krajan, RT.009/RW.001, Glagah Pakuniran, Kab. Probolinggo</v>
          </cell>
          <cell r="P4111" t="str">
            <v>Probolinggo</v>
          </cell>
          <cell r="Q4111" t="str">
            <v>Krajan, RT.009/RW.001, Glagah Pakuniran, Kab. Probolinggo</v>
          </cell>
          <cell r="R4111" t="str">
            <v>Probolinggo</v>
          </cell>
          <cell r="S4111" t="str">
            <v>G Prob2</v>
          </cell>
          <cell r="T4111" t="str">
            <v>Wira</v>
          </cell>
          <cell r="U4111">
            <v>60</v>
          </cell>
        </row>
        <row r="4112">
          <cell r="E4112" t="str">
            <v>B25013047</v>
          </cell>
          <cell r="F4112"/>
          <cell r="G4112">
            <v>1000000000</v>
          </cell>
          <cell r="H4112" t="str">
            <v>Ariyani</v>
          </cell>
          <cell r="I4112" t="str">
            <v>Fira</v>
          </cell>
          <cell r="J4112"/>
          <cell r="K4112" t="str">
            <v>BG</v>
          </cell>
          <cell r="L4112" t="str">
            <v>KARY02</v>
          </cell>
          <cell r="M4112" t="str">
            <v>Karya Guna/Agus</v>
          </cell>
          <cell r="N4112" t="str">
            <v>Agus Wijaya Winanto</v>
          </cell>
          <cell r="O4112" t="str">
            <v>Krajan, RT.009/RW.001, Glagah Pakuniran, Kab. Probolinggo</v>
          </cell>
          <cell r="P4112" t="str">
            <v>Probolinggo</v>
          </cell>
          <cell r="Q4112" t="str">
            <v>Krajan, RT.009/RW.001, Glagah Pakuniran, Kab. Probolinggo</v>
          </cell>
          <cell r="R4112" t="str">
            <v>Probolinggo</v>
          </cell>
          <cell r="S4112" t="str">
            <v>G Prob2</v>
          </cell>
          <cell r="T4112" t="str">
            <v>Wira</v>
          </cell>
          <cell r="U4112">
            <v>30</v>
          </cell>
        </row>
        <row r="4113">
          <cell r="E4113" t="str">
            <v>B25013241</v>
          </cell>
          <cell r="F4113"/>
          <cell r="G4113">
            <v>1000000000</v>
          </cell>
          <cell r="H4113" t="str">
            <v>Ariyani</v>
          </cell>
          <cell r="I4113" t="str">
            <v>Fira</v>
          </cell>
          <cell r="J4113"/>
          <cell r="K4113" t="str">
            <v>BG</v>
          </cell>
          <cell r="L4113" t="str">
            <v>KARY02</v>
          </cell>
          <cell r="M4113" t="str">
            <v>Karya Guna/Agus</v>
          </cell>
          <cell r="N4113" t="str">
            <v>Agus Wijaya Winanto</v>
          </cell>
          <cell r="O4113" t="str">
            <v>Krajan, RT.009/RW.001, Glagah Pakuniran, Kab. Probolinggo</v>
          </cell>
          <cell r="P4113" t="str">
            <v>Probolinggo</v>
          </cell>
          <cell r="Q4113" t="str">
            <v>Krajan, RT.009/RW.001, Glagah Pakuniran, Kab. Probolinggo</v>
          </cell>
          <cell r="R4113" t="str">
            <v>Probolinggo</v>
          </cell>
          <cell r="S4113" t="str">
            <v>G Prob2</v>
          </cell>
          <cell r="T4113" t="str">
            <v>Wira</v>
          </cell>
          <cell r="U4113">
            <v>60</v>
          </cell>
        </row>
        <row r="4114">
          <cell r="E4114" t="str">
            <v>D25015688</v>
          </cell>
          <cell r="F4114"/>
          <cell r="G4114">
            <v>1000000000</v>
          </cell>
          <cell r="H4114" t="str">
            <v>Ariyani</v>
          </cell>
          <cell r="I4114" t="str">
            <v>Fira</v>
          </cell>
          <cell r="J4114"/>
          <cell r="K4114" t="str">
            <v>BG</v>
          </cell>
          <cell r="L4114" t="str">
            <v>KARY02</v>
          </cell>
          <cell r="M4114" t="str">
            <v>Karya Guna/Agus</v>
          </cell>
          <cell r="N4114" t="str">
            <v>Agus Wijaya Winanto</v>
          </cell>
          <cell r="O4114" t="str">
            <v>Krajan, RT.009/RW.001, Glagah Pakuniran, Kab. Probolinggo</v>
          </cell>
          <cell r="P4114" t="str">
            <v>Probolinggo</v>
          </cell>
          <cell r="Q4114" t="str">
            <v>Krajan, RT.009/RW.001, Glagah Pakuniran, Kab. Probolinggo</v>
          </cell>
          <cell r="R4114" t="str">
            <v>Probolinggo</v>
          </cell>
          <cell r="S4114" t="str">
            <v>G Prob2</v>
          </cell>
          <cell r="T4114" t="str">
            <v>Wira</v>
          </cell>
          <cell r="U4114">
            <v>30</v>
          </cell>
        </row>
        <row r="4115">
          <cell r="E4115" t="str">
            <v>D25015689</v>
          </cell>
          <cell r="F4115"/>
          <cell r="G4115">
            <v>1000000000</v>
          </cell>
          <cell r="H4115" t="str">
            <v>Ariyani</v>
          </cell>
          <cell r="I4115" t="str">
            <v>Fira</v>
          </cell>
          <cell r="J4115"/>
          <cell r="K4115" t="str">
            <v>BG</v>
          </cell>
          <cell r="L4115" t="str">
            <v>KARY02</v>
          </cell>
          <cell r="M4115" t="str">
            <v>Karya Guna/Agus</v>
          </cell>
          <cell r="N4115" t="str">
            <v>Agus Wijaya Winanto</v>
          </cell>
          <cell r="O4115" t="str">
            <v>Krajan, RT.009/RW.001, Glagah Pakuniran, Kab. Probolinggo</v>
          </cell>
          <cell r="P4115" t="str">
            <v>Probolinggo</v>
          </cell>
          <cell r="Q4115" t="str">
            <v>Krajan, RT.009/RW.001, Glagah Pakuniran, Kab. Probolinggo</v>
          </cell>
          <cell r="R4115" t="str">
            <v>Probolinggo</v>
          </cell>
          <cell r="S4115" t="str">
            <v>G Prob2</v>
          </cell>
          <cell r="T4115" t="str">
            <v>Wira</v>
          </cell>
          <cell r="U4115">
            <v>30</v>
          </cell>
        </row>
        <row r="4116">
          <cell r="E4116" t="str">
            <v>D25015690</v>
          </cell>
          <cell r="F4116"/>
          <cell r="G4116">
            <v>1000000000</v>
          </cell>
          <cell r="H4116" t="str">
            <v>Ariyani</v>
          </cell>
          <cell r="I4116" t="str">
            <v>Fira</v>
          </cell>
          <cell r="J4116"/>
          <cell r="K4116" t="str">
            <v>BG</v>
          </cell>
          <cell r="L4116" t="str">
            <v>KARY02</v>
          </cell>
          <cell r="M4116" t="str">
            <v>Karya Guna/Agus</v>
          </cell>
          <cell r="N4116" t="str">
            <v>Agus Wijaya Winanto</v>
          </cell>
          <cell r="O4116" t="str">
            <v>Krajan, RT.009/RW.001, Glagah Pakuniran, Kab. Probolinggo</v>
          </cell>
          <cell r="P4116" t="str">
            <v>Probolinggo</v>
          </cell>
          <cell r="Q4116" t="str">
            <v>Krajan, RT.009/RW.001, Glagah Pakuniran, Kab. Probolinggo</v>
          </cell>
          <cell r="R4116" t="str">
            <v>Probolinggo</v>
          </cell>
          <cell r="S4116" t="str">
            <v>G Prob2</v>
          </cell>
          <cell r="T4116" t="str">
            <v>Wira</v>
          </cell>
          <cell r="U4116">
            <v>30</v>
          </cell>
        </row>
        <row r="4117">
          <cell r="E4117" t="str">
            <v>B25013788</v>
          </cell>
          <cell r="F4117"/>
          <cell r="G4117">
            <v>1000000000</v>
          </cell>
          <cell r="H4117" t="str">
            <v>Ariyani</v>
          </cell>
          <cell r="I4117" t="str">
            <v>Fira</v>
          </cell>
          <cell r="J4117"/>
          <cell r="K4117" t="str">
            <v>BG</v>
          </cell>
          <cell r="L4117" t="str">
            <v>KARY02</v>
          </cell>
          <cell r="M4117" t="str">
            <v>Karya Guna/Agus</v>
          </cell>
          <cell r="N4117" t="str">
            <v>Agus Wijaya Winanto</v>
          </cell>
          <cell r="O4117" t="str">
            <v>Krajan, RT.009/RW.001, Glagah Pakuniran, Kab. Probolinggo</v>
          </cell>
          <cell r="P4117" t="str">
            <v>Probolinggo</v>
          </cell>
          <cell r="Q4117" t="str">
            <v>Krajan, RT.009/RW.001, Glagah Pakuniran, Kab. Probolinggo</v>
          </cell>
          <cell r="R4117" t="str">
            <v>Probolinggo</v>
          </cell>
          <cell r="S4117" t="str">
            <v>G Prob2</v>
          </cell>
          <cell r="T4117" t="str">
            <v>Wira</v>
          </cell>
          <cell r="U4117">
            <v>60</v>
          </cell>
        </row>
        <row r="4118">
          <cell r="E4118" t="str">
            <v>B25013990</v>
          </cell>
          <cell r="F4118"/>
          <cell r="G4118">
            <v>1000000000</v>
          </cell>
          <cell r="H4118" t="str">
            <v>Ariyani</v>
          </cell>
          <cell r="I4118" t="str">
            <v>Fira</v>
          </cell>
          <cell r="J4118"/>
          <cell r="K4118" t="str">
            <v>BG</v>
          </cell>
          <cell r="L4118" t="str">
            <v>KARY02</v>
          </cell>
          <cell r="M4118" t="str">
            <v>Karya Guna/Agus</v>
          </cell>
          <cell r="N4118" t="str">
            <v>Agus Wijaya Winanto</v>
          </cell>
          <cell r="O4118" t="str">
            <v>Krajan, RT.009/RW.001, Glagah Pakuniran, Kab. Probolinggo</v>
          </cell>
          <cell r="P4118" t="str">
            <v>Probolinggo</v>
          </cell>
          <cell r="Q4118" t="str">
            <v>Krajan, RT.009/RW.001, Glagah Pakuniran, Kab. Probolinggo</v>
          </cell>
          <cell r="R4118" t="str">
            <v>Probolinggo</v>
          </cell>
          <cell r="S4118" t="str">
            <v>G Prob2</v>
          </cell>
          <cell r="T4118" t="str">
            <v>Wira</v>
          </cell>
          <cell r="U4118">
            <v>60</v>
          </cell>
        </row>
        <row r="4119">
          <cell r="E4119" t="str">
            <v>D25014479</v>
          </cell>
          <cell r="F4119"/>
          <cell r="G4119">
            <v>70000000</v>
          </cell>
          <cell r="H4119" t="str">
            <v>Zakia</v>
          </cell>
          <cell r="I4119" t="str">
            <v>Tiya</v>
          </cell>
          <cell r="J4119"/>
          <cell r="K4119" t="str">
            <v>KU</v>
          </cell>
          <cell r="L4119" t="str">
            <v>KARY12</v>
          </cell>
          <cell r="M4119" t="str">
            <v>Karya Makmur Tani/Pri</v>
          </cell>
          <cell r="N4119" t="str">
            <v>Supriono</v>
          </cell>
          <cell r="O4119" t="str">
            <v>Jl. Majopahit No.162, RT.003/RW.004, Gedog, Sanan Wetan</v>
          </cell>
          <cell r="P4119" t="str">
            <v>Blitar</v>
          </cell>
          <cell r="Q4119" t="str">
            <v>Sunan Kulon</v>
          </cell>
          <cell r="R4119" t="str">
            <v>Blitar</v>
          </cell>
          <cell r="S4119" t="str">
            <v>D Barat1</v>
          </cell>
          <cell r="T4119" t="str">
            <v>Tomi</v>
          </cell>
          <cell r="U4119">
            <v>30</v>
          </cell>
        </row>
        <row r="4120">
          <cell r="E4120" t="str">
            <v>T25001435</v>
          </cell>
          <cell r="F4120"/>
          <cell r="G4120">
            <v>70000000</v>
          </cell>
          <cell r="H4120" t="str">
            <v>Zakia</v>
          </cell>
          <cell r="I4120" t="str">
            <v>Tiya</v>
          </cell>
          <cell r="J4120"/>
          <cell r="K4120" t="str">
            <v>KU</v>
          </cell>
          <cell r="L4120" t="str">
            <v>KARY12</v>
          </cell>
          <cell r="M4120" t="str">
            <v>Karya Makmur Tani/Pri</v>
          </cell>
          <cell r="N4120" t="str">
            <v>Supriono</v>
          </cell>
          <cell r="O4120" t="str">
            <v>Jl. Majopahit No.162, RT.003/RW.004, Gedog, Sanan Wetan</v>
          </cell>
          <cell r="P4120" t="str">
            <v>Blitar</v>
          </cell>
          <cell r="Q4120" t="str">
            <v>Sunan Kulon</v>
          </cell>
          <cell r="R4120" t="str">
            <v>Blitar</v>
          </cell>
          <cell r="S4120" t="str">
            <v>D Barat1</v>
          </cell>
          <cell r="T4120" t="str">
            <v>Tomi</v>
          </cell>
          <cell r="U4120">
            <v>60</v>
          </cell>
        </row>
        <row r="4121">
          <cell r="E4121" t="str">
            <v>T25001549</v>
          </cell>
          <cell r="F4121"/>
          <cell r="G4121">
            <v>70000000</v>
          </cell>
          <cell r="H4121" t="str">
            <v>Zakia</v>
          </cell>
          <cell r="I4121" t="str">
            <v>Tiya</v>
          </cell>
          <cell r="J4121"/>
          <cell r="K4121" t="str">
            <v>KU</v>
          </cell>
          <cell r="L4121" t="str">
            <v>KARY12</v>
          </cell>
          <cell r="M4121" t="str">
            <v>Karya Makmur Tani/Pri</v>
          </cell>
          <cell r="N4121" t="str">
            <v>Supriono</v>
          </cell>
          <cell r="O4121" t="str">
            <v>Jl. Majopahit No.162, RT.003/RW.004, Gedog, Sanan Wetan</v>
          </cell>
          <cell r="P4121" t="str">
            <v>Blitar</v>
          </cell>
          <cell r="Q4121" t="str">
            <v>Sunan Kulon</v>
          </cell>
          <cell r="R4121" t="str">
            <v>Blitar</v>
          </cell>
          <cell r="S4121" t="str">
            <v>D Barat1</v>
          </cell>
          <cell r="T4121" t="str">
            <v>Tomi</v>
          </cell>
          <cell r="U4121">
            <v>60</v>
          </cell>
        </row>
        <row r="4122">
          <cell r="E4122" t="str">
            <v>Z25001700</v>
          </cell>
          <cell r="F4122"/>
          <cell r="G4122">
            <v>150000000</v>
          </cell>
          <cell r="H4122" t="str">
            <v>Reni</v>
          </cell>
          <cell r="I4122" t="str">
            <v>Fira</v>
          </cell>
          <cell r="J4122"/>
          <cell r="K4122" t="str">
            <v>KU, Tunai</v>
          </cell>
          <cell r="L4122" t="str">
            <v>KARY22</v>
          </cell>
          <cell r="M4122" t="str">
            <v>Karya Tani Makmur/Irwanto</v>
          </cell>
          <cell r="N4122" t="str">
            <v>Irwanto</v>
          </cell>
          <cell r="O4122" t="str">
            <v>Krajan RT.001/RW.001 Kel. Drokilo Kec. Kedungadem</v>
          </cell>
          <cell r="P4122" t="str">
            <v>Bojonegoro</v>
          </cell>
          <cell r="Q4122" t="str">
            <v>Krajan RT.001/RW.001 Kel. Drokilo Kec. Kedungadem</v>
          </cell>
          <cell r="R4122" t="str">
            <v>Bojonegoro</v>
          </cell>
          <cell r="S4122" t="str">
            <v>F Utara1</v>
          </cell>
          <cell r="T4122" t="str">
            <v>Dian</v>
          </cell>
          <cell r="U4122">
            <v>60</v>
          </cell>
        </row>
        <row r="4123">
          <cell r="E4123" t="str">
            <v>T25001180</v>
          </cell>
          <cell r="F4123"/>
          <cell r="G4123">
            <v>150000000</v>
          </cell>
          <cell r="H4123" t="str">
            <v>Reni</v>
          </cell>
          <cell r="I4123" t="str">
            <v>Fira</v>
          </cell>
          <cell r="J4123"/>
          <cell r="K4123" t="str">
            <v>KU, Tunai</v>
          </cell>
          <cell r="L4123" t="str">
            <v>KARY22</v>
          </cell>
          <cell r="M4123" t="str">
            <v>Karya Tani Makmur/Irwanto</v>
          </cell>
          <cell r="N4123" t="str">
            <v>Irwanto</v>
          </cell>
          <cell r="O4123" t="str">
            <v>Krajan RT.001/RW.001 Kel. Drokilo Kec. Kedungadem</v>
          </cell>
          <cell r="P4123" t="str">
            <v>Bojonegoro</v>
          </cell>
          <cell r="Q4123" t="str">
            <v>Krajan RT.001/RW.001 Kel. Drokilo Kec. Kedungadem</v>
          </cell>
          <cell r="R4123" t="str">
            <v>Bojonegoro</v>
          </cell>
          <cell r="S4123" t="str">
            <v>F Utara1</v>
          </cell>
          <cell r="T4123" t="str">
            <v>Dian</v>
          </cell>
          <cell r="U4123">
            <v>60</v>
          </cell>
        </row>
        <row r="4124">
          <cell r="E4124" t="str">
            <v>Z25002395</v>
          </cell>
          <cell r="F4124"/>
          <cell r="G4124">
            <v>150000000</v>
          </cell>
          <cell r="H4124" t="str">
            <v>Reni</v>
          </cell>
          <cell r="I4124" t="str">
            <v>Fira</v>
          </cell>
          <cell r="J4124"/>
          <cell r="K4124" t="str">
            <v>KU, Tunai</v>
          </cell>
          <cell r="L4124" t="str">
            <v>KARY22</v>
          </cell>
          <cell r="M4124" t="str">
            <v>Karya Tani Makmur/Irwanto</v>
          </cell>
          <cell r="N4124" t="str">
            <v>Irwanto</v>
          </cell>
          <cell r="O4124" t="str">
            <v>Krajan RT.001/RW.001 Kel. Drokilo Kec. Kedungadem</v>
          </cell>
          <cell r="P4124" t="str">
            <v>Bojonegoro</v>
          </cell>
          <cell r="Q4124" t="str">
            <v>Krajan RT.001/RW.001 Kel. Drokilo Kec. Kedungadem</v>
          </cell>
          <cell r="R4124" t="str">
            <v>Bojonegoro</v>
          </cell>
          <cell r="S4124" t="str">
            <v>F Utara1</v>
          </cell>
          <cell r="T4124" t="str">
            <v>Dian</v>
          </cell>
          <cell r="U4124">
            <v>60</v>
          </cell>
        </row>
        <row r="4125">
          <cell r="E4125" t="str">
            <v>Z25002627</v>
          </cell>
          <cell r="F4125"/>
          <cell r="G4125">
            <v>150000000</v>
          </cell>
          <cell r="H4125" t="str">
            <v>Reni</v>
          </cell>
          <cell r="I4125" t="str">
            <v>Fira</v>
          </cell>
          <cell r="J4125"/>
          <cell r="K4125" t="str">
            <v>KU, Tunai</v>
          </cell>
          <cell r="L4125" t="str">
            <v>KARY22</v>
          </cell>
          <cell r="M4125" t="str">
            <v>Karya Tani Makmur/Irwanto</v>
          </cell>
          <cell r="N4125" t="str">
            <v>Irwanto</v>
          </cell>
          <cell r="O4125" t="str">
            <v>Krajan RT.001/RW.001 Kel. Drokilo Kec. Kedungadem</v>
          </cell>
          <cell r="P4125" t="str">
            <v>Bojonegoro</v>
          </cell>
          <cell r="Q4125" t="str">
            <v>Krajan RT.001/RW.001 Kel. Drokilo Kec. Kedungadem</v>
          </cell>
          <cell r="R4125" t="str">
            <v>Bojonegoro</v>
          </cell>
          <cell r="S4125" t="str">
            <v>F Utara1</v>
          </cell>
          <cell r="T4125" t="str">
            <v>Dian</v>
          </cell>
          <cell r="U4125">
            <v>60</v>
          </cell>
        </row>
        <row r="4126">
          <cell r="E4126" t="str">
            <v>Z25002631</v>
          </cell>
          <cell r="F4126"/>
          <cell r="G4126">
            <v>150000000</v>
          </cell>
          <cell r="H4126" t="str">
            <v>Reni</v>
          </cell>
          <cell r="I4126" t="str">
            <v>Fira</v>
          </cell>
          <cell r="J4126"/>
          <cell r="K4126" t="str">
            <v>KU, Tunai</v>
          </cell>
          <cell r="L4126" t="str">
            <v>KARY22</v>
          </cell>
          <cell r="M4126" t="str">
            <v>Karya Tani Makmur/Irwanto</v>
          </cell>
          <cell r="N4126" t="str">
            <v>Irwanto</v>
          </cell>
          <cell r="O4126" t="str">
            <v>Krajan RT.001/RW.001 Kel. Drokilo Kec. Kedungadem</v>
          </cell>
          <cell r="P4126" t="str">
            <v>Bojonegoro</v>
          </cell>
          <cell r="Q4126" t="str">
            <v>Krajan RT.001/RW.001 Kel. Drokilo Kec. Kedungadem</v>
          </cell>
          <cell r="R4126" t="str">
            <v>Bojonegoro</v>
          </cell>
          <cell r="S4126" t="str">
            <v>F Utara1</v>
          </cell>
          <cell r="T4126" t="str">
            <v>Dian</v>
          </cell>
          <cell r="U4126">
            <v>60</v>
          </cell>
        </row>
        <row r="4127">
          <cell r="E4127" t="str">
            <v>Z25002692</v>
          </cell>
          <cell r="F4127"/>
          <cell r="G4127">
            <v>150000000</v>
          </cell>
          <cell r="H4127" t="str">
            <v>Reni</v>
          </cell>
          <cell r="I4127" t="str">
            <v>Fira</v>
          </cell>
          <cell r="J4127"/>
          <cell r="K4127" t="str">
            <v>KU, Tunai</v>
          </cell>
          <cell r="L4127" t="str">
            <v>KARY22</v>
          </cell>
          <cell r="M4127" t="str">
            <v>Karya Tani Makmur/Irwanto</v>
          </cell>
          <cell r="N4127" t="str">
            <v>Irwanto</v>
          </cell>
          <cell r="O4127" t="str">
            <v>Krajan RT.001/RW.001 Kel. Drokilo Kec. Kedungadem</v>
          </cell>
          <cell r="P4127" t="str">
            <v>Bojonegoro</v>
          </cell>
          <cell r="Q4127" t="str">
            <v>Krajan RT.001/RW.001 Kel. Drokilo Kec. Kedungadem</v>
          </cell>
          <cell r="R4127" t="str">
            <v>Bojonegoro</v>
          </cell>
          <cell r="S4127" t="str">
            <v>F Utara1</v>
          </cell>
          <cell r="T4127" t="str">
            <v>Dian</v>
          </cell>
          <cell r="U4127">
            <v>60</v>
          </cell>
        </row>
        <row r="4128">
          <cell r="E4128" t="str">
            <v>Z25002757</v>
          </cell>
          <cell r="F4128"/>
          <cell r="G4128">
            <v>150000000</v>
          </cell>
          <cell r="H4128" t="str">
            <v>Reni</v>
          </cell>
          <cell r="I4128" t="str">
            <v>Fira</v>
          </cell>
          <cell r="J4128"/>
          <cell r="K4128" t="str">
            <v>KU, Tunai</v>
          </cell>
          <cell r="L4128" t="str">
            <v>KARY22</v>
          </cell>
          <cell r="M4128" t="str">
            <v>Karya Tani Makmur/Irwanto</v>
          </cell>
          <cell r="N4128" t="str">
            <v>Irwanto</v>
          </cell>
          <cell r="O4128" t="str">
            <v>Krajan RT.001/RW.001 Kel. Drokilo Kec. Kedungadem</v>
          </cell>
          <cell r="P4128" t="str">
            <v>Bojonegoro</v>
          </cell>
          <cell r="Q4128" t="str">
            <v>Krajan RT.001/RW.001 Kel. Drokilo Kec. Kedungadem</v>
          </cell>
          <cell r="R4128" t="str">
            <v>Bojonegoro</v>
          </cell>
          <cell r="S4128" t="str">
            <v>F Utara1</v>
          </cell>
          <cell r="T4128" t="str">
            <v>Dian</v>
          </cell>
          <cell r="U4128">
            <v>30</v>
          </cell>
        </row>
        <row r="4129">
          <cell r="E4129" t="str">
            <v>Z25002772</v>
          </cell>
          <cell r="F4129"/>
          <cell r="G4129">
            <v>150000000</v>
          </cell>
          <cell r="H4129" t="str">
            <v>Reni</v>
          </cell>
          <cell r="I4129" t="str">
            <v>Fira</v>
          </cell>
          <cell r="J4129"/>
          <cell r="K4129" t="str">
            <v>KU, Tunai</v>
          </cell>
          <cell r="L4129" t="str">
            <v>KARY22</v>
          </cell>
          <cell r="M4129" t="str">
            <v>Karya Tani Makmur/Irwanto</v>
          </cell>
          <cell r="N4129" t="str">
            <v>Irwanto</v>
          </cell>
          <cell r="O4129" t="str">
            <v>Krajan RT.001/RW.001 Kel. Drokilo Kec. Kedungadem</v>
          </cell>
          <cell r="P4129" t="str">
            <v>Bojonegoro</v>
          </cell>
          <cell r="Q4129" t="str">
            <v>Krajan RT.001/RW.001 Kel. Drokilo Kec. Kedungadem</v>
          </cell>
          <cell r="R4129" t="str">
            <v>Bojonegoro</v>
          </cell>
          <cell r="S4129" t="str">
            <v>F Utara1</v>
          </cell>
          <cell r="T4129" t="str">
            <v>Dian</v>
          </cell>
          <cell r="U4129">
            <v>60</v>
          </cell>
        </row>
        <row r="4130">
          <cell r="E4130" t="str">
            <v>D25013556</v>
          </cell>
          <cell r="F4130"/>
          <cell r="G4130">
            <v>3000000000</v>
          </cell>
          <cell r="H4130" t="str">
            <v>Zakia</v>
          </cell>
          <cell r="I4130" t="str">
            <v>Tiya</v>
          </cell>
          <cell r="J4130"/>
          <cell r="K4130" t="str">
            <v>KU</v>
          </cell>
          <cell r="L4130" t="str">
            <v>KARY03</v>
          </cell>
          <cell r="M4130" t="str">
            <v>Karya Tani, UD/Raniasa</v>
          </cell>
          <cell r="N4130" t="str">
            <v>I Nengah Reniasa</v>
          </cell>
          <cell r="O4130" t="str">
            <v>Ds. Sekardadi, Sekardadi, Kintamani Bangli</v>
          </cell>
          <cell r="P4130" t="str">
            <v>Bali</v>
          </cell>
          <cell r="Q4130" t="str">
            <v>Ds. Sekardadi, Sekardadi, Kintamani Bangli</v>
          </cell>
          <cell r="R4130" t="str">
            <v>Bali</v>
          </cell>
          <cell r="S4130" t="str">
            <v>S Bali1</v>
          </cell>
          <cell r="T4130" t="str">
            <v>Wira</v>
          </cell>
          <cell r="U4130">
            <v>30</v>
          </cell>
        </row>
        <row r="4131">
          <cell r="E4131" t="str">
            <v>B25011757</v>
          </cell>
          <cell r="F4131"/>
          <cell r="G4131">
            <v>3000000000</v>
          </cell>
          <cell r="H4131" t="str">
            <v>Zakia</v>
          </cell>
          <cell r="I4131" t="str">
            <v>Tiya</v>
          </cell>
          <cell r="J4131"/>
          <cell r="K4131" t="str">
            <v>KU</v>
          </cell>
          <cell r="L4131" t="str">
            <v>KARY03</v>
          </cell>
          <cell r="M4131" t="str">
            <v>Karya Tani, UD/Raniasa</v>
          </cell>
          <cell r="N4131" t="str">
            <v>I Nengah Reniasa</v>
          </cell>
          <cell r="O4131" t="str">
            <v>Ds. Sekardadi, Sekardadi, Kintamani Bangli</v>
          </cell>
          <cell r="P4131" t="str">
            <v>Bali</v>
          </cell>
          <cell r="Q4131" t="str">
            <v>Ds. Sekardadi, Sekardadi, Kintamani Bangli</v>
          </cell>
          <cell r="R4131" t="str">
            <v>Bali</v>
          </cell>
          <cell r="S4131" t="str">
            <v>S Bali1</v>
          </cell>
          <cell r="T4131" t="str">
            <v>Wira</v>
          </cell>
          <cell r="U4131">
            <v>30</v>
          </cell>
        </row>
        <row r="4132">
          <cell r="E4132" t="str">
            <v>B25011987</v>
          </cell>
          <cell r="F4132"/>
          <cell r="G4132">
            <v>3000000000</v>
          </cell>
          <cell r="H4132" t="str">
            <v>Zakia</v>
          </cell>
          <cell r="I4132" t="str">
            <v>Tiya</v>
          </cell>
          <cell r="J4132"/>
          <cell r="K4132" t="str">
            <v>KU</v>
          </cell>
          <cell r="L4132" t="str">
            <v>KARY03</v>
          </cell>
          <cell r="M4132" t="str">
            <v>Karya Tani, UD/Raniasa</v>
          </cell>
          <cell r="N4132" t="str">
            <v>I Nengah Reniasa</v>
          </cell>
          <cell r="O4132" t="str">
            <v>Ds. Sekardadi, Sekardadi, Kintamani Bangli</v>
          </cell>
          <cell r="P4132" t="str">
            <v>Bali</v>
          </cell>
          <cell r="Q4132" t="str">
            <v>Ds. Sekardadi, Sekardadi, Kintamani Bangli</v>
          </cell>
          <cell r="R4132" t="str">
            <v>Bali</v>
          </cell>
          <cell r="S4132" t="str">
            <v>S Bali1</v>
          </cell>
          <cell r="T4132" t="str">
            <v>Wira</v>
          </cell>
          <cell r="U4132">
            <v>30</v>
          </cell>
        </row>
        <row r="4133">
          <cell r="E4133" t="str">
            <v>D25014363</v>
          </cell>
          <cell r="F4133"/>
          <cell r="G4133">
            <v>3000000000</v>
          </cell>
          <cell r="H4133" t="str">
            <v>Zakia</v>
          </cell>
          <cell r="I4133" t="str">
            <v>Tiya</v>
          </cell>
          <cell r="J4133"/>
          <cell r="K4133" t="str">
            <v>KU</v>
          </cell>
          <cell r="L4133" t="str">
            <v>KARY03</v>
          </cell>
          <cell r="M4133" t="str">
            <v>Karya Tani, UD/Raniasa</v>
          </cell>
          <cell r="N4133" t="str">
            <v>I Nengah Reniasa</v>
          </cell>
          <cell r="O4133" t="str">
            <v>Ds. Sekardadi, Sekardadi, Kintamani Bangli</v>
          </cell>
          <cell r="P4133" t="str">
            <v>Bali</v>
          </cell>
          <cell r="Q4133" t="str">
            <v>Ds. Sekardadi, Sekardadi, Kintamani Bangli</v>
          </cell>
          <cell r="R4133" t="str">
            <v>Bali</v>
          </cell>
          <cell r="S4133" t="str">
            <v>S Bali1</v>
          </cell>
          <cell r="T4133" t="str">
            <v>Wira</v>
          </cell>
          <cell r="U4133">
            <v>30</v>
          </cell>
        </row>
        <row r="4134">
          <cell r="E4134" t="str">
            <v>D25014544</v>
          </cell>
          <cell r="F4134"/>
          <cell r="G4134">
            <v>3000000000</v>
          </cell>
          <cell r="H4134" t="str">
            <v>Zakia</v>
          </cell>
          <cell r="I4134" t="str">
            <v>Tiya</v>
          </cell>
          <cell r="J4134"/>
          <cell r="K4134" t="str">
            <v>KU</v>
          </cell>
          <cell r="L4134" t="str">
            <v>KARY03</v>
          </cell>
          <cell r="M4134" t="str">
            <v>Karya Tani, UD/Raniasa</v>
          </cell>
          <cell r="N4134" t="str">
            <v>I Nengah Reniasa</v>
          </cell>
          <cell r="O4134" t="str">
            <v>Ds. Sekardadi, Sekardadi, Kintamani Bangli</v>
          </cell>
          <cell r="P4134" t="str">
            <v>Bali</v>
          </cell>
          <cell r="Q4134" t="str">
            <v>Ds. Sekardadi, Sekardadi, Kintamani Bangli</v>
          </cell>
          <cell r="R4134" t="str">
            <v>Bali</v>
          </cell>
          <cell r="S4134" t="str">
            <v>S Bali1</v>
          </cell>
          <cell r="T4134" t="str">
            <v>Wira</v>
          </cell>
          <cell r="U4134">
            <v>30</v>
          </cell>
        </row>
        <row r="4135">
          <cell r="E4135" t="str">
            <v>D25014562</v>
          </cell>
          <cell r="F4135"/>
          <cell r="G4135">
            <v>3000000000</v>
          </cell>
          <cell r="H4135" t="str">
            <v>Zakia</v>
          </cell>
          <cell r="I4135" t="str">
            <v>Tiya</v>
          </cell>
          <cell r="J4135"/>
          <cell r="K4135" t="str">
            <v>KU</v>
          </cell>
          <cell r="L4135" t="str">
            <v>KARY03</v>
          </cell>
          <cell r="M4135" t="str">
            <v>Karya Tani, UD/Raniasa</v>
          </cell>
          <cell r="N4135" t="str">
            <v>I Nengah Reniasa</v>
          </cell>
          <cell r="O4135" t="str">
            <v>Ds. Sekardadi, Sekardadi, Kintamani Bangli</v>
          </cell>
          <cell r="P4135" t="str">
            <v>Bali</v>
          </cell>
          <cell r="Q4135" t="str">
            <v>Ds. Sekardadi, Sekardadi, Kintamani Bangli</v>
          </cell>
          <cell r="R4135" t="str">
            <v>Bali</v>
          </cell>
          <cell r="S4135" t="str">
            <v>S Bali1</v>
          </cell>
          <cell r="T4135" t="str">
            <v>Wira</v>
          </cell>
          <cell r="U4135">
            <v>30</v>
          </cell>
        </row>
        <row r="4136">
          <cell r="E4136" t="str">
            <v>B25012515</v>
          </cell>
          <cell r="F4136"/>
          <cell r="G4136">
            <v>3000000000</v>
          </cell>
          <cell r="H4136" t="str">
            <v>Zakia</v>
          </cell>
          <cell r="I4136" t="str">
            <v>Tiya</v>
          </cell>
          <cell r="J4136"/>
          <cell r="K4136" t="str">
            <v>KU</v>
          </cell>
          <cell r="L4136" t="str">
            <v>KARY03</v>
          </cell>
          <cell r="M4136" t="str">
            <v>Karya Tani, UD/Raniasa</v>
          </cell>
          <cell r="N4136" t="str">
            <v>I Nengah Reniasa</v>
          </cell>
          <cell r="O4136" t="str">
            <v>Ds. Sekardadi, Sekardadi, Kintamani Bangli</v>
          </cell>
          <cell r="P4136" t="str">
            <v>Bali</v>
          </cell>
          <cell r="Q4136" t="str">
            <v>Ds. Sekardadi, Sekardadi, Kintamani Bangli</v>
          </cell>
          <cell r="R4136" t="str">
            <v>Bali</v>
          </cell>
          <cell r="S4136" t="str">
            <v>S Bali1</v>
          </cell>
          <cell r="T4136" t="str">
            <v>Wira</v>
          </cell>
          <cell r="U4136">
            <v>30</v>
          </cell>
        </row>
        <row r="4137">
          <cell r="E4137" t="str">
            <v>B25012971</v>
          </cell>
          <cell r="F4137"/>
          <cell r="G4137">
            <v>3000000000</v>
          </cell>
          <cell r="H4137" t="str">
            <v>Zakia</v>
          </cell>
          <cell r="I4137" t="str">
            <v>Tiya</v>
          </cell>
          <cell r="J4137"/>
          <cell r="K4137" t="str">
            <v>KU</v>
          </cell>
          <cell r="L4137" t="str">
            <v>KARY03</v>
          </cell>
          <cell r="M4137" t="str">
            <v>Karya Tani, UD/Raniasa</v>
          </cell>
          <cell r="N4137" t="str">
            <v>I Nengah Reniasa</v>
          </cell>
          <cell r="O4137" t="str">
            <v>Ds. Sekardadi, Sekardadi, Kintamani Bangli</v>
          </cell>
          <cell r="P4137" t="str">
            <v>Bali</v>
          </cell>
          <cell r="Q4137" t="str">
            <v>Ds. Sekardadi, Sekardadi, Kintamani Bangli</v>
          </cell>
          <cell r="R4137" t="str">
            <v>Bali</v>
          </cell>
          <cell r="S4137" t="str">
            <v>S Bali1</v>
          </cell>
          <cell r="T4137" t="str">
            <v>Wira</v>
          </cell>
          <cell r="U4137">
            <v>30</v>
          </cell>
        </row>
        <row r="4138">
          <cell r="E4138" t="str">
            <v>B25013039</v>
          </cell>
          <cell r="F4138"/>
          <cell r="G4138">
            <v>3000000000</v>
          </cell>
          <cell r="H4138" t="str">
            <v>Zakia</v>
          </cell>
          <cell r="I4138" t="str">
            <v>Tiya</v>
          </cell>
          <cell r="J4138"/>
          <cell r="K4138" t="str">
            <v>KU</v>
          </cell>
          <cell r="L4138" t="str">
            <v>KARY03</v>
          </cell>
          <cell r="M4138" t="str">
            <v>Karya Tani, UD/Raniasa</v>
          </cell>
          <cell r="N4138" t="str">
            <v>I Nengah Reniasa</v>
          </cell>
          <cell r="O4138" t="str">
            <v>Ds. Sekardadi, Sekardadi, Kintamani Bangli</v>
          </cell>
          <cell r="P4138" t="str">
            <v>Bali</v>
          </cell>
          <cell r="Q4138" t="str">
            <v>Ds. Sekardadi, Sekardadi, Kintamani Bangli</v>
          </cell>
          <cell r="R4138" t="str">
            <v>Bali</v>
          </cell>
          <cell r="S4138" t="str">
            <v>S Bali1</v>
          </cell>
          <cell r="T4138" t="str">
            <v>Wira</v>
          </cell>
          <cell r="U4138">
            <v>30</v>
          </cell>
        </row>
        <row r="4139">
          <cell r="E4139" t="str">
            <v>D25015356</v>
          </cell>
          <cell r="F4139"/>
          <cell r="G4139">
            <v>3000000000</v>
          </cell>
          <cell r="H4139" t="str">
            <v>Zakia</v>
          </cell>
          <cell r="I4139" t="str">
            <v>Tiya</v>
          </cell>
          <cell r="J4139"/>
          <cell r="K4139" t="str">
            <v>KU</v>
          </cell>
          <cell r="L4139" t="str">
            <v>KARY03</v>
          </cell>
          <cell r="M4139" t="str">
            <v>Karya Tani, UD/Raniasa</v>
          </cell>
          <cell r="N4139" t="str">
            <v>I Nengah Reniasa</v>
          </cell>
          <cell r="O4139" t="str">
            <v>Ds. Sekardadi, Sekardadi, Kintamani Bangli</v>
          </cell>
          <cell r="P4139" t="str">
            <v>Bali</v>
          </cell>
          <cell r="Q4139" t="str">
            <v>Ds. Sekardadi, Sekardadi, Kintamani Bangli</v>
          </cell>
          <cell r="R4139" t="str">
            <v>Bali</v>
          </cell>
          <cell r="S4139" t="str">
            <v>S Bali1</v>
          </cell>
          <cell r="T4139" t="str">
            <v>Wira</v>
          </cell>
          <cell r="U4139">
            <v>30</v>
          </cell>
        </row>
        <row r="4140">
          <cell r="E4140" t="str">
            <v>B25013226</v>
          </cell>
          <cell r="F4140"/>
          <cell r="G4140">
            <v>3000000000</v>
          </cell>
          <cell r="H4140" t="str">
            <v>Zakia</v>
          </cell>
          <cell r="I4140" t="str">
            <v>Tiya</v>
          </cell>
          <cell r="J4140"/>
          <cell r="K4140" t="str">
            <v>KU</v>
          </cell>
          <cell r="L4140" t="str">
            <v>KARY03</v>
          </cell>
          <cell r="M4140" t="str">
            <v>Karya Tani, UD/Raniasa</v>
          </cell>
          <cell r="N4140" t="str">
            <v>I Nengah Reniasa</v>
          </cell>
          <cell r="O4140" t="str">
            <v>Ds. Sekardadi, Sekardadi, Kintamani Bangli</v>
          </cell>
          <cell r="P4140" t="str">
            <v>Bali</v>
          </cell>
          <cell r="Q4140" t="str">
            <v>Ds. Sekardadi, Sekardadi, Kintamani Bangli</v>
          </cell>
          <cell r="R4140" t="str">
            <v>Bali</v>
          </cell>
          <cell r="S4140" t="str">
            <v>S Bali1</v>
          </cell>
          <cell r="T4140" t="str">
            <v>Wira</v>
          </cell>
          <cell r="U4140">
            <v>30</v>
          </cell>
        </row>
        <row r="4141">
          <cell r="E4141" t="str">
            <v>T25001249</v>
          </cell>
          <cell r="F4141"/>
          <cell r="G4141">
            <v>30000000</v>
          </cell>
          <cell r="H4141" t="str">
            <v>Reni</v>
          </cell>
          <cell r="I4141" t="str">
            <v>Farida</v>
          </cell>
          <cell r="J4141"/>
          <cell r="K4141" t="str">
            <v>KU, Tunai</v>
          </cell>
          <cell r="L4141" t="str">
            <v>KARY10</v>
          </cell>
          <cell r="M4141" t="str">
            <v>Karya Tani, UD/Tomo</v>
          </cell>
          <cell r="N4141" t="str">
            <v>Setyo Utomo</v>
          </cell>
          <cell r="O4141" t="str">
            <v>Dkh. Kari Wetan, Ds. Kori, Kec. Sawoo, Kab. Ponorogo</v>
          </cell>
          <cell r="P4141" t="str">
            <v>Ponorogo</v>
          </cell>
          <cell r="Q4141" t="str">
            <v>Dkh. Kari Wetan, Ds. Kori, Kec. Sawoo, Kab. Ponorogo</v>
          </cell>
          <cell r="R4141" t="str">
            <v>Ponorogo</v>
          </cell>
          <cell r="S4141" t="str">
            <v>D Barat1</v>
          </cell>
          <cell r="T4141" t="str">
            <v>Dian</v>
          </cell>
          <cell r="U4141">
            <v>60</v>
          </cell>
        </row>
        <row r="4142">
          <cell r="E4142" t="str">
            <v>B25011054</v>
          </cell>
          <cell r="F4142"/>
          <cell r="G4142">
            <v>30000000</v>
          </cell>
          <cell r="H4142" t="str">
            <v>Reni</v>
          </cell>
          <cell r="I4142" t="str">
            <v>Farida</v>
          </cell>
          <cell r="J4142"/>
          <cell r="K4142" t="str">
            <v>KU, Tunai</v>
          </cell>
          <cell r="L4142" t="str">
            <v>KARY10</v>
          </cell>
          <cell r="M4142" t="str">
            <v>Karya Tani, UD/Tomo</v>
          </cell>
          <cell r="N4142" t="str">
            <v>Setyo Utomo</v>
          </cell>
          <cell r="O4142" t="str">
            <v>Dkh. Kari Wetan, Ds. Kori, Kec. Sawoo, Kab. Ponorogo</v>
          </cell>
          <cell r="P4142" t="str">
            <v>Ponorogo</v>
          </cell>
          <cell r="Q4142" t="str">
            <v>Dkh. Kari Wetan, Ds. Kori, Kec. Sawoo, Kab. Ponorogo</v>
          </cell>
          <cell r="R4142" t="str">
            <v>Ponorogo</v>
          </cell>
          <cell r="S4142" t="str">
            <v>D Barat1</v>
          </cell>
          <cell r="T4142" t="str">
            <v>Dian</v>
          </cell>
          <cell r="U4142">
            <v>60</v>
          </cell>
        </row>
        <row r="4143">
          <cell r="E4143" t="str">
            <v>T25001332</v>
          </cell>
          <cell r="F4143"/>
          <cell r="G4143">
            <v>30000000</v>
          </cell>
          <cell r="H4143" t="str">
            <v>Reni</v>
          </cell>
          <cell r="I4143" t="str">
            <v>Farida</v>
          </cell>
          <cell r="J4143"/>
          <cell r="K4143" t="str">
            <v>KU, Tunai</v>
          </cell>
          <cell r="L4143" t="str">
            <v>KARY10</v>
          </cell>
          <cell r="M4143" t="str">
            <v>Karya Tani, UD/Tomo</v>
          </cell>
          <cell r="N4143" t="str">
            <v>Setyo Utomo</v>
          </cell>
          <cell r="O4143" t="str">
            <v>Dkh. Kari Wetan, Ds. Kori, Kec. Sawoo, Kab. Ponorogo</v>
          </cell>
          <cell r="P4143" t="str">
            <v>Ponorogo</v>
          </cell>
          <cell r="Q4143" t="str">
            <v>Dkh. Kari Wetan, Ds. Kori, Kec. Sawoo, Kab. Ponorogo</v>
          </cell>
          <cell r="R4143" t="str">
            <v>Ponorogo</v>
          </cell>
          <cell r="S4143" t="str">
            <v>D Barat1</v>
          </cell>
          <cell r="T4143" t="str">
            <v>Dian</v>
          </cell>
          <cell r="U4143">
            <v>60</v>
          </cell>
        </row>
        <row r="4144">
          <cell r="E4144" t="str">
            <v>T25001363</v>
          </cell>
          <cell r="F4144"/>
          <cell r="G4144">
            <v>30000000</v>
          </cell>
          <cell r="H4144" t="str">
            <v>Reni</v>
          </cell>
          <cell r="I4144" t="str">
            <v>Farida</v>
          </cell>
          <cell r="J4144"/>
          <cell r="K4144" t="str">
            <v>KU, Tunai</v>
          </cell>
          <cell r="L4144" t="str">
            <v>KARY10</v>
          </cell>
          <cell r="M4144" t="str">
            <v>Karya Tani, UD/Tomo</v>
          </cell>
          <cell r="N4144" t="str">
            <v>Setyo Utomo</v>
          </cell>
          <cell r="O4144" t="str">
            <v>Dkh. Kari Wetan, Ds. Kori, Kec. Sawoo, Kab. Ponorogo</v>
          </cell>
          <cell r="P4144" t="str">
            <v>Ponorogo</v>
          </cell>
          <cell r="Q4144" t="str">
            <v>Dkh. Kari Wetan, Ds. Kori, Kec. Sawoo, Kab. Ponorogo</v>
          </cell>
          <cell r="R4144" t="str">
            <v>Ponorogo</v>
          </cell>
          <cell r="S4144" t="str">
            <v>D Barat1</v>
          </cell>
          <cell r="T4144" t="str">
            <v>Dian</v>
          </cell>
          <cell r="U4144">
            <v>60</v>
          </cell>
        </row>
        <row r="4145">
          <cell r="E4145" t="str">
            <v>D25014742</v>
          </cell>
          <cell r="F4145"/>
          <cell r="G4145">
            <v>30000000</v>
          </cell>
          <cell r="H4145" t="str">
            <v>Reni</v>
          </cell>
          <cell r="I4145" t="str">
            <v>Farida</v>
          </cell>
          <cell r="J4145"/>
          <cell r="K4145" t="str">
            <v>KU, Tunai</v>
          </cell>
          <cell r="L4145" t="str">
            <v>KARY10</v>
          </cell>
          <cell r="M4145" t="str">
            <v>Karya Tani, UD/Tomo</v>
          </cell>
          <cell r="N4145" t="str">
            <v>Setyo Utomo</v>
          </cell>
          <cell r="O4145" t="str">
            <v>Dkh. Kari Wetan, Ds. Kori, Kec. Sawoo, Kab. Ponorogo</v>
          </cell>
          <cell r="P4145" t="str">
            <v>Ponorogo</v>
          </cell>
          <cell r="Q4145" t="str">
            <v>Dkh. Kari Wetan, Ds. Kori, Kec. Sawoo, Kab. Ponorogo</v>
          </cell>
          <cell r="R4145" t="str">
            <v>Ponorogo</v>
          </cell>
          <cell r="S4145" t="str">
            <v>D Barat1</v>
          </cell>
          <cell r="T4145" t="str">
            <v>Dian</v>
          </cell>
          <cell r="U4145">
            <v>60</v>
          </cell>
        </row>
        <row r="4146">
          <cell r="E4146" t="str">
            <v>B25013152</v>
          </cell>
          <cell r="F4146"/>
          <cell r="G4146">
            <v>30000000</v>
          </cell>
          <cell r="H4146" t="str">
            <v>Reni</v>
          </cell>
          <cell r="I4146" t="str">
            <v>Farida</v>
          </cell>
          <cell r="J4146"/>
          <cell r="K4146" t="str">
            <v>KU, Tunai</v>
          </cell>
          <cell r="L4146" t="str">
            <v>KARY10</v>
          </cell>
          <cell r="M4146" t="str">
            <v>Karya Tani, UD/Tomo</v>
          </cell>
          <cell r="N4146" t="str">
            <v>Setyo Utomo</v>
          </cell>
          <cell r="O4146" t="str">
            <v>Dkh. Kari Wetan, Ds. Kori, Kec. Sawoo, Kab. Ponorogo</v>
          </cell>
          <cell r="P4146" t="str">
            <v>Ponorogo</v>
          </cell>
          <cell r="Q4146" t="str">
            <v>Dkh. Kari Wetan, Ds. Kori, Kec. Sawoo, Kab. Ponorogo</v>
          </cell>
          <cell r="R4146" t="str">
            <v>Ponorogo</v>
          </cell>
          <cell r="S4146" t="str">
            <v>D Barat1</v>
          </cell>
          <cell r="T4146" t="str">
            <v>Dian</v>
          </cell>
          <cell r="U4146">
            <v>60</v>
          </cell>
        </row>
        <row r="4147">
          <cell r="E4147" t="str">
            <v>D25010515</v>
          </cell>
          <cell r="F4147"/>
          <cell r="G4147">
            <v>250000000</v>
          </cell>
          <cell r="H4147" t="str">
            <v>Reni</v>
          </cell>
          <cell r="I4147" t="str">
            <v>Farida</v>
          </cell>
          <cell r="J4147"/>
          <cell r="K4147" t="str">
            <v>BG, KU</v>
          </cell>
          <cell r="L4147" t="str">
            <v>KARY04</v>
          </cell>
          <cell r="M4147" t="str">
            <v>Karya Tani/Agus</v>
          </cell>
          <cell r="N4147" t="str">
            <v>Agus Sutrisno</v>
          </cell>
          <cell r="O4147" t="str">
            <v>Jl. Patimura IV No.19, RT.002/RW.006, Temas Batu</v>
          </cell>
          <cell r="P4147" t="str">
            <v>Batu</v>
          </cell>
          <cell r="Q4147" t="str">
            <v>Jl. Dewi Sartika Perum New Dewi Sartika Kav - 7</v>
          </cell>
          <cell r="R4147" t="str">
            <v>Batu</v>
          </cell>
          <cell r="S4147" t="str">
            <v>F Utara1</v>
          </cell>
          <cell r="T4147" t="str">
            <v>Tomi</v>
          </cell>
          <cell r="U4147">
            <v>60</v>
          </cell>
        </row>
        <row r="4148">
          <cell r="E4148" t="str">
            <v>B25010343</v>
          </cell>
          <cell r="F4148"/>
          <cell r="G4148">
            <v>250000000</v>
          </cell>
          <cell r="H4148" t="str">
            <v>Reni</v>
          </cell>
          <cell r="I4148" t="str">
            <v>Farida</v>
          </cell>
          <cell r="J4148"/>
          <cell r="K4148" t="str">
            <v>BG, KU</v>
          </cell>
          <cell r="L4148" t="str">
            <v>KARY04</v>
          </cell>
          <cell r="M4148" t="str">
            <v>Karya Tani/Agus</v>
          </cell>
          <cell r="N4148" t="str">
            <v>Agus Sutrisno</v>
          </cell>
          <cell r="O4148" t="str">
            <v>Jl. Patimura IV No.19, RT.002/RW.006, Temas Batu</v>
          </cell>
          <cell r="P4148" t="str">
            <v>Batu</v>
          </cell>
          <cell r="Q4148" t="str">
            <v>Jl. Dewi Sartika Perum New Dewi Sartika Kav - 7</v>
          </cell>
          <cell r="R4148" t="str">
            <v>Batu</v>
          </cell>
          <cell r="S4148" t="str">
            <v>F Utara1</v>
          </cell>
          <cell r="T4148" t="str">
            <v>Tomi</v>
          </cell>
          <cell r="U4148">
            <v>60</v>
          </cell>
        </row>
        <row r="4149">
          <cell r="E4149" t="str">
            <v>B25010909</v>
          </cell>
          <cell r="F4149"/>
          <cell r="G4149">
            <v>250000000</v>
          </cell>
          <cell r="H4149" t="str">
            <v>Reni</v>
          </cell>
          <cell r="I4149" t="str">
            <v>Farida</v>
          </cell>
          <cell r="J4149"/>
          <cell r="K4149" t="str">
            <v>BG, KU</v>
          </cell>
          <cell r="L4149" t="str">
            <v>KARY04</v>
          </cell>
          <cell r="M4149" t="str">
            <v>Karya Tani/Agus</v>
          </cell>
          <cell r="N4149" t="str">
            <v>Agus Sutrisno</v>
          </cell>
          <cell r="O4149" t="str">
            <v>Jl. Patimura IV No.19, RT.002/RW.006, Temas Batu</v>
          </cell>
          <cell r="P4149" t="str">
            <v>Batu</v>
          </cell>
          <cell r="Q4149" t="str">
            <v>Jl. Dewi Sartika Perum New Dewi Sartika Kav - 7</v>
          </cell>
          <cell r="R4149" t="str">
            <v>Batu</v>
          </cell>
          <cell r="S4149" t="str">
            <v>F Utara1</v>
          </cell>
          <cell r="T4149" t="str">
            <v>Tomi</v>
          </cell>
          <cell r="U4149">
            <v>60</v>
          </cell>
        </row>
        <row r="4150">
          <cell r="E4150" t="str">
            <v>D25013151</v>
          </cell>
          <cell r="F4150"/>
          <cell r="G4150">
            <v>250000000</v>
          </cell>
          <cell r="H4150" t="str">
            <v>Reni</v>
          </cell>
          <cell r="I4150" t="str">
            <v>Farida</v>
          </cell>
          <cell r="J4150"/>
          <cell r="K4150" t="str">
            <v>BG, KU</v>
          </cell>
          <cell r="L4150" t="str">
            <v>KARY04</v>
          </cell>
          <cell r="M4150" t="str">
            <v>Karya Tani/Agus</v>
          </cell>
          <cell r="N4150" t="str">
            <v>Agus Sutrisno</v>
          </cell>
          <cell r="O4150" t="str">
            <v>Jl. Patimura IV No.19, RT.002/RW.006, Temas Batu</v>
          </cell>
          <cell r="P4150" t="str">
            <v>Batu</v>
          </cell>
          <cell r="Q4150" t="str">
            <v>Jl. Dewi Sartika Perum New Dewi Sartika Kav - 7</v>
          </cell>
          <cell r="R4150" t="str">
            <v>Batu</v>
          </cell>
          <cell r="S4150" t="str">
            <v>F Utara1</v>
          </cell>
          <cell r="T4150" t="str">
            <v>Tomi</v>
          </cell>
          <cell r="U4150">
            <v>60</v>
          </cell>
        </row>
        <row r="4151">
          <cell r="E4151" t="str">
            <v>D25014361</v>
          </cell>
          <cell r="F4151"/>
          <cell r="G4151">
            <v>250000000</v>
          </cell>
          <cell r="H4151" t="str">
            <v>Reni</v>
          </cell>
          <cell r="I4151" t="str">
            <v>Farida</v>
          </cell>
          <cell r="J4151"/>
          <cell r="K4151" t="str">
            <v>BG, KU</v>
          </cell>
          <cell r="L4151" t="str">
            <v>KARY04</v>
          </cell>
          <cell r="M4151" t="str">
            <v>Karya Tani/Agus</v>
          </cell>
          <cell r="N4151" t="str">
            <v>Agus Sutrisno</v>
          </cell>
          <cell r="O4151" t="str">
            <v>Jl. Patimura IV No.19, RT.002/RW.006, Temas Batu</v>
          </cell>
          <cell r="P4151" t="str">
            <v>Batu</v>
          </cell>
          <cell r="Q4151" t="str">
            <v>Jl. Dewi Sartika Perum New Dewi Sartika Kav - 7</v>
          </cell>
          <cell r="R4151" t="str">
            <v>Batu</v>
          </cell>
          <cell r="S4151" t="str">
            <v>F Utara1</v>
          </cell>
          <cell r="T4151" t="str">
            <v>Tomi</v>
          </cell>
          <cell r="U4151">
            <v>0</v>
          </cell>
        </row>
        <row r="4152">
          <cell r="E4152" t="str">
            <v>D25015507</v>
          </cell>
          <cell r="F4152"/>
          <cell r="G4152">
            <v>250000000</v>
          </cell>
          <cell r="H4152" t="str">
            <v>Reni</v>
          </cell>
          <cell r="I4152" t="str">
            <v>Farida</v>
          </cell>
          <cell r="J4152"/>
          <cell r="K4152" t="str">
            <v>BG, KU</v>
          </cell>
          <cell r="L4152" t="str">
            <v>KARY04</v>
          </cell>
          <cell r="M4152" t="str">
            <v>Karya Tani/Agus</v>
          </cell>
          <cell r="N4152" t="str">
            <v>Agus Sutrisno</v>
          </cell>
          <cell r="O4152" t="str">
            <v>Jl. Patimura IV No.19, RT.002/RW.006, Temas Batu</v>
          </cell>
          <cell r="P4152" t="str">
            <v>Batu</v>
          </cell>
          <cell r="Q4152" t="str">
            <v>Jl. Dewi Sartika Perum New Dewi Sartika Kav - 7</v>
          </cell>
          <cell r="R4152" t="str">
            <v>Batu</v>
          </cell>
          <cell r="S4152" t="str">
            <v>F Utara1</v>
          </cell>
          <cell r="T4152" t="str">
            <v>Tomi</v>
          </cell>
          <cell r="U4152">
            <v>60</v>
          </cell>
        </row>
        <row r="4153">
          <cell r="E4153" t="str">
            <v>D25015973</v>
          </cell>
          <cell r="F4153"/>
          <cell r="G4153">
            <v>250000000</v>
          </cell>
          <cell r="H4153" t="str">
            <v>Reni</v>
          </cell>
          <cell r="I4153" t="str">
            <v>Farida</v>
          </cell>
          <cell r="J4153"/>
          <cell r="K4153" t="str">
            <v>BG, KU</v>
          </cell>
          <cell r="L4153" t="str">
            <v>KARY04</v>
          </cell>
          <cell r="M4153" t="str">
            <v>Karya Tani/Agus</v>
          </cell>
          <cell r="N4153" t="str">
            <v>Agus Sutrisno</v>
          </cell>
          <cell r="O4153" t="str">
            <v>Jl. Patimura IV No.19, RT.002/RW.006, Temas Batu</v>
          </cell>
          <cell r="P4153" t="str">
            <v>Batu</v>
          </cell>
          <cell r="Q4153" t="str">
            <v>Jl. Dewi Sartika Perum New Dewi Sartika Kav - 7</v>
          </cell>
          <cell r="R4153" t="str">
            <v>Batu</v>
          </cell>
          <cell r="S4153" t="str">
            <v>F Utara1</v>
          </cell>
          <cell r="T4153" t="str">
            <v>Tomi</v>
          </cell>
          <cell r="U4153">
            <v>60</v>
          </cell>
        </row>
        <row r="4154">
          <cell r="E4154" t="str">
            <v>D25011460</v>
          </cell>
          <cell r="F4154"/>
          <cell r="G4154">
            <v>600000000</v>
          </cell>
          <cell r="H4154" t="str">
            <v>Reni</v>
          </cell>
          <cell r="I4154" t="str">
            <v>Farida</v>
          </cell>
          <cell r="J4154"/>
          <cell r="K4154" t="str">
            <v>KU</v>
          </cell>
          <cell r="L4154" t="str">
            <v>KARY05</v>
          </cell>
          <cell r="M4154" t="str">
            <v>Karya Tani/Ana</v>
          </cell>
          <cell r="N4154" t="str">
            <v>Muhammad Anshori</v>
          </cell>
          <cell r="O4154" t="str">
            <v>Jl. P. Sudirman No.59, RT.003/RW.001 Purwoasri, Wonoasri</v>
          </cell>
          <cell r="P4154" t="str">
            <v>Madiun</v>
          </cell>
          <cell r="Q4154" t="str">
            <v>Jl. P. Sudirman No.69, RT.103/RW.01 Purwoasri, Wonoasri</v>
          </cell>
          <cell r="R4154" t="str">
            <v>Madiun</v>
          </cell>
          <cell r="S4154" t="str">
            <v>D Barat1</v>
          </cell>
          <cell r="T4154" t="str">
            <v>Dian</v>
          </cell>
          <cell r="U4154">
            <v>60</v>
          </cell>
        </row>
        <row r="4155">
          <cell r="E4155" t="str">
            <v>D25013882</v>
          </cell>
          <cell r="F4155"/>
          <cell r="G4155">
            <v>600000000</v>
          </cell>
          <cell r="H4155" t="str">
            <v>Reni</v>
          </cell>
          <cell r="I4155" t="str">
            <v>Farida</v>
          </cell>
          <cell r="J4155"/>
          <cell r="K4155" t="str">
            <v>KU</v>
          </cell>
          <cell r="L4155" t="str">
            <v>KARY05</v>
          </cell>
          <cell r="M4155" t="str">
            <v>Karya Tani/Ana</v>
          </cell>
          <cell r="N4155" t="str">
            <v>Muhammad Anshori</v>
          </cell>
          <cell r="O4155" t="str">
            <v>Jl. P. Sudirman No.59, RT.003/RW.001 Purwoasri, Wonoasri</v>
          </cell>
          <cell r="P4155" t="str">
            <v>Madiun</v>
          </cell>
          <cell r="Q4155" t="str">
            <v>Jl. P. Sudirman No.69, RT.103/RW.01 Purwoasri, Wonoasri</v>
          </cell>
          <cell r="R4155" t="str">
            <v>Madiun</v>
          </cell>
          <cell r="S4155" t="str">
            <v>D Barat1</v>
          </cell>
          <cell r="T4155" t="str">
            <v>Dian</v>
          </cell>
          <cell r="U4155">
            <v>60</v>
          </cell>
        </row>
        <row r="4156">
          <cell r="E4156" t="str">
            <v>D25013927</v>
          </cell>
          <cell r="F4156"/>
          <cell r="G4156">
            <v>600000000</v>
          </cell>
          <cell r="H4156" t="str">
            <v>Reni</v>
          </cell>
          <cell r="I4156" t="str">
            <v>Farida</v>
          </cell>
          <cell r="J4156"/>
          <cell r="K4156" t="str">
            <v>KU</v>
          </cell>
          <cell r="L4156" t="str">
            <v>KARY05</v>
          </cell>
          <cell r="M4156" t="str">
            <v>Karya Tani/Ana</v>
          </cell>
          <cell r="N4156" t="str">
            <v>Muhammad Anshori</v>
          </cell>
          <cell r="O4156" t="str">
            <v>Jl. P. Sudirman No.59, RT.003/RW.001 Purwoasri, Wonoasri</v>
          </cell>
          <cell r="P4156" t="str">
            <v>Madiun</v>
          </cell>
          <cell r="Q4156" t="str">
            <v>Jl. P. Sudirman No.69, RT.103/RW.01 Purwoasri, Wonoasri</v>
          </cell>
          <cell r="R4156" t="str">
            <v>Madiun</v>
          </cell>
          <cell r="S4156" t="str">
            <v>D Barat1</v>
          </cell>
          <cell r="T4156" t="str">
            <v>Dian</v>
          </cell>
          <cell r="U4156">
            <v>60</v>
          </cell>
        </row>
        <row r="4157">
          <cell r="E4157" t="str">
            <v>D25013929</v>
          </cell>
          <cell r="F4157"/>
          <cell r="G4157">
            <v>600000000</v>
          </cell>
          <cell r="H4157" t="str">
            <v>Reni</v>
          </cell>
          <cell r="I4157" t="str">
            <v>Farida</v>
          </cell>
          <cell r="J4157"/>
          <cell r="K4157" t="str">
            <v>KU</v>
          </cell>
          <cell r="L4157" t="str">
            <v>KARY05</v>
          </cell>
          <cell r="M4157" t="str">
            <v>Karya Tani/Ana</v>
          </cell>
          <cell r="N4157" t="str">
            <v>Muhammad Anshori</v>
          </cell>
          <cell r="O4157" t="str">
            <v>Jl. P. Sudirman No.59, RT.003/RW.001 Purwoasri, Wonoasri</v>
          </cell>
          <cell r="P4157" t="str">
            <v>Madiun</v>
          </cell>
          <cell r="Q4157" t="str">
            <v>Jl. P. Sudirman No.69, RT.103/RW.01 Purwoasri, Wonoasri</v>
          </cell>
          <cell r="R4157" t="str">
            <v>Madiun</v>
          </cell>
          <cell r="S4157" t="str">
            <v>D Barat1</v>
          </cell>
          <cell r="T4157" t="str">
            <v>Dian</v>
          </cell>
          <cell r="U4157">
            <v>60</v>
          </cell>
        </row>
        <row r="4158">
          <cell r="E4158" t="str">
            <v>D25015427</v>
          </cell>
          <cell r="F4158"/>
          <cell r="G4158">
            <v>600000000</v>
          </cell>
          <cell r="H4158" t="str">
            <v>Reni</v>
          </cell>
          <cell r="I4158" t="str">
            <v>Farida</v>
          </cell>
          <cell r="J4158"/>
          <cell r="K4158" t="str">
            <v>KU</v>
          </cell>
          <cell r="L4158" t="str">
            <v>KARY05</v>
          </cell>
          <cell r="M4158" t="str">
            <v>Karya Tani/Ana</v>
          </cell>
          <cell r="N4158" t="str">
            <v>Muhammad Anshori</v>
          </cell>
          <cell r="O4158" t="str">
            <v>Jl. P. Sudirman No.59, RT.003/RW.001 Purwoasri, Wonoasri</v>
          </cell>
          <cell r="P4158" t="str">
            <v>Madiun</v>
          </cell>
          <cell r="Q4158" t="str">
            <v>Jl. P. Sudirman No.69, RT.103/RW.01 Purwoasri, Wonoasri</v>
          </cell>
          <cell r="R4158" t="str">
            <v>Madiun</v>
          </cell>
          <cell r="S4158" t="str">
            <v>D Barat1</v>
          </cell>
          <cell r="T4158" t="str">
            <v>Dian</v>
          </cell>
          <cell r="U4158">
            <v>60</v>
          </cell>
        </row>
        <row r="4159">
          <cell r="E4159" t="str">
            <v>B25013164</v>
          </cell>
          <cell r="F4159"/>
          <cell r="G4159">
            <v>600000000</v>
          </cell>
          <cell r="H4159" t="str">
            <v>Reni</v>
          </cell>
          <cell r="I4159" t="str">
            <v>Farida</v>
          </cell>
          <cell r="J4159"/>
          <cell r="K4159" t="str">
            <v>KU</v>
          </cell>
          <cell r="L4159" t="str">
            <v>KARY05</v>
          </cell>
          <cell r="M4159" t="str">
            <v>Karya Tani/Ana</v>
          </cell>
          <cell r="N4159" t="str">
            <v>Muhammad Anshori</v>
          </cell>
          <cell r="O4159" t="str">
            <v>Jl. P. Sudirman No.59, RT.003/RW.001 Purwoasri, Wonoasri</v>
          </cell>
          <cell r="P4159" t="str">
            <v>Madiun</v>
          </cell>
          <cell r="Q4159" t="str">
            <v>Jl. P. Sudirman No.69, RT.103/RW.01 Purwoasri, Wonoasri</v>
          </cell>
          <cell r="R4159" t="str">
            <v>Madiun</v>
          </cell>
          <cell r="S4159" t="str">
            <v>D Barat1</v>
          </cell>
          <cell r="T4159" t="str">
            <v>Dian</v>
          </cell>
          <cell r="U4159">
            <v>0</v>
          </cell>
        </row>
        <row r="4160">
          <cell r="E4160" t="str">
            <v>B25013456</v>
          </cell>
          <cell r="F4160"/>
          <cell r="G4160">
            <v>600000000</v>
          </cell>
          <cell r="H4160" t="str">
            <v>Reni</v>
          </cell>
          <cell r="I4160" t="str">
            <v>Farida</v>
          </cell>
          <cell r="J4160"/>
          <cell r="K4160" t="str">
            <v>KU</v>
          </cell>
          <cell r="L4160" t="str">
            <v>KARY05</v>
          </cell>
          <cell r="M4160" t="str">
            <v>Karya Tani/Ana</v>
          </cell>
          <cell r="N4160" t="str">
            <v>Muhammad Anshori</v>
          </cell>
          <cell r="O4160" t="str">
            <v>Jl. P. Sudirman No.59, RT.003/RW.001 Purwoasri, Wonoasri</v>
          </cell>
          <cell r="P4160" t="str">
            <v>Madiun</v>
          </cell>
          <cell r="Q4160" t="str">
            <v>Jl. P. Sudirman No.69, RT.103/RW.01 Purwoasri, Wonoasri</v>
          </cell>
          <cell r="R4160" t="str">
            <v>Madiun</v>
          </cell>
          <cell r="S4160" t="str">
            <v>D Barat1</v>
          </cell>
          <cell r="T4160" t="str">
            <v>Dian</v>
          </cell>
          <cell r="U4160">
            <v>0</v>
          </cell>
        </row>
        <row r="4161">
          <cell r="E4161" t="str">
            <v>B25013457</v>
          </cell>
          <cell r="F4161"/>
          <cell r="G4161">
            <v>600000000</v>
          </cell>
          <cell r="H4161" t="str">
            <v>Reni</v>
          </cell>
          <cell r="I4161" t="str">
            <v>Farida</v>
          </cell>
          <cell r="J4161"/>
          <cell r="K4161" t="str">
            <v>KU</v>
          </cell>
          <cell r="L4161" t="str">
            <v>KARY05</v>
          </cell>
          <cell r="M4161" t="str">
            <v>Karya Tani/Ana</v>
          </cell>
          <cell r="N4161" t="str">
            <v>Muhammad Anshori</v>
          </cell>
          <cell r="O4161" t="str">
            <v>Jl. P. Sudirman No.59, RT.003/RW.001 Purwoasri, Wonoasri</v>
          </cell>
          <cell r="P4161" t="str">
            <v>Madiun</v>
          </cell>
          <cell r="Q4161" t="str">
            <v>Jl. P. Sudirman No.69, RT.103/RW.01 Purwoasri, Wonoasri</v>
          </cell>
          <cell r="R4161" t="str">
            <v>Madiun</v>
          </cell>
          <cell r="S4161" t="str">
            <v>D Barat1</v>
          </cell>
          <cell r="T4161" t="str">
            <v>Dian</v>
          </cell>
          <cell r="U4161">
            <v>60</v>
          </cell>
        </row>
        <row r="4162">
          <cell r="E4162" t="str">
            <v>D25016019</v>
          </cell>
          <cell r="F4162"/>
          <cell r="G4162">
            <v>600000000</v>
          </cell>
          <cell r="H4162" t="str">
            <v>Reni</v>
          </cell>
          <cell r="I4162" t="str">
            <v>Farida</v>
          </cell>
          <cell r="J4162"/>
          <cell r="K4162" t="str">
            <v>KU</v>
          </cell>
          <cell r="L4162" t="str">
            <v>KARY05</v>
          </cell>
          <cell r="M4162" t="str">
            <v>Karya Tani/Ana</v>
          </cell>
          <cell r="N4162" t="str">
            <v>Muhammad Anshori</v>
          </cell>
          <cell r="O4162" t="str">
            <v>Jl. P. Sudirman No.59, RT.003/RW.001 Purwoasri, Wonoasri</v>
          </cell>
          <cell r="P4162" t="str">
            <v>Madiun</v>
          </cell>
          <cell r="Q4162" t="str">
            <v>Jl. P. Sudirman No.69, RT.103/RW.01 Purwoasri, Wonoasri</v>
          </cell>
          <cell r="R4162" t="str">
            <v>Madiun</v>
          </cell>
          <cell r="S4162" t="str">
            <v>D Barat1</v>
          </cell>
          <cell r="T4162" t="str">
            <v>Dian</v>
          </cell>
          <cell r="U4162">
            <v>60</v>
          </cell>
        </row>
        <row r="4163">
          <cell r="E4163" t="str">
            <v>D25016020</v>
          </cell>
          <cell r="F4163"/>
          <cell r="G4163">
            <v>600000000</v>
          </cell>
          <cell r="H4163" t="str">
            <v>Reni</v>
          </cell>
          <cell r="I4163" t="str">
            <v>Farida</v>
          </cell>
          <cell r="J4163"/>
          <cell r="K4163" t="str">
            <v>KU</v>
          </cell>
          <cell r="L4163" t="str">
            <v>KARY05</v>
          </cell>
          <cell r="M4163" t="str">
            <v>Karya Tani/Ana</v>
          </cell>
          <cell r="N4163" t="str">
            <v>Muhammad Anshori</v>
          </cell>
          <cell r="O4163" t="str">
            <v>Jl. P. Sudirman No.59, RT.003/RW.001 Purwoasri, Wonoasri</v>
          </cell>
          <cell r="P4163" t="str">
            <v>Madiun</v>
          </cell>
          <cell r="Q4163" t="str">
            <v>Jl. P. Sudirman No.69, RT.103/RW.01 Purwoasri, Wonoasri</v>
          </cell>
          <cell r="R4163" t="str">
            <v>Madiun</v>
          </cell>
          <cell r="S4163" t="str">
            <v>D Barat1</v>
          </cell>
          <cell r="T4163" t="str">
            <v>Dian</v>
          </cell>
          <cell r="U4163">
            <v>60</v>
          </cell>
        </row>
        <row r="4164">
          <cell r="E4164" t="str">
            <v>D25016021</v>
          </cell>
          <cell r="F4164"/>
          <cell r="G4164">
            <v>600000000</v>
          </cell>
          <cell r="H4164" t="str">
            <v>Reni</v>
          </cell>
          <cell r="I4164" t="str">
            <v>Farida</v>
          </cell>
          <cell r="J4164"/>
          <cell r="K4164" t="str">
            <v>KU</v>
          </cell>
          <cell r="L4164" t="str">
            <v>KARY05</v>
          </cell>
          <cell r="M4164" t="str">
            <v>Karya Tani/Ana</v>
          </cell>
          <cell r="N4164" t="str">
            <v>Muhammad Anshori</v>
          </cell>
          <cell r="O4164" t="str">
            <v>Jl. P. Sudirman No.59, RT.003/RW.001 Purwoasri, Wonoasri</v>
          </cell>
          <cell r="P4164" t="str">
            <v>Madiun</v>
          </cell>
          <cell r="Q4164" t="str">
            <v>Jl. P. Sudirman No.69, RT.103/RW.01 Purwoasri, Wonoasri</v>
          </cell>
          <cell r="R4164" t="str">
            <v>Madiun</v>
          </cell>
          <cell r="S4164" t="str">
            <v>D Barat1</v>
          </cell>
          <cell r="T4164" t="str">
            <v>Dian</v>
          </cell>
          <cell r="U4164">
            <v>0</v>
          </cell>
        </row>
        <row r="4165">
          <cell r="E4165" t="str">
            <v>B25013933</v>
          </cell>
          <cell r="F4165"/>
          <cell r="G4165">
            <v>600000000</v>
          </cell>
          <cell r="H4165" t="str">
            <v>Reni</v>
          </cell>
          <cell r="I4165" t="str">
            <v>Farida</v>
          </cell>
          <cell r="J4165"/>
          <cell r="K4165" t="str">
            <v>KU</v>
          </cell>
          <cell r="L4165" t="str">
            <v>KARY05</v>
          </cell>
          <cell r="M4165" t="str">
            <v>Karya Tani/Ana</v>
          </cell>
          <cell r="N4165" t="str">
            <v>Muhammad Anshori</v>
          </cell>
          <cell r="O4165" t="str">
            <v>Jl. P. Sudirman No.59, RT.003/RW.001 Purwoasri, Wonoasri</v>
          </cell>
          <cell r="P4165" t="str">
            <v>Madiun</v>
          </cell>
          <cell r="Q4165" t="str">
            <v>Jl. P. Sudirman No.69, RT.103/RW.01 Purwoasri, Wonoasri</v>
          </cell>
          <cell r="R4165" t="str">
            <v>Madiun</v>
          </cell>
          <cell r="S4165" t="str">
            <v>D Barat1</v>
          </cell>
          <cell r="T4165" t="str">
            <v>Dian</v>
          </cell>
          <cell r="U4165">
            <v>60</v>
          </cell>
        </row>
        <row r="4166">
          <cell r="E4166" t="str">
            <v>B25010544</v>
          </cell>
          <cell r="F4166"/>
          <cell r="G4166">
            <v>25000000</v>
          </cell>
          <cell r="H4166" t="str">
            <v>Reni</v>
          </cell>
          <cell r="I4166" t="str">
            <v>Fira</v>
          </cell>
          <cell r="J4166"/>
          <cell r="K4166" t="str">
            <v>Tunai</v>
          </cell>
          <cell r="L4166" t="str">
            <v>KARY07</v>
          </cell>
          <cell r="M4166" t="str">
            <v>Karya Tani/Ari Miru</v>
          </cell>
          <cell r="N4166" t="str">
            <v>Ari hartono, ST</v>
          </cell>
          <cell r="O4166" t="str">
            <v>Miru, RT.013/RW.004, Kel. Miru, Kec. Sekaran</v>
          </cell>
          <cell r="P4166" t="str">
            <v>Lamongan</v>
          </cell>
          <cell r="Q4166" t="str">
            <v>Sekaran</v>
          </cell>
          <cell r="R4166" t="str">
            <v>Lamongan</v>
          </cell>
          <cell r="S4166" t="str">
            <v>F Utara1</v>
          </cell>
          <cell r="T4166" t="str">
            <v>Dian</v>
          </cell>
          <cell r="U4166">
            <v>30</v>
          </cell>
        </row>
        <row r="4167">
          <cell r="E4167" t="str">
            <v>B25010467</v>
          </cell>
          <cell r="F4167"/>
          <cell r="G4167">
            <v>600000000</v>
          </cell>
          <cell r="H4167" t="str">
            <v>Hendra</v>
          </cell>
          <cell r="I4167" t="str">
            <v>Tiya</v>
          </cell>
          <cell r="J4167"/>
          <cell r="K4167" t="str">
            <v>KU</v>
          </cell>
          <cell r="L4167" t="str">
            <v>KARY21</v>
          </cell>
          <cell r="M4167" t="str">
            <v>Karya Tani/Hariman</v>
          </cell>
          <cell r="N4167" t="str">
            <v>Kartan Mitra Utama, CV</v>
          </cell>
          <cell r="O4167" t="str">
            <v>Dsn. Aik Lisung Lombok Timur</v>
          </cell>
          <cell r="P4167" t="str">
            <v>Lombok Timur</v>
          </cell>
          <cell r="Q4167" t="str">
            <v>Dsn. Aik Lisung Lombok Timur</v>
          </cell>
          <cell r="R4167" t="str">
            <v>Lombok Timur</v>
          </cell>
          <cell r="S4167" t="str">
            <v>E Luar Pulau2</v>
          </cell>
          <cell r="T4167" t="str">
            <v>Muhlisin</v>
          </cell>
          <cell r="U4167">
            <v>45</v>
          </cell>
        </row>
        <row r="4168">
          <cell r="E4168" t="str">
            <v>B25010693</v>
          </cell>
          <cell r="F4168"/>
          <cell r="G4168">
            <v>600000000</v>
          </cell>
          <cell r="H4168" t="str">
            <v>Hendra</v>
          </cell>
          <cell r="I4168" t="str">
            <v>Tiya</v>
          </cell>
          <cell r="J4168"/>
          <cell r="K4168" t="str">
            <v>KU</v>
          </cell>
          <cell r="L4168" t="str">
            <v>KARY21</v>
          </cell>
          <cell r="M4168" t="str">
            <v>Karya Tani/Hariman</v>
          </cell>
          <cell r="N4168" t="str">
            <v>Kartan Mitra Utama, CV</v>
          </cell>
          <cell r="O4168" t="str">
            <v>Dsn. Aik Lisung Lombok Timur</v>
          </cell>
          <cell r="P4168" t="str">
            <v>Lombok Timur</v>
          </cell>
          <cell r="Q4168" t="str">
            <v>Dsn. Aik Lisung Lombok Timur</v>
          </cell>
          <cell r="R4168" t="str">
            <v>Lombok Timur</v>
          </cell>
          <cell r="S4168" t="str">
            <v>E Luar Pulau2</v>
          </cell>
          <cell r="T4168" t="str">
            <v>Muhlisin</v>
          </cell>
          <cell r="U4168">
            <v>45</v>
          </cell>
        </row>
        <row r="4169">
          <cell r="E4169" t="str">
            <v>B25010792</v>
          </cell>
          <cell r="F4169"/>
          <cell r="G4169">
            <v>600000000</v>
          </cell>
          <cell r="H4169" t="str">
            <v>Hendra</v>
          </cell>
          <cell r="I4169" t="str">
            <v>Tiya</v>
          </cell>
          <cell r="J4169"/>
          <cell r="K4169" t="str">
            <v>KU</v>
          </cell>
          <cell r="L4169" t="str">
            <v>KARY21</v>
          </cell>
          <cell r="M4169" t="str">
            <v>Karya Tani/Hariman</v>
          </cell>
          <cell r="N4169" t="str">
            <v>Kartan Mitra Utama, CV</v>
          </cell>
          <cell r="O4169" t="str">
            <v>Dsn. Aik Lisung Lombok Timur</v>
          </cell>
          <cell r="P4169" t="str">
            <v>Lombok Timur</v>
          </cell>
          <cell r="Q4169" t="str">
            <v>Dsn. Aik Lisung Lombok Timur</v>
          </cell>
          <cell r="R4169" t="str">
            <v>Lombok Timur</v>
          </cell>
          <cell r="S4169" t="str">
            <v>E Luar Pulau2</v>
          </cell>
          <cell r="T4169" t="str">
            <v>Muhlisin</v>
          </cell>
          <cell r="U4169">
            <v>45</v>
          </cell>
        </row>
        <row r="4170">
          <cell r="E4170" t="str">
            <v>B25011355</v>
          </cell>
          <cell r="F4170"/>
          <cell r="G4170">
            <v>600000000</v>
          </cell>
          <cell r="H4170" t="str">
            <v>Hendra</v>
          </cell>
          <cell r="I4170" t="str">
            <v>Tiya</v>
          </cell>
          <cell r="J4170"/>
          <cell r="K4170" t="str">
            <v>KU</v>
          </cell>
          <cell r="L4170" t="str">
            <v>KARY21</v>
          </cell>
          <cell r="M4170" t="str">
            <v>Karya Tani/Hariman</v>
          </cell>
          <cell r="N4170" t="str">
            <v>Kartan Mitra Utama, CV</v>
          </cell>
          <cell r="O4170" t="str">
            <v>Dsn. Aik Lisung Lombok Timur</v>
          </cell>
          <cell r="P4170" t="str">
            <v>Lombok Timur</v>
          </cell>
          <cell r="Q4170" t="str">
            <v>Dsn. Aik Lisung Lombok Timur</v>
          </cell>
          <cell r="R4170" t="str">
            <v>Lombok Timur</v>
          </cell>
          <cell r="S4170" t="str">
            <v>E Luar Pulau2</v>
          </cell>
          <cell r="T4170" t="str">
            <v>Muhlisin</v>
          </cell>
          <cell r="U4170">
            <v>45</v>
          </cell>
        </row>
        <row r="4171">
          <cell r="E4171" t="str">
            <v>B25012506</v>
          </cell>
          <cell r="F4171"/>
          <cell r="G4171">
            <v>600000000</v>
          </cell>
          <cell r="H4171" t="str">
            <v>Hendra</v>
          </cell>
          <cell r="I4171" t="str">
            <v>Tiya</v>
          </cell>
          <cell r="J4171"/>
          <cell r="K4171" t="str">
            <v>KU</v>
          </cell>
          <cell r="L4171" t="str">
            <v>KARY21</v>
          </cell>
          <cell r="M4171" t="str">
            <v>Karya Tani/Hariman</v>
          </cell>
          <cell r="N4171" t="str">
            <v>Kartan Mitra Utama, CV</v>
          </cell>
          <cell r="O4171" t="str">
            <v>Dsn. Aik Lisung Lombok Timur</v>
          </cell>
          <cell r="P4171" t="str">
            <v>Lombok Timur</v>
          </cell>
          <cell r="Q4171" t="str">
            <v>Dsn. Aik Lisung Lombok Timur</v>
          </cell>
          <cell r="R4171" t="str">
            <v>Lombok Timur</v>
          </cell>
          <cell r="S4171" t="str">
            <v>E Luar Pulau2</v>
          </cell>
          <cell r="T4171" t="str">
            <v>Muhlisin</v>
          </cell>
          <cell r="U4171">
            <v>45</v>
          </cell>
        </row>
        <row r="4172">
          <cell r="E4172" t="str">
            <v>D25015117</v>
          </cell>
          <cell r="F4172"/>
          <cell r="G4172">
            <v>600000000</v>
          </cell>
          <cell r="H4172" t="str">
            <v>Hendra</v>
          </cell>
          <cell r="I4172" t="str">
            <v>Tiya</v>
          </cell>
          <cell r="J4172"/>
          <cell r="K4172" t="str">
            <v>KU</v>
          </cell>
          <cell r="L4172" t="str">
            <v>KARY21</v>
          </cell>
          <cell r="M4172" t="str">
            <v>Karya Tani/Hariman</v>
          </cell>
          <cell r="N4172" t="str">
            <v>Kartan Mitra Utama, CV</v>
          </cell>
          <cell r="O4172" t="str">
            <v>Dsn. Aik Lisung Lombok Timur</v>
          </cell>
          <cell r="P4172" t="str">
            <v>Lombok Timur</v>
          </cell>
          <cell r="Q4172" t="str">
            <v>Dsn. Aik Lisung Lombok Timur</v>
          </cell>
          <cell r="R4172" t="str">
            <v>Lombok Timur</v>
          </cell>
          <cell r="S4172" t="str">
            <v>E Luar Pulau2</v>
          </cell>
          <cell r="T4172" t="str">
            <v>Muhlisin</v>
          </cell>
          <cell r="U4172">
            <v>15</v>
          </cell>
        </row>
        <row r="4173">
          <cell r="E4173" t="str">
            <v>B25013466</v>
          </cell>
          <cell r="F4173"/>
          <cell r="G4173">
            <v>600000000</v>
          </cell>
          <cell r="H4173" t="str">
            <v>Hendra</v>
          </cell>
          <cell r="I4173" t="str">
            <v>Tiya</v>
          </cell>
          <cell r="J4173"/>
          <cell r="K4173" t="str">
            <v>KU</v>
          </cell>
          <cell r="L4173" t="str">
            <v>KARY21</v>
          </cell>
          <cell r="M4173" t="str">
            <v>Karya Tani/Hariman</v>
          </cell>
          <cell r="N4173" t="str">
            <v>Kartan Mitra Utama, CV</v>
          </cell>
          <cell r="O4173" t="str">
            <v>Dsn. Aik Lisung Lombok Timur</v>
          </cell>
          <cell r="P4173" t="str">
            <v>Lombok Timur</v>
          </cell>
          <cell r="Q4173" t="str">
            <v>Dsn. Aik Lisung Lombok Timur</v>
          </cell>
          <cell r="R4173" t="str">
            <v>Lombok Timur</v>
          </cell>
          <cell r="S4173" t="str">
            <v>E Luar Pulau2</v>
          </cell>
          <cell r="T4173" t="str">
            <v>Muhlisin</v>
          </cell>
          <cell r="U4173">
            <v>15</v>
          </cell>
        </row>
        <row r="4174">
          <cell r="E4174" t="str">
            <v>B25013514</v>
          </cell>
          <cell r="F4174"/>
          <cell r="G4174">
            <v>600000000</v>
          </cell>
          <cell r="H4174" t="str">
            <v>Hendra</v>
          </cell>
          <cell r="I4174" t="str">
            <v>Tiya</v>
          </cell>
          <cell r="J4174"/>
          <cell r="K4174" t="str">
            <v>KU</v>
          </cell>
          <cell r="L4174" t="str">
            <v>KARY21</v>
          </cell>
          <cell r="M4174" t="str">
            <v>Karya Tani/Hariman</v>
          </cell>
          <cell r="N4174" t="str">
            <v>Kartan Mitra Utama, CV</v>
          </cell>
          <cell r="O4174" t="str">
            <v>Dsn. Aik Lisung Lombok Timur</v>
          </cell>
          <cell r="P4174" t="str">
            <v>Lombok Timur</v>
          </cell>
          <cell r="Q4174" t="str">
            <v>Dsn. Aik Lisung Lombok Timur</v>
          </cell>
          <cell r="R4174" t="str">
            <v>Lombok Timur</v>
          </cell>
          <cell r="S4174" t="str">
            <v>E Luar Pulau2</v>
          </cell>
          <cell r="T4174" t="str">
            <v>Muhlisin</v>
          </cell>
          <cell r="U4174">
            <v>15</v>
          </cell>
        </row>
        <row r="4175">
          <cell r="E4175" t="str">
            <v>B25013518</v>
          </cell>
          <cell r="F4175"/>
          <cell r="G4175">
            <v>600000000</v>
          </cell>
          <cell r="H4175" t="str">
            <v>Hendra</v>
          </cell>
          <cell r="I4175" t="str">
            <v>Tiya</v>
          </cell>
          <cell r="J4175"/>
          <cell r="K4175" t="str">
            <v>KU</v>
          </cell>
          <cell r="L4175" t="str">
            <v>KARY21</v>
          </cell>
          <cell r="M4175" t="str">
            <v>Karya Tani/Hariman</v>
          </cell>
          <cell r="N4175" t="str">
            <v>Kartan Mitra Utama, CV</v>
          </cell>
          <cell r="O4175" t="str">
            <v>Dsn. Aik Lisung Lombok Timur</v>
          </cell>
          <cell r="P4175" t="str">
            <v>Lombok Timur</v>
          </cell>
          <cell r="Q4175" t="str">
            <v>Dsn. Aik Lisung Lombok Timur</v>
          </cell>
          <cell r="R4175" t="str">
            <v>Lombok Timur</v>
          </cell>
          <cell r="S4175" t="str">
            <v>E Luar Pulau2</v>
          </cell>
          <cell r="T4175" t="str">
            <v>Muhlisin</v>
          </cell>
          <cell r="U4175">
            <v>45</v>
          </cell>
        </row>
        <row r="4176">
          <cell r="E4176" t="str">
            <v>D25015780</v>
          </cell>
          <cell r="F4176"/>
          <cell r="G4176">
            <v>600000000</v>
          </cell>
          <cell r="H4176" t="str">
            <v>Hendra</v>
          </cell>
          <cell r="I4176" t="str">
            <v>Tiya</v>
          </cell>
          <cell r="J4176"/>
          <cell r="K4176" t="str">
            <v>KU</v>
          </cell>
          <cell r="L4176" t="str">
            <v>KARY21</v>
          </cell>
          <cell r="M4176" t="str">
            <v>Karya Tani/Hariman</v>
          </cell>
          <cell r="N4176" t="str">
            <v>Kartan Mitra Utama, CV</v>
          </cell>
          <cell r="O4176" t="str">
            <v>Dsn. Aik Lisung Lombok Timur</v>
          </cell>
          <cell r="P4176" t="str">
            <v>Lombok Timur</v>
          </cell>
          <cell r="Q4176" t="str">
            <v>Dsn. Aik Lisung Lombok Timur</v>
          </cell>
          <cell r="R4176" t="str">
            <v>Lombok Timur</v>
          </cell>
          <cell r="S4176" t="str">
            <v>E Luar Pulau2</v>
          </cell>
          <cell r="T4176" t="str">
            <v>Muhlisin</v>
          </cell>
          <cell r="U4176">
            <v>15</v>
          </cell>
        </row>
        <row r="4177">
          <cell r="E4177" t="str">
            <v>D25016037</v>
          </cell>
          <cell r="F4177"/>
          <cell r="G4177">
            <v>600000000</v>
          </cell>
          <cell r="H4177" t="str">
            <v>Hendra</v>
          </cell>
          <cell r="I4177" t="str">
            <v>Tiya</v>
          </cell>
          <cell r="J4177"/>
          <cell r="K4177" t="str">
            <v>KU</v>
          </cell>
          <cell r="L4177" t="str">
            <v>KARY21</v>
          </cell>
          <cell r="M4177" t="str">
            <v>Karya Tani/Hariman</v>
          </cell>
          <cell r="N4177" t="str">
            <v>Kartan Mitra Utama, CV</v>
          </cell>
          <cell r="O4177" t="str">
            <v>Dsn. Aik Lisung Lombok Timur</v>
          </cell>
          <cell r="P4177" t="str">
            <v>Lombok Timur</v>
          </cell>
          <cell r="Q4177" t="str">
            <v>Dsn. Aik Lisung Lombok Timur</v>
          </cell>
          <cell r="R4177" t="str">
            <v>Lombok Timur</v>
          </cell>
          <cell r="S4177" t="str">
            <v>E Luar Pulau2</v>
          </cell>
          <cell r="T4177" t="str">
            <v>Muhlisin</v>
          </cell>
          <cell r="U4177">
            <v>15</v>
          </cell>
        </row>
        <row r="4178">
          <cell r="E4178" t="str">
            <v>D25013169</v>
          </cell>
          <cell r="F4178"/>
          <cell r="G4178">
            <v>200000000</v>
          </cell>
          <cell r="H4178" t="str">
            <v>Zakia</v>
          </cell>
          <cell r="I4178" t="str">
            <v>Tiya</v>
          </cell>
          <cell r="J4178" t="str">
            <v>New 30/08/23</v>
          </cell>
          <cell r="K4178" t="str">
            <v>KU</v>
          </cell>
          <cell r="L4178" t="str">
            <v>KASI03</v>
          </cell>
          <cell r="M4178" t="str">
            <v>Kasih Tani/ I Nengah Lardiasa</v>
          </cell>
          <cell r="N4178" t="str">
            <v>I Nengah Lardiasa</v>
          </cell>
          <cell r="O4178" t="str">
            <v>BR. Soekardadi RT.000/RW.000, Kel. Sekardadi, Kec. Kintamani, Bangli</v>
          </cell>
          <cell r="P4178" t="str">
            <v>Bali</v>
          </cell>
          <cell r="Q4178" t="str">
            <v>Jl. Raya Sekardadi</v>
          </cell>
          <cell r="R4178" t="str">
            <v>Bali</v>
          </cell>
          <cell r="S4178" t="str">
            <v>S Bali1</v>
          </cell>
          <cell r="T4178" t="str">
            <v>Wira</v>
          </cell>
          <cell r="U4178">
            <v>30</v>
          </cell>
        </row>
        <row r="4179">
          <cell r="E4179" t="str">
            <v>D25013183</v>
          </cell>
          <cell r="F4179"/>
          <cell r="G4179">
            <v>200000000</v>
          </cell>
          <cell r="H4179" t="str">
            <v>Zakia</v>
          </cell>
          <cell r="I4179" t="str">
            <v>Tiya</v>
          </cell>
          <cell r="J4179" t="str">
            <v>New 30/08/23</v>
          </cell>
          <cell r="K4179" t="str">
            <v>KU</v>
          </cell>
          <cell r="L4179" t="str">
            <v>KASI03</v>
          </cell>
          <cell r="M4179" t="str">
            <v>Kasih Tani/ I Nengah Lardiasa</v>
          </cell>
          <cell r="N4179" t="str">
            <v>I Nengah Lardiasa</v>
          </cell>
          <cell r="O4179" t="str">
            <v>BR. Soekardadi RT.000/RW.000, Kel. Sekardadi, Kec. Kintamani, Bangli</v>
          </cell>
          <cell r="P4179" t="str">
            <v>Bali</v>
          </cell>
          <cell r="Q4179" t="str">
            <v>Jl. Raya Sekardadi</v>
          </cell>
          <cell r="R4179" t="str">
            <v>Bali</v>
          </cell>
          <cell r="S4179" t="str">
            <v>S Bali1</v>
          </cell>
          <cell r="T4179" t="str">
            <v>Wira</v>
          </cell>
          <cell r="U4179">
            <v>30</v>
          </cell>
        </row>
        <row r="4180">
          <cell r="E4180" t="str">
            <v>D25014241</v>
          </cell>
          <cell r="F4180"/>
          <cell r="G4180">
            <v>200000000</v>
          </cell>
          <cell r="H4180" t="str">
            <v>Zakia</v>
          </cell>
          <cell r="I4180" t="str">
            <v>Tiya</v>
          </cell>
          <cell r="J4180" t="str">
            <v>New 30/08/23</v>
          </cell>
          <cell r="K4180" t="str">
            <v>KU</v>
          </cell>
          <cell r="L4180" t="str">
            <v>KASI03</v>
          </cell>
          <cell r="M4180" t="str">
            <v>Kasih Tani/ I Nengah Lardiasa</v>
          </cell>
          <cell r="N4180" t="str">
            <v>I Nengah Lardiasa</v>
          </cell>
          <cell r="O4180" t="str">
            <v>BR. Soekardadi RT.000/RW.000, Kel. Sekardadi, Kec. Kintamani, Bangli</v>
          </cell>
          <cell r="P4180" t="str">
            <v>Bali</v>
          </cell>
          <cell r="Q4180" t="str">
            <v>Jl. Raya Sekardadi</v>
          </cell>
          <cell r="R4180" t="str">
            <v>Bali</v>
          </cell>
          <cell r="S4180" t="str">
            <v>S Bali1</v>
          </cell>
          <cell r="T4180" t="str">
            <v>Wira</v>
          </cell>
          <cell r="U4180">
            <v>30</v>
          </cell>
        </row>
        <row r="4181">
          <cell r="E4181" t="str">
            <v>B25012078</v>
          </cell>
          <cell r="F4181"/>
          <cell r="G4181">
            <v>200000000</v>
          </cell>
          <cell r="H4181" t="str">
            <v>Zakia</v>
          </cell>
          <cell r="I4181" t="str">
            <v>Tiya</v>
          </cell>
          <cell r="J4181" t="str">
            <v>New 30/08/23</v>
          </cell>
          <cell r="K4181" t="str">
            <v>KU</v>
          </cell>
          <cell r="L4181" t="str">
            <v>KASI03</v>
          </cell>
          <cell r="M4181" t="str">
            <v>Kasih Tani/ I Nengah Lardiasa</v>
          </cell>
          <cell r="N4181" t="str">
            <v>I Nengah Lardiasa</v>
          </cell>
          <cell r="O4181" t="str">
            <v>BR. Soekardadi RT.000/RW.000, Kel. Sekardadi, Kec. Kintamani, Bangli</v>
          </cell>
          <cell r="P4181" t="str">
            <v>Bali</v>
          </cell>
          <cell r="Q4181" t="str">
            <v>Jl. Raya Sekardadi</v>
          </cell>
          <cell r="R4181" t="str">
            <v>Bali</v>
          </cell>
          <cell r="S4181" t="str">
            <v>S Bali1</v>
          </cell>
          <cell r="T4181" t="str">
            <v>Wira</v>
          </cell>
          <cell r="U4181">
            <v>30</v>
          </cell>
        </row>
        <row r="4182">
          <cell r="E4182" t="str">
            <v>D25014545</v>
          </cell>
          <cell r="F4182"/>
          <cell r="G4182">
            <v>200000000</v>
          </cell>
          <cell r="H4182" t="str">
            <v>Zakia</v>
          </cell>
          <cell r="I4182" t="str">
            <v>Tiya</v>
          </cell>
          <cell r="J4182" t="str">
            <v>New 30/08/23</v>
          </cell>
          <cell r="K4182" t="str">
            <v>KU</v>
          </cell>
          <cell r="L4182" t="str">
            <v>KASI03</v>
          </cell>
          <cell r="M4182" t="str">
            <v>Kasih Tani/ I Nengah Lardiasa</v>
          </cell>
          <cell r="N4182" t="str">
            <v>I Nengah Lardiasa</v>
          </cell>
          <cell r="O4182" t="str">
            <v>BR. Soekardadi RT.000/RW.000, Kel. Sekardadi, Kec. Kintamani, Bangli</v>
          </cell>
          <cell r="P4182" t="str">
            <v>Bali</v>
          </cell>
          <cell r="Q4182" t="str">
            <v>Jl. Raya Sekardadi</v>
          </cell>
          <cell r="R4182" t="str">
            <v>Bali</v>
          </cell>
          <cell r="S4182" t="str">
            <v>S Bali1</v>
          </cell>
          <cell r="T4182" t="str">
            <v>Wira</v>
          </cell>
          <cell r="U4182">
            <v>30</v>
          </cell>
        </row>
        <row r="4183">
          <cell r="E4183" t="str">
            <v>D25016047</v>
          </cell>
          <cell r="F4183"/>
          <cell r="G4183">
            <v>200000000</v>
          </cell>
          <cell r="H4183" t="str">
            <v>Zakia</v>
          </cell>
          <cell r="I4183" t="str">
            <v>Tiya</v>
          </cell>
          <cell r="J4183" t="str">
            <v>New 30/08/23</v>
          </cell>
          <cell r="K4183" t="str">
            <v>KU</v>
          </cell>
          <cell r="L4183" t="str">
            <v>KASI03</v>
          </cell>
          <cell r="M4183" t="str">
            <v>Kasih Tani/ I Nengah Lardiasa</v>
          </cell>
          <cell r="N4183" t="str">
            <v>I Nengah Lardiasa</v>
          </cell>
          <cell r="O4183" t="str">
            <v>BR. Soekardadi RT.000/RW.000, Kel. Sekardadi, Kec. Kintamani, Bangli</v>
          </cell>
          <cell r="P4183" t="str">
            <v>Bali</v>
          </cell>
          <cell r="Q4183" t="str">
            <v>Jl. Raya Sekardadi</v>
          </cell>
          <cell r="R4183" t="str">
            <v>Bali</v>
          </cell>
          <cell r="S4183" t="str">
            <v>S Bali1</v>
          </cell>
          <cell r="T4183" t="str">
            <v>Wira</v>
          </cell>
          <cell r="U4183">
            <v>30</v>
          </cell>
        </row>
        <row r="4184">
          <cell r="E4184" t="str">
            <v>B25011678</v>
          </cell>
          <cell r="F4184"/>
          <cell r="G4184">
            <v>100000000</v>
          </cell>
          <cell r="H4184" t="str">
            <v>Ariyani</v>
          </cell>
          <cell r="I4184" t="str">
            <v>Fira</v>
          </cell>
          <cell r="J4184"/>
          <cell r="K4184" t="str">
            <v>KU, Tunai</v>
          </cell>
          <cell r="L4184" t="str">
            <v>KAWA08</v>
          </cell>
          <cell r="M4184" t="str">
            <v>Kawan Tani/Bahrul, H</v>
          </cell>
          <cell r="N4184" t="str">
            <v>Bahrul, H</v>
          </cell>
          <cell r="O4184" t="str">
            <v>Sumber Anyar, RT.04/RW.02 Kec. Rowokangkung</v>
          </cell>
          <cell r="P4184" t="str">
            <v>Lumajang</v>
          </cell>
          <cell r="Q4184" t="str">
            <v>Sumber Anyar, RT.04/RW.02 Kec. Rowokangkung</v>
          </cell>
          <cell r="R4184" t="str">
            <v>Lumajang</v>
          </cell>
          <cell r="S4184" t="str">
            <v>C Lumajang</v>
          </cell>
          <cell r="T4184" t="str">
            <v>Wira</v>
          </cell>
          <cell r="U4184">
            <v>30</v>
          </cell>
        </row>
        <row r="4185">
          <cell r="E4185" t="str">
            <v>B25011679</v>
          </cell>
          <cell r="F4185"/>
          <cell r="G4185">
            <v>100000000</v>
          </cell>
          <cell r="H4185" t="str">
            <v>Ariyani</v>
          </cell>
          <cell r="I4185" t="str">
            <v>Fira</v>
          </cell>
          <cell r="J4185"/>
          <cell r="K4185" t="str">
            <v>KU, Tunai</v>
          </cell>
          <cell r="L4185" t="str">
            <v>KAWA08</v>
          </cell>
          <cell r="M4185" t="str">
            <v>Kawan Tani/Bahrul, H</v>
          </cell>
          <cell r="N4185" t="str">
            <v>Bahrul, H</v>
          </cell>
          <cell r="O4185" t="str">
            <v>Sumber Anyar, RT.04/RW.02 Kec. Rowokangkung</v>
          </cell>
          <cell r="P4185" t="str">
            <v>Lumajang</v>
          </cell>
          <cell r="Q4185" t="str">
            <v>Sumber Anyar, RT.04/RW.02 Kec. Rowokangkung</v>
          </cell>
          <cell r="R4185" t="str">
            <v>Lumajang</v>
          </cell>
          <cell r="S4185" t="str">
            <v>C Lumajang</v>
          </cell>
          <cell r="T4185" t="str">
            <v>Wira</v>
          </cell>
          <cell r="U4185">
            <v>30</v>
          </cell>
        </row>
        <row r="4186">
          <cell r="E4186" t="str">
            <v>B25011830</v>
          </cell>
          <cell r="F4186"/>
          <cell r="G4186">
            <v>100000000</v>
          </cell>
          <cell r="H4186" t="str">
            <v>Ariyani</v>
          </cell>
          <cell r="I4186" t="str">
            <v>Fira</v>
          </cell>
          <cell r="J4186"/>
          <cell r="K4186" t="str">
            <v>KU, Tunai</v>
          </cell>
          <cell r="L4186" t="str">
            <v>KAWA08</v>
          </cell>
          <cell r="M4186" t="str">
            <v>Kawan Tani/Bahrul, H</v>
          </cell>
          <cell r="N4186" t="str">
            <v>Bahrul, H</v>
          </cell>
          <cell r="O4186" t="str">
            <v>Sumber Anyar, RT.04/RW.02 Kec. Rowokangkung</v>
          </cell>
          <cell r="P4186" t="str">
            <v>Lumajang</v>
          </cell>
          <cell r="Q4186" t="str">
            <v>Sumber Anyar, RT.04/RW.02 Kec. Rowokangkung</v>
          </cell>
          <cell r="R4186" t="str">
            <v>Lumajang</v>
          </cell>
          <cell r="S4186" t="str">
            <v>C Lumajang</v>
          </cell>
          <cell r="T4186" t="str">
            <v>Wira</v>
          </cell>
          <cell r="U4186">
            <v>30</v>
          </cell>
        </row>
        <row r="4187">
          <cell r="E4187" t="str">
            <v>D25015536</v>
          </cell>
          <cell r="F4187"/>
          <cell r="G4187">
            <v>100000000</v>
          </cell>
          <cell r="H4187" t="str">
            <v>Ariyani</v>
          </cell>
          <cell r="I4187" t="str">
            <v>Fira</v>
          </cell>
          <cell r="J4187"/>
          <cell r="K4187" t="str">
            <v>KU, Tunai</v>
          </cell>
          <cell r="L4187" t="str">
            <v>KAWA08</v>
          </cell>
          <cell r="M4187" t="str">
            <v>Kawan Tani/Bahrul, H</v>
          </cell>
          <cell r="N4187" t="str">
            <v>Bahrul, H</v>
          </cell>
          <cell r="O4187" t="str">
            <v>Sumber Anyar, RT.04/RW.02 Kec. Rowokangkung</v>
          </cell>
          <cell r="P4187" t="str">
            <v>Lumajang</v>
          </cell>
          <cell r="Q4187" t="str">
            <v>Sumber Anyar, RT.04/RW.02 Kec. Rowokangkung</v>
          </cell>
          <cell r="R4187" t="str">
            <v>Lumajang</v>
          </cell>
          <cell r="S4187" t="str">
            <v>C Lumajang</v>
          </cell>
          <cell r="T4187" t="str">
            <v>Wira</v>
          </cell>
          <cell r="U4187">
            <v>60</v>
          </cell>
        </row>
        <row r="4188">
          <cell r="E4188" t="str">
            <v>D25009996</v>
          </cell>
          <cell r="F4188"/>
          <cell r="G4188">
            <v>250000000</v>
          </cell>
          <cell r="H4188" t="str">
            <v>Zakia</v>
          </cell>
          <cell r="I4188" t="str">
            <v>Tiya</v>
          </cell>
          <cell r="J4188"/>
          <cell r="K4188" t="str">
            <v>KU</v>
          </cell>
          <cell r="L4188" t="str">
            <v>KAWA05</v>
          </cell>
          <cell r="M4188" t="str">
            <v>Kawan Tani/Fathor</v>
          </cell>
          <cell r="N4188" t="str">
            <v>Fathor Rahiem</v>
          </cell>
          <cell r="O4188" t="str">
            <v>Raya Kalis</v>
          </cell>
          <cell r="P4188" t="str">
            <v>Pamekasan</v>
          </cell>
          <cell r="Q4188" t="str">
            <v>Raya Kalis</v>
          </cell>
          <cell r="R4188" t="str">
            <v>Pamekasan</v>
          </cell>
          <cell r="S4188" t="str">
            <v>M Madura</v>
          </cell>
          <cell r="T4188" t="str">
            <v>Tomi</v>
          </cell>
          <cell r="U4188">
            <v>30</v>
          </cell>
        </row>
        <row r="4189">
          <cell r="E4189" t="str">
            <v>D25009996</v>
          </cell>
          <cell r="F4189"/>
          <cell r="G4189">
            <v>250000000</v>
          </cell>
          <cell r="H4189" t="str">
            <v>Zakia</v>
          </cell>
          <cell r="I4189" t="str">
            <v>Tiya</v>
          </cell>
          <cell r="J4189"/>
          <cell r="K4189" t="str">
            <v>KU</v>
          </cell>
          <cell r="L4189" t="str">
            <v>KAWA05</v>
          </cell>
          <cell r="M4189" t="str">
            <v>Kawan Tani/Fathor</v>
          </cell>
          <cell r="N4189" t="str">
            <v>Fathor Rahiem</v>
          </cell>
          <cell r="O4189" t="str">
            <v>Raya Kalis</v>
          </cell>
          <cell r="P4189" t="str">
            <v>Pamekasan</v>
          </cell>
          <cell r="Q4189" t="str">
            <v>Raya Kalis</v>
          </cell>
          <cell r="R4189" t="str">
            <v>Pamekasan</v>
          </cell>
          <cell r="S4189" t="str">
            <v>M Madura</v>
          </cell>
          <cell r="T4189" t="str">
            <v>Tomi</v>
          </cell>
          <cell r="U4189">
            <v>30</v>
          </cell>
        </row>
        <row r="4190">
          <cell r="E4190" t="str">
            <v>D25009996</v>
          </cell>
          <cell r="F4190"/>
          <cell r="G4190">
            <v>250000000</v>
          </cell>
          <cell r="H4190" t="str">
            <v>Zakia</v>
          </cell>
          <cell r="I4190" t="str">
            <v>Tiya</v>
          </cell>
          <cell r="J4190"/>
          <cell r="K4190" t="str">
            <v>KU</v>
          </cell>
          <cell r="L4190" t="str">
            <v>KAWA05</v>
          </cell>
          <cell r="M4190" t="str">
            <v>Kawan Tani/Fathor</v>
          </cell>
          <cell r="N4190" t="str">
            <v>Fathor Rahiem</v>
          </cell>
          <cell r="O4190" t="str">
            <v>Raya Kalis</v>
          </cell>
          <cell r="P4190" t="str">
            <v>Pamekasan</v>
          </cell>
          <cell r="Q4190" t="str">
            <v>Raya Kalis</v>
          </cell>
          <cell r="R4190" t="str">
            <v>Pamekasan</v>
          </cell>
          <cell r="S4190" t="str">
            <v>M Madura</v>
          </cell>
          <cell r="T4190" t="str">
            <v>Tomi</v>
          </cell>
          <cell r="U4190">
            <v>30</v>
          </cell>
        </row>
        <row r="4191">
          <cell r="E4191" t="str">
            <v>D25009996</v>
          </cell>
          <cell r="F4191"/>
          <cell r="G4191">
            <v>250000000</v>
          </cell>
          <cell r="H4191" t="str">
            <v>Zakia</v>
          </cell>
          <cell r="I4191" t="str">
            <v>Tiya</v>
          </cell>
          <cell r="J4191"/>
          <cell r="K4191" t="str">
            <v>KU</v>
          </cell>
          <cell r="L4191" t="str">
            <v>KAWA05</v>
          </cell>
          <cell r="M4191" t="str">
            <v>Kawan Tani/Fathor</v>
          </cell>
          <cell r="N4191" t="str">
            <v>Fathor Rahiem</v>
          </cell>
          <cell r="O4191" t="str">
            <v>Raya Kalis</v>
          </cell>
          <cell r="P4191" t="str">
            <v>Pamekasan</v>
          </cell>
          <cell r="Q4191" t="str">
            <v>Raya Kalis</v>
          </cell>
          <cell r="R4191" t="str">
            <v>Pamekasan</v>
          </cell>
          <cell r="S4191" t="str">
            <v>M Madura</v>
          </cell>
          <cell r="T4191" t="str">
            <v>Tomi</v>
          </cell>
          <cell r="U4191">
            <v>30</v>
          </cell>
        </row>
        <row r="4192">
          <cell r="E4192" t="str">
            <v>D25009996</v>
          </cell>
          <cell r="F4192"/>
          <cell r="G4192">
            <v>250000000</v>
          </cell>
          <cell r="H4192" t="str">
            <v>Zakia</v>
          </cell>
          <cell r="I4192" t="str">
            <v>Tiya</v>
          </cell>
          <cell r="J4192"/>
          <cell r="K4192" t="str">
            <v>KU</v>
          </cell>
          <cell r="L4192" t="str">
            <v>KAWA05</v>
          </cell>
          <cell r="M4192" t="str">
            <v>Kawan Tani/Fathor</v>
          </cell>
          <cell r="N4192" t="str">
            <v>Fathor Rahiem</v>
          </cell>
          <cell r="O4192" t="str">
            <v>Raya Kalis</v>
          </cell>
          <cell r="P4192" t="str">
            <v>Pamekasan</v>
          </cell>
          <cell r="Q4192" t="str">
            <v>Raya Kalis</v>
          </cell>
          <cell r="R4192" t="str">
            <v>Pamekasan</v>
          </cell>
          <cell r="S4192" t="str">
            <v>M Madura</v>
          </cell>
          <cell r="T4192" t="str">
            <v>Tomi</v>
          </cell>
          <cell r="U4192">
            <v>30</v>
          </cell>
        </row>
        <row r="4193">
          <cell r="E4193" t="str">
            <v>D25009996</v>
          </cell>
          <cell r="F4193"/>
          <cell r="G4193">
            <v>250000000</v>
          </cell>
          <cell r="H4193" t="str">
            <v>Zakia</v>
          </cell>
          <cell r="I4193" t="str">
            <v>Tiya</v>
          </cell>
          <cell r="J4193"/>
          <cell r="K4193" t="str">
            <v>KU</v>
          </cell>
          <cell r="L4193" t="str">
            <v>KAWA05</v>
          </cell>
          <cell r="M4193" t="str">
            <v>Kawan Tani/Fathor</v>
          </cell>
          <cell r="N4193" t="str">
            <v>Fathor Rahiem</v>
          </cell>
          <cell r="O4193" t="str">
            <v>Raya Kalis</v>
          </cell>
          <cell r="P4193" t="str">
            <v>Pamekasan</v>
          </cell>
          <cell r="Q4193" t="str">
            <v>Raya Kalis</v>
          </cell>
          <cell r="R4193" t="str">
            <v>Pamekasan</v>
          </cell>
          <cell r="S4193" t="str">
            <v>M Madura</v>
          </cell>
          <cell r="T4193" t="str">
            <v>Tomi</v>
          </cell>
          <cell r="U4193">
            <v>30</v>
          </cell>
        </row>
        <row r="4194">
          <cell r="E4194" t="str">
            <v>D25010021</v>
          </cell>
          <cell r="F4194"/>
          <cell r="G4194">
            <v>250000000</v>
          </cell>
          <cell r="H4194" t="str">
            <v>Zakia</v>
          </cell>
          <cell r="I4194" t="str">
            <v>Tiya</v>
          </cell>
          <cell r="J4194"/>
          <cell r="K4194" t="str">
            <v>KU</v>
          </cell>
          <cell r="L4194" t="str">
            <v>KAWA05</v>
          </cell>
          <cell r="M4194" t="str">
            <v>Kawan Tani/Fathor</v>
          </cell>
          <cell r="N4194" t="str">
            <v>Fathor Rahiem</v>
          </cell>
          <cell r="O4194" t="str">
            <v>Raya Kalis</v>
          </cell>
          <cell r="P4194" t="str">
            <v>Pamekasan</v>
          </cell>
          <cell r="Q4194" t="str">
            <v>Raya Kalis</v>
          </cell>
          <cell r="R4194" t="str">
            <v>Pamekasan</v>
          </cell>
          <cell r="S4194" t="str">
            <v>M Madura</v>
          </cell>
          <cell r="T4194" t="str">
            <v>Tomi</v>
          </cell>
          <cell r="U4194">
            <v>30</v>
          </cell>
        </row>
        <row r="4195">
          <cell r="E4195" t="str">
            <v>D25010072</v>
          </cell>
          <cell r="F4195"/>
          <cell r="G4195">
            <v>250000000</v>
          </cell>
          <cell r="H4195" t="str">
            <v>Zakia</v>
          </cell>
          <cell r="I4195" t="str">
            <v>Tiya</v>
          </cell>
          <cell r="J4195"/>
          <cell r="K4195" t="str">
            <v>KU</v>
          </cell>
          <cell r="L4195" t="str">
            <v>KAWA05</v>
          </cell>
          <cell r="M4195" t="str">
            <v>Kawan Tani/Fathor</v>
          </cell>
          <cell r="N4195" t="str">
            <v>Fathor Rahiem</v>
          </cell>
          <cell r="O4195" t="str">
            <v>Raya Kalis</v>
          </cell>
          <cell r="P4195" t="str">
            <v>Pamekasan</v>
          </cell>
          <cell r="Q4195" t="str">
            <v>Raya Kalis</v>
          </cell>
          <cell r="R4195" t="str">
            <v>Pamekasan</v>
          </cell>
          <cell r="S4195" t="str">
            <v>M Madura</v>
          </cell>
          <cell r="T4195" t="str">
            <v>Tomi</v>
          </cell>
          <cell r="U4195">
            <v>30</v>
          </cell>
        </row>
        <row r="4196">
          <cell r="E4196" t="str">
            <v>D25011223</v>
          </cell>
          <cell r="F4196"/>
          <cell r="G4196">
            <v>250000000</v>
          </cell>
          <cell r="H4196" t="str">
            <v>Zakia</v>
          </cell>
          <cell r="I4196" t="str">
            <v>Tiya</v>
          </cell>
          <cell r="J4196"/>
          <cell r="K4196" t="str">
            <v>KU</v>
          </cell>
          <cell r="L4196" t="str">
            <v>KAWA05</v>
          </cell>
          <cell r="M4196" t="str">
            <v>Kawan Tani/Fathor</v>
          </cell>
          <cell r="N4196" t="str">
            <v>Fathor Rahiem</v>
          </cell>
          <cell r="O4196" t="str">
            <v>Raya Kalis</v>
          </cell>
          <cell r="P4196" t="str">
            <v>Pamekasan</v>
          </cell>
          <cell r="Q4196" t="str">
            <v>Raya Kalis</v>
          </cell>
          <cell r="R4196" t="str">
            <v>Pamekasan</v>
          </cell>
          <cell r="S4196" t="str">
            <v>M Madura</v>
          </cell>
          <cell r="T4196" t="str">
            <v>Tomi</v>
          </cell>
          <cell r="U4196">
            <v>30</v>
          </cell>
        </row>
        <row r="4197">
          <cell r="E4197" t="str">
            <v>B25009428</v>
          </cell>
          <cell r="F4197"/>
          <cell r="G4197">
            <v>250000000</v>
          </cell>
          <cell r="H4197" t="str">
            <v>Zakia</v>
          </cell>
          <cell r="I4197" t="str">
            <v>Tiya</v>
          </cell>
          <cell r="J4197"/>
          <cell r="K4197" t="str">
            <v>KU</v>
          </cell>
          <cell r="L4197" t="str">
            <v>KAWA05</v>
          </cell>
          <cell r="M4197" t="str">
            <v>Kawan Tani/Fathor</v>
          </cell>
          <cell r="N4197" t="str">
            <v>Fathor Rahiem</v>
          </cell>
          <cell r="O4197" t="str">
            <v>Raya Kalis</v>
          </cell>
          <cell r="P4197" t="str">
            <v>Pamekasan</v>
          </cell>
          <cell r="Q4197" t="str">
            <v>Raya Kalis</v>
          </cell>
          <cell r="R4197" t="str">
            <v>Pamekasan</v>
          </cell>
          <cell r="S4197" t="str">
            <v>M Madura</v>
          </cell>
          <cell r="T4197" t="str">
            <v>Tomi</v>
          </cell>
          <cell r="U4197">
            <v>30</v>
          </cell>
        </row>
        <row r="4198">
          <cell r="E4198" t="str">
            <v>D25011326</v>
          </cell>
          <cell r="F4198"/>
          <cell r="G4198">
            <v>250000000</v>
          </cell>
          <cell r="H4198" t="str">
            <v>Zakia</v>
          </cell>
          <cell r="I4198" t="str">
            <v>Tiya</v>
          </cell>
          <cell r="J4198"/>
          <cell r="K4198" t="str">
            <v>KU</v>
          </cell>
          <cell r="L4198" t="str">
            <v>KAWA05</v>
          </cell>
          <cell r="M4198" t="str">
            <v>Kawan Tani/Fathor</v>
          </cell>
          <cell r="N4198" t="str">
            <v>Fathor Rahiem</v>
          </cell>
          <cell r="O4198" t="str">
            <v>Raya Kalis</v>
          </cell>
          <cell r="P4198" t="str">
            <v>Pamekasan</v>
          </cell>
          <cell r="Q4198" t="str">
            <v>Raya Kalis</v>
          </cell>
          <cell r="R4198" t="str">
            <v>Pamekasan</v>
          </cell>
          <cell r="S4198" t="str">
            <v>M Madura</v>
          </cell>
          <cell r="T4198" t="str">
            <v>Tomi</v>
          </cell>
          <cell r="U4198">
            <v>30</v>
          </cell>
        </row>
        <row r="4199">
          <cell r="E4199" t="str">
            <v>B25009687</v>
          </cell>
          <cell r="F4199"/>
          <cell r="G4199">
            <v>250000000</v>
          </cell>
          <cell r="H4199" t="str">
            <v>Zakia</v>
          </cell>
          <cell r="I4199" t="str">
            <v>Tiya</v>
          </cell>
          <cell r="J4199"/>
          <cell r="K4199" t="str">
            <v>KU</v>
          </cell>
          <cell r="L4199" t="str">
            <v>KAWA05</v>
          </cell>
          <cell r="M4199" t="str">
            <v>Kawan Tani/Fathor</v>
          </cell>
          <cell r="N4199" t="str">
            <v>Fathor Rahiem</v>
          </cell>
          <cell r="O4199" t="str">
            <v>Raya Kalis</v>
          </cell>
          <cell r="P4199" t="str">
            <v>Pamekasan</v>
          </cell>
          <cell r="Q4199" t="str">
            <v>Raya Kalis</v>
          </cell>
          <cell r="R4199" t="str">
            <v>Pamekasan</v>
          </cell>
          <cell r="S4199" t="str">
            <v>M Madura</v>
          </cell>
          <cell r="T4199" t="str">
            <v>Tomi</v>
          </cell>
          <cell r="U4199">
            <v>30</v>
          </cell>
        </row>
        <row r="4200">
          <cell r="E4200" t="str">
            <v>D25011744</v>
          </cell>
          <cell r="F4200"/>
          <cell r="G4200">
            <v>250000000</v>
          </cell>
          <cell r="H4200" t="str">
            <v>Zakia</v>
          </cell>
          <cell r="I4200" t="str">
            <v>Tiya</v>
          </cell>
          <cell r="J4200"/>
          <cell r="K4200" t="str">
            <v>KU</v>
          </cell>
          <cell r="L4200" t="str">
            <v>KAWA05</v>
          </cell>
          <cell r="M4200" t="str">
            <v>Kawan Tani/Fathor</v>
          </cell>
          <cell r="N4200" t="str">
            <v>Fathor Rahiem</v>
          </cell>
          <cell r="O4200" t="str">
            <v>Raya Kalis</v>
          </cell>
          <cell r="P4200" t="str">
            <v>Pamekasan</v>
          </cell>
          <cell r="Q4200" t="str">
            <v>Raya Kalis</v>
          </cell>
          <cell r="R4200" t="str">
            <v>Pamekasan</v>
          </cell>
          <cell r="S4200" t="str">
            <v>M Madura</v>
          </cell>
          <cell r="T4200" t="str">
            <v>Tomi</v>
          </cell>
          <cell r="U4200">
            <v>30</v>
          </cell>
        </row>
        <row r="4201">
          <cell r="E4201" t="str">
            <v>B25010132</v>
          </cell>
          <cell r="F4201"/>
          <cell r="G4201">
            <v>250000000</v>
          </cell>
          <cell r="H4201" t="str">
            <v>Zakia</v>
          </cell>
          <cell r="I4201" t="str">
            <v>Tiya</v>
          </cell>
          <cell r="J4201"/>
          <cell r="K4201" t="str">
            <v>KU</v>
          </cell>
          <cell r="L4201" t="str">
            <v>KAWA05</v>
          </cell>
          <cell r="M4201" t="str">
            <v>Kawan Tani/Fathor</v>
          </cell>
          <cell r="N4201" t="str">
            <v>Fathor Rahiem</v>
          </cell>
          <cell r="O4201" t="str">
            <v>Raya Kalis</v>
          </cell>
          <cell r="P4201" t="str">
            <v>Pamekasan</v>
          </cell>
          <cell r="Q4201" t="str">
            <v>Raya Kalis</v>
          </cell>
          <cell r="R4201" t="str">
            <v>Pamekasan</v>
          </cell>
          <cell r="S4201" t="str">
            <v>M Madura</v>
          </cell>
          <cell r="T4201" t="str">
            <v>Tomi</v>
          </cell>
          <cell r="U4201">
            <v>30</v>
          </cell>
        </row>
        <row r="4202">
          <cell r="E4202" t="str">
            <v>D25013552</v>
          </cell>
          <cell r="F4202"/>
          <cell r="G4202">
            <v>250000000</v>
          </cell>
          <cell r="H4202" t="str">
            <v>Zakia</v>
          </cell>
          <cell r="I4202" t="str">
            <v>Tiya</v>
          </cell>
          <cell r="J4202"/>
          <cell r="K4202" t="str">
            <v>KU</v>
          </cell>
          <cell r="L4202" t="str">
            <v>KAWA05</v>
          </cell>
          <cell r="M4202" t="str">
            <v>Kawan Tani/Fathor</v>
          </cell>
          <cell r="N4202" t="str">
            <v>Fathor Rahiem</v>
          </cell>
          <cell r="O4202" t="str">
            <v>Raya Kalis</v>
          </cell>
          <cell r="P4202" t="str">
            <v>Pamekasan</v>
          </cell>
          <cell r="Q4202" t="str">
            <v>Raya Kalis</v>
          </cell>
          <cell r="R4202" t="str">
            <v>Pamekasan</v>
          </cell>
          <cell r="S4202" t="str">
            <v>M Madura</v>
          </cell>
          <cell r="T4202" t="str">
            <v>Tomi</v>
          </cell>
          <cell r="U4202">
            <v>30</v>
          </cell>
        </row>
        <row r="4203">
          <cell r="E4203" t="str">
            <v>B25011884</v>
          </cell>
          <cell r="F4203"/>
          <cell r="G4203">
            <v>250000000</v>
          </cell>
          <cell r="H4203" t="str">
            <v>Zakia</v>
          </cell>
          <cell r="I4203" t="str">
            <v>Tiya</v>
          </cell>
          <cell r="J4203"/>
          <cell r="K4203" t="str">
            <v>KU</v>
          </cell>
          <cell r="L4203" t="str">
            <v>KAWA05</v>
          </cell>
          <cell r="M4203" t="str">
            <v>Kawan Tani/Fathor</v>
          </cell>
          <cell r="N4203" t="str">
            <v>Fathor Rahiem</v>
          </cell>
          <cell r="O4203" t="str">
            <v>Raya Kalis</v>
          </cell>
          <cell r="P4203" t="str">
            <v>Pamekasan</v>
          </cell>
          <cell r="Q4203" t="str">
            <v>Raya Kalis</v>
          </cell>
          <cell r="R4203" t="str">
            <v>Pamekasan</v>
          </cell>
          <cell r="S4203" t="str">
            <v>M Madura</v>
          </cell>
          <cell r="T4203" t="str">
            <v>Tomi</v>
          </cell>
          <cell r="U4203">
            <v>30</v>
          </cell>
        </row>
        <row r="4204">
          <cell r="E4204" t="str">
            <v>B25012054</v>
          </cell>
          <cell r="F4204"/>
          <cell r="G4204">
            <v>250000000</v>
          </cell>
          <cell r="H4204" t="str">
            <v>Zakia</v>
          </cell>
          <cell r="I4204" t="str">
            <v>Tiya</v>
          </cell>
          <cell r="J4204"/>
          <cell r="K4204" t="str">
            <v>KU</v>
          </cell>
          <cell r="L4204" t="str">
            <v>KAWA05</v>
          </cell>
          <cell r="M4204" t="str">
            <v>Kawan Tani/Fathor</v>
          </cell>
          <cell r="N4204" t="str">
            <v>Fathor Rahiem</v>
          </cell>
          <cell r="O4204" t="str">
            <v>Raya Kalis</v>
          </cell>
          <cell r="P4204" t="str">
            <v>Pamekasan</v>
          </cell>
          <cell r="Q4204" t="str">
            <v>Raya Kalis</v>
          </cell>
          <cell r="R4204" t="str">
            <v>Pamekasan</v>
          </cell>
          <cell r="S4204" t="str">
            <v>M Madura</v>
          </cell>
          <cell r="T4204" t="str">
            <v>Tomi</v>
          </cell>
          <cell r="U4204">
            <v>30</v>
          </cell>
        </row>
        <row r="4205">
          <cell r="E4205" t="str">
            <v>D25014324</v>
          </cell>
          <cell r="F4205"/>
          <cell r="G4205">
            <v>250000000</v>
          </cell>
          <cell r="H4205" t="str">
            <v>Zakia</v>
          </cell>
          <cell r="I4205" t="str">
            <v>Tiya</v>
          </cell>
          <cell r="J4205"/>
          <cell r="K4205" t="str">
            <v>KU</v>
          </cell>
          <cell r="L4205" t="str">
            <v>KAWA05</v>
          </cell>
          <cell r="M4205" t="str">
            <v>Kawan Tani/Fathor</v>
          </cell>
          <cell r="N4205" t="str">
            <v>Fathor Rahiem</v>
          </cell>
          <cell r="O4205" t="str">
            <v>Raya Kalis</v>
          </cell>
          <cell r="P4205" t="str">
            <v>Pamekasan</v>
          </cell>
          <cell r="Q4205" t="str">
            <v>Raya Kalis</v>
          </cell>
          <cell r="R4205" t="str">
            <v>Pamekasan</v>
          </cell>
          <cell r="S4205" t="str">
            <v>M Madura</v>
          </cell>
          <cell r="T4205" t="str">
            <v>Tomi</v>
          </cell>
          <cell r="U4205">
            <v>30</v>
          </cell>
        </row>
        <row r="4206">
          <cell r="E4206" t="str">
            <v>D25015017</v>
          </cell>
          <cell r="F4206"/>
          <cell r="G4206">
            <v>250000000</v>
          </cell>
          <cell r="H4206" t="str">
            <v>Zakia</v>
          </cell>
          <cell r="I4206" t="str">
            <v>Tiya</v>
          </cell>
          <cell r="J4206"/>
          <cell r="K4206" t="str">
            <v>KU</v>
          </cell>
          <cell r="L4206" t="str">
            <v>KAWA05</v>
          </cell>
          <cell r="M4206" t="str">
            <v>Kawan Tani/Fathor</v>
          </cell>
          <cell r="N4206" t="str">
            <v>Fathor Rahiem</v>
          </cell>
          <cell r="O4206" t="str">
            <v>Raya Kalis</v>
          </cell>
          <cell r="P4206" t="str">
            <v>Pamekasan</v>
          </cell>
          <cell r="Q4206" t="str">
            <v>Raya Kalis</v>
          </cell>
          <cell r="R4206" t="str">
            <v>Pamekasan</v>
          </cell>
          <cell r="S4206" t="str">
            <v>M Madura</v>
          </cell>
          <cell r="T4206" t="str">
            <v>Tomi</v>
          </cell>
          <cell r="U4206">
            <v>30</v>
          </cell>
        </row>
        <row r="4207">
          <cell r="E4207" t="str">
            <v>B25013396</v>
          </cell>
          <cell r="F4207"/>
          <cell r="G4207">
            <v>250000000</v>
          </cell>
          <cell r="H4207" t="str">
            <v>Zakia</v>
          </cell>
          <cell r="I4207" t="str">
            <v>Tiya</v>
          </cell>
          <cell r="J4207"/>
          <cell r="K4207" t="str">
            <v>KU</v>
          </cell>
          <cell r="L4207" t="str">
            <v>KAWA05</v>
          </cell>
          <cell r="M4207" t="str">
            <v>Kawan Tani/Fathor</v>
          </cell>
          <cell r="N4207" t="str">
            <v>Fathor Rahiem</v>
          </cell>
          <cell r="O4207" t="str">
            <v>Raya Kalis</v>
          </cell>
          <cell r="P4207" t="str">
            <v>Pamekasan</v>
          </cell>
          <cell r="Q4207" t="str">
            <v>Raya Kalis</v>
          </cell>
          <cell r="R4207" t="str">
            <v>Pamekasan</v>
          </cell>
          <cell r="S4207" t="str">
            <v>M Madura</v>
          </cell>
          <cell r="T4207" t="str">
            <v>Tomi</v>
          </cell>
          <cell r="U4207">
            <v>0</v>
          </cell>
        </row>
        <row r="4208">
          <cell r="E4208" t="str">
            <v>D25015694</v>
          </cell>
          <cell r="F4208"/>
          <cell r="G4208">
            <v>250000000</v>
          </cell>
          <cell r="H4208" t="str">
            <v>Zakia</v>
          </cell>
          <cell r="I4208" t="str">
            <v>Tiya</v>
          </cell>
          <cell r="J4208"/>
          <cell r="K4208" t="str">
            <v>KU</v>
          </cell>
          <cell r="L4208" t="str">
            <v>KAWA05</v>
          </cell>
          <cell r="M4208" t="str">
            <v>Kawan Tani/Fathor</v>
          </cell>
          <cell r="N4208" t="str">
            <v>Fathor Rahiem</v>
          </cell>
          <cell r="O4208" t="str">
            <v>Raya Kalis</v>
          </cell>
          <cell r="P4208" t="str">
            <v>Pamekasan</v>
          </cell>
          <cell r="Q4208" t="str">
            <v>Raya Kalis</v>
          </cell>
          <cell r="R4208" t="str">
            <v>Pamekasan</v>
          </cell>
          <cell r="S4208" t="str">
            <v>M Madura</v>
          </cell>
          <cell r="T4208" t="str">
            <v>Tomi</v>
          </cell>
          <cell r="U4208">
            <v>30</v>
          </cell>
        </row>
        <row r="4209">
          <cell r="E4209" t="str">
            <v>D25015434</v>
          </cell>
          <cell r="F4209"/>
          <cell r="G4209">
            <v>100000000</v>
          </cell>
          <cell r="H4209" t="str">
            <v>Zakia</v>
          </cell>
          <cell r="I4209" t="str">
            <v>Tiya</v>
          </cell>
          <cell r="J4209"/>
          <cell r="K4209" t="str">
            <v>KU</v>
          </cell>
          <cell r="L4209" t="str">
            <v>KAWA07</v>
          </cell>
          <cell r="M4209" t="str">
            <v>Kawan Tani/Imam</v>
          </cell>
          <cell r="N4209" t="str">
            <v>Kawan Tani, CV</v>
          </cell>
          <cell r="O4209" t="str">
            <v>Dsn. Krajan, Dukuh Gondang</v>
          </cell>
          <cell r="P4209" t="str">
            <v>Tulungagung</v>
          </cell>
          <cell r="Q4209" t="str">
            <v>Ds. Dukuh Gondang</v>
          </cell>
          <cell r="R4209" t="str">
            <v>Tulungagung</v>
          </cell>
          <cell r="S4209" t="str">
            <v>D Barat1</v>
          </cell>
          <cell r="T4209" t="str">
            <v>Tomi</v>
          </cell>
          <cell r="U4209">
            <v>30</v>
          </cell>
        </row>
        <row r="4210">
          <cell r="E4210" t="str">
            <v>D25008265</v>
          </cell>
          <cell r="F4210"/>
          <cell r="G4210">
            <v>100000000</v>
          </cell>
          <cell r="H4210" t="str">
            <v>Reni</v>
          </cell>
          <cell r="I4210" t="str">
            <v>Farida</v>
          </cell>
          <cell r="J4210"/>
          <cell r="K4210" t="str">
            <v>KU</v>
          </cell>
          <cell r="L4210" t="str">
            <v>KAWA06</v>
          </cell>
          <cell r="M4210" t="str">
            <v>Kawan Tani/Priyo</v>
          </cell>
          <cell r="N4210" t="str">
            <v>Kridanto Priyo Digdo</v>
          </cell>
          <cell r="O4210" t="str">
            <v>Jl. Raya Panekan RT.06/RW.01, Panekan Kab. Magetan</v>
          </cell>
          <cell r="P4210" t="str">
            <v>Magetan</v>
          </cell>
          <cell r="Q4210" t="str">
            <v>Mojorembun, Rejoso</v>
          </cell>
          <cell r="R4210" t="str">
            <v>Nganjuk</v>
          </cell>
          <cell r="S4210" t="str">
            <v>D Barat1</v>
          </cell>
          <cell r="T4210" t="str">
            <v>Dian</v>
          </cell>
          <cell r="U4210">
            <v>60</v>
          </cell>
        </row>
        <row r="4211">
          <cell r="E4211" t="str">
            <v>T25001063</v>
          </cell>
          <cell r="F4211"/>
          <cell r="G4211">
            <v>100000000</v>
          </cell>
          <cell r="H4211" t="str">
            <v>Reni</v>
          </cell>
          <cell r="I4211" t="str">
            <v>Farida</v>
          </cell>
          <cell r="J4211"/>
          <cell r="K4211" t="str">
            <v>KU</v>
          </cell>
          <cell r="L4211" t="str">
            <v>KAWA06</v>
          </cell>
          <cell r="M4211" t="str">
            <v>Kawan Tani/Priyo</v>
          </cell>
          <cell r="N4211" t="str">
            <v>Kridanto Priyo Digdo</v>
          </cell>
          <cell r="O4211" t="str">
            <v>Jl. Raya Panekan RT.06/RW.01, Panekan Kab. Magetan</v>
          </cell>
          <cell r="P4211" t="str">
            <v>Magetan</v>
          </cell>
          <cell r="Q4211" t="str">
            <v>Mojorembun, Rejoso</v>
          </cell>
          <cell r="R4211" t="str">
            <v>Nganjuk</v>
          </cell>
          <cell r="S4211" t="str">
            <v>D Barat1</v>
          </cell>
          <cell r="T4211" t="str">
            <v>Dian</v>
          </cell>
          <cell r="U4211">
            <v>60</v>
          </cell>
        </row>
        <row r="4212">
          <cell r="E4212" t="str">
            <v>T25001439</v>
          </cell>
          <cell r="F4212"/>
          <cell r="G4212">
            <v>25000000</v>
          </cell>
          <cell r="H4212" t="str">
            <v>Reni</v>
          </cell>
          <cell r="I4212" t="str">
            <v>Farida</v>
          </cell>
          <cell r="J4212" t="str">
            <v>New 26/06/20</v>
          </cell>
          <cell r="K4212" t="str">
            <v>KU</v>
          </cell>
          <cell r="L4212" t="str">
            <v>KAWA02</v>
          </cell>
          <cell r="M4212" t="str">
            <v>Kawan Tani/Titik</v>
          </cell>
          <cell r="N4212" t="str">
            <v>Titik Wijayanti</v>
          </cell>
          <cell r="O4212" t="str">
            <v>Ds. Ngadirejo, RT.003/RW.002 Kel. Ngadirejo, Kec. Tanjunganom</v>
          </cell>
          <cell r="P4212" t="str">
            <v>Nganjuk</v>
          </cell>
          <cell r="Q4212" t="str">
            <v>Ds. Ngadirejo, RT.003/RW.002 Kel. Ngadirejo, Kec. Tanjunganom</v>
          </cell>
          <cell r="R4212" t="str">
            <v>Nganjuk</v>
          </cell>
          <cell r="S4212" t="str">
            <v>D Barat1</v>
          </cell>
          <cell r="T4212" t="str">
            <v>Dian</v>
          </cell>
          <cell r="U4212">
            <v>60</v>
          </cell>
        </row>
        <row r="4213">
          <cell r="E4213" t="str">
            <v>B25012707</v>
          </cell>
          <cell r="F4213"/>
          <cell r="G4213">
            <v>25000000</v>
          </cell>
          <cell r="H4213" t="str">
            <v>Reni</v>
          </cell>
          <cell r="I4213" t="str">
            <v>Farida</v>
          </cell>
          <cell r="J4213" t="str">
            <v>New 26/06/20</v>
          </cell>
          <cell r="K4213" t="str">
            <v>KU</v>
          </cell>
          <cell r="L4213" t="str">
            <v>KAWA02</v>
          </cell>
          <cell r="M4213" t="str">
            <v>Kawan Tani/Titik</v>
          </cell>
          <cell r="N4213" t="str">
            <v>Titik Wijayanti</v>
          </cell>
          <cell r="O4213" t="str">
            <v>Ds. Ngadirejo, RT.003/RW.002 Kel. Ngadirejo, Kec. Tanjunganom</v>
          </cell>
          <cell r="P4213" t="str">
            <v>Nganjuk</v>
          </cell>
          <cell r="Q4213" t="str">
            <v>Ds. Ngadirejo, RT.003/RW.002 Kel. Ngadirejo, Kec. Tanjunganom</v>
          </cell>
          <cell r="R4213" t="str">
            <v>Nganjuk</v>
          </cell>
          <cell r="S4213" t="str">
            <v>D Barat1</v>
          </cell>
          <cell r="T4213" t="str">
            <v>Dian</v>
          </cell>
          <cell r="U4213">
            <v>0</v>
          </cell>
        </row>
        <row r="4214">
          <cell r="E4214" t="str">
            <v>B25012772</v>
          </cell>
          <cell r="F4214"/>
          <cell r="G4214">
            <v>25000000</v>
          </cell>
          <cell r="H4214" t="str">
            <v>Reni</v>
          </cell>
          <cell r="I4214" t="str">
            <v>Farida</v>
          </cell>
          <cell r="J4214" t="str">
            <v>New 26/06/20</v>
          </cell>
          <cell r="K4214" t="str">
            <v>KU</v>
          </cell>
          <cell r="L4214" t="str">
            <v>KAWA02</v>
          </cell>
          <cell r="M4214" t="str">
            <v>Kawan Tani/Titik</v>
          </cell>
          <cell r="N4214" t="str">
            <v>Titik Wijayanti</v>
          </cell>
          <cell r="O4214" t="str">
            <v>Ds. Ngadirejo, RT.003/RW.002 Kel. Ngadirejo, Kec. Tanjunganom</v>
          </cell>
          <cell r="P4214" t="str">
            <v>Nganjuk</v>
          </cell>
          <cell r="Q4214" t="str">
            <v>Ds. Ngadirejo, RT.003/RW.002 Kel. Ngadirejo, Kec. Tanjunganom</v>
          </cell>
          <cell r="R4214" t="str">
            <v>Nganjuk</v>
          </cell>
          <cell r="S4214" t="str">
            <v>D Barat1</v>
          </cell>
          <cell r="T4214" t="str">
            <v>Dian</v>
          </cell>
          <cell r="U4214">
            <v>0</v>
          </cell>
        </row>
        <row r="4215">
          <cell r="E4215" t="str">
            <v>B25012772</v>
          </cell>
          <cell r="F4215"/>
          <cell r="G4215">
            <v>25000000</v>
          </cell>
          <cell r="H4215" t="str">
            <v>Reni</v>
          </cell>
          <cell r="I4215" t="str">
            <v>Farida</v>
          </cell>
          <cell r="J4215" t="str">
            <v>New 26/06/20</v>
          </cell>
          <cell r="K4215" t="str">
            <v>KU</v>
          </cell>
          <cell r="L4215" t="str">
            <v>KAWA02</v>
          </cell>
          <cell r="M4215" t="str">
            <v>Kawan Tani/Titik</v>
          </cell>
          <cell r="N4215" t="str">
            <v>Titik Wijayanti</v>
          </cell>
          <cell r="O4215" t="str">
            <v>Ds. Ngadirejo, RT.003/RW.002 Kel. Ngadirejo, Kec. Tanjunganom</v>
          </cell>
          <cell r="P4215" t="str">
            <v>Nganjuk</v>
          </cell>
          <cell r="Q4215" t="str">
            <v>Ds. Ngadirejo, RT.003/RW.002 Kel. Ngadirejo, Kec. Tanjunganom</v>
          </cell>
          <cell r="R4215" t="str">
            <v>Nganjuk</v>
          </cell>
          <cell r="S4215" t="str">
            <v>D Barat1</v>
          </cell>
          <cell r="T4215" t="str">
            <v>Dian</v>
          </cell>
          <cell r="U4215">
            <v>0</v>
          </cell>
        </row>
        <row r="4216">
          <cell r="E4216" t="str">
            <v>D25015368</v>
          </cell>
          <cell r="F4216"/>
          <cell r="G4216">
            <v>25000000</v>
          </cell>
          <cell r="H4216" t="str">
            <v>Reni</v>
          </cell>
          <cell r="I4216" t="str">
            <v>Farida</v>
          </cell>
          <cell r="J4216" t="str">
            <v>New 26/06/20</v>
          </cell>
          <cell r="K4216" t="str">
            <v>KU</v>
          </cell>
          <cell r="L4216" t="str">
            <v>KAWA02</v>
          </cell>
          <cell r="M4216" t="str">
            <v>Kawan Tani/Titik</v>
          </cell>
          <cell r="N4216" t="str">
            <v>Titik Wijayanti</v>
          </cell>
          <cell r="O4216" t="str">
            <v>Ds. Ngadirejo, RT.003/RW.002 Kel. Ngadirejo, Kec. Tanjunganom</v>
          </cell>
          <cell r="P4216" t="str">
            <v>Nganjuk</v>
          </cell>
          <cell r="Q4216" t="str">
            <v>Ds. Ngadirejo, RT.003/RW.002 Kel. Ngadirejo, Kec. Tanjunganom</v>
          </cell>
          <cell r="R4216" t="str">
            <v>Nganjuk</v>
          </cell>
          <cell r="S4216" t="str">
            <v>D Barat1</v>
          </cell>
          <cell r="T4216" t="str">
            <v>Dian</v>
          </cell>
          <cell r="U4216">
            <v>30</v>
          </cell>
        </row>
        <row r="4217">
          <cell r="E4217" t="str">
            <v>D25015449</v>
          </cell>
          <cell r="F4217"/>
          <cell r="G4217">
            <v>25000000</v>
          </cell>
          <cell r="H4217" t="str">
            <v>Reni</v>
          </cell>
          <cell r="I4217" t="str">
            <v>Farida</v>
          </cell>
          <cell r="J4217" t="str">
            <v>New 26/06/20</v>
          </cell>
          <cell r="K4217" t="str">
            <v>KU</v>
          </cell>
          <cell r="L4217" t="str">
            <v>KAWA02</v>
          </cell>
          <cell r="M4217" t="str">
            <v>Kawan Tani/Titik</v>
          </cell>
          <cell r="N4217" t="str">
            <v>Titik Wijayanti</v>
          </cell>
          <cell r="O4217" t="str">
            <v>Ds. Ngadirejo, RT.003/RW.002 Kel. Ngadirejo, Kec. Tanjunganom</v>
          </cell>
          <cell r="P4217" t="str">
            <v>Nganjuk</v>
          </cell>
          <cell r="Q4217" t="str">
            <v>Ds. Ngadirejo, RT.003/RW.002 Kel. Ngadirejo, Kec. Tanjunganom</v>
          </cell>
          <cell r="R4217" t="str">
            <v>Nganjuk</v>
          </cell>
          <cell r="S4217" t="str">
            <v>D Barat1</v>
          </cell>
          <cell r="T4217" t="str">
            <v>Dian</v>
          </cell>
          <cell r="U4217">
            <v>0</v>
          </cell>
        </row>
        <row r="4218">
          <cell r="E4218" t="str">
            <v>T25000218</v>
          </cell>
          <cell r="F4218"/>
          <cell r="G4218">
            <v>1000</v>
          </cell>
          <cell r="H4218" t="str">
            <v>Zakia</v>
          </cell>
          <cell r="I4218" t="str">
            <v>Tiya</v>
          </cell>
          <cell r="J4218" t="str">
            <v>New 21/09/20</v>
          </cell>
          <cell r="K4218" t="str">
            <v>KU</v>
          </cell>
          <cell r="L4218" t="str">
            <v>KECI01</v>
          </cell>
          <cell r="M4218" t="str">
            <v>Kecik, Kios</v>
          </cell>
          <cell r="N4218" t="str">
            <v>Slamet Riyadi</v>
          </cell>
          <cell r="O4218" t="str">
            <v>BTN. Kamasan Permai Blok C No. 22, Kel. Dajan Peken, Kec. Tabanan</v>
          </cell>
          <cell r="P4218" t="str">
            <v>Bali</v>
          </cell>
          <cell r="Q4218" t="str">
            <v>BTN. Kamasan Permai Blok C No. 22, Kel. Dajan Peken, Kec. Tabanan</v>
          </cell>
          <cell r="R4218" t="str">
            <v>Bali</v>
          </cell>
          <cell r="S4218" t="str">
            <v>S Bali3</v>
          </cell>
          <cell r="T4218" t="str">
            <v>Wira</v>
          </cell>
          <cell r="U4218">
            <v>262</v>
          </cell>
        </row>
        <row r="4219">
          <cell r="E4219" t="str">
            <v>D25007891</v>
          </cell>
          <cell r="F4219"/>
          <cell r="G4219">
            <v>1000</v>
          </cell>
          <cell r="H4219" t="str">
            <v>Zakia</v>
          </cell>
          <cell r="I4219" t="str">
            <v>Tiya</v>
          </cell>
          <cell r="J4219" t="str">
            <v>New 21/09/20</v>
          </cell>
          <cell r="K4219" t="str">
            <v>KU</v>
          </cell>
          <cell r="L4219" t="str">
            <v>KECI01</v>
          </cell>
          <cell r="M4219" t="str">
            <v>Kecik, Kios</v>
          </cell>
          <cell r="N4219" t="str">
            <v>Slamet Riyadi</v>
          </cell>
          <cell r="O4219" t="str">
            <v>BTN. Kamasan Permai Blok C No. 22, Kel. Dajan Peken, Kec. Tabanan</v>
          </cell>
          <cell r="P4219" t="str">
            <v>Bali</v>
          </cell>
          <cell r="Q4219" t="str">
            <v>BTN. Kamasan Permai Blok C No. 22, Kel. Dajan Peken, Kec. Tabanan</v>
          </cell>
          <cell r="R4219" t="str">
            <v>Bali</v>
          </cell>
          <cell r="S4219" t="str">
            <v>S Bali3</v>
          </cell>
          <cell r="T4219" t="str">
            <v>Wira</v>
          </cell>
          <cell r="U4219">
            <v>157</v>
          </cell>
        </row>
        <row r="4220">
          <cell r="E4220" t="str">
            <v>B25006716</v>
          </cell>
          <cell r="F4220"/>
          <cell r="G4220">
            <v>1000</v>
          </cell>
          <cell r="H4220" t="str">
            <v>Zakia</v>
          </cell>
          <cell r="I4220" t="str">
            <v>Tiya</v>
          </cell>
          <cell r="J4220" t="str">
            <v>New 21/09/20</v>
          </cell>
          <cell r="K4220" t="str">
            <v>KU</v>
          </cell>
          <cell r="L4220" t="str">
            <v>KECI01</v>
          </cell>
          <cell r="M4220" t="str">
            <v>Kecik, Kios</v>
          </cell>
          <cell r="N4220" t="str">
            <v>Slamet Riyadi</v>
          </cell>
          <cell r="O4220" t="str">
            <v>BTN. Kamasan Permai Blok C No. 22, Kel. Dajan Peken, Kec. Tabanan</v>
          </cell>
          <cell r="P4220" t="str">
            <v>Bali</v>
          </cell>
          <cell r="Q4220" t="str">
            <v>BTN. Kamasan Permai Blok C No. 22, Kel. Dajan Peken, Kec. Tabanan</v>
          </cell>
          <cell r="R4220" t="str">
            <v>Bali</v>
          </cell>
          <cell r="S4220" t="str">
            <v>S Bali3</v>
          </cell>
          <cell r="T4220" t="str">
            <v>Wira</v>
          </cell>
          <cell r="U4220">
            <v>146</v>
          </cell>
        </row>
        <row r="4221">
          <cell r="E4221" t="str">
            <v>D25012528</v>
          </cell>
          <cell r="F4221"/>
          <cell r="G4221">
            <v>1000</v>
          </cell>
          <cell r="H4221" t="str">
            <v>Zakia</v>
          </cell>
          <cell r="I4221" t="str">
            <v>Tiya</v>
          </cell>
          <cell r="J4221" t="str">
            <v>New 21/09/20</v>
          </cell>
          <cell r="K4221" t="str">
            <v>KU</v>
          </cell>
          <cell r="L4221" t="str">
            <v>KECI01</v>
          </cell>
          <cell r="M4221" t="str">
            <v>Kecik, Kios</v>
          </cell>
          <cell r="N4221" t="str">
            <v>Slamet Riyadi</v>
          </cell>
          <cell r="O4221" t="str">
            <v>BTN. Kamasan Permai Blok C No. 22, Kel. Dajan Peken, Kec. Tabanan</v>
          </cell>
          <cell r="P4221" t="str">
            <v>Bali</v>
          </cell>
          <cell r="Q4221" t="str">
            <v>BTN. Kamasan Permai Blok C No. 22, Kel. Dajan Peken, Kec. Tabanan</v>
          </cell>
          <cell r="R4221" t="str">
            <v>Bali</v>
          </cell>
          <cell r="S4221" t="str">
            <v>S Bali3</v>
          </cell>
          <cell r="T4221" t="str">
            <v>Wira</v>
          </cell>
          <cell r="U4221">
            <v>30</v>
          </cell>
        </row>
        <row r="4222">
          <cell r="E4222" t="str">
            <v>D25014133</v>
          </cell>
          <cell r="F4222"/>
          <cell r="G4222">
            <v>1000</v>
          </cell>
          <cell r="H4222" t="str">
            <v>Zakia</v>
          </cell>
          <cell r="I4222" t="str">
            <v>Tiya</v>
          </cell>
          <cell r="J4222" t="str">
            <v>New 21/09/20</v>
          </cell>
          <cell r="K4222" t="str">
            <v>KU</v>
          </cell>
          <cell r="L4222" t="str">
            <v>KECI01</v>
          </cell>
          <cell r="M4222" t="str">
            <v>Kecik, Kios</v>
          </cell>
          <cell r="N4222" t="str">
            <v>Slamet Riyadi</v>
          </cell>
          <cell r="O4222" t="str">
            <v>BTN. Kamasan Permai Blok C No. 22, Kel. Dajan Peken, Kec. Tabanan</v>
          </cell>
          <cell r="P4222" t="str">
            <v>Bali</v>
          </cell>
          <cell r="Q4222" t="str">
            <v>BTN. Kamasan Permai Blok C No. 22, Kel. Dajan Peken, Kec. Tabanan</v>
          </cell>
          <cell r="R4222" t="str">
            <v>Bali</v>
          </cell>
          <cell r="S4222" t="str">
            <v>S Bali3</v>
          </cell>
          <cell r="T4222" t="str">
            <v>Wira</v>
          </cell>
          <cell r="U4222">
            <v>90</v>
          </cell>
        </row>
        <row r="4223">
          <cell r="E4223" t="str">
            <v>D25014134</v>
          </cell>
          <cell r="F4223"/>
          <cell r="G4223">
            <v>1000</v>
          </cell>
          <cell r="H4223" t="str">
            <v>Zakia</v>
          </cell>
          <cell r="I4223" t="str">
            <v>Tiya</v>
          </cell>
          <cell r="J4223" t="str">
            <v>New 21/09/20</v>
          </cell>
          <cell r="K4223" t="str">
            <v>KU</v>
          </cell>
          <cell r="L4223" t="str">
            <v>KECI01</v>
          </cell>
          <cell r="M4223" t="str">
            <v>Kecik, Kios</v>
          </cell>
          <cell r="N4223" t="str">
            <v>Slamet Riyadi</v>
          </cell>
          <cell r="O4223" t="str">
            <v>BTN. Kamasan Permai Blok C No. 22, Kel. Dajan Peken, Kec. Tabanan</v>
          </cell>
          <cell r="P4223" t="str">
            <v>Bali</v>
          </cell>
          <cell r="Q4223" t="str">
            <v>BTN. Kamasan Permai Blok C No. 22, Kel. Dajan Peken, Kec. Tabanan</v>
          </cell>
          <cell r="R4223" t="str">
            <v>Bali</v>
          </cell>
          <cell r="S4223" t="str">
            <v>S Bali3</v>
          </cell>
          <cell r="T4223" t="str">
            <v>Wira</v>
          </cell>
          <cell r="U4223">
            <v>30</v>
          </cell>
        </row>
        <row r="4224">
          <cell r="E4224" t="str">
            <v>B25009144</v>
          </cell>
          <cell r="F4224"/>
          <cell r="G4224">
            <v>250000000</v>
          </cell>
          <cell r="H4224" t="str">
            <v>Zakia</v>
          </cell>
          <cell r="I4224" t="str">
            <v>Tiya</v>
          </cell>
          <cell r="J4224" t="str">
            <v>New 17/12/19</v>
          </cell>
          <cell r="K4224" t="str">
            <v>KU</v>
          </cell>
          <cell r="L4224" t="str">
            <v>KEDU02</v>
          </cell>
          <cell r="M4224" t="str">
            <v>Kedung Agung, UD</v>
          </cell>
          <cell r="N4224" t="str">
            <v>Yulianto Nugroho</v>
          </cell>
          <cell r="O4224" t="str">
            <v>Dsn. Kedung Dowo, RT.01/RW.01 Kel. Sukerejo Kulon, Kec. Kalidawir</v>
          </cell>
          <cell r="P4224" t="str">
            <v>Tulungagung</v>
          </cell>
          <cell r="Q4224" t="str">
            <v>Dsn. Kedung Dowo, RT.01/RW.01 Kel. Sukerejo Kulon, Kec. Kalidawir</v>
          </cell>
          <cell r="R4224" t="str">
            <v>Tulungagung</v>
          </cell>
          <cell r="S4224" t="str">
            <v>D Barat1</v>
          </cell>
          <cell r="T4224" t="str">
            <v>Tomi</v>
          </cell>
          <cell r="U4224">
            <v>60</v>
          </cell>
        </row>
        <row r="4225">
          <cell r="E4225" t="str">
            <v>D25011612</v>
          </cell>
          <cell r="F4225"/>
          <cell r="G4225">
            <v>250000000</v>
          </cell>
          <cell r="H4225" t="str">
            <v>Zakia</v>
          </cell>
          <cell r="I4225" t="str">
            <v>Tiya</v>
          </cell>
          <cell r="J4225" t="str">
            <v>New 17/12/19</v>
          </cell>
          <cell r="K4225" t="str">
            <v>KU</v>
          </cell>
          <cell r="L4225" t="str">
            <v>KEDU02</v>
          </cell>
          <cell r="M4225" t="str">
            <v>Kedung Agung, UD</v>
          </cell>
          <cell r="N4225" t="str">
            <v>Yulianto Nugroho</v>
          </cell>
          <cell r="O4225" t="str">
            <v>Dsn. Kedung Dowo, RT.01/RW.01 Kel. Sukerejo Kulon, Kec. Kalidawir</v>
          </cell>
          <cell r="P4225" t="str">
            <v>Tulungagung</v>
          </cell>
          <cell r="Q4225" t="str">
            <v>Dsn. Kedung Dowo, RT.01/RW.01 Kel. Sukerejo Kulon, Kec. Kalidawir</v>
          </cell>
          <cell r="R4225" t="str">
            <v>Tulungagung</v>
          </cell>
          <cell r="S4225" t="str">
            <v>D Barat1</v>
          </cell>
          <cell r="T4225" t="str">
            <v>Tomi</v>
          </cell>
          <cell r="U4225">
            <v>60</v>
          </cell>
        </row>
        <row r="4226">
          <cell r="E4226" t="str">
            <v>D25011612</v>
          </cell>
          <cell r="F4226"/>
          <cell r="G4226">
            <v>250000000</v>
          </cell>
          <cell r="H4226" t="str">
            <v>Zakia</v>
          </cell>
          <cell r="I4226" t="str">
            <v>Tiya</v>
          </cell>
          <cell r="J4226" t="str">
            <v>New 17/12/19</v>
          </cell>
          <cell r="K4226" t="str">
            <v>KU</v>
          </cell>
          <cell r="L4226" t="str">
            <v>KEDU02</v>
          </cell>
          <cell r="M4226" t="str">
            <v>Kedung Agung, UD</v>
          </cell>
          <cell r="N4226" t="str">
            <v>Yulianto Nugroho</v>
          </cell>
          <cell r="O4226" t="str">
            <v>Dsn. Kedung Dowo, RT.01/RW.01 Kel. Sukerejo Kulon, Kec. Kalidawir</v>
          </cell>
          <cell r="P4226" t="str">
            <v>Tulungagung</v>
          </cell>
          <cell r="Q4226" t="str">
            <v>Dsn. Kedung Dowo, RT.01/RW.01 Kel. Sukerejo Kulon, Kec. Kalidawir</v>
          </cell>
          <cell r="R4226" t="str">
            <v>Tulungagung</v>
          </cell>
          <cell r="S4226" t="str">
            <v>D Barat1</v>
          </cell>
          <cell r="T4226" t="str">
            <v>Tomi</v>
          </cell>
          <cell r="U4226">
            <v>60</v>
          </cell>
        </row>
        <row r="4227">
          <cell r="E4227" t="str">
            <v>B25011300</v>
          </cell>
          <cell r="F4227"/>
          <cell r="G4227">
            <v>250000000</v>
          </cell>
          <cell r="H4227" t="str">
            <v>Zakia</v>
          </cell>
          <cell r="I4227" t="str">
            <v>Tiya</v>
          </cell>
          <cell r="J4227" t="str">
            <v>New 17/12/19</v>
          </cell>
          <cell r="K4227" t="str">
            <v>KU</v>
          </cell>
          <cell r="L4227" t="str">
            <v>KEDU02</v>
          </cell>
          <cell r="M4227" t="str">
            <v>Kedung Agung, UD</v>
          </cell>
          <cell r="N4227" t="str">
            <v>Yulianto Nugroho</v>
          </cell>
          <cell r="O4227" t="str">
            <v>Dsn. Kedung Dowo, RT.01/RW.01 Kel. Sukerejo Kulon, Kec. Kalidawir</v>
          </cell>
          <cell r="P4227" t="str">
            <v>Tulungagung</v>
          </cell>
          <cell r="Q4227" t="str">
            <v>Dsn. Kedung Dowo, RT.01/RW.01 Kel. Sukerejo Kulon, Kec. Kalidawir</v>
          </cell>
          <cell r="R4227" t="str">
            <v>Tulungagung</v>
          </cell>
          <cell r="S4227" t="str">
            <v>D Barat1</v>
          </cell>
          <cell r="T4227" t="str">
            <v>Tomi</v>
          </cell>
          <cell r="U4227">
            <v>30</v>
          </cell>
        </row>
        <row r="4228">
          <cell r="E4228" t="str">
            <v>D25014234</v>
          </cell>
          <cell r="F4228"/>
          <cell r="G4228">
            <v>250000000</v>
          </cell>
          <cell r="H4228" t="str">
            <v>Zakia</v>
          </cell>
          <cell r="I4228" t="str">
            <v>Tiya</v>
          </cell>
          <cell r="J4228" t="str">
            <v>New 17/12/19</v>
          </cell>
          <cell r="K4228" t="str">
            <v>KU</v>
          </cell>
          <cell r="L4228" t="str">
            <v>KEDU02</v>
          </cell>
          <cell r="M4228" t="str">
            <v>Kedung Agung, UD</v>
          </cell>
          <cell r="N4228" t="str">
            <v>Yulianto Nugroho</v>
          </cell>
          <cell r="O4228" t="str">
            <v>Dsn. Kedung Dowo, RT.01/RW.01 Kel. Sukerejo Kulon, Kec. Kalidawir</v>
          </cell>
          <cell r="P4228" t="str">
            <v>Tulungagung</v>
          </cell>
          <cell r="Q4228" t="str">
            <v>Dsn. Kedung Dowo, RT.01/RW.01 Kel. Sukerejo Kulon, Kec. Kalidawir</v>
          </cell>
          <cell r="R4228" t="str">
            <v>Tulungagung</v>
          </cell>
          <cell r="S4228" t="str">
            <v>D Barat1</v>
          </cell>
          <cell r="T4228" t="str">
            <v>Tomi</v>
          </cell>
          <cell r="U4228">
            <v>30</v>
          </cell>
        </row>
        <row r="4229">
          <cell r="E4229" t="str">
            <v>T25001404</v>
          </cell>
          <cell r="F4229"/>
          <cell r="G4229">
            <v>250000000</v>
          </cell>
          <cell r="H4229" t="str">
            <v>Zakia</v>
          </cell>
          <cell r="I4229" t="str">
            <v>Tiya</v>
          </cell>
          <cell r="J4229" t="str">
            <v>New 17/12/19</v>
          </cell>
          <cell r="K4229" t="str">
            <v>KU</v>
          </cell>
          <cell r="L4229" t="str">
            <v>KEDU02</v>
          </cell>
          <cell r="M4229" t="str">
            <v>Kedung Agung, UD</v>
          </cell>
          <cell r="N4229" t="str">
            <v>Yulianto Nugroho</v>
          </cell>
          <cell r="O4229" t="str">
            <v>Dsn. Kedung Dowo, RT.01/RW.01 Kel. Sukerejo Kulon, Kec. Kalidawir</v>
          </cell>
          <cell r="P4229" t="str">
            <v>Tulungagung</v>
          </cell>
          <cell r="Q4229" t="str">
            <v>Dsn. Kedung Dowo, RT.01/RW.01 Kel. Sukerejo Kulon, Kec. Kalidawir</v>
          </cell>
          <cell r="R4229" t="str">
            <v>Tulungagung</v>
          </cell>
          <cell r="S4229" t="str">
            <v>D Barat1</v>
          </cell>
          <cell r="T4229" t="str">
            <v>Tomi</v>
          </cell>
          <cell r="U4229">
            <v>60</v>
          </cell>
        </row>
        <row r="4230">
          <cell r="E4230" t="str">
            <v>D25014484</v>
          </cell>
          <cell r="F4230"/>
          <cell r="G4230">
            <v>250000000</v>
          </cell>
          <cell r="H4230" t="str">
            <v>Zakia</v>
          </cell>
          <cell r="I4230" t="str">
            <v>Tiya</v>
          </cell>
          <cell r="J4230" t="str">
            <v>New 17/12/19</v>
          </cell>
          <cell r="K4230" t="str">
            <v>KU</v>
          </cell>
          <cell r="L4230" t="str">
            <v>KEDU02</v>
          </cell>
          <cell r="M4230" t="str">
            <v>Kedung Agung, UD</v>
          </cell>
          <cell r="N4230" t="str">
            <v>Yulianto Nugroho</v>
          </cell>
          <cell r="O4230" t="str">
            <v>Dsn. Kedung Dowo, RT.01/RW.01 Kel. Sukerejo Kulon, Kec. Kalidawir</v>
          </cell>
          <cell r="P4230" t="str">
            <v>Tulungagung</v>
          </cell>
          <cell r="Q4230" t="str">
            <v>Dsn. Kedung Dowo, RT.01/RW.01 Kel. Sukerejo Kulon, Kec. Kalidawir</v>
          </cell>
          <cell r="R4230" t="str">
            <v>Tulungagung</v>
          </cell>
          <cell r="S4230" t="str">
            <v>D Barat1</v>
          </cell>
          <cell r="T4230" t="str">
            <v>Tomi</v>
          </cell>
          <cell r="U4230">
            <v>30</v>
          </cell>
        </row>
        <row r="4231">
          <cell r="E4231" t="str">
            <v>B25012326</v>
          </cell>
          <cell r="F4231"/>
          <cell r="G4231">
            <v>250000000</v>
          </cell>
          <cell r="H4231" t="str">
            <v>Zakia</v>
          </cell>
          <cell r="I4231" t="str">
            <v>Tiya</v>
          </cell>
          <cell r="J4231" t="str">
            <v>New 17/12/19</v>
          </cell>
          <cell r="K4231" t="str">
            <v>KU</v>
          </cell>
          <cell r="L4231" t="str">
            <v>KEDU02</v>
          </cell>
          <cell r="M4231" t="str">
            <v>Kedung Agung, UD</v>
          </cell>
          <cell r="N4231" t="str">
            <v>Yulianto Nugroho</v>
          </cell>
          <cell r="O4231" t="str">
            <v>Dsn. Kedung Dowo, RT.01/RW.01 Kel. Sukerejo Kulon, Kec. Kalidawir</v>
          </cell>
          <cell r="P4231" t="str">
            <v>Tulungagung</v>
          </cell>
          <cell r="Q4231" t="str">
            <v>Dsn. Kedung Dowo, RT.01/RW.01 Kel. Sukerejo Kulon, Kec. Kalidawir</v>
          </cell>
          <cell r="R4231" t="str">
            <v>Tulungagung</v>
          </cell>
          <cell r="S4231" t="str">
            <v>D Barat1</v>
          </cell>
          <cell r="T4231" t="str">
            <v>Tomi</v>
          </cell>
          <cell r="U4231">
            <v>30</v>
          </cell>
        </row>
        <row r="4232">
          <cell r="E4232" t="str">
            <v>D25014677</v>
          </cell>
          <cell r="F4232"/>
          <cell r="G4232">
            <v>250000000</v>
          </cell>
          <cell r="H4232" t="str">
            <v>Zakia</v>
          </cell>
          <cell r="I4232" t="str">
            <v>Tiya</v>
          </cell>
          <cell r="J4232" t="str">
            <v>New 17/12/19</v>
          </cell>
          <cell r="K4232" t="str">
            <v>KU</v>
          </cell>
          <cell r="L4232" t="str">
            <v>KEDU02</v>
          </cell>
          <cell r="M4232" t="str">
            <v>Kedung Agung, UD</v>
          </cell>
          <cell r="N4232" t="str">
            <v>Yulianto Nugroho</v>
          </cell>
          <cell r="O4232" t="str">
            <v>Dsn. Kedung Dowo, RT.01/RW.01 Kel. Sukerejo Kulon, Kec. Kalidawir</v>
          </cell>
          <cell r="P4232" t="str">
            <v>Tulungagung</v>
          </cell>
          <cell r="Q4232" t="str">
            <v>Dsn. Kedung Dowo, RT.01/RW.01 Kel. Sukerejo Kulon, Kec. Kalidawir</v>
          </cell>
          <cell r="R4232" t="str">
            <v>Tulungagung</v>
          </cell>
          <cell r="S4232" t="str">
            <v>D Barat1</v>
          </cell>
          <cell r="T4232" t="str">
            <v>Tomi</v>
          </cell>
          <cell r="U4232">
            <v>30</v>
          </cell>
        </row>
        <row r="4233">
          <cell r="E4233" t="str">
            <v>D25014749</v>
          </cell>
          <cell r="F4233"/>
          <cell r="G4233">
            <v>250000000</v>
          </cell>
          <cell r="H4233" t="str">
            <v>Zakia</v>
          </cell>
          <cell r="I4233" t="str">
            <v>Tiya</v>
          </cell>
          <cell r="J4233" t="str">
            <v>New 17/12/19</v>
          </cell>
          <cell r="K4233" t="str">
            <v>KU</v>
          </cell>
          <cell r="L4233" t="str">
            <v>KEDU02</v>
          </cell>
          <cell r="M4233" t="str">
            <v>Kedung Agung, UD</v>
          </cell>
          <cell r="N4233" t="str">
            <v>Yulianto Nugroho</v>
          </cell>
          <cell r="O4233" t="str">
            <v>Dsn. Kedung Dowo, RT.01/RW.01 Kel. Sukerejo Kulon, Kec. Kalidawir</v>
          </cell>
          <cell r="P4233" t="str">
            <v>Tulungagung</v>
          </cell>
          <cell r="Q4233" t="str">
            <v>Dsn. Kedung Dowo, RT.01/RW.01 Kel. Sukerejo Kulon, Kec. Kalidawir</v>
          </cell>
          <cell r="R4233" t="str">
            <v>Tulungagung</v>
          </cell>
          <cell r="S4233" t="str">
            <v>D Barat1</v>
          </cell>
          <cell r="T4233" t="str">
            <v>Tomi</v>
          </cell>
          <cell r="U4233">
            <v>30</v>
          </cell>
        </row>
        <row r="4234">
          <cell r="E4234" t="str">
            <v>D25014861</v>
          </cell>
          <cell r="F4234"/>
          <cell r="G4234">
            <v>250000000</v>
          </cell>
          <cell r="H4234" t="str">
            <v>Zakia</v>
          </cell>
          <cell r="I4234" t="str">
            <v>Tiya</v>
          </cell>
          <cell r="J4234" t="str">
            <v>New 17/12/19</v>
          </cell>
          <cell r="K4234" t="str">
            <v>KU</v>
          </cell>
          <cell r="L4234" t="str">
            <v>KEDU02</v>
          </cell>
          <cell r="M4234" t="str">
            <v>Kedung Agung, UD</v>
          </cell>
          <cell r="N4234" t="str">
            <v>Yulianto Nugroho</v>
          </cell>
          <cell r="O4234" t="str">
            <v>Dsn. Kedung Dowo, RT.01/RW.01 Kel. Sukerejo Kulon, Kec. Kalidawir</v>
          </cell>
          <cell r="P4234" t="str">
            <v>Tulungagung</v>
          </cell>
          <cell r="Q4234" t="str">
            <v>Dsn. Kedung Dowo, RT.01/RW.01 Kel. Sukerejo Kulon, Kec. Kalidawir</v>
          </cell>
          <cell r="R4234" t="str">
            <v>Tulungagung</v>
          </cell>
          <cell r="S4234" t="str">
            <v>D Barat1</v>
          </cell>
          <cell r="T4234" t="str">
            <v>Tomi</v>
          </cell>
          <cell r="U4234">
            <v>30</v>
          </cell>
        </row>
        <row r="4235">
          <cell r="E4235" t="str">
            <v>D25014967</v>
          </cell>
          <cell r="F4235"/>
          <cell r="G4235">
            <v>250000000</v>
          </cell>
          <cell r="H4235" t="str">
            <v>Zakia</v>
          </cell>
          <cell r="I4235" t="str">
            <v>Tiya</v>
          </cell>
          <cell r="J4235" t="str">
            <v>New 17/12/19</v>
          </cell>
          <cell r="K4235" t="str">
            <v>KU</v>
          </cell>
          <cell r="L4235" t="str">
            <v>KEDU02</v>
          </cell>
          <cell r="M4235" t="str">
            <v>Kedung Agung, UD</v>
          </cell>
          <cell r="N4235" t="str">
            <v>Yulianto Nugroho</v>
          </cell>
          <cell r="O4235" t="str">
            <v>Dsn. Kedung Dowo, RT.01/RW.01 Kel. Sukerejo Kulon, Kec. Kalidawir</v>
          </cell>
          <cell r="P4235" t="str">
            <v>Tulungagung</v>
          </cell>
          <cell r="Q4235" t="str">
            <v>Dsn. Kedung Dowo, RT.01/RW.01 Kel. Sukerejo Kulon, Kec. Kalidawir</v>
          </cell>
          <cell r="R4235" t="str">
            <v>Tulungagung</v>
          </cell>
          <cell r="S4235" t="str">
            <v>D Barat1</v>
          </cell>
          <cell r="T4235" t="str">
            <v>Tomi</v>
          </cell>
          <cell r="U4235">
            <v>30</v>
          </cell>
        </row>
        <row r="4236">
          <cell r="E4236" t="str">
            <v>D25015199</v>
          </cell>
          <cell r="F4236"/>
          <cell r="G4236">
            <v>250000000</v>
          </cell>
          <cell r="H4236" t="str">
            <v>Zakia</v>
          </cell>
          <cell r="I4236" t="str">
            <v>Tiya</v>
          </cell>
          <cell r="J4236" t="str">
            <v>New 17/12/19</v>
          </cell>
          <cell r="K4236" t="str">
            <v>KU</v>
          </cell>
          <cell r="L4236" t="str">
            <v>KEDU02</v>
          </cell>
          <cell r="M4236" t="str">
            <v>Kedung Agung, UD</v>
          </cell>
          <cell r="N4236" t="str">
            <v>Yulianto Nugroho</v>
          </cell>
          <cell r="O4236" t="str">
            <v>Dsn. Kedung Dowo, RT.01/RW.01 Kel. Sukerejo Kulon, Kec. Kalidawir</v>
          </cell>
          <cell r="P4236" t="str">
            <v>Tulungagung</v>
          </cell>
          <cell r="Q4236" t="str">
            <v>Dsn. Kedung Dowo, RT.01/RW.01 Kel. Sukerejo Kulon, Kec. Kalidawir</v>
          </cell>
          <cell r="R4236" t="str">
            <v>Tulungagung</v>
          </cell>
          <cell r="S4236" t="str">
            <v>D Barat1</v>
          </cell>
          <cell r="T4236" t="str">
            <v>Tomi</v>
          </cell>
          <cell r="U4236">
            <v>60</v>
          </cell>
        </row>
        <row r="4237">
          <cell r="E4237" t="str">
            <v>D25015671</v>
          </cell>
          <cell r="F4237"/>
          <cell r="G4237">
            <v>250000000</v>
          </cell>
          <cell r="H4237" t="str">
            <v>Zakia</v>
          </cell>
          <cell r="I4237" t="str">
            <v>Tiya</v>
          </cell>
          <cell r="J4237" t="str">
            <v>New 17/12/19</v>
          </cell>
          <cell r="K4237" t="str">
            <v>KU</v>
          </cell>
          <cell r="L4237" t="str">
            <v>KEDU02</v>
          </cell>
          <cell r="M4237" t="str">
            <v>Kedung Agung, UD</v>
          </cell>
          <cell r="N4237" t="str">
            <v>Yulianto Nugroho</v>
          </cell>
          <cell r="O4237" t="str">
            <v>Dsn. Kedung Dowo, RT.01/RW.01 Kel. Sukerejo Kulon, Kec. Kalidawir</v>
          </cell>
          <cell r="P4237" t="str">
            <v>Tulungagung</v>
          </cell>
          <cell r="Q4237" t="str">
            <v>Dsn. Kedung Dowo, RT.01/RW.01 Kel. Sukerejo Kulon, Kec. Kalidawir</v>
          </cell>
          <cell r="R4237" t="str">
            <v>Tulungagung</v>
          </cell>
          <cell r="S4237" t="str">
            <v>D Barat1</v>
          </cell>
          <cell r="T4237" t="str">
            <v>Tomi</v>
          </cell>
          <cell r="U4237">
            <v>30</v>
          </cell>
        </row>
        <row r="4238">
          <cell r="E4238" t="str">
            <v>D25015692</v>
          </cell>
          <cell r="F4238"/>
          <cell r="G4238">
            <v>250000000</v>
          </cell>
          <cell r="H4238" t="str">
            <v>Zakia</v>
          </cell>
          <cell r="I4238" t="str">
            <v>Tiya</v>
          </cell>
          <cell r="J4238" t="str">
            <v>New 17/12/19</v>
          </cell>
          <cell r="K4238" t="str">
            <v>KU</v>
          </cell>
          <cell r="L4238" t="str">
            <v>KEDU02</v>
          </cell>
          <cell r="M4238" t="str">
            <v>Kedung Agung, UD</v>
          </cell>
          <cell r="N4238" t="str">
            <v>Yulianto Nugroho</v>
          </cell>
          <cell r="O4238" t="str">
            <v>Dsn. Kedung Dowo, RT.01/RW.01 Kel. Sukerejo Kulon, Kec. Kalidawir</v>
          </cell>
          <cell r="P4238" t="str">
            <v>Tulungagung</v>
          </cell>
          <cell r="Q4238" t="str">
            <v>Dsn. Kedung Dowo, RT.01/RW.01 Kel. Sukerejo Kulon, Kec. Kalidawir</v>
          </cell>
          <cell r="R4238" t="str">
            <v>Tulungagung</v>
          </cell>
          <cell r="S4238" t="str">
            <v>D Barat1</v>
          </cell>
          <cell r="T4238" t="str">
            <v>Tomi</v>
          </cell>
          <cell r="U4238">
            <v>30</v>
          </cell>
        </row>
        <row r="4239">
          <cell r="E4239" t="str">
            <v>T25001550</v>
          </cell>
          <cell r="F4239"/>
          <cell r="G4239">
            <v>250000000</v>
          </cell>
          <cell r="H4239" t="str">
            <v>Zakia</v>
          </cell>
          <cell r="I4239" t="str">
            <v>Tiya</v>
          </cell>
          <cell r="J4239" t="str">
            <v>New 17/12/19</v>
          </cell>
          <cell r="K4239" t="str">
            <v>KU</v>
          </cell>
          <cell r="L4239" t="str">
            <v>KEDU02</v>
          </cell>
          <cell r="M4239" t="str">
            <v>Kedung Agung, UD</v>
          </cell>
          <cell r="N4239" t="str">
            <v>Yulianto Nugroho</v>
          </cell>
          <cell r="O4239" t="str">
            <v>Dsn. Kedung Dowo, RT.01/RW.01 Kel. Sukerejo Kulon, Kec. Kalidawir</v>
          </cell>
          <cell r="P4239" t="str">
            <v>Tulungagung</v>
          </cell>
          <cell r="Q4239" t="str">
            <v>Dsn. Kedung Dowo, RT.01/RW.01 Kel. Sukerejo Kulon, Kec. Kalidawir</v>
          </cell>
          <cell r="R4239" t="str">
            <v>Tulungagung</v>
          </cell>
          <cell r="S4239" t="str">
            <v>D Barat1</v>
          </cell>
          <cell r="T4239" t="str">
            <v>Tomi</v>
          </cell>
          <cell r="U4239">
            <v>60</v>
          </cell>
        </row>
        <row r="4240">
          <cell r="E4240" t="str">
            <v>D25016207</v>
          </cell>
          <cell r="F4240"/>
          <cell r="G4240">
            <v>250000000</v>
          </cell>
          <cell r="H4240" t="str">
            <v>Zakia</v>
          </cell>
          <cell r="I4240" t="str">
            <v>Tiya</v>
          </cell>
          <cell r="J4240" t="str">
            <v>New 17/12/19</v>
          </cell>
          <cell r="K4240" t="str">
            <v>KU</v>
          </cell>
          <cell r="L4240" t="str">
            <v>KEDU02</v>
          </cell>
          <cell r="M4240" t="str">
            <v>Kedung Agung, UD</v>
          </cell>
          <cell r="N4240" t="str">
            <v>Yulianto Nugroho</v>
          </cell>
          <cell r="O4240" t="str">
            <v>Dsn. Kedung Dowo, RT.01/RW.01 Kel. Sukerejo Kulon, Kec. Kalidawir</v>
          </cell>
          <cell r="P4240" t="str">
            <v>Tulungagung</v>
          </cell>
          <cell r="Q4240" t="str">
            <v>Dsn. Kedung Dowo, RT.01/RW.01 Kel. Sukerejo Kulon, Kec. Kalidawir</v>
          </cell>
          <cell r="R4240" t="str">
            <v>Tulungagung</v>
          </cell>
          <cell r="S4240" t="str">
            <v>D Barat1</v>
          </cell>
          <cell r="T4240" t="str">
            <v>Tomi</v>
          </cell>
          <cell r="U4240">
            <v>60</v>
          </cell>
        </row>
        <row r="4241">
          <cell r="E4241" t="str">
            <v>D25016208</v>
          </cell>
          <cell r="F4241"/>
          <cell r="G4241">
            <v>250000000</v>
          </cell>
          <cell r="H4241" t="str">
            <v>Zakia</v>
          </cell>
          <cell r="I4241" t="str">
            <v>Tiya</v>
          </cell>
          <cell r="J4241" t="str">
            <v>New 17/12/19</v>
          </cell>
          <cell r="K4241" t="str">
            <v>KU</v>
          </cell>
          <cell r="L4241" t="str">
            <v>KEDU02</v>
          </cell>
          <cell r="M4241" t="str">
            <v>Kedung Agung, UD</v>
          </cell>
          <cell r="N4241" t="str">
            <v>Yulianto Nugroho</v>
          </cell>
          <cell r="O4241" t="str">
            <v>Dsn. Kedung Dowo, RT.01/RW.01 Kel. Sukerejo Kulon, Kec. Kalidawir</v>
          </cell>
          <cell r="P4241" t="str">
            <v>Tulungagung</v>
          </cell>
          <cell r="Q4241" t="str">
            <v>Dsn. Kedung Dowo, RT.01/RW.01 Kel. Sukerejo Kulon, Kec. Kalidawir</v>
          </cell>
          <cell r="R4241" t="str">
            <v>Tulungagung</v>
          </cell>
          <cell r="S4241" t="str">
            <v>D Barat1</v>
          </cell>
          <cell r="T4241" t="str">
            <v>Tomi</v>
          </cell>
          <cell r="U4241">
            <v>60</v>
          </cell>
        </row>
        <row r="4242">
          <cell r="E4242" t="str">
            <v>D25016240</v>
          </cell>
          <cell r="F4242"/>
          <cell r="G4242">
            <v>50000000</v>
          </cell>
          <cell r="H4242" t="str">
            <v>Zakia</v>
          </cell>
          <cell r="I4242" t="str">
            <v>Tiya</v>
          </cell>
          <cell r="J4242"/>
          <cell r="K4242" t="str">
            <v>KU</v>
          </cell>
          <cell r="L4242" t="str">
            <v>KEMB01</v>
          </cell>
          <cell r="M4242" t="str">
            <v>Kembar Jaya, CV</v>
          </cell>
          <cell r="N4242" t="str">
            <v>Sadewa Agri Jaya, CV</v>
          </cell>
          <cell r="O4242" t="str">
            <v>Diponegoro No. 6 Brumbung Kedung</v>
          </cell>
          <cell r="P4242" t="str">
            <v>Kediri</v>
          </cell>
          <cell r="Q4242" t="str">
            <v>Diponegoro No. 6 Brumbung Kedung</v>
          </cell>
          <cell r="R4242" t="str">
            <v>Kediri</v>
          </cell>
          <cell r="S4242" t="str">
            <v>D Barat1</v>
          </cell>
          <cell r="T4242" t="str">
            <v>Tomi</v>
          </cell>
          <cell r="U4242">
            <v>0</v>
          </cell>
        </row>
        <row r="4243">
          <cell r="E4243" t="str">
            <v>B25013756</v>
          </cell>
          <cell r="F4243"/>
          <cell r="G4243">
            <v>1000</v>
          </cell>
          <cell r="H4243" t="str">
            <v>Yuyun</v>
          </cell>
          <cell r="I4243" t="str">
            <v>Farida</v>
          </cell>
          <cell r="J4243" t="str">
            <v>New 05/08/24</v>
          </cell>
          <cell r="K4243" t="str">
            <v>CBD</v>
          </cell>
          <cell r="L4243" t="str">
            <v>KHAI03</v>
          </cell>
          <cell r="M4243" t="str">
            <v>Khairul Anwar</v>
          </cell>
          <cell r="N4243" t="str">
            <v>Khairul Anwar</v>
          </cell>
          <cell r="O4243" t="str">
            <v>Perum Bumi Mangli Permai Blok CH-9, RT.004/RW.013, Kel. Mangli, Kec. Kaliwates</v>
          </cell>
          <cell r="P4243" t="str">
            <v>Jember</v>
          </cell>
          <cell r="Q4243" t="str">
            <v>Perum Bumi Mangli Permai Blok CH-9, RT.004/RW.013, Kel. Mangli, Kec. Kaliwates</v>
          </cell>
          <cell r="R4243" t="str">
            <v>Jember</v>
          </cell>
          <cell r="S4243" t="str">
            <v>L Kota1</v>
          </cell>
          <cell r="T4243" t="str">
            <v>Wira</v>
          </cell>
          <cell r="U4243">
            <v>0</v>
          </cell>
        </row>
        <row r="4244">
          <cell r="E4244" t="str">
            <v>B25008978</v>
          </cell>
          <cell r="F4244"/>
          <cell r="G4244">
            <v>30000000</v>
          </cell>
          <cell r="H4244" t="str">
            <v>Faris</v>
          </cell>
          <cell r="I4244" t="str">
            <v>Syahra</v>
          </cell>
          <cell r="J4244"/>
          <cell r="K4244" t="str">
            <v>KU</v>
          </cell>
          <cell r="L4244" t="str">
            <v>KHAR04</v>
          </cell>
          <cell r="M4244" t="str">
            <v>Kharisma Alam Abadi</v>
          </cell>
          <cell r="N4244" t="str">
            <v>Farid Kuntadi/Sumiati</v>
          </cell>
          <cell r="O4244" t="str">
            <v>Jl. Sucipto Lk Parse, RT.003/RW.002, Dawuhan</v>
          </cell>
          <cell r="P4244" t="str">
            <v>Situbondo</v>
          </cell>
          <cell r="Q4244" t="str">
            <v>Jl. Sucipto Lk Parse, RT.003/RW.002, Dawuhan</v>
          </cell>
          <cell r="R4244" t="str">
            <v>Situbondo</v>
          </cell>
          <cell r="S4244" t="str">
            <v>N Bdw Stb</v>
          </cell>
          <cell r="T4244" t="str">
            <v>Wira</v>
          </cell>
          <cell r="U4244">
            <v>30</v>
          </cell>
        </row>
        <row r="4245">
          <cell r="E4245" t="str">
            <v>D25011396</v>
          </cell>
          <cell r="F4245"/>
          <cell r="G4245">
            <v>30000000</v>
          </cell>
          <cell r="H4245" t="str">
            <v>Faris</v>
          </cell>
          <cell r="I4245" t="str">
            <v>Syahra</v>
          </cell>
          <cell r="J4245"/>
          <cell r="K4245" t="str">
            <v>KU</v>
          </cell>
          <cell r="L4245" t="str">
            <v>KHAR04</v>
          </cell>
          <cell r="M4245" t="str">
            <v>Kharisma Alam Abadi</v>
          </cell>
          <cell r="N4245" t="str">
            <v>Farid Kuntadi/Sumiati</v>
          </cell>
          <cell r="O4245" t="str">
            <v>Jl. Sucipto Lk Parse, RT.003/RW.002, Dawuhan</v>
          </cell>
          <cell r="P4245" t="str">
            <v>Situbondo</v>
          </cell>
          <cell r="Q4245" t="str">
            <v>Jl. Sucipto Lk Parse, RT.003/RW.002, Dawuhan</v>
          </cell>
          <cell r="R4245" t="str">
            <v>Situbondo</v>
          </cell>
          <cell r="S4245" t="str">
            <v>N Bdw Stb</v>
          </cell>
          <cell r="T4245" t="str">
            <v>Wira</v>
          </cell>
          <cell r="U4245">
            <v>60</v>
          </cell>
        </row>
        <row r="4246">
          <cell r="E4246" t="str">
            <v>D25011396</v>
          </cell>
          <cell r="F4246"/>
          <cell r="G4246">
            <v>30000000</v>
          </cell>
          <cell r="H4246" t="str">
            <v>Faris</v>
          </cell>
          <cell r="I4246" t="str">
            <v>Syahra</v>
          </cell>
          <cell r="J4246"/>
          <cell r="K4246" t="str">
            <v>KU</v>
          </cell>
          <cell r="L4246" t="str">
            <v>KHAR04</v>
          </cell>
          <cell r="M4246" t="str">
            <v>Kharisma Alam Abadi</v>
          </cell>
          <cell r="N4246" t="str">
            <v>Farid Kuntadi/Sumiati</v>
          </cell>
          <cell r="O4246" t="str">
            <v>Jl. Sucipto Lk Parse, RT.003/RW.002, Dawuhan</v>
          </cell>
          <cell r="P4246" t="str">
            <v>Situbondo</v>
          </cell>
          <cell r="Q4246" t="str">
            <v>Jl. Sucipto Lk Parse, RT.003/RW.002, Dawuhan</v>
          </cell>
          <cell r="R4246" t="str">
            <v>Situbondo</v>
          </cell>
          <cell r="S4246" t="str">
            <v>N Bdw Stb</v>
          </cell>
          <cell r="T4246" t="str">
            <v>Wira</v>
          </cell>
          <cell r="U4246">
            <v>60</v>
          </cell>
        </row>
        <row r="4247">
          <cell r="E4247" t="str">
            <v>D25012005</v>
          </cell>
          <cell r="F4247"/>
          <cell r="G4247">
            <v>30000000</v>
          </cell>
          <cell r="H4247" t="str">
            <v>Faris</v>
          </cell>
          <cell r="I4247" t="str">
            <v>Syahra</v>
          </cell>
          <cell r="J4247"/>
          <cell r="K4247" t="str">
            <v>KU</v>
          </cell>
          <cell r="L4247" t="str">
            <v>KHAR04</v>
          </cell>
          <cell r="M4247" t="str">
            <v>Kharisma Alam Abadi</v>
          </cell>
          <cell r="N4247" t="str">
            <v>Farid Kuntadi/Sumiati</v>
          </cell>
          <cell r="O4247" t="str">
            <v>Jl. Sucipto Lk Parse, RT.003/RW.002, Dawuhan</v>
          </cell>
          <cell r="P4247" t="str">
            <v>Situbondo</v>
          </cell>
          <cell r="Q4247" t="str">
            <v>Jl. Sucipto Lk Parse, RT.003/RW.002, Dawuhan</v>
          </cell>
          <cell r="R4247" t="str">
            <v>Situbondo</v>
          </cell>
          <cell r="S4247" t="str">
            <v>N Bdw Stb</v>
          </cell>
          <cell r="T4247" t="str">
            <v>Wira</v>
          </cell>
          <cell r="U4247">
            <v>60</v>
          </cell>
        </row>
        <row r="4248">
          <cell r="E4248" t="str">
            <v>Z25002267</v>
          </cell>
          <cell r="F4248"/>
          <cell r="G4248">
            <v>75000000</v>
          </cell>
          <cell r="H4248" t="str">
            <v>Yuyun</v>
          </cell>
          <cell r="I4248" t="str">
            <v>Farida</v>
          </cell>
          <cell r="J4248"/>
          <cell r="K4248" t="str">
            <v>KU</v>
          </cell>
          <cell r="L4248" t="str">
            <v>KHAR03</v>
          </cell>
          <cell r="M4248" t="str">
            <v>Kharisma/Nanang</v>
          </cell>
          <cell r="N4248" t="str">
            <v>Nanang Kurniawan</v>
          </cell>
          <cell r="O4248" t="str">
            <v>Dsn. Sumber Balin, RT.01/RW.001 Cumedak Sumber Jambe</v>
          </cell>
          <cell r="P4248" t="str">
            <v>Jember</v>
          </cell>
          <cell r="Q4248" t="str">
            <v>Dsn. Sumber Balin, RT.01/RW.001 Cumedak Sumber Jambe</v>
          </cell>
          <cell r="R4248" t="str">
            <v>Jember</v>
          </cell>
          <cell r="S4248" t="str">
            <v>N Bdw Stb</v>
          </cell>
          <cell r="T4248" t="str">
            <v>Wira</v>
          </cell>
          <cell r="U4248">
            <v>30</v>
          </cell>
        </row>
        <row r="4249">
          <cell r="E4249" t="str">
            <v>Z25002306</v>
          </cell>
          <cell r="F4249"/>
          <cell r="G4249">
            <v>75000000</v>
          </cell>
          <cell r="H4249" t="str">
            <v>Yuyun</v>
          </cell>
          <cell r="I4249" t="str">
            <v>Farida</v>
          </cell>
          <cell r="J4249"/>
          <cell r="K4249" t="str">
            <v>KU</v>
          </cell>
          <cell r="L4249" t="str">
            <v>KHAR03</v>
          </cell>
          <cell r="M4249" t="str">
            <v>Kharisma/Nanang</v>
          </cell>
          <cell r="N4249" t="str">
            <v>Nanang Kurniawan</v>
          </cell>
          <cell r="O4249" t="str">
            <v>Dsn. Sumber Balin, RT.01/RW.001 Cumedak Sumber Jambe</v>
          </cell>
          <cell r="P4249" t="str">
            <v>Jember</v>
          </cell>
          <cell r="Q4249" t="str">
            <v>Dsn. Sumber Balin, RT.01/RW.001 Cumedak Sumber Jambe</v>
          </cell>
          <cell r="R4249" t="str">
            <v>Jember</v>
          </cell>
          <cell r="S4249" t="str">
            <v>N Bdw Stb</v>
          </cell>
          <cell r="T4249" t="str">
            <v>Wira</v>
          </cell>
          <cell r="U4249">
            <v>30</v>
          </cell>
        </row>
        <row r="4250">
          <cell r="E4250" t="str">
            <v>Z25002593</v>
          </cell>
          <cell r="F4250"/>
          <cell r="G4250">
            <v>75000000</v>
          </cell>
          <cell r="H4250" t="str">
            <v>Yuyun</v>
          </cell>
          <cell r="I4250" t="str">
            <v>Farida</v>
          </cell>
          <cell r="J4250"/>
          <cell r="K4250" t="str">
            <v>KU</v>
          </cell>
          <cell r="L4250" t="str">
            <v>KHAR03</v>
          </cell>
          <cell r="M4250" t="str">
            <v>Kharisma/Nanang</v>
          </cell>
          <cell r="N4250" t="str">
            <v>Nanang Kurniawan</v>
          </cell>
          <cell r="O4250" t="str">
            <v>Dsn. Sumber Balin, RT.01/RW.001 Cumedak Sumber Jambe</v>
          </cell>
          <cell r="P4250" t="str">
            <v>Jember</v>
          </cell>
          <cell r="Q4250" t="str">
            <v>Dsn. Sumber Balin, RT.01/RW.001 Cumedak Sumber Jambe</v>
          </cell>
          <cell r="R4250" t="str">
            <v>Jember</v>
          </cell>
          <cell r="S4250" t="str">
            <v>N Bdw Stb</v>
          </cell>
          <cell r="T4250" t="str">
            <v>Wira</v>
          </cell>
          <cell r="U4250">
            <v>30</v>
          </cell>
        </row>
        <row r="4251">
          <cell r="E4251" t="str">
            <v>Z25002638</v>
          </cell>
          <cell r="F4251"/>
          <cell r="G4251">
            <v>75000000</v>
          </cell>
          <cell r="H4251" t="str">
            <v>Yuyun</v>
          </cell>
          <cell r="I4251" t="str">
            <v>Farida</v>
          </cell>
          <cell r="J4251"/>
          <cell r="K4251" t="str">
            <v>KU</v>
          </cell>
          <cell r="L4251" t="str">
            <v>KHAR03</v>
          </cell>
          <cell r="M4251" t="str">
            <v>Kharisma/Nanang</v>
          </cell>
          <cell r="N4251" t="str">
            <v>Nanang Kurniawan</v>
          </cell>
          <cell r="O4251" t="str">
            <v>Dsn. Sumber Balin, RT.01/RW.001 Cumedak Sumber Jambe</v>
          </cell>
          <cell r="P4251" t="str">
            <v>Jember</v>
          </cell>
          <cell r="Q4251" t="str">
            <v>Dsn. Sumber Balin, RT.01/RW.001 Cumedak Sumber Jambe</v>
          </cell>
          <cell r="R4251" t="str">
            <v>Jember</v>
          </cell>
          <cell r="S4251" t="str">
            <v>N Bdw Stb</v>
          </cell>
          <cell r="T4251" t="str">
            <v>Wira</v>
          </cell>
          <cell r="U4251">
            <v>60</v>
          </cell>
        </row>
        <row r="4252">
          <cell r="E4252" t="str">
            <v>Z25002639</v>
          </cell>
          <cell r="F4252"/>
          <cell r="G4252">
            <v>75000000</v>
          </cell>
          <cell r="H4252" t="str">
            <v>Yuyun</v>
          </cell>
          <cell r="I4252" t="str">
            <v>Farida</v>
          </cell>
          <cell r="J4252"/>
          <cell r="K4252" t="str">
            <v>KU</v>
          </cell>
          <cell r="L4252" t="str">
            <v>KHAR03</v>
          </cell>
          <cell r="M4252" t="str">
            <v>Kharisma/Nanang</v>
          </cell>
          <cell r="N4252" t="str">
            <v>Nanang Kurniawan</v>
          </cell>
          <cell r="O4252" t="str">
            <v>Dsn. Sumber Balin, RT.01/RW.001 Cumedak Sumber Jambe</v>
          </cell>
          <cell r="P4252" t="str">
            <v>Jember</v>
          </cell>
          <cell r="Q4252" t="str">
            <v>Dsn. Sumber Balin, RT.01/RW.001 Cumedak Sumber Jambe</v>
          </cell>
          <cell r="R4252" t="str">
            <v>Jember</v>
          </cell>
          <cell r="S4252" t="str">
            <v>N Bdw Stb</v>
          </cell>
          <cell r="T4252" t="str">
            <v>Wira</v>
          </cell>
          <cell r="U4252">
            <v>30</v>
          </cell>
        </row>
        <row r="4253">
          <cell r="E4253" t="str">
            <v>Z25002671</v>
          </cell>
          <cell r="F4253"/>
          <cell r="G4253">
            <v>75000000</v>
          </cell>
          <cell r="H4253" t="str">
            <v>Yuyun</v>
          </cell>
          <cell r="I4253" t="str">
            <v>Farida</v>
          </cell>
          <cell r="J4253"/>
          <cell r="K4253" t="str">
            <v>KU</v>
          </cell>
          <cell r="L4253" t="str">
            <v>KHAR03</v>
          </cell>
          <cell r="M4253" t="str">
            <v>Kharisma/Nanang</v>
          </cell>
          <cell r="N4253" t="str">
            <v>Nanang Kurniawan</v>
          </cell>
          <cell r="O4253" t="str">
            <v>Dsn. Sumber Balin, RT.01/RW.001 Cumedak Sumber Jambe</v>
          </cell>
          <cell r="P4253" t="str">
            <v>Jember</v>
          </cell>
          <cell r="Q4253" t="str">
            <v>Dsn. Sumber Balin, RT.01/RW.001 Cumedak Sumber Jambe</v>
          </cell>
          <cell r="R4253" t="str">
            <v>Jember</v>
          </cell>
          <cell r="S4253" t="str">
            <v>N Bdw Stb</v>
          </cell>
          <cell r="T4253" t="str">
            <v>Wira</v>
          </cell>
          <cell r="U4253">
            <v>30</v>
          </cell>
        </row>
        <row r="4254">
          <cell r="E4254" t="str">
            <v>Z25002726</v>
          </cell>
          <cell r="F4254"/>
          <cell r="G4254">
            <v>75000000</v>
          </cell>
          <cell r="H4254" t="str">
            <v>Yuyun</v>
          </cell>
          <cell r="I4254" t="str">
            <v>Farida</v>
          </cell>
          <cell r="J4254"/>
          <cell r="K4254" t="str">
            <v>KU</v>
          </cell>
          <cell r="L4254" t="str">
            <v>KHAR03</v>
          </cell>
          <cell r="M4254" t="str">
            <v>Kharisma/Nanang</v>
          </cell>
          <cell r="N4254" t="str">
            <v>Nanang Kurniawan</v>
          </cell>
          <cell r="O4254" t="str">
            <v>Dsn. Sumber Balin, RT.01/RW.001 Cumedak Sumber Jambe</v>
          </cell>
          <cell r="P4254" t="str">
            <v>Jember</v>
          </cell>
          <cell r="Q4254" t="str">
            <v>Dsn. Sumber Balin, RT.01/RW.001 Cumedak Sumber Jambe</v>
          </cell>
          <cell r="R4254" t="str">
            <v>Jember</v>
          </cell>
          <cell r="S4254" t="str">
            <v>N Bdw Stb</v>
          </cell>
          <cell r="T4254" t="str">
            <v>Wira</v>
          </cell>
          <cell r="U4254">
            <v>30</v>
          </cell>
        </row>
        <row r="4255">
          <cell r="E4255" t="str">
            <v>Z25002741</v>
          </cell>
          <cell r="F4255"/>
          <cell r="G4255">
            <v>75000000</v>
          </cell>
          <cell r="H4255" t="str">
            <v>Yuyun</v>
          </cell>
          <cell r="I4255" t="str">
            <v>Farida</v>
          </cell>
          <cell r="J4255"/>
          <cell r="K4255" t="str">
            <v>KU</v>
          </cell>
          <cell r="L4255" t="str">
            <v>KHAR03</v>
          </cell>
          <cell r="M4255" t="str">
            <v>Kharisma/Nanang</v>
          </cell>
          <cell r="N4255" t="str">
            <v>Nanang Kurniawan</v>
          </cell>
          <cell r="O4255" t="str">
            <v>Dsn. Sumber Balin, RT.01/RW.001 Cumedak Sumber Jambe</v>
          </cell>
          <cell r="P4255" t="str">
            <v>Jember</v>
          </cell>
          <cell r="Q4255" t="str">
            <v>Dsn. Sumber Balin, RT.01/RW.001 Cumedak Sumber Jambe</v>
          </cell>
          <cell r="R4255" t="str">
            <v>Jember</v>
          </cell>
          <cell r="S4255" t="str">
            <v>N Bdw Stb</v>
          </cell>
          <cell r="T4255" t="str">
            <v>Wira</v>
          </cell>
          <cell r="U4255">
            <v>30</v>
          </cell>
        </row>
        <row r="4256">
          <cell r="E4256" t="str">
            <v>Z25002831</v>
          </cell>
          <cell r="F4256"/>
          <cell r="G4256">
            <v>75000000</v>
          </cell>
          <cell r="H4256" t="str">
            <v>Yuyun</v>
          </cell>
          <cell r="I4256" t="str">
            <v>Farida</v>
          </cell>
          <cell r="J4256"/>
          <cell r="K4256" t="str">
            <v>KU</v>
          </cell>
          <cell r="L4256" t="str">
            <v>KHAR03</v>
          </cell>
          <cell r="M4256" t="str">
            <v>Kharisma/Nanang</v>
          </cell>
          <cell r="N4256" t="str">
            <v>Nanang Kurniawan</v>
          </cell>
          <cell r="O4256" t="str">
            <v>Dsn. Sumber Balin, RT.01/RW.001 Cumedak Sumber Jambe</v>
          </cell>
          <cell r="P4256" t="str">
            <v>Jember</v>
          </cell>
          <cell r="Q4256" t="str">
            <v>Dsn. Sumber Balin, RT.01/RW.001 Cumedak Sumber Jambe</v>
          </cell>
          <cell r="R4256" t="str">
            <v>Jember</v>
          </cell>
          <cell r="S4256" t="str">
            <v>N Bdw Stb</v>
          </cell>
          <cell r="T4256" t="str">
            <v>Wira</v>
          </cell>
          <cell r="U4256">
            <v>30</v>
          </cell>
        </row>
        <row r="4257">
          <cell r="E4257" t="str">
            <v>D25011917</v>
          </cell>
          <cell r="F4257"/>
          <cell r="G4257">
            <v>1000</v>
          </cell>
          <cell r="H4257" t="str">
            <v>Yuyun</v>
          </cell>
          <cell r="I4257" t="str">
            <v>Syahra</v>
          </cell>
          <cell r="J4257" t="str">
            <v>New 27/10/23</v>
          </cell>
          <cell r="K4257" t="str">
            <v>KU</v>
          </cell>
          <cell r="L4257" t="str">
            <v>KHOI04</v>
          </cell>
          <cell r="M4257" t="str">
            <v>Khoirul/Syngenta</v>
          </cell>
          <cell r="N4257" t="str">
            <v>Khoirul Abidin, S.P.</v>
          </cell>
          <cell r="O4257" t="str">
            <v>Jl. Jember No. 18 RT.001/RW.002, Kel. Kalirejo, Kec. Kabat</v>
          </cell>
          <cell r="P4257" t="str">
            <v>Banyuwangi</v>
          </cell>
          <cell r="Q4257" t="str">
            <v>Jl. Jember No. 18 RT.001/RW.002, Kel. Kalirejo, Kec. Kabat</v>
          </cell>
          <cell r="R4257" t="str">
            <v>Banyuwangi</v>
          </cell>
          <cell r="S4257" t="str">
            <v>B Agronomis</v>
          </cell>
          <cell r="T4257" t="str">
            <v>Hafid</v>
          </cell>
          <cell r="U4257">
            <v>30</v>
          </cell>
        </row>
        <row r="4258">
          <cell r="E4258" t="str">
            <v>D25011917</v>
          </cell>
          <cell r="F4258"/>
          <cell r="G4258">
            <v>1000</v>
          </cell>
          <cell r="H4258" t="str">
            <v>Yuyun</v>
          </cell>
          <cell r="I4258" t="str">
            <v>Syahra</v>
          </cell>
          <cell r="J4258" t="str">
            <v>New 27/10/23</v>
          </cell>
          <cell r="K4258" t="str">
            <v>KU</v>
          </cell>
          <cell r="L4258" t="str">
            <v>KHOI04</v>
          </cell>
          <cell r="M4258" t="str">
            <v>Khoirul/Syngenta</v>
          </cell>
          <cell r="N4258" t="str">
            <v>Khoirul Abidin, S.P.</v>
          </cell>
          <cell r="O4258" t="str">
            <v>Jl. Jember No. 18 RT.001/RW.002, Kel. Kalirejo, Kec. Kabat</v>
          </cell>
          <cell r="P4258" t="str">
            <v>Banyuwangi</v>
          </cell>
          <cell r="Q4258" t="str">
            <v>Jl. Jember No. 18 RT.001/RW.002, Kel. Kalirejo, Kec. Kabat</v>
          </cell>
          <cell r="R4258" t="str">
            <v>Banyuwangi</v>
          </cell>
          <cell r="S4258" t="str">
            <v>B Agronomis</v>
          </cell>
          <cell r="T4258" t="str">
            <v>Hafid</v>
          </cell>
          <cell r="U4258">
            <v>30</v>
          </cell>
        </row>
        <row r="4259">
          <cell r="E4259" t="str">
            <v>N25000050</v>
          </cell>
          <cell r="F4259"/>
          <cell r="G4259">
            <v>1000</v>
          </cell>
          <cell r="H4259" t="str">
            <v>Yuyun</v>
          </cell>
          <cell r="I4259" t="str">
            <v>Syahra</v>
          </cell>
          <cell r="J4259" t="str">
            <v>New 27/10/23</v>
          </cell>
          <cell r="K4259" t="str">
            <v>KU</v>
          </cell>
          <cell r="L4259" t="str">
            <v>KHOI04</v>
          </cell>
          <cell r="M4259" t="str">
            <v>Khoirul/Syngenta</v>
          </cell>
          <cell r="N4259" t="str">
            <v>Khoirul Abidin, S.P.</v>
          </cell>
          <cell r="O4259" t="str">
            <v>Jl. Jember No. 18 RT.001/RW.002, Kel. Kalirejo, Kec. Kabat</v>
          </cell>
          <cell r="P4259" t="str">
            <v>Banyuwangi</v>
          </cell>
          <cell r="Q4259" t="str">
            <v>Jl. Jember No. 18 RT.001/RW.002, Kel. Kalirejo, Kec. Kabat</v>
          </cell>
          <cell r="R4259" t="str">
            <v>Banyuwangi</v>
          </cell>
          <cell r="S4259" t="str">
            <v>B Agronomis</v>
          </cell>
          <cell r="T4259" t="str">
            <v>Hafid</v>
          </cell>
          <cell r="U4259">
            <v>30</v>
          </cell>
        </row>
        <row r="4260">
          <cell r="E4260" t="str">
            <v>B25012626</v>
          </cell>
          <cell r="F4260"/>
          <cell r="G4260">
            <v>1000</v>
          </cell>
          <cell r="H4260" t="str">
            <v>Zakia</v>
          </cell>
          <cell r="I4260" t="str">
            <v>Tiya</v>
          </cell>
          <cell r="J4260" t="str">
            <v>New 22/07/24</v>
          </cell>
          <cell r="K4260" t="str">
            <v>KU</v>
          </cell>
          <cell r="L4260" t="str">
            <v>KIOS01</v>
          </cell>
          <cell r="M4260" t="str">
            <v>Kios Kadek/Putu Suarsa</v>
          </cell>
          <cell r="N4260" t="str">
            <v>Putu Suarsa</v>
          </cell>
          <cell r="O4260" t="str">
            <v>Br. Dinas Bululada RT.001/RW.002, Desa Selat, Kec. Sukasada</v>
          </cell>
          <cell r="P4260" t="str">
            <v>Buleleng - Bali</v>
          </cell>
          <cell r="Q4260" t="str">
            <v>Br. Dinas Bululada RT.001/RW.002, Desa Selat, Kec. Sukasada</v>
          </cell>
          <cell r="R4260" t="str">
            <v>Buleleng - Bali</v>
          </cell>
          <cell r="S4260" t="str">
            <v>S Bali1</v>
          </cell>
          <cell r="T4260" t="str">
            <v>Wira</v>
          </cell>
          <cell r="U4260">
            <v>0</v>
          </cell>
        </row>
        <row r="4261">
          <cell r="E4261" t="str">
            <v>B25012660</v>
          </cell>
          <cell r="F4261"/>
          <cell r="G4261">
            <v>1000</v>
          </cell>
          <cell r="H4261" t="str">
            <v>Zakia</v>
          </cell>
          <cell r="I4261" t="str">
            <v>Tiya</v>
          </cell>
          <cell r="J4261" t="str">
            <v>New 22/07/24</v>
          </cell>
          <cell r="K4261" t="str">
            <v>KU</v>
          </cell>
          <cell r="L4261" t="str">
            <v>KIOS01</v>
          </cell>
          <cell r="M4261" t="str">
            <v>Kios Kadek/Putu Suarsa</v>
          </cell>
          <cell r="N4261" t="str">
            <v>Putu Suarsa</v>
          </cell>
          <cell r="O4261" t="str">
            <v>Br. Dinas Bululada RT.001/RW.002, Desa Selat, Kec. Sukasada</v>
          </cell>
          <cell r="P4261" t="str">
            <v>Buleleng - Bali</v>
          </cell>
          <cell r="Q4261" t="str">
            <v>Br. Dinas Bululada RT.001/RW.002, Desa Selat, Kec. Sukasada</v>
          </cell>
          <cell r="R4261" t="str">
            <v>Buleleng - Bali</v>
          </cell>
          <cell r="S4261" t="str">
            <v>S Bali1</v>
          </cell>
          <cell r="T4261" t="str">
            <v>Wira</v>
          </cell>
          <cell r="U4261">
            <v>0</v>
          </cell>
        </row>
        <row r="4262">
          <cell r="E4262" t="str">
            <v>D25015315</v>
          </cell>
          <cell r="F4262"/>
          <cell r="G4262">
            <v>1000</v>
          </cell>
          <cell r="H4262" t="str">
            <v>Zakia</v>
          </cell>
          <cell r="I4262" t="str">
            <v>Tiya</v>
          </cell>
          <cell r="J4262" t="str">
            <v>New 22/07/24</v>
          </cell>
          <cell r="K4262" t="str">
            <v>KU</v>
          </cell>
          <cell r="L4262" t="str">
            <v>KIOS01</v>
          </cell>
          <cell r="M4262" t="str">
            <v>Kios Kadek/Putu Suarsa</v>
          </cell>
          <cell r="N4262" t="str">
            <v>Putu Suarsa</v>
          </cell>
          <cell r="O4262" t="str">
            <v>Br. Dinas Bululada RT.001/RW.002, Desa Selat, Kec. Sukasada</v>
          </cell>
          <cell r="P4262" t="str">
            <v>Buleleng - Bali</v>
          </cell>
          <cell r="Q4262" t="str">
            <v>Br. Dinas Bululada RT.001/RW.002, Desa Selat, Kec. Sukasada</v>
          </cell>
          <cell r="R4262" t="str">
            <v>Buleleng - Bali</v>
          </cell>
          <cell r="S4262" t="str">
            <v>S Bali1</v>
          </cell>
          <cell r="T4262" t="str">
            <v>Wira</v>
          </cell>
          <cell r="U4262">
            <v>0</v>
          </cell>
        </row>
        <row r="4263">
          <cell r="E4263" t="str">
            <v>D25015582</v>
          </cell>
          <cell r="F4263"/>
          <cell r="G4263">
            <v>1000</v>
          </cell>
          <cell r="H4263" t="str">
            <v>Zakia</v>
          </cell>
          <cell r="I4263" t="str">
            <v>Tiya</v>
          </cell>
          <cell r="J4263" t="str">
            <v>New 22/07/24</v>
          </cell>
          <cell r="K4263" t="str">
            <v>KU</v>
          </cell>
          <cell r="L4263" t="str">
            <v>KIOS01</v>
          </cell>
          <cell r="M4263" t="str">
            <v>Kios Kadek/Putu Suarsa</v>
          </cell>
          <cell r="N4263" t="str">
            <v>Putu Suarsa</v>
          </cell>
          <cell r="O4263" t="str">
            <v>Br. Dinas Bululada RT.001/RW.002, Desa Selat, Kec. Sukasada</v>
          </cell>
          <cell r="P4263" t="str">
            <v>Buleleng - Bali</v>
          </cell>
          <cell r="Q4263" t="str">
            <v>Br. Dinas Bululada RT.001/RW.002, Desa Selat, Kec. Sukasada</v>
          </cell>
          <cell r="R4263" t="str">
            <v>Buleleng - Bali</v>
          </cell>
          <cell r="S4263" t="str">
            <v>S Bali1</v>
          </cell>
          <cell r="T4263" t="str">
            <v>Wira</v>
          </cell>
          <cell r="U4263">
            <v>0</v>
          </cell>
        </row>
        <row r="4264">
          <cell r="E4264" t="str">
            <v>D25016053</v>
          </cell>
          <cell r="F4264"/>
          <cell r="G4264">
            <v>1000</v>
          </cell>
          <cell r="H4264" t="str">
            <v>Zakia</v>
          </cell>
          <cell r="I4264" t="str">
            <v>Tiya</v>
          </cell>
          <cell r="J4264" t="str">
            <v>New 22/07/24</v>
          </cell>
          <cell r="K4264" t="str">
            <v>KU</v>
          </cell>
          <cell r="L4264" t="str">
            <v>KIOS01</v>
          </cell>
          <cell r="M4264" t="str">
            <v>Kios Kadek/Putu Suarsa</v>
          </cell>
          <cell r="N4264" t="str">
            <v>Putu Suarsa</v>
          </cell>
          <cell r="O4264" t="str">
            <v>Br. Dinas Bululada RT.001/RW.002, Desa Selat, Kec. Sukasada</v>
          </cell>
          <cell r="P4264" t="str">
            <v>Buleleng - Bali</v>
          </cell>
          <cell r="Q4264" t="str">
            <v>Br. Dinas Bululada RT.001/RW.002, Desa Selat, Kec. Sukasada</v>
          </cell>
          <cell r="R4264" t="str">
            <v>Buleleng - Bali</v>
          </cell>
          <cell r="S4264" t="str">
            <v>S Bali1</v>
          </cell>
          <cell r="T4264" t="str">
            <v>Wira</v>
          </cell>
          <cell r="U4264">
            <v>0</v>
          </cell>
        </row>
        <row r="4265">
          <cell r="E4265" t="str">
            <v>B25013864</v>
          </cell>
          <cell r="F4265"/>
          <cell r="G4265">
            <v>1000</v>
          </cell>
          <cell r="H4265" t="str">
            <v>Ariyani</v>
          </cell>
          <cell r="I4265" t="str">
            <v>Fira</v>
          </cell>
          <cell r="J4265" t="str">
            <v>New 28/10/25</v>
          </cell>
          <cell r="K4265" t="str">
            <v>KU</v>
          </cell>
          <cell r="L4265" t="str">
            <v>KIOS04</v>
          </cell>
          <cell r="M4265" t="str">
            <v>Kios Tani/Agus</v>
          </cell>
          <cell r="N4265" t="str">
            <v>Agus Setiawan</v>
          </cell>
          <cell r="O4265" t="str">
            <v>Dusun Tukum Kidul RT.037/RW.013, Kel. Tukum, Kec. Tekung</v>
          </cell>
          <cell r="P4265" t="str">
            <v>Lumajang</v>
          </cell>
          <cell r="Q4265" t="str">
            <v>Jl. Kyai Sanusi Gg Rahmat Dusun Tukum Kidul, Kel. Tukum, Kec. Tekung</v>
          </cell>
          <cell r="R4265" t="str">
            <v>Lumajang</v>
          </cell>
          <cell r="S4265" t="str">
            <v>C Lumajang</v>
          </cell>
          <cell r="T4265" t="str">
            <v>Wira</v>
          </cell>
          <cell r="U4265">
            <v>0</v>
          </cell>
        </row>
        <row r="4266">
          <cell r="E4266" t="str">
            <v>B25013359</v>
          </cell>
          <cell r="F4266"/>
          <cell r="G4266">
            <v>1000</v>
          </cell>
          <cell r="H4266" t="str">
            <v>Yuyun</v>
          </cell>
          <cell r="I4266" t="str">
            <v>Farida</v>
          </cell>
          <cell r="J4266" t="str">
            <v>New 07/01/2025</v>
          </cell>
          <cell r="K4266" t="str">
            <v>COD</v>
          </cell>
          <cell r="L4266" t="str">
            <v>KIRA01</v>
          </cell>
          <cell r="M4266" t="str">
            <v>Kirana Tani/Fatkhurozi</v>
          </cell>
          <cell r="N4266" t="str">
            <v>Fatkhurrozi</v>
          </cell>
          <cell r="O4266" t="str">
            <v>Perum Tegal Besar Blok B. 30-31 RT.001/RW.018 , Tegal Besar, Kaliwates</v>
          </cell>
          <cell r="P4266" t="str">
            <v>Jember</v>
          </cell>
          <cell r="Q4266" t="str">
            <v>Jalan Raya Jember Bondowoso , Pasar Jelbuk</v>
          </cell>
          <cell r="R4266" t="str">
            <v>Jember</v>
          </cell>
          <cell r="S4266" t="str">
            <v>L Kota1</v>
          </cell>
          <cell r="T4266" t="str">
            <v>Wira</v>
          </cell>
          <cell r="U4266">
            <v>0</v>
          </cell>
        </row>
        <row r="4267">
          <cell r="E4267" t="str">
            <v>B25011077</v>
          </cell>
          <cell r="F4267"/>
          <cell r="G4267">
            <v>9000000000</v>
          </cell>
          <cell r="H4267" t="str">
            <v>Hendra</v>
          </cell>
          <cell r="I4267" t="str">
            <v>Tiya</v>
          </cell>
          <cell r="J4267"/>
          <cell r="K4267" t="str">
            <v>KU</v>
          </cell>
          <cell r="L4267" t="str">
            <v>KHAR01</v>
          </cell>
          <cell r="M4267" t="str">
            <v>KIU Cabang</v>
          </cell>
          <cell r="N4267" t="str">
            <v>KIU Cabang</v>
          </cell>
          <cell r="O4267" t="str">
            <v>JL. Gubernur Soebardjo Bizpark Blok. A1 Kab. Banjar</v>
          </cell>
          <cell r="P4267" t="str">
            <v>Kalimantan Selatan</v>
          </cell>
          <cell r="Q4267" t="str">
            <v>JL. Gubernur Soebardjo Bizpark Blok. A1 Kab. Banjar</v>
          </cell>
          <cell r="R4267" t="str">
            <v>Kalimantan Selatan</v>
          </cell>
          <cell r="S4267" t="str">
            <v>E Luar Pulau2</v>
          </cell>
          <cell r="T4267" t="str">
            <v>OTHERS</v>
          </cell>
          <cell r="U4267">
            <v>45</v>
          </cell>
        </row>
        <row r="4268">
          <cell r="E4268" t="str">
            <v>B25011146</v>
          </cell>
          <cell r="F4268"/>
          <cell r="G4268">
            <v>9000000000</v>
          </cell>
          <cell r="H4268" t="str">
            <v>Hendra</v>
          </cell>
          <cell r="I4268" t="str">
            <v>Tiya</v>
          </cell>
          <cell r="J4268"/>
          <cell r="K4268" t="str">
            <v>KU</v>
          </cell>
          <cell r="L4268" t="str">
            <v>KHAR01</v>
          </cell>
          <cell r="M4268" t="str">
            <v>KIU Cabang</v>
          </cell>
          <cell r="N4268" t="str">
            <v>KIU Cabang</v>
          </cell>
          <cell r="O4268" t="str">
            <v>JL. Gubernur Soebardjo Bizpark Blok. A1 Kab. Banjar</v>
          </cell>
          <cell r="P4268" t="str">
            <v>Kalimantan Selatan</v>
          </cell>
          <cell r="Q4268" t="str">
            <v>JL. Gubernur Soebardjo Bizpark Blok. A1 Kab. Banjar</v>
          </cell>
          <cell r="R4268" t="str">
            <v>Kalimantan Selatan</v>
          </cell>
          <cell r="S4268" t="str">
            <v>E Luar Pulau2</v>
          </cell>
          <cell r="T4268" t="str">
            <v>OTHERS</v>
          </cell>
          <cell r="U4268">
            <v>45</v>
          </cell>
        </row>
        <row r="4269">
          <cell r="E4269" t="str">
            <v>B25011296</v>
          </cell>
          <cell r="F4269"/>
          <cell r="G4269">
            <v>9000000000</v>
          </cell>
          <cell r="H4269" t="str">
            <v>Hendra</v>
          </cell>
          <cell r="I4269" t="str">
            <v>Tiya</v>
          </cell>
          <cell r="J4269"/>
          <cell r="K4269" t="str">
            <v>KU</v>
          </cell>
          <cell r="L4269" t="str">
            <v>KHAR01</v>
          </cell>
          <cell r="M4269" t="str">
            <v>KIU Cabang</v>
          </cell>
          <cell r="N4269" t="str">
            <v>KIU Cabang</v>
          </cell>
          <cell r="O4269" t="str">
            <v>JL. Gubernur Soebardjo Bizpark Blok. A1 Kab. Banjar</v>
          </cell>
          <cell r="P4269" t="str">
            <v>Kalimantan Selatan</v>
          </cell>
          <cell r="Q4269" t="str">
            <v>JL. Gubernur Soebardjo Bizpark Blok. A1 Kab. Banjar</v>
          </cell>
          <cell r="R4269" t="str">
            <v>Kalimantan Selatan</v>
          </cell>
          <cell r="S4269" t="str">
            <v>E Luar Pulau2</v>
          </cell>
          <cell r="T4269" t="str">
            <v>OTHERS</v>
          </cell>
          <cell r="U4269">
            <v>45</v>
          </cell>
        </row>
        <row r="4270">
          <cell r="E4270" t="str">
            <v>B25011326</v>
          </cell>
          <cell r="F4270"/>
          <cell r="G4270">
            <v>9000000000</v>
          </cell>
          <cell r="H4270" t="str">
            <v>Hendra</v>
          </cell>
          <cell r="I4270" t="str">
            <v>Tiya</v>
          </cell>
          <cell r="J4270"/>
          <cell r="K4270" t="str">
            <v>KU</v>
          </cell>
          <cell r="L4270" t="str">
            <v>KHAR01</v>
          </cell>
          <cell r="M4270" t="str">
            <v>KIU Cabang</v>
          </cell>
          <cell r="N4270" t="str">
            <v>KIU Cabang</v>
          </cell>
          <cell r="O4270" t="str">
            <v>JL. Gubernur Soebardjo Bizpark Blok. A1 Kab. Banjar</v>
          </cell>
          <cell r="P4270" t="str">
            <v>Kalimantan Selatan</v>
          </cell>
          <cell r="Q4270" t="str">
            <v>JL. Gubernur Soebardjo Bizpark Blok. A1 Kab. Banjar</v>
          </cell>
          <cell r="R4270" t="str">
            <v>Kalimantan Selatan</v>
          </cell>
          <cell r="S4270" t="str">
            <v>E Luar Pulau2</v>
          </cell>
          <cell r="T4270" t="str">
            <v>OTHERS</v>
          </cell>
          <cell r="U4270">
            <v>45</v>
          </cell>
        </row>
        <row r="4271">
          <cell r="E4271" t="str">
            <v>B25011365</v>
          </cell>
          <cell r="F4271"/>
          <cell r="G4271">
            <v>9000000000</v>
          </cell>
          <cell r="H4271" t="str">
            <v>Hendra</v>
          </cell>
          <cell r="I4271" t="str">
            <v>Tiya</v>
          </cell>
          <cell r="J4271"/>
          <cell r="K4271" t="str">
            <v>KU</v>
          </cell>
          <cell r="L4271" t="str">
            <v>KHAR01</v>
          </cell>
          <cell r="M4271" t="str">
            <v>KIU Cabang</v>
          </cell>
          <cell r="N4271" t="str">
            <v>KIU Cabang</v>
          </cell>
          <cell r="O4271" t="str">
            <v>JL. Gubernur Soebardjo Bizpark Blok. A1 Kab. Banjar</v>
          </cell>
          <cell r="P4271" t="str">
            <v>Kalimantan Selatan</v>
          </cell>
          <cell r="Q4271" t="str">
            <v>JL. Gubernur Soebardjo Bizpark Blok. A1 Kab. Banjar</v>
          </cell>
          <cell r="R4271" t="str">
            <v>Kalimantan Selatan</v>
          </cell>
          <cell r="S4271" t="str">
            <v>E Luar Pulau2</v>
          </cell>
          <cell r="T4271" t="str">
            <v>OTHERS</v>
          </cell>
          <cell r="U4271">
            <v>45</v>
          </cell>
        </row>
        <row r="4272">
          <cell r="E4272" t="str">
            <v>B25011425</v>
          </cell>
          <cell r="F4272"/>
          <cell r="G4272">
            <v>9000000000</v>
          </cell>
          <cell r="H4272" t="str">
            <v>Hendra</v>
          </cell>
          <cell r="I4272" t="str">
            <v>Tiya</v>
          </cell>
          <cell r="J4272"/>
          <cell r="K4272" t="str">
            <v>KU</v>
          </cell>
          <cell r="L4272" t="str">
            <v>KHAR01</v>
          </cell>
          <cell r="M4272" t="str">
            <v>KIU Cabang</v>
          </cell>
          <cell r="N4272" t="str">
            <v>KIU Cabang</v>
          </cell>
          <cell r="O4272" t="str">
            <v>JL. Gubernur Soebardjo Bizpark Blok. A1 Kab. Banjar</v>
          </cell>
          <cell r="P4272" t="str">
            <v>Kalimantan Selatan</v>
          </cell>
          <cell r="Q4272" t="str">
            <v>JL. Gubernur Soebardjo Bizpark Blok. A1 Kab. Banjar</v>
          </cell>
          <cell r="R4272" t="str">
            <v>Kalimantan Selatan</v>
          </cell>
          <cell r="S4272" t="str">
            <v>E Luar Pulau2</v>
          </cell>
          <cell r="T4272" t="str">
            <v>OTHERS</v>
          </cell>
          <cell r="U4272">
            <v>45</v>
          </cell>
        </row>
        <row r="4273">
          <cell r="E4273" t="str">
            <v>B25011472</v>
          </cell>
          <cell r="F4273"/>
          <cell r="G4273">
            <v>9000000000</v>
          </cell>
          <cell r="H4273" t="str">
            <v>Hendra</v>
          </cell>
          <cell r="I4273" t="str">
            <v>Tiya</v>
          </cell>
          <cell r="J4273"/>
          <cell r="K4273" t="str">
            <v>KU</v>
          </cell>
          <cell r="L4273" t="str">
            <v>KHAR01</v>
          </cell>
          <cell r="M4273" t="str">
            <v>KIU Cabang</v>
          </cell>
          <cell r="N4273" t="str">
            <v>KIU Cabang</v>
          </cell>
          <cell r="O4273" t="str">
            <v>JL. Gubernur Soebardjo Bizpark Blok. A1 Kab. Banjar</v>
          </cell>
          <cell r="P4273" t="str">
            <v>Kalimantan Selatan</v>
          </cell>
          <cell r="Q4273" t="str">
            <v>JL. Gubernur Soebardjo Bizpark Blok. A1 Kab. Banjar</v>
          </cell>
          <cell r="R4273" t="str">
            <v>Kalimantan Selatan</v>
          </cell>
          <cell r="S4273" t="str">
            <v>E Luar Pulau2</v>
          </cell>
          <cell r="T4273" t="str">
            <v>OTHERS</v>
          </cell>
          <cell r="U4273">
            <v>45</v>
          </cell>
        </row>
        <row r="4274">
          <cell r="E4274" t="str">
            <v>B25011487</v>
          </cell>
          <cell r="F4274"/>
          <cell r="G4274">
            <v>9000000000</v>
          </cell>
          <cell r="H4274" t="str">
            <v>Hendra</v>
          </cell>
          <cell r="I4274" t="str">
            <v>Tiya</v>
          </cell>
          <cell r="J4274"/>
          <cell r="K4274" t="str">
            <v>KU</v>
          </cell>
          <cell r="L4274" t="str">
            <v>KHAR01</v>
          </cell>
          <cell r="M4274" t="str">
            <v>KIU Cabang</v>
          </cell>
          <cell r="N4274" t="str">
            <v>KIU Cabang</v>
          </cell>
          <cell r="O4274" t="str">
            <v>JL. Gubernur Soebardjo Bizpark Blok. A1 Kab. Banjar</v>
          </cell>
          <cell r="P4274" t="str">
            <v>Kalimantan Selatan</v>
          </cell>
          <cell r="Q4274" t="str">
            <v>JL. Gubernur Soebardjo Bizpark Blok. A1 Kab. Banjar</v>
          </cell>
          <cell r="R4274" t="str">
            <v>Kalimantan Selatan</v>
          </cell>
          <cell r="S4274" t="str">
            <v>E Luar Pulau2</v>
          </cell>
          <cell r="T4274" t="str">
            <v>OTHERS</v>
          </cell>
          <cell r="U4274">
            <v>45</v>
          </cell>
        </row>
        <row r="4275">
          <cell r="E4275" t="str">
            <v>B25011488</v>
          </cell>
          <cell r="F4275"/>
          <cell r="G4275">
            <v>9000000000</v>
          </cell>
          <cell r="H4275" t="str">
            <v>Hendra</v>
          </cell>
          <cell r="I4275" t="str">
            <v>Tiya</v>
          </cell>
          <cell r="J4275"/>
          <cell r="K4275" t="str">
            <v>KU</v>
          </cell>
          <cell r="L4275" t="str">
            <v>KHAR01</v>
          </cell>
          <cell r="M4275" t="str">
            <v>KIU Cabang</v>
          </cell>
          <cell r="N4275" t="str">
            <v>KIU Cabang</v>
          </cell>
          <cell r="O4275" t="str">
            <v>JL. Gubernur Soebardjo Bizpark Blok. A1 Kab. Banjar</v>
          </cell>
          <cell r="P4275" t="str">
            <v>Kalimantan Selatan</v>
          </cell>
          <cell r="Q4275" t="str">
            <v>JL. Gubernur Soebardjo Bizpark Blok. A1 Kab. Banjar</v>
          </cell>
          <cell r="R4275" t="str">
            <v>Kalimantan Selatan</v>
          </cell>
          <cell r="S4275" t="str">
            <v>E Luar Pulau2</v>
          </cell>
          <cell r="T4275" t="str">
            <v>OTHERS</v>
          </cell>
          <cell r="U4275">
            <v>45</v>
          </cell>
        </row>
        <row r="4276">
          <cell r="E4276" t="str">
            <v>B25011602</v>
          </cell>
          <cell r="F4276"/>
          <cell r="G4276">
            <v>9000000000</v>
          </cell>
          <cell r="H4276" t="str">
            <v>Hendra</v>
          </cell>
          <cell r="I4276" t="str">
            <v>Tiya</v>
          </cell>
          <cell r="J4276"/>
          <cell r="K4276" t="str">
            <v>KU</v>
          </cell>
          <cell r="L4276" t="str">
            <v>KHAR01</v>
          </cell>
          <cell r="M4276" t="str">
            <v>KIU Cabang</v>
          </cell>
          <cell r="N4276" t="str">
            <v>KIU Cabang</v>
          </cell>
          <cell r="O4276" t="str">
            <v>JL. Gubernur Soebardjo Bizpark Blok. A1 Kab. Banjar</v>
          </cell>
          <cell r="P4276" t="str">
            <v>Kalimantan Selatan</v>
          </cell>
          <cell r="Q4276" t="str">
            <v>JL. Gubernur Soebardjo Bizpark Blok. A1 Kab. Banjar</v>
          </cell>
          <cell r="R4276" t="str">
            <v>Kalimantan Selatan</v>
          </cell>
          <cell r="S4276" t="str">
            <v>E Luar Pulau2</v>
          </cell>
          <cell r="T4276" t="str">
            <v>OTHERS</v>
          </cell>
          <cell r="U4276">
            <v>45</v>
          </cell>
        </row>
        <row r="4277">
          <cell r="E4277" t="str">
            <v>B25011677</v>
          </cell>
          <cell r="F4277"/>
          <cell r="G4277">
            <v>9000000000</v>
          </cell>
          <cell r="H4277" t="str">
            <v>Hendra</v>
          </cell>
          <cell r="I4277" t="str">
            <v>Tiya</v>
          </cell>
          <cell r="J4277"/>
          <cell r="K4277" t="str">
            <v>KU</v>
          </cell>
          <cell r="L4277" t="str">
            <v>KHAR01</v>
          </cell>
          <cell r="M4277" t="str">
            <v>KIU Cabang</v>
          </cell>
          <cell r="N4277" t="str">
            <v>KIU Cabang</v>
          </cell>
          <cell r="O4277" t="str">
            <v>JL. Gubernur Soebardjo Bizpark Blok. A1 Kab. Banjar</v>
          </cell>
          <cell r="P4277" t="str">
            <v>Kalimantan Selatan</v>
          </cell>
          <cell r="Q4277" t="str">
            <v>JL. Gubernur Soebardjo Bizpark Blok. A1 Kab. Banjar</v>
          </cell>
          <cell r="R4277" t="str">
            <v>Kalimantan Selatan</v>
          </cell>
          <cell r="S4277" t="str">
            <v>E Luar Pulau2</v>
          </cell>
          <cell r="T4277" t="str">
            <v>OTHERS</v>
          </cell>
          <cell r="U4277">
            <v>45</v>
          </cell>
        </row>
        <row r="4278">
          <cell r="E4278" t="str">
            <v>B25011781</v>
          </cell>
          <cell r="F4278"/>
          <cell r="G4278">
            <v>9000000000</v>
          </cell>
          <cell r="H4278" t="str">
            <v>Hendra</v>
          </cell>
          <cell r="I4278" t="str">
            <v>Tiya</v>
          </cell>
          <cell r="J4278"/>
          <cell r="K4278" t="str">
            <v>KU</v>
          </cell>
          <cell r="L4278" t="str">
            <v>KHAR01</v>
          </cell>
          <cell r="M4278" t="str">
            <v>KIU Cabang</v>
          </cell>
          <cell r="N4278" t="str">
            <v>KIU Cabang</v>
          </cell>
          <cell r="O4278" t="str">
            <v>JL. Gubernur Soebardjo Bizpark Blok. A1 Kab. Banjar</v>
          </cell>
          <cell r="P4278" t="str">
            <v>Kalimantan Selatan</v>
          </cell>
          <cell r="Q4278" t="str">
            <v>JL. Gubernur Soebardjo Bizpark Blok. A1 Kab. Banjar</v>
          </cell>
          <cell r="R4278" t="str">
            <v>Kalimantan Selatan</v>
          </cell>
          <cell r="S4278" t="str">
            <v>E Luar Pulau2</v>
          </cell>
          <cell r="T4278" t="str">
            <v>OTHERS</v>
          </cell>
          <cell r="U4278">
            <v>45</v>
          </cell>
        </row>
        <row r="4279">
          <cell r="E4279" t="str">
            <v>B25011782</v>
          </cell>
          <cell r="F4279"/>
          <cell r="G4279">
            <v>9000000000</v>
          </cell>
          <cell r="H4279" t="str">
            <v>Hendra</v>
          </cell>
          <cell r="I4279" t="str">
            <v>Tiya</v>
          </cell>
          <cell r="J4279"/>
          <cell r="K4279" t="str">
            <v>KU</v>
          </cell>
          <cell r="L4279" t="str">
            <v>KHAR01</v>
          </cell>
          <cell r="M4279" t="str">
            <v>KIU Cabang</v>
          </cell>
          <cell r="N4279" t="str">
            <v>KIU Cabang</v>
          </cell>
          <cell r="O4279" t="str">
            <v>JL. Gubernur Soebardjo Bizpark Blok. A1 Kab. Banjar</v>
          </cell>
          <cell r="P4279" t="str">
            <v>Kalimantan Selatan</v>
          </cell>
          <cell r="Q4279" t="str">
            <v>JL. Gubernur Soebardjo Bizpark Blok. A1 Kab. Banjar</v>
          </cell>
          <cell r="R4279" t="str">
            <v>Kalimantan Selatan</v>
          </cell>
          <cell r="S4279" t="str">
            <v>E Luar Pulau2</v>
          </cell>
          <cell r="T4279" t="str">
            <v>OTHERS</v>
          </cell>
          <cell r="U4279">
            <v>45</v>
          </cell>
        </row>
        <row r="4280">
          <cell r="E4280" t="str">
            <v>B25011783</v>
          </cell>
          <cell r="F4280"/>
          <cell r="G4280">
            <v>9000000000</v>
          </cell>
          <cell r="H4280" t="str">
            <v>Hendra</v>
          </cell>
          <cell r="I4280" t="str">
            <v>Tiya</v>
          </cell>
          <cell r="J4280"/>
          <cell r="K4280" t="str">
            <v>KU</v>
          </cell>
          <cell r="L4280" t="str">
            <v>KHAR01</v>
          </cell>
          <cell r="M4280" t="str">
            <v>KIU Cabang</v>
          </cell>
          <cell r="N4280" t="str">
            <v>KIU Cabang</v>
          </cell>
          <cell r="O4280" t="str">
            <v>JL. Gubernur Soebardjo Bizpark Blok. A1 Kab. Banjar</v>
          </cell>
          <cell r="P4280" t="str">
            <v>Kalimantan Selatan</v>
          </cell>
          <cell r="Q4280" t="str">
            <v>JL. Gubernur Soebardjo Bizpark Blok. A1 Kab. Banjar</v>
          </cell>
          <cell r="R4280" t="str">
            <v>Kalimantan Selatan</v>
          </cell>
          <cell r="S4280" t="str">
            <v>E Luar Pulau2</v>
          </cell>
          <cell r="T4280" t="str">
            <v>OTHERS</v>
          </cell>
          <cell r="U4280">
            <v>45</v>
          </cell>
        </row>
        <row r="4281">
          <cell r="E4281" t="str">
            <v>B25011892</v>
          </cell>
          <cell r="F4281"/>
          <cell r="G4281">
            <v>9000000000</v>
          </cell>
          <cell r="H4281" t="str">
            <v>Hendra</v>
          </cell>
          <cell r="I4281" t="str">
            <v>Tiya</v>
          </cell>
          <cell r="J4281"/>
          <cell r="K4281" t="str">
            <v>KU</v>
          </cell>
          <cell r="L4281" t="str">
            <v>KHAR01</v>
          </cell>
          <cell r="M4281" t="str">
            <v>KIU Cabang</v>
          </cell>
          <cell r="N4281" t="str">
            <v>KIU Cabang</v>
          </cell>
          <cell r="O4281" t="str">
            <v>JL. Gubernur Soebardjo Bizpark Blok. A1 Kab. Banjar</v>
          </cell>
          <cell r="P4281" t="str">
            <v>Kalimantan Selatan</v>
          </cell>
          <cell r="Q4281" t="str">
            <v>JL. Gubernur Soebardjo Bizpark Blok. A1 Kab. Banjar</v>
          </cell>
          <cell r="R4281" t="str">
            <v>Kalimantan Selatan</v>
          </cell>
          <cell r="S4281" t="str">
            <v>E Luar Pulau2</v>
          </cell>
          <cell r="T4281" t="str">
            <v>OTHERS</v>
          </cell>
          <cell r="U4281">
            <v>45</v>
          </cell>
        </row>
        <row r="4282">
          <cell r="E4282" t="str">
            <v>B25011893</v>
          </cell>
          <cell r="F4282"/>
          <cell r="G4282">
            <v>9000000000</v>
          </cell>
          <cell r="H4282" t="str">
            <v>Hendra</v>
          </cell>
          <cell r="I4282" t="str">
            <v>Tiya</v>
          </cell>
          <cell r="J4282"/>
          <cell r="K4282" t="str">
            <v>KU</v>
          </cell>
          <cell r="L4282" t="str">
            <v>KHAR01</v>
          </cell>
          <cell r="M4282" t="str">
            <v>KIU Cabang</v>
          </cell>
          <cell r="N4282" t="str">
            <v>KIU Cabang</v>
          </cell>
          <cell r="O4282" t="str">
            <v>JL. Gubernur Soebardjo Bizpark Blok. A1 Kab. Banjar</v>
          </cell>
          <cell r="P4282" t="str">
            <v>Kalimantan Selatan</v>
          </cell>
          <cell r="Q4282" t="str">
            <v>JL. Gubernur Soebardjo Bizpark Blok. A1 Kab. Banjar</v>
          </cell>
          <cell r="R4282" t="str">
            <v>Kalimantan Selatan</v>
          </cell>
          <cell r="S4282" t="str">
            <v>E Luar Pulau2</v>
          </cell>
          <cell r="T4282" t="str">
            <v>OTHERS</v>
          </cell>
          <cell r="U4282">
            <v>45</v>
          </cell>
        </row>
        <row r="4283">
          <cell r="E4283" t="str">
            <v>B25011919</v>
          </cell>
          <cell r="F4283"/>
          <cell r="G4283">
            <v>9000000000</v>
          </cell>
          <cell r="H4283" t="str">
            <v>Hendra</v>
          </cell>
          <cell r="I4283" t="str">
            <v>Tiya</v>
          </cell>
          <cell r="J4283"/>
          <cell r="K4283" t="str">
            <v>KU</v>
          </cell>
          <cell r="L4283" t="str">
            <v>KHAR01</v>
          </cell>
          <cell r="M4283" t="str">
            <v>KIU Cabang</v>
          </cell>
          <cell r="N4283" t="str">
            <v>KIU Cabang</v>
          </cell>
          <cell r="O4283" t="str">
            <v>JL. Gubernur Soebardjo Bizpark Blok. A1 Kab. Banjar</v>
          </cell>
          <cell r="P4283" t="str">
            <v>Kalimantan Selatan</v>
          </cell>
          <cell r="Q4283" t="str">
            <v>JL. Gubernur Soebardjo Bizpark Blok. A1 Kab. Banjar</v>
          </cell>
          <cell r="R4283" t="str">
            <v>Kalimantan Selatan</v>
          </cell>
          <cell r="S4283" t="str">
            <v>E Luar Pulau2</v>
          </cell>
          <cell r="T4283" t="str">
            <v>OTHERS</v>
          </cell>
          <cell r="U4283">
            <v>45</v>
          </cell>
        </row>
        <row r="4284">
          <cell r="E4284" t="str">
            <v>B25012217</v>
          </cell>
          <cell r="F4284"/>
          <cell r="G4284">
            <v>9000000000</v>
          </cell>
          <cell r="H4284" t="str">
            <v>Hendra</v>
          </cell>
          <cell r="I4284" t="str">
            <v>Tiya</v>
          </cell>
          <cell r="J4284"/>
          <cell r="K4284" t="str">
            <v>KU</v>
          </cell>
          <cell r="L4284" t="str">
            <v>KHAR01</v>
          </cell>
          <cell r="M4284" t="str">
            <v>KIU Cabang</v>
          </cell>
          <cell r="N4284" t="str">
            <v>KIU Cabang</v>
          </cell>
          <cell r="O4284" t="str">
            <v>JL. Gubernur Soebardjo Bizpark Blok. A1 Kab. Banjar</v>
          </cell>
          <cell r="P4284" t="str">
            <v>Kalimantan Selatan</v>
          </cell>
          <cell r="Q4284" t="str">
            <v>JL. Gubernur Soebardjo Bizpark Blok. A1 Kab. Banjar</v>
          </cell>
          <cell r="R4284" t="str">
            <v>Kalimantan Selatan</v>
          </cell>
          <cell r="S4284" t="str">
            <v>E Luar Pulau2</v>
          </cell>
          <cell r="T4284" t="str">
            <v>OTHERS</v>
          </cell>
          <cell r="U4284">
            <v>45</v>
          </cell>
        </row>
        <row r="4285">
          <cell r="E4285" t="str">
            <v>B25012218</v>
          </cell>
          <cell r="F4285"/>
          <cell r="G4285">
            <v>9000000000</v>
          </cell>
          <cell r="H4285" t="str">
            <v>Hendra</v>
          </cell>
          <cell r="I4285" t="str">
            <v>Tiya</v>
          </cell>
          <cell r="J4285"/>
          <cell r="K4285" t="str">
            <v>KU</v>
          </cell>
          <cell r="L4285" t="str">
            <v>KHAR01</v>
          </cell>
          <cell r="M4285" t="str">
            <v>KIU Cabang</v>
          </cell>
          <cell r="N4285" t="str">
            <v>KIU Cabang</v>
          </cell>
          <cell r="O4285" t="str">
            <v>JL. Gubernur Soebardjo Bizpark Blok. A1 Kab. Banjar</v>
          </cell>
          <cell r="P4285" t="str">
            <v>Kalimantan Selatan</v>
          </cell>
          <cell r="Q4285" t="str">
            <v>JL. Gubernur Soebardjo Bizpark Blok. A1 Kab. Banjar</v>
          </cell>
          <cell r="R4285" t="str">
            <v>Kalimantan Selatan</v>
          </cell>
          <cell r="S4285" t="str">
            <v>E Luar Pulau2</v>
          </cell>
          <cell r="T4285" t="str">
            <v>OTHERS</v>
          </cell>
          <cell r="U4285">
            <v>45</v>
          </cell>
        </row>
        <row r="4286">
          <cell r="E4286" t="str">
            <v>B25012233</v>
          </cell>
          <cell r="F4286"/>
          <cell r="G4286">
            <v>9000000000</v>
          </cell>
          <cell r="H4286" t="str">
            <v>Hendra</v>
          </cell>
          <cell r="I4286" t="str">
            <v>Tiya</v>
          </cell>
          <cell r="J4286"/>
          <cell r="K4286" t="str">
            <v>KU</v>
          </cell>
          <cell r="L4286" t="str">
            <v>KHAR01</v>
          </cell>
          <cell r="M4286" t="str">
            <v>KIU Cabang</v>
          </cell>
          <cell r="N4286" t="str">
            <v>KIU Cabang</v>
          </cell>
          <cell r="O4286" t="str">
            <v>JL. Gubernur Soebardjo Bizpark Blok. A1 Kab. Banjar</v>
          </cell>
          <cell r="P4286" t="str">
            <v>Kalimantan Selatan</v>
          </cell>
          <cell r="Q4286" t="str">
            <v>JL. Gubernur Soebardjo Bizpark Blok. A1 Kab. Banjar</v>
          </cell>
          <cell r="R4286" t="str">
            <v>Kalimantan Selatan</v>
          </cell>
          <cell r="S4286" t="str">
            <v>E Luar Pulau2</v>
          </cell>
          <cell r="T4286" t="str">
            <v>OTHERS</v>
          </cell>
          <cell r="U4286">
            <v>45</v>
          </cell>
        </row>
        <row r="4287">
          <cell r="E4287" t="str">
            <v>B25012234</v>
          </cell>
          <cell r="F4287"/>
          <cell r="G4287">
            <v>9000000000</v>
          </cell>
          <cell r="H4287" t="str">
            <v>Hendra</v>
          </cell>
          <cell r="I4287" t="str">
            <v>Tiya</v>
          </cell>
          <cell r="J4287"/>
          <cell r="K4287" t="str">
            <v>KU</v>
          </cell>
          <cell r="L4287" t="str">
            <v>KHAR01</v>
          </cell>
          <cell r="M4287" t="str">
            <v>KIU Cabang</v>
          </cell>
          <cell r="N4287" t="str">
            <v>KIU Cabang</v>
          </cell>
          <cell r="O4287" t="str">
            <v>JL. Gubernur Soebardjo Bizpark Blok. A1 Kab. Banjar</v>
          </cell>
          <cell r="P4287" t="str">
            <v>Kalimantan Selatan</v>
          </cell>
          <cell r="Q4287" t="str">
            <v>JL. Gubernur Soebardjo Bizpark Blok. A1 Kab. Banjar</v>
          </cell>
          <cell r="R4287" t="str">
            <v>Kalimantan Selatan</v>
          </cell>
          <cell r="S4287" t="str">
            <v>E Luar Pulau2</v>
          </cell>
          <cell r="T4287" t="str">
            <v>OTHERS</v>
          </cell>
          <cell r="U4287">
            <v>45</v>
          </cell>
        </row>
        <row r="4288">
          <cell r="E4288" t="str">
            <v>B25012317</v>
          </cell>
          <cell r="F4288"/>
          <cell r="G4288">
            <v>9000000000</v>
          </cell>
          <cell r="H4288" t="str">
            <v>Hendra</v>
          </cell>
          <cell r="I4288" t="str">
            <v>Tiya</v>
          </cell>
          <cell r="J4288"/>
          <cell r="K4288" t="str">
            <v>KU</v>
          </cell>
          <cell r="L4288" t="str">
            <v>KHAR01</v>
          </cell>
          <cell r="M4288" t="str">
            <v>KIU Cabang</v>
          </cell>
          <cell r="N4288" t="str">
            <v>KIU Cabang</v>
          </cell>
          <cell r="O4288" t="str">
            <v>JL. Gubernur Soebardjo Bizpark Blok. A1 Kab. Banjar</v>
          </cell>
          <cell r="P4288" t="str">
            <v>Kalimantan Selatan</v>
          </cell>
          <cell r="Q4288" t="str">
            <v>JL. Gubernur Soebardjo Bizpark Blok. A1 Kab. Banjar</v>
          </cell>
          <cell r="R4288" t="str">
            <v>Kalimantan Selatan</v>
          </cell>
          <cell r="S4288" t="str">
            <v>E Luar Pulau2</v>
          </cell>
          <cell r="T4288" t="str">
            <v>OTHERS</v>
          </cell>
          <cell r="U4288">
            <v>45</v>
          </cell>
        </row>
        <row r="4289">
          <cell r="E4289" t="str">
            <v>B25012549</v>
          </cell>
          <cell r="F4289"/>
          <cell r="G4289">
            <v>9000000000</v>
          </cell>
          <cell r="H4289" t="str">
            <v>Hendra</v>
          </cell>
          <cell r="I4289" t="str">
            <v>Tiya</v>
          </cell>
          <cell r="J4289"/>
          <cell r="K4289" t="str">
            <v>KU</v>
          </cell>
          <cell r="L4289" t="str">
            <v>KHAR01</v>
          </cell>
          <cell r="M4289" t="str">
            <v>KIU Cabang</v>
          </cell>
          <cell r="N4289" t="str">
            <v>KIU Cabang</v>
          </cell>
          <cell r="O4289" t="str">
            <v>JL. Gubernur Soebardjo Bizpark Blok. A1 Kab. Banjar</v>
          </cell>
          <cell r="P4289" t="str">
            <v>Kalimantan Selatan</v>
          </cell>
          <cell r="Q4289" t="str">
            <v>JL. Gubernur Soebardjo Bizpark Blok. A1 Kab. Banjar</v>
          </cell>
          <cell r="R4289" t="str">
            <v>Kalimantan Selatan</v>
          </cell>
          <cell r="S4289" t="str">
            <v>E Luar Pulau2</v>
          </cell>
          <cell r="T4289" t="str">
            <v>OTHERS</v>
          </cell>
          <cell r="U4289">
            <v>45</v>
          </cell>
        </row>
        <row r="4290">
          <cell r="E4290" t="str">
            <v>B25012599</v>
          </cell>
          <cell r="F4290"/>
          <cell r="G4290">
            <v>9000000000</v>
          </cell>
          <cell r="H4290" t="str">
            <v>Hendra</v>
          </cell>
          <cell r="I4290" t="str">
            <v>Tiya</v>
          </cell>
          <cell r="J4290"/>
          <cell r="K4290" t="str">
            <v>KU</v>
          </cell>
          <cell r="L4290" t="str">
            <v>KHAR01</v>
          </cell>
          <cell r="M4290" t="str">
            <v>KIU Cabang</v>
          </cell>
          <cell r="N4290" t="str">
            <v>KIU Cabang</v>
          </cell>
          <cell r="O4290" t="str">
            <v>JL. Gubernur Soebardjo Bizpark Blok. A1 Kab. Banjar</v>
          </cell>
          <cell r="P4290" t="str">
            <v>Kalimantan Selatan</v>
          </cell>
          <cell r="Q4290" t="str">
            <v>JL. Gubernur Soebardjo Bizpark Blok. A1 Kab. Banjar</v>
          </cell>
          <cell r="R4290" t="str">
            <v>Kalimantan Selatan</v>
          </cell>
          <cell r="S4290" t="str">
            <v>E Luar Pulau2</v>
          </cell>
          <cell r="T4290" t="str">
            <v>OTHERS</v>
          </cell>
          <cell r="U4290">
            <v>45</v>
          </cell>
        </row>
        <row r="4291">
          <cell r="E4291" t="str">
            <v>B25012698</v>
          </cell>
          <cell r="F4291"/>
          <cell r="G4291">
            <v>9000000000</v>
          </cell>
          <cell r="H4291" t="str">
            <v>Hendra</v>
          </cell>
          <cell r="I4291" t="str">
            <v>Tiya</v>
          </cell>
          <cell r="J4291"/>
          <cell r="K4291" t="str">
            <v>KU</v>
          </cell>
          <cell r="L4291" t="str">
            <v>KHAR01</v>
          </cell>
          <cell r="M4291" t="str">
            <v>KIU Cabang</v>
          </cell>
          <cell r="N4291" t="str">
            <v>KIU Cabang</v>
          </cell>
          <cell r="O4291" t="str">
            <v>JL. Gubernur Soebardjo Bizpark Blok. A1 Kab. Banjar</v>
          </cell>
          <cell r="P4291" t="str">
            <v>Kalimantan Selatan</v>
          </cell>
          <cell r="Q4291" t="str">
            <v>JL. Gubernur Soebardjo Bizpark Blok. A1 Kab. Banjar</v>
          </cell>
          <cell r="R4291" t="str">
            <v>Kalimantan Selatan</v>
          </cell>
          <cell r="S4291" t="str">
            <v>E Luar Pulau2</v>
          </cell>
          <cell r="T4291" t="str">
            <v>OTHERS</v>
          </cell>
          <cell r="U4291">
            <v>45</v>
          </cell>
        </row>
        <row r="4292">
          <cell r="E4292" t="str">
            <v>B25012853</v>
          </cell>
          <cell r="F4292"/>
          <cell r="G4292">
            <v>9000000000</v>
          </cell>
          <cell r="H4292" t="str">
            <v>Hendra</v>
          </cell>
          <cell r="I4292" t="str">
            <v>Tiya</v>
          </cell>
          <cell r="J4292"/>
          <cell r="K4292" t="str">
            <v>KU</v>
          </cell>
          <cell r="L4292" t="str">
            <v>KHAR01</v>
          </cell>
          <cell r="M4292" t="str">
            <v>KIU Cabang</v>
          </cell>
          <cell r="N4292" t="str">
            <v>KIU Cabang</v>
          </cell>
          <cell r="O4292" t="str">
            <v>JL. Gubernur Soebardjo Bizpark Blok. A1 Kab. Banjar</v>
          </cell>
          <cell r="P4292" t="str">
            <v>Kalimantan Selatan</v>
          </cell>
          <cell r="Q4292" t="str">
            <v>JL. Gubernur Soebardjo Bizpark Blok. A1 Kab. Banjar</v>
          </cell>
          <cell r="R4292" t="str">
            <v>Kalimantan Selatan</v>
          </cell>
          <cell r="S4292" t="str">
            <v>E Luar Pulau2</v>
          </cell>
          <cell r="T4292" t="str">
            <v>OTHERS</v>
          </cell>
          <cell r="U4292">
            <v>45</v>
          </cell>
        </row>
        <row r="4293">
          <cell r="E4293" t="str">
            <v>B25012854</v>
          </cell>
          <cell r="F4293"/>
          <cell r="G4293">
            <v>9000000000</v>
          </cell>
          <cell r="H4293" t="str">
            <v>Hendra</v>
          </cell>
          <cell r="I4293" t="str">
            <v>Tiya</v>
          </cell>
          <cell r="J4293"/>
          <cell r="K4293" t="str">
            <v>KU</v>
          </cell>
          <cell r="L4293" t="str">
            <v>KHAR01</v>
          </cell>
          <cell r="M4293" t="str">
            <v>KIU Cabang</v>
          </cell>
          <cell r="N4293" t="str">
            <v>KIU Cabang</v>
          </cell>
          <cell r="O4293" t="str">
            <v>JL. Gubernur Soebardjo Bizpark Blok. A1 Kab. Banjar</v>
          </cell>
          <cell r="P4293" t="str">
            <v>Kalimantan Selatan</v>
          </cell>
          <cell r="Q4293" t="str">
            <v>JL. Gubernur Soebardjo Bizpark Blok. A1 Kab. Banjar</v>
          </cell>
          <cell r="R4293" t="str">
            <v>Kalimantan Selatan</v>
          </cell>
          <cell r="S4293" t="str">
            <v>E Luar Pulau2</v>
          </cell>
          <cell r="T4293" t="str">
            <v>OTHERS</v>
          </cell>
          <cell r="U4293">
            <v>45</v>
          </cell>
        </row>
        <row r="4294">
          <cell r="E4294" t="str">
            <v>B25012864</v>
          </cell>
          <cell r="F4294"/>
          <cell r="G4294">
            <v>9000000000</v>
          </cell>
          <cell r="H4294" t="str">
            <v>Hendra</v>
          </cell>
          <cell r="I4294" t="str">
            <v>Tiya</v>
          </cell>
          <cell r="J4294"/>
          <cell r="K4294" t="str">
            <v>KU</v>
          </cell>
          <cell r="L4294" t="str">
            <v>KHAR01</v>
          </cell>
          <cell r="M4294" t="str">
            <v>KIU Cabang</v>
          </cell>
          <cell r="N4294" t="str">
            <v>KIU Cabang</v>
          </cell>
          <cell r="O4294" t="str">
            <v>JL. Gubernur Soebardjo Bizpark Blok. A1 Kab. Banjar</v>
          </cell>
          <cell r="P4294" t="str">
            <v>Kalimantan Selatan</v>
          </cell>
          <cell r="Q4294" t="str">
            <v>JL. Gubernur Soebardjo Bizpark Blok. A1 Kab. Banjar</v>
          </cell>
          <cell r="R4294" t="str">
            <v>Kalimantan Selatan</v>
          </cell>
          <cell r="S4294" t="str">
            <v>E Luar Pulau2</v>
          </cell>
          <cell r="T4294" t="str">
            <v>OTHERS</v>
          </cell>
          <cell r="U4294">
            <v>45</v>
          </cell>
        </row>
        <row r="4295">
          <cell r="E4295" t="str">
            <v>B25012940</v>
          </cell>
          <cell r="F4295"/>
          <cell r="G4295">
            <v>9000000000</v>
          </cell>
          <cell r="H4295" t="str">
            <v>Hendra</v>
          </cell>
          <cell r="I4295" t="str">
            <v>Tiya</v>
          </cell>
          <cell r="J4295"/>
          <cell r="K4295" t="str">
            <v>KU</v>
          </cell>
          <cell r="L4295" t="str">
            <v>KHAR01</v>
          </cell>
          <cell r="M4295" t="str">
            <v>KIU Cabang</v>
          </cell>
          <cell r="N4295" t="str">
            <v>KIU Cabang</v>
          </cell>
          <cell r="O4295" t="str">
            <v>JL. Gubernur Soebardjo Bizpark Blok. A1 Kab. Banjar</v>
          </cell>
          <cell r="P4295" t="str">
            <v>Kalimantan Selatan</v>
          </cell>
          <cell r="Q4295" t="str">
            <v>JL. Gubernur Soebardjo Bizpark Blok. A1 Kab. Banjar</v>
          </cell>
          <cell r="R4295" t="str">
            <v>Kalimantan Selatan</v>
          </cell>
          <cell r="S4295" t="str">
            <v>E Luar Pulau2</v>
          </cell>
          <cell r="T4295" t="str">
            <v>OTHERS</v>
          </cell>
          <cell r="U4295">
            <v>45</v>
          </cell>
        </row>
        <row r="4296">
          <cell r="E4296" t="str">
            <v>B25013048</v>
          </cell>
          <cell r="F4296"/>
          <cell r="G4296">
            <v>9000000000</v>
          </cell>
          <cell r="H4296" t="str">
            <v>Hendra</v>
          </cell>
          <cell r="I4296" t="str">
            <v>Tiya</v>
          </cell>
          <cell r="J4296"/>
          <cell r="K4296" t="str">
            <v>KU</v>
          </cell>
          <cell r="L4296" t="str">
            <v>KHAR01</v>
          </cell>
          <cell r="M4296" t="str">
            <v>KIU Cabang</v>
          </cell>
          <cell r="N4296" t="str">
            <v>KIU Cabang</v>
          </cell>
          <cell r="O4296" t="str">
            <v>JL. Gubernur Soebardjo Bizpark Blok. A1 Kab. Banjar</v>
          </cell>
          <cell r="P4296" t="str">
            <v>Kalimantan Selatan</v>
          </cell>
          <cell r="Q4296" t="str">
            <v>JL. Gubernur Soebardjo Bizpark Blok. A1 Kab. Banjar</v>
          </cell>
          <cell r="R4296" t="str">
            <v>Kalimantan Selatan</v>
          </cell>
          <cell r="S4296" t="str">
            <v>E Luar Pulau2</v>
          </cell>
          <cell r="T4296" t="str">
            <v>OTHERS</v>
          </cell>
          <cell r="U4296">
            <v>45</v>
          </cell>
        </row>
        <row r="4297">
          <cell r="E4297" t="str">
            <v>B25013088</v>
          </cell>
          <cell r="F4297"/>
          <cell r="G4297">
            <v>9000000000</v>
          </cell>
          <cell r="H4297" t="str">
            <v>Hendra</v>
          </cell>
          <cell r="I4297" t="str">
            <v>Tiya</v>
          </cell>
          <cell r="J4297"/>
          <cell r="K4297" t="str">
            <v>KU</v>
          </cell>
          <cell r="L4297" t="str">
            <v>KHAR01</v>
          </cell>
          <cell r="M4297" t="str">
            <v>KIU Cabang</v>
          </cell>
          <cell r="N4297" t="str">
            <v>KIU Cabang</v>
          </cell>
          <cell r="O4297" t="str">
            <v>JL. Gubernur Soebardjo Bizpark Blok. A1 Kab. Banjar</v>
          </cell>
          <cell r="P4297" t="str">
            <v>Kalimantan Selatan</v>
          </cell>
          <cell r="Q4297" t="str">
            <v>JL. Gubernur Soebardjo Bizpark Blok. A1 Kab. Banjar</v>
          </cell>
          <cell r="R4297" t="str">
            <v>Kalimantan Selatan</v>
          </cell>
          <cell r="S4297" t="str">
            <v>E Luar Pulau2</v>
          </cell>
          <cell r="T4297" t="str">
            <v>OTHERS</v>
          </cell>
          <cell r="U4297">
            <v>45</v>
          </cell>
        </row>
        <row r="4298">
          <cell r="E4298" t="str">
            <v>B25013089</v>
          </cell>
          <cell r="F4298"/>
          <cell r="G4298">
            <v>9000000000</v>
          </cell>
          <cell r="H4298" t="str">
            <v>Hendra</v>
          </cell>
          <cell r="I4298" t="str">
            <v>Tiya</v>
          </cell>
          <cell r="J4298"/>
          <cell r="K4298" t="str">
            <v>KU</v>
          </cell>
          <cell r="L4298" t="str">
            <v>KHAR01</v>
          </cell>
          <cell r="M4298" t="str">
            <v>KIU Cabang</v>
          </cell>
          <cell r="N4298" t="str">
            <v>KIU Cabang</v>
          </cell>
          <cell r="O4298" t="str">
            <v>JL. Gubernur Soebardjo Bizpark Blok. A1 Kab. Banjar</v>
          </cell>
          <cell r="P4298" t="str">
            <v>Kalimantan Selatan</v>
          </cell>
          <cell r="Q4298" t="str">
            <v>JL. Gubernur Soebardjo Bizpark Blok. A1 Kab. Banjar</v>
          </cell>
          <cell r="R4298" t="str">
            <v>Kalimantan Selatan</v>
          </cell>
          <cell r="S4298" t="str">
            <v>E Luar Pulau2</v>
          </cell>
          <cell r="T4298" t="str">
            <v>OTHERS</v>
          </cell>
          <cell r="U4298">
            <v>45</v>
          </cell>
        </row>
        <row r="4299">
          <cell r="E4299" t="str">
            <v>B25013171</v>
          </cell>
          <cell r="F4299"/>
          <cell r="G4299">
            <v>9000000000</v>
          </cell>
          <cell r="H4299" t="str">
            <v>Hendra</v>
          </cell>
          <cell r="I4299" t="str">
            <v>Tiya</v>
          </cell>
          <cell r="J4299"/>
          <cell r="K4299" t="str">
            <v>KU</v>
          </cell>
          <cell r="L4299" t="str">
            <v>KHAR01</v>
          </cell>
          <cell r="M4299" t="str">
            <v>KIU Cabang</v>
          </cell>
          <cell r="N4299" t="str">
            <v>KIU Cabang</v>
          </cell>
          <cell r="O4299" t="str">
            <v>JL. Gubernur Soebardjo Bizpark Blok. A1 Kab. Banjar</v>
          </cell>
          <cell r="P4299" t="str">
            <v>Kalimantan Selatan</v>
          </cell>
          <cell r="Q4299" t="str">
            <v>JL. Gubernur Soebardjo Bizpark Blok. A1 Kab. Banjar</v>
          </cell>
          <cell r="R4299" t="str">
            <v>Kalimantan Selatan</v>
          </cell>
          <cell r="S4299" t="str">
            <v>E Luar Pulau2</v>
          </cell>
          <cell r="T4299" t="str">
            <v>OTHERS</v>
          </cell>
          <cell r="U4299">
            <v>45</v>
          </cell>
        </row>
        <row r="4300">
          <cell r="E4300" t="str">
            <v>D25015456</v>
          </cell>
          <cell r="F4300"/>
          <cell r="G4300">
            <v>9000000000</v>
          </cell>
          <cell r="H4300" t="str">
            <v>Hendra</v>
          </cell>
          <cell r="I4300" t="str">
            <v>Tiya</v>
          </cell>
          <cell r="J4300"/>
          <cell r="K4300" t="str">
            <v>KU</v>
          </cell>
          <cell r="L4300" t="str">
            <v>KHAR01</v>
          </cell>
          <cell r="M4300" t="str">
            <v>KIU Cabang</v>
          </cell>
          <cell r="N4300" t="str">
            <v>KIU Cabang</v>
          </cell>
          <cell r="O4300" t="str">
            <v>JL. Gubernur Soebardjo Bizpark Blok. A1 Kab. Banjar</v>
          </cell>
          <cell r="P4300" t="str">
            <v>Kalimantan Selatan</v>
          </cell>
          <cell r="Q4300" t="str">
            <v>JL. Gubernur Soebardjo Bizpark Blok. A1 Kab. Banjar</v>
          </cell>
          <cell r="R4300" t="str">
            <v>Kalimantan Selatan</v>
          </cell>
          <cell r="S4300" t="str">
            <v>E Luar Pulau2</v>
          </cell>
          <cell r="T4300" t="str">
            <v>OTHERS</v>
          </cell>
          <cell r="U4300">
            <v>45</v>
          </cell>
        </row>
        <row r="4301">
          <cell r="E4301" t="str">
            <v>D25015458</v>
          </cell>
          <cell r="F4301"/>
          <cell r="G4301">
            <v>9000000000</v>
          </cell>
          <cell r="H4301" t="str">
            <v>Hendra</v>
          </cell>
          <cell r="I4301" t="str">
            <v>Tiya</v>
          </cell>
          <cell r="J4301"/>
          <cell r="K4301" t="str">
            <v>KU</v>
          </cell>
          <cell r="L4301" t="str">
            <v>KHAR01</v>
          </cell>
          <cell r="M4301" t="str">
            <v>KIU Cabang</v>
          </cell>
          <cell r="N4301" t="str">
            <v>KIU Cabang</v>
          </cell>
          <cell r="O4301" t="str">
            <v>JL. Gubernur Soebardjo Bizpark Blok. A1 Kab. Banjar</v>
          </cell>
          <cell r="P4301" t="str">
            <v>Kalimantan Selatan</v>
          </cell>
          <cell r="Q4301" t="str">
            <v>JL. Gubernur Soebardjo Bizpark Blok. A1 Kab. Banjar</v>
          </cell>
          <cell r="R4301" t="str">
            <v>Kalimantan Selatan</v>
          </cell>
          <cell r="S4301" t="str">
            <v>E Luar Pulau2</v>
          </cell>
          <cell r="T4301" t="str">
            <v>OTHERS</v>
          </cell>
          <cell r="U4301">
            <v>45</v>
          </cell>
        </row>
        <row r="4302">
          <cell r="E4302" t="str">
            <v>B25013287</v>
          </cell>
          <cell r="F4302"/>
          <cell r="G4302">
            <v>9000000000</v>
          </cell>
          <cell r="H4302" t="str">
            <v>Hendra</v>
          </cell>
          <cell r="I4302" t="str">
            <v>Tiya</v>
          </cell>
          <cell r="J4302"/>
          <cell r="K4302" t="str">
            <v>KU</v>
          </cell>
          <cell r="L4302" t="str">
            <v>KHAR01</v>
          </cell>
          <cell r="M4302" t="str">
            <v>KIU Cabang</v>
          </cell>
          <cell r="N4302" t="str">
            <v>KIU Cabang</v>
          </cell>
          <cell r="O4302" t="str">
            <v>JL. Gubernur Soebardjo Bizpark Blok. A1 Kab. Banjar</v>
          </cell>
          <cell r="P4302" t="str">
            <v>Kalimantan Selatan</v>
          </cell>
          <cell r="Q4302" t="str">
            <v>JL. Gubernur Soebardjo Bizpark Blok. A1 Kab. Banjar</v>
          </cell>
          <cell r="R4302" t="str">
            <v>Kalimantan Selatan</v>
          </cell>
          <cell r="S4302" t="str">
            <v>E Luar Pulau2</v>
          </cell>
          <cell r="T4302" t="str">
            <v>OTHERS</v>
          </cell>
          <cell r="U4302">
            <v>45</v>
          </cell>
        </row>
        <row r="4303">
          <cell r="E4303" t="str">
            <v>B25013309</v>
          </cell>
          <cell r="F4303"/>
          <cell r="G4303">
            <v>9000000000</v>
          </cell>
          <cell r="H4303" t="str">
            <v>Hendra</v>
          </cell>
          <cell r="I4303" t="str">
            <v>Tiya</v>
          </cell>
          <cell r="J4303"/>
          <cell r="K4303" t="str">
            <v>KU</v>
          </cell>
          <cell r="L4303" t="str">
            <v>KHAR01</v>
          </cell>
          <cell r="M4303" t="str">
            <v>KIU Cabang</v>
          </cell>
          <cell r="N4303" t="str">
            <v>KIU Cabang</v>
          </cell>
          <cell r="O4303" t="str">
            <v>JL. Gubernur Soebardjo Bizpark Blok. A1 Kab. Banjar</v>
          </cell>
          <cell r="P4303" t="str">
            <v>Kalimantan Selatan</v>
          </cell>
          <cell r="Q4303" t="str">
            <v>JL. Gubernur Soebardjo Bizpark Blok. A1 Kab. Banjar</v>
          </cell>
          <cell r="R4303" t="str">
            <v>Kalimantan Selatan</v>
          </cell>
          <cell r="S4303" t="str">
            <v>E Luar Pulau2</v>
          </cell>
          <cell r="T4303" t="str">
            <v>OTHERS</v>
          </cell>
          <cell r="U4303">
            <v>45</v>
          </cell>
        </row>
        <row r="4304">
          <cell r="E4304" t="str">
            <v>B25013388</v>
          </cell>
          <cell r="F4304"/>
          <cell r="G4304">
            <v>9000000000</v>
          </cell>
          <cell r="H4304" t="str">
            <v>Hendra</v>
          </cell>
          <cell r="I4304" t="str">
            <v>Tiya</v>
          </cell>
          <cell r="J4304"/>
          <cell r="K4304" t="str">
            <v>KU</v>
          </cell>
          <cell r="L4304" t="str">
            <v>KHAR01</v>
          </cell>
          <cell r="M4304" t="str">
            <v>KIU Cabang</v>
          </cell>
          <cell r="N4304" t="str">
            <v>KIU Cabang</v>
          </cell>
          <cell r="O4304" t="str">
            <v>JL. Gubernur Soebardjo Bizpark Blok. A1 Kab. Banjar</v>
          </cell>
          <cell r="P4304" t="str">
            <v>Kalimantan Selatan</v>
          </cell>
          <cell r="Q4304" t="str">
            <v>JL. Gubernur Soebardjo Bizpark Blok. A1 Kab. Banjar</v>
          </cell>
          <cell r="R4304" t="str">
            <v>Kalimantan Selatan</v>
          </cell>
          <cell r="S4304" t="str">
            <v>E Luar Pulau2</v>
          </cell>
          <cell r="T4304" t="str">
            <v>OTHERS</v>
          </cell>
          <cell r="U4304">
            <v>45</v>
          </cell>
        </row>
        <row r="4305">
          <cell r="E4305" t="str">
            <v>B25013723</v>
          </cell>
          <cell r="F4305"/>
          <cell r="G4305">
            <v>9000000000</v>
          </cell>
          <cell r="H4305" t="str">
            <v>Hendra</v>
          </cell>
          <cell r="I4305" t="str">
            <v>Tiya</v>
          </cell>
          <cell r="J4305"/>
          <cell r="K4305" t="str">
            <v>KU</v>
          </cell>
          <cell r="L4305" t="str">
            <v>KHAR01</v>
          </cell>
          <cell r="M4305" t="str">
            <v>KIU Cabang</v>
          </cell>
          <cell r="N4305" t="str">
            <v>KIU Cabang</v>
          </cell>
          <cell r="O4305" t="str">
            <v>JL. Gubernur Soebardjo Bizpark Blok. A1 Kab. Banjar</v>
          </cell>
          <cell r="P4305" t="str">
            <v>Kalimantan Selatan</v>
          </cell>
          <cell r="Q4305" t="str">
            <v>JL. Gubernur Soebardjo Bizpark Blok. A1 Kab. Banjar</v>
          </cell>
          <cell r="R4305" t="str">
            <v>Kalimantan Selatan</v>
          </cell>
          <cell r="S4305" t="str">
            <v>E Luar Pulau2</v>
          </cell>
          <cell r="T4305" t="str">
            <v>OTHERS</v>
          </cell>
          <cell r="U4305">
            <v>45</v>
          </cell>
        </row>
        <row r="4306">
          <cell r="E4306" t="str">
            <v>D25016064</v>
          </cell>
          <cell r="F4306"/>
          <cell r="G4306">
            <v>9000000000</v>
          </cell>
          <cell r="H4306" t="str">
            <v>Hendra</v>
          </cell>
          <cell r="I4306" t="str">
            <v>Tiya</v>
          </cell>
          <cell r="J4306"/>
          <cell r="K4306" t="str">
            <v>KU</v>
          </cell>
          <cell r="L4306" t="str">
            <v>KHAR01</v>
          </cell>
          <cell r="M4306" t="str">
            <v>KIU Cabang</v>
          </cell>
          <cell r="N4306" t="str">
            <v>KIU Cabang</v>
          </cell>
          <cell r="O4306" t="str">
            <v>JL. Gubernur Soebardjo Bizpark Blok. A1 Kab. Banjar</v>
          </cell>
          <cell r="P4306" t="str">
            <v>Kalimantan Selatan</v>
          </cell>
          <cell r="Q4306" t="str">
            <v>JL. Gubernur Soebardjo Bizpark Blok. A1 Kab. Banjar</v>
          </cell>
          <cell r="R4306" t="str">
            <v>Kalimantan Selatan</v>
          </cell>
          <cell r="S4306" t="str">
            <v>E Luar Pulau2</v>
          </cell>
          <cell r="T4306" t="str">
            <v>OTHERS</v>
          </cell>
          <cell r="U4306">
            <v>45</v>
          </cell>
        </row>
        <row r="4307">
          <cell r="E4307" t="str">
            <v>D25016065</v>
          </cell>
          <cell r="F4307"/>
          <cell r="G4307">
            <v>9000000000</v>
          </cell>
          <cell r="H4307" t="str">
            <v>Hendra</v>
          </cell>
          <cell r="I4307" t="str">
            <v>Tiya</v>
          </cell>
          <cell r="J4307"/>
          <cell r="K4307" t="str">
            <v>KU</v>
          </cell>
          <cell r="L4307" t="str">
            <v>KHAR01</v>
          </cell>
          <cell r="M4307" t="str">
            <v>KIU Cabang</v>
          </cell>
          <cell r="N4307" t="str">
            <v>KIU Cabang</v>
          </cell>
          <cell r="O4307" t="str">
            <v>JL. Gubernur Soebardjo Bizpark Blok. A1 Kab. Banjar</v>
          </cell>
          <cell r="P4307" t="str">
            <v>Kalimantan Selatan</v>
          </cell>
          <cell r="Q4307" t="str">
            <v>JL. Gubernur Soebardjo Bizpark Blok. A1 Kab. Banjar</v>
          </cell>
          <cell r="R4307" t="str">
            <v>Kalimantan Selatan</v>
          </cell>
          <cell r="S4307" t="str">
            <v>E Luar Pulau2</v>
          </cell>
          <cell r="T4307" t="str">
            <v>OTHERS</v>
          </cell>
          <cell r="U4307">
            <v>45</v>
          </cell>
        </row>
        <row r="4308">
          <cell r="E4308" t="str">
            <v>B25013964</v>
          </cell>
          <cell r="F4308"/>
          <cell r="G4308">
            <v>9000000000</v>
          </cell>
          <cell r="H4308" t="str">
            <v>Hendra</v>
          </cell>
          <cell r="I4308" t="str">
            <v>Tiya</v>
          </cell>
          <cell r="J4308"/>
          <cell r="K4308" t="str">
            <v>KU</v>
          </cell>
          <cell r="L4308" t="str">
            <v>KHAR01</v>
          </cell>
          <cell r="M4308" t="str">
            <v>KIU Cabang</v>
          </cell>
          <cell r="N4308" t="str">
            <v>KIU Cabang</v>
          </cell>
          <cell r="O4308" t="str">
            <v>JL. Gubernur Soebardjo Bizpark Blok. A1 Kab. Banjar</v>
          </cell>
          <cell r="P4308" t="str">
            <v>Kalimantan Selatan</v>
          </cell>
          <cell r="Q4308" t="str">
            <v>JL. Gubernur Soebardjo Bizpark Blok. A1 Kab. Banjar</v>
          </cell>
          <cell r="R4308" t="str">
            <v>Kalimantan Selatan</v>
          </cell>
          <cell r="S4308" t="str">
            <v>E Luar Pulau2</v>
          </cell>
          <cell r="T4308" t="str">
            <v>OTHERS</v>
          </cell>
          <cell r="U4308">
            <v>45</v>
          </cell>
        </row>
        <row r="4309">
          <cell r="E4309" t="str">
            <v>D25015633</v>
          </cell>
          <cell r="F4309"/>
          <cell r="G4309">
            <v>1000</v>
          </cell>
          <cell r="H4309" t="str">
            <v>Reni</v>
          </cell>
          <cell r="I4309" t="str">
            <v>Farida</v>
          </cell>
          <cell r="J4309" t="str">
            <v>New 28/04/25</v>
          </cell>
          <cell r="K4309" t="str">
            <v>CBD</v>
          </cell>
          <cell r="L4309" t="str">
            <v>KIWI01</v>
          </cell>
          <cell r="M4309" t="str">
            <v>Kiwi Tani</v>
          </cell>
          <cell r="N4309" t="str">
            <v>Dimas Ridho</v>
          </cell>
          <cell r="O4309" t="str">
            <v>Jumog RT.008/RW.001 , Kel. Macanan Kec. Jogornogo</v>
          </cell>
          <cell r="P4309" t="str">
            <v>Ngawi</v>
          </cell>
          <cell r="Q4309" t="str">
            <v>Sekolahan, Kedung Putri , Kec. Paron</v>
          </cell>
          <cell r="R4309" t="str">
            <v>Ngawi</v>
          </cell>
          <cell r="S4309" t="str">
            <v>D Barat1</v>
          </cell>
          <cell r="T4309" t="str">
            <v>Dian</v>
          </cell>
          <cell r="U4309">
            <v>0</v>
          </cell>
        </row>
        <row r="4310">
          <cell r="E4310" t="str">
            <v>D25015720</v>
          </cell>
          <cell r="F4310"/>
          <cell r="G4310">
            <v>1000</v>
          </cell>
          <cell r="H4310" t="str">
            <v>Reni</v>
          </cell>
          <cell r="I4310" t="str">
            <v>Farida</v>
          </cell>
          <cell r="J4310" t="str">
            <v>New 28/04/25</v>
          </cell>
          <cell r="K4310" t="str">
            <v>CBD</v>
          </cell>
          <cell r="L4310" t="str">
            <v>KIWI01</v>
          </cell>
          <cell r="M4310" t="str">
            <v>Kiwi Tani</v>
          </cell>
          <cell r="N4310" t="str">
            <v>Dimas Ridho</v>
          </cell>
          <cell r="O4310" t="str">
            <v>Jumog RT.008/RW.001 , Kel. Macanan Kec. Jogornogo</v>
          </cell>
          <cell r="P4310" t="str">
            <v>Ngawi</v>
          </cell>
          <cell r="Q4310" t="str">
            <v>Sekolahan, Kedung Putri , Kec. Paron</v>
          </cell>
          <cell r="R4310" t="str">
            <v>Ngawi</v>
          </cell>
          <cell r="S4310" t="str">
            <v>D Barat1</v>
          </cell>
          <cell r="T4310" t="str">
            <v>Dian</v>
          </cell>
          <cell r="U4310">
            <v>0</v>
          </cell>
        </row>
        <row r="4311">
          <cell r="E4311" t="str">
            <v>B25013162</v>
          </cell>
          <cell r="F4311"/>
          <cell r="G4311">
            <v>1000</v>
          </cell>
          <cell r="H4311" t="str">
            <v>Faris</v>
          </cell>
          <cell r="I4311" t="str">
            <v>Syahra</v>
          </cell>
          <cell r="J4311" t="str">
            <v>New 08/01/2025</v>
          </cell>
          <cell r="K4311" t="str">
            <v>CBD</v>
          </cell>
          <cell r="L4311" t="str">
            <v>KLIN03</v>
          </cell>
          <cell r="M4311" t="str">
            <v>Klinik Tani/Defit</v>
          </cell>
          <cell r="N4311" t="str">
            <v>Defit Agus Priyadi</v>
          </cell>
          <cell r="O4311" t="str">
            <v>Nangkaan RT.008.RW.003 , Kel. Nangkaan, Kec. Bondowoso</v>
          </cell>
          <cell r="P4311" t="str">
            <v>Bondowoso</v>
          </cell>
          <cell r="Q4311" t="str">
            <v>Nangkaan RT.008.RW.003 , Kel. Nangkaan, Kec. Bondowoso</v>
          </cell>
          <cell r="R4311" t="str">
            <v>Bondowoso</v>
          </cell>
          <cell r="S4311" t="str">
            <v>N Bdw Stb</v>
          </cell>
          <cell r="T4311" t="str">
            <v>Wira</v>
          </cell>
          <cell r="U4311">
            <v>0</v>
          </cell>
        </row>
        <row r="4312">
          <cell r="E4312" t="str">
            <v>B25012555</v>
          </cell>
          <cell r="F4312"/>
          <cell r="G4312">
            <v>250000000</v>
          </cell>
          <cell r="H4312" t="str">
            <v>Ariyani</v>
          </cell>
          <cell r="I4312" t="str">
            <v>Fira</v>
          </cell>
          <cell r="J4312"/>
          <cell r="K4312" t="str">
            <v>KU</v>
          </cell>
          <cell r="L4312" t="str">
            <v>KOKO01</v>
          </cell>
          <cell r="M4312" t="str">
            <v>Koko Tani</v>
          </cell>
          <cell r="N4312" t="str">
            <v>Sasongko Wibowo</v>
          </cell>
          <cell r="O4312" t="str">
            <v>Dsn. Kampung Baru, RT.027/RW.004 Kel. Tempeh Tengah Kec. Tempeh</v>
          </cell>
          <cell r="P4312" t="str">
            <v>Lumajang</v>
          </cell>
          <cell r="Q4312" t="str">
            <v>Dsn. Kampung Baru, RT.027/RW.004 Kel. Tempeh Tengah Kec. Tempeh</v>
          </cell>
          <cell r="R4312" t="str">
            <v>Lumajang</v>
          </cell>
          <cell r="S4312" t="str">
            <v>C Lumajang</v>
          </cell>
          <cell r="T4312" t="str">
            <v>Efendi</v>
          </cell>
          <cell r="U4312">
            <v>30</v>
          </cell>
        </row>
        <row r="4313">
          <cell r="E4313" t="str">
            <v>B25012908</v>
          </cell>
          <cell r="F4313"/>
          <cell r="G4313">
            <v>250000000</v>
          </cell>
          <cell r="H4313" t="str">
            <v>Ariyani</v>
          </cell>
          <cell r="I4313" t="str">
            <v>Fira</v>
          </cell>
          <cell r="J4313"/>
          <cell r="K4313" t="str">
            <v>KU</v>
          </cell>
          <cell r="L4313" t="str">
            <v>KOKO01</v>
          </cell>
          <cell r="M4313" t="str">
            <v>Koko Tani</v>
          </cell>
          <cell r="N4313" t="str">
            <v>Sasongko Wibowo</v>
          </cell>
          <cell r="O4313" t="str">
            <v>Dsn. Kampung Baru, RT.027/RW.004 Kel. Tempeh Tengah Kec. Tempeh</v>
          </cell>
          <cell r="P4313" t="str">
            <v>Lumajang</v>
          </cell>
          <cell r="Q4313" t="str">
            <v>Dsn. Kampung Baru, RT.027/RW.004 Kel. Tempeh Tengah Kec. Tempeh</v>
          </cell>
          <cell r="R4313" t="str">
            <v>Lumajang</v>
          </cell>
          <cell r="S4313" t="str">
            <v>C Lumajang</v>
          </cell>
          <cell r="T4313" t="str">
            <v>Efendi</v>
          </cell>
          <cell r="U4313">
            <v>30</v>
          </cell>
        </row>
        <row r="4314">
          <cell r="E4314" t="str">
            <v>B25012994</v>
          </cell>
          <cell r="F4314"/>
          <cell r="G4314">
            <v>250000000</v>
          </cell>
          <cell r="H4314" t="str">
            <v>Ariyani</v>
          </cell>
          <cell r="I4314" t="str">
            <v>Fira</v>
          </cell>
          <cell r="J4314"/>
          <cell r="K4314" t="str">
            <v>KU</v>
          </cell>
          <cell r="L4314" t="str">
            <v>KOKO01</v>
          </cell>
          <cell r="M4314" t="str">
            <v>Koko Tani</v>
          </cell>
          <cell r="N4314" t="str">
            <v>Sasongko Wibowo</v>
          </cell>
          <cell r="O4314" t="str">
            <v>Dsn. Kampung Baru, RT.027/RW.004 Kel. Tempeh Tengah Kec. Tempeh</v>
          </cell>
          <cell r="P4314" t="str">
            <v>Lumajang</v>
          </cell>
          <cell r="Q4314" t="str">
            <v>Dsn. Kampung Baru, RT.027/RW.004 Kel. Tempeh Tengah Kec. Tempeh</v>
          </cell>
          <cell r="R4314" t="str">
            <v>Lumajang</v>
          </cell>
          <cell r="S4314" t="str">
            <v>C Lumajang</v>
          </cell>
          <cell r="T4314" t="str">
            <v>Efendi</v>
          </cell>
          <cell r="U4314">
            <v>30</v>
          </cell>
        </row>
        <row r="4315">
          <cell r="E4315" t="str">
            <v>D25015500</v>
          </cell>
          <cell r="F4315"/>
          <cell r="G4315">
            <v>250000000</v>
          </cell>
          <cell r="H4315" t="str">
            <v>Ariyani</v>
          </cell>
          <cell r="I4315" t="str">
            <v>Fira</v>
          </cell>
          <cell r="J4315"/>
          <cell r="K4315" t="str">
            <v>KU</v>
          </cell>
          <cell r="L4315" t="str">
            <v>KOKO01</v>
          </cell>
          <cell r="M4315" t="str">
            <v>Koko Tani</v>
          </cell>
          <cell r="N4315" t="str">
            <v>Sasongko Wibowo</v>
          </cell>
          <cell r="O4315" t="str">
            <v>Dsn. Kampung Baru, RT.027/RW.004 Kel. Tempeh Tengah Kec. Tempeh</v>
          </cell>
          <cell r="P4315" t="str">
            <v>Lumajang</v>
          </cell>
          <cell r="Q4315" t="str">
            <v>Dsn. Kampung Baru, RT.027/RW.004 Kel. Tempeh Tengah Kec. Tempeh</v>
          </cell>
          <cell r="R4315" t="str">
            <v>Lumajang</v>
          </cell>
          <cell r="S4315" t="str">
            <v>C Lumajang</v>
          </cell>
          <cell r="T4315" t="str">
            <v>Efendi</v>
          </cell>
          <cell r="U4315">
            <v>30</v>
          </cell>
        </row>
        <row r="4316">
          <cell r="E4316" t="str">
            <v>D25015501</v>
          </cell>
          <cell r="F4316"/>
          <cell r="G4316">
            <v>250000000</v>
          </cell>
          <cell r="H4316" t="str">
            <v>Ariyani</v>
          </cell>
          <cell r="I4316" t="str">
            <v>Fira</v>
          </cell>
          <cell r="J4316"/>
          <cell r="K4316" t="str">
            <v>KU</v>
          </cell>
          <cell r="L4316" t="str">
            <v>KOKO01</v>
          </cell>
          <cell r="M4316" t="str">
            <v>Koko Tani</v>
          </cell>
          <cell r="N4316" t="str">
            <v>Sasongko Wibowo</v>
          </cell>
          <cell r="O4316" t="str">
            <v>Dsn. Kampung Baru, RT.027/RW.004 Kel. Tempeh Tengah Kec. Tempeh</v>
          </cell>
          <cell r="P4316" t="str">
            <v>Lumajang</v>
          </cell>
          <cell r="Q4316" t="str">
            <v>Dsn. Kampung Baru, RT.027/RW.004 Kel. Tempeh Tengah Kec. Tempeh</v>
          </cell>
          <cell r="R4316" t="str">
            <v>Lumajang</v>
          </cell>
          <cell r="S4316" t="str">
            <v>C Lumajang</v>
          </cell>
          <cell r="T4316" t="str">
            <v>Efendi</v>
          </cell>
          <cell r="U4316">
            <v>30</v>
          </cell>
        </row>
        <row r="4317">
          <cell r="E4317" t="str">
            <v>D25015917</v>
          </cell>
          <cell r="F4317"/>
          <cell r="G4317">
            <v>250000000</v>
          </cell>
          <cell r="H4317" t="str">
            <v>Ariyani</v>
          </cell>
          <cell r="I4317" t="str">
            <v>Fira</v>
          </cell>
          <cell r="J4317"/>
          <cell r="K4317" t="str">
            <v>KU</v>
          </cell>
          <cell r="L4317" t="str">
            <v>KOKO01</v>
          </cell>
          <cell r="M4317" t="str">
            <v>Koko Tani</v>
          </cell>
          <cell r="N4317" t="str">
            <v>Sasongko Wibowo</v>
          </cell>
          <cell r="O4317" t="str">
            <v>Dsn. Kampung Baru, RT.027/RW.004 Kel. Tempeh Tengah Kec. Tempeh</v>
          </cell>
          <cell r="P4317" t="str">
            <v>Lumajang</v>
          </cell>
          <cell r="Q4317" t="str">
            <v>Dsn. Kampung Baru, RT.027/RW.004 Kel. Tempeh Tengah Kec. Tempeh</v>
          </cell>
          <cell r="R4317" t="str">
            <v>Lumajang</v>
          </cell>
          <cell r="S4317" t="str">
            <v>C Lumajang</v>
          </cell>
          <cell r="T4317" t="str">
            <v>Efendi</v>
          </cell>
          <cell r="U4317">
            <v>30</v>
          </cell>
        </row>
        <row r="4318">
          <cell r="E4318" t="str">
            <v>B25013777</v>
          </cell>
          <cell r="F4318"/>
          <cell r="G4318">
            <v>250000000</v>
          </cell>
          <cell r="H4318" t="str">
            <v>Ariyani</v>
          </cell>
          <cell r="I4318" t="str">
            <v>Fira</v>
          </cell>
          <cell r="J4318"/>
          <cell r="K4318" t="str">
            <v>KU</v>
          </cell>
          <cell r="L4318" t="str">
            <v>KOKO01</v>
          </cell>
          <cell r="M4318" t="str">
            <v>Koko Tani</v>
          </cell>
          <cell r="N4318" t="str">
            <v>Sasongko Wibowo</v>
          </cell>
          <cell r="O4318" t="str">
            <v>Dsn. Kampung Baru, RT.027/RW.004 Kel. Tempeh Tengah Kec. Tempeh</v>
          </cell>
          <cell r="P4318" t="str">
            <v>Lumajang</v>
          </cell>
          <cell r="Q4318" t="str">
            <v>Dsn. Kampung Baru, RT.027/RW.004 Kel. Tempeh Tengah Kec. Tempeh</v>
          </cell>
          <cell r="R4318" t="str">
            <v>Lumajang</v>
          </cell>
          <cell r="S4318" t="str">
            <v>C Lumajang</v>
          </cell>
          <cell r="T4318" t="str">
            <v>Efendi</v>
          </cell>
          <cell r="U4318">
            <v>30</v>
          </cell>
        </row>
        <row r="4319">
          <cell r="E4319" t="str">
            <v>D25016096</v>
          </cell>
          <cell r="F4319"/>
          <cell r="G4319">
            <v>250000000</v>
          </cell>
          <cell r="H4319" t="str">
            <v>Ariyani</v>
          </cell>
          <cell r="I4319" t="str">
            <v>Fira</v>
          </cell>
          <cell r="J4319"/>
          <cell r="K4319" t="str">
            <v>KU</v>
          </cell>
          <cell r="L4319" t="str">
            <v>KOKO01</v>
          </cell>
          <cell r="M4319" t="str">
            <v>Koko Tani</v>
          </cell>
          <cell r="N4319" t="str">
            <v>Sasongko Wibowo</v>
          </cell>
          <cell r="O4319" t="str">
            <v>Dsn. Kampung Baru, RT.027/RW.004 Kel. Tempeh Tengah Kec. Tempeh</v>
          </cell>
          <cell r="P4319" t="str">
            <v>Lumajang</v>
          </cell>
          <cell r="Q4319" t="str">
            <v>Dsn. Kampung Baru, RT.027/RW.004 Kel. Tempeh Tengah Kec. Tempeh</v>
          </cell>
          <cell r="R4319" t="str">
            <v>Lumajang</v>
          </cell>
          <cell r="S4319" t="str">
            <v>C Lumajang</v>
          </cell>
          <cell r="T4319" t="str">
            <v>Efendi</v>
          </cell>
          <cell r="U4319">
            <v>30</v>
          </cell>
        </row>
        <row r="4320">
          <cell r="E4320" t="str">
            <v>B25014086</v>
          </cell>
          <cell r="F4320"/>
          <cell r="G4320">
            <v>250000000</v>
          </cell>
          <cell r="H4320" t="str">
            <v>Ariyani</v>
          </cell>
          <cell r="I4320" t="str">
            <v>Fira</v>
          </cell>
          <cell r="J4320"/>
          <cell r="K4320" t="str">
            <v>KU</v>
          </cell>
          <cell r="L4320" t="str">
            <v>KOKO01</v>
          </cell>
          <cell r="M4320" t="str">
            <v>Koko Tani</v>
          </cell>
          <cell r="N4320" t="str">
            <v>Sasongko Wibowo</v>
          </cell>
          <cell r="O4320" t="str">
            <v>Dsn. Kampung Baru, RT.027/RW.004 Kel. Tempeh Tengah Kec. Tempeh</v>
          </cell>
          <cell r="P4320" t="str">
            <v>Lumajang</v>
          </cell>
          <cell r="Q4320" t="str">
            <v>Dsn. Kampung Baru, RT.027/RW.004 Kel. Tempeh Tengah Kec. Tempeh</v>
          </cell>
          <cell r="R4320" t="str">
            <v>Lumajang</v>
          </cell>
          <cell r="S4320" t="str">
            <v>C Lumajang</v>
          </cell>
          <cell r="T4320" t="str">
            <v>Efendi</v>
          </cell>
          <cell r="U4320">
            <v>30</v>
          </cell>
        </row>
        <row r="4321">
          <cell r="E4321" t="str">
            <v>D25012036</v>
          </cell>
          <cell r="F4321"/>
          <cell r="G4321">
            <v>10000000</v>
          </cell>
          <cell r="H4321" t="str">
            <v>Reni</v>
          </cell>
          <cell r="I4321" t="str">
            <v>Fira</v>
          </cell>
          <cell r="J4321" t="str">
            <v>New 10/08/24</v>
          </cell>
          <cell r="K4321" t="str">
            <v>KU</v>
          </cell>
          <cell r="L4321" t="str">
            <v>KONC16</v>
          </cell>
          <cell r="M4321" t="str">
            <v>Konco Tani/Ali Z</v>
          </cell>
          <cell r="N4321" t="str">
            <v>Ali Zainudin</v>
          </cell>
          <cell r="O4321" t="str">
            <v>Jl. Klamana KM 13 RT.001/RW.001, Kel. Klamana, Kec. Sorong Timur</v>
          </cell>
          <cell r="P4321" t="str">
            <v>Bojonegoro</v>
          </cell>
          <cell r="Q4321" t="str">
            <v>Desa Pacul RT.007/RW.001</v>
          </cell>
          <cell r="R4321" t="str">
            <v>Bojonegoro</v>
          </cell>
          <cell r="S4321" t="str">
            <v>F Utara1</v>
          </cell>
          <cell r="T4321" t="str">
            <v>Dian</v>
          </cell>
          <cell r="U4321">
            <v>60</v>
          </cell>
        </row>
        <row r="4322">
          <cell r="E4322" t="str">
            <v>T25001240K</v>
          </cell>
          <cell r="F4322"/>
          <cell r="G4322">
            <v>1000</v>
          </cell>
          <cell r="H4322" t="str">
            <v>Ariyani</v>
          </cell>
          <cell r="I4322" t="str">
            <v>Fira</v>
          </cell>
          <cell r="J4322" t="str">
            <v>New 14/04/25</v>
          </cell>
          <cell r="K4322" t="str">
            <v>COD</v>
          </cell>
          <cell r="L4322" t="str">
            <v>KONC18</v>
          </cell>
          <cell r="M4322" t="str">
            <v>Konco Tani/Hamdani</v>
          </cell>
          <cell r="N4322" t="str">
            <v>Hamdani Lubis</v>
          </cell>
          <cell r="O4322" t="str">
            <v>Dusun Bregoh RT.001/RW.026 , Kel. Sumberejo Kec. Ambulu</v>
          </cell>
          <cell r="P4322" t="str">
            <v>Jember</v>
          </cell>
          <cell r="Q4322" t="str">
            <v>Sidomulyo , Kel. Sumberejo Kec. Ambulu</v>
          </cell>
          <cell r="R4322" t="str">
            <v>Jember</v>
          </cell>
          <cell r="S4322" t="str">
            <v>L Kota2</v>
          </cell>
          <cell r="T4322" t="str">
            <v>Efendi</v>
          </cell>
          <cell r="U4322">
            <v>120</v>
          </cell>
        </row>
        <row r="4323">
          <cell r="E4323" t="str">
            <v>D25015217</v>
          </cell>
          <cell r="F4323"/>
          <cell r="G4323">
            <v>1000</v>
          </cell>
          <cell r="H4323" t="str">
            <v>Ariyani</v>
          </cell>
          <cell r="I4323" t="str">
            <v>Fira</v>
          </cell>
          <cell r="J4323" t="str">
            <v>New 14/04/25</v>
          </cell>
          <cell r="K4323" t="str">
            <v>COD</v>
          </cell>
          <cell r="L4323" t="str">
            <v>KONC18</v>
          </cell>
          <cell r="M4323" t="str">
            <v>Konco Tani/Hamdani</v>
          </cell>
          <cell r="N4323" t="str">
            <v>Hamdani Lubis</v>
          </cell>
          <cell r="O4323" t="str">
            <v>Dusun Bregoh RT.001/RW.026 , Kel. Sumberejo Kec. Ambulu</v>
          </cell>
          <cell r="P4323" t="str">
            <v>Jember</v>
          </cell>
          <cell r="Q4323" t="str">
            <v>Sidomulyo , Kel. Sumberejo Kec. Ambulu</v>
          </cell>
          <cell r="R4323" t="str">
            <v>Jember</v>
          </cell>
          <cell r="S4323" t="str">
            <v>L Kota2</v>
          </cell>
          <cell r="T4323" t="str">
            <v>Efendi</v>
          </cell>
          <cell r="U4323">
            <v>0</v>
          </cell>
        </row>
        <row r="4324">
          <cell r="E4324" t="str">
            <v>B25013092</v>
          </cell>
          <cell r="F4324"/>
          <cell r="G4324">
            <v>1000</v>
          </cell>
          <cell r="H4324" t="str">
            <v>Ariyani</v>
          </cell>
          <cell r="I4324" t="str">
            <v>Fira</v>
          </cell>
          <cell r="J4324" t="str">
            <v>New 14/04/25</v>
          </cell>
          <cell r="K4324" t="str">
            <v>COD</v>
          </cell>
          <cell r="L4324" t="str">
            <v>KONC18</v>
          </cell>
          <cell r="M4324" t="str">
            <v>Konco Tani/Hamdani</v>
          </cell>
          <cell r="N4324" t="str">
            <v>Hamdani Lubis</v>
          </cell>
          <cell r="O4324" t="str">
            <v>Dusun Bregoh RT.001/RW.026 , Kel. Sumberejo Kec. Ambulu</v>
          </cell>
          <cell r="P4324" t="str">
            <v>Jember</v>
          </cell>
          <cell r="Q4324" t="str">
            <v>Sidomulyo , Kel. Sumberejo Kec. Ambulu</v>
          </cell>
          <cell r="R4324" t="str">
            <v>Jember</v>
          </cell>
          <cell r="S4324" t="str">
            <v>L Kota2</v>
          </cell>
          <cell r="T4324" t="str">
            <v>Efendi</v>
          </cell>
          <cell r="U4324">
            <v>0</v>
          </cell>
        </row>
        <row r="4325">
          <cell r="E4325" t="str">
            <v>B25013689</v>
          </cell>
          <cell r="F4325"/>
          <cell r="G4325">
            <v>1000</v>
          </cell>
          <cell r="H4325" t="str">
            <v>Ariyani</v>
          </cell>
          <cell r="I4325" t="str">
            <v>Fira</v>
          </cell>
          <cell r="J4325" t="str">
            <v>New 14/04/25</v>
          </cell>
          <cell r="K4325" t="str">
            <v>COD</v>
          </cell>
          <cell r="L4325" t="str">
            <v>KONC18</v>
          </cell>
          <cell r="M4325" t="str">
            <v>Konco Tani/Hamdani</v>
          </cell>
          <cell r="N4325" t="str">
            <v>Hamdani Lubis</v>
          </cell>
          <cell r="O4325" t="str">
            <v>Dusun Bregoh RT.001/RW.026 , Kel. Sumberejo Kec. Ambulu</v>
          </cell>
          <cell r="P4325" t="str">
            <v>Jember</v>
          </cell>
          <cell r="Q4325" t="str">
            <v>Sidomulyo , Kel. Sumberejo Kec. Ambulu</v>
          </cell>
          <cell r="R4325" t="str">
            <v>Jember</v>
          </cell>
          <cell r="S4325" t="str">
            <v>L Kota2</v>
          </cell>
          <cell r="T4325" t="str">
            <v>Efendi</v>
          </cell>
          <cell r="U4325">
            <v>0</v>
          </cell>
        </row>
        <row r="4326">
          <cell r="E4326" t="str">
            <v>D25016133</v>
          </cell>
          <cell r="F4326"/>
          <cell r="G4326">
            <v>1000</v>
          </cell>
          <cell r="H4326" t="str">
            <v>Ariyani</v>
          </cell>
          <cell r="I4326" t="str">
            <v>Fira</v>
          </cell>
          <cell r="J4326" t="str">
            <v>New 14/04/25</v>
          </cell>
          <cell r="K4326" t="str">
            <v>COD</v>
          </cell>
          <cell r="L4326" t="str">
            <v>KONC18</v>
          </cell>
          <cell r="M4326" t="str">
            <v>Konco Tani/Hamdani</v>
          </cell>
          <cell r="N4326" t="str">
            <v>Hamdani Lubis</v>
          </cell>
          <cell r="O4326" t="str">
            <v>Dusun Bregoh RT.001/RW.026 , Kel. Sumberejo Kec. Ambulu</v>
          </cell>
          <cell r="P4326" t="str">
            <v>Jember</v>
          </cell>
          <cell r="Q4326" t="str">
            <v>Sidomulyo , Kel. Sumberejo Kec. Ambulu</v>
          </cell>
          <cell r="R4326" t="str">
            <v>Jember</v>
          </cell>
          <cell r="S4326" t="str">
            <v>L Kota2</v>
          </cell>
          <cell r="T4326" t="str">
            <v>Efendi</v>
          </cell>
          <cell r="U4326">
            <v>30</v>
          </cell>
        </row>
        <row r="4327">
          <cell r="E4327" t="str">
            <v>T25001210</v>
          </cell>
          <cell r="F4327"/>
          <cell r="G4327">
            <v>500000000</v>
          </cell>
          <cell r="H4327" t="str">
            <v>Zakia</v>
          </cell>
          <cell r="I4327" t="str">
            <v>Tiya</v>
          </cell>
          <cell r="J4327"/>
          <cell r="K4327" t="str">
            <v>Tunai</v>
          </cell>
          <cell r="L4327" t="str">
            <v>KONC03</v>
          </cell>
          <cell r="M4327" t="str">
            <v>Konco Tani/Sukari, H</v>
          </cell>
          <cell r="N4327" t="str">
            <v>Juwati</v>
          </cell>
          <cell r="O4327" t="str">
            <v>Dsn. Popoh, RT.004/RW.001, Kel. Popoh, Kec.Selopuro</v>
          </cell>
          <cell r="P4327" t="str">
            <v>Blitar</v>
          </cell>
          <cell r="Q4327" t="str">
            <v>Ds. Popoh, Kec. Selopuro</v>
          </cell>
          <cell r="R4327" t="str">
            <v>Blitar</v>
          </cell>
          <cell r="S4327" t="str">
            <v>D Barat1</v>
          </cell>
          <cell r="T4327" t="str">
            <v>Tomi</v>
          </cell>
          <cell r="U4327">
            <v>60</v>
          </cell>
        </row>
        <row r="4328">
          <cell r="E4328" t="str">
            <v>D25013573</v>
          </cell>
          <cell r="F4328"/>
          <cell r="G4328">
            <v>500000000</v>
          </cell>
          <cell r="H4328" t="str">
            <v>Zakia</v>
          </cell>
          <cell r="I4328" t="str">
            <v>Tiya</v>
          </cell>
          <cell r="J4328"/>
          <cell r="K4328" t="str">
            <v>Tunai</v>
          </cell>
          <cell r="L4328" t="str">
            <v>KONC03</v>
          </cell>
          <cell r="M4328" t="str">
            <v>Konco Tani/Sukari, H</v>
          </cell>
          <cell r="N4328" t="str">
            <v>Juwati</v>
          </cell>
          <cell r="O4328" t="str">
            <v>Dsn. Popoh, RT.004/RW.001, Kel. Popoh, Kec.Selopuro</v>
          </cell>
          <cell r="P4328" t="str">
            <v>Blitar</v>
          </cell>
          <cell r="Q4328" t="str">
            <v>Ds. Popoh, Kec. Selopuro</v>
          </cell>
          <cell r="R4328" t="str">
            <v>Blitar</v>
          </cell>
          <cell r="S4328" t="str">
            <v>D Barat1</v>
          </cell>
          <cell r="T4328" t="str">
            <v>Tomi</v>
          </cell>
          <cell r="U4328">
            <v>30</v>
          </cell>
        </row>
        <row r="4329">
          <cell r="E4329" t="str">
            <v>D25013622</v>
          </cell>
          <cell r="F4329"/>
          <cell r="G4329">
            <v>500000000</v>
          </cell>
          <cell r="H4329" t="str">
            <v>Zakia</v>
          </cell>
          <cell r="I4329" t="str">
            <v>Tiya</v>
          </cell>
          <cell r="J4329"/>
          <cell r="K4329" t="str">
            <v>Tunai</v>
          </cell>
          <cell r="L4329" t="str">
            <v>KONC03</v>
          </cell>
          <cell r="M4329" t="str">
            <v>Konco Tani/Sukari, H</v>
          </cell>
          <cell r="N4329" t="str">
            <v>Juwati</v>
          </cell>
          <cell r="O4329" t="str">
            <v>Dsn. Popoh, RT.004/RW.001, Kel. Popoh, Kec.Selopuro</v>
          </cell>
          <cell r="P4329" t="str">
            <v>Blitar</v>
          </cell>
          <cell r="Q4329" t="str">
            <v>Ds. Popoh, Kec. Selopuro</v>
          </cell>
          <cell r="R4329" t="str">
            <v>Blitar</v>
          </cell>
          <cell r="S4329" t="str">
            <v>D Barat1</v>
          </cell>
          <cell r="T4329" t="str">
            <v>Tomi</v>
          </cell>
          <cell r="U4329">
            <v>30</v>
          </cell>
        </row>
        <row r="4330">
          <cell r="E4330" t="str">
            <v>D25013701</v>
          </cell>
          <cell r="F4330"/>
          <cell r="G4330">
            <v>500000000</v>
          </cell>
          <cell r="H4330" t="str">
            <v>Zakia</v>
          </cell>
          <cell r="I4330" t="str">
            <v>Tiya</v>
          </cell>
          <cell r="J4330"/>
          <cell r="K4330" t="str">
            <v>Tunai</v>
          </cell>
          <cell r="L4330" t="str">
            <v>KONC03</v>
          </cell>
          <cell r="M4330" t="str">
            <v>Konco Tani/Sukari, H</v>
          </cell>
          <cell r="N4330" t="str">
            <v>Juwati</v>
          </cell>
          <cell r="O4330" t="str">
            <v>Dsn. Popoh, RT.004/RW.001, Kel. Popoh, Kec.Selopuro</v>
          </cell>
          <cell r="P4330" t="str">
            <v>Blitar</v>
          </cell>
          <cell r="Q4330" t="str">
            <v>Ds. Popoh, Kec. Selopuro</v>
          </cell>
          <cell r="R4330" t="str">
            <v>Blitar</v>
          </cell>
          <cell r="S4330" t="str">
            <v>D Barat1</v>
          </cell>
          <cell r="T4330" t="str">
            <v>Tomi</v>
          </cell>
          <cell r="U4330">
            <v>30</v>
          </cell>
        </row>
        <row r="4331">
          <cell r="E4331" t="str">
            <v>D25013775</v>
          </cell>
          <cell r="F4331"/>
          <cell r="G4331">
            <v>500000000</v>
          </cell>
          <cell r="H4331" t="str">
            <v>Zakia</v>
          </cell>
          <cell r="I4331" t="str">
            <v>Tiya</v>
          </cell>
          <cell r="J4331"/>
          <cell r="K4331" t="str">
            <v>Tunai</v>
          </cell>
          <cell r="L4331" t="str">
            <v>KONC03</v>
          </cell>
          <cell r="M4331" t="str">
            <v>Konco Tani/Sukari, H</v>
          </cell>
          <cell r="N4331" t="str">
            <v>Juwati</v>
          </cell>
          <cell r="O4331" t="str">
            <v>Dsn. Popoh, RT.004/RW.001, Kel. Popoh, Kec.Selopuro</v>
          </cell>
          <cell r="P4331" t="str">
            <v>Blitar</v>
          </cell>
          <cell r="Q4331" t="str">
            <v>Ds. Popoh, Kec. Selopuro</v>
          </cell>
          <cell r="R4331" t="str">
            <v>Blitar</v>
          </cell>
          <cell r="S4331" t="str">
            <v>D Barat1</v>
          </cell>
          <cell r="T4331" t="str">
            <v>Tomi</v>
          </cell>
          <cell r="U4331">
            <v>30</v>
          </cell>
        </row>
        <row r="4332">
          <cell r="E4332" t="str">
            <v>B25012387</v>
          </cell>
          <cell r="F4332"/>
          <cell r="G4332">
            <v>500000000</v>
          </cell>
          <cell r="H4332" t="str">
            <v>Zakia</v>
          </cell>
          <cell r="I4332" t="str">
            <v>Tiya</v>
          </cell>
          <cell r="J4332"/>
          <cell r="K4332" t="str">
            <v>Tunai</v>
          </cell>
          <cell r="L4332" t="str">
            <v>KONC03</v>
          </cell>
          <cell r="M4332" t="str">
            <v>Konco Tani/Sukari, H</v>
          </cell>
          <cell r="N4332" t="str">
            <v>Juwati</v>
          </cell>
          <cell r="O4332" t="str">
            <v>Dsn. Popoh, RT.004/RW.001, Kel. Popoh, Kec.Selopuro</v>
          </cell>
          <cell r="P4332" t="str">
            <v>Blitar</v>
          </cell>
          <cell r="Q4332" t="str">
            <v>Ds. Popoh, Kec. Selopuro</v>
          </cell>
          <cell r="R4332" t="str">
            <v>Blitar</v>
          </cell>
          <cell r="S4332" t="str">
            <v>D Barat1</v>
          </cell>
          <cell r="T4332" t="str">
            <v>Tomi</v>
          </cell>
          <cell r="U4332">
            <v>30</v>
          </cell>
        </row>
        <row r="4333">
          <cell r="E4333" t="str">
            <v>D25014675</v>
          </cell>
          <cell r="F4333"/>
          <cell r="G4333">
            <v>500000000</v>
          </cell>
          <cell r="H4333" t="str">
            <v>Zakia</v>
          </cell>
          <cell r="I4333" t="str">
            <v>Tiya</v>
          </cell>
          <cell r="J4333"/>
          <cell r="K4333" t="str">
            <v>Tunai</v>
          </cell>
          <cell r="L4333" t="str">
            <v>KONC03</v>
          </cell>
          <cell r="M4333" t="str">
            <v>Konco Tani/Sukari, H</v>
          </cell>
          <cell r="N4333" t="str">
            <v>Juwati</v>
          </cell>
          <cell r="O4333" t="str">
            <v>Dsn. Popoh, RT.004/RW.001, Kel. Popoh, Kec.Selopuro</v>
          </cell>
          <cell r="P4333" t="str">
            <v>Blitar</v>
          </cell>
          <cell r="Q4333" t="str">
            <v>Ds. Popoh, Kec. Selopuro</v>
          </cell>
          <cell r="R4333" t="str">
            <v>Blitar</v>
          </cell>
          <cell r="S4333" t="str">
            <v>D Barat1</v>
          </cell>
          <cell r="T4333" t="str">
            <v>Tomi</v>
          </cell>
          <cell r="U4333">
            <v>0</v>
          </cell>
        </row>
        <row r="4334">
          <cell r="E4334" t="str">
            <v>D25014676</v>
          </cell>
          <cell r="F4334"/>
          <cell r="G4334">
            <v>500000000</v>
          </cell>
          <cell r="H4334" t="str">
            <v>Zakia</v>
          </cell>
          <cell r="I4334" t="str">
            <v>Tiya</v>
          </cell>
          <cell r="J4334"/>
          <cell r="K4334" t="str">
            <v>Tunai</v>
          </cell>
          <cell r="L4334" t="str">
            <v>KONC03</v>
          </cell>
          <cell r="M4334" t="str">
            <v>Konco Tani/Sukari, H</v>
          </cell>
          <cell r="N4334" t="str">
            <v>Juwati</v>
          </cell>
          <cell r="O4334" t="str">
            <v>Dsn. Popoh, RT.004/RW.001, Kel. Popoh, Kec.Selopuro</v>
          </cell>
          <cell r="P4334" t="str">
            <v>Blitar</v>
          </cell>
          <cell r="Q4334" t="str">
            <v>Ds. Popoh, Kec. Selopuro</v>
          </cell>
          <cell r="R4334" t="str">
            <v>Blitar</v>
          </cell>
          <cell r="S4334" t="str">
            <v>D Barat1</v>
          </cell>
          <cell r="T4334" t="str">
            <v>Tomi</v>
          </cell>
          <cell r="U4334">
            <v>30</v>
          </cell>
        </row>
        <row r="4335">
          <cell r="E4335" t="str">
            <v>D25014727</v>
          </cell>
          <cell r="F4335"/>
          <cell r="G4335">
            <v>500000000</v>
          </cell>
          <cell r="H4335" t="str">
            <v>Zakia</v>
          </cell>
          <cell r="I4335" t="str">
            <v>Tiya</v>
          </cell>
          <cell r="J4335"/>
          <cell r="K4335" t="str">
            <v>Tunai</v>
          </cell>
          <cell r="L4335" t="str">
            <v>KONC03</v>
          </cell>
          <cell r="M4335" t="str">
            <v>Konco Tani/Sukari, H</v>
          </cell>
          <cell r="N4335" t="str">
            <v>Juwati</v>
          </cell>
          <cell r="O4335" t="str">
            <v>Dsn. Popoh, RT.004/RW.001, Kel. Popoh, Kec.Selopuro</v>
          </cell>
          <cell r="P4335" t="str">
            <v>Blitar</v>
          </cell>
          <cell r="Q4335" t="str">
            <v>Ds. Popoh, Kec. Selopuro</v>
          </cell>
          <cell r="R4335" t="str">
            <v>Blitar</v>
          </cell>
          <cell r="S4335" t="str">
            <v>D Barat1</v>
          </cell>
          <cell r="T4335" t="str">
            <v>Tomi</v>
          </cell>
          <cell r="U4335">
            <v>30</v>
          </cell>
        </row>
        <row r="4336">
          <cell r="E4336" t="str">
            <v>D25014858</v>
          </cell>
          <cell r="F4336"/>
          <cell r="G4336">
            <v>500000000</v>
          </cell>
          <cell r="H4336" t="str">
            <v>Zakia</v>
          </cell>
          <cell r="I4336" t="str">
            <v>Tiya</v>
          </cell>
          <cell r="J4336"/>
          <cell r="K4336" t="str">
            <v>Tunai</v>
          </cell>
          <cell r="L4336" t="str">
            <v>KONC03</v>
          </cell>
          <cell r="M4336" t="str">
            <v>Konco Tani/Sukari, H</v>
          </cell>
          <cell r="N4336" t="str">
            <v>Juwati</v>
          </cell>
          <cell r="O4336" t="str">
            <v>Dsn. Popoh, RT.004/RW.001, Kel. Popoh, Kec.Selopuro</v>
          </cell>
          <cell r="P4336" t="str">
            <v>Blitar</v>
          </cell>
          <cell r="Q4336" t="str">
            <v>Ds. Popoh, Kec. Selopuro</v>
          </cell>
          <cell r="R4336" t="str">
            <v>Blitar</v>
          </cell>
          <cell r="S4336" t="str">
            <v>D Barat1</v>
          </cell>
          <cell r="T4336" t="str">
            <v>Tomi</v>
          </cell>
          <cell r="U4336">
            <v>30</v>
          </cell>
        </row>
        <row r="4337">
          <cell r="E4337" t="str">
            <v>B25013115</v>
          </cell>
          <cell r="F4337"/>
          <cell r="G4337">
            <v>500000000</v>
          </cell>
          <cell r="H4337" t="str">
            <v>Zakia</v>
          </cell>
          <cell r="I4337" t="str">
            <v>Tiya</v>
          </cell>
          <cell r="J4337"/>
          <cell r="K4337" t="str">
            <v>Tunai</v>
          </cell>
          <cell r="L4337" t="str">
            <v>KONC03</v>
          </cell>
          <cell r="M4337" t="str">
            <v>Konco Tani/Sukari, H</v>
          </cell>
          <cell r="N4337" t="str">
            <v>Juwati</v>
          </cell>
          <cell r="O4337" t="str">
            <v>Dsn. Popoh, RT.004/RW.001, Kel. Popoh, Kec.Selopuro</v>
          </cell>
          <cell r="P4337" t="str">
            <v>Blitar</v>
          </cell>
          <cell r="Q4337" t="str">
            <v>Ds. Popoh, Kec. Selopuro</v>
          </cell>
          <cell r="R4337" t="str">
            <v>Blitar</v>
          </cell>
          <cell r="S4337" t="str">
            <v>D Barat1</v>
          </cell>
          <cell r="T4337" t="str">
            <v>Tomi</v>
          </cell>
          <cell r="U4337">
            <v>60</v>
          </cell>
        </row>
        <row r="4338">
          <cell r="E4338" t="str">
            <v>B25013335</v>
          </cell>
          <cell r="F4338"/>
          <cell r="G4338">
            <v>500000000</v>
          </cell>
          <cell r="H4338" t="str">
            <v>Zakia</v>
          </cell>
          <cell r="I4338" t="str">
            <v>Tiya</v>
          </cell>
          <cell r="J4338"/>
          <cell r="K4338" t="str">
            <v>Tunai</v>
          </cell>
          <cell r="L4338" t="str">
            <v>KONC03</v>
          </cell>
          <cell r="M4338" t="str">
            <v>Konco Tani/Sukari, H</v>
          </cell>
          <cell r="N4338" t="str">
            <v>Juwati</v>
          </cell>
          <cell r="O4338" t="str">
            <v>Dsn. Popoh, RT.004/RW.001, Kel. Popoh, Kec.Selopuro</v>
          </cell>
          <cell r="P4338" t="str">
            <v>Blitar</v>
          </cell>
          <cell r="Q4338" t="str">
            <v>Ds. Popoh, Kec. Selopuro</v>
          </cell>
          <cell r="R4338" t="str">
            <v>Blitar</v>
          </cell>
          <cell r="S4338" t="str">
            <v>D Barat1</v>
          </cell>
          <cell r="T4338" t="str">
            <v>Tomi</v>
          </cell>
          <cell r="U4338">
            <v>0</v>
          </cell>
        </row>
        <row r="4339">
          <cell r="E4339" t="str">
            <v>T25001568</v>
          </cell>
          <cell r="F4339"/>
          <cell r="G4339">
            <v>500000000</v>
          </cell>
          <cell r="H4339" t="str">
            <v>Zakia</v>
          </cell>
          <cell r="I4339" t="str">
            <v>Tiya</v>
          </cell>
          <cell r="J4339"/>
          <cell r="K4339" t="str">
            <v>Tunai</v>
          </cell>
          <cell r="L4339" t="str">
            <v>KONC03</v>
          </cell>
          <cell r="M4339" t="str">
            <v>Konco Tani/Sukari, H</v>
          </cell>
          <cell r="N4339" t="str">
            <v>Juwati</v>
          </cell>
          <cell r="O4339" t="str">
            <v>Dsn. Popoh, RT.004/RW.001, Kel. Popoh, Kec.Selopuro</v>
          </cell>
          <cell r="P4339" t="str">
            <v>Blitar</v>
          </cell>
          <cell r="Q4339" t="str">
            <v>Ds. Popoh, Kec. Selopuro</v>
          </cell>
          <cell r="R4339" t="str">
            <v>Blitar</v>
          </cell>
          <cell r="S4339" t="str">
            <v>D Barat1</v>
          </cell>
          <cell r="T4339" t="str">
            <v>Tomi</v>
          </cell>
          <cell r="U4339">
            <v>0</v>
          </cell>
        </row>
        <row r="4340">
          <cell r="E4340" t="str">
            <v>D25016153</v>
          </cell>
          <cell r="F4340"/>
          <cell r="G4340">
            <v>500000000</v>
          </cell>
          <cell r="H4340" t="str">
            <v>Zakia</v>
          </cell>
          <cell r="I4340" t="str">
            <v>Tiya</v>
          </cell>
          <cell r="J4340"/>
          <cell r="K4340" t="str">
            <v>Tunai</v>
          </cell>
          <cell r="L4340" t="str">
            <v>KONC03</v>
          </cell>
          <cell r="M4340" t="str">
            <v>Konco Tani/Sukari, H</v>
          </cell>
          <cell r="N4340" t="str">
            <v>Juwati</v>
          </cell>
          <cell r="O4340" t="str">
            <v>Dsn. Popoh, RT.004/RW.001, Kel. Popoh, Kec.Selopuro</v>
          </cell>
          <cell r="P4340" t="str">
            <v>Blitar</v>
          </cell>
          <cell r="Q4340" t="str">
            <v>Ds. Popoh, Kec. Selopuro</v>
          </cell>
          <cell r="R4340" t="str">
            <v>Blitar</v>
          </cell>
          <cell r="S4340" t="str">
            <v>D Barat1</v>
          </cell>
          <cell r="T4340" t="str">
            <v>Tomi</v>
          </cell>
          <cell r="U4340">
            <v>30</v>
          </cell>
        </row>
        <row r="4341">
          <cell r="E4341" t="str">
            <v>R25000070</v>
          </cell>
          <cell r="F4341"/>
          <cell r="G4341">
            <v>1000</v>
          </cell>
          <cell r="H4341" t="str">
            <v>Others</v>
          </cell>
          <cell r="I4341" t="str">
            <v>Exclusive</v>
          </cell>
          <cell r="J4341" t="str">
            <v>New 13/09/25</v>
          </cell>
          <cell r="K4341" t="str">
            <v>KU</v>
          </cell>
          <cell r="L4341" t="str">
            <v>KRIS04</v>
          </cell>
          <cell r="M4341" t="str">
            <v>Kristalindo Karunia Internasional, PT</v>
          </cell>
          <cell r="N4341" t="str">
            <v>Kristalindo Karunia Internasional, PT</v>
          </cell>
          <cell r="O4341" t="str">
            <v>Kelapa Puan Raya Blok CA No. 15 Gading Serpong</v>
          </cell>
          <cell r="P4341" t="str">
            <v>Tangerang</v>
          </cell>
          <cell r="Q4341" t="str">
            <v>Kelapa Puan Raya Blok CA No. 15 Gading Serpong</v>
          </cell>
          <cell r="R4341" t="str">
            <v>Tangerang</v>
          </cell>
          <cell r="S4341" t="str">
            <v>I Jabar Jateng</v>
          </cell>
          <cell r="T4341" t="str">
            <v>Non SE &amp; JSE</v>
          </cell>
          <cell r="U4341">
            <v>15</v>
          </cell>
        </row>
        <row r="4342">
          <cell r="E4342" t="str">
            <v>B25010029</v>
          </cell>
          <cell r="F4342"/>
          <cell r="G4342">
            <v>525000000</v>
          </cell>
          <cell r="H4342" t="str">
            <v>Faris</v>
          </cell>
          <cell r="I4342" t="str">
            <v>Syahra</v>
          </cell>
          <cell r="J4342" t="str">
            <v>New 15/07/20</v>
          </cell>
          <cell r="K4342" t="str">
            <v>KU</v>
          </cell>
          <cell r="L4342" t="str">
            <v>GAGR01</v>
          </cell>
          <cell r="M4342" t="str">
            <v>KSU CU Sang Timur/CU Agro</v>
          </cell>
          <cell r="N4342" t="str">
            <v>Koperasi Konsumen CU Sang Timur</v>
          </cell>
          <cell r="O4342" t="str">
            <v>Jln. Raya Grajagan No. RT.004/RW.001, Kel. Karetan, Kec. Purwoharjo</v>
          </cell>
          <cell r="P4342" t="str">
            <v>Banyuwangi</v>
          </cell>
          <cell r="Q4342" t="str">
            <v>Jln. Raya Grajagan No. RT.004/RW.001, Kel. Karetan, Kec. Purwoharjo</v>
          </cell>
          <cell r="R4342" t="str">
            <v>Banyuwangi</v>
          </cell>
          <cell r="S4342" t="str">
            <v>H Bwi4</v>
          </cell>
          <cell r="T4342" t="str">
            <v>Hafid</v>
          </cell>
          <cell r="U4342">
            <v>60</v>
          </cell>
        </row>
        <row r="4343">
          <cell r="E4343" t="str">
            <v>D25013304</v>
          </cell>
          <cell r="F4343"/>
          <cell r="G4343">
            <v>525000000</v>
          </cell>
          <cell r="H4343" t="str">
            <v>Faris</v>
          </cell>
          <cell r="I4343" t="str">
            <v>Syahra</v>
          </cell>
          <cell r="J4343" t="str">
            <v>New 15/07/20</v>
          </cell>
          <cell r="K4343" t="str">
            <v>KU</v>
          </cell>
          <cell r="L4343" t="str">
            <v>GAGR01</v>
          </cell>
          <cell r="M4343" t="str">
            <v>KSU CU Sang Timur/CU Agro</v>
          </cell>
          <cell r="N4343" t="str">
            <v>Koperasi Konsumen CU Sang Timur</v>
          </cell>
          <cell r="O4343" t="str">
            <v>Jln. Raya Grajagan No. RT.004/RW.001, Kel. Karetan, Kec. Purwoharjo</v>
          </cell>
          <cell r="P4343" t="str">
            <v>Banyuwangi</v>
          </cell>
          <cell r="Q4343" t="str">
            <v>Jln. Raya Grajagan No. RT.004/RW.001, Kel. Karetan, Kec. Purwoharjo</v>
          </cell>
          <cell r="R4343" t="str">
            <v>Banyuwangi</v>
          </cell>
          <cell r="S4343" t="str">
            <v>H Bwi4</v>
          </cell>
          <cell r="T4343" t="str">
            <v>Hafid</v>
          </cell>
          <cell r="U4343">
            <v>60</v>
          </cell>
        </row>
        <row r="4344">
          <cell r="E4344" t="str">
            <v>D25013308</v>
          </cell>
          <cell r="F4344"/>
          <cell r="G4344">
            <v>525000000</v>
          </cell>
          <cell r="H4344" t="str">
            <v>Faris</v>
          </cell>
          <cell r="I4344" t="str">
            <v>Syahra</v>
          </cell>
          <cell r="J4344" t="str">
            <v>New 15/07/20</v>
          </cell>
          <cell r="K4344" t="str">
            <v>KU</v>
          </cell>
          <cell r="L4344" t="str">
            <v>GAGR01</v>
          </cell>
          <cell r="M4344" t="str">
            <v>KSU CU Sang Timur/CU Agro</v>
          </cell>
          <cell r="N4344" t="str">
            <v>Koperasi Konsumen CU Sang Timur</v>
          </cell>
          <cell r="O4344" t="str">
            <v>Jln. Raya Grajagan No. RT.004/RW.001, Kel. Karetan, Kec. Purwoharjo</v>
          </cell>
          <cell r="P4344" t="str">
            <v>Banyuwangi</v>
          </cell>
          <cell r="Q4344" t="str">
            <v>Jln. Raya Grajagan No. RT.004/RW.001, Kel. Karetan, Kec. Purwoharjo</v>
          </cell>
          <cell r="R4344" t="str">
            <v>Banyuwangi</v>
          </cell>
          <cell r="S4344" t="str">
            <v>H Bwi4</v>
          </cell>
          <cell r="T4344" t="str">
            <v>Hafid</v>
          </cell>
          <cell r="U4344">
            <v>60</v>
          </cell>
        </row>
        <row r="4345">
          <cell r="E4345" t="str">
            <v>D25013310</v>
          </cell>
          <cell r="F4345"/>
          <cell r="G4345">
            <v>525000000</v>
          </cell>
          <cell r="H4345" t="str">
            <v>Faris</v>
          </cell>
          <cell r="I4345" t="str">
            <v>Syahra</v>
          </cell>
          <cell r="J4345" t="str">
            <v>New 15/07/20</v>
          </cell>
          <cell r="K4345" t="str">
            <v>KU</v>
          </cell>
          <cell r="L4345" t="str">
            <v>GAGR01</v>
          </cell>
          <cell r="M4345" t="str">
            <v>KSU CU Sang Timur/CU Agro</v>
          </cell>
          <cell r="N4345" t="str">
            <v>Koperasi Konsumen CU Sang Timur</v>
          </cell>
          <cell r="O4345" t="str">
            <v>Jln. Raya Grajagan No. RT.004/RW.001, Kel. Karetan, Kec. Purwoharjo</v>
          </cell>
          <cell r="P4345" t="str">
            <v>Banyuwangi</v>
          </cell>
          <cell r="Q4345" t="str">
            <v>Jln. Raya Grajagan No. RT.004/RW.001, Kel. Karetan, Kec. Purwoharjo</v>
          </cell>
          <cell r="R4345" t="str">
            <v>Banyuwangi</v>
          </cell>
          <cell r="S4345" t="str">
            <v>H Bwi4</v>
          </cell>
          <cell r="T4345" t="str">
            <v>Hafid</v>
          </cell>
          <cell r="U4345">
            <v>30</v>
          </cell>
        </row>
        <row r="4346">
          <cell r="E4346" t="str">
            <v>B25011776</v>
          </cell>
          <cell r="F4346"/>
          <cell r="G4346">
            <v>525000000</v>
          </cell>
          <cell r="H4346" t="str">
            <v>Faris</v>
          </cell>
          <cell r="I4346" t="str">
            <v>Syahra</v>
          </cell>
          <cell r="J4346" t="str">
            <v>New 15/07/20</v>
          </cell>
          <cell r="K4346" t="str">
            <v>KU</v>
          </cell>
          <cell r="L4346" t="str">
            <v>GAGR01</v>
          </cell>
          <cell r="M4346" t="str">
            <v>KSU CU Sang Timur/CU Agro</v>
          </cell>
          <cell r="N4346" t="str">
            <v>Koperasi Konsumen CU Sang Timur</v>
          </cell>
          <cell r="O4346" t="str">
            <v>Jln. Raya Grajagan No. RT.004/RW.001, Kel. Karetan, Kec. Purwoharjo</v>
          </cell>
          <cell r="P4346" t="str">
            <v>Banyuwangi</v>
          </cell>
          <cell r="Q4346" t="str">
            <v>Jln. Raya Grajagan No. RT.004/RW.001, Kel. Karetan, Kec. Purwoharjo</v>
          </cell>
          <cell r="R4346" t="str">
            <v>Banyuwangi</v>
          </cell>
          <cell r="S4346" t="str">
            <v>H Bwi4</v>
          </cell>
          <cell r="T4346" t="str">
            <v>Hafid</v>
          </cell>
          <cell r="U4346">
            <v>60</v>
          </cell>
        </row>
        <row r="4347">
          <cell r="E4347" t="str">
            <v>D25014028</v>
          </cell>
          <cell r="F4347"/>
          <cell r="G4347">
            <v>525000000</v>
          </cell>
          <cell r="H4347" t="str">
            <v>Faris</v>
          </cell>
          <cell r="I4347" t="str">
            <v>Syahra</v>
          </cell>
          <cell r="J4347" t="str">
            <v>New 15/07/20</v>
          </cell>
          <cell r="K4347" t="str">
            <v>KU</v>
          </cell>
          <cell r="L4347" t="str">
            <v>GAGR01</v>
          </cell>
          <cell r="M4347" t="str">
            <v>KSU CU Sang Timur/CU Agro</v>
          </cell>
          <cell r="N4347" t="str">
            <v>Koperasi Konsumen CU Sang Timur</v>
          </cell>
          <cell r="O4347" t="str">
            <v>Jln. Raya Grajagan No. RT.004/RW.001, Kel. Karetan, Kec. Purwoharjo</v>
          </cell>
          <cell r="P4347" t="str">
            <v>Banyuwangi</v>
          </cell>
          <cell r="Q4347" t="str">
            <v>Jln. Raya Grajagan No. RT.004/RW.001, Kel. Karetan, Kec. Purwoharjo</v>
          </cell>
          <cell r="R4347" t="str">
            <v>Banyuwangi</v>
          </cell>
          <cell r="S4347" t="str">
            <v>H Bwi4</v>
          </cell>
          <cell r="T4347" t="str">
            <v>Hafid</v>
          </cell>
          <cell r="U4347">
            <v>30</v>
          </cell>
        </row>
        <row r="4348">
          <cell r="E4348" t="str">
            <v>D25014799</v>
          </cell>
          <cell r="F4348"/>
          <cell r="G4348">
            <v>525000000</v>
          </cell>
          <cell r="H4348" t="str">
            <v>Faris</v>
          </cell>
          <cell r="I4348" t="str">
            <v>Syahra</v>
          </cell>
          <cell r="J4348" t="str">
            <v>New 15/07/20</v>
          </cell>
          <cell r="K4348" t="str">
            <v>KU</v>
          </cell>
          <cell r="L4348" t="str">
            <v>GAGR01</v>
          </cell>
          <cell r="M4348" t="str">
            <v>KSU CU Sang Timur/CU Agro</v>
          </cell>
          <cell r="N4348" t="str">
            <v>Koperasi Konsumen CU Sang Timur</v>
          </cell>
          <cell r="O4348" t="str">
            <v>Jln. Raya Grajagan No. RT.004/RW.001, Kel. Karetan, Kec. Purwoharjo</v>
          </cell>
          <cell r="P4348" t="str">
            <v>Banyuwangi</v>
          </cell>
          <cell r="Q4348" t="str">
            <v>Jln. Raya Grajagan No. RT.004/RW.001, Kel. Karetan, Kec. Purwoharjo</v>
          </cell>
          <cell r="R4348" t="str">
            <v>Banyuwangi</v>
          </cell>
          <cell r="S4348" t="str">
            <v>H Bwi4</v>
          </cell>
          <cell r="T4348" t="str">
            <v>Hafid</v>
          </cell>
          <cell r="U4348">
            <v>30</v>
          </cell>
        </row>
        <row r="4349">
          <cell r="E4349" t="str">
            <v>D25014808</v>
          </cell>
          <cell r="F4349"/>
          <cell r="G4349">
            <v>525000000</v>
          </cell>
          <cell r="H4349" t="str">
            <v>Faris</v>
          </cell>
          <cell r="I4349" t="str">
            <v>Syahra</v>
          </cell>
          <cell r="J4349" t="str">
            <v>New 15/07/20</v>
          </cell>
          <cell r="K4349" t="str">
            <v>KU</v>
          </cell>
          <cell r="L4349" t="str">
            <v>GAGR01</v>
          </cell>
          <cell r="M4349" t="str">
            <v>KSU CU Sang Timur/CU Agro</v>
          </cell>
          <cell r="N4349" t="str">
            <v>Koperasi Konsumen CU Sang Timur</v>
          </cell>
          <cell r="O4349" t="str">
            <v>Jln. Raya Grajagan No. RT.004/RW.001, Kel. Karetan, Kec. Purwoharjo</v>
          </cell>
          <cell r="P4349" t="str">
            <v>Banyuwangi</v>
          </cell>
          <cell r="Q4349" t="str">
            <v>Jln. Raya Grajagan No. RT.004/RW.001, Kel. Karetan, Kec. Purwoharjo</v>
          </cell>
          <cell r="R4349" t="str">
            <v>Banyuwangi</v>
          </cell>
          <cell r="S4349" t="str">
            <v>H Bwi4</v>
          </cell>
          <cell r="T4349" t="str">
            <v>Hafid</v>
          </cell>
          <cell r="U4349">
            <v>30</v>
          </cell>
        </row>
        <row r="4350">
          <cell r="E4350" t="str">
            <v>D25014961</v>
          </cell>
          <cell r="F4350"/>
          <cell r="G4350">
            <v>525000000</v>
          </cell>
          <cell r="H4350" t="str">
            <v>Faris</v>
          </cell>
          <cell r="I4350" t="str">
            <v>Syahra</v>
          </cell>
          <cell r="J4350" t="str">
            <v>New 15/07/20</v>
          </cell>
          <cell r="K4350" t="str">
            <v>KU</v>
          </cell>
          <cell r="L4350" t="str">
            <v>GAGR01</v>
          </cell>
          <cell r="M4350" t="str">
            <v>KSU CU Sang Timur/CU Agro</v>
          </cell>
          <cell r="N4350" t="str">
            <v>Koperasi Konsumen CU Sang Timur</v>
          </cell>
          <cell r="O4350" t="str">
            <v>Jln. Raya Grajagan No. RT.004/RW.001, Kel. Karetan, Kec. Purwoharjo</v>
          </cell>
          <cell r="P4350" t="str">
            <v>Banyuwangi</v>
          </cell>
          <cell r="Q4350" t="str">
            <v>Jln. Raya Grajagan No. RT.004/RW.001, Kel. Karetan, Kec. Purwoharjo</v>
          </cell>
          <cell r="R4350" t="str">
            <v>Banyuwangi</v>
          </cell>
          <cell r="S4350" t="str">
            <v>H Bwi4</v>
          </cell>
          <cell r="T4350" t="str">
            <v>Hafid</v>
          </cell>
          <cell r="U4350">
            <v>30</v>
          </cell>
        </row>
        <row r="4351">
          <cell r="E4351" t="str">
            <v>B25013142</v>
          </cell>
          <cell r="F4351"/>
          <cell r="G4351">
            <v>525000000</v>
          </cell>
          <cell r="H4351" t="str">
            <v>Faris</v>
          </cell>
          <cell r="I4351" t="str">
            <v>Syahra</v>
          </cell>
          <cell r="J4351" t="str">
            <v>New 15/07/20</v>
          </cell>
          <cell r="K4351" t="str">
            <v>KU</v>
          </cell>
          <cell r="L4351" t="str">
            <v>GAGR01</v>
          </cell>
          <cell r="M4351" t="str">
            <v>KSU CU Sang Timur/CU Agro</v>
          </cell>
          <cell r="N4351" t="str">
            <v>Koperasi Konsumen CU Sang Timur</v>
          </cell>
          <cell r="O4351" t="str">
            <v>Jln. Raya Grajagan No. RT.004/RW.001, Kel. Karetan, Kec. Purwoharjo</v>
          </cell>
          <cell r="P4351" t="str">
            <v>Banyuwangi</v>
          </cell>
          <cell r="Q4351" t="str">
            <v>Jln. Raya Grajagan No. RT.004/RW.001, Kel. Karetan, Kec. Purwoharjo</v>
          </cell>
          <cell r="R4351" t="str">
            <v>Banyuwangi</v>
          </cell>
          <cell r="S4351" t="str">
            <v>H Bwi4</v>
          </cell>
          <cell r="T4351" t="str">
            <v>Hafid</v>
          </cell>
          <cell r="U4351">
            <v>60</v>
          </cell>
        </row>
        <row r="4352">
          <cell r="E4352">
            <v>250137</v>
          </cell>
          <cell r="F4352"/>
          <cell r="G4352">
            <v>525000000</v>
          </cell>
          <cell r="H4352" t="str">
            <v>Faris</v>
          </cell>
          <cell r="I4352" t="str">
            <v>Syahra</v>
          </cell>
          <cell r="J4352" t="str">
            <v>New 15/07/20</v>
          </cell>
          <cell r="K4352" t="str">
            <v>KU</v>
          </cell>
          <cell r="L4352" t="str">
            <v>GAGR01</v>
          </cell>
          <cell r="M4352" t="str">
            <v>KSU CU Sang Timur/CU Agro</v>
          </cell>
          <cell r="N4352" t="str">
            <v>Koperasi Konsumen CU Sang Timur</v>
          </cell>
          <cell r="O4352" t="str">
            <v>Jln. Raya Grajagan No. RT.004/RW.001, Kel. Karetan, Kec. Purwoharjo</v>
          </cell>
          <cell r="P4352" t="str">
            <v>Banyuwangi</v>
          </cell>
          <cell r="Q4352" t="str">
            <v>Jln. Raya Grajagan No. RT.004/RW.001, Kel. Karetan, Kec. Purwoharjo</v>
          </cell>
          <cell r="R4352" t="str">
            <v>Banyuwangi</v>
          </cell>
          <cell r="S4352" t="str">
            <v>H Bwi4</v>
          </cell>
          <cell r="T4352" t="str">
            <v>Hafid</v>
          </cell>
          <cell r="U4352">
            <v>30</v>
          </cell>
        </row>
        <row r="4353">
          <cell r="E4353" t="str">
            <v>B25013208</v>
          </cell>
          <cell r="F4353"/>
          <cell r="G4353">
            <v>525000000</v>
          </cell>
          <cell r="H4353" t="str">
            <v>Faris</v>
          </cell>
          <cell r="I4353" t="str">
            <v>Syahra</v>
          </cell>
          <cell r="J4353" t="str">
            <v>New 15/07/20</v>
          </cell>
          <cell r="K4353" t="str">
            <v>KU</v>
          </cell>
          <cell r="L4353" t="str">
            <v>GAGR01</v>
          </cell>
          <cell r="M4353" t="str">
            <v>KSU CU Sang Timur/CU Agro</v>
          </cell>
          <cell r="N4353" t="str">
            <v>Koperasi Konsumen CU Sang Timur</v>
          </cell>
          <cell r="O4353" t="str">
            <v>Jln. Raya Grajagan No. RT.004/RW.001, Kel. Karetan, Kec. Purwoharjo</v>
          </cell>
          <cell r="P4353" t="str">
            <v>Banyuwangi</v>
          </cell>
          <cell r="Q4353" t="str">
            <v>Jln. Raya Grajagan No. RT.004/RW.001, Kel. Karetan, Kec. Purwoharjo</v>
          </cell>
          <cell r="R4353" t="str">
            <v>Banyuwangi</v>
          </cell>
          <cell r="S4353" t="str">
            <v>H Bwi4</v>
          </cell>
          <cell r="T4353" t="str">
            <v>Hafid</v>
          </cell>
          <cell r="U4353">
            <v>0</v>
          </cell>
        </row>
        <row r="4354">
          <cell r="E4354" t="str">
            <v>B25013209</v>
          </cell>
          <cell r="F4354"/>
          <cell r="G4354">
            <v>525000000</v>
          </cell>
          <cell r="H4354" t="str">
            <v>Faris</v>
          </cell>
          <cell r="I4354" t="str">
            <v>Syahra</v>
          </cell>
          <cell r="J4354" t="str">
            <v>New 15/07/20</v>
          </cell>
          <cell r="K4354" t="str">
            <v>KU</v>
          </cell>
          <cell r="L4354" t="str">
            <v>GAGR01</v>
          </cell>
          <cell r="M4354" t="str">
            <v>KSU CU Sang Timur/CU Agro</v>
          </cell>
          <cell r="N4354" t="str">
            <v>Koperasi Konsumen CU Sang Timur</v>
          </cell>
          <cell r="O4354" t="str">
            <v>Jln. Raya Grajagan No. RT.004/RW.001, Kel. Karetan, Kec. Purwoharjo</v>
          </cell>
          <cell r="P4354" t="str">
            <v>Banyuwangi</v>
          </cell>
          <cell r="Q4354" t="str">
            <v>Jln. Raya Grajagan No. RT.004/RW.001, Kel. Karetan, Kec. Purwoharjo</v>
          </cell>
          <cell r="R4354" t="str">
            <v>Banyuwangi</v>
          </cell>
          <cell r="S4354" t="str">
            <v>H Bwi4</v>
          </cell>
          <cell r="T4354" t="str">
            <v>Hafid</v>
          </cell>
          <cell r="U4354">
            <v>30</v>
          </cell>
        </row>
        <row r="4355">
          <cell r="E4355" t="str">
            <v>Z25002658</v>
          </cell>
          <cell r="F4355"/>
          <cell r="G4355">
            <v>525000000</v>
          </cell>
          <cell r="H4355" t="str">
            <v>Faris</v>
          </cell>
          <cell r="I4355" t="str">
            <v>Syahra</v>
          </cell>
          <cell r="J4355" t="str">
            <v>New 15/07/20</v>
          </cell>
          <cell r="K4355" t="str">
            <v>KU</v>
          </cell>
          <cell r="L4355" t="str">
            <v>GAGR01</v>
          </cell>
          <cell r="M4355" t="str">
            <v>KSU CU Sang Timur/CU Agro</v>
          </cell>
          <cell r="N4355" t="str">
            <v>Koperasi Konsumen CU Sang Timur</v>
          </cell>
          <cell r="O4355" t="str">
            <v>Jln. Raya Grajagan No. RT.004/RW.001, Kel. Karetan, Kec. Purwoharjo</v>
          </cell>
          <cell r="P4355" t="str">
            <v>Banyuwangi</v>
          </cell>
          <cell r="Q4355" t="str">
            <v>Jln. Raya Grajagan No. RT.004/RW.001, Kel. Karetan, Kec. Purwoharjo</v>
          </cell>
          <cell r="R4355" t="str">
            <v>Banyuwangi</v>
          </cell>
          <cell r="S4355" t="str">
            <v>H Bwi4</v>
          </cell>
          <cell r="T4355" t="str">
            <v>Hafid</v>
          </cell>
          <cell r="U4355">
            <v>30</v>
          </cell>
        </row>
        <row r="4356">
          <cell r="E4356" t="str">
            <v>D25016012</v>
          </cell>
          <cell r="F4356"/>
          <cell r="G4356">
            <v>525000000</v>
          </cell>
          <cell r="H4356" t="str">
            <v>Faris</v>
          </cell>
          <cell r="I4356" t="str">
            <v>Syahra</v>
          </cell>
          <cell r="J4356" t="str">
            <v>New 15/07/20</v>
          </cell>
          <cell r="K4356" t="str">
            <v>KU</v>
          </cell>
          <cell r="L4356" t="str">
            <v>GAGR01</v>
          </cell>
          <cell r="M4356" t="str">
            <v>KSU CU Sang Timur/CU Agro</v>
          </cell>
          <cell r="N4356" t="str">
            <v>Koperasi Konsumen CU Sang Timur</v>
          </cell>
          <cell r="O4356" t="str">
            <v>Jln. Raya Grajagan No. RT.004/RW.001, Kel. Karetan, Kec. Purwoharjo</v>
          </cell>
          <cell r="P4356" t="str">
            <v>Banyuwangi</v>
          </cell>
          <cell r="Q4356" t="str">
            <v>Jln. Raya Grajagan No. RT.004/RW.001, Kel. Karetan, Kec. Purwoharjo</v>
          </cell>
          <cell r="R4356" t="str">
            <v>Banyuwangi</v>
          </cell>
          <cell r="S4356" t="str">
            <v>H Bwi4</v>
          </cell>
          <cell r="T4356" t="str">
            <v>Hafid</v>
          </cell>
          <cell r="U4356">
            <v>60</v>
          </cell>
        </row>
        <row r="4357">
          <cell r="E4357">
            <v>250148</v>
          </cell>
          <cell r="F4357"/>
          <cell r="G4357">
            <v>525000000</v>
          </cell>
          <cell r="H4357" t="str">
            <v>Faris</v>
          </cell>
          <cell r="I4357" t="str">
            <v>Syahra</v>
          </cell>
          <cell r="J4357" t="str">
            <v>New 15/07/20</v>
          </cell>
          <cell r="K4357" t="str">
            <v>KU</v>
          </cell>
          <cell r="L4357" t="str">
            <v>GAGR01</v>
          </cell>
          <cell r="M4357" t="str">
            <v>KSU CU Sang Timur/CU Agro</v>
          </cell>
          <cell r="N4357" t="str">
            <v>Koperasi Konsumen CU Sang Timur</v>
          </cell>
          <cell r="O4357" t="str">
            <v>Jln. Raya Grajagan No. RT.004/RW.001, Kel. Karetan, Kec. Purwoharjo</v>
          </cell>
          <cell r="P4357" t="str">
            <v>Banyuwangi</v>
          </cell>
          <cell r="Q4357" t="str">
            <v>Jln. Raya Grajagan No. RT.004/RW.001, Kel. Karetan, Kec. Purwoharjo</v>
          </cell>
          <cell r="R4357" t="str">
            <v>Banyuwangi</v>
          </cell>
          <cell r="S4357" t="str">
            <v>H Bwi4</v>
          </cell>
          <cell r="T4357" t="str">
            <v>Hafid</v>
          </cell>
          <cell r="U4357">
            <v>30</v>
          </cell>
        </row>
        <row r="4358">
          <cell r="E4358" t="str">
            <v>B25013913</v>
          </cell>
          <cell r="F4358"/>
          <cell r="G4358">
            <v>525000000</v>
          </cell>
          <cell r="H4358" t="str">
            <v>Faris</v>
          </cell>
          <cell r="I4358" t="str">
            <v>Syahra</v>
          </cell>
          <cell r="J4358" t="str">
            <v>New 15/07/20</v>
          </cell>
          <cell r="K4358" t="str">
            <v>KU</v>
          </cell>
          <cell r="L4358" t="str">
            <v>GAGR01</v>
          </cell>
          <cell r="M4358" t="str">
            <v>KSU CU Sang Timur/CU Agro</v>
          </cell>
          <cell r="N4358" t="str">
            <v>Koperasi Konsumen CU Sang Timur</v>
          </cell>
          <cell r="O4358" t="str">
            <v>Jln. Raya Grajagan No. RT.004/RW.001, Kel. Karetan, Kec. Purwoharjo</v>
          </cell>
          <cell r="P4358" t="str">
            <v>Banyuwangi</v>
          </cell>
          <cell r="Q4358" t="str">
            <v>Jln. Raya Grajagan No. RT.004/RW.001, Kel. Karetan, Kec. Purwoharjo</v>
          </cell>
          <cell r="R4358" t="str">
            <v>Banyuwangi</v>
          </cell>
          <cell r="S4358" t="str">
            <v>H Bwi4</v>
          </cell>
          <cell r="T4358" t="str">
            <v>Hafid</v>
          </cell>
          <cell r="U4358">
            <v>30</v>
          </cell>
        </row>
        <row r="4359">
          <cell r="E4359" t="str">
            <v>B25012677</v>
          </cell>
          <cell r="F4359"/>
          <cell r="G4359">
            <v>60000000</v>
          </cell>
          <cell r="H4359" t="str">
            <v>Faris</v>
          </cell>
          <cell r="I4359" t="str">
            <v>Syahra</v>
          </cell>
          <cell r="J4359"/>
          <cell r="K4359" t="str">
            <v>Tunai</v>
          </cell>
          <cell r="L4359" t="str">
            <v>KUMP02</v>
          </cell>
          <cell r="M4359" t="str">
            <v>Kumpul Tani 2/Heru</v>
          </cell>
          <cell r="N4359" t="str">
            <v>Heru Wahyu Hidayat</v>
          </cell>
          <cell r="O4359" t="str">
            <v>Jl. KH. Wahid Hasyim VII No. 23 RT.001 RW.021 Kel. Kepatihan Kec. Kaliwates</v>
          </cell>
          <cell r="P4359" t="str">
            <v>Jember</v>
          </cell>
          <cell r="Q4359" t="str">
            <v>Depan Pasar Cerme</v>
          </cell>
          <cell r="R4359" t="str">
            <v>Bondowoso</v>
          </cell>
          <cell r="S4359" t="str">
            <v>N Bdw Stb</v>
          </cell>
          <cell r="T4359" t="str">
            <v>Wira</v>
          </cell>
          <cell r="U4359">
            <v>30</v>
          </cell>
        </row>
        <row r="4360">
          <cell r="E4360" t="str">
            <v>D25015008</v>
          </cell>
          <cell r="F4360"/>
          <cell r="G4360">
            <v>60000000</v>
          </cell>
          <cell r="H4360" t="str">
            <v>Faris</v>
          </cell>
          <cell r="I4360" t="str">
            <v>Syahra</v>
          </cell>
          <cell r="J4360"/>
          <cell r="K4360" t="str">
            <v>Tunai</v>
          </cell>
          <cell r="L4360" t="str">
            <v>KUMP02</v>
          </cell>
          <cell r="M4360" t="str">
            <v>Kumpul Tani 2/Heru</v>
          </cell>
          <cell r="N4360" t="str">
            <v>Heru Wahyu Hidayat</v>
          </cell>
          <cell r="O4360" t="str">
            <v>Jl. KH. Wahid Hasyim VII No. 23 RT.001 RW.021 Kel. Kepatihan Kec. Kaliwates</v>
          </cell>
          <cell r="P4360" t="str">
            <v>Jember</v>
          </cell>
          <cell r="Q4360" t="str">
            <v>Depan Pasar Cerme</v>
          </cell>
          <cell r="R4360" t="str">
            <v>Bondowoso</v>
          </cell>
          <cell r="S4360" t="str">
            <v>N Bdw Stb</v>
          </cell>
          <cell r="T4360" t="str">
            <v>Wira</v>
          </cell>
          <cell r="U4360">
            <v>30</v>
          </cell>
        </row>
        <row r="4361">
          <cell r="E4361" t="str">
            <v>D25015262</v>
          </cell>
          <cell r="F4361"/>
          <cell r="G4361">
            <v>60000000</v>
          </cell>
          <cell r="H4361" t="str">
            <v>Faris</v>
          </cell>
          <cell r="I4361" t="str">
            <v>Syahra</v>
          </cell>
          <cell r="J4361"/>
          <cell r="K4361" t="str">
            <v>Tunai</v>
          </cell>
          <cell r="L4361" t="str">
            <v>KUMP02</v>
          </cell>
          <cell r="M4361" t="str">
            <v>Kumpul Tani 2/Heru</v>
          </cell>
          <cell r="N4361" t="str">
            <v>Heru Wahyu Hidayat</v>
          </cell>
          <cell r="O4361" t="str">
            <v>Jl. KH. Wahid Hasyim VII No. 23 RT.001 RW.021 Kel. Kepatihan Kec. Kaliwates</v>
          </cell>
          <cell r="P4361" t="str">
            <v>Jember</v>
          </cell>
          <cell r="Q4361" t="str">
            <v>Depan Pasar Cerme</v>
          </cell>
          <cell r="R4361" t="str">
            <v>Bondowoso</v>
          </cell>
          <cell r="S4361" t="str">
            <v>N Bdw Stb</v>
          </cell>
          <cell r="T4361" t="str">
            <v>Wira</v>
          </cell>
          <cell r="U4361">
            <v>0</v>
          </cell>
        </row>
        <row r="4362">
          <cell r="E4362" t="str">
            <v>D25015285</v>
          </cell>
          <cell r="F4362"/>
          <cell r="G4362">
            <v>60000000</v>
          </cell>
          <cell r="H4362" t="str">
            <v>Faris</v>
          </cell>
          <cell r="I4362" t="str">
            <v>Syahra</v>
          </cell>
          <cell r="J4362"/>
          <cell r="K4362" t="str">
            <v>Tunai</v>
          </cell>
          <cell r="L4362" t="str">
            <v>KUMP02</v>
          </cell>
          <cell r="M4362" t="str">
            <v>Kumpul Tani 2/Heru</v>
          </cell>
          <cell r="N4362" t="str">
            <v>Heru Wahyu Hidayat</v>
          </cell>
          <cell r="O4362" t="str">
            <v>Jl. KH. Wahid Hasyim VII No. 23 RT.001 RW.021 Kel. Kepatihan Kec. Kaliwates</v>
          </cell>
          <cell r="P4362" t="str">
            <v>Jember</v>
          </cell>
          <cell r="Q4362" t="str">
            <v>Depan Pasar Cerme</v>
          </cell>
          <cell r="R4362" t="str">
            <v>Bondowoso</v>
          </cell>
          <cell r="S4362" t="str">
            <v>N Bdw Stb</v>
          </cell>
          <cell r="T4362" t="str">
            <v>Wira</v>
          </cell>
          <cell r="U4362">
            <v>30</v>
          </cell>
        </row>
        <row r="4363">
          <cell r="E4363" t="str">
            <v>B25013479</v>
          </cell>
          <cell r="F4363"/>
          <cell r="G4363">
            <v>60000000</v>
          </cell>
          <cell r="H4363" t="str">
            <v>Faris</v>
          </cell>
          <cell r="I4363" t="str">
            <v>Syahra</v>
          </cell>
          <cell r="J4363"/>
          <cell r="K4363" t="str">
            <v>Tunai</v>
          </cell>
          <cell r="L4363" t="str">
            <v>KUMP02</v>
          </cell>
          <cell r="M4363" t="str">
            <v>Kumpul Tani 2/Heru</v>
          </cell>
          <cell r="N4363" t="str">
            <v>Heru Wahyu Hidayat</v>
          </cell>
          <cell r="O4363" t="str">
            <v>Jl. KH. Wahid Hasyim VII No. 23 RT.001 RW.021 Kel. Kepatihan Kec. Kaliwates</v>
          </cell>
          <cell r="P4363" t="str">
            <v>Jember</v>
          </cell>
          <cell r="Q4363" t="str">
            <v>Depan Pasar Cerme</v>
          </cell>
          <cell r="R4363" t="str">
            <v>Bondowoso</v>
          </cell>
          <cell r="S4363" t="str">
            <v>N Bdw Stb</v>
          </cell>
          <cell r="T4363" t="str">
            <v>Wira</v>
          </cell>
          <cell r="U4363">
            <v>30</v>
          </cell>
        </row>
        <row r="4364">
          <cell r="E4364" t="str">
            <v>B25013538</v>
          </cell>
          <cell r="F4364"/>
          <cell r="G4364">
            <v>60000000</v>
          </cell>
          <cell r="H4364" t="str">
            <v>Faris</v>
          </cell>
          <cell r="I4364" t="str">
            <v>Syahra</v>
          </cell>
          <cell r="J4364"/>
          <cell r="K4364" t="str">
            <v>Tunai</v>
          </cell>
          <cell r="L4364" t="str">
            <v>KUMP02</v>
          </cell>
          <cell r="M4364" t="str">
            <v>Kumpul Tani 2/Heru</v>
          </cell>
          <cell r="N4364" t="str">
            <v>Heru Wahyu Hidayat</v>
          </cell>
          <cell r="O4364" t="str">
            <v>Jl. KH. Wahid Hasyim VII No. 23 RT.001 RW.021 Kel. Kepatihan Kec. Kaliwates</v>
          </cell>
          <cell r="P4364" t="str">
            <v>Jember</v>
          </cell>
          <cell r="Q4364" t="str">
            <v>Depan Pasar Cerme</v>
          </cell>
          <cell r="R4364" t="str">
            <v>Bondowoso</v>
          </cell>
          <cell r="S4364" t="str">
            <v>N Bdw Stb</v>
          </cell>
          <cell r="T4364" t="str">
            <v>Wira</v>
          </cell>
          <cell r="U4364">
            <v>30</v>
          </cell>
        </row>
        <row r="4365">
          <cell r="E4365" t="str">
            <v>D25010757</v>
          </cell>
          <cell r="F4365"/>
          <cell r="G4365">
            <v>1000000000</v>
          </cell>
          <cell r="H4365" t="str">
            <v>Faris</v>
          </cell>
          <cell r="I4365" t="str">
            <v>Syahra</v>
          </cell>
          <cell r="J4365"/>
          <cell r="K4365" t="str">
            <v>KU, Tunai</v>
          </cell>
          <cell r="L4365" t="str">
            <v>KUMP01</v>
          </cell>
          <cell r="M4365" t="str">
            <v>Kumpul Tani/Hendro</v>
          </cell>
          <cell r="N4365" t="str">
            <v>Hendro Mulyono</v>
          </cell>
          <cell r="O4365" t="str">
            <v>Jl. Gajah Mada Gg. Tawes 266 Lingk. Krajan, RT.002/RW.004, Kel. Kaliwates, Kec. Kaliwates</v>
          </cell>
          <cell r="P4365" t="str">
            <v>Jember</v>
          </cell>
          <cell r="Q4365" t="str">
            <v>Ds. Sumber Kalong, Wonosari</v>
          </cell>
          <cell r="R4365" t="str">
            <v>Bondowoso</v>
          </cell>
          <cell r="S4365" t="str">
            <v>N Bdw Stb</v>
          </cell>
          <cell r="T4365" t="str">
            <v>Wira</v>
          </cell>
          <cell r="U4365">
            <v>60</v>
          </cell>
        </row>
        <row r="4366">
          <cell r="E4366" t="str">
            <v>D25010810</v>
          </cell>
          <cell r="F4366"/>
          <cell r="G4366">
            <v>1000000000</v>
          </cell>
          <cell r="H4366" t="str">
            <v>Faris</v>
          </cell>
          <cell r="I4366" t="str">
            <v>Syahra</v>
          </cell>
          <cell r="J4366"/>
          <cell r="K4366" t="str">
            <v>KU, Tunai</v>
          </cell>
          <cell r="L4366" t="str">
            <v>KUMP01</v>
          </cell>
          <cell r="M4366" t="str">
            <v>Kumpul Tani/Hendro</v>
          </cell>
          <cell r="N4366" t="str">
            <v>Hendro Mulyono</v>
          </cell>
          <cell r="O4366" t="str">
            <v>Jl. Gajah Mada Gg. Tawes 266 Lingk. Krajan, RT.002/RW.004, Kel. Kaliwates, Kec. Kaliwates</v>
          </cell>
          <cell r="P4366" t="str">
            <v>Jember</v>
          </cell>
          <cell r="Q4366" t="str">
            <v>Ds. Sumber Kalong, Wonosari</v>
          </cell>
          <cell r="R4366" t="str">
            <v>Bondowoso</v>
          </cell>
          <cell r="S4366" t="str">
            <v>N Bdw Stb</v>
          </cell>
          <cell r="T4366" t="str">
            <v>Wira</v>
          </cell>
          <cell r="U4366">
            <v>60</v>
          </cell>
        </row>
        <row r="4367">
          <cell r="E4367" t="str">
            <v>T25001133</v>
          </cell>
          <cell r="F4367"/>
          <cell r="G4367">
            <v>1000000000</v>
          </cell>
          <cell r="H4367" t="str">
            <v>Faris</v>
          </cell>
          <cell r="I4367" t="str">
            <v>Syahra</v>
          </cell>
          <cell r="J4367"/>
          <cell r="K4367" t="str">
            <v>KU, Tunai</v>
          </cell>
          <cell r="L4367" t="str">
            <v>KUMP01</v>
          </cell>
          <cell r="M4367" t="str">
            <v>Kumpul Tani/Hendro</v>
          </cell>
          <cell r="N4367" t="str">
            <v>Hendro Mulyono</v>
          </cell>
          <cell r="O4367" t="str">
            <v>Jl. Gajah Mada Gg. Tawes 266 Lingk. Krajan, RT.002/RW.004, Kel. Kaliwates, Kec. Kaliwates</v>
          </cell>
          <cell r="P4367" t="str">
            <v>Jember</v>
          </cell>
          <cell r="Q4367" t="str">
            <v>Ds. Sumber Kalong, Wonosari</v>
          </cell>
          <cell r="R4367" t="str">
            <v>Bondowoso</v>
          </cell>
          <cell r="S4367" t="str">
            <v>N Bdw Stb</v>
          </cell>
          <cell r="T4367" t="str">
            <v>Wira</v>
          </cell>
          <cell r="U4367">
            <v>60</v>
          </cell>
        </row>
        <row r="4368">
          <cell r="E4368" t="str">
            <v>B25009211</v>
          </cell>
          <cell r="F4368"/>
          <cell r="G4368">
            <v>1000000000</v>
          </cell>
          <cell r="H4368" t="str">
            <v>Faris</v>
          </cell>
          <cell r="I4368" t="str">
            <v>Syahra</v>
          </cell>
          <cell r="J4368"/>
          <cell r="K4368" t="str">
            <v>KU, Tunai</v>
          </cell>
          <cell r="L4368" t="str">
            <v>KUMP01</v>
          </cell>
          <cell r="M4368" t="str">
            <v>Kumpul Tani/Hendro</v>
          </cell>
          <cell r="N4368" t="str">
            <v>Hendro Mulyono</v>
          </cell>
          <cell r="O4368" t="str">
            <v>Jl. Gajah Mada Gg. Tawes 266 Lingk. Krajan, RT.002/RW.004, Kel. Kaliwates, Kec. Kaliwates</v>
          </cell>
          <cell r="P4368" t="str">
            <v>Jember</v>
          </cell>
          <cell r="Q4368" t="str">
            <v>Ds. Sumber Kalong, Wonosari</v>
          </cell>
          <cell r="R4368" t="str">
            <v>Bondowoso</v>
          </cell>
          <cell r="S4368" t="str">
            <v>N Bdw Stb</v>
          </cell>
          <cell r="T4368" t="str">
            <v>Wira</v>
          </cell>
          <cell r="U4368">
            <v>60</v>
          </cell>
        </row>
        <row r="4369">
          <cell r="E4369" t="str">
            <v>B25009865</v>
          </cell>
          <cell r="F4369"/>
          <cell r="G4369">
            <v>1000000000</v>
          </cell>
          <cell r="H4369" t="str">
            <v>Faris</v>
          </cell>
          <cell r="I4369" t="str">
            <v>Syahra</v>
          </cell>
          <cell r="J4369"/>
          <cell r="K4369" t="str">
            <v>KU, Tunai</v>
          </cell>
          <cell r="L4369" t="str">
            <v>KUMP01</v>
          </cell>
          <cell r="M4369" t="str">
            <v>Kumpul Tani/Hendro</v>
          </cell>
          <cell r="N4369" t="str">
            <v>Hendro Mulyono</v>
          </cell>
          <cell r="O4369" t="str">
            <v>Jl. Gajah Mada Gg. Tawes 266 Lingk. Krajan, RT.002/RW.004, Kel. Kaliwates, Kec. Kaliwates</v>
          </cell>
          <cell r="P4369" t="str">
            <v>Jember</v>
          </cell>
          <cell r="Q4369" t="str">
            <v>Ds. Sumber Kalong, Wonosari</v>
          </cell>
          <cell r="R4369" t="str">
            <v>Bondowoso</v>
          </cell>
          <cell r="S4369" t="str">
            <v>N Bdw Stb</v>
          </cell>
          <cell r="T4369" t="str">
            <v>Wira</v>
          </cell>
          <cell r="U4369">
            <v>60</v>
          </cell>
        </row>
        <row r="4370">
          <cell r="E4370" t="str">
            <v>B25009866</v>
          </cell>
          <cell r="F4370"/>
          <cell r="G4370">
            <v>1000000000</v>
          </cell>
          <cell r="H4370" t="str">
            <v>Faris</v>
          </cell>
          <cell r="I4370" t="str">
            <v>Syahra</v>
          </cell>
          <cell r="J4370"/>
          <cell r="K4370" t="str">
            <v>KU, Tunai</v>
          </cell>
          <cell r="L4370" t="str">
            <v>KUMP01</v>
          </cell>
          <cell r="M4370" t="str">
            <v>Kumpul Tani/Hendro</v>
          </cell>
          <cell r="N4370" t="str">
            <v>Hendro Mulyono</v>
          </cell>
          <cell r="O4370" t="str">
            <v>Jl. Gajah Mada Gg. Tawes 266 Lingk. Krajan, RT.002/RW.004, Kel. Kaliwates, Kec. Kaliwates</v>
          </cell>
          <cell r="P4370" t="str">
            <v>Jember</v>
          </cell>
          <cell r="Q4370" t="str">
            <v>Ds. Sumber Kalong, Wonosari</v>
          </cell>
          <cell r="R4370" t="str">
            <v>Bondowoso</v>
          </cell>
          <cell r="S4370" t="str">
            <v>N Bdw Stb</v>
          </cell>
          <cell r="T4370" t="str">
            <v>Wira</v>
          </cell>
          <cell r="U4370">
            <v>60</v>
          </cell>
        </row>
        <row r="4371">
          <cell r="E4371" t="str">
            <v>B25009960</v>
          </cell>
          <cell r="F4371"/>
          <cell r="G4371">
            <v>1000000000</v>
          </cell>
          <cell r="H4371" t="str">
            <v>Faris</v>
          </cell>
          <cell r="I4371" t="str">
            <v>Syahra</v>
          </cell>
          <cell r="J4371"/>
          <cell r="K4371" t="str">
            <v>KU, Tunai</v>
          </cell>
          <cell r="L4371" t="str">
            <v>KUMP01</v>
          </cell>
          <cell r="M4371" t="str">
            <v>Kumpul Tani/Hendro</v>
          </cell>
          <cell r="N4371" t="str">
            <v>Hendro Mulyono</v>
          </cell>
          <cell r="O4371" t="str">
            <v>Jl. Gajah Mada Gg. Tawes 266 Lingk. Krajan, RT.002/RW.004, Kel. Kaliwates, Kec. Kaliwates</v>
          </cell>
          <cell r="P4371" t="str">
            <v>Jember</v>
          </cell>
          <cell r="Q4371" t="str">
            <v>Ds. Sumber Kalong, Wonosari</v>
          </cell>
          <cell r="R4371" t="str">
            <v>Bondowoso</v>
          </cell>
          <cell r="S4371" t="str">
            <v>N Bdw Stb</v>
          </cell>
          <cell r="T4371" t="str">
            <v>Wira</v>
          </cell>
          <cell r="U4371">
            <v>30</v>
          </cell>
        </row>
        <row r="4372">
          <cell r="E4372" t="str">
            <v>B25009960</v>
          </cell>
          <cell r="F4372"/>
          <cell r="G4372">
            <v>1000000000</v>
          </cell>
          <cell r="H4372" t="str">
            <v>Faris</v>
          </cell>
          <cell r="I4372" t="str">
            <v>Syahra</v>
          </cell>
          <cell r="J4372"/>
          <cell r="K4372" t="str">
            <v>KU, Tunai</v>
          </cell>
          <cell r="L4372" t="str">
            <v>KUMP01</v>
          </cell>
          <cell r="M4372" t="str">
            <v>Kumpul Tani/Hendro</v>
          </cell>
          <cell r="N4372" t="str">
            <v>Hendro Mulyono</v>
          </cell>
          <cell r="O4372" t="str">
            <v>Jl. Gajah Mada Gg. Tawes 266 Lingk. Krajan, RT.002/RW.004, Kel. Kaliwates, Kec. Kaliwates</v>
          </cell>
          <cell r="P4372" t="str">
            <v>Jember</v>
          </cell>
          <cell r="Q4372" t="str">
            <v>Ds. Sumber Kalong, Wonosari</v>
          </cell>
          <cell r="R4372" t="str">
            <v>Bondowoso</v>
          </cell>
          <cell r="S4372" t="str">
            <v>N Bdw Stb</v>
          </cell>
          <cell r="T4372" t="str">
            <v>Wira</v>
          </cell>
          <cell r="U4372">
            <v>30</v>
          </cell>
        </row>
        <row r="4373">
          <cell r="E4373" t="str">
            <v>B25009961</v>
          </cell>
          <cell r="F4373"/>
          <cell r="G4373">
            <v>1000000000</v>
          </cell>
          <cell r="H4373" t="str">
            <v>Faris</v>
          </cell>
          <cell r="I4373" t="str">
            <v>Syahra</v>
          </cell>
          <cell r="J4373"/>
          <cell r="K4373" t="str">
            <v>KU, Tunai</v>
          </cell>
          <cell r="L4373" t="str">
            <v>KUMP01</v>
          </cell>
          <cell r="M4373" t="str">
            <v>Kumpul Tani/Hendro</v>
          </cell>
          <cell r="N4373" t="str">
            <v>Hendro Mulyono</v>
          </cell>
          <cell r="O4373" t="str">
            <v>Jl. Gajah Mada Gg. Tawes 266 Lingk. Krajan, RT.002/RW.004, Kel. Kaliwates, Kec. Kaliwates</v>
          </cell>
          <cell r="P4373" t="str">
            <v>Jember</v>
          </cell>
          <cell r="Q4373" t="str">
            <v>Ds. Sumber Kalong, Wonosari</v>
          </cell>
          <cell r="R4373" t="str">
            <v>Bondowoso</v>
          </cell>
          <cell r="S4373" t="str">
            <v>N Bdw Stb</v>
          </cell>
          <cell r="T4373" t="str">
            <v>Wira</v>
          </cell>
          <cell r="U4373">
            <v>30</v>
          </cell>
        </row>
        <row r="4374">
          <cell r="E4374" t="str">
            <v>D25011916</v>
          </cell>
          <cell r="F4374"/>
          <cell r="G4374">
            <v>1000000000</v>
          </cell>
          <cell r="H4374" t="str">
            <v>Faris</v>
          </cell>
          <cell r="I4374" t="str">
            <v>Syahra</v>
          </cell>
          <cell r="J4374"/>
          <cell r="K4374" t="str">
            <v>KU, Tunai</v>
          </cell>
          <cell r="L4374" t="str">
            <v>KUMP01</v>
          </cell>
          <cell r="M4374" t="str">
            <v>Kumpul Tani/Hendro</v>
          </cell>
          <cell r="N4374" t="str">
            <v>Hendro Mulyono</v>
          </cell>
          <cell r="O4374" t="str">
            <v>Jl. Gajah Mada Gg. Tawes 266 Lingk. Krajan, RT.002/RW.004, Kel. Kaliwates, Kec. Kaliwates</v>
          </cell>
          <cell r="P4374" t="str">
            <v>Jember</v>
          </cell>
          <cell r="Q4374" t="str">
            <v>Ds. Sumber Kalong, Wonosari</v>
          </cell>
          <cell r="R4374" t="str">
            <v>Bondowoso</v>
          </cell>
          <cell r="S4374" t="str">
            <v>N Bdw Stb</v>
          </cell>
          <cell r="T4374" t="str">
            <v>Wira</v>
          </cell>
          <cell r="U4374">
            <v>30</v>
          </cell>
        </row>
        <row r="4375">
          <cell r="E4375" t="str">
            <v>D25012469</v>
          </cell>
          <cell r="F4375"/>
          <cell r="G4375">
            <v>1000000000</v>
          </cell>
          <cell r="H4375" t="str">
            <v>Faris</v>
          </cell>
          <cell r="I4375" t="str">
            <v>Syahra</v>
          </cell>
          <cell r="J4375"/>
          <cell r="K4375" t="str">
            <v>KU, Tunai</v>
          </cell>
          <cell r="L4375" t="str">
            <v>KUMP01</v>
          </cell>
          <cell r="M4375" t="str">
            <v>Kumpul Tani/Hendro</v>
          </cell>
          <cell r="N4375" t="str">
            <v>Hendro Mulyono</v>
          </cell>
          <cell r="O4375" t="str">
            <v>Jl. Gajah Mada Gg. Tawes 266 Lingk. Krajan, RT.002/RW.004, Kel. Kaliwates, Kec. Kaliwates</v>
          </cell>
          <cell r="P4375" t="str">
            <v>Jember</v>
          </cell>
          <cell r="Q4375" t="str">
            <v>Ds. Sumber Kalong, Wonosari</v>
          </cell>
          <cell r="R4375" t="str">
            <v>Bondowoso</v>
          </cell>
          <cell r="S4375" t="str">
            <v>N Bdw Stb</v>
          </cell>
          <cell r="T4375" t="str">
            <v>Wira</v>
          </cell>
          <cell r="U4375">
            <v>60</v>
          </cell>
        </row>
        <row r="4376">
          <cell r="E4376" t="str">
            <v>D25012470</v>
          </cell>
          <cell r="F4376"/>
          <cell r="G4376">
            <v>1000000000</v>
          </cell>
          <cell r="H4376" t="str">
            <v>Faris</v>
          </cell>
          <cell r="I4376" t="str">
            <v>Syahra</v>
          </cell>
          <cell r="J4376"/>
          <cell r="K4376" t="str">
            <v>KU, Tunai</v>
          </cell>
          <cell r="L4376" t="str">
            <v>KUMP01</v>
          </cell>
          <cell r="M4376" t="str">
            <v>Kumpul Tani/Hendro</v>
          </cell>
          <cell r="N4376" t="str">
            <v>Hendro Mulyono</v>
          </cell>
          <cell r="O4376" t="str">
            <v>Jl. Gajah Mada Gg. Tawes 266 Lingk. Krajan, RT.002/RW.004, Kel. Kaliwates, Kec. Kaliwates</v>
          </cell>
          <cell r="P4376" t="str">
            <v>Jember</v>
          </cell>
          <cell r="Q4376" t="str">
            <v>Ds. Sumber Kalong, Wonosari</v>
          </cell>
          <cell r="R4376" t="str">
            <v>Bondowoso</v>
          </cell>
          <cell r="S4376" t="str">
            <v>N Bdw Stb</v>
          </cell>
          <cell r="T4376" t="str">
            <v>Wira</v>
          </cell>
          <cell r="U4376">
            <v>60</v>
          </cell>
        </row>
        <row r="4377">
          <cell r="E4377" t="str">
            <v>D25012471</v>
          </cell>
          <cell r="F4377"/>
          <cell r="G4377">
            <v>1000000000</v>
          </cell>
          <cell r="H4377" t="str">
            <v>Faris</v>
          </cell>
          <cell r="I4377" t="str">
            <v>Syahra</v>
          </cell>
          <cell r="J4377"/>
          <cell r="K4377" t="str">
            <v>KU, Tunai</v>
          </cell>
          <cell r="L4377" t="str">
            <v>KUMP01</v>
          </cell>
          <cell r="M4377" t="str">
            <v>Kumpul Tani/Hendro</v>
          </cell>
          <cell r="N4377" t="str">
            <v>Hendro Mulyono</v>
          </cell>
          <cell r="O4377" t="str">
            <v>Jl. Gajah Mada Gg. Tawes 266 Lingk. Krajan, RT.002/RW.004, Kel. Kaliwates, Kec. Kaliwates</v>
          </cell>
          <cell r="P4377" t="str">
            <v>Jember</v>
          </cell>
          <cell r="Q4377" t="str">
            <v>Ds. Sumber Kalong, Wonosari</v>
          </cell>
          <cell r="R4377" t="str">
            <v>Bondowoso</v>
          </cell>
          <cell r="S4377" t="str">
            <v>N Bdw Stb</v>
          </cell>
          <cell r="T4377" t="str">
            <v>Wira</v>
          </cell>
          <cell r="U4377">
            <v>30</v>
          </cell>
        </row>
        <row r="4378">
          <cell r="E4378" t="str">
            <v>D25012471</v>
          </cell>
          <cell r="F4378"/>
          <cell r="G4378">
            <v>1000000000</v>
          </cell>
          <cell r="H4378" t="str">
            <v>Faris</v>
          </cell>
          <cell r="I4378" t="str">
            <v>Syahra</v>
          </cell>
          <cell r="J4378"/>
          <cell r="K4378" t="str">
            <v>KU, Tunai</v>
          </cell>
          <cell r="L4378" t="str">
            <v>KUMP01</v>
          </cell>
          <cell r="M4378" t="str">
            <v>Kumpul Tani/Hendro</v>
          </cell>
          <cell r="N4378" t="str">
            <v>Hendro Mulyono</v>
          </cell>
          <cell r="O4378" t="str">
            <v>Jl. Gajah Mada Gg. Tawes 266 Lingk. Krajan, RT.002/RW.004, Kel. Kaliwates, Kec. Kaliwates</v>
          </cell>
          <cell r="P4378" t="str">
            <v>Jember</v>
          </cell>
          <cell r="Q4378" t="str">
            <v>Ds. Sumber Kalong, Wonosari</v>
          </cell>
          <cell r="R4378" t="str">
            <v>Bondowoso</v>
          </cell>
          <cell r="S4378" t="str">
            <v>N Bdw Stb</v>
          </cell>
          <cell r="T4378" t="str">
            <v>Wira</v>
          </cell>
          <cell r="U4378">
            <v>30</v>
          </cell>
        </row>
        <row r="4379">
          <cell r="E4379" t="str">
            <v>D25012472</v>
          </cell>
          <cell r="F4379"/>
          <cell r="G4379">
            <v>1000000000</v>
          </cell>
          <cell r="H4379" t="str">
            <v>Faris</v>
          </cell>
          <cell r="I4379" t="str">
            <v>Syahra</v>
          </cell>
          <cell r="J4379"/>
          <cell r="K4379" t="str">
            <v>KU, Tunai</v>
          </cell>
          <cell r="L4379" t="str">
            <v>KUMP01</v>
          </cell>
          <cell r="M4379" t="str">
            <v>Kumpul Tani/Hendro</v>
          </cell>
          <cell r="N4379" t="str">
            <v>Hendro Mulyono</v>
          </cell>
          <cell r="O4379" t="str">
            <v>Jl. Gajah Mada Gg. Tawes 266 Lingk. Krajan, RT.002/RW.004, Kel. Kaliwates, Kec. Kaliwates</v>
          </cell>
          <cell r="P4379" t="str">
            <v>Jember</v>
          </cell>
          <cell r="Q4379" t="str">
            <v>Ds. Sumber Kalong, Wonosari</v>
          </cell>
          <cell r="R4379" t="str">
            <v>Bondowoso</v>
          </cell>
          <cell r="S4379" t="str">
            <v>N Bdw Stb</v>
          </cell>
          <cell r="T4379" t="str">
            <v>Wira</v>
          </cell>
          <cell r="U4379">
            <v>30</v>
          </cell>
        </row>
        <row r="4380">
          <cell r="E4380" t="str">
            <v>D25012514</v>
          </cell>
          <cell r="F4380"/>
          <cell r="G4380">
            <v>1000000000</v>
          </cell>
          <cell r="H4380" t="str">
            <v>Faris</v>
          </cell>
          <cell r="I4380" t="str">
            <v>Syahra</v>
          </cell>
          <cell r="J4380"/>
          <cell r="K4380" t="str">
            <v>KU, Tunai</v>
          </cell>
          <cell r="L4380" t="str">
            <v>KUMP01</v>
          </cell>
          <cell r="M4380" t="str">
            <v>Kumpul Tani/Hendro</v>
          </cell>
          <cell r="N4380" t="str">
            <v>Hendro Mulyono</v>
          </cell>
          <cell r="O4380" t="str">
            <v>Jl. Gajah Mada Gg. Tawes 266 Lingk. Krajan, RT.002/RW.004, Kel. Kaliwates, Kec. Kaliwates</v>
          </cell>
          <cell r="P4380" t="str">
            <v>Jember</v>
          </cell>
          <cell r="Q4380" t="str">
            <v>Ds. Sumber Kalong, Wonosari</v>
          </cell>
          <cell r="R4380" t="str">
            <v>Bondowoso</v>
          </cell>
          <cell r="S4380" t="str">
            <v>N Bdw Stb</v>
          </cell>
          <cell r="T4380" t="str">
            <v>Wira</v>
          </cell>
          <cell r="U4380">
            <v>30</v>
          </cell>
        </row>
        <row r="4381">
          <cell r="E4381" t="str">
            <v>B25010679</v>
          </cell>
          <cell r="F4381"/>
          <cell r="G4381">
            <v>1000000000</v>
          </cell>
          <cell r="H4381" t="str">
            <v>Faris</v>
          </cell>
          <cell r="I4381" t="str">
            <v>Syahra</v>
          </cell>
          <cell r="J4381"/>
          <cell r="K4381" t="str">
            <v>KU, Tunai</v>
          </cell>
          <cell r="L4381" t="str">
            <v>KUMP01</v>
          </cell>
          <cell r="M4381" t="str">
            <v>Kumpul Tani/Hendro</v>
          </cell>
          <cell r="N4381" t="str">
            <v>Hendro Mulyono</v>
          </cell>
          <cell r="O4381" t="str">
            <v>Jl. Gajah Mada Gg. Tawes 266 Lingk. Krajan, RT.002/RW.004, Kel. Kaliwates, Kec. Kaliwates</v>
          </cell>
          <cell r="P4381" t="str">
            <v>Jember</v>
          </cell>
          <cell r="Q4381" t="str">
            <v>Ds. Sumber Kalong, Wonosari</v>
          </cell>
          <cell r="R4381" t="str">
            <v>Bondowoso</v>
          </cell>
          <cell r="S4381" t="str">
            <v>N Bdw Stb</v>
          </cell>
          <cell r="T4381" t="str">
            <v>Wira</v>
          </cell>
          <cell r="U4381">
            <v>30</v>
          </cell>
        </row>
        <row r="4382">
          <cell r="E4382" t="str">
            <v>B25010681</v>
          </cell>
          <cell r="F4382"/>
          <cell r="G4382">
            <v>1000000000</v>
          </cell>
          <cell r="H4382" t="str">
            <v>Faris</v>
          </cell>
          <cell r="I4382" t="str">
            <v>Syahra</v>
          </cell>
          <cell r="J4382"/>
          <cell r="K4382" t="str">
            <v>KU, Tunai</v>
          </cell>
          <cell r="L4382" t="str">
            <v>KUMP01</v>
          </cell>
          <cell r="M4382" t="str">
            <v>Kumpul Tani/Hendro</v>
          </cell>
          <cell r="N4382" t="str">
            <v>Hendro Mulyono</v>
          </cell>
          <cell r="O4382" t="str">
            <v>Jl. Gajah Mada Gg. Tawes 266 Lingk. Krajan, RT.002/RW.004, Kel. Kaliwates, Kec. Kaliwates</v>
          </cell>
          <cell r="P4382" t="str">
            <v>Jember</v>
          </cell>
          <cell r="Q4382" t="str">
            <v>Ds. Sumber Kalong, Wonosari</v>
          </cell>
          <cell r="R4382" t="str">
            <v>Bondowoso</v>
          </cell>
          <cell r="S4382" t="str">
            <v>N Bdw Stb</v>
          </cell>
          <cell r="T4382" t="str">
            <v>Wira</v>
          </cell>
          <cell r="U4382">
            <v>30</v>
          </cell>
        </row>
        <row r="4383">
          <cell r="E4383" t="str">
            <v>B25010724</v>
          </cell>
          <cell r="F4383"/>
          <cell r="G4383">
            <v>1000000000</v>
          </cell>
          <cell r="H4383" t="str">
            <v>Faris</v>
          </cell>
          <cell r="I4383" t="str">
            <v>Syahra</v>
          </cell>
          <cell r="J4383"/>
          <cell r="K4383" t="str">
            <v>KU, Tunai</v>
          </cell>
          <cell r="L4383" t="str">
            <v>KUMP01</v>
          </cell>
          <cell r="M4383" t="str">
            <v>Kumpul Tani/Hendro</v>
          </cell>
          <cell r="N4383" t="str">
            <v>Hendro Mulyono</v>
          </cell>
          <cell r="O4383" t="str">
            <v>Jl. Gajah Mada Gg. Tawes 266 Lingk. Krajan, RT.002/RW.004, Kel. Kaliwates, Kec. Kaliwates</v>
          </cell>
          <cell r="P4383" t="str">
            <v>Jember</v>
          </cell>
          <cell r="Q4383" t="str">
            <v>Ds. Sumber Kalong, Wonosari</v>
          </cell>
          <cell r="R4383" t="str">
            <v>Bondowoso</v>
          </cell>
          <cell r="S4383" t="str">
            <v>N Bdw Stb</v>
          </cell>
          <cell r="T4383" t="str">
            <v>Wira</v>
          </cell>
          <cell r="U4383">
            <v>30</v>
          </cell>
        </row>
        <row r="4384">
          <cell r="E4384" t="str">
            <v>B25010724</v>
          </cell>
          <cell r="F4384"/>
          <cell r="G4384">
            <v>1000000000</v>
          </cell>
          <cell r="H4384" t="str">
            <v>Faris</v>
          </cell>
          <cell r="I4384" t="str">
            <v>Syahra</v>
          </cell>
          <cell r="J4384"/>
          <cell r="K4384" t="str">
            <v>KU, Tunai</v>
          </cell>
          <cell r="L4384" t="str">
            <v>KUMP01</v>
          </cell>
          <cell r="M4384" t="str">
            <v>Kumpul Tani/Hendro</v>
          </cell>
          <cell r="N4384" t="str">
            <v>Hendro Mulyono</v>
          </cell>
          <cell r="O4384" t="str">
            <v>Jl. Gajah Mada Gg. Tawes 266 Lingk. Krajan, RT.002/RW.004, Kel. Kaliwates, Kec. Kaliwates</v>
          </cell>
          <cell r="P4384" t="str">
            <v>Jember</v>
          </cell>
          <cell r="Q4384" t="str">
            <v>Ds. Sumber Kalong, Wonosari</v>
          </cell>
          <cell r="R4384" t="str">
            <v>Bondowoso</v>
          </cell>
          <cell r="S4384" t="str">
            <v>N Bdw Stb</v>
          </cell>
          <cell r="T4384" t="str">
            <v>Wira</v>
          </cell>
          <cell r="U4384">
            <v>30</v>
          </cell>
        </row>
        <row r="4385">
          <cell r="E4385" t="str">
            <v>D25012697</v>
          </cell>
          <cell r="F4385"/>
          <cell r="G4385">
            <v>1000000000</v>
          </cell>
          <cell r="H4385" t="str">
            <v>Faris</v>
          </cell>
          <cell r="I4385" t="str">
            <v>Syahra</v>
          </cell>
          <cell r="J4385"/>
          <cell r="K4385" t="str">
            <v>KU, Tunai</v>
          </cell>
          <cell r="L4385" t="str">
            <v>KUMP01</v>
          </cell>
          <cell r="M4385" t="str">
            <v>Kumpul Tani/Hendro</v>
          </cell>
          <cell r="N4385" t="str">
            <v>Hendro Mulyono</v>
          </cell>
          <cell r="O4385" t="str">
            <v>Jl. Gajah Mada Gg. Tawes 266 Lingk. Krajan, RT.002/RW.004, Kel. Kaliwates, Kec. Kaliwates</v>
          </cell>
          <cell r="P4385" t="str">
            <v>Jember</v>
          </cell>
          <cell r="Q4385" t="str">
            <v>Ds. Sumber Kalong, Wonosari</v>
          </cell>
          <cell r="R4385" t="str">
            <v>Bondowoso</v>
          </cell>
          <cell r="S4385" t="str">
            <v>N Bdw Stb</v>
          </cell>
          <cell r="T4385" t="str">
            <v>Wira</v>
          </cell>
          <cell r="U4385">
            <v>30</v>
          </cell>
        </row>
        <row r="4386">
          <cell r="E4386" t="str">
            <v>D25012697</v>
          </cell>
          <cell r="F4386"/>
          <cell r="G4386">
            <v>1000000000</v>
          </cell>
          <cell r="H4386" t="str">
            <v>Faris</v>
          </cell>
          <cell r="I4386" t="str">
            <v>Syahra</v>
          </cell>
          <cell r="J4386"/>
          <cell r="K4386" t="str">
            <v>KU, Tunai</v>
          </cell>
          <cell r="L4386" t="str">
            <v>KUMP01</v>
          </cell>
          <cell r="M4386" t="str">
            <v>Kumpul Tani/Hendro</v>
          </cell>
          <cell r="N4386" t="str">
            <v>Hendro Mulyono</v>
          </cell>
          <cell r="O4386" t="str">
            <v>Jl. Gajah Mada Gg. Tawes 266 Lingk. Krajan, RT.002/RW.004, Kel. Kaliwates, Kec. Kaliwates</v>
          </cell>
          <cell r="P4386" t="str">
            <v>Jember</v>
          </cell>
          <cell r="Q4386" t="str">
            <v>Ds. Sumber Kalong, Wonosari</v>
          </cell>
          <cell r="R4386" t="str">
            <v>Bondowoso</v>
          </cell>
          <cell r="S4386" t="str">
            <v>N Bdw Stb</v>
          </cell>
          <cell r="T4386" t="str">
            <v>Wira</v>
          </cell>
          <cell r="U4386">
            <v>30</v>
          </cell>
        </row>
        <row r="4387">
          <cell r="E4387" t="str">
            <v>D25012805</v>
          </cell>
          <cell r="F4387"/>
          <cell r="G4387">
            <v>1000000000</v>
          </cell>
          <cell r="H4387" t="str">
            <v>Faris</v>
          </cell>
          <cell r="I4387" t="str">
            <v>Syahra</v>
          </cell>
          <cell r="J4387"/>
          <cell r="K4387" t="str">
            <v>KU, Tunai</v>
          </cell>
          <cell r="L4387" t="str">
            <v>KUMP01</v>
          </cell>
          <cell r="M4387" t="str">
            <v>Kumpul Tani/Hendro</v>
          </cell>
          <cell r="N4387" t="str">
            <v>Hendro Mulyono</v>
          </cell>
          <cell r="O4387" t="str">
            <v>Jl. Gajah Mada Gg. Tawes 266 Lingk. Krajan, RT.002/RW.004, Kel. Kaliwates, Kec. Kaliwates</v>
          </cell>
          <cell r="P4387" t="str">
            <v>Jember</v>
          </cell>
          <cell r="Q4387" t="str">
            <v>Ds. Sumber Kalong, Wonosari</v>
          </cell>
          <cell r="R4387" t="str">
            <v>Bondowoso</v>
          </cell>
          <cell r="S4387" t="str">
            <v>N Bdw Stb</v>
          </cell>
          <cell r="T4387" t="str">
            <v>Wira</v>
          </cell>
          <cell r="U4387">
            <v>30</v>
          </cell>
        </row>
        <row r="4388">
          <cell r="E4388" t="str">
            <v>D25012805</v>
          </cell>
          <cell r="F4388"/>
          <cell r="G4388">
            <v>1000000000</v>
          </cell>
          <cell r="H4388" t="str">
            <v>Faris</v>
          </cell>
          <cell r="I4388" t="str">
            <v>Syahra</v>
          </cell>
          <cell r="J4388"/>
          <cell r="K4388" t="str">
            <v>KU, Tunai</v>
          </cell>
          <cell r="L4388" t="str">
            <v>KUMP01</v>
          </cell>
          <cell r="M4388" t="str">
            <v>Kumpul Tani/Hendro</v>
          </cell>
          <cell r="N4388" t="str">
            <v>Hendro Mulyono</v>
          </cell>
          <cell r="O4388" t="str">
            <v>Jl. Gajah Mada Gg. Tawes 266 Lingk. Krajan, RT.002/RW.004, Kel. Kaliwates, Kec. Kaliwates</v>
          </cell>
          <cell r="P4388" t="str">
            <v>Jember</v>
          </cell>
          <cell r="Q4388" t="str">
            <v>Ds. Sumber Kalong, Wonosari</v>
          </cell>
          <cell r="R4388" t="str">
            <v>Bondowoso</v>
          </cell>
          <cell r="S4388" t="str">
            <v>N Bdw Stb</v>
          </cell>
          <cell r="T4388" t="str">
            <v>Wira</v>
          </cell>
          <cell r="U4388">
            <v>30</v>
          </cell>
        </row>
        <row r="4389">
          <cell r="E4389" t="str">
            <v>B25010784</v>
          </cell>
          <cell r="F4389"/>
          <cell r="G4389">
            <v>1000000000</v>
          </cell>
          <cell r="H4389" t="str">
            <v>Faris</v>
          </cell>
          <cell r="I4389" t="str">
            <v>Syahra</v>
          </cell>
          <cell r="J4389"/>
          <cell r="K4389" t="str">
            <v>KU, Tunai</v>
          </cell>
          <cell r="L4389" t="str">
            <v>KUMP01</v>
          </cell>
          <cell r="M4389" t="str">
            <v>Kumpul Tani/Hendro</v>
          </cell>
          <cell r="N4389" t="str">
            <v>Hendro Mulyono</v>
          </cell>
          <cell r="O4389" t="str">
            <v>Jl. Gajah Mada Gg. Tawes 266 Lingk. Krajan, RT.002/RW.004, Kel. Kaliwates, Kec. Kaliwates</v>
          </cell>
          <cell r="P4389" t="str">
            <v>Jember</v>
          </cell>
          <cell r="Q4389" t="str">
            <v>Ds. Sumber Kalong, Wonosari</v>
          </cell>
          <cell r="R4389" t="str">
            <v>Bondowoso</v>
          </cell>
          <cell r="S4389" t="str">
            <v>N Bdw Stb</v>
          </cell>
          <cell r="T4389" t="str">
            <v>Wira</v>
          </cell>
          <cell r="U4389">
            <v>30</v>
          </cell>
        </row>
        <row r="4390">
          <cell r="E4390" t="str">
            <v>D25013470</v>
          </cell>
          <cell r="F4390"/>
          <cell r="G4390">
            <v>1000000000</v>
          </cell>
          <cell r="H4390" t="str">
            <v>Faris</v>
          </cell>
          <cell r="I4390" t="str">
            <v>Syahra</v>
          </cell>
          <cell r="J4390"/>
          <cell r="K4390" t="str">
            <v>KU, Tunai</v>
          </cell>
          <cell r="L4390" t="str">
            <v>KUMP01</v>
          </cell>
          <cell r="M4390" t="str">
            <v>Kumpul Tani/Hendro</v>
          </cell>
          <cell r="N4390" t="str">
            <v>Hendro Mulyono</v>
          </cell>
          <cell r="O4390" t="str">
            <v>Jl. Gajah Mada Gg. Tawes 266 Lingk. Krajan, RT.002/RW.004, Kel. Kaliwates, Kec. Kaliwates</v>
          </cell>
          <cell r="P4390" t="str">
            <v>Jember</v>
          </cell>
          <cell r="Q4390" t="str">
            <v>Ds. Sumber Kalong, Wonosari</v>
          </cell>
          <cell r="R4390" t="str">
            <v>Bondowoso</v>
          </cell>
          <cell r="S4390" t="str">
            <v>N Bdw Stb</v>
          </cell>
          <cell r="T4390" t="str">
            <v>Wira</v>
          </cell>
          <cell r="U4390">
            <v>60</v>
          </cell>
        </row>
        <row r="4391">
          <cell r="E4391" t="str">
            <v>D25013471</v>
          </cell>
          <cell r="F4391"/>
          <cell r="G4391">
            <v>1000000000</v>
          </cell>
          <cell r="H4391" t="str">
            <v>Faris</v>
          </cell>
          <cell r="I4391" t="str">
            <v>Syahra</v>
          </cell>
          <cell r="J4391"/>
          <cell r="K4391" t="str">
            <v>KU, Tunai</v>
          </cell>
          <cell r="L4391" t="str">
            <v>KUMP01</v>
          </cell>
          <cell r="M4391" t="str">
            <v>Kumpul Tani/Hendro</v>
          </cell>
          <cell r="N4391" t="str">
            <v>Hendro Mulyono</v>
          </cell>
          <cell r="O4391" t="str">
            <v>Jl. Gajah Mada Gg. Tawes 266 Lingk. Krajan, RT.002/RW.004, Kel. Kaliwates, Kec. Kaliwates</v>
          </cell>
          <cell r="P4391" t="str">
            <v>Jember</v>
          </cell>
          <cell r="Q4391" t="str">
            <v>Ds. Sumber Kalong, Wonosari</v>
          </cell>
          <cell r="R4391" t="str">
            <v>Bondowoso</v>
          </cell>
          <cell r="S4391" t="str">
            <v>N Bdw Stb</v>
          </cell>
          <cell r="T4391" t="str">
            <v>Wira</v>
          </cell>
          <cell r="U4391">
            <v>60</v>
          </cell>
        </row>
        <row r="4392">
          <cell r="E4392" t="str">
            <v>B25011447</v>
          </cell>
          <cell r="F4392"/>
          <cell r="G4392">
            <v>1000000000</v>
          </cell>
          <cell r="H4392" t="str">
            <v>Faris</v>
          </cell>
          <cell r="I4392" t="str">
            <v>Syahra</v>
          </cell>
          <cell r="J4392"/>
          <cell r="K4392" t="str">
            <v>KU, Tunai</v>
          </cell>
          <cell r="L4392" t="str">
            <v>KUMP01</v>
          </cell>
          <cell r="M4392" t="str">
            <v>Kumpul Tani/Hendro</v>
          </cell>
          <cell r="N4392" t="str">
            <v>Hendro Mulyono</v>
          </cell>
          <cell r="O4392" t="str">
            <v>Jl. Gajah Mada Gg. Tawes 266 Lingk. Krajan, RT.002/RW.004, Kel. Kaliwates, Kec. Kaliwates</v>
          </cell>
          <cell r="P4392" t="str">
            <v>Jember</v>
          </cell>
          <cell r="Q4392" t="str">
            <v>Ds. Sumber Kalong, Wonosari</v>
          </cell>
          <cell r="R4392" t="str">
            <v>Bondowoso</v>
          </cell>
          <cell r="S4392" t="str">
            <v>N Bdw Stb</v>
          </cell>
          <cell r="T4392" t="str">
            <v>Wira</v>
          </cell>
          <cell r="U4392">
            <v>60</v>
          </cell>
        </row>
        <row r="4393">
          <cell r="E4393" t="str">
            <v>D25013644</v>
          </cell>
          <cell r="F4393"/>
          <cell r="G4393">
            <v>1000000000</v>
          </cell>
          <cell r="H4393" t="str">
            <v>Faris</v>
          </cell>
          <cell r="I4393" t="str">
            <v>Syahra</v>
          </cell>
          <cell r="J4393"/>
          <cell r="K4393" t="str">
            <v>KU, Tunai</v>
          </cell>
          <cell r="L4393" t="str">
            <v>KUMP01</v>
          </cell>
          <cell r="M4393" t="str">
            <v>Kumpul Tani/Hendro</v>
          </cell>
          <cell r="N4393" t="str">
            <v>Hendro Mulyono</v>
          </cell>
          <cell r="O4393" t="str">
            <v>Jl. Gajah Mada Gg. Tawes 266 Lingk. Krajan, RT.002/RW.004, Kel. Kaliwates, Kec. Kaliwates</v>
          </cell>
          <cell r="P4393" t="str">
            <v>Jember</v>
          </cell>
          <cell r="Q4393" t="str">
            <v>Ds. Sumber Kalong, Wonosari</v>
          </cell>
          <cell r="R4393" t="str">
            <v>Bondowoso</v>
          </cell>
          <cell r="S4393" t="str">
            <v>N Bdw Stb</v>
          </cell>
          <cell r="T4393" t="str">
            <v>Wira</v>
          </cell>
          <cell r="U4393">
            <v>60</v>
          </cell>
        </row>
        <row r="4394">
          <cell r="E4394" t="str">
            <v>D25013722</v>
          </cell>
          <cell r="F4394"/>
          <cell r="G4394">
            <v>1000000000</v>
          </cell>
          <cell r="H4394" t="str">
            <v>Faris</v>
          </cell>
          <cell r="I4394" t="str">
            <v>Syahra</v>
          </cell>
          <cell r="J4394"/>
          <cell r="K4394" t="str">
            <v>KU, Tunai</v>
          </cell>
          <cell r="L4394" t="str">
            <v>KUMP01</v>
          </cell>
          <cell r="M4394" t="str">
            <v>Kumpul Tani/Hendro</v>
          </cell>
          <cell r="N4394" t="str">
            <v>Hendro Mulyono</v>
          </cell>
          <cell r="O4394" t="str">
            <v>Jl. Gajah Mada Gg. Tawes 266 Lingk. Krajan, RT.002/RW.004, Kel. Kaliwates, Kec. Kaliwates</v>
          </cell>
          <cell r="P4394" t="str">
            <v>Jember</v>
          </cell>
          <cell r="Q4394" t="str">
            <v>Ds. Sumber Kalong, Wonosari</v>
          </cell>
          <cell r="R4394" t="str">
            <v>Bondowoso</v>
          </cell>
          <cell r="S4394" t="str">
            <v>N Bdw Stb</v>
          </cell>
          <cell r="T4394" t="str">
            <v>Wira</v>
          </cell>
          <cell r="U4394">
            <v>30</v>
          </cell>
        </row>
        <row r="4395">
          <cell r="E4395" t="str">
            <v>D25013723</v>
          </cell>
          <cell r="F4395"/>
          <cell r="G4395">
            <v>1000000000</v>
          </cell>
          <cell r="H4395" t="str">
            <v>Faris</v>
          </cell>
          <cell r="I4395" t="str">
            <v>Syahra</v>
          </cell>
          <cell r="J4395"/>
          <cell r="K4395" t="str">
            <v>KU, Tunai</v>
          </cell>
          <cell r="L4395" t="str">
            <v>KUMP01</v>
          </cell>
          <cell r="M4395" t="str">
            <v>Kumpul Tani/Hendro</v>
          </cell>
          <cell r="N4395" t="str">
            <v>Hendro Mulyono</v>
          </cell>
          <cell r="O4395" t="str">
            <v>Jl. Gajah Mada Gg. Tawes 266 Lingk. Krajan, RT.002/RW.004, Kel. Kaliwates, Kec. Kaliwates</v>
          </cell>
          <cell r="P4395" t="str">
            <v>Jember</v>
          </cell>
          <cell r="Q4395" t="str">
            <v>Ds. Sumber Kalong, Wonosari</v>
          </cell>
          <cell r="R4395" t="str">
            <v>Bondowoso</v>
          </cell>
          <cell r="S4395" t="str">
            <v>N Bdw Stb</v>
          </cell>
          <cell r="T4395" t="str">
            <v>Wira</v>
          </cell>
          <cell r="U4395">
            <v>60</v>
          </cell>
        </row>
        <row r="4396">
          <cell r="E4396" t="str">
            <v>D25013724</v>
          </cell>
          <cell r="F4396"/>
          <cell r="G4396">
            <v>1000000000</v>
          </cell>
          <cell r="H4396" t="str">
            <v>Faris</v>
          </cell>
          <cell r="I4396" t="str">
            <v>Syahra</v>
          </cell>
          <cell r="J4396"/>
          <cell r="K4396" t="str">
            <v>KU, Tunai</v>
          </cell>
          <cell r="L4396" t="str">
            <v>KUMP01</v>
          </cell>
          <cell r="M4396" t="str">
            <v>Kumpul Tani/Hendro</v>
          </cell>
          <cell r="N4396" t="str">
            <v>Hendro Mulyono</v>
          </cell>
          <cell r="O4396" t="str">
            <v>Jl. Gajah Mada Gg. Tawes 266 Lingk. Krajan, RT.002/RW.004, Kel. Kaliwates, Kec. Kaliwates</v>
          </cell>
          <cell r="P4396" t="str">
            <v>Jember</v>
          </cell>
          <cell r="Q4396" t="str">
            <v>Ds. Sumber Kalong, Wonosari</v>
          </cell>
          <cell r="R4396" t="str">
            <v>Bondowoso</v>
          </cell>
          <cell r="S4396" t="str">
            <v>N Bdw Stb</v>
          </cell>
          <cell r="T4396" t="str">
            <v>Wira</v>
          </cell>
          <cell r="U4396">
            <v>60</v>
          </cell>
        </row>
        <row r="4397">
          <cell r="E4397" t="str">
            <v>D25013737</v>
          </cell>
          <cell r="F4397"/>
          <cell r="G4397">
            <v>1000000000</v>
          </cell>
          <cell r="H4397" t="str">
            <v>Faris</v>
          </cell>
          <cell r="I4397" t="str">
            <v>Syahra</v>
          </cell>
          <cell r="J4397"/>
          <cell r="K4397" t="str">
            <v>KU, Tunai</v>
          </cell>
          <cell r="L4397" t="str">
            <v>KUMP01</v>
          </cell>
          <cell r="M4397" t="str">
            <v>Kumpul Tani/Hendro</v>
          </cell>
          <cell r="N4397" t="str">
            <v>Hendro Mulyono</v>
          </cell>
          <cell r="O4397" t="str">
            <v>Jl. Gajah Mada Gg. Tawes 266 Lingk. Krajan, RT.002/RW.004, Kel. Kaliwates, Kec. Kaliwates</v>
          </cell>
          <cell r="P4397" t="str">
            <v>Jember</v>
          </cell>
          <cell r="Q4397" t="str">
            <v>Ds. Sumber Kalong, Wonosari</v>
          </cell>
          <cell r="R4397" t="str">
            <v>Bondowoso</v>
          </cell>
          <cell r="S4397" t="str">
            <v>N Bdw Stb</v>
          </cell>
          <cell r="T4397" t="str">
            <v>Wira</v>
          </cell>
          <cell r="U4397">
            <v>60</v>
          </cell>
        </row>
        <row r="4398">
          <cell r="E4398" t="str">
            <v>D25014291</v>
          </cell>
          <cell r="F4398"/>
          <cell r="G4398">
            <v>1000000000</v>
          </cell>
          <cell r="H4398" t="str">
            <v>Faris</v>
          </cell>
          <cell r="I4398" t="str">
            <v>Syahra</v>
          </cell>
          <cell r="J4398"/>
          <cell r="K4398" t="str">
            <v>KU, Tunai</v>
          </cell>
          <cell r="L4398" t="str">
            <v>KUMP01</v>
          </cell>
          <cell r="M4398" t="str">
            <v>Kumpul Tani/Hendro</v>
          </cell>
          <cell r="N4398" t="str">
            <v>Hendro Mulyono</v>
          </cell>
          <cell r="O4398" t="str">
            <v>Jl. Gajah Mada Gg. Tawes 266 Lingk. Krajan, RT.002/RW.004, Kel. Kaliwates, Kec. Kaliwates</v>
          </cell>
          <cell r="P4398" t="str">
            <v>Jember</v>
          </cell>
          <cell r="Q4398" t="str">
            <v>Ds. Sumber Kalong, Wonosari</v>
          </cell>
          <cell r="R4398" t="str">
            <v>Bondowoso</v>
          </cell>
          <cell r="S4398" t="str">
            <v>N Bdw Stb</v>
          </cell>
          <cell r="T4398" t="str">
            <v>Wira</v>
          </cell>
          <cell r="U4398">
            <v>30</v>
          </cell>
        </row>
        <row r="4399">
          <cell r="E4399" t="str">
            <v>D25014292</v>
          </cell>
          <cell r="F4399"/>
          <cell r="G4399">
            <v>1000000000</v>
          </cell>
          <cell r="H4399" t="str">
            <v>Faris</v>
          </cell>
          <cell r="I4399" t="str">
            <v>Syahra</v>
          </cell>
          <cell r="J4399"/>
          <cell r="K4399" t="str">
            <v>KU, Tunai</v>
          </cell>
          <cell r="L4399" t="str">
            <v>KUMP01</v>
          </cell>
          <cell r="M4399" t="str">
            <v>Kumpul Tani/Hendro</v>
          </cell>
          <cell r="N4399" t="str">
            <v>Hendro Mulyono</v>
          </cell>
          <cell r="O4399" t="str">
            <v>Jl. Gajah Mada Gg. Tawes 266 Lingk. Krajan, RT.002/RW.004, Kel. Kaliwates, Kec. Kaliwates</v>
          </cell>
          <cell r="P4399" t="str">
            <v>Jember</v>
          </cell>
          <cell r="Q4399" t="str">
            <v>Ds. Sumber Kalong, Wonosari</v>
          </cell>
          <cell r="R4399" t="str">
            <v>Bondowoso</v>
          </cell>
          <cell r="S4399" t="str">
            <v>N Bdw Stb</v>
          </cell>
          <cell r="T4399" t="str">
            <v>Wira</v>
          </cell>
          <cell r="U4399">
            <v>60</v>
          </cell>
        </row>
        <row r="4400">
          <cell r="E4400" t="str">
            <v>B25012103</v>
          </cell>
          <cell r="F4400"/>
          <cell r="G4400">
            <v>1000000000</v>
          </cell>
          <cell r="H4400" t="str">
            <v>Faris</v>
          </cell>
          <cell r="I4400" t="str">
            <v>Syahra</v>
          </cell>
          <cell r="J4400"/>
          <cell r="K4400" t="str">
            <v>KU, Tunai</v>
          </cell>
          <cell r="L4400" t="str">
            <v>KUMP01</v>
          </cell>
          <cell r="M4400" t="str">
            <v>Kumpul Tani/Hendro</v>
          </cell>
          <cell r="N4400" t="str">
            <v>Hendro Mulyono</v>
          </cell>
          <cell r="O4400" t="str">
            <v>Jl. Gajah Mada Gg. Tawes 266 Lingk. Krajan, RT.002/RW.004, Kel. Kaliwates, Kec. Kaliwates</v>
          </cell>
          <cell r="P4400" t="str">
            <v>Jember</v>
          </cell>
          <cell r="Q4400" t="str">
            <v>Ds. Sumber Kalong, Wonosari</v>
          </cell>
          <cell r="R4400" t="str">
            <v>Bondowoso</v>
          </cell>
          <cell r="S4400" t="str">
            <v>N Bdw Stb</v>
          </cell>
          <cell r="T4400" t="str">
            <v>Wira</v>
          </cell>
          <cell r="U4400">
            <v>30</v>
          </cell>
        </row>
        <row r="4401">
          <cell r="E4401" t="str">
            <v>B25012143</v>
          </cell>
          <cell r="F4401"/>
          <cell r="G4401">
            <v>1000000000</v>
          </cell>
          <cell r="H4401" t="str">
            <v>Faris</v>
          </cell>
          <cell r="I4401" t="str">
            <v>Syahra</v>
          </cell>
          <cell r="J4401"/>
          <cell r="K4401" t="str">
            <v>KU, Tunai</v>
          </cell>
          <cell r="L4401" t="str">
            <v>KUMP01</v>
          </cell>
          <cell r="M4401" t="str">
            <v>Kumpul Tani/Hendro</v>
          </cell>
          <cell r="N4401" t="str">
            <v>Hendro Mulyono</v>
          </cell>
          <cell r="O4401" t="str">
            <v>Jl. Gajah Mada Gg. Tawes 266 Lingk. Krajan, RT.002/RW.004, Kel. Kaliwates, Kec. Kaliwates</v>
          </cell>
          <cell r="P4401" t="str">
            <v>Jember</v>
          </cell>
          <cell r="Q4401" t="str">
            <v>Ds. Sumber Kalong, Wonosari</v>
          </cell>
          <cell r="R4401" t="str">
            <v>Bondowoso</v>
          </cell>
          <cell r="S4401" t="str">
            <v>N Bdw Stb</v>
          </cell>
          <cell r="T4401" t="str">
            <v>Wira</v>
          </cell>
          <cell r="U4401">
            <v>60</v>
          </cell>
        </row>
        <row r="4402">
          <cell r="E4402" t="str">
            <v>B25012244</v>
          </cell>
          <cell r="F4402"/>
          <cell r="G4402">
            <v>1000000000</v>
          </cell>
          <cell r="H4402" t="str">
            <v>Faris</v>
          </cell>
          <cell r="I4402" t="str">
            <v>Syahra</v>
          </cell>
          <cell r="J4402"/>
          <cell r="K4402" t="str">
            <v>KU, Tunai</v>
          </cell>
          <cell r="L4402" t="str">
            <v>KUMP01</v>
          </cell>
          <cell r="M4402" t="str">
            <v>Kumpul Tani/Hendro</v>
          </cell>
          <cell r="N4402" t="str">
            <v>Hendro Mulyono</v>
          </cell>
          <cell r="O4402" t="str">
            <v>Jl. Gajah Mada Gg. Tawes 266 Lingk. Krajan, RT.002/RW.004, Kel. Kaliwates, Kec. Kaliwates</v>
          </cell>
          <cell r="P4402" t="str">
            <v>Jember</v>
          </cell>
          <cell r="Q4402" t="str">
            <v>Ds. Sumber Kalong, Wonosari</v>
          </cell>
          <cell r="R4402" t="str">
            <v>Bondowoso</v>
          </cell>
          <cell r="S4402" t="str">
            <v>N Bdw Stb</v>
          </cell>
          <cell r="T4402" t="str">
            <v>Wira</v>
          </cell>
          <cell r="U4402">
            <v>30</v>
          </cell>
        </row>
        <row r="4403">
          <cell r="E4403" t="str">
            <v>B25012305</v>
          </cell>
          <cell r="F4403"/>
          <cell r="G4403">
            <v>1000000000</v>
          </cell>
          <cell r="H4403" t="str">
            <v>Faris</v>
          </cell>
          <cell r="I4403" t="str">
            <v>Syahra</v>
          </cell>
          <cell r="J4403"/>
          <cell r="K4403" t="str">
            <v>KU, Tunai</v>
          </cell>
          <cell r="L4403" t="str">
            <v>KUMP01</v>
          </cell>
          <cell r="M4403" t="str">
            <v>Kumpul Tani/Hendro</v>
          </cell>
          <cell r="N4403" t="str">
            <v>Hendro Mulyono</v>
          </cell>
          <cell r="O4403" t="str">
            <v>Jl. Gajah Mada Gg. Tawes 266 Lingk. Krajan, RT.002/RW.004, Kel. Kaliwates, Kec. Kaliwates</v>
          </cell>
          <cell r="P4403" t="str">
            <v>Jember</v>
          </cell>
          <cell r="Q4403" t="str">
            <v>Ds. Sumber Kalong, Wonosari</v>
          </cell>
          <cell r="R4403" t="str">
            <v>Bondowoso</v>
          </cell>
          <cell r="S4403" t="str">
            <v>N Bdw Stb</v>
          </cell>
          <cell r="T4403" t="str">
            <v>Wira</v>
          </cell>
          <cell r="U4403">
            <v>30</v>
          </cell>
        </row>
        <row r="4404">
          <cell r="E4404" t="str">
            <v>B25012365</v>
          </cell>
          <cell r="F4404"/>
          <cell r="G4404">
            <v>1000000000</v>
          </cell>
          <cell r="H4404" t="str">
            <v>Faris</v>
          </cell>
          <cell r="I4404" t="str">
            <v>Syahra</v>
          </cell>
          <cell r="J4404"/>
          <cell r="K4404" t="str">
            <v>KU, Tunai</v>
          </cell>
          <cell r="L4404" t="str">
            <v>KUMP01</v>
          </cell>
          <cell r="M4404" t="str">
            <v>Kumpul Tani/Hendro</v>
          </cell>
          <cell r="N4404" t="str">
            <v>Hendro Mulyono</v>
          </cell>
          <cell r="O4404" t="str">
            <v>Jl. Gajah Mada Gg. Tawes 266 Lingk. Krajan, RT.002/RW.004, Kel. Kaliwates, Kec. Kaliwates</v>
          </cell>
          <cell r="P4404" t="str">
            <v>Jember</v>
          </cell>
          <cell r="Q4404" t="str">
            <v>Ds. Sumber Kalong, Wonosari</v>
          </cell>
          <cell r="R4404" t="str">
            <v>Bondowoso</v>
          </cell>
          <cell r="S4404" t="str">
            <v>N Bdw Stb</v>
          </cell>
          <cell r="T4404" t="str">
            <v>Wira</v>
          </cell>
          <cell r="U4404">
            <v>14</v>
          </cell>
        </row>
        <row r="4405">
          <cell r="E4405" t="str">
            <v>B25012411</v>
          </cell>
          <cell r="F4405"/>
          <cell r="G4405">
            <v>1000000000</v>
          </cell>
          <cell r="H4405" t="str">
            <v>Faris</v>
          </cell>
          <cell r="I4405" t="str">
            <v>Syahra</v>
          </cell>
          <cell r="J4405"/>
          <cell r="K4405" t="str">
            <v>KU, Tunai</v>
          </cell>
          <cell r="L4405" t="str">
            <v>KUMP01</v>
          </cell>
          <cell r="M4405" t="str">
            <v>Kumpul Tani/Hendro</v>
          </cell>
          <cell r="N4405" t="str">
            <v>Hendro Mulyono</v>
          </cell>
          <cell r="O4405" t="str">
            <v>Jl. Gajah Mada Gg. Tawes 266 Lingk. Krajan, RT.002/RW.004, Kel. Kaliwates, Kec. Kaliwates</v>
          </cell>
          <cell r="P4405" t="str">
            <v>Jember</v>
          </cell>
          <cell r="Q4405" t="str">
            <v>Ds. Sumber Kalong, Wonosari</v>
          </cell>
          <cell r="R4405" t="str">
            <v>Bondowoso</v>
          </cell>
          <cell r="S4405" t="str">
            <v>N Bdw Stb</v>
          </cell>
          <cell r="T4405" t="str">
            <v>Wira</v>
          </cell>
          <cell r="U4405">
            <v>30</v>
          </cell>
        </row>
        <row r="4406">
          <cell r="E4406" t="str">
            <v>B25012412</v>
          </cell>
          <cell r="F4406"/>
          <cell r="G4406">
            <v>1000000000</v>
          </cell>
          <cell r="H4406" t="str">
            <v>Faris</v>
          </cell>
          <cell r="I4406" t="str">
            <v>Syahra</v>
          </cell>
          <cell r="J4406"/>
          <cell r="K4406" t="str">
            <v>KU, Tunai</v>
          </cell>
          <cell r="L4406" t="str">
            <v>KUMP01</v>
          </cell>
          <cell r="M4406" t="str">
            <v>Kumpul Tani/Hendro</v>
          </cell>
          <cell r="N4406" t="str">
            <v>Hendro Mulyono</v>
          </cell>
          <cell r="O4406" t="str">
            <v>Jl. Gajah Mada Gg. Tawes 266 Lingk. Krajan, RT.002/RW.004, Kel. Kaliwates, Kec. Kaliwates</v>
          </cell>
          <cell r="P4406" t="str">
            <v>Jember</v>
          </cell>
          <cell r="Q4406" t="str">
            <v>Ds. Sumber Kalong, Wonosari</v>
          </cell>
          <cell r="R4406" t="str">
            <v>Bondowoso</v>
          </cell>
          <cell r="S4406" t="str">
            <v>N Bdw Stb</v>
          </cell>
          <cell r="T4406" t="str">
            <v>Wira</v>
          </cell>
          <cell r="U4406">
            <v>60</v>
          </cell>
        </row>
        <row r="4407">
          <cell r="E4407" t="str">
            <v>B25012488</v>
          </cell>
          <cell r="F4407"/>
          <cell r="G4407">
            <v>1000000000</v>
          </cell>
          <cell r="H4407" t="str">
            <v>Faris</v>
          </cell>
          <cell r="I4407" t="str">
            <v>Syahra</v>
          </cell>
          <cell r="J4407"/>
          <cell r="K4407" t="str">
            <v>KU, Tunai</v>
          </cell>
          <cell r="L4407" t="str">
            <v>KUMP01</v>
          </cell>
          <cell r="M4407" t="str">
            <v>Kumpul Tani/Hendro</v>
          </cell>
          <cell r="N4407" t="str">
            <v>Hendro Mulyono</v>
          </cell>
          <cell r="O4407" t="str">
            <v>Jl. Gajah Mada Gg. Tawes 266 Lingk. Krajan, RT.002/RW.004, Kel. Kaliwates, Kec. Kaliwates</v>
          </cell>
          <cell r="P4407" t="str">
            <v>Jember</v>
          </cell>
          <cell r="Q4407" t="str">
            <v>Ds. Sumber Kalong, Wonosari</v>
          </cell>
          <cell r="R4407" t="str">
            <v>Bondowoso</v>
          </cell>
          <cell r="S4407" t="str">
            <v>N Bdw Stb</v>
          </cell>
          <cell r="T4407" t="str">
            <v>Wira</v>
          </cell>
          <cell r="U4407">
            <v>60</v>
          </cell>
        </row>
        <row r="4408">
          <cell r="E4408" t="str">
            <v>D25014802</v>
          </cell>
          <cell r="F4408"/>
          <cell r="G4408">
            <v>1000000000</v>
          </cell>
          <cell r="H4408" t="str">
            <v>Faris</v>
          </cell>
          <cell r="I4408" t="str">
            <v>Syahra</v>
          </cell>
          <cell r="J4408"/>
          <cell r="K4408" t="str">
            <v>KU, Tunai</v>
          </cell>
          <cell r="L4408" t="str">
            <v>KUMP01</v>
          </cell>
          <cell r="M4408" t="str">
            <v>Kumpul Tani/Hendro</v>
          </cell>
          <cell r="N4408" t="str">
            <v>Hendro Mulyono</v>
          </cell>
          <cell r="O4408" t="str">
            <v>Jl. Gajah Mada Gg. Tawes 266 Lingk. Krajan, RT.002/RW.004, Kel. Kaliwates, Kec. Kaliwates</v>
          </cell>
          <cell r="P4408" t="str">
            <v>Jember</v>
          </cell>
          <cell r="Q4408" t="str">
            <v>Ds. Sumber Kalong, Wonosari</v>
          </cell>
          <cell r="R4408" t="str">
            <v>Bondowoso</v>
          </cell>
          <cell r="S4408" t="str">
            <v>N Bdw Stb</v>
          </cell>
          <cell r="T4408" t="str">
            <v>Wira</v>
          </cell>
          <cell r="U4408">
            <v>60</v>
          </cell>
        </row>
        <row r="4409">
          <cell r="E4409" t="str">
            <v>D25015096</v>
          </cell>
          <cell r="F4409"/>
          <cell r="G4409">
            <v>1000000000</v>
          </cell>
          <cell r="H4409" t="str">
            <v>Faris</v>
          </cell>
          <cell r="I4409" t="str">
            <v>Syahra</v>
          </cell>
          <cell r="J4409"/>
          <cell r="K4409" t="str">
            <v>KU, Tunai</v>
          </cell>
          <cell r="L4409" t="str">
            <v>KUMP01</v>
          </cell>
          <cell r="M4409" t="str">
            <v>Kumpul Tani/Hendro</v>
          </cell>
          <cell r="N4409" t="str">
            <v>Hendro Mulyono</v>
          </cell>
          <cell r="O4409" t="str">
            <v>Jl. Gajah Mada Gg. Tawes 266 Lingk. Krajan, RT.002/RW.004, Kel. Kaliwates, Kec. Kaliwates</v>
          </cell>
          <cell r="P4409" t="str">
            <v>Jember</v>
          </cell>
          <cell r="Q4409" t="str">
            <v>Ds. Sumber Kalong, Wonosari</v>
          </cell>
          <cell r="R4409" t="str">
            <v>Bondowoso</v>
          </cell>
          <cell r="S4409" t="str">
            <v>N Bdw Stb</v>
          </cell>
          <cell r="T4409" t="str">
            <v>Wira</v>
          </cell>
          <cell r="U4409">
            <v>30</v>
          </cell>
        </row>
        <row r="4410">
          <cell r="E4410" t="str">
            <v>B25012926</v>
          </cell>
          <cell r="F4410"/>
          <cell r="G4410">
            <v>1000000000</v>
          </cell>
          <cell r="H4410" t="str">
            <v>Faris</v>
          </cell>
          <cell r="I4410" t="str">
            <v>Syahra</v>
          </cell>
          <cell r="J4410"/>
          <cell r="K4410" t="str">
            <v>KU, Tunai</v>
          </cell>
          <cell r="L4410" t="str">
            <v>KUMP01</v>
          </cell>
          <cell r="M4410" t="str">
            <v>Kumpul Tani/Hendro</v>
          </cell>
          <cell r="N4410" t="str">
            <v>Hendro Mulyono</v>
          </cell>
          <cell r="O4410" t="str">
            <v>Jl. Gajah Mada Gg. Tawes 266 Lingk. Krajan, RT.002/RW.004, Kel. Kaliwates, Kec. Kaliwates</v>
          </cell>
          <cell r="P4410" t="str">
            <v>Jember</v>
          </cell>
          <cell r="Q4410" t="str">
            <v>Ds. Sumber Kalong, Wonosari</v>
          </cell>
          <cell r="R4410" t="str">
            <v>Bondowoso</v>
          </cell>
          <cell r="S4410" t="str">
            <v>N Bdw Stb</v>
          </cell>
          <cell r="T4410" t="str">
            <v>Wira</v>
          </cell>
          <cell r="U4410">
            <v>60</v>
          </cell>
        </row>
        <row r="4411">
          <cell r="E4411" t="str">
            <v>D25015324</v>
          </cell>
          <cell r="F4411"/>
          <cell r="G4411">
            <v>1000000000</v>
          </cell>
          <cell r="H4411" t="str">
            <v>Faris</v>
          </cell>
          <cell r="I4411" t="str">
            <v>Syahra</v>
          </cell>
          <cell r="J4411"/>
          <cell r="K4411" t="str">
            <v>KU, Tunai</v>
          </cell>
          <cell r="L4411" t="str">
            <v>KUMP01</v>
          </cell>
          <cell r="M4411" t="str">
            <v>Kumpul Tani/Hendro</v>
          </cell>
          <cell r="N4411" t="str">
            <v>Hendro Mulyono</v>
          </cell>
          <cell r="O4411" t="str">
            <v>Jl. Gajah Mada Gg. Tawes 266 Lingk. Krajan, RT.002/RW.004, Kel. Kaliwates, Kec. Kaliwates</v>
          </cell>
          <cell r="P4411" t="str">
            <v>Jember</v>
          </cell>
          <cell r="Q4411" t="str">
            <v>Ds. Sumber Kalong, Wonosari</v>
          </cell>
          <cell r="R4411" t="str">
            <v>Bondowoso</v>
          </cell>
          <cell r="S4411" t="str">
            <v>N Bdw Stb</v>
          </cell>
          <cell r="T4411" t="str">
            <v>Wira</v>
          </cell>
          <cell r="U4411">
            <v>30</v>
          </cell>
        </row>
        <row r="4412">
          <cell r="E4412" t="str">
            <v>D25015325</v>
          </cell>
          <cell r="F4412"/>
          <cell r="G4412">
            <v>1000000000</v>
          </cell>
          <cell r="H4412" t="str">
            <v>Faris</v>
          </cell>
          <cell r="I4412" t="str">
            <v>Syahra</v>
          </cell>
          <cell r="J4412"/>
          <cell r="K4412" t="str">
            <v>KU, Tunai</v>
          </cell>
          <cell r="L4412" t="str">
            <v>KUMP01</v>
          </cell>
          <cell r="M4412" t="str">
            <v>Kumpul Tani/Hendro</v>
          </cell>
          <cell r="N4412" t="str">
            <v>Hendro Mulyono</v>
          </cell>
          <cell r="O4412" t="str">
            <v>Jl. Gajah Mada Gg. Tawes 266 Lingk. Krajan, RT.002/RW.004, Kel. Kaliwates, Kec. Kaliwates</v>
          </cell>
          <cell r="P4412" t="str">
            <v>Jember</v>
          </cell>
          <cell r="Q4412" t="str">
            <v>Ds. Sumber Kalong, Wonosari</v>
          </cell>
          <cell r="R4412" t="str">
            <v>Bondowoso</v>
          </cell>
          <cell r="S4412" t="str">
            <v>N Bdw Stb</v>
          </cell>
          <cell r="T4412" t="str">
            <v>Wira</v>
          </cell>
          <cell r="U4412">
            <v>30</v>
          </cell>
        </row>
        <row r="4413">
          <cell r="E4413" t="str">
            <v>B25013206</v>
          </cell>
          <cell r="F4413"/>
          <cell r="G4413">
            <v>1000000000</v>
          </cell>
          <cell r="H4413" t="str">
            <v>Faris</v>
          </cell>
          <cell r="I4413" t="str">
            <v>Syahra</v>
          </cell>
          <cell r="J4413"/>
          <cell r="K4413" t="str">
            <v>KU, Tunai</v>
          </cell>
          <cell r="L4413" t="str">
            <v>KUMP01</v>
          </cell>
          <cell r="M4413" t="str">
            <v>Kumpul Tani/Hendro</v>
          </cell>
          <cell r="N4413" t="str">
            <v>Hendro Mulyono</v>
          </cell>
          <cell r="O4413" t="str">
            <v>Jl. Gajah Mada Gg. Tawes 266 Lingk. Krajan, RT.002/RW.004, Kel. Kaliwates, Kec. Kaliwates</v>
          </cell>
          <cell r="P4413" t="str">
            <v>Jember</v>
          </cell>
          <cell r="Q4413" t="str">
            <v>Ds. Sumber Kalong, Wonosari</v>
          </cell>
          <cell r="R4413" t="str">
            <v>Bondowoso</v>
          </cell>
          <cell r="S4413" t="str">
            <v>N Bdw Stb</v>
          </cell>
          <cell r="T4413" t="str">
            <v>Wira</v>
          </cell>
          <cell r="U4413">
            <v>30</v>
          </cell>
        </row>
        <row r="4414">
          <cell r="E4414" t="str">
            <v>B25013311</v>
          </cell>
          <cell r="F4414"/>
          <cell r="G4414">
            <v>1000000000</v>
          </cell>
          <cell r="H4414" t="str">
            <v>Faris</v>
          </cell>
          <cell r="I4414" t="str">
            <v>Syahra</v>
          </cell>
          <cell r="J4414"/>
          <cell r="K4414" t="str">
            <v>KU, Tunai</v>
          </cell>
          <cell r="L4414" t="str">
            <v>KUMP01</v>
          </cell>
          <cell r="M4414" t="str">
            <v>Kumpul Tani/Hendro</v>
          </cell>
          <cell r="N4414" t="str">
            <v>Hendro Mulyono</v>
          </cell>
          <cell r="O4414" t="str">
            <v>Jl. Gajah Mada Gg. Tawes 266 Lingk. Krajan, RT.002/RW.004, Kel. Kaliwates, Kec. Kaliwates</v>
          </cell>
          <cell r="P4414" t="str">
            <v>Jember</v>
          </cell>
          <cell r="Q4414" t="str">
            <v>Ds. Sumber Kalong, Wonosari</v>
          </cell>
          <cell r="R4414" t="str">
            <v>Bondowoso</v>
          </cell>
          <cell r="S4414" t="str">
            <v>N Bdw Stb</v>
          </cell>
          <cell r="T4414" t="str">
            <v>Wira</v>
          </cell>
          <cell r="U4414">
            <v>30</v>
          </cell>
        </row>
        <row r="4415">
          <cell r="E4415" t="str">
            <v>B25013384</v>
          </cell>
          <cell r="F4415"/>
          <cell r="G4415">
            <v>1000000000</v>
          </cell>
          <cell r="H4415" t="str">
            <v>Faris</v>
          </cell>
          <cell r="I4415" t="str">
            <v>Syahra</v>
          </cell>
          <cell r="J4415"/>
          <cell r="K4415" t="str">
            <v>KU, Tunai</v>
          </cell>
          <cell r="L4415" t="str">
            <v>KUMP01</v>
          </cell>
          <cell r="M4415" t="str">
            <v>Kumpul Tani/Hendro</v>
          </cell>
          <cell r="N4415" t="str">
            <v>Hendro Mulyono</v>
          </cell>
          <cell r="O4415" t="str">
            <v>Jl. Gajah Mada Gg. Tawes 266 Lingk. Krajan, RT.002/RW.004, Kel. Kaliwates, Kec. Kaliwates</v>
          </cell>
          <cell r="P4415" t="str">
            <v>Jember</v>
          </cell>
          <cell r="Q4415" t="str">
            <v>Ds. Sumber Kalong, Wonosari</v>
          </cell>
          <cell r="R4415" t="str">
            <v>Bondowoso</v>
          </cell>
          <cell r="S4415" t="str">
            <v>N Bdw Stb</v>
          </cell>
          <cell r="T4415" t="str">
            <v>Wira</v>
          </cell>
          <cell r="U4415">
            <v>30</v>
          </cell>
        </row>
        <row r="4416">
          <cell r="E4416" t="str">
            <v>B25013537</v>
          </cell>
          <cell r="F4416"/>
          <cell r="G4416">
            <v>1000000000</v>
          </cell>
          <cell r="H4416" t="str">
            <v>Faris</v>
          </cell>
          <cell r="I4416" t="str">
            <v>Syahra</v>
          </cell>
          <cell r="J4416"/>
          <cell r="K4416" t="str">
            <v>KU, Tunai</v>
          </cell>
          <cell r="L4416" t="str">
            <v>KUMP01</v>
          </cell>
          <cell r="M4416" t="str">
            <v>Kumpul Tani/Hendro</v>
          </cell>
          <cell r="N4416" t="str">
            <v>Hendro Mulyono</v>
          </cell>
          <cell r="O4416" t="str">
            <v>Jl. Gajah Mada Gg. Tawes 266 Lingk. Krajan, RT.002/RW.004, Kel. Kaliwates, Kec. Kaliwates</v>
          </cell>
          <cell r="P4416" t="str">
            <v>Jember</v>
          </cell>
          <cell r="Q4416" t="str">
            <v>Ds. Sumber Kalong, Wonosari</v>
          </cell>
          <cell r="R4416" t="str">
            <v>Bondowoso</v>
          </cell>
          <cell r="S4416" t="str">
            <v>N Bdw Stb</v>
          </cell>
          <cell r="T4416" t="str">
            <v>Wira</v>
          </cell>
          <cell r="U4416">
            <v>30</v>
          </cell>
        </row>
        <row r="4417">
          <cell r="E4417" t="str">
            <v>B25013584</v>
          </cell>
          <cell r="F4417"/>
          <cell r="G4417">
            <v>1000000000</v>
          </cell>
          <cell r="H4417" t="str">
            <v>Faris</v>
          </cell>
          <cell r="I4417" t="str">
            <v>Syahra</v>
          </cell>
          <cell r="J4417"/>
          <cell r="K4417" t="str">
            <v>KU, Tunai</v>
          </cell>
          <cell r="L4417" t="str">
            <v>KUMP01</v>
          </cell>
          <cell r="M4417" t="str">
            <v>Kumpul Tani/Hendro</v>
          </cell>
          <cell r="N4417" t="str">
            <v>Hendro Mulyono</v>
          </cell>
          <cell r="O4417" t="str">
            <v>Jl. Gajah Mada Gg. Tawes 266 Lingk. Krajan, RT.002/RW.004, Kel. Kaliwates, Kec. Kaliwates</v>
          </cell>
          <cell r="P4417" t="str">
            <v>Jember</v>
          </cell>
          <cell r="Q4417" t="str">
            <v>Ds. Sumber Kalong, Wonosari</v>
          </cell>
          <cell r="R4417" t="str">
            <v>Bondowoso</v>
          </cell>
          <cell r="S4417" t="str">
            <v>N Bdw Stb</v>
          </cell>
          <cell r="T4417" t="str">
            <v>Wira</v>
          </cell>
          <cell r="U4417">
            <v>30</v>
          </cell>
        </row>
        <row r="4418">
          <cell r="E4418" t="str">
            <v>B25013585</v>
          </cell>
          <cell r="F4418"/>
          <cell r="G4418">
            <v>1000000000</v>
          </cell>
          <cell r="H4418" t="str">
            <v>Faris</v>
          </cell>
          <cell r="I4418" t="str">
            <v>Syahra</v>
          </cell>
          <cell r="J4418"/>
          <cell r="K4418" t="str">
            <v>KU, Tunai</v>
          </cell>
          <cell r="L4418" t="str">
            <v>KUMP01</v>
          </cell>
          <cell r="M4418" t="str">
            <v>Kumpul Tani/Hendro</v>
          </cell>
          <cell r="N4418" t="str">
            <v>Hendro Mulyono</v>
          </cell>
          <cell r="O4418" t="str">
            <v>Jl. Gajah Mada Gg. Tawes 266 Lingk. Krajan, RT.002/RW.004, Kel. Kaliwates, Kec. Kaliwates</v>
          </cell>
          <cell r="P4418" t="str">
            <v>Jember</v>
          </cell>
          <cell r="Q4418" t="str">
            <v>Ds. Sumber Kalong, Wonosari</v>
          </cell>
          <cell r="R4418" t="str">
            <v>Bondowoso</v>
          </cell>
          <cell r="S4418" t="str">
            <v>N Bdw Stb</v>
          </cell>
          <cell r="T4418" t="str">
            <v>Wira</v>
          </cell>
          <cell r="U4418">
            <v>60</v>
          </cell>
        </row>
        <row r="4419">
          <cell r="E4419" t="str">
            <v>B25013586</v>
          </cell>
          <cell r="F4419"/>
          <cell r="G4419">
            <v>1000000000</v>
          </cell>
          <cell r="H4419" t="str">
            <v>Faris</v>
          </cell>
          <cell r="I4419" t="str">
            <v>Syahra</v>
          </cell>
          <cell r="J4419"/>
          <cell r="K4419" t="str">
            <v>KU, Tunai</v>
          </cell>
          <cell r="L4419" t="str">
            <v>KUMP01</v>
          </cell>
          <cell r="M4419" t="str">
            <v>Kumpul Tani/Hendro</v>
          </cell>
          <cell r="N4419" t="str">
            <v>Hendro Mulyono</v>
          </cell>
          <cell r="O4419" t="str">
            <v>Jl. Gajah Mada Gg. Tawes 266 Lingk. Krajan, RT.002/RW.004, Kel. Kaliwates, Kec. Kaliwates</v>
          </cell>
          <cell r="P4419" t="str">
            <v>Jember</v>
          </cell>
          <cell r="Q4419" t="str">
            <v>Ds. Sumber Kalong, Wonosari</v>
          </cell>
          <cell r="R4419" t="str">
            <v>Bondowoso</v>
          </cell>
          <cell r="S4419" t="str">
            <v>N Bdw Stb</v>
          </cell>
          <cell r="T4419" t="str">
            <v>Wira</v>
          </cell>
          <cell r="U4419">
            <v>60</v>
          </cell>
        </row>
        <row r="4420">
          <cell r="E4420" t="str">
            <v>B25013591</v>
          </cell>
          <cell r="F4420"/>
          <cell r="G4420">
            <v>1000000000</v>
          </cell>
          <cell r="H4420" t="str">
            <v>Faris</v>
          </cell>
          <cell r="I4420" t="str">
            <v>Syahra</v>
          </cell>
          <cell r="J4420"/>
          <cell r="K4420" t="str">
            <v>KU, Tunai</v>
          </cell>
          <cell r="L4420" t="str">
            <v>KUMP01</v>
          </cell>
          <cell r="M4420" t="str">
            <v>Kumpul Tani/Hendro</v>
          </cell>
          <cell r="N4420" t="str">
            <v>Hendro Mulyono</v>
          </cell>
          <cell r="O4420" t="str">
            <v>Jl. Gajah Mada Gg. Tawes 266 Lingk. Krajan, RT.002/RW.004, Kel. Kaliwates, Kec. Kaliwates</v>
          </cell>
          <cell r="P4420" t="str">
            <v>Jember</v>
          </cell>
          <cell r="Q4420" t="str">
            <v>Ds. Sumber Kalong, Wonosari</v>
          </cell>
          <cell r="R4420" t="str">
            <v>Bondowoso</v>
          </cell>
          <cell r="S4420" t="str">
            <v>N Bdw Stb</v>
          </cell>
          <cell r="T4420" t="str">
            <v>Wira</v>
          </cell>
          <cell r="U4420">
            <v>30</v>
          </cell>
        </row>
        <row r="4421">
          <cell r="E4421" t="str">
            <v>D25015925</v>
          </cell>
          <cell r="F4421"/>
          <cell r="G4421">
            <v>1000000000</v>
          </cell>
          <cell r="H4421" t="str">
            <v>Faris</v>
          </cell>
          <cell r="I4421" t="str">
            <v>Syahra</v>
          </cell>
          <cell r="J4421"/>
          <cell r="K4421" t="str">
            <v>KU, Tunai</v>
          </cell>
          <cell r="L4421" t="str">
            <v>KUMP01</v>
          </cell>
          <cell r="M4421" t="str">
            <v>Kumpul Tani/Hendro</v>
          </cell>
          <cell r="N4421" t="str">
            <v>Hendro Mulyono</v>
          </cell>
          <cell r="O4421" t="str">
            <v>Jl. Gajah Mada Gg. Tawes 266 Lingk. Krajan, RT.002/RW.004, Kel. Kaliwates, Kec. Kaliwates</v>
          </cell>
          <cell r="P4421" t="str">
            <v>Jember</v>
          </cell>
          <cell r="Q4421" t="str">
            <v>Ds. Sumber Kalong, Wonosari</v>
          </cell>
          <cell r="R4421" t="str">
            <v>Bondowoso</v>
          </cell>
          <cell r="S4421" t="str">
            <v>N Bdw Stb</v>
          </cell>
          <cell r="T4421" t="str">
            <v>Wira</v>
          </cell>
          <cell r="U4421">
            <v>30</v>
          </cell>
        </row>
        <row r="4422">
          <cell r="E4422" t="str">
            <v>D25015926</v>
          </cell>
          <cell r="F4422"/>
          <cell r="G4422">
            <v>1000000000</v>
          </cell>
          <cell r="H4422" t="str">
            <v>Faris</v>
          </cell>
          <cell r="I4422" t="str">
            <v>Syahra</v>
          </cell>
          <cell r="J4422"/>
          <cell r="K4422" t="str">
            <v>KU, Tunai</v>
          </cell>
          <cell r="L4422" t="str">
            <v>KUMP01</v>
          </cell>
          <cell r="M4422" t="str">
            <v>Kumpul Tani/Hendro</v>
          </cell>
          <cell r="N4422" t="str">
            <v>Hendro Mulyono</v>
          </cell>
          <cell r="O4422" t="str">
            <v>Jl. Gajah Mada Gg. Tawes 266 Lingk. Krajan, RT.002/RW.004, Kel. Kaliwates, Kec. Kaliwates</v>
          </cell>
          <cell r="P4422" t="str">
            <v>Jember</v>
          </cell>
          <cell r="Q4422" t="str">
            <v>Ds. Sumber Kalong, Wonosari</v>
          </cell>
          <cell r="R4422" t="str">
            <v>Bondowoso</v>
          </cell>
          <cell r="S4422" t="str">
            <v>N Bdw Stb</v>
          </cell>
          <cell r="T4422" t="str">
            <v>Wira</v>
          </cell>
          <cell r="U4422">
            <v>0</v>
          </cell>
        </row>
        <row r="4423">
          <cell r="E4423" t="str">
            <v>D25016007</v>
          </cell>
          <cell r="F4423"/>
          <cell r="G4423">
            <v>1000000000</v>
          </cell>
          <cell r="H4423" t="str">
            <v>Faris</v>
          </cell>
          <cell r="I4423" t="str">
            <v>Syahra</v>
          </cell>
          <cell r="J4423"/>
          <cell r="K4423" t="str">
            <v>KU, Tunai</v>
          </cell>
          <cell r="L4423" t="str">
            <v>KUMP01</v>
          </cell>
          <cell r="M4423" t="str">
            <v>Kumpul Tani/Hendro</v>
          </cell>
          <cell r="N4423" t="str">
            <v>Hendro Mulyono</v>
          </cell>
          <cell r="O4423" t="str">
            <v>Jl. Gajah Mada Gg. Tawes 266 Lingk. Krajan, RT.002/RW.004, Kel. Kaliwates, Kec. Kaliwates</v>
          </cell>
          <cell r="P4423" t="str">
            <v>Jember</v>
          </cell>
          <cell r="Q4423" t="str">
            <v>Ds. Sumber Kalong, Wonosari</v>
          </cell>
          <cell r="R4423" t="str">
            <v>Bondowoso</v>
          </cell>
          <cell r="S4423" t="str">
            <v>N Bdw Stb</v>
          </cell>
          <cell r="T4423" t="str">
            <v>Wira</v>
          </cell>
          <cell r="U4423">
            <v>60</v>
          </cell>
        </row>
        <row r="4424">
          <cell r="E4424" t="str">
            <v>B25014061</v>
          </cell>
          <cell r="F4424"/>
          <cell r="G4424">
            <v>1000000000</v>
          </cell>
          <cell r="H4424" t="str">
            <v>Faris</v>
          </cell>
          <cell r="I4424" t="str">
            <v>Syahra</v>
          </cell>
          <cell r="J4424"/>
          <cell r="K4424" t="str">
            <v>KU, Tunai</v>
          </cell>
          <cell r="L4424" t="str">
            <v>KUMP01</v>
          </cell>
          <cell r="M4424" t="str">
            <v>Kumpul Tani/Hendro</v>
          </cell>
          <cell r="N4424" t="str">
            <v>Hendro Mulyono</v>
          </cell>
          <cell r="O4424" t="str">
            <v>Jl. Gajah Mada Gg. Tawes 266 Lingk. Krajan, RT.002/RW.004, Kel. Kaliwates, Kec. Kaliwates</v>
          </cell>
          <cell r="P4424" t="str">
            <v>Jember</v>
          </cell>
          <cell r="Q4424" t="str">
            <v>Ds. Sumber Kalong, Wonosari</v>
          </cell>
          <cell r="R4424" t="str">
            <v>Bondowoso</v>
          </cell>
          <cell r="S4424" t="str">
            <v>N Bdw Stb</v>
          </cell>
          <cell r="T4424" t="str">
            <v>Wira</v>
          </cell>
          <cell r="U4424">
            <v>60</v>
          </cell>
        </row>
        <row r="4425">
          <cell r="E4425" t="str">
            <v>B25014088</v>
          </cell>
          <cell r="F4425"/>
          <cell r="G4425">
            <v>1000000000</v>
          </cell>
          <cell r="H4425" t="str">
            <v>Faris</v>
          </cell>
          <cell r="I4425" t="str">
            <v>Syahra</v>
          </cell>
          <cell r="J4425"/>
          <cell r="K4425" t="str">
            <v>KU, Tunai</v>
          </cell>
          <cell r="L4425" t="str">
            <v>KUMP01</v>
          </cell>
          <cell r="M4425" t="str">
            <v>Kumpul Tani/Hendro</v>
          </cell>
          <cell r="N4425" t="str">
            <v>Hendro Mulyono</v>
          </cell>
          <cell r="O4425" t="str">
            <v>Jl. Gajah Mada Gg. Tawes 266 Lingk. Krajan, RT.002/RW.004, Kel. Kaliwates, Kec. Kaliwates</v>
          </cell>
          <cell r="P4425" t="str">
            <v>Jember</v>
          </cell>
          <cell r="Q4425" t="str">
            <v>Ds. Sumber Kalong, Wonosari</v>
          </cell>
          <cell r="R4425" t="str">
            <v>Bondowoso</v>
          </cell>
          <cell r="S4425" t="str">
            <v>N Bdw Stb</v>
          </cell>
          <cell r="T4425" t="str">
            <v>Wira</v>
          </cell>
          <cell r="U4425">
            <v>30</v>
          </cell>
        </row>
        <row r="4426">
          <cell r="E4426" t="str">
            <v>D25015000</v>
          </cell>
          <cell r="F4426"/>
          <cell r="G4426">
            <v>70000000</v>
          </cell>
          <cell r="H4426" t="str">
            <v>Yuyun</v>
          </cell>
          <cell r="I4426" t="str">
            <v>Farida</v>
          </cell>
          <cell r="J4426"/>
          <cell r="K4426" t="str">
            <v>KU</v>
          </cell>
          <cell r="L4426" t="str">
            <v>KURN02</v>
          </cell>
          <cell r="M4426" t="str">
            <v>Kurnia Tani/Sugeng</v>
          </cell>
          <cell r="N4426" t="str">
            <v>Novy Agustina</v>
          </cell>
          <cell r="O4426" t="str">
            <v>Jl. Semangka, RT.002/RW.001 Baratan, Patrang</v>
          </cell>
          <cell r="P4426" t="str">
            <v>Jember</v>
          </cell>
          <cell r="Q4426" t="str">
            <v>Jl. Semangka, RT.002/RW.001 Baratan, Patrang</v>
          </cell>
          <cell r="R4426" t="str">
            <v>Jember</v>
          </cell>
          <cell r="S4426" t="str">
            <v>L Kota1</v>
          </cell>
          <cell r="T4426" t="str">
            <v>Wira</v>
          </cell>
          <cell r="U4426">
            <v>30</v>
          </cell>
        </row>
        <row r="4427">
          <cell r="E4427" t="str">
            <v>D25013467</v>
          </cell>
          <cell r="F4427"/>
          <cell r="G4427">
            <v>100000000</v>
          </cell>
          <cell r="H4427" t="str">
            <v>Zakia</v>
          </cell>
          <cell r="I4427" t="str">
            <v>Tiya</v>
          </cell>
          <cell r="J4427" t="str">
            <v>New 21/12/19</v>
          </cell>
          <cell r="K4427" t="str">
            <v>Tunai</v>
          </cell>
          <cell r="L4427" t="str">
            <v>KUSU05</v>
          </cell>
          <cell r="M4427" t="str">
            <v>Kusuma Agro</v>
          </cell>
          <cell r="N4427" t="str">
            <v>Adi Ari Kusuma</v>
          </cell>
          <cell r="O4427" t="str">
            <v>Dsn. Prapatan, RT.002/RW.002 Kel. Asmorobangun, Kec. Puncu</v>
          </cell>
          <cell r="P4427" t="str">
            <v>Kediri</v>
          </cell>
          <cell r="Q4427" t="str">
            <v>Dsn. Prapatan, RT.002/RW.002 Kel. Asmorobangun, Kec. Puncu</v>
          </cell>
          <cell r="R4427" t="str">
            <v>Kediri</v>
          </cell>
          <cell r="S4427" t="str">
            <v>D Barat1</v>
          </cell>
          <cell r="T4427" t="str">
            <v>Tomi</v>
          </cell>
          <cell r="U4427">
            <v>30</v>
          </cell>
        </row>
        <row r="4428">
          <cell r="E4428" t="str">
            <v>D25014478</v>
          </cell>
          <cell r="F4428"/>
          <cell r="G4428">
            <v>100000000</v>
          </cell>
          <cell r="H4428" t="str">
            <v>Zakia</v>
          </cell>
          <cell r="I4428" t="str">
            <v>Tiya</v>
          </cell>
          <cell r="J4428" t="str">
            <v>New 21/12/19</v>
          </cell>
          <cell r="K4428" t="str">
            <v>Tunai</v>
          </cell>
          <cell r="L4428" t="str">
            <v>KUSU05</v>
          </cell>
          <cell r="M4428" t="str">
            <v>Kusuma Agro</v>
          </cell>
          <cell r="N4428" t="str">
            <v>Adi Ari Kusuma</v>
          </cell>
          <cell r="O4428" t="str">
            <v>Dsn. Prapatan, RT.002/RW.002 Kel. Asmorobangun, Kec. Puncu</v>
          </cell>
          <cell r="P4428" t="str">
            <v>Kediri</v>
          </cell>
          <cell r="Q4428" t="str">
            <v>Dsn. Prapatan, RT.002/RW.002 Kel. Asmorobangun, Kec. Puncu</v>
          </cell>
          <cell r="R4428" t="str">
            <v>Kediri</v>
          </cell>
          <cell r="S4428" t="str">
            <v>D Barat1</v>
          </cell>
          <cell r="T4428" t="str">
            <v>Tomi</v>
          </cell>
          <cell r="U4428">
            <v>30</v>
          </cell>
        </row>
        <row r="4429">
          <cell r="E4429" t="str">
            <v>T25001434</v>
          </cell>
          <cell r="F4429"/>
          <cell r="G4429">
            <v>100000000</v>
          </cell>
          <cell r="H4429" t="str">
            <v>Zakia</v>
          </cell>
          <cell r="I4429" t="str">
            <v>Tiya</v>
          </cell>
          <cell r="J4429" t="str">
            <v>New 21/12/19</v>
          </cell>
          <cell r="K4429" t="str">
            <v>Tunai</v>
          </cell>
          <cell r="L4429" t="str">
            <v>KUSU05</v>
          </cell>
          <cell r="M4429" t="str">
            <v>Kusuma Agro</v>
          </cell>
          <cell r="N4429" t="str">
            <v>Adi Ari Kusuma</v>
          </cell>
          <cell r="O4429" t="str">
            <v>Dsn. Prapatan, RT.002/RW.002 Kel. Asmorobangun, Kec. Puncu</v>
          </cell>
          <cell r="P4429" t="str">
            <v>Kediri</v>
          </cell>
          <cell r="Q4429" t="str">
            <v>Dsn. Prapatan, RT.002/RW.002 Kel. Asmorobangun, Kec. Puncu</v>
          </cell>
          <cell r="R4429" t="str">
            <v>Kediri</v>
          </cell>
          <cell r="S4429" t="str">
            <v>D Barat1</v>
          </cell>
          <cell r="T4429" t="str">
            <v>Tomi</v>
          </cell>
          <cell r="U4429">
            <v>60</v>
          </cell>
        </row>
        <row r="4430">
          <cell r="E4430" t="str">
            <v>D25014825</v>
          </cell>
          <cell r="F4430"/>
          <cell r="G4430">
            <v>100000000</v>
          </cell>
          <cell r="H4430" t="str">
            <v>Zakia</v>
          </cell>
          <cell r="I4430" t="str">
            <v>Tiya</v>
          </cell>
          <cell r="J4430" t="str">
            <v>New 21/12/19</v>
          </cell>
          <cell r="K4430" t="str">
            <v>Tunai</v>
          </cell>
          <cell r="L4430" t="str">
            <v>KUSU05</v>
          </cell>
          <cell r="M4430" t="str">
            <v>Kusuma Agro</v>
          </cell>
          <cell r="N4430" t="str">
            <v>Adi Ari Kusuma</v>
          </cell>
          <cell r="O4430" t="str">
            <v>Dsn. Prapatan, RT.002/RW.002 Kel. Asmorobangun, Kec. Puncu</v>
          </cell>
          <cell r="P4430" t="str">
            <v>Kediri</v>
          </cell>
          <cell r="Q4430" t="str">
            <v>Dsn. Prapatan, RT.002/RW.002 Kel. Asmorobangun, Kec. Puncu</v>
          </cell>
          <cell r="R4430" t="str">
            <v>Kediri</v>
          </cell>
          <cell r="S4430" t="str">
            <v>D Barat1</v>
          </cell>
          <cell r="T4430" t="str">
            <v>Tomi</v>
          </cell>
          <cell r="U4430">
            <v>60</v>
          </cell>
        </row>
        <row r="4431">
          <cell r="E4431" t="str">
            <v>B25012972</v>
          </cell>
          <cell r="F4431"/>
          <cell r="G4431">
            <v>100000000</v>
          </cell>
          <cell r="H4431" t="str">
            <v>Zakia</v>
          </cell>
          <cell r="I4431" t="str">
            <v>Tiya</v>
          </cell>
          <cell r="J4431" t="str">
            <v>New 21/12/19</v>
          </cell>
          <cell r="K4431" t="str">
            <v>Tunai</v>
          </cell>
          <cell r="L4431" t="str">
            <v>KUSU05</v>
          </cell>
          <cell r="M4431" t="str">
            <v>Kusuma Agro</v>
          </cell>
          <cell r="N4431" t="str">
            <v>Adi Ari Kusuma</v>
          </cell>
          <cell r="O4431" t="str">
            <v>Dsn. Prapatan, RT.002/RW.002 Kel. Asmorobangun, Kec. Puncu</v>
          </cell>
          <cell r="P4431" t="str">
            <v>Kediri</v>
          </cell>
          <cell r="Q4431" t="str">
            <v>Dsn. Prapatan, RT.002/RW.002 Kel. Asmorobangun, Kec. Puncu</v>
          </cell>
          <cell r="R4431" t="str">
            <v>Kediri</v>
          </cell>
          <cell r="S4431" t="str">
            <v>D Barat1</v>
          </cell>
          <cell r="T4431" t="str">
            <v>Tomi</v>
          </cell>
          <cell r="U4431">
            <v>30</v>
          </cell>
        </row>
        <row r="4432">
          <cell r="E4432" t="str">
            <v>B25013284</v>
          </cell>
          <cell r="F4432"/>
          <cell r="G4432">
            <v>100000000</v>
          </cell>
          <cell r="H4432" t="str">
            <v>Zakia</v>
          </cell>
          <cell r="I4432" t="str">
            <v>Tiya</v>
          </cell>
          <cell r="J4432" t="str">
            <v>New 21/12/19</v>
          </cell>
          <cell r="K4432" t="str">
            <v>Tunai</v>
          </cell>
          <cell r="L4432" t="str">
            <v>KUSU05</v>
          </cell>
          <cell r="M4432" t="str">
            <v>Kusuma Agro</v>
          </cell>
          <cell r="N4432" t="str">
            <v>Adi Ari Kusuma</v>
          </cell>
          <cell r="O4432" t="str">
            <v>Dsn. Prapatan, RT.002/RW.002 Kel. Asmorobangun, Kec. Puncu</v>
          </cell>
          <cell r="P4432" t="str">
            <v>Kediri</v>
          </cell>
          <cell r="Q4432" t="str">
            <v>Dsn. Prapatan, RT.002/RW.002 Kel. Asmorobangun, Kec. Puncu</v>
          </cell>
          <cell r="R4432" t="str">
            <v>Kediri</v>
          </cell>
          <cell r="S4432" t="str">
            <v>D Barat1</v>
          </cell>
          <cell r="T4432" t="str">
            <v>Tomi</v>
          </cell>
          <cell r="U4432">
            <v>60</v>
          </cell>
        </row>
        <row r="4433">
          <cell r="E4433" t="str">
            <v>B25014070</v>
          </cell>
          <cell r="F4433"/>
          <cell r="G4433">
            <v>100000000</v>
          </cell>
          <cell r="H4433" t="str">
            <v>Zakia</v>
          </cell>
          <cell r="I4433" t="str">
            <v>Tiya</v>
          </cell>
          <cell r="J4433" t="str">
            <v>New 21/12/19</v>
          </cell>
          <cell r="K4433" t="str">
            <v>Tunai</v>
          </cell>
          <cell r="L4433" t="str">
            <v>KUSU05</v>
          </cell>
          <cell r="M4433" t="str">
            <v>Kusuma Agro</v>
          </cell>
          <cell r="N4433" t="str">
            <v>Adi Ari Kusuma</v>
          </cell>
          <cell r="O4433" t="str">
            <v>Dsn. Prapatan, RT.002/RW.002 Kel. Asmorobangun, Kec. Puncu</v>
          </cell>
          <cell r="P4433" t="str">
            <v>Kediri</v>
          </cell>
          <cell r="Q4433" t="str">
            <v>Dsn. Prapatan, RT.002/RW.002 Kel. Asmorobangun, Kec. Puncu</v>
          </cell>
          <cell r="R4433" t="str">
            <v>Kediri</v>
          </cell>
          <cell r="S4433" t="str">
            <v>D Barat1</v>
          </cell>
          <cell r="T4433" t="str">
            <v>Tomi</v>
          </cell>
          <cell r="U4433">
            <v>30</v>
          </cell>
        </row>
        <row r="4434">
          <cell r="E4434" t="str">
            <v>D25012964</v>
          </cell>
          <cell r="F4434"/>
          <cell r="G4434">
            <v>450000000</v>
          </cell>
          <cell r="H4434" t="str">
            <v>Zakia</v>
          </cell>
          <cell r="I4434" t="str">
            <v>Tiya</v>
          </cell>
          <cell r="J4434"/>
          <cell r="K4434" t="str">
            <v>BG</v>
          </cell>
          <cell r="L4434" t="str">
            <v>LABA01</v>
          </cell>
          <cell r="M4434" t="str">
            <v>Labak Tani</v>
          </cell>
          <cell r="N4434" t="str">
            <v>Labak Tani, CV</v>
          </cell>
          <cell r="O4434" t="str">
            <v>Jenggala 4 BR. Kauripan, Sedang, Abiansemal, Badung</v>
          </cell>
          <cell r="P4434" t="str">
            <v>Bali</v>
          </cell>
          <cell r="Q4434" t="str">
            <v>Jl. Jenggala No.4 BR. Aseman Sedang, Abiansemal, Badung, Denpasar</v>
          </cell>
          <cell r="R4434" t="str">
            <v>Bali</v>
          </cell>
          <cell r="S4434" t="str">
            <v>S Bali3</v>
          </cell>
          <cell r="T4434" t="str">
            <v>Wira</v>
          </cell>
          <cell r="U4434">
            <v>30</v>
          </cell>
        </row>
        <row r="4435">
          <cell r="E4435" t="str">
            <v>B25011845</v>
          </cell>
          <cell r="F4435"/>
          <cell r="G4435">
            <v>450000000</v>
          </cell>
          <cell r="H4435" t="str">
            <v>Zakia</v>
          </cell>
          <cell r="I4435" t="str">
            <v>Tiya</v>
          </cell>
          <cell r="J4435"/>
          <cell r="K4435" t="str">
            <v>BG</v>
          </cell>
          <cell r="L4435" t="str">
            <v>LABA01</v>
          </cell>
          <cell r="M4435" t="str">
            <v>Labak Tani</v>
          </cell>
          <cell r="N4435" t="str">
            <v>Labak Tani, CV</v>
          </cell>
          <cell r="O4435" t="str">
            <v>Jenggala 4 BR. Kauripan, Sedang, Abiansemal, Badung</v>
          </cell>
          <cell r="P4435" t="str">
            <v>Bali</v>
          </cell>
          <cell r="Q4435" t="str">
            <v>Jl. Jenggala No.4 BR. Aseman Sedang, Abiansemal, Badung, Denpasar</v>
          </cell>
          <cell r="R4435" t="str">
            <v>Bali</v>
          </cell>
          <cell r="S4435" t="str">
            <v>S Bali3</v>
          </cell>
          <cell r="T4435" t="str">
            <v>Wira</v>
          </cell>
          <cell r="U4435">
            <v>30</v>
          </cell>
        </row>
        <row r="4436">
          <cell r="E4436" t="str">
            <v>B25011846</v>
          </cell>
          <cell r="F4436"/>
          <cell r="G4436">
            <v>450000000</v>
          </cell>
          <cell r="H4436" t="str">
            <v>Zakia</v>
          </cell>
          <cell r="I4436" t="str">
            <v>Tiya</v>
          </cell>
          <cell r="J4436"/>
          <cell r="K4436" t="str">
            <v>BG</v>
          </cell>
          <cell r="L4436" t="str">
            <v>LABA01</v>
          </cell>
          <cell r="M4436" t="str">
            <v>Labak Tani</v>
          </cell>
          <cell r="N4436" t="str">
            <v>Labak Tani, CV</v>
          </cell>
          <cell r="O4436" t="str">
            <v>Jenggala 4 BR. Kauripan, Sedang, Abiansemal, Badung</v>
          </cell>
          <cell r="P4436" t="str">
            <v>Bali</v>
          </cell>
          <cell r="Q4436" t="str">
            <v>Jl. Jenggala No.4 BR. Aseman Sedang, Abiansemal, Badung, Denpasar</v>
          </cell>
          <cell r="R4436" t="str">
            <v>Bali</v>
          </cell>
          <cell r="S4436" t="str">
            <v>S Bali3</v>
          </cell>
          <cell r="T4436" t="str">
            <v>Wira</v>
          </cell>
          <cell r="U4436">
            <v>30</v>
          </cell>
        </row>
        <row r="4437">
          <cell r="E4437" t="str">
            <v>B25013808</v>
          </cell>
          <cell r="F4437"/>
          <cell r="G4437">
            <v>450000000</v>
          </cell>
          <cell r="H4437" t="str">
            <v>Zakia</v>
          </cell>
          <cell r="I4437" t="str">
            <v>Tiya</v>
          </cell>
          <cell r="J4437"/>
          <cell r="K4437" t="str">
            <v>BG</v>
          </cell>
          <cell r="L4437" t="str">
            <v>LABA01</v>
          </cell>
          <cell r="M4437" t="str">
            <v>Labak Tani</v>
          </cell>
          <cell r="N4437" t="str">
            <v>Labak Tani, CV</v>
          </cell>
          <cell r="O4437" t="str">
            <v>Jenggala 4 BR. Kauripan, Sedang, Abiansemal, Badung</v>
          </cell>
          <cell r="P4437" t="str">
            <v>Bali</v>
          </cell>
          <cell r="Q4437" t="str">
            <v>Jl. Jenggala No.4 BR. Aseman Sedang, Abiansemal, Badung, Denpasar</v>
          </cell>
          <cell r="R4437" t="str">
            <v>Bali</v>
          </cell>
          <cell r="S4437" t="str">
            <v>S Bali3</v>
          </cell>
          <cell r="T4437" t="str">
            <v>Wira</v>
          </cell>
          <cell r="U4437">
            <v>30</v>
          </cell>
        </row>
        <row r="4438">
          <cell r="E4438" t="str">
            <v>B25013809</v>
          </cell>
          <cell r="F4438"/>
          <cell r="G4438">
            <v>450000000</v>
          </cell>
          <cell r="H4438" t="str">
            <v>Zakia</v>
          </cell>
          <cell r="I4438" t="str">
            <v>Tiya</v>
          </cell>
          <cell r="J4438"/>
          <cell r="K4438" t="str">
            <v>BG</v>
          </cell>
          <cell r="L4438" t="str">
            <v>LABA01</v>
          </cell>
          <cell r="M4438" t="str">
            <v>Labak Tani</v>
          </cell>
          <cell r="N4438" t="str">
            <v>Labak Tani, CV</v>
          </cell>
          <cell r="O4438" t="str">
            <v>Jenggala 4 BR. Kauripan, Sedang, Abiansemal, Badung</v>
          </cell>
          <cell r="P4438" t="str">
            <v>Bali</v>
          </cell>
          <cell r="Q4438" t="str">
            <v>Jl. Jenggala No.4 BR. Aseman Sedang, Abiansemal, Badung, Denpasar</v>
          </cell>
          <cell r="R4438" t="str">
            <v>Bali</v>
          </cell>
          <cell r="S4438" t="str">
            <v>S Bali3</v>
          </cell>
          <cell r="T4438" t="str">
            <v>Wira</v>
          </cell>
          <cell r="U4438">
            <v>30</v>
          </cell>
        </row>
        <row r="4439">
          <cell r="E4439" t="str">
            <v>B25013853</v>
          </cell>
          <cell r="F4439"/>
          <cell r="G4439">
            <v>1000</v>
          </cell>
          <cell r="H4439" t="str">
            <v>Reni</v>
          </cell>
          <cell r="I4439" t="str">
            <v>Farida</v>
          </cell>
          <cell r="J4439"/>
          <cell r="K4439" t="str">
            <v>-</v>
          </cell>
          <cell r="L4439" t="str">
            <v>LAIL01</v>
          </cell>
          <cell r="M4439" t="str">
            <v>Laila Fitria Zuhratul Fadilah</v>
          </cell>
          <cell r="N4439" t="str">
            <v>Laila Fitria Zuhratul Fadilah</v>
          </cell>
          <cell r="O4439" t="str">
            <v>Vila Bukit Tidar A5/48, RT.015/RW.011 Kel. Merjosari, Kec. Lowokwaru</v>
          </cell>
          <cell r="P4439" t="str">
            <v>Malang</v>
          </cell>
          <cell r="Q4439" t="str">
            <v>Vila Bukit Tidar A5/48, RT.015/RW.011 Kel. Merjosari, Kec. Lowokwaru</v>
          </cell>
          <cell r="R4439" t="str">
            <v>Malang</v>
          </cell>
          <cell r="S4439" t="str">
            <v>F Utara1</v>
          </cell>
          <cell r="T4439" t="str">
            <v>Tomi</v>
          </cell>
          <cell r="U4439">
            <v>0</v>
          </cell>
        </row>
        <row r="4440">
          <cell r="E4440" t="str">
            <v>D25014270</v>
          </cell>
          <cell r="F4440"/>
          <cell r="G4440">
            <v>5000000000</v>
          </cell>
          <cell r="H4440" t="str">
            <v>Hendra</v>
          </cell>
          <cell r="I4440" t="str">
            <v>Tiya</v>
          </cell>
          <cell r="J4440"/>
          <cell r="K4440" t="str">
            <v>KU</v>
          </cell>
          <cell r="L4440" t="str">
            <v>LAJU01</v>
          </cell>
          <cell r="M4440" t="str">
            <v>Laju Tani, Toko</v>
          </cell>
          <cell r="N4440" t="str">
            <v>Laju Tani Agro, CV</v>
          </cell>
          <cell r="O4440" t="str">
            <v>Jl. Kartini No. 45 RT.02/RW.03, Brangbara</v>
          </cell>
          <cell r="P4440" t="str">
            <v>Sumbawa</v>
          </cell>
          <cell r="Q4440" t="str">
            <v>Jl. Kartini No. 45 RT.02/RW.03, Brangbara</v>
          </cell>
          <cell r="R4440" t="str">
            <v>Sumbawa</v>
          </cell>
          <cell r="S4440" t="str">
            <v>E Luar Pulau2</v>
          </cell>
          <cell r="T4440" t="str">
            <v>Muhlisin</v>
          </cell>
          <cell r="U4440">
            <v>60</v>
          </cell>
        </row>
        <row r="4441">
          <cell r="E4441" t="str">
            <v>D25014296</v>
          </cell>
          <cell r="F4441"/>
          <cell r="G4441">
            <v>5000000000</v>
          </cell>
          <cell r="H4441" t="str">
            <v>Hendra</v>
          </cell>
          <cell r="I4441" t="str">
            <v>Tiya</v>
          </cell>
          <cell r="J4441"/>
          <cell r="K4441" t="str">
            <v>KU</v>
          </cell>
          <cell r="L4441" t="str">
            <v>LAJU01</v>
          </cell>
          <cell r="M4441" t="str">
            <v>Laju Tani, Toko</v>
          </cell>
          <cell r="N4441" t="str">
            <v>Laju Tani Agro, CV</v>
          </cell>
          <cell r="O4441" t="str">
            <v>Jl. Kartini No. 45 RT.02/RW.03, Brangbara</v>
          </cell>
          <cell r="P4441" t="str">
            <v>Sumbawa</v>
          </cell>
          <cell r="Q4441" t="str">
            <v>Jl. Kartini No. 45 RT.02/RW.03, Brangbara</v>
          </cell>
          <cell r="R4441" t="str">
            <v>Sumbawa</v>
          </cell>
          <cell r="S4441" t="str">
            <v>E Luar Pulau2</v>
          </cell>
          <cell r="T4441" t="str">
            <v>Muhlisin</v>
          </cell>
          <cell r="U4441">
            <v>60</v>
          </cell>
        </row>
        <row r="4442">
          <cell r="E4442" t="str">
            <v>B25012441</v>
          </cell>
          <cell r="F4442"/>
          <cell r="G4442">
            <v>5000000000</v>
          </cell>
          <cell r="H4442" t="str">
            <v>Hendra</v>
          </cell>
          <cell r="I4442" t="str">
            <v>Tiya</v>
          </cell>
          <cell r="J4442"/>
          <cell r="K4442" t="str">
            <v>KU</v>
          </cell>
          <cell r="L4442" t="str">
            <v>LAJU01</v>
          </cell>
          <cell r="M4442" t="str">
            <v>Laju Tani, Toko</v>
          </cell>
          <cell r="N4442" t="str">
            <v>Laju Tani Agro, CV</v>
          </cell>
          <cell r="O4442" t="str">
            <v>Jl. Kartini No. 45 RT.02/RW.03, Brangbara</v>
          </cell>
          <cell r="P4442" t="str">
            <v>Sumbawa</v>
          </cell>
          <cell r="Q4442" t="str">
            <v>Jl. Kartini No. 45 RT.02/RW.03, Brangbara</v>
          </cell>
          <cell r="R4442" t="str">
            <v>Sumbawa</v>
          </cell>
          <cell r="S4442" t="str">
            <v>E Luar Pulau2</v>
          </cell>
          <cell r="T4442" t="str">
            <v>Muhlisin</v>
          </cell>
          <cell r="U4442">
            <v>60</v>
          </cell>
        </row>
        <row r="4443">
          <cell r="E4443" t="str">
            <v>D25015109</v>
          </cell>
          <cell r="F4443"/>
          <cell r="G4443">
            <v>5000000000</v>
          </cell>
          <cell r="H4443" t="str">
            <v>Hendra</v>
          </cell>
          <cell r="I4443" t="str">
            <v>Tiya</v>
          </cell>
          <cell r="J4443"/>
          <cell r="K4443" t="str">
            <v>KU</v>
          </cell>
          <cell r="L4443" t="str">
            <v>LAJU01</v>
          </cell>
          <cell r="M4443" t="str">
            <v>Laju Tani, Toko</v>
          </cell>
          <cell r="N4443" t="str">
            <v>Laju Tani Agro, CV</v>
          </cell>
          <cell r="O4443" t="str">
            <v>Jl. Kartini No. 45 RT.02/RW.03, Brangbara</v>
          </cell>
          <cell r="P4443" t="str">
            <v>Sumbawa</v>
          </cell>
          <cell r="Q4443" t="str">
            <v>Jl. Kartini No. 45 RT.02/RW.03, Brangbara</v>
          </cell>
          <cell r="R4443" t="str">
            <v>Sumbawa</v>
          </cell>
          <cell r="S4443" t="str">
            <v>E Luar Pulau2</v>
          </cell>
          <cell r="T4443" t="str">
            <v>Muhlisin</v>
          </cell>
          <cell r="U4443">
            <v>60</v>
          </cell>
        </row>
        <row r="4444">
          <cell r="E4444" t="str">
            <v>D25013558</v>
          </cell>
          <cell r="F4444"/>
          <cell r="G4444">
            <v>20000000</v>
          </cell>
          <cell r="H4444" t="str">
            <v>Yuyun</v>
          </cell>
          <cell r="I4444" t="str">
            <v>Farida</v>
          </cell>
          <cell r="J4444" t="str">
            <v>New 08/08/24</v>
          </cell>
          <cell r="K4444" t="str">
            <v>KU</v>
          </cell>
          <cell r="L4444" t="str">
            <v>LANC09</v>
          </cell>
          <cell r="M4444" t="str">
            <v>Lancar Barokah Tani/Abd Rosit</v>
          </cell>
          <cell r="N4444" t="str">
            <v>Abd Rosit Rido</v>
          </cell>
          <cell r="O4444" t="str">
            <v>Dusun Jatiagung RT.001/RW.028, Kel. Gumukmas, Kec, Gumuk Mas</v>
          </cell>
          <cell r="P4444" t="str">
            <v>Jember</v>
          </cell>
          <cell r="Q4444" t="str">
            <v>Dusun Jatiagung, Kel. Gumukmas, Kec, Gumuk Mas</v>
          </cell>
          <cell r="R4444" t="str">
            <v>Jember</v>
          </cell>
          <cell r="S4444" t="str">
            <v>L Kota3</v>
          </cell>
          <cell r="T4444" t="str">
            <v>Wira</v>
          </cell>
          <cell r="U4444">
            <v>30</v>
          </cell>
        </row>
        <row r="4445">
          <cell r="E4445" t="str">
            <v>D25013684</v>
          </cell>
          <cell r="F4445"/>
          <cell r="G4445">
            <v>20000000</v>
          </cell>
          <cell r="H4445" t="str">
            <v>Yuyun</v>
          </cell>
          <cell r="I4445" t="str">
            <v>Farida</v>
          </cell>
          <cell r="J4445" t="str">
            <v>New 08/08/24</v>
          </cell>
          <cell r="K4445" t="str">
            <v>KU</v>
          </cell>
          <cell r="L4445" t="str">
            <v>LANC09</v>
          </cell>
          <cell r="M4445" t="str">
            <v>Lancar Barokah Tani/Abd Rosit</v>
          </cell>
          <cell r="N4445" t="str">
            <v>Abd Rosit Rido</v>
          </cell>
          <cell r="O4445" t="str">
            <v>Dusun Jatiagung RT.001/RW.028, Kel. Gumukmas, Kec, Gumuk Mas</v>
          </cell>
          <cell r="P4445" t="str">
            <v>Jember</v>
          </cell>
          <cell r="Q4445" t="str">
            <v>Dusun Jatiagung, Kel. Gumukmas, Kec, Gumuk Mas</v>
          </cell>
          <cell r="R4445" t="str">
            <v>Jember</v>
          </cell>
          <cell r="S4445" t="str">
            <v>L Kota3</v>
          </cell>
          <cell r="T4445" t="str">
            <v>Wira</v>
          </cell>
          <cell r="U4445">
            <v>30</v>
          </cell>
        </row>
        <row r="4446">
          <cell r="E4446" t="str">
            <v>B25011959</v>
          </cell>
          <cell r="F4446"/>
          <cell r="G4446">
            <v>20000000</v>
          </cell>
          <cell r="H4446" t="str">
            <v>Yuyun</v>
          </cell>
          <cell r="I4446" t="str">
            <v>Farida</v>
          </cell>
          <cell r="J4446" t="str">
            <v>New 08/08/24</v>
          </cell>
          <cell r="K4446" t="str">
            <v>KU</v>
          </cell>
          <cell r="L4446" t="str">
            <v>LANC09</v>
          </cell>
          <cell r="M4446" t="str">
            <v>Lancar Barokah Tani/Abd Rosit</v>
          </cell>
          <cell r="N4446" t="str">
            <v>Abd Rosit Rido</v>
          </cell>
          <cell r="O4446" t="str">
            <v>Dusun Jatiagung RT.001/RW.028, Kel. Gumukmas, Kec, Gumuk Mas</v>
          </cell>
          <cell r="P4446" t="str">
            <v>Jember</v>
          </cell>
          <cell r="Q4446" t="str">
            <v>Dusun Jatiagung, Kel. Gumukmas, Kec, Gumuk Mas</v>
          </cell>
          <cell r="R4446" t="str">
            <v>Jember</v>
          </cell>
          <cell r="S4446" t="str">
            <v>L Kota3</v>
          </cell>
          <cell r="T4446" t="str">
            <v>Wira</v>
          </cell>
          <cell r="U4446">
            <v>60</v>
          </cell>
        </row>
        <row r="4447">
          <cell r="E4447" t="str">
            <v>D25012942</v>
          </cell>
          <cell r="F4447"/>
          <cell r="G4447">
            <v>85000000</v>
          </cell>
          <cell r="H4447" t="str">
            <v>Zakia</v>
          </cell>
          <cell r="I4447" t="str">
            <v>Tiya</v>
          </cell>
          <cell r="J4447"/>
          <cell r="K4447" t="str">
            <v>KU</v>
          </cell>
          <cell r="L4447" t="str">
            <v>LANC01</v>
          </cell>
          <cell r="M4447" t="str">
            <v>Lancar Jaya/Junaedi</v>
          </cell>
          <cell r="N4447" t="str">
            <v>Junaidi</v>
          </cell>
          <cell r="O4447" t="str">
            <v>Dsn. Cantuk Kidul, RT.002/RW.003, Kel. Cantuk, Kec. Singojuruh</v>
          </cell>
          <cell r="P4447" t="str">
            <v>Banyuwangi</v>
          </cell>
          <cell r="Q4447" t="str">
            <v>Denpasar</v>
          </cell>
          <cell r="R4447" t="str">
            <v>Bali</v>
          </cell>
          <cell r="S4447" t="str">
            <v>S Bali3</v>
          </cell>
          <cell r="T4447" t="str">
            <v>Wira</v>
          </cell>
          <cell r="U4447">
            <v>30</v>
          </cell>
        </row>
        <row r="4448">
          <cell r="E4448" t="str">
            <v>D25014094</v>
          </cell>
          <cell r="F4448"/>
          <cell r="G4448">
            <v>85000000</v>
          </cell>
          <cell r="H4448" t="str">
            <v>Zakia</v>
          </cell>
          <cell r="I4448" t="str">
            <v>Tiya</v>
          </cell>
          <cell r="J4448"/>
          <cell r="K4448" t="str">
            <v>KU</v>
          </cell>
          <cell r="L4448" t="str">
            <v>LANC01</v>
          </cell>
          <cell r="M4448" t="str">
            <v>Lancar Jaya/Junaedi</v>
          </cell>
          <cell r="N4448" t="str">
            <v>Junaidi</v>
          </cell>
          <cell r="O4448" t="str">
            <v>Dsn. Cantuk Kidul, RT.002/RW.003, Kel. Cantuk, Kec. Singojuruh</v>
          </cell>
          <cell r="P4448" t="str">
            <v>Banyuwangi</v>
          </cell>
          <cell r="Q4448" t="str">
            <v>Denpasar</v>
          </cell>
          <cell r="R4448" t="str">
            <v>Bali</v>
          </cell>
          <cell r="S4448" t="str">
            <v>S Bali3</v>
          </cell>
          <cell r="T4448" t="str">
            <v>Wira</v>
          </cell>
          <cell r="U4448">
            <v>30</v>
          </cell>
        </row>
        <row r="4449">
          <cell r="E4449" t="str">
            <v>T25001250</v>
          </cell>
          <cell r="F4449"/>
          <cell r="G4449">
            <v>20000000</v>
          </cell>
          <cell r="H4449" t="str">
            <v>Faris</v>
          </cell>
          <cell r="I4449" t="str">
            <v>Syahra</v>
          </cell>
          <cell r="J4449"/>
          <cell r="K4449" t="str">
            <v>KU</v>
          </cell>
          <cell r="L4449" t="str">
            <v>LANG03</v>
          </cell>
          <cell r="M4449" t="str">
            <v>Langgeng Jaya/Lilis</v>
          </cell>
          <cell r="N4449" t="str">
            <v>Lilis Suryani</v>
          </cell>
          <cell r="O4449" t="str">
            <v>Dsn. Gumukrejo, RT.005/RW.006 Kel. Purwoharjo, Kec. Purwoharjo</v>
          </cell>
          <cell r="P4449" t="str">
            <v>Banyuwangi</v>
          </cell>
          <cell r="Q4449" t="str">
            <v>Dsn. Gumukrejo, RT.005/RW.006 Kel. Purwoharjo, Kec. Purwoharjo</v>
          </cell>
          <cell r="R4449" t="str">
            <v>Banyuwangi</v>
          </cell>
          <cell r="S4449" t="str">
            <v>H Bwi3</v>
          </cell>
          <cell r="T4449" t="str">
            <v>Hafid</v>
          </cell>
          <cell r="U4449">
            <v>60</v>
          </cell>
        </row>
        <row r="4450">
          <cell r="E4450" t="str">
            <v>T25001431</v>
          </cell>
          <cell r="F4450"/>
          <cell r="G4450">
            <v>20000000</v>
          </cell>
          <cell r="H4450" t="str">
            <v>Faris</v>
          </cell>
          <cell r="I4450" t="str">
            <v>Syahra</v>
          </cell>
          <cell r="J4450"/>
          <cell r="K4450" t="str">
            <v>KU</v>
          </cell>
          <cell r="L4450" t="str">
            <v>LANG03</v>
          </cell>
          <cell r="M4450" t="str">
            <v>Langgeng Jaya/Lilis</v>
          </cell>
          <cell r="N4450" t="str">
            <v>Lilis Suryani</v>
          </cell>
          <cell r="O4450" t="str">
            <v>Dsn. Gumukrejo, RT.005/RW.006 Kel. Purwoharjo, Kec. Purwoharjo</v>
          </cell>
          <cell r="P4450" t="str">
            <v>Banyuwangi</v>
          </cell>
          <cell r="Q4450" t="str">
            <v>Dsn. Gumukrejo, RT.005/RW.006 Kel. Purwoharjo, Kec. Purwoharjo</v>
          </cell>
          <cell r="R4450" t="str">
            <v>Banyuwangi</v>
          </cell>
          <cell r="S4450" t="str">
            <v>H Bwi3</v>
          </cell>
          <cell r="T4450" t="str">
            <v>Hafid</v>
          </cell>
          <cell r="U4450">
            <v>60</v>
          </cell>
        </row>
        <row r="4451">
          <cell r="E4451" t="str">
            <v>B25013574</v>
          </cell>
          <cell r="F4451"/>
          <cell r="G4451">
            <v>20000000</v>
          </cell>
          <cell r="H4451" t="str">
            <v>Faris</v>
          </cell>
          <cell r="I4451" t="str">
            <v>Syahra</v>
          </cell>
          <cell r="J4451"/>
          <cell r="K4451" t="str">
            <v>KU</v>
          </cell>
          <cell r="L4451" t="str">
            <v>LANG03</v>
          </cell>
          <cell r="M4451" t="str">
            <v>Langgeng Jaya/Lilis</v>
          </cell>
          <cell r="N4451" t="str">
            <v>Lilis Suryani</v>
          </cell>
          <cell r="O4451" t="str">
            <v>Dsn. Gumukrejo, RT.005/RW.006 Kel. Purwoharjo, Kec. Purwoharjo</v>
          </cell>
          <cell r="P4451" t="str">
            <v>Banyuwangi</v>
          </cell>
          <cell r="Q4451" t="str">
            <v>Dsn. Gumukrejo, RT.005/RW.006 Kel. Purwoharjo, Kec. Purwoharjo</v>
          </cell>
          <cell r="R4451" t="str">
            <v>Banyuwangi</v>
          </cell>
          <cell r="S4451" t="str">
            <v>H Bwi3</v>
          </cell>
          <cell r="T4451" t="str">
            <v>Hafid</v>
          </cell>
          <cell r="U4451">
            <v>30</v>
          </cell>
        </row>
        <row r="4452">
          <cell r="E4452" t="str">
            <v>T25001606</v>
          </cell>
          <cell r="F4452"/>
          <cell r="G4452">
            <v>20000000</v>
          </cell>
          <cell r="H4452" t="str">
            <v>Faris</v>
          </cell>
          <cell r="I4452" t="str">
            <v>Syahra</v>
          </cell>
          <cell r="J4452"/>
          <cell r="K4452" t="str">
            <v>KU</v>
          </cell>
          <cell r="L4452" t="str">
            <v>LANG03</v>
          </cell>
          <cell r="M4452" t="str">
            <v>Langgeng Jaya/Lilis</v>
          </cell>
          <cell r="N4452" t="str">
            <v>Lilis Suryani</v>
          </cell>
          <cell r="O4452" t="str">
            <v>Dsn. Gumukrejo, RT.005/RW.006 Kel. Purwoharjo, Kec. Purwoharjo</v>
          </cell>
          <cell r="P4452" t="str">
            <v>Banyuwangi</v>
          </cell>
          <cell r="Q4452" t="str">
            <v>Dsn. Gumukrejo, RT.005/RW.006 Kel. Purwoharjo, Kec. Purwoharjo</v>
          </cell>
          <cell r="R4452" t="str">
            <v>Banyuwangi</v>
          </cell>
          <cell r="S4452" t="str">
            <v>H Bwi3</v>
          </cell>
          <cell r="T4452" t="str">
            <v>Hafid</v>
          </cell>
          <cell r="U4452">
            <v>60</v>
          </cell>
        </row>
        <row r="4453">
          <cell r="E4453" t="str">
            <v>B25012505</v>
          </cell>
          <cell r="F4453"/>
          <cell r="G4453">
            <v>2000000000</v>
          </cell>
          <cell r="H4453" t="str">
            <v>Faris</v>
          </cell>
          <cell r="I4453" t="str">
            <v>Syahra</v>
          </cell>
          <cell r="J4453"/>
          <cell r="K4453" t="str">
            <v>KU</v>
          </cell>
          <cell r="L4453" t="str">
            <v>LANG01</v>
          </cell>
          <cell r="M4453" t="str">
            <v>Langgeng Makmur</v>
          </cell>
          <cell r="N4453" t="str">
            <v>Budi Prayitno</v>
          </cell>
          <cell r="O4453" t="str">
            <v>Dsn. Silirkrombang, RT.002/RW.002, Seneporejo, Siliragung</v>
          </cell>
          <cell r="P4453" t="str">
            <v>Banyuwangi</v>
          </cell>
          <cell r="Q4453" t="str">
            <v>Trembelang</v>
          </cell>
          <cell r="R4453" t="str">
            <v>Banyuwangi</v>
          </cell>
          <cell r="S4453" t="str">
            <v>H Bwi2</v>
          </cell>
          <cell r="T4453" t="str">
            <v>Hafid</v>
          </cell>
          <cell r="U4453">
            <v>30</v>
          </cell>
        </row>
        <row r="4454">
          <cell r="E4454" t="str">
            <v>D25014754</v>
          </cell>
          <cell r="F4454"/>
          <cell r="G4454">
            <v>2000000000</v>
          </cell>
          <cell r="H4454" t="str">
            <v>Faris</v>
          </cell>
          <cell r="I4454" t="str">
            <v>Syahra</v>
          </cell>
          <cell r="J4454"/>
          <cell r="K4454" t="str">
            <v>KU</v>
          </cell>
          <cell r="L4454" t="str">
            <v>LANG01</v>
          </cell>
          <cell r="M4454" t="str">
            <v>Langgeng Makmur</v>
          </cell>
          <cell r="N4454" t="str">
            <v>Budi Prayitno</v>
          </cell>
          <cell r="O4454" t="str">
            <v>Dsn. Silirkrombang, RT.002/RW.002, Seneporejo, Siliragung</v>
          </cell>
          <cell r="P4454" t="str">
            <v>Banyuwangi</v>
          </cell>
          <cell r="Q4454" t="str">
            <v>Trembelang</v>
          </cell>
          <cell r="R4454" t="str">
            <v>Banyuwangi</v>
          </cell>
          <cell r="S4454" t="str">
            <v>H Bwi2</v>
          </cell>
          <cell r="T4454" t="str">
            <v>Hafid</v>
          </cell>
          <cell r="U4454">
            <v>30</v>
          </cell>
        </row>
        <row r="4455">
          <cell r="E4455" t="str">
            <v>Z25002494</v>
          </cell>
          <cell r="F4455"/>
          <cell r="G4455">
            <v>2000000000</v>
          </cell>
          <cell r="H4455" t="str">
            <v>Faris</v>
          </cell>
          <cell r="I4455" t="str">
            <v>Syahra</v>
          </cell>
          <cell r="J4455"/>
          <cell r="K4455" t="str">
            <v>KU</v>
          </cell>
          <cell r="L4455" t="str">
            <v>LANG01</v>
          </cell>
          <cell r="M4455" t="str">
            <v>Langgeng Makmur</v>
          </cell>
          <cell r="N4455" t="str">
            <v>Budi Prayitno</v>
          </cell>
          <cell r="O4455" t="str">
            <v>Dsn. Silirkrombang, RT.002/RW.002, Seneporejo, Siliragung</v>
          </cell>
          <cell r="P4455" t="str">
            <v>Banyuwangi</v>
          </cell>
          <cell r="Q4455" t="str">
            <v>Trembelang</v>
          </cell>
          <cell r="R4455" t="str">
            <v>Banyuwangi</v>
          </cell>
          <cell r="S4455" t="str">
            <v>H Bwi2</v>
          </cell>
          <cell r="T4455" t="str">
            <v>Hafid</v>
          </cell>
          <cell r="U4455">
            <v>0</v>
          </cell>
        </row>
        <row r="4456">
          <cell r="E4456" t="str">
            <v>B25012570</v>
          </cell>
          <cell r="F4456"/>
          <cell r="G4456">
            <v>2000000000</v>
          </cell>
          <cell r="H4456" t="str">
            <v>Faris</v>
          </cell>
          <cell r="I4456" t="str">
            <v>Syahra</v>
          </cell>
          <cell r="J4456"/>
          <cell r="K4456" t="str">
            <v>KU</v>
          </cell>
          <cell r="L4456" t="str">
            <v>LANG01</v>
          </cell>
          <cell r="M4456" t="str">
            <v>Langgeng Makmur</v>
          </cell>
          <cell r="N4456" t="str">
            <v>Budi Prayitno</v>
          </cell>
          <cell r="O4456" t="str">
            <v>Dsn. Silirkrombang, RT.002/RW.002, Seneporejo, Siliragung</v>
          </cell>
          <cell r="P4456" t="str">
            <v>Banyuwangi</v>
          </cell>
          <cell r="Q4456" t="str">
            <v>Trembelang</v>
          </cell>
          <cell r="R4456" t="str">
            <v>Banyuwangi</v>
          </cell>
          <cell r="S4456" t="str">
            <v>H Bwi2</v>
          </cell>
          <cell r="T4456" t="str">
            <v>Hafid</v>
          </cell>
          <cell r="U4456">
            <v>30</v>
          </cell>
        </row>
        <row r="4457">
          <cell r="E4457" t="str">
            <v>D25014829</v>
          </cell>
          <cell r="F4457"/>
          <cell r="G4457">
            <v>2000000000</v>
          </cell>
          <cell r="H4457" t="str">
            <v>Faris</v>
          </cell>
          <cell r="I4457" t="str">
            <v>Syahra</v>
          </cell>
          <cell r="J4457"/>
          <cell r="K4457" t="str">
            <v>KU</v>
          </cell>
          <cell r="L4457" t="str">
            <v>LANG01</v>
          </cell>
          <cell r="M4457" t="str">
            <v>Langgeng Makmur</v>
          </cell>
          <cell r="N4457" t="str">
            <v>Budi Prayitno</v>
          </cell>
          <cell r="O4457" t="str">
            <v>Dsn. Silirkrombang, RT.002/RW.002, Seneporejo, Siliragung</v>
          </cell>
          <cell r="P4457" t="str">
            <v>Banyuwangi</v>
          </cell>
          <cell r="Q4457" t="str">
            <v>Trembelang</v>
          </cell>
          <cell r="R4457" t="str">
            <v>Banyuwangi</v>
          </cell>
          <cell r="S4457" t="str">
            <v>H Bwi2</v>
          </cell>
          <cell r="T4457" t="str">
            <v>Hafid</v>
          </cell>
          <cell r="U4457">
            <v>30</v>
          </cell>
        </row>
        <row r="4458">
          <cell r="E4458" t="str">
            <v>Z25002516</v>
          </cell>
          <cell r="F4458"/>
          <cell r="G4458">
            <v>2000000000</v>
          </cell>
          <cell r="H4458" t="str">
            <v>Faris</v>
          </cell>
          <cell r="I4458" t="str">
            <v>Syahra</v>
          </cell>
          <cell r="J4458"/>
          <cell r="K4458" t="str">
            <v>KU</v>
          </cell>
          <cell r="L4458" t="str">
            <v>LANG01</v>
          </cell>
          <cell r="M4458" t="str">
            <v>Langgeng Makmur</v>
          </cell>
          <cell r="N4458" t="str">
            <v>Budi Prayitno</v>
          </cell>
          <cell r="O4458" t="str">
            <v>Dsn. Silirkrombang, RT.002/RW.002, Seneporejo, Siliragung</v>
          </cell>
          <cell r="P4458" t="str">
            <v>Banyuwangi</v>
          </cell>
          <cell r="Q4458" t="str">
            <v>Trembelang</v>
          </cell>
          <cell r="R4458" t="str">
            <v>Banyuwangi</v>
          </cell>
          <cell r="S4458" t="str">
            <v>H Bwi2</v>
          </cell>
          <cell r="T4458" t="str">
            <v>Hafid</v>
          </cell>
          <cell r="U4458">
            <v>30</v>
          </cell>
        </row>
        <row r="4459">
          <cell r="E4459" t="str">
            <v>B25012666</v>
          </cell>
          <cell r="F4459"/>
          <cell r="G4459">
            <v>2000000000</v>
          </cell>
          <cell r="H4459" t="str">
            <v>Faris</v>
          </cell>
          <cell r="I4459" t="str">
            <v>Syahra</v>
          </cell>
          <cell r="J4459"/>
          <cell r="K4459" t="str">
            <v>KU</v>
          </cell>
          <cell r="L4459" t="str">
            <v>LANG01</v>
          </cell>
          <cell r="M4459" t="str">
            <v>Langgeng Makmur</v>
          </cell>
          <cell r="N4459" t="str">
            <v>Budi Prayitno</v>
          </cell>
          <cell r="O4459" t="str">
            <v>Dsn. Silirkrombang, RT.002/RW.002, Seneporejo, Siliragung</v>
          </cell>
          <cell r="P4459" t="str">
            <v>Banyuwangi</v>
          </cell>
          <cell r="Q4459" t="str">
            <v>Trembelang</v>
          </cell>
          <cell r="R4459" t="str">
            <v>Banyuwangi</v>
          </cell>
          <cell r="S4459" t="str">
            <v>H Bwi2</v>
          </cell>
          <cell r="T4459" t="str">
            <v>Hafid</v>
          </cell>
          <cell r="U4459">
            <v>30</v>
          </cell>
        </row>
        <row r="4460">
          <cell r="E4460" t="str">
            <v>Z25002538</v>
          </cell>
          <cell r="F4460"/>
          <cell r="G4460">
            <v>2000000000</v>
          </cell>
          <cell r="H4460" t="str">
            <v>Faris</v>
          </cell>
          <cell r="I4460" t="str">
            <v>Syahra</v>
          </cell>
          <cell r="J4460"/>
          <cell r="K4460" t="str">
            <v>KU</v>
          </cell>
          <cell r="L4460" t="str">
            <v>LANG01</v>
          </cell>
          <cell r="M4460" t="str">
            <v>Langgeng Makmur</v>
          </cell>
          <cell r="N4460" t="str">
            <v>Budi Prayitno</v>
          </cell>
          <cell r="O4460" t="str">
            <v>Dsn. Silirkrombang, RT.002/RW.002, Seneporejo, Siliragung</v>
          </cell>
          <cell r="P4460" t="str">
            <v>Banyuwangi</v>
          </cell>
          <cell r="Q4460" t="str">
            <v>Trembelang</v>
          </cell>
          <cell r="R4460" t="str">
            <v>Banyuwangi</v>
          </cell>
          <cell r="S4460" t="str">
            <v>H Bwi2</v>
          </cell>
          <cell r="T4460" t="str">
            <v>Hafid</v>
          </cell>
          <cell r="U4460">
            <v>30</v>
          </cell>
        </row>
        <row r="4461">
          <cell r="E4461" t="str">
            <v>B25012716</v>
          </cell>
          <cell r="F4461"/>
          <cell r="G4461">
            <v>2000000000</v>
          </cell>
          <cell r="H4461" t="str">
            <v>Faris</v>
          </cell>
          <cell r="I4461" t="str">
            <v>Syahra</v>
          </cell>
          <cell r="J4461"/>
          <cell r="K4461" t="str">
            <v>KU</v>
          </cell>
          <cell r="L4461" t="str">
            <v>LANG01</v>
          </cell>
          <cell r="M4461" t="str">
            <v>Langgeng Makmur</v>
          </cell>
          <cell r="N4461" t="str">
            <v>Budi Prayitno</v>
          </cell>
          <cell r="O4461" t="str">
            <v>Dsn. Silirkrombang, RT.002/RW.002, Seneporejo, Siliragung</v>
          </cell>
          <cell r="P4461" t="str">
            <v>Banyuwangi</v>
          </cell>
          <cell r="Q4461" t="str">
            <v>Trembelang</v>
          </cell>
          <cell r="R4461" t="str">
            <v>Banyuwangi</v>
          </cell>
          <cell r="S4461" t="str">
            <v>H Bwi2</v>
          </cell>
          <cell r="T4461" t="str">
            <v>Hafid</v>
          </cell>
          <cell r="U4461">
            <v>30</v>
          </cell>
        </row>
        <row r="4462">
          <cell r="E4462" t="str">
            <v>Z250034</v>
          </cell>
          <cell r="F4462"/>
          <cell r="G4462">
            <v>2000000000</v>
          </cell>
          <cell r="H4462" t="str">
            <v>Faris</v>
          </cell>
          <cell r="I4462" t="str">
            <v>Syahra</v>
          </cell>
          <cell r="J4462"/>
          <cell r="K4462" t="str">
            <v>KU</v>
          </cell>
          <cell r="L4462" t="str">
            <v>LANG01</v>
          </cell>
          <cell r="M4462" t="str">
            <v>Langgeng Makmur</v>
          </cell>
          <cell r="N4462" t="str">
            <v>Budi Prayitno</v>
          </cell>
          <cell r="O4462" t="str">
            <v>Dsn. Silirkrombang, RT.002/RW.002, Seneporejo, Siliragung</v>
          </cell>
          <cell r="P4462" t="str">
            <v>Banyuwangi</v>
          </cell>
          <cell r="Q4462" t="str">
            <v>Trembelang</v>
          </cell>
          <cell r="R4462" t="str">
            <v>Banyuwangi</v>
          </cell>
          <cell r="S4462" t="str">
            <v>H Bwi2</v>
          </cell>
          <cell r="T4462" t="str">
            <v>Hafid</v>
          </cell>
          <cell r="U4462">
            <v>30</v>
          </cell>
        </row>
        <row r="4463">
          <cell r="E4463" t="str">
            <v>Z25002566</v>
          </cell>
          <cell r="F4463"/>
          <cell r="G4463">
            <v>2000000000</v>
          </cell>
          <cell r="H4463" t="str">
            <v>Faris</v>
          </cell>
          <cell r="I4463" t="str">
            <v>Syahra</v>
          </cell>
          <cell r="J4463"/>
          <cell r="K4463" t="str">
            <v>KU</v>
          </cell>
          <cell r="L4463" t="str">
            <v>LANG01</v>
          </cell>
          <cell r="M4463" t="str">
            <v>Langgeng Makmur</v>
          </cell>
          <cell r="N4463" t="str">
            <v>Budi Prayitno</v>
          </cell>
          <cell r="O4463" t="str">
            <v>Dsn. Silirkrombang, RT.002/RW.002, Seneporejo, Siliragung</v>
          </cell>
          <cell r="P4463" t="str">
            <v>Banyuwangi</v>
          </cell>
          <cell r="Q4463" t="str">
            <v>Trembelang</v>
          </cell>
          <cell r="R4463" t="str">
            <v>Banyuwangi</v>
          </cell>
          <cell r="S4463" t="str">
            <v>H Bwi2</v>
          </cell>
          <cell r="T4463" t="str">
            <v>Hafid</v>
          </cell>
          <cell r="U4463">
            <v>30</v>
          </cell>
        </row>
        <row r="4464">
          <cell r="E4464" t="str">
            <v>B25012836</v>
          </cell>
          <cell r="F4464"/>
          <cell r="G4464">
            <v>2000000000</v>
          </cell>
          <cell r="H4464" t="str">
            <v>Faris</v>
          </cell>
          <cell r="I4464" t="str">
            <v>Syahra</v>
          </cell>
          <cell r="J4464"/>
          <cell r="K4464" t="str">
            <v>KU</v>
          </cell>
          <cell r="L4464" t="str">
            <v>LANG01</v>
          </cell>
          <cell r="M4464" t="str">
            <v>Langgeng Makmur</v>
          </cell>
          <cell r="N4464" t="str">
            <v>Budi Prayitno</v>
          </cell>
          <cell r="O4464" t="str">
            <v>Dsn. Silirkrombang, RT.002/RW.002, Seneporejo, Siliragung</v>
          </cell>
          <cell r="P4464" t="str">
            <v>Banyuwangi</v>
          </cell>
          <cell r="Q4464" t="str">
            <v>Trembelang</v>
          </cell>
          <cell r="R4464" t="str">
            <v>Banyuwangi</v>
          </cell>
          <cell r="S4464" t="str">
            <v>H Bwi2</v>
          </cell>
          <cell r="T4464" t="str">
            <v>Hafid</v>
          </cell>
          <cell r="U4464">
            <v>30</v>
          </cell>
        </row>
        <row r="4465">
          <cell r="E4465" t="str">
            <v>B25012892</v>
          </cell>
          <cell r="F4465"/>
          <cell r="G4465">
            <v>2000000000</v>
          </cell>
          <cell r="H4465" t="str">
            <v>Faris</v>
          </cell>
          <cell r="I4465" t="str">
            <v>Syahra</v>
          </cell>
          <cell r="J4465"/>
          <cell r="K4465" t="str">
            <v>KU</v>
          </cell>
          <cell r="L4465" t="str">
            <v>LANG01</v>
          </cell>
          <cell r="M4465" t="str">
            <v>Langgeng Makmur</v>
          </cell>
          <cell r="N4465" t="str">
            <v>Budi Prayitno</v>
          </cell>
          <cell r="O4465" t="str">
            <v>Dsn. Silirkrombang, RT.002/RW.002, Seneporejo, Siliragung</v>
          </cell>
          <cell r="P4465" t="str">
            <v>Banyuwangi</v>
          </cell>
          <cell r="Q4465" t="str">
            <v>Trembelang</v>
          </cell>
          <cell r="R4465" t="str">
            <v>Banyuwangi</v>
          </cell>
          <cell r="S4465" t="str">
            <v>H Bwi2</v>
          </cell>
          <cell r="T4465" t="str">
            <v>Hafid</v>
          </cell>
          <cell r="U4465">
            <v>30</v>
          </cell>
        </row>
        <row r="4466">
          <cell r="E4466" t="str">
            <v>B25012900</v>
          </cell>
          <cell r="F4466"/>
          <cell r="G4466">
            <v>2000000000</v>
          </cell>
          <cell r="H4466" t="str">
            <v>Faris</v>
          </cell>
          <cell r="I4466" t="str">
            <v>Syahra</v>
          </cell>
          <cell r="J4466"/>
          <cell r="K4466" t="str">
            <v>KU</v>
          </cell>
          <cell r="L4466" t="str">
            <v>LANG01</v>
          </cell>
          <cell r="M4466" t="str">
            <v>Langgeng Makmur</v>
          </cell>
          <cell r="N4466" t="str">
            <v>Budi Prayitno</v>
          </cell>
          <cell r="O4466" t="str">
            <v>Dsn. Silirkrombang, RT.002/RW.002, Seneporejo, Siliragung</v>
          </cell>
          <cell r="P4466" t="str">
            <v>Banyuwangi</v>
          </cell>
          <cell r="Q4466" t="str">
            <v>Trembelang</v>
          </cell>
          <cell r="R4466" t="str">
            <v>Banyuwangi</v>
          </cell>
          <cell r="S4466" t="str">
            <v>H Bwi2</v>
          </cell>
          <cell r="T4466" t="str">
            <v>Hafid</v>
          </cell>
          <cell r="U4466">
            <v>30</v>
          </cell>
        </row>
        <row r="4467">
          <cell r="E4467" t="str">
            <v>D25015182</v>
          </cell>
          <cell r="F4467"/>
          <cell r="G4467">
            <v>2000000000</v>
          </cell>
          <cell r="H4467" t="str">
            <v>Faris</v>
          </cell>
          <cell r="I4467" t="str">
            <v>Syahra</v>
          </cell>
          <cell r="J4467"/>
          <cell r="K4467" t="str">
            <v>KU</v>
          </cell>
          <cell r="L4467" t="str">
            <v>LANG01</v>
          </cell>
          <cell r="M4467" t="str">
            <v>Langgeng Makmur</v>
          </cell>
          <cell r="N4467" t="str">
            <v>Budi Prayitno</v>
          </cell>
          <cell r="O4467" t="str">
            <v>Dsn. Silirkrombang, RT.002/RW.002, Seneporejo, Siliragung</v>
          </cell>
          <cell r="P4467" t="str">
            <v>Banyuwangi</v>
          </cell>
          <cell r="Q4467" t="str">
            <v>Trembelang</v>
          </cell>
          <cell r="R4467" t="str">
            <v>Banyuwangi</v>
          </cell>
          <cell r="S4467" t="str">
            <v>H Bwi2</v>
          </cell>
          <cell r="T4467" t="str">
            <v>Hafid</v>
          </cell>
          <cell r="U4467">
            <v>30</v>
          </cell>
        </row>
        <row r="4468">
          <cell r="E4468" t="str">
            <v>Z25002586</v>
          </cell>
          <cell r="F4468"/>
          <cell r="G4468">
            <v>2000000000</v>
          </cell>
          <cell r="H4468" t="str">
            <v>Faris</v>
          </cell>
          <cell r="I4468" t="str">
            <v>Syahra</v>
          </cell>
          <cell r="J4468"/>
          <cell r="K4468" t="str">
            <v>KU</v>
          </cell>
          <cell r="L4468" t="str">
            <v>LANG01</v>
          </cell>
          <cell r="M4468" t="str">
            <v>Langgeng Makmur</v>
          </cell>
          <cell r="N4468" t="str">
            <v>Budi Prayitno</v>
          </cell>
          <cell r="O4468" t="str">
            <v>Dsn. Silirkrombang, RT.002/RW.002, Seneporejo, Siliragung</v>
          </cell>
          <cell r="P4468" t="str">
            <v>Banyuwangi</v>
          </cell>
          <cell r="Q4468" t="str">
            <v>Trembelang</v>
          </cell>
          <cell r="R4468" t="str">
            <v>Banyuwangi</v>
          </cell>
          <cell r="S4468" t="str">
            <v>H Bwi2</v>
          </cell>
          <cell r="T4468" t="str">
            <v>Hafid</v>
          </cell>
          <cell r="U4468">
            <v>30</v>
          </cell>
        </row>
        <row r="4469">
          <cell r="E4469" t="str">
            <v>Z25002590</v>
          </cell>
          <cell r="F4469"/>
          <cell r="G4469">
            <v>2000000000</v>
          </cell>
          <cell r="H4469" t="str">
            <v>Faris</v>
          </cell>
          <cell r="I4469" t="str">
            <v>Syahra</v>
          </cell>
          <cell r="J4469"/>
          <cell r="K4469" t="str">
            <v>KU</v>
          </cell>
          <cell r="L4469" t="str">
            <v>LANG01</v>
          </cell>
          <cell r="M4469" t="str">
            <v>Langgeng Makmur</v>
          </cell>
          <cell r="N4469" t="str">
            <v>Budi Prayitno</v>
          </cell>
          <cell r="O4469" t="str">
            <v>Dsn. Silirkrombang, RT.002/RW.002, Seneporejo, Siliragung</v>
          </cell>
          <cell r="P4469" t="str">
            <v>Banyuwangi</v>
          </cell>
          <cell r="Q4469" t="str">
            <v>Trembelang</v>
          </cell>
          <cell r="R4469" t="str">
            <v>Banyuwangi</v>
          </cell>
          <cell r="S4469" t="str">
            <v>H Bwi2</v>
          </cell>
          <cell r="T4469" t="str">
            <v>Hafid</v>
          </cell>
          <cell r="U4469">
            <v>0</v>
          </cell>
        </row>
        <row r="4470">
          <cell r="E4470" t="str">
            <v>B25012955</v>
          </cell>
          <cell r="F4470"/>
          <cell r="G4470">
            <v>2000000000</v>
          </cell>
          <cell r="H4470" t="str">
            <v>Faris</v>
          </cell>
          <cell r="I4470" t="str">
            <v>Syahra</v>
          </cell>
          <cell r="J4470"/>
          <cell r="K4470" t="str">
            <v>KU</v>
          </cell>
          <cell r="L4470" t="str">
            <v>LANG01</v>
          </cell>
          <cell r="M4470" t="str">
            <v>Langgeng Makmur</v>
          </cell>
          <cell r="N4470" t="str">
            <v>Budi Prayitno</v>
          </cell>
          <cell r="O4470" t="str">
            <v>Dsn. Silirkrombang, RT.002/RW.002, Seneporejo, Siliragung</v>
          </cell>
          <cell r="P4470" t="str">
            <v>Banyuwangi</v>
          </cell>
          <cell r="Q4470" t="str">
            <v>Trembelang</v>
          </cell>
          <cell r="R4470" t="str">
            <v>Banyuwangi</v>
          </cell>
          <cell r="S4470" t="str">
            <v>H Bwi2</v>
          </cell>
          <cell r="T4470" t="str">
            <v>Hafid</v>
          </cell>
          <cell r="U4470">
            <v>30</v>
          </cell>
        </row>
        <row r="4471">
          <cell r="E4471" t="str">
            <v>D25015221</v>
          </cell>
          <cell r="F4471"/>
          <cell r="G4471">
            <v>2000000000</v>
          </cell>
          <cell r="H4471" t="str">
            <v>Faris</v>
          </cell>
          <cell r="I4471" t="str">
            <v>Syahra</v>
          </cell>
          <cell r="J4471"/>
          <cell r="K4471" t="str">
            <v>KU</v>
          </cell>
          <cell r="L4471" t="str">
            <v>LANG01</v>
          </cell>
          <cell r="M4471" t="str">
            <v>Langgeng Makmur</v>
          </cell>
          <cell r="N4471" t="str">
            <v>Budi Prayitno</v>
          </cell>
          <cell r="O4471" t="str">
            <v>Dsn. Silirkrombang, RT.002/RW.002, Seneporejo, Siliragung</v>
          </cell>
          <cell r="P4471" t="str">
            <v>Banyuwangi</v>
          </cell>
          <cell r="Q4471" t="str">
            <v>Trembelang</v>
          </cell>
          <cell r="R4471" t="str">
            <v>Banyuwangi</v>
          </cell>
          <cell r="S4471" t="str">
            <v>H Bwi2</v>
          </cell>
          <cell r="T4471" t="str">
            <v>Hafid</v>
          </cell>
          <cell r="U4471">
            <v>30</v>
          </cell>
        </row>
        <row r="4472">
          <cell r="E4472" t="str">
            <v>Z25002595</v>
          </cell>
          <cell r="F4472"/>
          <cell r="G4472">
            <v>2000000000</v>
          </cell>
          <cell r="H4472" t="str">
            <v>Faris</v>
          </cell>
          <cell r="I4472" t="str">
            <v>Syahra</v>
          </cell>
          <cell r="J4472"/>
          <cell r="K4472" t="str">
            <v>KU</v>
          </cell>
          <cell r="L4472" t="str">
            <v>LANG01</v>
          </cell>
          <cell r="M4472" t="str">
            <v>Langgeng Makmur</v>
          </cell>
          <cell r="N4472" t="str">
            <v>Budi Prayitno</v>
          </cell>
          <cell r="O4472" t="str">
            <v>Dsn. Silirkrombang, RT.002/RW.002, Seneporejo, Siliragung</v>
          </cell>
          <cell r="P4472" t="str">
            <v>Banyuwangi</v>
          </cell>
          <cell r="Q4472" t="str">
            <v>Trembelang</v>
          </cell>
          <cell r="R4472" t="str">
            <v>Banyuwangi</v>
          </cell>
          <cell r="S4472" t="str">
            <v>H Bwi2</v>
          </cell>
          <cell r="T4472" t="str">
            <v>Hafid</v>
          </cell>
          <cell r="U4472">
            <v>30</v>
          </cell>
        </row>
        <row r="4473">
          <cell r="E4473" t="str">
            <v>D25015263</v>
          </cell>
          <cell r="F4473"/>
          <cell r="G4473">
            <v>2000000000</v>
          </cell>
          <cell r="H4473" t="str">
            <v>Faris</v>
          </cell>
          <cell r="I4473" t="str">
            <v>Syahra</v>
          </cell>
          <cell r="J4473"/>
          <cell r="K4473" t="str">
            <v>KU</v>
          </cell>
          <cell r="L4473" t="str">
            <v>LANG01</v>
          </cell>
          <cell r="M4473" t="str">
            <v>Langgeng Makmur</v>
          </cell>
          <cell r="N4473" t="str">
            <v>Budi Prayitno</v>
          </cell>
          <cell r="O4473" t="str">
            <v>Dsn. Silirkrombang, RT.002/RW.002, Seneporejo, Siliragung</v>
          </cell>
          <cell r="P4473" t="str">
            <v>Banyuwangi</v>
          </cell>
          <cell r="Q4473" t="str">
            <v>Trembelang</v>
          </cell>
          <cell r="R4473" t="str">
            <v>Banyuwangi</v>
          </cell>
          <cell r="S4473" t="str">
            <v>H Bwi2</v>
          </cell>
          <cell r="T4473" t="str">
            <v>Hafid</v>
          </cell>
          <cell r="U4473">
            <v>0</v>
          </cell>
        </row>
        <row r="4474">
          <cell r="E4474" t="str">
            <v>D25015311</v>
          </cell>
          <cell r="F4474"/>
          <cell r="G4474">
            <v>2000000000</v>
          </cell>
          <cell r="H4474" t="str">
            <v>Faris</v>
          </cell>
          <cell r="I4474" t="str">
            <v>Syahra</v>
          </cell>
          <cell r="J4474"/>
          <cell r="K4474" t="str">
            <v>KU</v>
          </cell>
          <cell r="L4474" t="str">
            <v>LANG01</v>
          </cell>
          <cell r="M4474" t="str">
            <v>Langgeng Makmur</v>
          </cell>
          <cell r="N4474" t="str">
            <v>Budi Prayitno</v>
          </cell>
          <cell r="O4474" t="str">
            <v>Dsn. Silirkrombang, RT.002/RW.002, Seneporejo, Siliragung</v>
          </cell>
          <cell r="P4474" t="str">
            <v>Banyuwangi</v>
          </cell>
          <cell r="Q4474" t="str">
            <v>Trembelang</v>
          </cell>
          <cell r="R4474" t="str">
            <v>Banyuwangi</v>
          </cell>
          <cell r="S4474" t="str">
            <v>H Bwi2</v>
          </cell>
          <cell r="T4474" t="str">
            <v>Hafid</v>
          </cell>
          <cell r="U4474">
            <v>30</v>
          </cell>
        </row>
        <row r="4475">
          <cell r="E4475" t="str">
            <v>Z25002618</v>
          </cell>
          <cell r="F4475"/>
          <cell r="G4475">
            <v>2000000000</v>
          </cell>
          <cell r="H4475" t="str">
            <v>Faris</v>
          </cell>
          <cell r="I4475" t="str">
            <v>Syahra</v>
          </cell>
          <cell r="J4475"/>
          <cell r="K4475" t="str">
            <v>KU</v>
          </cell>
          <cell r="L4475" t="str">
            <v>LANG01</v>
          </cell>
          <cell r="M4475" t="str">
            <v>Langgeng Makmur</v>
          </cell>
          <cell r="N4475" t="str">
            <v>Budi Prayitno</v>
          </cell>
          <cell r="O4475" t="str">
            <v>Dsn. Silirkrombang, RT.002/RW.002, Seneporejo, Siliragung</v>
          </cell>
          <cell r="P4475" t="str">
            <v>Banyuwangi</v>
          </cell>
          <cell r="Q4475" t="str">
            <v>Trembelang</v>
          </cell>
          <cell r="R4475" t="str">
            <v>Banyuwangi</v>
          </cell>
          <cell r="S4475" t="str">
            <v>H Bwi2</v>
          </cell>
          <cell r="T4475" t="str">
            <v>Hafid</v>
          </cell>
          <cell r="U4475">
            <v>30</v>
          </cell>
        </row>
        <row r="4476">
          <cell r="E4476" t="str">
            <v>Z25002633</v>
          </cell>
          <cell r="F4476"/>
          <cell r="G4476">
            <v>2000000000</v>
          </cell>
          <cell r="H4476" t="str">
            <v>Faris</v>
          </cell>
          <cell r="I4476" t="str">
            <v>Syahra</v>
          </cell>
          <cell r="J4476"/>
          <cell r="K4476" t="str">
            <v>KU</v>
          </cell>
          <cell r="L4476" t="str">
            <v>LANG01</v>
          </cell>
          <cell r="M4476" t="str">
            <v>Langgeng Makmur</v>
          </cell>
          <cell r="N4476" t="str">
            <v>Budi Prayitno</v>
          </cell>
          <cell r="O4476" t="str">
            <v>Dsn. Silirkrombang, RT.002/RW.002, Seneporejo, Siliragung</v>
          </cell>
          <cell r="P4476" t="str">
            <v>Banyuwangi</v>
          </cell>
          <cell r="Q4476" t="str">
            <v>Trembelang</v>
          </cell>
          <cell r="R4476" t="str">
            <v>Banyuwangi</v>
          </cell>
          <cell r="S4476" t="str">
            <v>H Bwi2</v>
          </cell>
          <cell r="T4476" t="str">
            <v>Hafid</v>
          </cell>
          <cell r="U4476">
            <v>0</v>
          </cell>
        </row>
        <row r="4477">
          <cell r="E4477" t="str">
            <v>Z25002634</v>
          </cell>
          <cell r="F4477"/>
          <cell r="G4477">
            <v>2000000000</v>
          </cell>
          <cell r="H4477" t="str">
            <v>Faris</v>
          </cell>
          <cell r="I4477" t="str">
            <v>Syahra</v>
          </cell>
          <cell r="J4477"/>
          <cell r="K4477" t="str">
            <v>KU</v>
          </cell>
          <cell r="L4477" t="str">
            <v>LANG01</v>
          </cell>
          <cell r="M4477" t="str">
            <v>Langgeng Makmur</v>
          </cell>
          <cell r="N4477" t="str">
            <v>Budi Prayitno</v>
          </cell>
          <cell r="O4477" t="str">
            <v>Dsn. Silirkrombang, RT.002/RW.002, Seneporejo, Siliragung</v>
          </cell>
          <cell r="P4477" t="str">
            <v>Banyuwangi</v>
          </cell>
          <cell r="Q4477" t="str">
            <v>Trembelang</v>
          </cell>
          <cell r="R4477" t="str">
            <v>Banyuwangi</v>
          </cell>
          <cell r="S4477" t="str">
            <v>H Bwi2</v>
          </cell>
          <cell r="T4477" t="str">
            <v>Hafid</v>
          </cell>
          <cell r="U4477">
            <v>0</v>
          </cell>
        </row>
        <row r="4478">
          <cell r="E4478" t="str">
            <v>D25015445</v>
          </cell>
          <cell r="F4478"/>
          <cell r="G4478">
            <v>2000000000</v>
          </cell>
          <cell r="H4478" t="str">
            <v>Faris</v>
          </cell>
          <cell r="I4478" t="str">
            <v>Syahra</v>
          </cell>
          <cell r="J4478"/>
          <cell r="K4478" t="str">
            <v>KU</v>
          </cell>
          <cell r="L4478" t="str">
            <v>LANG01</v>
          </cell>
          <cell r="M4478" t="str">
            <v>Langgeng Makmur</v>
          </cell>
          <cell r="N4478" t="str">
            <v>Budi Prayitno</v>
          </cell>
          <cell r="O4478" t="str">
            <v>Dsn. Silirkrombang, RT.002/RW.002, Seneporejo, Siliragung</v>
          </cell>
          <cell r="P4478" t="str">
            <v>Banyuwangi</v>
          </cell>
          <cell r="Q4478" t="str">
            <v>Trembelang</v>
          </cell>
          <cell r="R4478" t="str">
            <v>Banyuwangi</v>
          </cell>
          <cell r="S4478" t="str">
            <v>H Bwi2</v>
          </cell>
          <cell r="T4478" t="str">
            <v>Hafid</v>
          </cell>
          <cell r="U4478">
            <v>30</v>
          </cell>
        </row>
        <row r="4479">
          <cell r="E4479" t="str">
            <v>Z25002646</v>
          </cell>
          <cell r="F4479"/>
          <cell r="G4479">
            <v>2000000000</v>
          </cell>
          <cell r="H4479" t="str">
            <v>Faris</v>
          </cell>
          <cell r="I4479" t="str">
            <v>Syahra</v>
          </cell>
          <cell r="J4479"/>
          <cell r="K4479" t="str">
            <v>KU</v>
          </cell>
          <cell r="L4479" t="str">
            <v>LANG01</v>
          </cell>
          <cell r="M4479" t="str">
            <v>Langgeng Makmur</v>
          </cell>
          <cell r="N4479" t="str">
            <v>Budi Prayitno</v>
          </cell>
          <cell r="O4479" t="str">
            <v>Dsn. Silirkrombang, RT.002/RW.002, Seneporejo, Siliragung</v>
          </cell>
          <cell r="P4479" t="str">
            <v>Banyuwangi</v>
          </cell>
          <cell r="Q4479" t="str">
            <v>Trembelang</v>
          </cell>
          <cell r="R4479" t="str">
            <v>Banyuwangi</v>
          </cell>
          <cell r="S4479" t="str">
            <v>H Bwi2</v>
          </cell>
          <cell r="T4479" t="str">
            <v>Hafid</v>
          </cell>
          <cell r="U4479">
            <v>30</v>
          </cell>
        </row>
        <row r="4480">
          <cell r="E4480" t="str">
            <v>D25015487</v>
          </cell>
          <cell r="F4480"/>
          <cell r="G4480">
            <v>2000000000</v>
          </cell>
          <cell r="H4480" t="str">
            <v>Faris</v>
          </cell>
          <cell r="I4480" t="str">
            <v>Syahra</v>
          </cell>
          <cell r="J4480"/>
          <cell r="K4480" t="str">
            <v>KU</v>
          </cell>
          <cell r="L4480" t="str">
            <v>LANG01</v>
          </cell>
          <cell r="M4480" t="str">
            <v>Langgeng Makmur</v>
          </cell>
          <cell r="N4480" t="str">
            <v>Budi Prayitno</v>
          </cell>
          <cell r="O4480" t="str">
            <v>Dsn. Silirkrombang, RT.002/RW.002, Seneporejo, Siliragung</v>
          </cell>
          <cell r="P4480" t="str">
            <v>Banyuwangi</v>
          </cell>
          <cell r="Q4480" t="str">
            <v>Trembelang</v>
          </cell>
          <cell r="R4480" t="str">
            <v>Banyuwangi</v>
          </cell>
          <cell r="S4480" t="str">
            <v>H Bwi2</v>
          </cell>
          <cell r="T4480" t="str">
            <v>Hafid</v>
          </cell>
          <cell r="U4480">
            <v>30</v>
          </cell>
        </row>
        <row r="4481">
          <cell r="E4481" t="str">
            <v>Z25002659</v>
          </cell>
          <cell r="F4481"/>
          <cell r="G4481">
            <v>2000000000</v>
          </cell>
          <cell r="H4481" t="str">
            <v>Faris</v>
          </cell>
          <cell r="I4481" t="str">
            <v>Syahra</v>
          </cell>
          <cell r="J4481"/>
          <cell r="K4481" t="str">
            <v>KU</v>
          </cell>
          <cell r="L4481" t="str">
            <v>LANG01</v>
          </cell>
          <cell r="M4481" t="str">
            <v>Langgeng Makmur</v>
          </cell>
          <cell r="N4481" t="str">
            <v>Budi Prayitno</v>
          </cell>
          <cell r="O4481" t="str">
            <v>Dsn. Silirkrombang, RT.002/RW.002, Seneporejo, Siliragung</v>
          </cell>
          <cell r="P4481" t="str">
            <v>Banyuwangi</v>
          </cell>
          <cell r="Q4481" t="str">
            <v>Trembelang</v>
          </cell>
          <cell r="R4481" t="str">
            <v>Banyuwangi</v>
          </cell>
          <cell r="S4481" t="str">
            <v>H Bwi2</v>
          </cell>
          <cell r="T4481" t="str">
            <v>Hafid</v>
          </cell>
          <cell r="U4481">
            <v>0</v>
          </cell>
        </row>
        <row r="4482">
          <cell r="E4482" t="str">
            <v>B25013280</v>
          </cell>
          <cell r="F4482"/>
          <cell r="G4482">
            <v>2000000000</v>
          </cell>
          <cell r="H4482" t="str">
            <v>Faris</v>
          </cell>
          <cell r="I4482" t="str">
            <v>Syahra</v>
          </cell>
          <cell r="J4482"/>
          <cell r="K4482" t="str">
            <v>KU</v>
          </cell>
          <cell r="L4482" t="str">
            <v>LANG01</v>
          </cell>
          <cell r="M4482" t="str">
            <v>Langgeng Makmur</v>
          </cell>
          <cell r="N4482" t="str">
            <v>Budi Prayitno</v>
          </cell>
          <cell r="O4482" t="str">
            <v>Dsn. Silirkrombang, RT.002/RW.002, Seneporejo, Siliragung</v>
          </cell>
          <cell r="P4482" t="str">
            <v>Banyuwangi</v>
          </cell>
          <cell r="Q4482" t="str">
            <v>Trembelang</v>
          </cell>
          <cell r="R4482" t="str">
            <v>Banyuwangi</v>
          </cell>
          <cell r="S4482" t="str">
            <v>H Bwi2</v>
          </cell>
          <cell r="T4482" t="str">
            <v>Hafid</v>
          </cell>
          <cell r="U4482">
            <v>30</v>
          </cell>
        </row>
        <row r="4483">
          <cell r="E4483" t="str">
            <v>B25013281</v>
          </cell>
          <cell r="F4483"/>
          <cell r="G4483">
            <v>2000000000</v>
          </cell>
          <cell r="H4483" t="str">
            <v>Faris</v>
          </cell>
          <cell r="I4483" t="str">
            <v>Syahra</v>
          </cell>
          <cell r="J4483"/>
          <cell r="K4483" t="str">
            <v>KU</v>
          </cell>
          <cell r="L4483" t="str">
            <v>LANG01</v>
          </cell>
          <cell r="M4483" t="str">
            <v>Langgeng Makmur</v>
          </cell>
          <cell r="N4483" t="str">
            <v>Budi Prayitno</v>
          </cell>
          <cell r="O4483" t="str">
            <v>Dsn. Silirkrombang, RT.002/RW.002, Seneporejo, Siliragung</v>
          </cell>
          <cell r="P4483" t="str">
            <v>Banyuwangi</v>
          </cell>
          <cell r="Q4483" t="str">
            <v>Trembelang</v>
          </cell>
          <cell r="R4483" t="str">
            <v>Banyuwangi</v>
          </cell>
          <cell r="S4483" t="str">
            <v>H Bwi2</v>
          </cell>
          <cell r="T4483" t="str">
            <v>Hafid</v>
          </cell>
          <cell r="U4483">
            <v>30</v>
          </cell>
        </row>
        <row r="4484">
          <cell r="E4484" t="str">
            <v>D25015530</v>
          </cell>
          <cell r="F4484"/>
          <cell r="G4484">
            <v>2000000000</v>
          </cell>
          <cell r="H4484" t="str">
            <v>Faris</v>
          </cell>
          <cell r="I4484" t="str">
            <v>Syahra</v>
          </cell>
          <cell r="J4484"/>
          <cell r="K4484" t="str">
            <v>KU</v>
          </cell>
          <cell r="L4484" t="str">
            <v>LANG01</v>
          </cell>
          <cell r="M4484" t="str">
            <v>Langgeng Makmur</v>
          </cell>
          <cell r="N4484" t="str">
            <v>Budi Prayitno</v>
          </cell>
          <cell r="O4484" t="str">
            <v>Dsn. Silirkrombang, RT.002/RW.002, Seneporejo, Siliragung</v>
          </cell>
          <cell r="P4484" t="str">
            <v>Banyuwangi</v>
          </cell>
          <cell r="Q4484" t="str">
            <v>Trembelang</v>
          </cell>
          <cell r="R4484" t="str">
            <v>Banyuwangi</v>
          </cell>
          <cell r="S4484" t="str">
            <v>H Bwi2</v>
          </cell>
          <cell r="T4484" t="str">
            <v>Hafid</v>
          </cell>
          <cell r="U4484">
            <v>30</v>
          </cell>
        </row>
        <row r="4485">
          <cell r="E4485" t="str">
            <v>D25015691</v>
          </cell>
          <cell r="F4485"/>
          <cell r="G4485">
            <v>2000000000</v>
          </cell>
          <cell r="H4485" t="str">
            <v>Faris</v>
          </cell>
          <cell r="I4485" t="str">
            <v>Syahra</v>
          </cell>
          <cell r="J4485"/>
          <cell r="K4485" t="str">
            <v>KU</v>
          </cell>
          <cell r="L4485" t="str">
            <v>LANG01</v>
          </cell>
          <cell r="M4485" t="str">
            <v>Langgeng Makmur</v>
          </cell>
          <cell r="N4485" t="str">
            <v>Budi Prayitno</v>
          </cell>
          <cell r="O4485" t="str">
            <v>Dsn. Silirkrombang, RT.002/RW.002, Seneporejo, Siliragung</v>
          </cell>
          <cell r="P4485" t="str">
            <v>Banyuwangi</v>
          </cell>
          <cell r="Q4485" t="str">
            <v>Trembelang</v>
          </cell>
          <cell r="R4485" t="str">
            <v>Banyuwangi</v>
          </cell>
          <cell r="S4485" t="str">
            <v>H Bwi2</v>
          </cell>
          <cell r="T4485" t="str">
            <v>Hafid</v>
          </cell>
          <cell r="U4485">
            <v>30</v>
          </cell>
        </row>
        <row r="4486">
          <cell r="E4486" t="str">
            <v>Z25002681</v>
          </cell>
          <cell r="F4486"/>
          <cell r="G4486">
            <v>2000000000</v>
          </cell>
          <cell r="H4486" t="str">
            <v>Faris</v>
          </cell>
          <cell r="I4486" t="str">
            <v>Syahra</v>
          </cell>
          <cell r="J4486"/>
          <cell r="K4486" t="str">
            <v>KU</v>
          </cell>
          <cell r="L4486" t="str">
            <v>LANG01</v>
          </cell>
          <cell r="M4486" t="str">
            <v>Langgeng Makmur</v>
          </cell>
          <cell r="N4486" t="str">
            <v>Budi Prayitno</v>
          </cell>
          <cell r="O4486" t="str">
            <v>Dsn. Silirkrombang, RT.002/RW.002, Seneporejo, Siliragung</v>
          </cell>
          <cell r="P4486" t="str">
            <v>Banyuwangi</v>
          </cell>
          <cell r="Q4486" t="str">
            <v>Trembelang</v>
          </cell>
          <cell r="R4486" t="str">
            <v>Banyuwangi</v>
          </cell>
          <cell r="S4486" t="str">
            <v>H Bwi2</v>
          </cell>
          <cell r="T4486" t="str">
            <v>Hafid</v>
          </cell>
          <cell r="U4486">
            <v>30</v>
          </cell>
        </row>
        <row r="4487">
          <cell r="E4487" t="str">
            <v>Z25002696</v>
          </cell>
          <cell r="F4487"/>
          <cell r="G4487">
            <v>2000000000</v>
          </cell>
          <cell r="H4487" t="str">
            <v>Faris</v>
          </cell>
          <cell r="I4487" t="str">
            <v>Syahra</v>
          </cell>
          <cell r="J4487"/>
          <cell r="K4487" t="str">
            <v>KU</v>
          </cell>
          <cell r="L4487" t="str">
            <v>LANG01</v>
          </cell>
          <cell r="M4487" t="str">
            <v>Langgeng Makmur</v>
          </cell>
          <cell r="N4487" t="str">
            <v>Budi Prayitno</v>
          </cell>
          <cell r="O4487" t="str">
            <v>Dsn. Silirkrombang, RT.002/RW.002, Seneporejo, Siliragung</v>
          </cell>
          <cell r="P4487" t="str">
            <v>Banyuwangi</v>
          </cell>
          <cell r="Q4487" t="str">
            <v>Trembelang</v>
          </cell>
          <cell r="R4487" t="str">
            <v>Banyuwangi</v>
          </cell>
          <cell r="S4487" t="str">
            <v>H Bwi2</v>
          </cell>
          <cell r="T4487" t="str">
            <v>Hafid</v>
          </cell>
          <cell r="U4487">
            <v>30</v>
          </cell>
        </row>
        <row r="4488">
          <cell r="E4488" t="str">
            <v>B25013444</v>
          </cell>
          <cell r="F4488"/>
          <cell r="G4488">
            <v>2000000000</v>
          </cell>
          <cell r="H4488" t="str">
            <v>Faris</v>
          </cell>
          <cell r="I4488" t="str">
            <v>Syahra</v>
          </cell>
          <cell r="J4488"/>
          <cell r="K4488" t="str">
            <v>KU</v>
          </cell>
          <cell r="L4488" t="str">
            <v>LANG01</v>
          </cell>
          <cell r="M4488" t="str">
            <v>Langgeng Makmur</v>
          </cell>
          <cell r="N4488" t="str">
            <v>Budi Prayitno</v>
          </cell>
          <cell r="O4488" t="str">
            <v>Dsn. Silirkrombang, RT.002/RW.002, Seneporejo, Siliragung</v>
          </cell>
          <cell r="P4488" t="str">
            <v>Banyuwangi</v>
          </cell>
          <cell r="Q4488" t="str">
            <v>Trembelang</v>
          </cell>
          <cell r="R4488" t="str">
            <v>Banyuwangi</v>
          </cell>
          <cell r="S4488" t="str">
            <v>H Bwi2</v>
          </cell>
          <cell r="T4488" t="str">
            <v>Hafid</v>
          </cell>
          <cell r="U4488">
            <v>30</v>
          </cell>
        </row>
        <row r="4489">
          <cell r="E4489" t="str">
            <v>D25015707</v>
          </cell>
          <cell r="F4489"/>
          <cell r="G4489">
            <v>2000000000</v>
          </cell>
          <cell r="H4489" t="str">
            <v>Faris</v>
          </cell>
          <cell r="I4489" t="str">
            <v>Syahra</v>
          </cell>
          <cell r="J4489"/>
          <cell r="K4489" t="str">
            <v>KU</v>
          </cell>
          <cell r="L4489" t="str">
            <v>LANG01</v>
          </cell>
          <cell r="M4489" t="str">
            <v>Langgeng Makmur</v>
          </cell>
          <cell r="N4489" t="str">
            <v>Budi Prayitno</v>
          </cell>
          <cell r="O4489" t="str">
            <v>Dsn. Silirkrombang, RT.002/RW.002, Seneporejo, Siliragung</v>
          </cell>
          <cell r="P4489" t="str">
            <v>Banyuwangi</v>
          </cell>
          <cell r="Q4489" t="str">
            <v>Trembelang</v>
          </cell>
          <cell r="R4489" t="str">
            <v>Banyuwangi</v>
          </cell>
          <cell r="S4489" t="str">
            <v>H Bwi2</v>
          </cell>
          <cell r="T4489" t="str">
            <v>Hafid</v>
          </cell>
          <cell r="U4489">
            <v>30</v>
          </cell>
        </row>
        <row r="4490">
          <cell r="E4490" t="str">
            <v>D25015727</v>
          </cell>
          <cell r="F4490"/>
          <cell r="G4490">
            <v>2000000000</v>
          </cell>
          <cell r="H4490" t="str">
            <v>Faris</v>
          </cell>
          <cell r="I4490" t="str">
            <v>Syahra</v>
          </cell>
          <cell r="J4490"/>
          <cell r="K4490" t="str">
            <v>KU</v>
          </cell>
          <cell r="L4490" t="str">
            <v>LANG01</v>
          </cell>
          <cell r="M4490" t="str">
            <v>Langgeng Makmur</v>
          </cell>
          <cell r="N4490" t="str">
            <v>Budi Prayitno</v>
          </cell>
          <cell r="O4490" t="str">
            <v>Dsn. Silirkrombang, RT.002/RW.002, Seneporejo, Siliragung</v>
          </cell>
          <cell r="P4490" t="str">
            <v>Banyuwangi</v>
          </cell>
          <cell r="Q4490" t="str">
            <v>Trembelang</v>
          </cell>
          <cell r="R4490" t="str">
            <v>Banyuwangi</v>
          </cell>
          <cell r="S4490" t="str">
            <v>H Bwi2</v>
          </cell>
          <cell r="T4490" t="str">
            <v>Hafid</v>
          </cell>
          <cell r="U4490">
            <v>30</v>
          </cell>
        </row>
        <row r="4491">
          <cell r="E4491" t="str">
            <v>Z25002715</v>
          </cell>
          <cell r="F4491"/>
          <cell r="G4491">
            <v>2000000000</v>
          </cell>
          <cell r="H4491" t="str">
            <v>Faris</v>
          </cell>
          <cell r="I4491" t="str">
            <v>Syahra</v>
          </cell>
          <cell r="J4491"/>
          <cell r="K4491" t="str">
            <v>KU</v>
          </cell>
          <cell r="L4491" t="str">
            <v>LANG01</v>
          </cell>
          <cell r="M4491" t="str">
            <v>Langgeng Makmur</v>
          </cell>
          <cell r="N4491" t="str">
            <v>Budi Prayitno</v>
          </cell>
          <cell r="O4491" t="str">
            <v>Dsn. Silirkrombang, RT.002/RW.002, Seneporejo, Siliragung</v>
          </cell>
          <cell r="P4491" t="str">
            <v>Banyuwangi</v>
          </cell>
          <cell r="Q4491" t="str">
            <v>Trembelang</v>
          </cell>
          <cell r="R4491" t="str">
            <v>Banyuwangi</v>
          </cell>
          <cell r="S4491" t="str">
            <v>H Bwi2</v>
          </cell>
          <cell r="T4491" t="str">
            <v>Hafid</v>
          </cell>
          <cell r="U4491">
            <v>0</v>
          </cell>
        </row>
        <row r="4492">
          <cell r="E4492" t="str">
            <v>Z25002718</v>
          </cell>
          <cell r="F4492"/>
          <cell r="G4492">
            <v>2000000000</v>
          </cell>
          <cell r="H4492" t="str">
            <v>Faris</v>
          </cell>
          <cell r="I4492" t="str">
            <v>Syahra</v>
          </cell>
          <cell r="J4492"/>
          <cell r="K4492" t="str">
            <v>KU</v>
          </cell>
          <cell r="L4492" t="str">
            <v>LANG01</v>
          </cell>
          <cell r="M4492" t="str">
            <v>Langgeng Makmur</v>
          </cell>
          <cell r="N4492" t="str">
            <v>Budi Prayitno</v>
          </cell>
          <cell r="O4492" t="str">
            <v>Dsn. Silirkrombang, RT.002/RW.002, Seneporejo, Siliragung</v>
          </cell>
          <cell r="P4492" t="str">
            <v>Banyuwangi</v>
          </cell>
          <cell r="Q4492" t="str">
            <v>Trembelang</v>
          </cell>
          <cell r="R4492" t="str">
            <v>Banyuwangi</v>
          </cell>
          <cell r="S4492" t="str">
            <v>H Bwi2</v>
          </cell>
          <cell r="T4492" t="str">
            <v>Hafid</v>
          </cell>
          <cell r="U4492">
            <v>30</v>
          </cell>
        </row>
        <row r="4493">
          <cell r="E4493" t="str">
            <v>B25013631</v>
          </cell>
          <cell r="F4493"/>
          <cell r="G4493">
            <v>2000000000</v>
          </cell>
          <cell r="H4493" t="str">
            <v>Faris</v>
          </cell>
          <cell r="I4493" t="str">
            <v>Syahra</v>
          </cell>
          <cell r="J4493"/>
          <cell r="K4493" t="str">
            <v>KU</v>
          </cell>
          <cell r="L4493" t="str">
            <v>LANG01</v>
          </cell>
          <cell r="M4493" t="str">
            <v>Langgeng Makmur</v>
          </cell>
          <cell r="N4493" t="str">
            <v>Budi Prayitno</v>
          </cell>
          <cell r="O4493" t="str">
            <v>Dsn. Silirkrombang, RT.002/RW.002, Seneporejo, Siliragung</v>
          </cell>
          <cell r="P4493" t="str">
            <v>Banyuwangi</v>
          </cell>
          <cell r="Q4493" t="str">
            <v>Trembelang</v>
          </cell>
          <cell r="R4493" t="str">
            <v>Banyuwangi</v>
          </cell>
          <cell r="S4493" t="str">
            <v>H Bwi2</v>
          </cell>
          <cell r="T4493" t="str">
            <v>Hafid</v>
          </cell>
          <cell r="U4493">
            <v>30</v>
          </cell>
        </row>
        <row r="4494">
          <cell r="E4494" t="str">
            <v>Z25002734</v>
          </cell>
          <cell r="F4494"/>
          <cell r="G4494">
            <v>2000000000</v>
          </cell>
          <cell r="H4494" t="str">
            <v>Faris</v>
          </cell>
          <cell r="I4494" t="str">
            <v>Syahra</v>
          </cell>
          <cell r="J4494"/>
          <cell r="K4494" t="str">
            <v>KU</v>
          </cell>
          <cell r="L4494" t="str">
            <v>LANG01</v>
          </cell>
          <cell r="M4494" t="str">
            <v>Langgeng Makmur</v>
          </cell>
          <cell r="N4494" t="str">
            <v>Budi Prayitno</v>
          </cell>
          <cell r="O4494" t="str">
            <v>Dsn. Silirkrombang, RT.002/RW.002, Seneporejo, Siliragung</v>
          </cell>
          <cell r="P4494" t="str">
            <v>Banyuwangi</v>
          </cell>
          <cell r="Q4494" t="str">
            <v>Trembelang</v>
          </cell>
          <cell r="R4494" t="str">
            <v>Banyuwangi</v>
          </cell>
          <cell r="S4494" t="str">
            <v>H Bwi2</v>
          </cell>
          <cell r="T4494" t="str">
            <v>Hafid</v>
          </cell>
          <cell r="U4494">
            <v>0</v>
          </cell>
        </row>
        <row r="4495">
          <cell r="E4495" t="str">
            <v>Z25002734</v>
          </cell>
          <cell r="F4495"/>
          <cell r="G4495">
            <v>2000000000</v>
          </cell>
          <cell r="H4495" t="str">
            <v>Faris</v>
          </cell>
          <cell r="I4495" t="str">
            <v>Syahra</v>
          </cell>
          <cell r="J4495"/>
          <cell r="K4495" t="str">
            <v>KU</v>
          </cell>
          <cell r="L4495" t="str">
            <v>LANG01</v>
          </cell>
          <cell r="M4495" t="str">
            <v>Langgeng Makmur</v>
          </cell>
          <cell r="N4495" t="str">
            <v>Budi Prayitno</v>
          </cell>
          <cell r="O4495" t="str">
            <v>Dsn. Silirkrombang, RT.002/RW.002, Seneporejo, Siliragung</v>
          </cell>
          <cell r="P4495" t="str">
            <v>Banyuwangi</v>
          </cell>
          <cell r="Q4495" t="str">
            <v>Trembelang</v>
          </cell>
          <cell r="R4495" t="str">
            <v>Banyuwangi</v>
          </cell>
          <cell r="S4495" t="str">
            <v>H Bwi2</v>
          </cell>
          <cell r="T4495" t="str">
            <v>Hafid</v>
          </cell>
          <cell r="U4495">
            <v>0</v>
          </cell>
        </row>
        <row r="4496">
          <cell r="E4496" t="str">
            <v>B25013652</v>
          </cell>
          <cell r="F4496"/>
          <cell r="G4496">
            <v>2000000000</v>
          </cell>
          <cell r="H4496" t="str">
            <v>Faris</v>
          </cell>
          <cell r="I4496" t="str">
            <v>Syahra</v>
          </cell>
          <cell r="J4496"/>
          <cell r="K4496" t="str">
            <v>KU</v>
          </cell>
          <cell r="L4496" t="str">
            <v>LANG01</v>
          </cell>
          <cell r="M4496" t="str">
            <v>Langgeng Makmur</v>
          </cell>
          <cell r="N4496" t="str">
            <v>Budi Prayitno</v>
          </cell>
          <cell r="O4496" t="str">
            <v>Dsn. Silirkrombang, RT.002/RW.002, Seneporejo, Siliragung</v>
          </cell>
          <cell r="P4496" t="str">
            <v>Banyuwangi</v>
          </cell>
          <cell r="Q4496" t="str">
            <v>Trembelang</v>
          </cell>
          <cell r="R4496" t="str">
            <v>Banyuwangi</v>
          </cell>
          <cell r="S4496" t="str">
            <v>H Bwi2</v>
          </cell>
          <cell r="T4496" t="str">
            <v>Hafid</v>
          </cell>
          <cell r="U4496">
            <v>30</v>
          </cell>
        </row>
        <row r="4497">
          <cell r="E4497" t="str">
            <v>Z25002748</v>
          </cell>
          <cell r="F4497"/>
          <cell r="G4497">
            <v>2000000000</v>
          </cell>
          <cell r="H4497" t="str">
            <v>Faris</v>
          </cell>
          <cell r="I4497" t="str">
            <v>Syahra</v>
          </cell>
          <cell r="J4497"/>
          <cell r="K4497" t="str">
            <v>KU</v>
          </cell>
          <cell r="L4497" t="str">
            <v>LANG01</v>
          </cell>
          <cell r="M4497" t="str">
            <v>Langgeng Makmur</v>
          </cell>
          <cell r="N4497" t="str">
            <v>Budi Prayitno</v>
          </cell>
          <cell r="O4497" t="str">
            <v>Dsn. Silirkrombang, RT.002/RW.002, Seneporejo, Siliragung</v>
          </cell>
          <cell r="P4497" t="str">
            <v>Banyuwangi</v>
          </cell>
          <cell r="Q4497" t="str">
            <v>Trembelang</v>
          </cell>
          <cell r="R4497" t="str">
            <v>Banyuwangi</v>
          </cell>
          <cell r="S4497" t="str">
            <v>H Bwi2</v>
          </cell>
          <cell r="T4497" t="str">
            <v>Hafid</v>
          </cell>
          <cell r="U4497">
            <v>30</v>
          </cell>
        </row>
        <row r="4498">
          <cell r="E4498" t="str">
            <v>D25016046</v>
          </cell>
          <cell r="F4498"/>
          <cell r="G4498">
            <v>2000000000</v>
          </cell>
          <cell r="H4498" t="str">
            <v>Faris</v>
          </cell>
          <cell r="I4498" t="str">
            <v>Syahra</v>
          </cell>
          <cell r="J4498"/>
          <cell r="K4498" t="str">
            <v>KU</v>
          </cell>
          <cell r="L4498" t="str">
            <v>LANG01</v>
          </cell>
          <cell r="M4498" t="str">
            <v>Langgeng Makmur</v>
          </cell>
          <cell r="N4498" t="str">
            <v>Budi Prayitno</v>
          </cell>
          <cell r="O4498" t="str">
            <v>Dsn. Silirkrombang, RT.002/RW.002, Seneporejo, Siliragung</v>
          </cell>
          <cell r="P4498" t="str">
            <v>Banyuwangi</v>
          </cell>
          <cell r="Q4498" t="str">
            <v>Trembelang</v>
          </cell>
          <cell r="R4498" t="str">
            <v>Banyuwangi</v>
          </cell>
          <cell r="S4498" t="str">
            <v>H Bwi2</v>
          </cell>
          <cell r="T4498" t="str">
            <v>Hafid</v>
          </cell>
          <cell r="U4498">
            <v>30</v>
          </cell>
        </row>
        <row r="4499">
          <cell r="E4499" t="str">
            <v>D25016143</v>
          </cell>
          <cell r="F4499"/>
          <cell r="G4499">
            <v>2000000000</v>
          </cell>
          <cell r="H4499" t="str">
            <v>Faris</v>
          </cell>
          <cell r="I4499" t="str">
            <v>Syahra</v>
          </cell>
          <cell r="J4499"/>
          <cell r="K4499" t="str">
            <v>KU</v>
          </cell>
          <cell r="L4499" t="str">
            <v>LANG01</v>
          </cell>
          <cell r="M4499" t="str">
            <v>Langgeng Makmur</v>
          </cell>
          <cell r="N4499" t="str">
            <v>Budi Prayitno</v>
          </cell>
          <cell r="O4499" t="str">
            <v>Dsn. Silirkrombang, RT.002/RW.002, Seneporejo, Siliragung</v>
          </cell>
          <cell r="P4499" t="str">
            <v>Banyuwangi</v>
          </cell>
          <cell r="Q4499" t="str">
            <v>Trembelang</v>
          </cell>
          <cell r="R4499" t="str">
            <v>Banyuwangi</v>
          </cell>
          <cell r="S4499" t="str">
            <v>H Bwi2</v>
          </cell>
          <cell r="T4499" t="str">
            <v>Hafid</v>
          </cell>
          <cell r="U4499">
            <v>30</v>
          </cell>
        </row>
        <row r="4500">
          <cell r="E4500" t="str">
            <v>D25016149</v>
          </cell>
          <cell r="F4500"/>
          <cell r="G4500">
            <v>2000000000</v>
          </cell>
          <cell r="H4500" t="str">
            <v>Faris</v>
          </cell>
          <cell r="I4500" t="str">
            <v>Syahra</v>
          </cell>
          <cell r="J4500"/>
          <cell r="K4500" t="str">
            <v>KU</v>
          </cell>
          <cell r="L4500" t="str">
            <v>LANG01</v>
          </cell>
          <cell r="M4500" t="str">
            <v>Langgeng Makmur</v>
          </cell>
          <cell r="N4500" t="str">
            <v>Budi Prayitno</v>
          </cell>
          <cell r="O4500" t="str">
            <v>Dsn. Silirkrombang, RT.002/RW.002, Seneporejo, Siliragung</v>
          </cell>
          <cell r="P4500" t="str">
            <v>Banyuwangi</v>
          </cell>
          <cell r="Q4500" t="str">
            <v>Trembelang</v>
          </cell>
          <cell r="R4500" t="str">
            <v>Banyuwangi</v>
          </cell>
          <cell r="S4500" t="str">
            <v>H Bwi2</v>
          </cell>
          <cell r="T4500" t="str">
            <v>Hafid</v>
          </cell>
          <cell r="U4500">
            <v>30</v>
          </cell>
        </row>
        <row r="4501">
          <cell r="E4501" t="str">
            <v>D25016164</v>
          </cell>
          <cell r="F4501"/>
          <cell r="G4501">
            <v>2000000000</v>
          </cell>
          <cell r="H4501" t="str">
            <v>Faris</v>
          </cell>
          <cell r="I4501" t="str">
            <v>Syahra</v>
          </cell>
          <cell r="J4501"/>
          <cell r="K4501" t="str">
            <v>KU</v>
          </cell>
          <cell r="L4501" t="str">
            <v>LANG01</v>
          </cell>
          <cell r="M4501" t="str">
            <v>Langgeng Makmur</v>
          </cell>
          <cell r="N4501" t="str">
            <v>Budi Prayitno</v>
          </cell>
          <cell r="O4501" t="str">
            <v>Dsn. Silirkrombang, RT.002/RW.002, Seneporejo, Siliragung</v>
          </cell>
          <cell r="P4501" t="str">
            <v>Banyuwangi</v>
          </cell>
          <cell r="Q4501" t="str">
            <v>Trembelang</v>
          </cell>
          <cell r="R4501" t="str">
            <v>Banyuwangi</v>
          </cell>
          <cell r="S4501" t="str">
            <v>H Bwi2</v>
          </cell>
          <cell r="T4501" t="str">
            <v>Hafid</v>
          </cell>
          <cell r="U4501">
            <v>30</v>
          </cell>
        </row>
        <row r="4502">
          <cell r="E4502" t="str">
            <v>B25013852</v>
          </cell>
          <cell r="F4502"/>
          <cell r="G4502">
            <v>2000000000</v>
          </cell>
          <cell r="H4502" t="str">
            <v>Faris</v>
          </cell>
          <cell r="I4502" t="str">
            <v>Syahra</v>
          </cell>
          <cell r="J4502"/>
          <cell r="K4502" t="str">
            <v>KU</v>
          </cell>
          <cell r="L4502" t="str">
            <v>LANG01</v>
          </cell>
          <cell r="M4502" t="str">
            <v>Langgeng Makmur</v>
          </cell>
          <cell r="N4502" t="str">
            <v>Budi Prayitno</v>
          </cell>
          <cell r="O4502" t="str">
            <v>Dsn. Silirkrombang, RT.002/RW.002, Seneporejo, Siliragung</v>
          </cell>
          <cell r="P4502" t="str">
            <v>Banyuwangi</v>
          </cell>
          <cell r="Q4502" t="str">
            <v>Trembelang</v>
          </cell>
          <cell r="R4502" t="str">
            <v>Banyuwangi</v>
          </cell>
          <cell r="S4502" t="str">
            <v>H Bwi2</v>
          </cell>
          <cell r="T4502" t="str">
            <v>Hafid</v>
          </cell>
          <cell r="U4502">
            <v>30</v>
          </cell>
        </row>
        <row r="4503">
          <cell r="E4503" t="str">
            <v>B25013924</v>
          </cell>
          <cell r="F4503"/>
          <cell r="G4503">
            <v>2000000000</v>
          </cell>
          <cell r="H4503" t="str">
            <v>Faris</v>
          </cell>
          <cell r="I4503" t="str">
            <v>Syahra</v>
          </cell>
          <cell r="J4503"/>
          <cell r="K4503" t="str">
            <v>KU</v>
          </cell>
          <cell r="L4503" t="str">
            <v>LANG01</v>
          </cell>
          <cell r="M4503" t="str">
            <v>Langgeng Makmur</v>
          </cell>
          <cell r="N4503" t="str">
            <v>Budi Prayitno</v>
          </cell>
          <cell r="O4503" t="str">
            <v>Dsn. Silirkrombang, RT.002/RW.002, Seneporejo, Siliragung</v>
          </cell>
          <cell r="P4503" t="str">
            <v>Banyuwangi</v>
          </cell>
          <cell r="Q4503" t="str">
            <v>Trembelang</v>
          </cell>
          <cell r="R4503" t="str">
            <v>Banyuwangi</v>
          </cell>
          <cell r="S4503" t="str">
            <v>H Bwi2</v>
          </cell>
          <cell r="T4503" t="str">
            <v>Hafid</v>
          </cell>
          <cell r="U4503">
            <v>30</v>
          </cell>
        </row>
        <row r="4504">
          <cell r="E4504" t="str">
            <v>D25016217</v>
          </cell>
          <cell r="F4504"/>
          <cell r="G4504">
            <v>2000000000</v>
          </cell>
          <cell r="H4504" t="str">
            <v>Faris</v>
          </cell>
          <cell r="I4504" t="str">
            <v>Syahra</v>
          </cell>
          <cell r="J4504"/>
          <cell r="K4504" t="str">
            <v>KU</v>
          </cell>
          <cell r="L4504" t="str">
            <v>LANG01</v>
          </cell>
          <cell r="M4504" t="str">
            <v>Langgeng Makmur</v>
          </cell>
          <cell r="N4504" t="str">
            <v>Budi Prayitno</v>
          </cell>
          <cell r="O4504" t="str">
            <v>Dsn. Silirkrombang, RT.002/RW.002, Seneporejo, Siliragung</v>
          </cell>
          <cell r="P4504" t="str">
            <v>Banyuwangi</v>
          </cell>
          <cell r="Q4504" t="str">
            <v>Trembelang</v>
          </cell>
          <cell r="R4504" t="str">
            <v>Banyuwangi</v>
          </cell>
          <cell r="S4504" t="str">
            <v>H Bwi2</v>
          </cell>
          <cell r="T4504" t="str">
            <v>Hafid</v>
          </cell>
          <cell r="U4504">
            <v>30</v>
          </cell>
        </row>
        <row r="4505">
          <cell r="E4505" t="str">
            <v>Z25002789</v>
          </cell>
          <cell r="F4505"/>
          <cell r="G4505">
            <v>2000000000</v>
          </cell>
          <cell r="H4505" t="str">
            <v>Faris</v>
          </cell>
          <cell r="I4505" t="str">
            <v>Syahra</v>
          </cell>
          <cell r="J4505"/>
          <cell r="K4505" t="str">
            <v>KU</v>
          </cell>
          <cell r="L4505" t="str">
            <v>LANG01</v>
          </cell>
          <cell r="M4505" t="str">
            <v>Langgeng Makmur</v>
          </cell>
          <cell r="N4505" t="str">
            <v>Budi Prayitno</v>
          </cell>
          <cell r="O4505" t="str">
            <v>Dsn. Silirkrombang, RT.002/RW.002, Seneporejo, Siliragung</v>
          </cell>
          <cell r="P4505" t="str">
            <v>Banyuwangi</v>
          </cell>
          <cell r="Q4505" t="str">
            <v>Trembelang</v>
          </cell>
          <cell r="R4505" t="str">
            <v>Banyuwangi</v>
          </cell>
          <cell r="S4505" t="str">
            <v>H Bwi2</v>
          </cell>
          <cell r="T4505" t="str">
            <v>Hafid</v>
          </cell>
          <cell r="U4505">
            <v>0</v>
          </cell>
        </row>
        <row r="4506">
          <cell r="E4506" t="str">
            <v>D25016303</v>
          </cell>
          <cell r="F4506"/>
          <cell r="G4506">
            <v>2000000000</v>
          </cell>
          <cell r="H4506" t="str">
            <v>Faris</v>
          </cell>
          <cell r="I4506" t="str">
            <v>Syahra</v>
          </cell>
          <cell r="J4506"/>
          <cell r="K4506" t="str">
            <v>KU</v>
          </cell>
          <cell r="L4506" t="str">
            <v>LANG01</v>
          </cell>
          <cell r="M4506" t="str">
            <v>Langgeng Makmur</v>
          </cell>
          <cell r="N4506" t="str">
            <v>Budi Prayitno</v>
          </cell>
          <cell r="O4506" t="str">
            <v>Dsn. Silirkrombang, RT.002/RW.002, Seneporejo, Siliragung</v>
          </cell>
          <cell r="P4506" t="str">
            <v>Banyuwangi</v>
          </cell>
          <cell r="Q4506" t="str">
            <v>Trembelang</v>
          </cell>
          <cell r="R4506" t="str">
            <v>Banyuwangi</v>
          </cell>
          <cell r="S4506" t="str">
            <v>H Bwi2</v>
          </cell>
          <cell r="T4506" t="str">
            <v>Hafid</v>
          </cell>
          <cell r="U4506">
            <v>30</v>
          </cell>
        </row>
        <row r="4507">
          <cell r="E4507" t="str">
            <v>Z25002829</v>
          </cell>
          <cell r="F4507"/>
          <cell r="G4507">
            <v>2000000000</v>
          </cell>
          <cell r="H4507" t="str">
            <v>Faris</v>
          </cell>
          <cell r="I4507" t="str">
            <v>Syahra</v>
          </cell>
          <cell r="J4507"/>
          <cell r="K4507" t="str">
            <v>KU</v>
          </cell>
          <cell r="L4507" t="str">
            <v>LANG01</v>
          </cell>
          <cell r="M4507" t="str">
            <v>Langgeng Makmur</v>
          </cell>
          <cell r="N4507" t="str">
            <v>Budi Prayitno</v>
          </cell>
          <cell r="O4507" t="str">
            <v>Dsn. Silirkrombang, RT.002/RW.002, Seneporejo, Siliragung</v>
          </cell>
          <cell r="P4507" t="str">
            <v>Banyuwangi</v>
          </cell>
          <cell r="Q4507" t="str">
            <v>Trembelang</v>
          </cell>
          <cell r="R4507" t="str">
            <v>Banyuwangi</v>
          </cell>
          <cell r="S4507" t="str">
            <v>H Bwi2</v>
          </cell>
          <cell r="T4507" t="str">
            <v>Hafid</v>
          </cell>
          <cell r="U4507">
            <v>0</v>
          </cell>
        </row>
        <row r="4508">
          <cell r="E4508" t="str">
            <v>B25014089</v>
          </cell>
          <cell r="F4508"/>
          <cell r="G4508">
            <v>2000000000</v>
          </cell>
          <cell r="H4508" t="str">
            <v>Faris</v>
          </cell>
          <cell r="I4508" t="str">
            <v>Syahra</v>
          </cell>
          <cell r="J4508"/>
          <cell r="K4508" t="str">
            <v>KU</v>
          </cell>
          <cell r="L4508" t="str">
            <v>LANG01</v>
          </cell>
          <cell r="M4508" t="str">
            <v>Langgeng Makmur</v>
          </cell>
          <cell r="N4508" t="str">
            <v>Budi Prayitno</v>
          </cell>
          <cell r="O4508" t="str">
            <v>Dsn. Silirkrombang, RT.002/RW.002, Seneporejo, Siliragung</v>
          </cell>
          <cell r="P4508" t="str">
            <v>Banyuwangi</v>
          </cell>
          <cell r="Q4508" t="str">
            <v>Trembelang</v>
          </cell>
          <cell r="R4508" t="str">
            <v>Banyuwangi</v>
          </cell>
          <cell r="S4508" t="str">
            <v>H Bwi2</v>
          </cell>
          <cell r="T4508" t="str">
            <v>Hafid</v>
          </cell>
          <cell r="U4508">
            <v>30</v>
          </cell>
        </row>
        <row r="4509">
          <cell r="E4509" t="str">
            <v>B25007775</v>
          </cell>
          <cell r="F4509"/>
          <cell r="G4509">
            <v>1500000000</v>
          </cell>
          <cell r="H4509" t="str">
            <v>Reni</v>
          </cell>
          <cell r="I4509" t="str">
            <v>Fira</v>
          </cell>
          <cell r="J4509"/>
          <cell r="K4509" t="str">
            <v>BG, KU</v>
          </cell>
          <cell r="L4509" t="str">
            <v>LONT01</v>
          </cell>
          <cell r="M4509" t="str">
            <v>Lanta Bura</v>
          </cell>
          <cell r="N4509" t="str">
            <v>Moh. Mudzakir</v>
          </cell>
          <cell r="O4509" t="str">
            <v>Sugio-Kembangbahu, RT.004/RW.001 Kel. German, Kec. Sugio</v>
          </cell>
          <cell r="P4509" t="str">
            <v>Lamongan</v>
          </cell>
          <cell r="Q4509" t="str">
            <v>Sugio-Kembangbahu, RT.004/RW.001 Kel. German, Kec. Sugio</v>
          </cell>
          <cell r="R4509" t="str">
            <v>Lamongan</v>
          </cell>
          <cell r="S4509" t="str">
            <v>F Utara1</v>
          </cell>
          <cell r="T4509" t="str">
            <v>Dian</v>
          </cell>
          <cell r="U4509">
            <v>60</v>
          </cell>
        </row>
        <row r="4510">
          <cell r="E4510" t="str">
            <v>B25008660</v>
          </cell>
          <cell r="F4510"/>
          <cell r="G4510">
            <v>1500000000</v>
          </cell>
          <cell r="H4510" t="str">
            <v>Reni</v>
          </cell>
          <cell r="I4510" t="str">
            <v>Fira</v>
          </cell>
          <cell r="J4510"/>
          <cell r="K4510" t="str">
            <v>BG, KU</v>
          </cell>
          <cell r="L4510" t="str">
            <v>LONT01</v>
          </cell>
          <cell r="M4510" t="str">
            <v>Lanta Bura</v>
          </cell>
          <cell r="N4510" t="str">
            <v>Moh. Mudzakir</v>
          </cell>
          <cell r="O4510" t="str">
            <v>Sugio-Kembangbahu, RT.004/RW.001 Kel. German, Kec. Sugio</v>
          </cell>
          <cell r="P4510" t="str">
            <v>Lamongan</v>
          </cell>
          <cell r="Q4510" t="str">
            <v>Sugio-Kembangbahu, RT.004/RW.001 Kel. German, Kec. Sugio</v>
          </cell>
          <cell r="R4510" t="str">
            <v>Lamongan</v>
          </cell>
          <cell r="S4510" t="str">
            <v>F Utara1</v>
          </cell>
          <cell r="T4510" t="str">
            <v>Dian</v>
          </cell>
          <cell r="U4510">
            <v>60</v>
          </cell>
        </row>
        <row r="4511">
          <cell r="E4511" t="str">
            <v>B25008662</v>
          </cell>
          <cell r="F4511"/>
          <cell r="G4511">
            <v>1500000000</v>
          </cell>
          <cell r="H4511" t="str">
            <v>Reni</v>
          </cell>
          <cell r="I4511" t="str">
            <v>Fira</v>
          </cell>
          <cell r="J4511"/>
          <cell r="K4511" t="str">
            <v>BG, KU</v>
          </cell>
          <cell r="L4511" t="str">
            <v>LONT01</v>
          </cell>
          <cell r="M4511" t="str">
            <v>Lanta Bura</v>
          </cell>
          <cell r="N4511" t="str">
            <v>Moh. Mudzakir</v>
          </cell>
          <cell r="O4511" t="str">
            <v>Sugio-Kembangbahu, RT.004/RW.001 Kel. German, Kec. Sugio</v>
          </cell>
          <cell r="P4511" t="str">
            <v>Lamongan</v>
          </cell>
          <cell r="Q4511" t="str">
            <v>Sugio-Kembangbahu, RT.004/RW.001 Kel. German, Kec. Sugio</v>
          </cell>
          <cell r="R4511" t="str">
            <v>Lamongan</v>
          </cell>
          <cell r="S4511" t="str">
            <v>F Utara1</v>
          </cell>
          <cell r="T4511" t="str">
            <v>Dian</v>
          </cell>
          <cell r="U4511">
            <v>60</v>
          </cell>
        </row>
        <row r="4512">
          <cell r="E4512" t="str">
            <v>B25008663</v>
          </cell>
          <cell r="F4512"/>
          <cell r="G4512">
            <v>1500000000</v>
          </cell>
          <cell r="H4512" t="str">
            <v>Reni</v>
          </cell>
          <cell r="I4512" t="str">
            <v>Fira</v>
          </cell>
          <cell r="J4512"/>
          <cell r="K4512" t="str">
            <v>BG, KU</v>
          </cell>
          <cell r="L4512" t="str">
            <v>LONT01</v>
          </cell>
          <cell r="M4512" t="str">
            <v>Lanta Bura</v>
          </cell>
          <cell r="N4512" t="str">
            <v>Moh. Mudzakir</v>
          </cell>
          <cell r="O4512" t="str">
            <v>Sugio-Kembangbahu, RT.004/RW.001 Kel. German, Kec. Sugio</v>
          </cell>
          <cell r="P4512" t="str">
            <v>Lamongan</v>
          </cell>
          <cell r="Q4512" t="str">
            <v>Sugio-Kembangbahu, RT.004/RW.001 Kel. German, Kec. Sugio</v>
          </cell>
          <cell r="R4512" t="str">
            <v>Lamongan</v>
          </cell>
          <cell r="S4512" t="str">
            <v>F Utara1</v>
          </cell>
          <cell r="T4512" t="str">
            <v>Dian</v>
          </cell>
          <cell r="U4512">
            <v>60</v>
          </cell>
        </row>
        <row r="4513">
          <cell r="E4513" t="str">
            <v>B25009156</v>
          </cell>
          <cell r="F4513"/>
          <cell r="G4513">
            <v>1500000000</v>
          </cell>
          <cell r="H4513" t="str">
            <v>Reni</v>
          </cell>
          <cell r="I4513" t="str">
            <v>Fira</v>
          </cell>
          <cell r="J4513"/>
          <cell r="K4513" t="str">
            <v>BG, KU</v>
          </cell>
          <cell r="L4513" t="str">
            <v>LONT01</v>
          </cell>
          <cell r="M4513" t="str">
            <v>Lanta Bura</v>
          </cell>
          <cell r="N4513" t="str">
            <v>Moh. Mudzakir</v>
          </cell>
          <cell r="O4513" t="str">
            <v>Sugio-Kembangbahu, RT.004/RW.001 Kel. German, Kec. Sugio</v>
          </cell>
          <cell r="P4513" t="str">
            <v>Lamongan</v>
          </cell>
          <cell r="Q4513" t="str">
            <v>Sugio-Kembangbahu, RT.004/RW.001 Kel. German, Kec. Sugio</v>
          </cell>
          <cell r="R4513" t="str">
            <v>Lamongan</v>
          </cell>
          <cell r="S4513" t="str">
            <v>F Utara1</v>
          </cell>
          <cell r="T4513" t="str">
            <v>Dian</v>
          </cell>
          <cell r="U4513">
            <v>30</v>
          </cell>
        </row>
        <row r="4514">
          <cell r="E4514" t="str">
            <v>D25011244</v>
          </cell>
          <cell r="F4514"/>
          <cell r="G4514">
            <v>1500000000</v>
          </cell>
          <cell r="H4514" t="str">
            <v>Reni</v>
          </cell>
          <cell r="I4514" t="str">
            <v>Fira</v>
          </cell>
          <cell r="J4514"/>
          <cell r="K4514" t="str">
            <v>BG, KU</v>
          </cell>
          <cell r="L4514" t="str">
            <v>LONT01</v>
          </cell>
          <cell r="M4514" t="str">
            <v>Lanta Bura</v>
          </cell>
          <cell r="N4514" t="str">
            <v>Moh. Mudzakir</v>
          </cell>
          <cell r="O4514" t="str">
            <v>Sugio-Kembangbahu, RT.004/RW.001 Kel. German, Kec. Sugio</v>
          </cell>
          <cell r="P4514" t="str">
            <v>Lamongan</v>
          </cell>
          <cell r="Q4514" t="str">
            <v>Sugio-Kembangbahu, RT.004/RW.001 Kel. German, Kec. Sugio</v>
          </cell>
          <cell r="R4514" t="str">
            <v>Lamongan</v>
          </cell>
          <cell r="S4514" t="str">
            <v>F Utara1</v>
          </cell>
          <cell r="T4514" t="str">
            <v>Dian</v>
          </cell>
          <cell r="U4514">
            <v>60</v>
          </cell>
        </row>
        <row r="4515">
          <cell r="E4515" t="str">
            <v>D25011480</v>
          </cell>
          <cell r="F4515"/>
          <cell r="G4515">
            <v>1500000000</v>
          </cell>
          <cell r="H4515" t="str">
            <v>Reni</v>
          </cell>
          <cell r="I4515" t="str">
            <v>Fira</v>
          </cell>
          <cell r="J4515"/>
          <cell r="K4515" t="str">
            <v>BG, KU</v>
          </cell>
          <cell r="L4515" t="str">
            <v>LONT01</v>
          </cell>
          <cell r="M4515" t="str">
            <v>Lanta Bura</v>
          </cell>
          <cell r="N4515" t="str">
            <v>Moh. Mudzakir</v>
          </cell>
          <cell r="O4515" t="str">
            <v>Sugio-Kembangbahu, RT.004/RW.001 Kel. German, Kec. Sugio</v>
          </cell>
          <cell r="P4515" t="str">
            <v>Lamongan</v>
          </cell>
          <cell r="Q4515" t="str">
            <v>Sugio-Kembangbahu, RT.004/RW.001 Kel. German, Kec. Sugio</v>
          </cell>
          <cell r="R4515" t="str">
            <v>Lamongan</v>
          </cell>
          <cell r="S4515" t="str">
            <v>F Utara1</v>
          </cell>
          <cell r="T4515" t="str">
            <v>Dian</v>
          </cell>
          <cell r="U4515">
            <v>30</v>
          </cell>
        </row>
        <row r="4516">
          <cell r="E4516" t="str">
            <v>D25011492</v>
          </cell>
          <cell r="F4516"/>
          <cell r="G4516">
            <v>1500000000</v>
          </cell>
          <cell r="H4516" t="str">
            <v>Reni</v>
          </cell>
          <cell r="I4516" t="str">
            <v>Fira</v>
          </cell>
          <cell r="J4516"/>
          <cell r="K4516" t="str">
            <v>BG, KU</v>
          </cell>
          <cell r="L4516" t="str">
            <v>LONT01</v>
          </cell>
          <cell r="M4516" t="str">
            <v>Lanta Bura</v>
          </cell>
          <cell r="N4516" t="str">
            <v>Moh. Mudzakir</v>
          </cell>
          <cell r="O4516" t="str">
            <v>Sugio-Kembangbahu, RT.004/RW.001 Kel. German, Kec. Sugio</v>
          </cell>
          <cell r="P4516" t="str">
            <v>Lamongan</v>
          </cell>
          <cell r="Q4516" t="str">
            <v>Sugio-Kembangbahu, RT.004/RW.001 Kel. German, Kec. Sugio</v>
          </cell>
          <cell r="R4516" t="str">
            <v>Lamongan</v>
          </cell>
          <cell r="S4516" t="str">
            <v>F Utara1</v>
          </cell>
          <cell r="T4516" t="str">
            <v>Dian</v>
          </cell>
          <cell r="U4516">
            <v>30</v>
          </cell>
        </row>
        <row r="4517">
          <cell r="E4517" t="str">
            <v>D25011700</v>
          </cell>
          <cell r="F4517"/>
          <cell r="G4517">
            <v>1500000000</v>
          </cell>
          <cell r="H4517" t="str">
            <v>Reni</v>
          </cell>
          <cell r="I4517" t="str">
            <v>Fira</v>
          </cell>
          <cell r="J4517"/>
          <cell r="K4517" t="str">
            <v>BG, KU</v>
          </cell>
          <cell r="L4517" t="str">
            <v>LONT01</v>
          </cell>
          <cell r="M4517" t="str">
            <v>Lanta Bura</v>
          </cell>
          <cell r="N4517" t="str">
            <v>Moh. Mudzakir</v>
          </cell>
          <cell r="O4517" t="str">
            <v>Sugio-Kembangbahu, RT.004/RW.001 Kel. German, Kec. Sugio</v>
          </cell>
          <cell r="P4517" t="str">
            <v>Lamongan</v>
          </cell>
          <cell r="Q4517" t="str">
            <v>Sugio-Kembangbahu, RT.004/RW.001 Kel. German, Kec. Sugio</v>
          </cell>
          <cell r="R4517" t="str">
            <v>Lamongan</v>
          </cell>
          <cell r="S4517" t="str">
            <v>F Utara1</v>
          </cell>
          <cell r="T4517" t="str">
            <v>Dian</v>
          </cell>
          <cell r="U4517">
            <v>30</v>
          </cell>
        </row>
        <row r="4518">
          <cell r="E4518" t="str">
            <v>D25011700</v>
          </cell>
          <cell r="F4518"/>
          <cell r="G4518">
            <v>1500000000</v>
          </cell>
          <cell r="H4518" t="str">
            <v>Reni</v>
          </cell>
          <cell r="I4518" t="str">
            <v>Fira</v>
          </cell>
          <cell r="J4518"/>
          <cell r="K4518" t="str">
            <v>BG, KU</v>
          </cell>
          <cell r="L4518" t="str">
            <v>LONT01</v>
          </cell>
          <cell r="M4518" t="str">
            <v>Lanta Bura</v>
          </cell>
          <cell r="N4518" t="str">
            <v>Moh. Mudzakir</v>
          </cell>
          <cell r="O4518" t="str">
            <v>Sugio-Kembangbahu, RT.004/RW.001 Kel. German, Kec. Sugio</v>
          </cell>
          <cell r="P4518" t="str">
            <v>Lamongan</v>
          </cell>
          <cell r="Q4518" t="str">
            <v>Sugio-Kembangbahu, RT.004/RW.001 Kel. German, Kec. Sugio</v>
          </cell>
          <cell r="R4518" t="str">
            <v>Lamongan</v>
          </cell>
          <cell r="S4518" t="str">
            <v>F Utara1</v>
          </cell>
          <cell r="T4518" t="str">
            <v>Dian</v>
          </cell>
          <cell r="U4518">
            <v>30</v>
          </cell>
        </row>
        <row r="4519">
          <cell r="E4519" t="str">
            <v>D25012112</v>
          </cell>
          <cell r="F4519"/>
          <cell r="G4519">
            <v>1500000000</v>
          </cell>
          <cell r="H4519" t="str">
            <v>Reni</v>
          </cell>
          <cell r="I4519" t="str">
            <v>Fira</v>
          </cell>
          <cell r="J4519"/>
          <cell r="K4519" t="str">
            <v>BG, KU</v>
          </cell>
          <cell r="L4519" t="str">
            <v>LONT01</v>
          </cell>
          <cell r="M4519" t="str">
            <v>Lanta Bura</v>
          </cell>
          <cell r="N4519" t="str">
            <v>Moh. Mudzakir</v>
          </cell>
          <cell r="O4519" t="str">
            <v>Sugio-Kembangbahu, RT.004/RW.001 Kel. German, Kec. Sugio</v>
          </cell>
          <cell r="P4519" t="str">
            <v>Lamongan</v>
          </cell>
          <cell r="Q4519" t="str">
            <v>Sugio-Kembangbahu, RT.004/RW.001 Kel. German, Kec. Sugio</v>
          </cell>
          <cell r="R4519" t="str">
            <v>Lamongan</v>
          </cell>
          <cell r="S4519" t="str">
            <v>F Utara1</v>
          </cell>
          <cell r="T4519" t="str">
            <v>Dian</v>
          </cell>
          <cell r="U4519">
            <v>30</v>
          </cell>
        </row>
        <row r="4520">
          <cell r="E4520" t="str">
            <v>D25012882</v>
          </cell>
          <cell r="F4520"/>
          <cell r="G4520">
            <v>1500000000</v>
          </cell>
          <cell r="H4520" t="str">
            <v>Reni</v>
          </cell>
          <cell r="I4520" t="str">
            <v>Fira</v>
          </cell>
          <cell r="J4520"/>
          <cell r="K4520" t="str">
            <v>BG, KU</v>
          </cell>
          <cell r="L4520" t="str">
            <v>LONT01</v>
          </cell>
          <cell r="M4520" t="str">
            <v>Lanta Bura</v>
          </cell>
          <cell r="N4520" t="str">
            <v>Moh. Mudzakir</v>
          </cell>
          <cell r="O4520" t="str">
            <v>Sugio-Kembangbahu, RT.004/RW.001 Kel. German, Kec. Sugio</v>
          </cell>
          <cell r="P4520" t="str">
            <v>Lamongan</v>
          </cell>
          <cell r="Q4520" t="str">
            <v>Sugio-Kembangbahu, RT.004/RW.001 Kel. German, Kec. Sugio</v>
          </cell>
          <cell r="R4520" t="str">
            <v>Lamongan</v>
          </cell>
          <cell r="S4520" t="str">
            <v>F Utara1</v>
          </cell>
          <cell r="T4520" t="str">
            <v>Dian</v>
          </cell>
          <cell r="U4520">
            <v>30</v>
          </cell>
        </row>
        <row r="4521">
          <cell r="E4521" t="str">
            <v>B25010896</v>
          </cell>
          <cell r="F4521"/>
          <cell r="G4521">
            <v>1500000000</v>
          </cell>
          <cell r="H4521" t="str">
            <v>Reni</v>
          </cell>
          <cell r="I4521" t="str">
            <v>Fira</v>
          </cell>
          <cell r="J4521"/>
          <cell r="K4521" t="str">
            <v>BG, KU</v>
          </cell>
          <cell r="L4521" t="str">
            <v>LONT01</v>
          </cell>
          <cell r="M4521" t="str">
            <v>Lanta Bura</v>
          </cell>
          <cell r="N4521" t="str">
            <v>Moh. Mudzakir</v>
          </cell>
          <cell r="O4521" t="str">
            <v>Sugio-Kembangbahu, RT.004/RW.001 Kel. German, Kec. Sugio</v>
          </cell>
          <cell r="P4521" t="str">
            <v>Lamongan</v>
          </cell>
          <cell r="Q4521" t="str">
            <v>Sugio-Kembangbahu, RT.004/RW.001 Kel. German, Kec. Sugio</v>
          </cell>
          <cell r="R4521" t="str">
            <v>Lamongan</v>
          </cell>
          <cell r="S4521" t="str">
            <v>F Utara1</v>
          </cell>
          <cell r="T4521" t="str">
            <v>Dian</v>
          </cell>
          <cell r="U4521">
            <v>30</v>
          </cell>
        </row>
        <row r="4522">
          <cell r="E4522" t="str">
            <v>D25013019</v>
          </cell>
          <cell r="F4522"/>
          <cell r="G4522">
            <v>1500000000</v>
          </cell>
          <cell r="H4522" t="str">
            <v>Reni</v>
          </cell>
          <cell r="I4522" t="str">
            <v>Fira</v>
          </cell>
          <cell r="J4522"/>
          <cell r="K4522" t="str">
            <v>BG, KU</v>
          </cell>
          <cell r="L4522" t="str">
            <v>LONT01</v>
          </cell>
          <cell r="M4522" t="str">
            <v>Lanta Bura</v>
          </cell>
          <cell r="N4522" t="str">
            <v>Moh. Mudzakir</v>
          </cell>
          <cell r="O4522" t="str">
            <v>Sugio-Kembangbahu, RT.004/RW.001 Kel. German, Kec. Sugio</v>
          </cell>
          <cell r="P4522" t="str">
            <v>Lamongan</v>
          </cell>
          <cell r="Q4522" t="str">
            <v>Sugio-Kembangbahu, RT.004/RW.001 Kel. German, Kec. Sugio</v>
          </cell>
          <cell r="R4522" t="str">
            <v>Lamongan</v>
          </cell>
          <cell r="S4522" t="str">
            <v>F Utara1</v>
          </cell>
          <cell r="T4522" t="str">
            <v>Dian</v>
          </cell>
          <cell r="U4522">
            <v>30</v>
          </cell>
        </row>
        <row r="4523">
          <cell r="E4523" t="str">
            <v>D25013659</v>
          </cell>
          <cell r="F4523"/>
          <cell r="G4523">
            <v>1500000000</v>
          </cell>
          <cell r="H4523" t="str">
            <v>Reni</v>
          </cell>
          <cell r="I4523" t="str">
            <v>Fira</v>
          </cell>
          <cell r="J4523"/>
          <cell r="K4523" t="str">
            <v>BG, KU</v>
          </cell>
          <cell r="L4523" t="str">
            <v>LONT01</v>
          </cell>
          <cell r="M4523" t="str">
            <v>Lanta Bura</v>
          </cell>
          <cell r="N4523" t="str">
            <v>Moh. Mudzakir</v>
          </cell>
          <cell r="O4523" t="str">
            <v>Sugio-Kembangbahu, RT.004/RW.001 Kel. German, Kec. Sugio</v>
          </cell>
          <cell r="P4523" t="str">
            <v>Lamongan</v>
          </cell>
          <cell r="Q4523" t="str">
            <v>Sugio-Kembangbahu, RT.004/RW.001 Kel. German, Kec. Sugio</v>
          </cell>
          <cell r="R4523" t="str">
            <v>Lamongan</v>
          </cell>
          <cell r="S4523" t="str">
            <v>F Utara1</v>
          </cell>
          <cell r="T4523" t="str">
            <v>Dian</v>
          </cell>
          <cell r="U4523">
            <v>30</v>
          </cell>
        </row>
        <row r="4524">
          <cell r="E4524" t="str">
            <v>D25013660</v>
          </cell>
          <cell r="F4524"/>
          <cell r="G4524">
            <v>1500000000</v>
          </cell>
          <cell r="H4524" t="str">
            <v>Reni</v>
          </cell>
          <cell r="I4524" t="str">
            <v>Fira</v>
          </cell>
          <cell r="J4524"/>
          <cell r="K4524" t="str">
            <v>BG, KU</v>
          </cell>
          <cell r="L4524" t="str">
            <v>LONT01</v>
          </cell>
          <cell r="M4524" t="str">
            <v>Lanta Bura</v>
          </cell>
          <cell r="N4524" t="str">
            <v>Moh. Mudzakir</v>
          </cell>
          <cell r="O4524" t="str">
            <v>Sugio-Kembangbahu, RT.004/RW.001 Kel. German, Kec. Sugio</v>
          </cell>
          <cell r="P4524" t="str">
            <v>Lamongan</v>
          </cell>
          <cell r="Q4524" t="str">
            <v>Sugio-Kembangbahu, RT.004/RW.001 Kel. German, Kec. Sugio</v>
          </cell>
          <cell r="R4524" t="str">
            <v>Lamongan</v>
          </cell>
          <cell r="S4524" t="str">
            <v>F Utara1</v>
          </cell>
          <cell r="T4524" t="str">
            <v>Dian</v>
          </cell>
          <cell r="U4524">
            <v>30</v>
          </cell>
        </row>
        <row r="4525">
          <cell r="E4525" t="str">
            <v>D25014536</v>
          </cell>
          <cell r="F4525"/>
          <cell r="G4525">
            <v>1500000000</v>
          </cell>
          <cell r="H4525" t="str">
            <v>Reni</v>
          </cell>
          <cell r="I4525" t="str">
            <v>Fira</v>
          </cell>
          <cell r="J4525"/>
          <cell r="K4525" t="str">
            <v>BG, KU</v>
          </cell>
          <cell r="L4525" t="str">
            <v>LONT01</v>
          </cell>
          <cell r="M4525" t="str">
            <v>Lanta Bura</v>
          </cell>
          <cell r="N4525" t="str">
            <v>Moh. Mudzakir</v>
          </cell>
          <cell r="O4525" t="str">
            <v>Sugio-Kembangbahu, RT.004/RW.001 Kel. German, Kec. Sugio</v>
          </cell>
          <cell r="P4525" t="str">
            <v>Lamongan</v>
          </cell>
          <cell r="Q4525" t="str">
            <v>Sugio-Kembangbahu, RT.004/RW.001 Kel. German, Kec. Sugio</v>
          </cell>
          <cell r="R4525" t="str">
            <v>Lamongan</v>
          </cell>
          <cell r="S4525" t="str">
            <v>F Utara1</v>
          </cell>
          <cell r="T4525" t="str">
            <v>Dian</v>
          </cell>
          <cell r="U4525">
            <v>30</v>
          </cell>
        </row>
        <row r="4526">
          <cell r="E4526" t="str">
            <v>D25014743</v>
          </cell>
          <cell r="F4526"/>
          <cell r="G4526">
            <v>1500000000</v>
          </cell>
          <cell r="H4526" t="str">
            <v>Reni</v>
          </cell>
          <cell r="I4526" t="str">
            <v>Fira</v>
          </cell>
          <cell r="J4526"/>
          <cell r="K4526" t="str">
            <v>BG, KU</v>
          </cell>
          <cell r="L4526" t="str">
            <v>LONT01</v>
          </cell>
          <cell r="M4526" t="str">
            <v>Lanta Bura</v>
          </cell>
          <cell r="N4526" t="str">
            <v>Moh. Mudzakir</v>
          </cell>
          <cell r="O4526" t="str">
            <v>Sugio-Kembangbahu, RT.004/RW.001 Kel. German, Kec. Sugio</v>
          </cell>
          <cell r="P4526" t="str">
            <v>Lamongan</v>
          </cell>
          <cell r="Q4526" t="str">
            <v>Sugio-Kembangbahu, RT.004/RW.001 Kel. German, Kec. Sugio</v>
          </cell>
          <cell r="R4526" t="str">
            <v>Lamongan</v>
          </cell>
          <cell r="S4526" t="str">
            <v>F Utara1</v>
          </cell>
          <cell r="T4526" t="str">
            <v>Dian</v>
          </cell>
          <cell r="U4526">
            <v>30</v>
          </cell>
        </row>
        <row r="4527">
          <cell r="E4527" t="str">
            <v>D25015932</v>
          </cell>
          <cell r="F4527"/>
          <cell r="G4527">
            <v>1500000000</v>
          </cell>
          <cell r="H4527" t="str">
            <v>Reni</v>
          </cell>
          <cell r="I4527" t="str">
            <v>Fira</v>
          </cell>
          <cell r="J4527"/>
          <cell r="K4527" t="str">
            <v>BG, KU</v>
          </cell>
          <cell r="L4527" t="str">
            <v>LONT01</v>
          </cell>
          <cell r="M4527" t="str">
            <v>Lanta Bura</v>
          </cell>
          <cell r="N4527" t="str">
            <v>Moh. Mudzakir</v>
          </cell>
          <cell r="O4527" t="str">
            <v>Sugio-Kembangbahu, RT.004/RW.001 Kel. German, Kec. Sugio</v>
          </cell>
          <cell r="P4527" t="str">
            <v>Lamongan</v>
          </cell>
          <cell r="Q4527" t="str">
            <v>Sugio-Kembangbahu, RT.004/RW.001 Kel. German, Kec. Sugio</v>
          </cell>
          <cell r="R4527" t="str">
            <v>Lamongan</v>
          </cell>
          <cell r="S4527" t="str">
            <v>F Utara1</v>
          </cell>
          <cell r="T4527" t="str">
            <v>Dian</v>
          </cell>
          <cell r="U4527">
            <v>30</v>
          </cell>
        </row>
        <row r="4528">
          <cell r="E4528" t="str">
            <v>D25015933</v>
          </cell>
          <cell r="F4528"/>
          <cell r="G4528">
            <v>1500000000</v>
          </cell>
          <cell r="H4528" t="str">
            <v>Reni</v>
          </cell>
          <cell r="I4528" t="str">
            <v>Fira</v>
          </cell>
          <cell r="J4528"/>
          <cell r="K4528" t="str">
            <v>BG, KU</v>
          </cell>
          <cell r="L4528" t="str">
            <v>LONT01</v>
          </cell>
          <cell r="M4528" t="str">
            <v>Lanta Bura</v>
          </cell>
          <cell r="N4528" t="str">
            <v>Moh. Mudzakir</v>
          </cell>
          <cell r="O4528" t="str">
            <v>Sugio-Kembangbahu, RT.004/RW.001 Kel. German, Kec. Sugio</v>
          </cell>
          <cell r="P4528" t="str">
            <v>Lamongan</v>
          </cell>
          <cell r="Q4528" t="str">
            <v>Sugio-Kembangbahu, RT.004/RW.001 Kel. German, Kec. Sugio</v>
          </cell>
          <cell r="R4528" t="str">
            <v>Lamongan</v>
          </cell>
          <cell r="S4528" t="str">
            <v>F Utara1</v>
          </cell>
          <cell r="T4528" t="str">
            <v>Dian</v>
          </cell>
          <cell r="U4528">
            <v>30</v>
          </cell>
        </row>
        <row r="4529">
          <cell r="E4529" t="str">
            <v>D25015934</v>
          </cell>
          <cell r="F4529"/>
          <cell r="G4529">
            <v>1500000000</v>
          </cell>
          <cell r="H4529" t="str">
            <v>Reni</v>
          </cell>
          <cell r="I4529" t="str">
            <v>Fira</v>
          </cell>
          <cell r="J4529"/>
          <cell r="K4529" t="str">
            <v>BG, KU</v>
          </cell>
          <cell r="L4529" t="str">
            <v>LONT01</v>
          </cell>
          <cell r="M4529" t="str">
            <v>Lanta Bura</v>
          </cell>
          <cell r="N4529" t="str">
            <v>Moh. Mudzakir</v>
          </cell>
          <cell r="O4529" t="str">
            <v>Sugio-Kembangbahu, RT.004/RW.001 Kel. German, Kec. Sugio</v>
          </cell>
          <cell r="P4529" t="str">
            <v>Lamongan</v>
          </cell>
          <cell r="Q4529" t="str">
            <v>Sugio-Kembangbahu, RT.004/RW.001 Kel. German, Kec. Sugio</v>
          </cell>
          <cell r="R4529" t="str">
            <v>Lamongan</v>
          </cell>
          <cell r="S4529" t="str">
            <v>F Utara1</v>
          </cell>
          <cell r="T4529" t="str">
            <v>Dian</v>
          </cell>
          <cell r="U4529">
            <v>30</v>
          </cell>
        </row>
        <row r="4530">
          <cell r="E4530" t="str">
            <v>D25015574</v>
          </cell>
          <cell r="F4530"/>
          <cell r="G4530">
            <v>1000</v>
          </cell>
          <cell r="H4530" t="str">
            <v>Hendra</v>
          </cell>
          <cell r="I4530" t="str">
            <v>Tiya</v>
          </cell>
          <cell r="J4530" t="str">
            <v>New 06/05/25</v>
          </cell>
          <cell r="K4530" t="str">
            <v>CBD</v>
          </cell>
          <cell r="L4530" t="str">
            <v>LASK01</v>
          </cell>
          <cell r="M4530" t="str">
            <v>Laskar Tani</v>
          </cell>
          <cell r="N4530" t="str">
            <v>Hulifa Iski</v>
          </cell>
          <cell r="O4530" t="str">
            <v>Jangkar RT.000/RW.000 , Kel. Setungkeplingsar Kec. Keruak</v>
          </cell>
          <cell r="P4530" t="str">
            <v>Lombok Timur</v>
          </cell>
          <cell r="Q4530" t="str">
            <v>Jangkar RT.000/RW.000 , Kel. Setungkeplingsar Kec. Keruak</v>
          </cell>
          <cell r="R4530" t="str">
            <v>Lombok Timur</v>
          </cell>
          <cell r="S4530" t="str">
            <v>E Luar Pulau1</v>
          </cell>
          <cell r="T4530" t="str">
            <v>Muhlisin</v>
          </cell>
          <cell r="U4530">
            <v>15</v>
          </cell>
        </row>
        <row r="4531">
          <cell r="E4531" t="str">
            <v>B25013486</v>
          </cell>
          <cell r="F4531"/>
          <cell r="G4531">
            <v>1000</v>
          </cell>
          <cell r="H4531" t="str">
            <v>Hendra</v>
          </cell>
          <cell r="I4531" t="str">
            <v>Tiya</v>
          </cell>
          <cell r="J4531" t="str">
            <v>New 06/05/25</v>
          </cell>
          <cell r="K4531" t="str">
            <v>CBD</v>
          </cell>
          <cell r="L4531" t="str">
            <v>LASK01</v>
          </cell>
          <cell r="M4531" t="str">
            <v>Laskar Tani</v>
          </cell>
          <cell r="N4531" t="str">
            <v>Hulifa Iski</v>
          </cell>
          <cell r="O4531" t="str">
            <v>Jangkar RT.000/RW.000 , Kel. Setungkeplingsar Kec. Keruak</v>
          </cell>
          <cell r="P4531" t="str">
            <v>Lombok Timur</v>
          </cell>
          <cell r="Q4531" t="str">
            <v>Jangkar RT.000/RW.000 , Kel. Setungkeplingsar Kec. Keruak</v>
          </cell>
          <cell r="R4531" t="str">
            <v>Lombok Timur</v>
          </cell>
          <cell r="S4531" t="str">
            <v>E Luar Pulau1</v>
          </cell>
          <cell r="T4531" t="str">
            <v>Muhlisin</v>
          </cell>
          <cell r="U4531">
            <v>15</v>
          </cell>
        </row>
        <row r="4532">
          <cell r="E4532" t="str">
            <v>D25015908</v>
          </cell>
          <cell r="F4532"/>
          <cell r="G4532">
            <v>1000</v>
          </cell>
          <cell r="H4532" t="str">
            <v>Hendra</v>
          </cell>
          <cell r="I4532" t="str">
            <v>Tiya</v>
          </cell>
          <cell r="J4532" t="str">
            <v>New 06/05/25</v>
          </cell>
          <cell r="K4532" t="str">
            <v>CBD</v>
          </cell>
          <cell r="L4532" t="str">
            <v>LASK01</v>
          </cell>
          <cell r="M4532" t="str">
            <v>Laskar Tani</v>
          </cell>
          <cell r="N4532" t="str">
            <v>Hulifa Iski</v>
          </cell>
          <cell r="O4532" t="str">
            <v>Jangkar RT.000/RW.000 , Kel. Setungkeplingsar Kec. Keruak</v>
          </cell>
          <cell r="P4532" t="str">
            <v>Lombok Timur</v>
          </cell>
          <cell r="Q4532" t="str">
            <v>Jangkar RT.000/RW.000 , Kel. Setungkeplingsar Kec. Keruak</v>
          </cell>
          <cell r="R4532" t="str">
            <v>Lombok Timur</v>
          </cell>
          <cell r="S4532" t="str">
            <v>E Luar Pulau1</v>
          </cell>
          <cell r="T4532" t="str">
            <v>Muhlisin</v>
          </cell>
          <cell r="U4532">
            <v>15</v>
          </cell>
        </row>
        <row r="4533">
          <cell r="E4533" t="str">
            <v>B25013147</v>
          </cell>
          <cell r="F4533"/>
          <cell r="G4533">
            <v>1000</v>
          </cell>
          <cell r="H4533" t="str">
            <v>Hendra</v>
          </cell>
          <cell r="I4533" t="str">
            <v>Tiya</v>
          </cell>
          <cell r="J4533" t="str">
            <v>New 30/04/25</v>
          </cell>
          <cell r="K4533" t="str">
            <v>CBD</v>
          </cell>
          <cell r="L4533" t="str">
            <v>LAUT01</v>
          </cell>
          <cell r="M4533" t="str">
            <v>Lautan Luas, PT</v>
          </cell>
          <cell r="N4533" t="str">
            <v>Lautan Luas, PT</v>
          </cell>
          <cell r="O4533" t="str">
            <v>Jalan Aip II KS. Tubun Raya 77, Slipi Pal Merah , Gedung Graha Indramas LT. 6-12</v>
          </cell>
          <cell r="P4533" t="str">
            <v>Jakarta Barat</v>
          </cell>
          <cell r="Q4533" t="str">
            <v>Jalan Aip II KS. Tubun Raya 77, Slipi Pal Merah , Gedung Graha Indramas LT. 6-12</v>
          </cell>
          <cell r="R4533" t="str">
            <v>Jakarta Barat</v>
          </cell>
          <cell r="S4533" t="str">
            <v>I Jabar Jateng</v>
          </cell>
          <cell r="T4533" t="str">
            <v>Non SE &amp; JSE</v>
          </cell>
          <cell r="U4533">
            <v>15</v>
          </cell>
        </row>
        <row r="4534">
          <cell r="E4534" t="str">
            <v>T25001060</v>
          </cell>
          <cell r="F4534"/>
          <cell r="G4534">
            <v>500000000</v>
          </cell>
          <cell r="H4534" t="str">
            <v>Faris</v>
          </cell>
          <cell r="I4534" t="str">
            <v>Syahra</v>
          </cell>
          <cell r="J4534"/>
          <cell r="K4534" t="str">
            <v>KU</v>
          </cell>
          <cell r="L4534" t="str">
            <v>LAYA02</v>
          </cell>
          <cell r="M4534" t="str">
            <v>Layan Tani II</v>
          </cell>
          <cell r="N4534" t="str">
            <v>Ridwan Fauzi</v>
          </cell>
          <cell r="O4534" t="str">
            <v>Jalan Raya Purwoharjo RT.004/RW.001, Kel. Bulurejo, Kec. Purwoharjo</v>
          </cell>
          <cell r="P4534" t="str">
            <v>Banyuwangi</v>
          </cell>
          <cell r="Q4534" t="str">
            <v>Dsn. Ngadirejo, RT.004/RW.001 Kel. Bulurejo, Kec. Purwoharjo</v>
          </cell>
          <cell r="R4534" t="str">
            <v>Banyuwangi</v>
          </cell>
          <cell r="S4534" t="str">
            <v>H Bwi3</v>
          </cell>
          <cell r="T4534" t="str">
            <v>Hafid</v>
          </cell>
          <cell r="U4534">
            <v>60</v>
          </cell>
        </row>
        <row r="4535">
          <cell r="E4535" t="str">
            <v>D25010370</v>
          </cell>
          <cell r="F4535"/>
          <cell r="G4535">
            <v>500000000</v>
          </cell>
          <cell r="H4535" t="str">
            <v>Faris</v>
          </cell>
          <cell r="I4535" t="str">
            <v>Syahra</v>
          </cell>
          <cell r="J4535"/>
          <cell r="K4535" t="str">
            <v>KU</v>
          </cell>
          <cell r="L4535" t="str">
            <v>LAYA02</v>
          </cell>
          <cell r="M4535" t="str">
            <v>Layan Tani II</v>
          </cell>
          <cell r="N4535" t="str">
            <v>Ridwan Fauzi</v>
          </cell>
          <cell r="O4535" t="str">
            <v>Jalan Raya Purwoharjo RT.004/RW.001, Kel. Bulurejo, Kec. Purwoharjo</v>
          </cell>
          <cell r="P4535" t="str">
            <v>Banyuwangi</v>
          </cell>
          <cell r="Q4535" t="str">
            <v>Dsn. Ngadirejo, RT.004/RW.001 Kel. Bulurejo, Kec. Purwoharjo</v>
          </cell>
          <cell r="R4535" t="str">
            <v>Banyuwangi</v>
          </cell>
          <cell r="S4535" t="str">
            <v>H Bwi3</v>
          </cell>
          <cell r="T4535" t="str">
            <v>Hafid</v>
          </cell>
          <cell r="U4535">
            <v>60</v>
          </cell>
        </row>
        <row r="4536">
          <cell r="E4536" t="str">
            <v>D25010370</v>
          </cell>
          <cell r="F4536"/>
          <cell r="G4536">
            <v>500000000</v>
          </cell>
          <cell r="H4536" t="str">
            <v>Faris</v>
          </cell>
          <cell r="I4536" t="str">
            <v>Syahra</v>
          </cell>
          <cell r="J4536"/>
          <cell r="K4536" t="str">
            <v>KU</v>
          </cell>
          <cell r="L4536" t="str">
            <v>LAYA02</v>
          </cell>
          <cell r="M4536" t="str">
            <v>Layan Tani II</v>
          </cell>
          <cell r="N4536" t="str">
            <v>Ridwan Fauzi</v>
          </cell>
          <cell r="O4536" t="str">
            <v>Jalan Raya Purwoharjo RT.004/RW.001, Kel. Bulurejo, Kec. Purwoharjo</v>
          </cell>
          <cell r="P4536" t="str">
            <v>Banyuwangi</v>
          </cell>
          <cell r="Q4536" t="str">
            <v>Dsn. Ngadirejo, RT.004/RW.001 Kel. Bulurejo, Kec. Purwoharjo</v>
          </cell>
          <cell r="R4536" t="str">
            <v>Banyuwangi</v>
          </cell>
          <cell r="S4536" t="str">
            <v>H Bwi3</v>
          </cell>
          <cell r="T4536" t="str">
            <v>Hafid</v>
          </cell>
          <cell r="U4536">
            <v>60</v>
          </cell>
        </row>
        <row r="4537">
          <cell r="E4537" t="str">
            <v>D25010370</v>
          </cell>
          <cell r="F4537"/>
          <cell r="G4537">
            <v>500000000</v>
          </cell>
          <cell r="H4537" t="str">
            <v>Faris</v>
          </cell>
          <cell r="I4537" t="str">
            <v>Syahra</v>
          </cell>
          <cell r="J4537"/>
          <cell r="K4537" t="str">
            <v>KU</v>
          </cell>
          <cell r="L4537" t="str">
            <v>LAYA02</v>
          </cell>
          <cell r="M4537" t="str">
            <v>Layan Tani II</v>
          </cell>
          <cell r="N4537" t="str">
            <v>Ridwan Fauzi</v>
          </cell>
          <cell r="O4537" t="str">
            <v>Jalan Raya Purwoharjo RT.004/RW.001, Kel. Bulurejo, Kec. Purwoharjo</v>
          </cell>
          <cell r="P4537" t="str">
            <v>Banyuwangi</v>
          </cell>
          <cell r="Q4537" t="str">
            <v>Dsn. Ngadirejo, RT.004/RW.001 Kel. Bulurejo, Kec. Purwoharjo</v>
          </cell>
          <cell r="R4537" t="str">
            <v>Banyuwangi</v>
          </cell>
          <cell r="S4537" t="str">
            <v>H Bwi3</v>
          </cell>
          <cell r="T4537" t="str">
            <v>Hafid</v>
          </cell>
          <cell r="U4537">
            <v>60</v>
          </cell>
        </row>
        <row r="4538">
          <cell r="E4538" t="str">
            <v>B25008655</v>
          </cell>
          <cell r="F4538"/>
          <cell r="G4538">
            <v>500000000</v>
          </cell>
          <cell r="H4538" t="str">
            <v>Faris</v>
          </cell>
          <cell r="I4538" t="str">
            <v>Syahra</v>
          </cell>
          <cell r="J4538"/>
          <cell r="K4538" t="str">
            <v>KU</v>
          </cell>
          <cell r="L4538" t="str">
            <v>LAYA02</v>
          </cell>
          <cell r="M4538" t="str">
            <v>Layan Tani II</v>
          </cell>
          <cell r="N4538" t="str">
            <v>Ridwan Fauzi</v>
          </cell>
          <cell r="O4538" t="str">
            <v>Jalan Raya Purwoharjo RT.004/RW.001, Kel. Bulurejo, Kec. Purwoharjo</v>
          </cell>
          <cell r="P4538" t="str">
            <v>Banyuwangi</v>
          </cell>
          <cell r="Q4538" t="str">
            <v>Dsn. Ngadirejo, RT.004/RW.001 Kel. Bulurejo, Kec. Purwoharjo</v>
          </cell>
          <cell r="R4538" t="str">
            <v>Banyuwangi</v>
          </cell>
          <cell r="S4538" t="str">
            <v>H Bwi3</v>
          </cell>
          <cell r="T4538" t="str">
            <v>Hafid</v>
          </cell>
          <cell r="U4538">
            <v>60</v>
          </cell>
        </row>
        <row r="4539">
          <cell r="E4539" t="str">
            <v>B25008655</v>
          </cell>
          <cell r="F4539"/>
          <cell r="G4539">
            <v>500000000</v>
          </cell>
          <cell r="H4539" t="str">
            <v>Faris</v>
          </cell>
          <cell r="I4539" t="str">
            <v>Syahra</v>
          </cell>
          <cell r="J4539"/>
          <cell r="K4539" t="str">
            <v>KU</v>
          </cell>
          <cell r="L4539" t="str">
            <v>LAYA02</v>
          </cell>
          <cell r="M4539" t="str">
            <v>Layan Tani II</v>
          </cell>
          <cell r="N4539" t="str">
            <v>Ridwan Fauzi</v>
          </cell>
          <cell r="O4539" t="str">
            <v>Jalan Raya Purwoharjo RT.004/RW.001, Kel. Bulurejo, Kec. Purwoharjo</v>
          </cell>
          <cell r="P4539" t="str">
            <v>Banyuwangi</v>
          </cell>
          <cell r="Q4539" t="str">
            <v>Dsn. Ngadirejo, RT.004/RW.001 Kel. Bulurejo, Kec. Purwoharjo</v>
          </cell>
          <cell r="R4539" t="str">
            <v>Banyuwangi</v>
          </cell>
          <cell r="S4539" t="str">
            <v>H Bwi3</v>
          </cell>
          <cell r="T4539" t="str">
            <v>Hafid</v>
          </cell>
          <cell r="U4539">
            <v>60</v>
          </cell>
        </row>
        <row r="4540">
          <cell r="E4540" t="str">
            <v>D25010568</v>
          </cell>
          <cell r="F4540"/>
          <cell r="G4540">
            <v>500000000</v>
          </cell>
          <cell r="H4540" t="str">
            <v>Faris</v>
          </cell>
          <cell r="I4540" t="str">
            <v>Syahra</v>
          </cell>
          <cell r="J4540"/>
          <cell r="K4540" t="str">
            <v>KU</v>
          </cell>
          <cell r="L4540" t="str">
            <v>LAYA02</v>
          </cell>
          <cell r="M4540" t="str">
            <v>Layan Tani II</v>
          </cell>
          <cell r="N4540" t="str">
            <v>Ridwan Fauzi</v>
          </cell>
          <cell r="O4540" t="str">
            <v>Jalan Raya Purwoharjo RT.004/RW.001, Kel. Bulurejo, Kec. Purwoharjo</v>
          </cell>
          <cell r="P4540" t="str">
            <v>Banyuwangi</v>
          </cell>
          <cell r="Q4540" t="str">
            <v>Dsn. Ngadirejo, RT.004/RW.001 Kel. Bulurejo, Kec. Purwoharjo</v>
          </cell>
          <cell r="R4540" t="str">
            <v>Banyuwangi</v>
          </cell>
          <cell r="S4540" t="str">
            <v>H Bwi3</v>
          </cell>
          <cell r="T4540" t="str">
            <v>Hafid</v>
          </cell>
          <cell r="U4540">
            <v>60</v>
          </cell>
        </row>
        <row r="4541">
          <cell r="E4541" t="str">
            <v>T25001093</v>
          </cell>
          <cell r="F4541"/>
          <cell r="G4541">
            <v>500000000</v>
          </cell>
          <cell r="H4541" t="str">
            <v>Faris</v>
          </cell>
          <cell r="I4541" t="str">
            <v>Syahra</v>
          </cell>
          <cell r="J4541"/>
          <cell r="K4541" t="str">
            <v>KU</v>
          </cell>
          <cell r="L4541" t="str">
            <v>LAYA02</v>
          </cell>
          <cell r="M4541" t="str">
            <v>Layan Tani II</v>
          </cell>
          <cell r="N4541" t="str">
            <v>Ridwan Fauzi</v>
          </cell>
          <cell r="O4541" t="str">
            <v>Jalan Raya Purwoharjo RT.004/RW.001, Kel. Bulurejo, Kec. Purwoharjo</v>
          </cell>
          <cell r="P4541" t="str">
            <v>Banyuwangi</v>
          </cell>
          <cell r="Q4541" t="str">
            <v>Dsn. Ngadirejo, RT.004/RW.001 Kel. Bulurejo, Kec. Purwoharjo</v>
          </cell>
          <cell r="R4541" t="str">
            <v>Banyuwangi</v>
          </cell>
          <cell r="S4541" t="str">
            <v>H Bwi3</v>
          </cell>
          <cell r="T4541" t="str">
            <v>Hafid</v>
          </cell>
          <cell r="U4541">
            <v>60</v>
          </cell>
        </row>
        <row r="4542">
          <cell r="E4542" t="str">
            <v>D25010783</v>
          </cell>
          <cell r="F4542"/>
          <cell r="G4542">
            <v>500000000</v>
          </cell>
          <cell r="H4542" t="str">
            <v>Faris</v>
          </cell>
          <cell r="I4542" t="str">
            <v>Syahra</v>
          </cell>
          <cell r="J4542"/>
          <cell r="K4542" t="str">
            <v>KU</v>
          </cell>
          <cell r="L4542" t="str">
            <v>LAYA02</v>
          </cell>
          <cell r="M4542" t="str">
            <v>Layan Tani II</v>
          </cell>
          <cell r="N4542" t="str">
            <v>Ridwan Fauzi</v>
          </cell>
          <cell r="O4542" t="str">
            <v>Jalan Raya Purwoharjo RT.004/RW.001, Kel. Bulurejo, Kec. Purwoharjo</v>
          </cell>
          <cell r="P4542" t="str">
            <v>Banyuwangi</v>
          </cell>
          <cell r="Q4542" t="str">
            <v>Dsn. Ngadirejo, RT.004/RW.001 Kel. Bulurejo, Kec. Purwoharjo</v>
          </cell>
          <cell r="R4542" t="str">
            <v>Banyuwangi</v>
          </cell>
          <cell r="S4542" t="str">
            <v>H Bwi3</v>
          </cell>
          <cell r="T4542" t="str">
            <v>Hafid</v>
          </cell>
          <cell r="U4542">
            <v>60</v>
          </cell>
        </row>
        <row r="4543">
          <cell r="E4543" t="str">
            <v>D25010783</v>
          </cell>
          <cell r="F4543"/>
          <cell r="G4543">
            <v>500000000</v>
          </cell>
          <cell r="H4543" t="str">
            <v>Faris</v>
          </cell>
          <cell r="I4543" t="str">
            <v>Syahra</v>
          </cell>
          <cell r="J4543"/>
          <cell r="K4543" t="str">
            <v>KU</v>
          </cell>
          <cell r="L4543" t="str">
            <v>LAYA02</v>
          </cell>
          <cell r="M4543" t="str">
            <v>Layan Tani II</v>
          </cell>
          <cell r="N4543" t="str">
            <v>Ridwan Fauzi</v>
          </cell>
          <cell r="O4543" t="str">
            <v>Jalan Raya Purwoharjo RT.004/RW.001, Kel. Bulurejo, Kec. Purwoharjo</v>
          </cell>
          <cell r="P4543" t="str">
            <v>Banyuwangi</v>
          </cell>
          <cell r="Q4543" t="str">
            <v>Dsn. Ngadirejo, RT.004/RW.001 Kel. Bulurejo, Kec. Purwoharjo</v>
          </cell>
          <cell r="R4543" t="str">
            <v>Banyuwangi</v>
          </cell>
          <cell r="S4543" t="str">
            <v>H Bwi3</v>
          </cell>
          <cell r="T4543" t="str">
            <v>Hafid</v>
          </cell>
          <cell r="U4543">
            <v>60</v>
          </cell>
        </row>
        <row r="4544">
          <cell r="E4544" t="str">
            <v>B25008984</v>
          </cell>
          <cell r="F4544"/>
          <cell r="G4544">
            <v>500000000</v>
          </cell>
          <cell r="H4544" t="str">
            <v>Faris</v>
          </cell>
          <cell r="I4544" t="str">
            <v>Syahra</v>
          </cell>
          <cell r="J4544"/>
          <cell r="K4544" t="str">
            <v>KU</v>
          </cell>
          <cell r="L4544" t="str">
            <v>LAYA02</v>
          </cell>
          <cell r="M4544" t="str">
            <v>Layan Tani II</v>
          </cell>
          <cell r="N4544" t="str">
            <v>Ridwan Fauzi</v>
          </cell>
          <cell r="O4544" t="str">
            <v>Jalan Raya Purwoharjo RT.004/RW.001, Kel. Bulurejo, Kec. Purwoharjo</v>
          </cell>
          <cell r="P4544" t="str">
            <v>Banyuwangi</v>
          </cell>
          <cell r="Q4544" t="str">
            <v>Dsn. Ngadirejo, RT.004/RW.001 Kel. Bulurejo, Kec. Purwoharjo</v>
          </cell>
          <cell r="R4544" t="str">
            <v>Banyuwangi</v>
          </cell>
          <cell r="S4544" t="str">
            <v>H Bwi3</v>
          </cell>
          <cell r="T4544" t="str">
            <v>Hafid</v>
          </cell>
          <cell r="U4544">
            <v>60</v>
          </cell>
        </row>
        <row r="4545">
          <cell r="E4545" t="str">
            <v>T25001196</v>
          </cell>
          <cell r="F4545"/>
          <cell r="G4545">
            <v>500000000</v>
          </cell>
          <cell r="H4545" t="str">
            <v>Faris</v>
          </cell>
          <cell r="I4545" t="str">
            <v>Syahra</v>
          </cell>
          <cell r="J4545"/>
          <cell r="K4545" t="str">
            <v>KU</v>
          </cell>
          <cell r="L4545" t="str">
            <v>LAYA02</v>
          </cell>
          <cell r="M4545" t="str">
            <v>Layan Tani II</v>
          </cell>
          <cell r="N4545" t="str">
            <v>Ridwan Fauzi</v>
          </cell>
          <cell r="O4545" t="str">
            <v>Jalan Raya Purwoharjo RT.004/RW.001, Kel. Bulurejo, Kec. Purwoharjo</v>
          </cell>
          <cell r="P4545" t="str">
            <v>Banyuwangi</v>
          </cell>
          <cell r="Q4545" t="str">
            <v>Dsn. Ngadirejo, RT.004/RW.001 Kel. Bulurejo, Kec. Purwoharjo</v>
          </cell>
          <cell r="R4545" t="str">
            <v>Banyuwangi</v>
          </cell>
          <cell r="S4545" t="str">
            <v>H Bwi3</v>
          </cell>
          <cell r="T4545" t="str">
            <v>Hafid</v>
          </cell>
          <cell r="U4545">
            <v>60</v>
          </cell>
        </row>
        <row r="4546">
          <cell r="E4546" t="str">
            <v>T25001196</v>
          </cell>
          <cell r="F4546"/>
          <cell r="G4546">
            <v>500000000</v>
          </cell>
          <cell r="H4546" t="str">
            <v>Faris</v>
          </cell>
          <cell r="I4546" t="str">
            <v>Syahra</v>
          </cell>
          <cell r="J4546"/>
          <cell r="K4546" t="str">
            <v>KU</v>
          </cell>
          <cell r="L4546" t="str">
            <v>LAYA02</v>
          </cell>
          <cell r="M4546" t="str">
            <v>Layan Tani II</v>
          </cell>
          <cell r="N4546" t="str">
            <v>Ridwan Fauzi</v>
          </cell>
          <cell r="O4546" t="str">
            <v>Jalan Raya Purwoharjo RT.004/RW.001, Kel. Bulurejo, Kec. Purwoharjo</v>
          </cell>
          <cell r="P4546" t="str">
            <v>Banyuwangi</v>
          </cell>
          <cell r="Q4546" t="str">
            <v>Dsn. Ngadirejo, RT.004/RW.001 Kel. Bulurejo, Kec. Purwoharjo</v>
          </cell>
          <cell r="R4546" t="str">
            <v>Banyuwangi</v>
          </cell>
          <cell r="S4546" t="str">
            <v>H Bwi3</v>
          </cell>
          <cell r="T4546" t="str">
            <v>Hafid</v>
          </cell>
          <cell r="U4546">
            <v>60</v>
          </cell>
        </row>
        <row r="4547">
          <cell r="E4547" t="str">
            <v>T25001245</v>
          </cell>
          <cell r="F4547"/>
          <cell r="G4547">
            <v>500000000</v>
          </cell>
          <cell r="H4547" t="str">
            <v>Faris</v>
          </cell>
          <cell r="I4547" t="str">
            <v>Syahra</v>
          </cell>
          <cell r="J4547"/>
          <cell r="K4547" t="str">
            <v>KU</v>
          </cell>
          <cell r="L4547" t="str">
            <v>LAYA02</v>
          </cell>
          <cell r="M4547" t="str">
            <v>Layan Tani II</v>
          </cell>
          <cell r="N4547" t="str">
            <v>Ridwan Fauzi</v>
          </cell>
          <cell r="O4547" t="str">
            <v>Jalan Raya Purwoharjo RT.004/RW.001, Kel. Bulurejo, Kec. Purwoharjo</v>
          </cell>
          <cell r="P4547" t="str">
            <v>Banyuwangi</v>
          </cell>
          <cell r="Q4547" t="str">
            <v>Dsn. Ngadirejo, RT.004/RW.001 Kel. Bulurejo, Kec. Purwoharjo</v>
          </cell>
          <cell r="R4547" t="str">
            <v>Banyuwangi</v>
          </cell>
          <cell r="S4547" t="str">
            <v>H Bwi3</v>
          </cell>
          <cell r="T4547" t="str">
            <v>Hafid</v>
          </cell>
          <cell r="U4547">
            <v>60</v>
          </cell>
        </row>
        <row r="4548">
          <cell r="E4548" t="str">
            <v>T25001246</v>
          </cell>
          <cell r="F4548"/>
          <cell r="G4548">
            <v>500000000</v>
          </cell>
          <cell r="H4548" t="str">
            <v>Faris</v>
          </cell>
          <cell r="I4548" t="str">
            <v>Syahra</v>
          </cell>
          <cell r="J4548"/>
          <cell r="K4548" t="str">
            <v>KU</v>
          </cell>
          <cell r="L4548" t="str">
            <v>LAYA02</v>
          </cell>
          <cell r="M4548" t="str">
            <v>Layan Tani II</v>
          </cell>
          <cell r="N4548" t="str">
            <v>Ridwan Fauzi</v>
          </cell>
          <cell r="O4548" t="str">
            <v>Jalan Raya Purwoharjo RT.004/RW.001, Kel. Bulurejo, Kec. Purwoharjo</v>
          </cell>
          <cell r="P4548" t="str">
            <v>Banyuwangi</v>
          </cell>
          <cell r="Q4548" t="str">
            <v>Dsn. Ngadirejo, RT.004/RW.001 Kel. Bulurejo, Kec. Purwoharjo</v>
          </cell>
          <cell r="R4548" t="str">
            <v>Banyuwangi</v>
          </cell>
          <cell r="S4548" t="str">
            <v>H Bwi3</v>
          </cell>
          <cell r="T4548" t="str">
            <v>Hafid</v>
          </cell>
          <cell r="U4548">
            <v>60</v>
          </cell>
        </row>
        <row r="4549">
          <cell r="E4549" t="str">
            <v>B25010604</v>
          </cell>
          <cell r="F4549"/>
          <cell r="G4549">
            <v>500000000</v>
          </cell>
          <cell r="H4549" t="str">
            <v>Faris</v>
          </cell>
          <cell r="I4549" t="str">
            <v>Syahra</v>
          </cell>
          <cell r="J4549"/>
          <cell r="K4549" t="str">
            <v>KU</v>
          </cell>
          <cell r="L4549" t="str">
            <v>LAYA02</v>
          </cell>
          <cell r="M4549" t="str">
            <v>Layan Tani II</v>
          </cell>
          <cell r="N4549" t="str">
            <v>Ridwan Fauzi</v>
          </cell>
          <cell r="O4549" t="str">
            <v>Jalan Raya Purwoharjo RT.004/RW.001, Kel. Bulurejo, Kec. Purwoharjo</v>
          </cell>
          <cell r="P4549" t="str">
            <v>Banyuwangi</v>
          </cell>
          <cell r="Q4549" t="str">
            <v>Dsn. Ngadirejo, RT.004/RW.001 Kel. Bulurejo, Kec. Purwoharjo</v>
          </cell>
          <cell r="R4549" t="str">
            <v>Banyuwangi</v>
          </cell>
          <cell r="S4549" t="str">
            <v>H Bwi3</v>
          </cell>
          <cell r="T4549" t="str">
            <v>Hafid</v>
          </cell>
          <cell r="U4549">
            <v>60</v>
          </cell>
        </row>
        <row r="4550">
          <cell r="E4550" t="str">
            <v>T25001286</v>
          </cell>
          <cell r="F4550"/>
          <cell r="G4550">
            <v>500000000</v>
          </cell>
          <cell r="H4550" t="str">
            <v>Faris</v>
          </cell>
          <cell r="I4550" t="str">
            <v>Syahra</v>
          </cell>
          <cell r="J4550"/>
          <cell r="K4550" t="str">
            <v>KU</v>
          </cell>
          <cell r="L4550" t="str">
            <v>LAYA02</v>
          </cell>
          <cell r="M4550" t="str">
            <v>Layan Tani II</v>
          </cell>
          <cell r="N4550" t="str">
            <v>Ridwan Fauzi</v>
          </cell>
          <cell r="O4550" t="str">
            <v>Jalan Raya Purwoharjo RT.004/RW.001, Kel. Bulurejo, Kec. Purwoharjo</v>
          </cell>
          <cell r="P4550" t="str">
            <v>Banyuwangi</v>
          </cell>
          <cell r="Q4550" t="str">
            <v>Dsn. Ngadirejo, RT.004/RW.001 Kel. Bulurejo, Kec. Purwoharjo</v>
          </cell>
          <cell r="R4550" t="str">
            <v>Banyuwangi</v>
          </cell>
          <cell r="S4550" t="str">
            <v>H Bwi3</v>
          </cell>
          <cell r="T4550" t="str">
            <v>Hafid</v>
          </cell>
          <cell r="U4550">
            <v>60</v>
          </cell>
        </row>
        <row r="4551">
          <cell r="E4551" t="str">
            <v>B25010800</v>
          </cell>
          <cell r="F4551"/>
          <cell r="G4551">
            <v>500000000</v>
          </cell>
          <cell r="H4551" t="str">
            <v>Faris</v>
          </cell>
          <cell r="I4551" t="str">
            <v>Syahra</v>
          </cell>
          <cell r="J4551"/>
          <cell r="K4551" t="str">
            <v>KU</v>
          </cell>
          <cell r="L4551" t="str">
            <v>LAYA02</v>
          </cell>
          <cell r="M4551" t="str">
            <v>Layan Tani II</v>
          </cell>
          <cell r="N4551" t="str">
            <v>Ridwan Fauzi</v>
          </cell>
          <cell r="O4551" t="str">
            <v>Jalan Raya Purwoharjo RT.004/RW.001, Kel. Bulurejo, Kec. Purwoharjo</v>
          </cell>
          <cell r="P4551" t="str">
            <v>Banyuwangi</v>
          </cell>
          <cell r="Q4551" t="str">
            <v>Dsn. Ngadirejo, RT.004/RW.001 Kel. Bulurejo, Kec. Purwoharjo</v>
          </cell>
          <cell r="R4551" t="str">
            <v>Banyuwangi</v>
          </cell>
          <cell r="S4551" t="str">
            <v>H Bwi3</v>
          </cell>
          <cell r="T4551" t="str">
            <v>Hafid</v>
          </cell>
          <cell r="U4551">
            <v>60</v>
          </cell>
        </row>
        <row r="4552">
          <cell r="E4552" t="str">
            <v>B25010830</v>
          </cell>
          <cell r="F4552"/>
          <cell r="G4552">
            <v>500000000</v>
          </cell>
          <cell r="H4552" t="str">
            <v>Faris</v>
          </cell>
          <cell r="I4552" t="str">
            <v>Syahra</v>
          </cell>
          <cell r="J4552"/>
          <cell r="K4552" t="str">
            <v>KU</v>
          </cell>
          <cell r="L4552" t="str">
            <v>LAYA02</v>
          </cell>
          <cell r="M4552" t="str">
            <v>Layan Tani II</v>
          </cell>
          <cell r="N4552" t="str">
            <v>Ridwan Fauzi</v>
          </cell>
          <cell r="O4552" t="str">
            <v>Jalan Raya Purwoharjo RT.004/RW.001, Kel. Bulurejo, Kec. Purwoharjo</v>
          </cell>
          <cell r="P4552" t="str">
            <v>Banyuwangi</v>
          </cell>
          <cell r="Q4552" t="str">
            <v>Dsn. Ngadirejo, RT.004/RW.001 Kel. Bulurejo, Kec. Purwoharjo</v>
          </cell>
          <cell r="R4552" t="str">
            <v>Banyuwangi</v>
          </cell>
          <cell r="S4552" t="str">
            <v>H Bwi3</v>
          </cell>
          <cell r="T4552" t="str">
            <v>Hafid</v>
          </cell>
          <cell r="U4552">
            <v>60</v>
          </cell>
        </row>
        <row r="4553">
          <cell r="E4553" t="str">
            <v>D25012885</v>
          </cell>
          <cell r="F4553"/>
          <cell r="G4553">
            <v>500000000</v>
          </cell>
          <cell r="H4553" t="str">
            <v>Faris</v>
          </cell>
          <cell r="I4553" t="str">
            <v>Syahra</v>
          </cell>
          <cell r="J4553"/>
          <cell r="K4553" t="str">
            <v>KU</v>
          </cell>
          <cell r="L4553" t="str">
            <v>LAYA02</v>
          </cell>
          <cell r="M4553" t="str">
            <v>Layan Tani II</v>
          </cell>
          <cell r="N4553" t="str">
            <v>Ridwan Fauzi</v>
          </cell>
          <cell r="O4553" t="str">
            <v>Jalan Raya Purwoharjo RT.004/RW.001, Kel. Bulurejo, Kec. Purwoharjo</v>
          </cell>
          <cell r="P4553" t="str">
            <v>Banyuwangi</v>
          </cell>
          <cell r="Q4553" t="str">
            <v>Dsn. Ngadirejo, RT.004/RW.001 Kel. Bulurejo, Kec. Purwoharjo</v>
          </cell>
          <cell r="R4553" t="str">
            <v>Banyuwangi</v>
          </cell>
          <cell r="S4553" t="str">
            <v>H Bwi3</v>
          </cell>
          <cell r="T4553" t="str">
            <v>Hafid</v>
          </cell>
          <cell r="U4553">
            <v>60</v>
          </cell>
        </row>
        <row r="4554">
          <cell r="E4554">
            <v>250073</v>
          </cell>
          <cell r="F4554"/>
          <cell r="G4554">
            <v>500000000</v>
          </cell>
          <cell r="H4554" t="str">
            <v>Faris</v>
          </cell>
          <cell r="I4554" t="str">
            <v>Syahra</v>
          </cell>
          <cell r="J4554"/>
          <cell r="K4554" t="str">
            <v>KU</v>
          </cell>
          <cell r="L4554" t="str">
            <v>LAYA02</v>
          </cell>
          <cell r="M4554" t="str">
            <v>Layan Tani II</v>
          </cell>
          <cell r="N4554" t="str">
            <v>Ridwan Fauzi</v>
          </cell>
          <cell r="O4554" t="str">
            <v>Jalan Raya Purwoharjo RT.004/RW.001, Kel. Bulurejo, Kec. Purwoharjo</v>
          </cell>
          <cell r="P4554" t="str">
            <v>Banyuwangi</v>
          </cell>
          <cell r="Q4554" t="str">
            <v>Dsn. Ngadirejo, RT.004/RW.001 Kel. Bulurejo, Kec. Purwoharjo</v>
          </cell>
          <cell r="R4554" t="str">
            <v>Banyuwangi</v>
          </cell>
          <cell r="S4554" t="str">
            <v>H Bwi3</v>
          </cell>
          <cell r="T4554" t="str">
            <v>Hafid</v>
          </cell>
          <cell r="U4554">
            <v>30</v>
          </cell>
        </row>
        <row r="4555">
          <cell r="E4555" t="str">
            <v>D25013070</v>
          </cell>
          <cell r="F4555"/>
          <cell r="G4555">
            <v>500000000</v>
          </cell>
          <cell r="H4555" t="str">
            <v>Faris</v>
          </cell>
          <cell r="I4555" t="str">
            <v>Syahra</v>
          </cell>
          <cell r="J4555"/>
          <cell r="K4555" t="str">
            <v>KU</v>
          </cell>
          <cell r="L4555" t="str">
            <v>LAYA02</v>
          </cell>
          <cell r="M4555" t="str">
            <v>Layan Tani II</v>
          </cell>
          <cell r="N4555" t="str">
            <v>Ridwan Fauzi</v>
          </cell>
          <cell r="O4555" t="str">
            <v>Jalan Raya Purwoharjo RT.004/RW.001, Kel. Bulurejo, Kec. Purwoharjo</v>
          </cell>
          <cell r="P4555" t="str">
            <v>Banyuwangi</v>
          </cell>
          <cell r="Q4555" t="str">
            <v>Dsn. Ngadirejo, RT.004/RW.001 Kel. Bulurejo, Kec. Purwoharjo</v>
          </cell>
          <cell r="R4555" t="str">
            <v>Banyuwangi</v>
          </cell>
          <cell r="S4555" t="str">
            <v>H Bwi3</v>
          </cell>
          <cell r="T4555" t="str">
            <v>Hafid</v>
          </cell>
          <cell r="U4555">
            <v>60</v>
          </cell>
        </row>
        <row r="4556">
          <cell r="E4556" t="str">
            <v>B25011574</v>
          </cell>
          <cell r="F4556"/>
          <cell r="G4556">
            <v>500000000</v>
          </cell>
          <cell r="H4556" t="str">
            <v>Faris</v>
          </cell>
          <cell r="I4556" t="str">
            <v>Syahra</v>
          </cell>
          <cell r="J4556"/>
          <cell r="K4556" t="str">
            <v>KU</v>
          </cell>
          <cell r="L4556" t="str">
            <v>LAYA02</v>
          </cell>
          <cell r="M4556" t="str">
            <v>Layan Tani II</v>
          </cell>
          <cell r="N4556" t="str">
            <v>Ridwan Fauzi</v>
          </cell>
          <cell r="O4556" t="str">
            <v>Jalan Raya Purwoharjo RT.004/RW.001, Kel. Bulurejo, Kec. Purwoharjo</v>
          </cell>
          <cell r="P4556" t="str">
            <v>Banyuwangi</v>
          </cell>
          <cell r="Q4556" t="str">
            <v>Dsn. Ngadirejo, RT.004/RW.001 Kel. Bulurejo, Kec. Purwoharjo</v>
          </cell>
          <cell r="R4556" t="str">
            <v>Banyuwangi</v>
          </cell>
          <cell r="S4556" t="str">
            <v>H Bwi3</v>
          </cell>
          <cell r="T4556" t="str">
            <v>Hafid</v>
          </cell>
          <cell r="U4556">
            <v>60</v>
          </cell>
        </row>
        <row r="4557">
          <cell r="E4557" t="str">
            <v>B25011734</v>
          </cell>
          <cell r="F4557"/>
          <cell r="G4557">
            <v>500000000</v>
          </cell>
          <cell r="H4557" t="str">
            <v>Faris</v>
          </cell>
          <cell r="I4557" t="str">
            <v>Syahra</v>
          </cell>
          <cell r="J4557"/>
          <cell r="K4557" t="str">
            <v>KU</v>
          </cell>
          <cell r="L4557" t="str">
            <v>LAYA02</v>
          </cell>
          <cell r="M4557" t="str">
            <v>Layan Tani II</v>
          </cell>
          <cell r="N4557" t="str">
            <v>Ridwan Fauzi</v>
          </cell>
          <cell r="O4557" t="str">
            <v>Jalan Raya Purwoharjo RT.004/RW.001, Kel. Bulurejo, Kec. Purwoharjo</v>
          </cell>
          <cell r="P4557" t="str">
            <v>Banyuwangi</v>
          </cell>
          <cell r="Q4557" t="str">
            <v>Dsn. Ngadirejo, RT.004/RW.001 Kel. Bulurejo, Kec. Purwoharjo</v>
          </cell>
          <cell r="R4557" t="str">
            <v>Banyuwangi</v>
          </cell>
          <cell r="S4557" t="str">
            <v>H Bwi3</v>
          </cell>
          <cell r="T4557" t="str">
            <v>Hafid</v>
          </cell>
          <cell r="U4557">
            <v>60</v>
          </cell>
        </row>
        <row r="4558">
          <cell r="E4558">
            <v>250123</v>
          </cell>
          <cell r="F4558"/>
          <cell r="G4558">
            <v>500000000</v>
          </cell>
          <cell r="H4558" t="str">
            <v>Faris</v>
          </cell>
          <cell r="I4558" t="str">
            <v>Syahra</v>
          </cell>
          <cell r="J4558"/>
          <cell r="K4558" t="str">
            <v>KU</v>
          </cell>
          <cell r="L4558" t="str">
            <v>LAYA02</v>
          </cell>
          <cell r="M4558" t="str">
            <v>Layan Tani II</v>
          </cell>
          <cell r="N4558" t="str">
            <v>Ridwan Fauzi</v>
          </cell>
          <cell r="O4558" t="str">
            <v>Jalan Raya Purwoharjo RT.004/RW.001, Kel. Bulurejo, Kec. Purwoharjo</v>
          </cell>
          <cell r="P4558" t="str">
            <v>Banyuwangi</v>
          </cell>
          <cell r="Q4558" t="str">
            <v>Dsn. Ngadirejo, RT.004/RW.001 Kel. Bulurejo, Kec. Purwoharjo</v>
          </cell>
          <cell r="R4558" t="str">
            <v>Banyuwangi</v>
          </cell>
          <cell r="S4558" t="str">
            <v>H Bwi3</v>
          </cell>
          <cell r="T4558" t="str">
            <v>Hafid</v>
          </cell>
          <cell r="U4558">
            <v>30</v>
          </cell>
        </row>
        <row r="4559">
          <cell r="E4559" t="str">
            <v>D25015134</v>
          </cell>
          <cell r="F4559"/>
          <cell r="G4559">
            <v>500000000</v>
          </cell>
          <cell r="H4559" t="str">
            <v>Faris</v>
          </cell>
          <cell r="I4559" t="str">
            <v>Syahra</v>
          </cell>
          <cell r="J4559"/>
          <cell r="K4559" t="str">
            <v>KU</v>
          </cell>
          <cell r="L4559" t="str">
            <v>LAYA02</v>
          </cell>
          <cell r="M4559" t="str">
            <v>Layan Tani II</v>
          </cell>
          <cell r="N4559" t="str">
            <v>Ridwan Fauzi</v>
          </cell>
          <cell r="O4559" t="str">
            <v>Jalan Raya Purwoharjo RT.004/RW.001, Kel. Bulurejo, Kec. Purwoharjo</v>
          </cell>
          <cell r="P4559" t="str">
            <v>Banyuwangi</v>
          </cell>
          <cell r="Q4559" t="str">
            <v>Dsn. Ngadirejo, RT.004/RW.001 Kel. Bulurejo, Kec. Purwoharjo</v>
          </cell>
          <cell r="R4559" t="str">
            <v>Banyuwangi</v>
          </cell>
          <cell r="S4559" t="str">
            <v>H Bwi3</v>
          </cell>
          <cell r="T4559" t="str">
            <v>Hafid</v>
          </cell>
          <cell r="U4559">
            <v>60</v>
          </cell>
        </row>
        <row r="4560">
          <cell r="E4560" t="str">
            <v>D25015237</v>
          </cell>
          <cell r="F4560"/>
          <cell r="G4560">
            <v>500000000</v>
          </cell>
          <cell r="H4560" t="str">
            <v>Faris</v>
          </cell>
          <cell r="I4560" t="str">
            <v>Syahra</v>
          </cell>
          <cell r="J4560"/>
          <cell r="K4560" t="str">
            <v>KU</v>
          </cell>
          <cell r="L4560" t="str">
            <v>LAYA02</v>
          </cell>
          <cell r="M4560" t="str">
            <v>Layan Tani II</v>
          </cell>
          <cell r="N4560" t="str">
            <v>Ridwan Fauzi</v>
          </cell>
          <cell r="O4560" t="str">
            <v>Jalan Raya Purwoharjo RT.004/RW.001, Kel. Bulurejo, Kec. Purwoharjo</v>
          </cell>
          <cell r="P4560" t="str">
            <v>Banyuwangi</v>
          </cell>
          <cell r="Q4560" t="str">
            <v>Dsn. Ngadirejo, RT.004/RW.001 Kel. Bulurejo, Kec. Purwoharjo</v>
          </cell>
          <cell r="R4560" t="str">
            <v>Banyuwangi</v>
          </cell>
          <cell r="S4560" t="str">
            <v>H Bwi3</v>
          </cell>
          <cell r="T4560" t="str">
            <v>Hafid</v>
          </cell>
          <cell r="U4560">
            <v>60</v>
          </cell>
        </row>
        <row r="4561">
          <cell r="E4561" t="str">
            <v>B25012977</v>
          </cell>
          <cell r="F4561"/>
          <cell r="G4561">
            <v>500000000</v>
          </cell>
          <cell r="H4561" t="str">
            <v>Faris</v>
          </cell>
          <cell r="I4561" t="str">
            <v>Syahra</v>
          </cell>
          <cell r="J4561"/>
          <cell r="K4561" t="str">
            <v>KU</v>
          </cell>
          <cell r="L4561" t="str">
            <v>LAYA02</v>
          </cell>
          <cell r="M4561" t="str">
            <v>Layan Tani II</v>
          </cell>
          <cell r="N4561" t="str">
            <v>Ridwan Fauzi</v>
          </cell>
          <cell r="O4561" t="str">
            <v>Jalan Raya Purwoharjo RT.004/RW.001, Kel. Bulurejo, Kec. Purwoharjo</v>
          </cell>
          <cell r="P4561" t="str">
            <v>Banyuwangi</v>
          </cell>
          <cell r="Q4561" t="str">
            <v>Dsn. Ngadirejo, RT.004/RW.001 Kel. Bulurejo, Kec. Purwoharjo</v>
          </cell>
          <cell r="R4561" t="str">
            <v>Banyuwangi</v>
          </cell>
          <cell r="S4561" t="str">
            <v>H Bwi3</v>
          </cell>
          <cell r="T4561" t="str">
            <v>Hafid</v>
          </cell>
          <cell r="U4561">
            <v>60</v>
          </cell>
        </row>
        <row r="4562">
          <cell r="E4562" t="str">
            <v>D25015318</v>
          </cell>
          <cell r="F4562"/>
          <cell r="G4562">
            <v>500000000</v>
          </cell>
          <cell r="H4562" t="str">
            <v>Faris</v>
          </cell>
          <cell r="I4562" t="str">
            <v>Syahra</v>
          </cell>
          <cell r="J4562"/>
          <cell r="K4562" t="str">
            <v>KU</v>
          </cell>
          <cell r="L4562" t="str">
            <v>LAYA02</v>
          </cell>
          <cell r="M4562" t="str">
            <v>Layan Tani II</v>
          </cell>
          <cell r="N4562" t="str">
            <v>Ridwan Fauzi</v>
          </cell>
          <cell r="O4562" t="str">
            <v>Jalan Raya Purwoharjo RT.004/RW.001, Kel. Bulurejo, Kec. Purwoharjo</v>
          </cell>
          <cell r="P4562" t="str">
            <v>Banyuwangi</v>
          </cell>
          <cell r="Q4562" t="str">
            <v>Dsn. Ngadirejo, RT.004/RW.001 Kel. Bulurejo, Kec. Purwoharjo</v>
          </cell>
          <cell r="R4562" t="str">
            <v>Banyuwangi</v>
          </cell>
          <cell r="S4562" t="str">
            <v>H Bwi3</v>
          </cell>
          <cell r="T4562" t="str">
            <v>Hafid</v>
          </cell>
          <cell r="U4562">
            <v>60</v>
          </cell>
        </row>
        <row r="4563">
          <cell r="E4563" t="str">
            <v>B25013244</v>
          </cell>
          <cell r="F4563"/>
          <cell r="G4563">
            <v>500000000</v>
          </cell>
          <cell r="H4563" t="str">
            <v>Faris</v>
          </cell>
          <cell r="I4563" t="str">
            <v>Syahra</v>
          </cell>
          <cell r="J4563"/>
          <cell r="K4563" t="str">
            <v>KU</v>
          </cell>
          <cell r="L4563" t="str">
            <v>LAYA02</v>
          </cell>
          <cell r="M4563" t="str">
            <v>Layan Tani II</v>
          </cell>
          <cell r="N4563" t="str">
            <v>Ridwan Fauzi</v>
          </cell>
          <cell r="O4563" t="str">
            <v>Jalan Raya Purwoharjo RT.004/RW.001, Kel. Bulurejo, Kec. Purwoharjo</v>
          </cell>
          <cell r="P4563" t="str">
            <v>Banyuwangi</v>
          </cell>
          <cell r="Q4563" t="str">
            <v>Dsn. Ngadirejo, RT.004/RW.001 Kel. Bulurejo, Kec. Purwoharjo</v>
          </cell>
          <cell r="R4563" t="str">
            <v>Banyuwangi</v>
          </cell>
          <cell r="S4563" t="str">
            <v>H Bwi3</v>
          </cell>
          <cell r="T4563" t="str">
            <v>Hafid</v>
          </cell>
          <cell r="U4563">
            <v>30</v>
          </cell>
        </row>
        <row r="4564">
          <cell r="E4564" t="str">
            <v>T25001535</v>
          </cell>
          <cell r="F4564"/>
          <cell r="G4564">
            <v>500000000</v>
          </cell>
          <cell r="H4564" t="str">
            <v>Faris</v>
          </cell>
          <cell r="I4564" t="str">
            <v>Syahra</v>
          </cell>
          <cell r="J4564"/>
          <cell r="K4564" t="str">
            <v>KU</v>
          </cell>
          <cell r="L4564" t="str">
            <v>LAYA02</v>
          </cell>
          <cell r="M4564" t="str">
            <v>Layan Tani II</v>
          </cell>
          <cell r="N4564" t="str">
            <v>Ridwan Fauzi</v>
          </cell>
          <cell r="O4564" t="str">
            <v>Jalan Raya Purwoharjo RT.004/RW.001, Kel. Bulurejo, Kec. Purwoharjo</v>
          </cell>
          <cell r="P4564" t="str">
            <v>Banyuwangi</v>
          </cell>
          <cell r="Q4564" t="str">
            <v>Dsn. Ngadirejo, RT.004/RW.001 Kel. Bulurejo, Kec. Purwoharjo</v>
          </cell>
          <cell r="R4564" t="str">
            <v>Banyuwangi</v>
          </cell>
          <cell r="S4564" t="str">
            <v>H Bwi3</v>
          </cell>
          <cell r="T4564" t="str">
            <v>Hafid</v>
          </cell>
          <cell r="U4564">
            <v>60</v>
          </cell>
        </row>
        <row r="4565">
          <cell r="E4565" t="str">
            <v>B25013382</v>
          </cell>
          <cell r="F4565"/>
          <cell r="G4565">
            <v>500000000</v>
          </cell>
          <cell r="H4565" t="str">
            <v>Faris</v>
          </cell>
          <cell r="I4565" t="str">
            <v>Syahra</v>
          </cell>
          <cell r="J4565"/>
          <cell r="K4565" t="str">
            <v>KU</v>
          </cell>
          <cell r="L4565" t="str">
            <v>LAYA02</v>
          </cell>
          <cell r="M4565" t="str">
            <v>Layan Tani II</v>
          </cell>
          <cell r="N4565" t="str">
            <v>Ridwan Fauzi</v>
          </cell>
          <cell r="O4565" t="str">
            <v>Jalan Raya Purwoharjo RT.004/RW.001, Kel. Bulurejo, Kec. Purwoharjo</v>
          </cell>
          <cell r="P4565" t="str">
            <v>Banyuwangi</v>
          </cell>
          <cell r="Q4565" t="str">
            <v>Dsn. Ngadirejo, RT.004/RW.001 Kel. Bulurejo, Kec. Purwoharjo</v>
          </cell>
          <cell r="R4565" t="str">
            <v>Banyuwangi</v>
          </cell>
          <cell r="S4565" t="str">
            <v>H Bwi3</v>
          </cell>
          <cell r="T4565" t="str">
            <v>Hafid</v>
          </cell>
          <cell r="U4565">
            <v>30</v>
          </cell>
        </row>
        <row r="4566">
          <cell r="E4566" t="str">
            <v>T25001567</v>
          </cell>
          <cell r="F4566"/>
          <cell r="G4566">
            <v>500000000</v>
          </cell>
          <cell r="H4566" t="str">
            <v>Faris</v>
          </cell>
          <cell r="I4566" t="str">
            <v>Syahra</v>
          </cell>
          <cell r="J4566"/>
          <cell r="K4566" t="str">
            <v>KU</v>
          </cell>
          <cell r="L4566" t="str">
            <v>LAYA02</v>
          </cell>
          <cell r="M4566" t="str">
            <v>Layan Tani II</v>
          </cell>
          <cell r="N4566" t="str">
            <v>Ridwan Fauzi</v>
          </cell>
          <cell r="O4566" t="str">
            <v>Jalan Raya Purwoharjo RT.004/RW.001, Kel. Bulurejo, Kec. Purwoharjo</v>
          </cell>
          <cell r="P4566" t="str">
            <v>Banyuwangi</v>
          </cell>
          <cell r="Q4566" t="str">
            <v>Dsn. Ngadirejo, RT.004/RW.001 Kel. Bulurejo, Kec. Purwoharjo</v>
          </cell>
          <cell r="R4566" t="str">
            <v>Banyuwangi</v>
          </cell>
          <cell r="S4566" t="str">
            <v>H Bwi3</v>
          </cell>
          <cell r="T4566" t="str">
            <v>Hafid</v>
          </cell>
          <cell r="U4566">
            <v>60</v>
          </cell>
        </row>
        <row r="4567">
          <cell r="E4567" t="str">
            <v>B25013771</v>
          </cell>
          <cell r="F4567"/>
          <cell r="G4567">
            <v>500000000</v>
          </cell>
          <cell r="H4567" t="str">
            <v>Faris</v>
          </cell>
          <cell r="I4567" t="str">
            <v>Syahra</v>
          </cell>
          <cell r="J4567"/>
          <cell r="K4567" t="str">
            <v>KU</v>
          </cell>
          <cell r="L4567" t="str">
            <v>LAYA02</v>
          </cell>
          <cell r="M4567" t="str">
            <v>Layan Tani II</v>
          </cell>
          <cell r="N4567" t="str">
            <v>Ridwan Fauzi</v>
          </cell>
          <cell r="O4567" t="str">
            <v>Jalan Raya Purwoharjo RT.004/RW.001, Kel. Bulurejo, Kec. Purwoharjo</v>
          </cell>
          <cell r="P4567" t="str">
            <v>Banyuwangi</v>
          </cell>
          <cell r="Q4567" t="str">
            <v>Dsn. Ngadirejo, RT.004/RW.001 Kel. Bulurejo, Kec. Purwoharjo</v>
          </cell>
          <cell r="R4567" t="str">
            <v>Banyuwangi</v>
          </cell>
          <cell r="S4567" t="str">
            <v>H Bwi3</v>
          </cell>
          <cell r="T4567" t="str">
            <v>Hafid</v>
          </cell>
          <cell r="U4567">
            <v>30</v>
          </cell>
        </row>
        <row r="4568">
          <cell r="E4568" t="str">
            <v>D25011636</v>
          </cell>
          <cell r="F4568"/>
          <cell r="G4568">
            <v>500000000</v>
          </cell>
          <cell r="H4568" t="str">
            <v>Faris</v>
          </cell>
          <cell r="I4568" t="str">
            <v>Syahra</v>
          </cell>
          <cell r="J4568"/>
          <cell r="K4568" t="str">
            <v>KU</v>
          </cell>
          <cell r="L4568" t="str">
            <v>LAYA01</v>
          </cell>
          <cell r="M4568" t="str">
            <v>Layan Tani, UD</v>
          </cell>
          <cell r="N4568" t="str">
            <v>Mispan Sidik</v>
          </cell>
          <cell r="O4568" t="str">
            <v>Dukuh Randu Agung RT.004/RW.004 Kel. Bulurejo, Kec. Purwoharjo</v>
          </cell>
          <cell r="P4568" t="str">
            <v>Banyuwangi</v>
          </cell>
          <cell r="Q4568" t="str">
            <v>Jl. Grajagan-Randuagung, Purwoharjo</v>
          </cell>
          <cell r="R4568" t="str">
            <v>Banyuwangi</v>
          </cell>
          <cell r="S4568" t="str">
            <v>H Bwi3</v>
          </cell>
          <cell r="T4568" t="str">
            <v>Hafid</v>
          </cell>
          <cell r="U4568">
            <v>60</v>
          </cell>
        </row>
        <row r="4569">
          <cell r="E4569" t="str">
            <v>B25011162</v>
          </cell>
          <cell r="F4569"/>
          <cell r="G4569">
            <v>500000000</v>
          </cell>
          <cell r="H4569" t="str">
            <v>Faris</v>
          </cell>
          <cell r="I4569" t="str">
            <v>Syahra</v>
          </cell>
          <cell r="J4569"/>
          <cell r="K4569" t="str">
            <v>KU</v>
          </cell>
          <cell r="L4569" t="str">
            <v>LAYA01</v>
          </cell>
          <cell r="M4569" t="str">
            <v>Layan Tani, UD</v>
          </cell>
          <cell r="N4569" t="str">
            <v>Mispan Sidik</v>
          </cell>
          <cell r="O4569" t="str">
            <v>Dukuh Randu Agung RT.004/RW.004 Kel. Bulurejo, Kec. Purwoharjo</v>
          </cell>
          <cell r="P4569" t="str">
            <v>Banyuwangi</v>
          </cell>
          <cell r="Q4569" t="str">
            <v>Jl. Grajagan-Randuagung, Purwoharjo</v>
          </cell>
          <cell r="R4569" t="str">
            <v>Banyuwangi</v>
          </cell>
          <cell r="S4569" t="str">
            <v>H Bwi3</v>
          </cell>
          <cell r="T4569" t="str">
            <v>Hafid</v>
          </cell>
          <cell r="U4569">
            <v>30</v>
          </cell>
        </row>
        <row r="4570">
          <cell r="E4570">
            <v>250100</v>
          </cell>
          <cell r="F4570"/>
          <cell r="G4570">
            <v>500000000</v>
          </cell>
          <cell r="H4570" t="str">
            <v>Faris</v>
          </cell>
          <cell r="I4570" t="str">
            <v>Syahra</v>
          </cell>
          <cell r="J4570"/>
          <cell r="K4570" t="str">
            <v>KU</v>
          </cell>
          <cell r="L4570" t="str">
            <v>LAYA01</v>
          </cell>
          <cell r="M4570" t="str">
            <v>Layan Tani, UD</v>
          </cell>
          <cell r="N4570" t="str">
            <v>Mispan Sidik</v>
          </cell>
          <cell r="O4570" t="str">
            <v>Dukuh Randu Agung RT.004/RW.004 Kel. Bulurejo, Kec. Purwoharjo</v>
          </cell>
          <cell r="P4570" t="str">
            <v>Banyuwangi</v>
          </cell>
          <cell r="Q4570" t="str">
            <v>Jl. Grajagan-Randuagung, Purwoharjo</v>
          </cell>
          <cell r="R4570" t="str">
            <v>Banyuwangi</v>
          </cell>
          <cell r="S4570" t="str">
            <v>H Bwi3</v>
          </cell>
          <cell r="T4570" t="str">
            <v>Hafid</v>
          </cell>
          <cell r="U4570">
            <v>30</v>
          </cell>
        </row>
        <row r="4571">
          <cell r="E4571" t="str">
            <v>D25013842</v>
          </cell>
          <cell r="F4571"/>
          <cell r="G4571">
            <v>500000000</v>
          </cell>
          <cell r="H4571" t="str">
            <v>Faris</v>
          </cell>
          <cell r="I4571" t="str">
            <v>Syahra</v>
          </cell>
          <cell r="J4571"/>
          <cell r="K4571" t="str">
            <v>KU</v>
          </cell>
          <cell r="L4571" t="str">
            <v>LAYA01</v>
          </cell>
          <cell r="M4571" t="str">
            <v>Layan Tani, UD</v>
          </cell>
          <cell r="N4571" t="str">
            <v>Mispan Sidik</v>
          </cell>
          <cell r="O4571" t="str">
            <v>Dukuh Randu Agung RT.004/RW.004 Kel. Bulurejo, Kec. Purwoharjo</v>
          </cell>
          <cell r="P4571" t="str">
            <v>Banyuwangi</v>
          </cell>
          <cell r="Q4571" t="str">
            <v>Jl. Grajagan-Randuagung, Purwoharjo</v>
          </cell>
          <cell r="R4571" t="str">
            <v>Banyuwangi</v>
          </cell>
          <cell r="S4571" t="str">
            <v>H Bwi3</v>
          </cell>
          <cell r="T4571" t="str">
            <v>Hafid</v>
          </cell>
          <cell r="U4571">
            <v>30</v>
          </cell>
        </row>
        <row r="4572">
          <cell r="E4572" t="str">
            <v>D25014126</v>
          </cell>
          <cell r="F4572"/>
          <cell r="G4572">
            <v>500000000</v>
          </cell>
          <cell r="H4572" t="str">
            <v>Faris</v>
          </cell>
          <cell r="I4572" t="str">
            <v>Syahra</v>
          </cell>
          <cell r="J4572"/>
          <cell r="K4572" t="str">
            <v>KU</v>
          </cell>
          <cell r="L4572" t="str">
            <v>LAYA01</v>
          </cell>
          <cell r="M4572" t="str">
            <v>Layan Tani, UD</v>
          </cell>
          <cell r="N4572" t="str">
            <v>Mispan Sidik</v>
          </cell>
          <cell r="O4572" t="str">
            <v>Dukuh Randu Agung RT.004/RW.004 Kel. Bulurejo, Kec. Purwoharjo</v>
          </cell>
          <cell r="P4572" t="str">
            <v>Banyuwangi</v>
          </cell>
          <cell r="Q4572" t="str">
            <v>Jl. Grajagan-Randuagung, Purwoharjo</v>
          </cell>
          <cell r="R4572" t="str">
            <v>Banyuwangi</v>
          </cell>
          <cell r="S4572" t="str">
            <v>H Bwi3</v>
          </cell>
          <cell r="T4572" t="str">
            <v>Hafid</v>
          </cell>
          <cell r="U4572">
            <v>30</v>
          </cell>
        </row>
        <row r="4573">
          <cell r="E4573" t="str">
            <v>D25014176</v>
          </cell>
          <cell r="F4573"/>
          <cell r="G4573">
            <v>500000000</v>
          </cell>
          <cell r="H4573" t="str">
            <v>Faris</v>
          </cell>
          <cell r="I4573" t="str">
            <v>Syahra</v>
          </cell>
          <cell r="J4573"/>
          <cell r="K4573" t="str">
            <v>KU</v>
          </cell>
          <cell r="L4573" t="str">
            <v>LAYA01</v>
          </cell>
          <cell r="M4573" t="str">
            <v>Layan Tani, UD</v>
          </cell>
          <cell r="N4573" t="str">
            <v>Mispan Sidik</v>
          </cell>
          <cell r="O4573" t="str">
            <v>Dukuh Randu Agung RT.004/RW.004 Kel. Bulurejo, Kec. Purwoharjo</v>
          </cell>
          <cell r="P4573" t="str">
            <v>Banyuwangi</v>
          </cell>
          <cell r="Q4573" t="str">
            <v>Jl. Grajagan-Randuagung, Purwoharjo</v>
          </cell>
          <cell r="R4573" t="str">
            <v>Banyuwangi</v>
          </cell>
          <cell r="S4573" t="str">
            <v>H Bwi3</v>
          </cell>
          <cell r="T4573" t="str">
            <v>Hafid</v>
          </cell>
          <cell r="U4573">
            <v>60</v>
          </cell>
        </row>
        <row r="4574">
          <cell r="E4574" t="str">
            <v>T25001432</v>
          </cell>
          <cell r="F4574"/>
          <cell r="G4574">
            <v>500000000</v>
          </cell>
          <cell r="H4574" t="str">
            <v>Faris</v>
          </cell>
          <cell r="I4574" t="str">
            <v>Syahra</v>
          </cell>
          <cell r="J4574"/>
          <cell r="K4574" t="str">
            <v>KU</v>
          </cell>
          <cell r="L4574" t="str">
            <v>LAYA01</v>
          </cell>
          <cell r="M4574" t="str">
            <v>Layan Tani, UD</v>
          </cell>
          <cell r="N4574" t="str">
            <v>Mispan Sidik</v>
          </cell>
          <cell r="O4574" t="str">
            <v>Dukuh Randu Agung RT.004/RW.004 Kel. Bulurejo, Kec. Purwoharjo</v>
          </cell>
          <cell r="P4574" t="str">
            <v>Banyuwangi</v>
          </cell>
          <cell r="Q4574" t="str">
            <v>Jl. Grajagan-Randuagung, Purwoharjo</v>
          </cell>
          <cell r="R4574" t="str">
            <v>Banyuwangi</v>
          </cell>
          <cell r="S4574" t="str">
            <v>H Bwi3</v>
          </cell>
          <cell r="T4574" t="str">
            <v>Hafid</v>
          </cell>
          <cell r="U4574">
            <v>60</v>
          </cell>
        </row>
        <row r="4575">
          <cell r="E4575" t="str">
            <v>D25015380</v>
          </cell>
          <cell r="F4575"/>
          <cell r="G4575">
            <v>500000000</v>
          </cell>
          <cell r="H4575" t="str">
            <v>Faris</v>
          </cell>
          <cell r="I4575" t="str">
            <v>Syahra</v>
          </cell>
          <cell r="J4575"/>
          <cell r="K4575" t="str">
            <v>KU</v>
          </cell>
          <cell r="L4575" t="str">
            <v>LAYA01</v>
          </cell>
          <cell r="M4575" t="str">
            <v>Layan Tani, UD</v>
          </cell>
          <cell r="N4575" t="str">
            <v>Mispan Sidik</v>
          </cell>
          <cell r="O4575" t="str">
            <v>Dukuh Randu Agung RT.004/RW.004 Kel. Bulurejo, Kec. Purwoharjo</v>
          </cell>
          <cell r="P4575" t="str">
            <v>Banyuwangi</v>
          </cell>
          <cell r="Q4575" t="str">
            <v>Jl. Grajagan-Randuagung, Purwoharjo</v>
          </cell>
          <cell r="R4575" t="str">
            <v>Banyuwangi</v>
          </cell>
          <cell r="S4575" t="str">
            <v>H Bwi3</v>
          </cell>
          <cell r="T4575" t="str">
            <v>Hafid</v>
          </cell>
          <cell r="U4575">
            <v>30</v>
          </cell>
        </row>
        <row r="4576">
          <cell r="E4576" t="str">
            <v>T25001562k</v>
          </cell>
          <cell r="F4576"/>
          <cell r="G4576">
            <v>500000000</v>
          </cell>
          <cell r="H4576" t="str">
            <v>Faris</v>
          </cell>
          <cell r="I4576" t="str">
            <v>Syahra</v>
          </cell>
          <cell r="J4576"/>
          <cell r="K4576" t="str">
            <v>KU</v>
          </cell>
          <cell r="L4576" t="str">
            <v>LAYA01</v>
          </cell>
          <cell r="M4576" t="str">
            <v>Layan Tani, UD</v>
          </cell>
          <cell r="N4576" t="str">
            <v>Mispan Sidik</v>
          </cell>
          <cell r="O4576" t="str">
            <v>Dukuh Randu Agung RT.004/RW.004 Kel. Bulurejo, Kec. Purwoharjo</v>
          </cell>
          <cell r="P4576" t="str">
            <v>Banyuwangi</v>
          </cell>
          <cell r="Q4576" t="str">
            <v>Jl. Grajagan-Randuagung, Purwoharjo</v>
          </cell>
          <cell r="R4576" t="str">
            <v>Banyuwangi</v>
          </cell>
          <cell r="S4576" t="str">
            <v>H Bwi3</v>
          </cell>
          <cell r="T4576" t="str">
            <v>Hafid</v>
          </cell>
          <cell r="U4576">
            <v>120</v>
          </cell>
        </row>
        <row r="4577">
          <cell r="E4577" t="str">
            <v>D25016095</v>
          </cell>
          <cell r="F4577"/>
          <cell r="G4577">
            <v>500000000</v>
          </cell>
          <cell r="H4577" t="str">
            <v>Faris</v>
          </cell>
          <cell r="I4577" t="str">
            <v>Syahra</v>
          </cell>
          <cell r="J4577"/>
          <cell r="K4577" t="str">
            <v>KU</v>
          </cell>
          <cell r="L4577" t="str">
            <v>LAYA01</v>
          </cell>
          <cell r="M4577" t="str">
            <v>Layan Tani, UD</v>
          </cell>
          <cell r="N4577" t="str">
            <v>Mispan Sidik</v>
          </cell>
          <cell r="O4577" t="str">
            <v>Dukuh Randu Agung RT.004/RW.004 Kel. Bulurejo, Kec. Purwoharjo</v>
          </cell>
          <cell r="P4577" t="str">
            <v>Banyuwangi</v>
          </cell>
          <cell r="Q4577" t="str">
            <v>Jl. Grajagan-Randuagung, Purwoharjo</v>
          </cell>
          <cell r="R4577" t="str">
            <v>Banyuwangi</v>
          </cell>
          <cell r="S4577" t="str">
            <v>H Bwi3</v>
          </cell>
          <cell r="T4577" t="str">
            <v>Hafid</v>
          </cell>
          <cell r="U4577">
            <v>30</v>
          </cell>
        </row>
        <row r="4578">
          <cell r="E4578" t="str">
            <v>B25014090</v>
          </cell>
          <cell r="F4578"/>
          <cell r="G4578">
            <v>500000000</v>
          </cell>
          <cell r="H4578" t="str">
            <v>Faris</v>
          </cell>
          <cell r="I4578" t="str">
            <v>Syahra</v>
          </cell>
          <cell r="J4578"/>
          <cell r="K4578" t="str">
            <v>KU</v>
          </cell>
          <cell r="L4578" t="str">
            <v>LAYA01</v>
          </cell>
          <cell r="M4578" t="str">
            <v>Layan Tani, UD</v>
          </cell>
          <cell r="N4578" t="str">
            <v>Mispan Sidik</v>
          </cell>
          <cell r="O4578" t="str">
            <v>Dukuh Randu Agung RT.004/RW.004 Kel. Bulurejo, Kec. Purwoharjo</v>
          </cell>
          <cell r="P4578" t="str">
            <v>Banyuwangi</v>
          </cell>
          <cell r="Q4578" t="str">
            <v>Jl. Grajagan-Randuagung, Purwoharjo</v>
          </cell>
          <cell r="R4578" t="str">
            <v>Banyuwangi</v>
          </cell>
          <cell r="S4578" t="str">
            <v>H Bwi3</v>
          </cell>
          <cell r="T4578" t="str">
            <v>Hafid</v>
          </cell>
          <cell r="U4578">
            <v>30</v>
          </cell>
        </row>
        <row r="4579">
          <cell r="E4579" t="str">
            <v>B25013236</v>
          </cell>
          <cell r="F4579"/>
          <cell r="G4579">
            <v>1000</v>
          </cell>
          <cell r="H4579" t="str">
            <v>Hendra</v>
          </cell>
          <cell r="I4579" t="str">
            <v>Tiya</v>
          </cell>
          <cell r="J4579" t="str">
            <v>New 16/10/25</v>
          </cell>
          <cell r="K4579" t="str">
            <v>KU</v>
          </cell>
          <cell r="L4579" t="str">
            <v>LEAN01</v>
          </cell>
          <cell r="M4579" t="str">
            <v>Leandro Maria Banamtuan</v>
          </cell>
          <cell r="N4579" t="str">
            <v>Leandro Maria Banamtuan</v>
          </cell>
          <cell r="O4579" t="str">
            <v>Genunuh RT.004/RW.011, Kel. Benlutu, Kec. Batu Putih, Kab. Timor Tengah Selatan</v>
          </cell>
          <cell r="P4579" t="str">
            <v>Nusa Tenggara Timur</v>
          </cell>
          <cell r="Q4579" t="str">
            <v>Genunuh RT.004/RW.011, Kel. Benlutu, Kec. Batu Putih, Kab. Timor Tengah Selatan</v>
          </cell>
          <cell r="R4579" t="str">
            <v>Nusa Tenggara Timur</v>
          </cell>
          <cell r="S4579" t="str">
            <v>E Luar Pulau2</v>
          </cell>
          <cell r="T4579" t="str">
            <v>Non SE &amp; JSE</v>
          </cell>
          <cell r="U4579">
            <v>15</v>
          </cell>
        </row>
        <row r="4580">
          <cell r="E4580" t="str">
            <v>B25010052</v>
          </cell>
          <cell r="F4580"/>
          <cell r="G4580">
            <v>10000000</v>
          </cell>
          <cell r="H4580" t="str">
            <v>Zakia</v>
          </cell>
          <cell r="I4580" t="str">
            <v>Tiya</v>
          </cell>
          <cell r="J4580"/>
          <cell r="K4580" t="str">
            <v>KU</v>
          </cell>
          <cell r="L4580" t="str">
            <v>LAST01</v>
          </cell>
          <cell r="M4580" t="str">
            <v>Lestari Alam Sari</v>
          </cell>
          <cell r="N4580" t="str">
            <v>Yamin</v>
          </cell>
          <cell r="O4580" t="str">
            <v>Perum. Graha Asri Jl. Merdeka VIII Blok I/6 Kel. Samsam, Kec. Kerambitan</v>
          </cell>
          <cell r="P4580" t="str">
            <v>Tabanan</v>
          </cell>
          <cell r="Q4580" t="str">
            <v>Jl. Cengkok Mengwi, Badung</v>
          </cell>
          <cell r="R4580" t="str">
            <v>Bali</v>
          </cell>
          <cell r="S4580" t="str">
            <v>S Bali3</v>
          </cell>
          <cell r="T4580" t="str">
            <v>Wira</v>
          </cell>
          <cell r="U4580">
            <v>30</v>
          </cell>
        </row>
        <row r="4581">
          <cell r="E4581" t="str">
            <v>B25010052</v>
          </cell>
          <cell r="F4581"/>
          <cell r="G4581">
            <v>10000000</v>
          </cell>
          <cell r="H4581" t="str">
            <v>Zakia</v>
          </cell>
          <cell r="I4581" t="str">
            <v>Tiya</v>
          </cell>
          <cell r="J4581"/>
          <cell r="K4581" t="str">
            <v>KU</v>
          </cell>
          <cell r="L4581" t="str">
            <v>LAST01</v>
          </cell>
          <cell r="M4581" t="str">
            <v>Lestari Alam Sari</v>
          </cell>
          <cell r="N4581" t="str">
            <v>Yamin</v>
          </cell>
          <cell r="O4581" t="str">
            <v>Perum. Graha Asri Jl. Merdeka VIII Blok I/6 Kel. Samsam, Kec. Kerambitan</v>
          </cell>
          <cell r="P4581" t="str">
            <v>Tabanan</v>
          </cell>
          <cell r="Q4581" t="str">
            <v>Jl. Cengkok Mengwi, Badung</v>
          </cell>
          <cell r="R4581" t="str">
            <v>Bali</v>
          </cell>
          <cell r="S4581" t="str">
            <v>S Bali3</v>
          </cell>
          <cell r="T4581" t="str">
            <v>Wira</v>
          </cell>
          <cell r="U4581">
            <v>30</v>
          </cell>
        </row>
        <row r="4582">
          <cell r="E4582" t="str">
            <v>T25001238</v>
          </cell>
          <cell r="F4582"/>
          <cell r="G4582">
            <v>10000000</v>
          </cell>
          <cell r="H4582" t="str">
            <v>Zakia</v>
          </cell>
          <cell r="I4582" t="str">
            <v>Tiya</v>
          </cell>
          <cell r="J4582"/>
          <cell r="K4582" t="str">
            <v>KU</v>
          </cell>
          <cell r="L4582" t="str">
            <v>LAST01</v>
          </cell>
          <cell r="M4582" t="str">
            <v>Lestari Alam Sari</v>
          </cell>
          <cell r="N4582" t="str">
            <v>Yamin</v>
          </cell>
          <cell r="O4582" t="str">
            <v>Perum. Graha Asri Jl. Merdeka VIII Blok I/6 Kel. Samsam, Kec. Kerambitan</v>
          </cell>
          <cell r="P4582" t="str">
            <v>Tabanan</v>
          </cell>
          <cell r="Q4582" t="str">
            <v>Jl. Cengkok Mengwi, Badung</v>
          </cell>
          <cell r="R4582" t="str">
            <v>Bali</v>
          </cell>
          <cell r="S4582" t="str">
            <v>S Bali3</v>
          </cell>
          <cell r="T4582" t="str">
            <v>Wira</v>
          </cell>
          <cell r="U4582">
            <v>60</v>
          </cell>
        </row>
        <row r="4583">
          <cell r="E4583" t="str">
            <v>B25012132</v>
          </cell>
          <cell r="F4583"/>
          <cell r="G4583">
            <v>10000000</v>
          </cell>
          <cell r="H4583" t="str">
            <v>Zakia</v>
          </cell>
          <cell r="I4583" t="str">
            <v>Tiya</v>
          </cell>
          <cell r="J4583"/>
          <cell r="K4583" t="str">
            <v>KU</v>
          </cell>
          <cell r="L4583" t="str">
            <v>LAST01</v>
          </cell>
          <cell r="M4583" t="str">
            <v>Lestari Alam Sari</v>
          </cell>
          <cell r="N4583" t="str">
            <v>Yamin</v>
          </cell>
          <cell r="O4583" t="str">
            <v>Perum. Graha Asri Jl. Merdeka VIII Blok I/6 Kel. Samsam, Kec. Kerambitan</v>
          </cell>
          <cell r="P4583" t="str">
            <v>Tabanan</v>
          </cell>
          <cell r="Q4583" t="str">
            <v>Jl. Cengkok Mengwi, Badung</v>
          </cell>
          <cell r="R4583" t="str">
            <v>Bali</v>
          </cell>
          <cell r="S4583" t="str">
            <v>S Bali3</v>
          </cell>
          <cell r="T4583" t="str">
            <v>Wira</v>
          </cell>
          <cell r="U4583">
            <v>30</v>
          </cell>
        </row>
        <row r="4584">
          <cell r="E4584" t="str">
            <v>D25015734</v>
          </cell>
          <cell r="F4584"/>
          <cell r="G4584">
            <v>10000000</v>
          </cell>
          <cell r="H4584" t="str">
            <v>Zakia</v>
          </cell>
          <cell r="I4584" t="str">
            <v>Tiya</v>
          </cell>
          <cell r="J4584"/>
          <cell r="K4584" t="str">
            <v>KU</v>
          </cell>
          <cell r="L4584" t="str">
            <v>LAST01</v>
          </cell>
          <cell r="M4584" t="str">
            <v>Lestari Alam Sari</v>
          </cell>
          <cell r="N4584" t="str">
            <v>Yamin</v>
          </cell>
          <cell r="O4584" t="str">
            <v>Perum. Graha Asri Jl. Merdeka VIII Blok I/6 Kel. Samsam, Kec. Kerambitan</v>
          </cell>
          <cell r="P4584" t="str">
            <v>Tabanan</v>
          </cell>
          <cell r="Q4584" t="str">
            <v>Jl. Cengkok Mengwi, Badung</v>
          </cell>
          <cell r="R4584" t="str">
            <v>Bali</v>
          </cell>
          <cell r="S4584" t="str">
            <v>S Bali3</v>
          </cell>
          <cell r="T4584" t="str">
            <v>Wira</v>
          </cell>
          <cell r="U4584">
            <v>30</v>
          </cell>
        </row>
        <row r="4585">
          <cell r="E4585" t="str">
            <v>D25015735</v>
          </cell>
          <cell r="F4585"/>
          <cell r="G4585">
            <v>10000000</v>
          </cell>
          <cell r="H4585" t="str">
            <v>Zakia</v>
          </cell>
          <cell r="I4585" t="str">
            <v>Tiya</v>
          </cell>
          <cell r="J4585"/>
          <cell r="K4585" t="str">
            <v>KU</v>
          </cell>
          <cell r="L4585" t="str">
            <v>LAST01</v>
          </cell>
          <cell r="M4585" t="str">
            <v>Lestari Alam Sari</v>
          </cell>
          <cell r="N4585" t="str">
            <v>Yamin</v>
          </cell>
          <cell r="O4585" t="str">
            <v>Perum. Graha Asri Jl. Merdeka VIII Blok I/6 Kel. Samsam, Kec. Kerambitan</v>
          </cell>
          <cell r="P4585" t="str">
            <v>Tabanan</v>
          </cell>
          <cell r="Q4585" t="str">
            <v>Jl. Cengkok Mengwi, Badung</v>
          </cell>
          <cell r="R4585" t="str">
            <v>Bali</v>
          </cell>
          <cell r="S4585" t="str">
            <v>S Bali3</v>
          </cell>
          <cell r="T4585" t="str">
            <v>Wira</v>
          </cell>
          <cell r="U4585">
            <v>30</v>
          </cell>
        </row>
        <row r="4586">
          <cell r="E4586" t="str">
            <v>B25010842</v>
          </cell>
          <cell r="F4586"/>
          <cell r="G4586">
            <v>35000000</v>
          </cell>
          <cell r="H4586" t="str">
            <v>Faris</v>
          </cell>
          <cell r="I4586" t="str">
            <v>Syahra</v>
          </cell>
          <cell r="J4586" t="str">
            <v>New 18/11/23</v>
          </cell>
          <cell r="K4586" t="str">
            <v>CBD</v>
          </cell>
          <cell r="L4586" t="str">
            <v>LEST16</v>
          </cell>
          <cell r="M4586" t="str">
            <v>Lestari Alam/Firqin</v>
          </cell>
          <cell r="N4586" t="str">
            <v>Firqin Fatahillah Ramadan</v>
          </cell>
          <cell r="O4586" t="str">
            <v>Dusun Krajan RT.027/RW.006, Kel. Jambeanom, Kec. Jambesari Darus Sholah</v>
          </cell>
          <cell r="P4586" t="str">
            <v>Bondowoso</v>
          </cell>
          <cell r="Q4586" t="str">
            <v>Beddian, Jambeanom, Kec. Jambesari Darus Sholah</v>
          </cell>
          <cell r="R4586" t="str">
            <v>Bondowoso</v>
          </cell>
          <cell r="S4586" t="str">
            <v>N Bdw Stb</v>
          </cell>
          <cell r="T4586" t="str">
            <v>Wira</v>
          </cell>
          <cell r="U4586">
            <v>60</v>
          </cell>
        </row>
        <row r="4587">
          <cell r="E4587" t="str">
            <v>D25014231</v>
          </cell>
          <cell r="F4587"/>
          <cell r="G4587">
            <v>35000000</v>
          </cell>
          <cell r="H4587" t="str">
            <v>Faris</v>
          </cell>
          <cell r="I4587" t="str">
            <v>Syahra</v>
          </cell>
          <cell r="J4587" t="str">
            <v>New 18/11/23</v>
          </cell>
          <cell r="K4587" t="str">
            <v>CBD</v>
          </cell>
          <cell r="L4587" t="str">
            <v>LEST16</v>
          </cell>
          <cell r="M4587" t="str">
            <v>Lestari Alam/Firqin</v>
          </cell>
          <cell r="N4587" t="str">
            <v>Firqin Fatahillah Ramadan</v>
          </cell>
          <cell r="O4587" t="str">
            <v>Dusun Krajan RT.027/RW.006, Kel. Jambeanom, Kec. Jambesari Darus Sholah</v>
          </cell>
          <cell r="P4587" t="str">
            <v>Bondowoso</v>
          </cell>
          <cell r="Q4587" t="str">
            <v>Beddian, Jambeanom, Kec. Jambesari Darus Sholah</v>
          </cell>
          <cell r="R4587" t="str">
            <v>Bondowoso</v>
          </cell>
          <cell r="S4587" t="str">
            <v>N Bdw Stb</v>
          </cell>
          <cell r="T4587" t="str">
            <v>Wira</v>
          </cell>
          <cell r="U4587">
            <v>30</v>
          </cell>
        </row>
        <row r="4588">
          <cell r="E4588" t="str">
            <v>B25012151</v>
          </cell>
          <cell r="F4588"/>
          <cell r="G4588">
            <v>35000000</v>
          </cell>
          <cell r="H4588" t="str">
            <v>Faris</v>
          </cell>
          <cell r="I4588" t="str">
            <v>Syahra</v>
          </cell>
          <cell r="J4588" t="str">
            <v>New 18/11/23</v>
          </cell>
          <cell r="K4588" t="str">
            <v>CBD</v>
          </cell>
          <cell r="L4588" t="str">
            <v>LEST16</v>
          </cell>
          <cell r="M4588" t="str">
            <v>Lestari Alam/Firqin</v>
          </cell>
          <cell r="N4588" t="str">
            <v>Firqin Fatahillah Ramadan</v>
          </cell>
          <cell r="O4588" t="str">
            <v>Dusun Krajan RT.027/RW.006, Kel. Jambeanom, Kec. Jambesari Darus Sholah</v>
          </cell>
          <cell r="P4588" t="str">
            <v>Bondowoso</v>
          </cell>
          <cell r="Q4588" t="str">
            <v>Beddian, Jambeanom, Kec. Jambesari Darus Sholah</v>
          </cell>
          <cell r="R4588" t="str">
            <v>Bondowoso</v>
          </cell>
          <cell r="S4588" t="str">
            <v>N Bdw Stb</v>
          </cell>
          <cell r="T4588" t="str">
            <v>Wira</v>
          </cell>
          <cell r="U4588">
            <v>30</v>
          </cell>
        </row>
        <row r="4589">
          <cell r="E4589" t="str">
            <v>B25013922</v>
          </cell>
          <cell r="F4589"/>
          <cell r="G4589">
            <v>35000000</v>
          </cell>
          <cell r="H4589" t="str">
            <v>Faris</v>
          </cell>
          <cell r="I4589" t="str">
            <v>Syahra</v>
          </cell>
          <cell r="J4589" t="str">
            <v>New 18/11/23</v>
          </cell>
          <cell r="K4589" t="str">
            <v>CBD</v>
          </cell>
          <cell r="L4589" t="str">
            <v>LEST16</v>
          </cell>
          <cell r="M4589" t="str">
            <v>Lestari Alam/Firqin</v>
          </cell>
          <cell r="N4589" t="str">
            <v>Firqin Fatahillah Ramadan</v>
          </cell>
          <cell r="O4589" t="str">
            <v>Dusun Krajan RT.027/RW.006, Kel. Jambeanom, Kec. Jambesari Darus Sholah</v>
          </cell>
          <cell r="P4589" t="str">
            <v>Bondowoso</v>
          </cell>
          <cell r="Q4589" t="str">
            <v>Beddian, Jambeanom, Kec. Jambesari Darus Sholah</v>
          </cell>
          <cell r="R4589" t="str">
            <v>Bondowoso</v>
          </cell>
          <cell r="S4589" t="str">
            <v>N Bdw Stb</v>
          </cell>
          <cell r="T4589" t="str">
            <v>Wira</v>
          </cell>
          <cell r="U4589">
            <v>0</v>
          </cell>
        </row>
        <row r="4590">
          <cell r="E4590" t="str">
            <v>R25000121</v>
          </cell>
          <cell r="F4590"/>
          <cell r="G4590">
            <v>1000</v>
          </cell>
          <cell r="H4590" t="str">
            <v>Others</v>
          </cell>
          <cell r="I4590" t="str">
            <v>Exclusive</v>
          </cell>
          <cell r="J4590" t="str">
            <v>New 03/04/24</v>
          </cell>
          <cell r="K4590" t="str">
            <v>KU</v>
          </cell>
          <cell r="L4590" t="str">
            <v>LEST17</v>
          </cell>
          <cell r="M4590" t="str">
            <v>Lestari Inti Agro, CV</v>
          </cell>
          <cell r="N4590" t="str">
            <v>Lestari Inti Agro, CV</v>
          </cell>
          <cell r="O4590" t="str">
            <v xml:space="preserve">Jl. Raya Laswi No. 371, Jelekong, </v>
          </cell>
          <cell r="P4590" t="str">
            <v>Bandung</v>
          </cell>
          <cell r="Q4590" t="str">
            <v xml:space="preserve">Jl. Raya Laswi No. 371, Jelekong, </v>
          </cell>
          <cell r="R4590" t="str">
            <v>Bandung</v>
          </cell>
          <cell r="S4590" t="str">
            <v>I Jabar Jateng</v>
          </cell>
          <cell r="T4590" t="str">
            <v>Non SE &amp; JSE</v>
          </cell>
          <cell r="U4590">
            <v>15</v>
          </cell>
        </row>
        <row r="4591">
          <cell r="E4591" t="str">
            <v>R25000126</v>
          </cell>
          <cell r="F4591"/>
          <cell r="G4591">
            <v>1000</v>
          </cell>
          <cell r="H4591" t="str">
            <v>Others</v>
          </cell>
          <cell r="I4591" t="str">
            <v>Exclusive</v>
          </cell>
          <cell r="J4591" t="str">
            <v>New 03/04/24</v>
          </cell>
          <cell r="K4591" t="str">
            <v>KU</v>
          </cell>
          <cell r="L4591" t="str">
            <v>LEST17</v>
          </cell>
          <cell r="M4591" t="str">
            <v>Lestari Inti Agro, CV</v>
          </cell>
          <cell r="N4591" t="str">
            <v>Lestari Inti Agro, CV</v>
          </cell>
          <cell r="O4591" t="str">
            <v xml:space="preserve">Jl. Raya Laswi No. 371, Jelekong, </v>
          </cell>
          <cell r="P4591" t="str">
            <v>Bandung</v>
          </cell>
          <cell r="Q4591" t="str">
            <v xml:space="preserve">Jl. Raya Laswi No. 371, Jelekong, </v>
          </cell>
          <cell r="R4591" t="str">
            <v>Bandung</v>
          </cell>
          <cell r="S4591" t="str">
            <v>I Jabar Jateng</v>
          </cell>
          <cell r="T4591" t="str">
            <v>Non SE &amp; JSE</v>
          </cell>
          <cell r="U4591">
            <v>15</v>
          </cell>
        </row>
        <row r="4592">
          <cell r="E4592" t="str">
            <v>T25001039</v>
          </cell>
          <cell r="F4592"/>
          <cell r="G4592">
            <v>50000000</v>
          </cell>
          <cell r="H4592" t="str">
            <v>Faris</v>
          </cell>
          <cell r="I4592" t="str">
            <v>Syahra</v>
          </cell>
          <cell r="J4592"/>
          <cell r="K4592" t="str">
            <v>KU</v>
          </cell>
          <cell r="L4592" t="str">
            <v>LEST06</v>
          </cell>
          <cell r="M4592" t="str">
            <v>Lestari Jaya</v>
          </cell>
          <cell r="N4592" t="str">
            <v>Lestari Widodo</v>
          </cell>
          <cell r="O4592" t="str">
            <v>Dsn. Sumberjati, RT.004/RW.002 Kel. Grajagan, Kec. Purwoharjo</v>
          </cell>
          <cell r="P4592" t="str">
            <v>Banyuwangi</v>
          </cell>
          <cell r="Q4592" t="str">
            <v>Sumberjati - Curahjati (Timur SD Curahjati)</v>
          </cell>
          <cell r="R4592" t="str">
            <v>Banyuwangi</v>
          </cell>
          <cell r="S4592" t="str">
            <v>H Bwi3</v>
          </cell>
          <cell r="T4592" t="str">
            <v>Hafid</v>
          </cell>
          <cell r="U4592">
            <v>60</v>
          </cell>
        </row>
        <row r="4593">
          <cell r="E4593" t="str">
            <v>T25001039</v>
          </cell>
          <cell r="F4593"/>
          <cell r="G4593">
            <v>50000000</v>
          </cell>
          <cell r="H4593" t="str">
            <v>Faris</v>
          </cell>
          <cell r="I4593" t="str">
            <v>Syahra</v>
          </cell>
          <cell r="J4593"/>
          <cell r="K4593" t="str">
            <v>KU</v>
          </cell>
          <cell r="L4593" t="str">
            <v>LEST06</v>
          </cell>
          <cell r="M4593" t="str">
            <v>Lestari Jaya</v>
          </cell>
          <cell r="N4593" t="str">
            <v>Lestari Widodo</v>
          </cell>
          <cell r="O4593" t="str">
            <v>Dsn. Sumberjati, RT.004/RW.002 Kel. Grajagan, Kec. Purwoharjo</v>
          </cell>
          <cell r="P4593" t="str">
            <v>Banyuwangi</v>
          </cell>
          <cell r="Q4593" t="str">
            <v>Sumberjati - Curahjati (Timur SD Curahjati)</v>
          </cell>
          <cell r="R4593" t="str">
            <v>Banyuwangi</v>
          </cell>
          <cell r="S4593" t="str">
            <v>H Bwi3</v>
          </cell>
          <cell r="T4593" t="str">
            <v>Hafid</v>
          </cell>
          <cell r="U4593">
            <v>60</v>
          </cell>
        </row>
        <row r="4594">
          <cell r="E4594" t="str">
            <v>B25008726</v>
          </cell>
          <cell r="F4594"/>
          <cell r="G4594">
            <v>50000000</v>
          </cell>
          <cell r="H4594" t="str">
            <v>Faris</v>
          </cell>
          <cell r="I4594" t="str">
            <v>Syahra</v>
          </cell>
          <cell r="J4594"/>
          <cell r="K4594" t="str">
            <v>KU</v>
          </cell>
          <cell r="L4594" t="str">
            <v>LEST06</v>
          </cell>
          <cell r="M4594" t="str">
            <v>Lestari Jaya</v>
          </cell>
          <cell r="N4594" t="str">
            <v>Lestari Widodo</v>
          </cell>
          <cell r="O4594" t="str">
            <v>Dsn. Sumberjati, RT.004/RW.002 Kel. Grajagan, Kec. Purwoharjo</v>
          </cell>
          <cell r="P4594" t="str">
            <v>Banyuwangi</v>
          </cell>
          <cell r="Q4594" t="str">
            <v>Sumberjati - Curahjati (Timur SD Curahjati)</v>
          </cell>
          <cell r="R4594" t="str">
            <v>Banyuwangi</v>
          </cell>
          <cell r="S4594" t="str">
            <v>H Bwi3</v>
          </cell>
          <cell r="T4594" t="str">
            <v>Hafid</v>
          </cell>
          <cell r="U4594">
            <v>60</v>
          </cell>
        </row>
        <row r="4595">
          <cell r="E4595" t="str">
            <v>B25008726</v>
          </cell>
          <cell r="F4595"/>
          <cell r="G4595">
            <v>50000000</v>
          </cell>
          <cell r="H4595" t="str">
            <v>Faris</v>
          </cell>
          <cell r="I4595" t="str">
            <v>Syahra</v>
          </cell>
          <cell r="J4595"/>
          <cell r="K4595" t="str">
            <v>KU</v>
          </cell>
          <cell r="L4595" t="str">
            <v>LEST06</v>
          </cell>
          <cell r="M4595" t="str">
            <v>Lestari Jaya</v>
          </cell>
          <cell r="N4595" t="str">
            <v>Lestari Widodo</v>
          </cell>
          <cell r="O4595" t="str">
            <v>Dsn. Sumberjati, RT.004/RW.002 Kel. Grajagan, Kec. Purwoharjo</v>
          </cell>
          <cell r="P4595" t="str">
            <v>Banyuwangi</v>
          </cell>
          <cell r="Q4595" t="str">
            <v>Sumberjati - Curahjati (Timur SD Curahjati)</v>
          </cell>
          <cell r="R4595" t="str">
            <v>Banyuwangi</v>
          </cell>
          <cell r="S4595" t="str">
            <v>H Bwi3</v>
          </cell>
          <cell r="T4595" t="str">
            <v>Hafid</v>
          </cell>
          <cell r="U4595">
            <v>60</v>
          </cell>
        </row>
        <row r="4596">
          <cell r="E4596" t="str">
            <v>B25009505</v>
          </cell>
          <cell r="F4596"/>
          <cell r="G4596">
            <v>50000000</v>
          </cell>
          <cell r="H4596" t="str">
            <v>Faris</v>
          </cell>
          <cell r="I4596" t="str">
            <v>Syahra</v>
          </cell>
          <cell r="J4596"/>
          <cell r="K4596" t="str">
            <v>KU</v>
          </cell>
          <cell r="L4596" t="str">
            <v>LEST06</v>
          </cell>
          <cell r="M4596" t="str">
            <v>Lestari Jaya</v>
          </cell>
          <cell r="N4596" t="str">
            <v>Lestari Widodo</v>
          </cell>
          <cell r="O4596" t="str">
            <v>Dsn. Sumberjati, RT.004/RW.002 Kel. Grajagan, Kec. Purwoharjo</v>
          </cell>
          <cell r="P4596" t="str">
            <v>Banyuwangi</v>
          </cell>
          <cell r="Q4596" t="str">
            <v>Sumberjati - Curahjati (Timur SD Curahjati)</v>
          </cell>
          <cell r="R4596" t="str">
            <v>Banyuwangi</v>
          </cell>
          <cell r="S4596" t="str">
            <v>H Bwi3</v>
          </cell>
          <cell r="T4596" t="str">
            <v>Hafid</v>
          </cell>
          <cell r="U4596">
            <v>30</v>
          </cell>
        </row>
        <row r="4597">
          <cell r="E4597" t="str">
            <v>D25011908</v>
          </cell>
          <cell r="F4597"/>
          <cell r="G4597">
            <v>50000000</v>
          </cell>
          <cell r="H4597" t="str">
            <v>Faris</v>
          </cell>
          <cell r="I4597" t="str">
            <v>Syahra</v>
          </cell>
          <cell r="J4597"/>
          <cell r="K4597" t="str">
            <v>KU</v>
          </cell>
          <cell r="L4597" t="str">
            <v>LEST06</v>
          </cell>
          <cell r="M4597" t="str">
            <v>Lestari Jaya</v>
          </cell>
          <cell r="N4597" t="str">
            <v>Lestari Widodo</v>
          </cell>
          <cell r="O4597" t="str">
            <v>Dsn. Sumberjati, RT.004/RW.002 Kel. Grajagan, Kec. Purwoharjo</v>
          </cell>
          <cell r="P4597" t="str">
            <v>Banyuwangi</v>
          </cell>
          <cell r="Q4597" t="str">
            <v>Sumberjati - Curahjati (Timur SD Curahjati)</v>
          </cell>
          <cell r="R4597" t="str">
            <v>Banyuwangi</v>
          </cell>
          <cell r="S4597" t="str">
            <v>H Bwi3</v>
          </cell>
          <cell r="T4597" t="str">
            <v>Hafid</v>
          </cell>
          <cell r="U4597">
            <v>60</v>
          </cell>
        </row>
        <row r="4598">
          <cell r="E4598" t="str">
            <v>D25013160</v>
          </cell>
          <cell r="F4598"/>
          <cell r="G4598">
            <v>50000000</v>
          </cell>
          <cell r="H4598" t="str">
            <v>Faris</v>
          </cell>
          <cell r="I4598" t="str">
            <v>Syahra</v>
          </cell>
          <cell r="J4598"/>
          <cell r="K4598" t="str">
            <v>KU</v>
          </cell>
          <cell r="L4598" t="str">
            <v>LEST06</v>
          </cell>
          <cell r="M4598" t="str">
            <v>Lestari Jaya</v>
          </cell>
          <cell r="N4598" t="str">
            <v>Lestari Widodo</v>
          </cell>
          <cell r="O4598" t="str">
            <v>Dsn. Sumberjati, RT.004/RW.002 Kel. Grajagan, Kec. Purwoharjo</v>
          </cell>
          <cell r="P4598" t="str">
            <v>Banyuwangi</v>
          </cell>
          <cell r="Q4598" t="str">
            <v>Sumberjati - Curahjati (Timur SD Curahjati)</v>
          </cell>
          <cell r="R4598" t="str">
            <v>Banyuwangi</v>
          </cell>
          <cell r="S4598" t="str">
            <v>H Bwi3</v>
          </cell>
          <cell r="T4598" t="str">
            <v>Hafid</v>
          </cell>
          <cell r="U4598">
            <v>60</v>
          </cell>
        </row>
        <row r="4599">
          <cell r="E4599" t="str">
            <v>D25013472</v>
          </cell>
          <cell r="F4599"/>
          <cell r="G4599">
            <v>50000000</v>
          </cell>
          <cell r="H4599" t="str">
            <v>Faris</v>
          </cell>
          <cell r="I4599" t="str">
            <v>Syahra</v>
          </cell>
          <cell r="J4599"/>
          <cell r="K4599" t="str">
            <v>KU</v>
          </cell>
          <cell r="L4599" t="str">
            <v>LEST06</v>
          </cell>
          <cell r="M4599" t="str">
            <v>Lestari Jaya</v>
          </cell>
          <cell r="N4599" t="str">
            <v>Lestari Widodo</v>
          </cell>
          <cell r="O4599" t="str">
            <v>Dsn. Sumberjati, RT.004/RW.002 Kel. Grajagan, Kec. Purwoharjo</v>
          </cell>
          <cell r="P4599" t="str">
            <v>Banyuwangi</v>
          </cell>
          <cell r="Q4599" t="str">
            <v>Sumberjati - Curahjati (Timur SD Curahjati)</v>
          </cell>
          <cell r="R4599" t="str">
            <v>Banyuwangi</v>
          </cell>
          <cell r="S4599" t="str">
            <v>H Bwi3</v>
          </cell>
          <cell r="T4599" t="str">
            <v>Hafid</v>
          </cell>
          <cell r="U4599">
            <v>30</v>
          </cell>
        </row>
        <row r="4600">
          <cell r="E4600" t="str">
            <v>D25013709</v>
          </cell>
          <cell r="F4600"/>
          <cell r="G4600">
            <v>50000000</v>
          </cell>
          <cell r="H4600" t="str">
            <v>Faris</v>
          </cell>
          <cell r="I4600" t="str">
            <v>Syahra</v>
          </cell>
          <cell r="J4600"/>
          <cell r="K4600" t="str">
            <v>KU</v>
          </cell>
          <cell r="L4600" t="str">
            <v>LEST06</v>
          </cell>
          <cell r="M4600" t="str">
            <v>Lestari Jaya</v>
          </cell>
          <cell r="N4600" t="str">
            <v>Lestari Widodo</v>
          </cell>
          <cell r="O4600" t="str">
            <v>Dsn. Sumberjati, RT.004/RW.002 Kel. Grajagan, Kec. Purwoharjo</v>
          </cell>
          <cell r="P4600" t="str">
            <v>Banyuwangi</v>
          </cell>
          <cell r="Q4600" t="str">
            <v>Sumberjati - Curahjati (Timur SD Curahjati)</v>
          </cell>
          <cell r="R4600" t="str">
            <v>Banyuwangi</v>
          </cell>
          <cell r="S4600" t="str">
            <v>H Bwi3</v>
          </cell>
          <cell r="T4600" t="str">
            <v>Hafid</v>
          </cell>
          <cell r="U4600">
            <v>30</v>
          </cell>
        </row>
        <row r="4601">
          <cell r="E4601" t="str">
            <v>D25014116</v>
          </cell>
          <cell r="F4601"/>
          <cell r="G4601">
            <v>50000000</v>
          </cell>
          <cell r="H4601" t="str">
            <v>Faris</v>
          </cell>
          <cell r="I4601" t="str">
            <v>Syahra</v>
          </cell>
          <cell r="J4601"/>
          <cell r="K4601" t="str">
            <v>KU</v>
          </cell>
          <cell r="L4601" t="str">
            <v>LEST06</v>
          </cell>
          <cell r="M4601" t="str">
            <v>Lestari Jaya</v>
          </cell>
          <cell r="N4601" t="str">
            <v>Lestari Widodo</v>
          </cell>
          <cell r="O4601" t="str">
            <v>Dsn. Sumberjati, RT.004/RW.002 Kel. Grajagan, Kec. Purwoharjo</v>
          </cell>
          <cell r="P4601" t="str">
            <v>Banyuwangi</v>
          </cell>
          <cell r="Q4601" t="str">
            <v>Sumberjati - Curahjati (Timur SD Curahjati)</v>
          </cell>
          <cell r="R4601" t="str">
            <v>Banyuwangi</v>
          </cell>
          <cell r="S4601" t="str">
            <v>H Bwi3</v>
          </cell>
          <cell r="T4601" t="str">
            <v>Hafid</v>
          </cell>
          <cell r="U4601">
            <v>30</v>
          </cell>
        </row>
        <row r="4602">
          <cell r="E4602" t="str">
            <v>T25001427</v>
          </cell>
          <cell r="F4602"/>
          <cell r="G4602">
            <v>50000000</v>
          </cell>
          <cell r="H4602" t="str">
            <v>Faris</v>
          </cell>
          <cell r="I4602" t="str">
            <v>Syahra</v>
          </cell>
          <cell r="J4602"/>
          <cell r="K4602" t="str">
            <v>KU</v>
          </cell>
          <cell r="L4602" t="str">
            <v>LEST06</v>
          </cell>
          <cell r="M4602" t="str">
            <v>Lestari Jaya</v>
          </cell>
          <cell r="N4602" t="str">
            <v>Lestari Widodo</v>
          </cell>
          <cell r="O4602" t="str">
            <v>Dsn. Sumberjati, RT.004/RW.002 Kel. Grajagan, Kec. Purwoharjo</v>
          </cell>
          <cell r="P4602" t="str">
            <v>Banyuwangi</v>
          </cell>
          <cell r="Q4602" t="str">
            <v>Sumberjati - Curahjati (Timur SD Curahjati)</v>
          </cell>
          <cell r="R4602" t="str">
            <v>Banyuwangi</v>
          </cell>
          <cell r="S4602" t="str">
            <v>H Bwi3</v>
          </cell>
          <cell r="T4602" t="str">
            <v>Hafid</v>
          </cell>
          <cell r="U4602">
            <v>60</v>
          </cell>
        </row>
        <row r="4603">
          <cell r="E4603" t="str">
            <v>T25001445</v>
          </cell>
          <cell r="F4603"/>
          <cell r="G4603">
            <v>50000000</v>
          </cell>
          <cell r="H4603" t="str">
            <v>Faris</v>
          </cell>
          <cell r="I4603" t="str">
            <v>Syahra</v>
          </cell>
          <cell r="J4603"/>
          <cell r="K4603" t="str">
            <v>KU</v>
          </cell>
          <cell r="L4603" t="str">
            <v>LEST06</v>
          </cell>
          <cell r="M4603" t="str">
            <v>Lestari Jaya</v>
          </cell>
          <cell r="N4603" t="str">
            <v>Lestari Widodo</v>
          </cell>
          <cell r="O4603" t="str">
            <v>Dsn. Sumberjati, RT.004/RW.002 Kel. Grajagan, Kec. Purwoharjo</v>
          </cell>
          <cell r="P4603" t="str">
            <v>Banyuwangi</v>
          </cell>
          <cell r="Q4603" t="str">
            <v>Sumberjati - Curahjati (Timur SD Curahjati)</v>
          </cell>
          <cell r="R4603" t="str">
            <v>Banyuwangi</v>
          </cell>
          <cell r="S4603" t="str">
            <v>H Bwi3</v>
          </cell>
          <cell r="T4603" t="str">
            <v>Hafid</v>
          </cell>
          <cell r="U4603">
            <v>60</v>
          </cell>
        </row>
        <row r="4604">
          <cell r="E4604" t="str">
            <v>B25013292</v>
          </cell>
          <cell r="F4604"/>
          <cell r="G4604">
            <v>50000000</v>
          </cell>
          <cell r="H4604" t="str">
            <v>Faris</v>
          </cell>
          <cell r="I4604" t="str">
            <v>Syahra</v>
          </cell>
          <cell r="J4604"/>
          <cell r="K4604" t="str">
            <v>KU</v>
          </cell>
          <cell r="L4604" t="str">
            <v>LEST06</v>
          </cell>
          <cell r="M4604" t="str">
            <v>Lestari Jaya</v>
          </cell>
          <cell r="N4604" t="str">
            <v>Lestari Widodo</v>
          </cell>
          <cell r="O4604" t="str">
            <v>Dsn. Sumberjati, RT.004/RW.002 Kel. Grajagan, Kec. Purwoharjo</v>
          </cell>
          <cell r="P4604" t="str">
            <v>Banyuwangi</v>
          </cell>
          <cell r="Q4604" t="str">
            <v>Sumberjati - Curahjati (Timur SD Curahjati)</v>
          </cell>
          <cell r="R4604" t="str">
            <v>Banyuwangi</v>
          </cell>
          <cell r="S4604" t="str">
            <v>H Bwi3</v>
          </cell>
          <cell r="T4604" t="str">
            <v>Hafid</v>
          </cell>
          <cell r="U4604">
            <v>30</v>
          </cell>
        </row>
        <row r="4605">
          <cell r="E4605" t="str">
            <v>D25016127</v>
          </cell>
          <cell r="F4605"/>
          <cell r="G4605">
            <v>50000000</v>
          </cell>
          <cell r="H4605" t="str">
            <v>Faris</v>
          </cell>
          <cell r="I4605" t="str">
            <v>Syahra</v>
          </cell>
          <cell r="J4605"/>
          <cell r="K4605" t="str">
            <v>KU</v>
          </cell>
          <cell r="L4605" t="str">
            <v>LEST06</v>
          </cell>
          <cell r="M4605" t="str">
            <v>Lestari Jaya</v>
          </cell>
          <cell r="N4605" t="str">
            <v>Lestari Widodo</v>
          </cell>
          <cell r="O4605" t="str">
            <v>Dsn. Sumberjati, RT.004/RW.002 Kel. Grajagan, Kec. Purwoharjo</v>
          </cell>
          <cell r="P4605" t="str">
            <v>Banyuwangi</v>
          </cell>
          <cell r="Q4605" t="str">
            <v>Sumberjati - Curahjati (Timur SD Curahjati)</v>
          </cell>
          <cell r="R4605" t="str">
            <v>Banyuwangi</v>
          </cell>
          <cell r="S4605" t="str">
            <v>H Bwi3</v>
          </cell>
          <cell r="T4605" t="str">
            <v>Hafid</v>
          </cell>
          <cell r="U4605">
            <v>30</v>
          </cell>
        </row>
        <row r="4606">
          <cell r="E4606" t="str">
            <v>D25016348</v>
          </cell>
          <cell r="F4606"/>
          <cell r="G4606">
            <v>50000000</v>
          </cell>
          <cell r="H4606" t="str">
            <v>Faris</v>
          </cell>
          <cell r="I4606" t="str">
            <v>Syahra</v>
          </cell>
          <cell r="J4606"/>
          <cell r="K4606" t="str">
            <v>KU</v>
          </cell>
          <cell r="L4606" t="str">
            <v>LEST06</v>
          </cell>
          <cell r="M4606" t="str">
            <v>Lestari Jaya</v>
          </cell>
          <cell r="N4606" t="str">
            <v>Lestari Widodo</v>
          </cell>
          <cell r="O4606" t="str">
            <v>Dsn. Sumberjati, RT.004/RW.002 Kel. Grajagan, Kec. Purwoharjo</v>
          </cell>
          <cell r="P4606" t="str">
            <v>Banyuwangi</v>
          </cell>
          <cell r="Q4606" t="str">
            <v>Sumberjati - Curahjati (Timur SD Curahjati)</v>
          </cell>
          <cell r="R4606" t="str">
            <v>Banyuwangi</v>
          </cell>
          <cell r="S4606" t="str">
            <v>H Bwi3</v>
          </cell>
          <cell r="T4606" t="str">
            <v>Hafid</v>
          </cell>
          <cell r="U4606">
            <v>0</v>
          </cell>
        </row>
        <row r="4607">
          <cell r="E4607" t="str">
            <v>D25015605</v>
          </cell>
          <cell r="F4607"/>
          <cell r="G4607">
            <v>20000000</v>
          </cell>
          <cell r="H4607" t="str">
            <v>Yuyun</v>
          </cell>
          <cell r="I4607" t="str">
            <v>Farida</v>
          </cell>
          <cell r="J4607"/>
          <cell r="K4607" t="str">
            <v>Tunai</v>
          </cell>
          <cell r="L4607" t="str">
            <v>LEST01</v>
          </cell>
          <cell r="M4607" t="str">
            <v>Lestari/Effendy</v>
          </cell>
          <cell r="N4607" t="str">
            <v>Effendy Kristanto</v>
          </cell>
          <cell r="O4607" t="str">
            <v>Jol Gajah Mada 108 RT.001/RW.021, Rambipuji</v>
          </cell>
          <cell r="P4607" t="str">
            <v>Jember</v>
          </cell>
          <cell r="Q4607" t="str">
            <v>Jol Gajah Mada 108 RT.001/RW.021, Rambipuji</v>
          </cell>
          <cell r="R4607" t="str">
            <v>Jember</v>
          </cell>
          <cell r="S4607" t="str">
            <v>L Kota3</v>
          </cell>
          <cell r="T4607" t="str">
            <v>Wira</v>
          </cell>
          <cell r="U4607">
            <v>30</v>
          </cell>
        </row>
        <row r="4608">
          <cell r="E4608" t="str">
            <v>B25009762</v>
          </cell>
          <cell r="F4608"/>
          <cell r="G4608">
            <v>1000</v>
          </cell>
          <cell r="H4608" t="str">
            <v>Hendra</v>
          </cell>
          <cell r="I4608" t="str">
            <v>Tiya</v>
          </cell>
          <cell r="J4608" t="str">
            <v>New 05/08/25</v>
          </cell>
          <cell r="K4608" t="str">
            <v>KU</v>
          </cell>
          <cell r="L4608" t="str">
            <v>LINT03</v>
          </cell>
          <cell r="M4608" t="str">
            <v>Lintang Jaya Tani</v>
          </cell>
          <cell r="N4608" t="str">
            <v>Lintang Jaya Tani</v>
          </cell>
          <cell r="O4608" t="str">
            <v>Jl Kebumen Darat Pasar 16 Lorong Ayam RT.000/RW.000, Enam Belas Ilir, Ilir Timur Satu</v>
          </cell>
          <cell r="P4608" t="str">
            <v>Palembang</v>
          </cell>
          <cell r="Q4608" t="str">
            <v>Jl Kebumen Darat Pasar 16 Lorong Ayam RT.000/RW.000, Enam Belas Ilir, Ilir Timur Satu</v>
          </cell>
          <cell r="R4608" t="str">
            <v>Palembang</v>
          </cell>
          <cell r="S4608" t="str">
            <v>E Luar Pulau2</v>
          </cell>
          <cell r="T4608" t="str">
            <v>Non SE &amp; JSE</v>
          </cell>
          <cell r="U4608">
            <v>60</v>
          </cell>
        </row>
        <row r="4609">
          <cell r="E4609" t="str">
            <v>B25009762</v>
          </cell>
          <cell r="F4609"/>
          <cell r="G4609">
            <v>1000</v>
          </cell>
          <cell r="H4609" t="str">
            <v>Hendra</v>
          </cell>
          <cell r="I4609" t="str">
            <v>Tiya</v>
          </cell>
          <cell r="J4609" t="str">
            <v>New 05/08/25</v>
          </cell>
          <cell r="K4609" t="str">
            <v>KU</v>
          </cell>
          <cell r="L4609" t="str">
            <v>LINT03</v>
          </cell>
          <cell r="M4609" t="str">
            <v>Lintang Jaya Tani</v>
          </cell>
          <cell r="N4609" t="str">
            <v>Lintang Jaya Tani</v>
          </cell>
          <cell r="O4609" t="str">
            <v>Jl Kebumen Darat Pasar 16 Lorong Ayam RT.000/RW.000, Enam Belas Ilir, Ilir Timur Satu</v>
          </cell>
          <cell r="P4609" t="str">
            <v>Palembang</v>
          </cell>
          <cell r="Q4609" t="str">
            <v>Jl Kebumen Darat Pasar 16 Lorong Ayam RT.000/RW.000, Enam Belas Ilir, Ilir Timur Satu</v>
          </cell>
          <cell r="R4609" t="str">
            <v>Palembang</v>
          </cell>
          <cell r="S4609" t="str">
            <v>E Luar Pulau2</v>
          </cell>
          <cell r="T4609" t="str">
            <v>Non SE &amp; JSE</v>
          </cell>
          <cell r="U4609">
            <v>60</v>
          </cell>
        </row>
        <row r="4610">
          <cell r="E4610" t="str">
            <v>B25010221</v>
          </cell>
          <cell r="F4610"/>
          <cell r="G4610">
            <v>1000</v>
          </cell>
          <cell r="H4610" t="str">
            <v>Hendra</v>
          </cell>
          <cell r="I4610" t="str">
            <v>Tiya</v>
          </cell>
          <cell r="J4610" t="str">
            <v>New 05/08/25</v>
          </cell>
          <cell r="K4610" t="str">
            <v>KU</v>
          </cell>
          <cell r="L4610" t="str">
            <v>LINT03</v>
          </cell>
          <cell r="M4610" t="str">
            <v>Lintang Jaya Tani</v>
          </cell>
          <cell r="N4610" t="str">
            <v>Lintang Jaya Tani</v>
          </cell>
          <cell r="O4610" t="str">
            <v>Jl Kebumen Darat Pasar 16 Lorong Ayam RT.000/RW.000, Enam Belas Ilir, Ilir Timur Satu</v>
          </cell>
          <cell r="P4610" t="str">
            <v>Palembang</v>
          </cell>
          <cell r="Q4610" t="str">
            <v>Jl Kebumen Darat Pasar 16 Lorong Ayam RT.000/RW.000, Enam Belas Ilir, Ilir Timur Satu</v>
          </cell>
          <cell r="R4610" t="str">
            <v>Palembang</v>
          </cell>
          <cell r="S4610" t="str">
            <v>E Luar Pulau2</v>
          </cell>
          <cell r="T4610" t="str">
            <v>Non SE &amp; JSE</v>
          </cell>
          <cell r="U4610">
            <v>60</v>
          </cell>
        </row>
        <row r="4611">
          <cell r="E4611" t="str">
            <v>B25010222</v>
          </cell>
          <cell r="F4611"/>
          <cell r="G4611">
            <v>1000</v>
          </cell>
          <cell r="H4611" t="str">
            <v>Hendra</v>
          </cell>
          <cell r="I4611" t="str">
            <v>Tiya</v>
          </cell>
          <cell r="J4611" t="str">
            <v>New 05/08/25</v>
          </cell>
          <cell r="K4611" t="str">
            <v>KU</v>
          </cell>
          <cell r="L4611" t="str">
            <v>LINT03</v>
          </cell>
          <cell r="M4611" t="str">
            <v>Lintang Jaya Tani</v>
          </cell>
          <cell r="N4611" t="str">
            <v>Lintang Jaya Tani</v>
          </cell>
          <cell r="O4611" t="str">
            <v>Jl Kebumen Darat Pasar 16 Lorong Ayam RT.000/RW.000, Enam Belas Ilir, Ilir Timur Satu</v>
          </cell>
          <cell r="P4611" t="str">
            <v>Palembang</v>
          </cell>
          <cell r="Q4611" t="str">
            <v>Jl Kebumen Darat Pasar 16 Lorong Ayam RT.000/RW.000, Enam Belas Ilir, Ilir Timur Satu</v>
          </cell>
          <cell r="R4611" t="str">
            <v>Palembang</v>
          </cell>
          <cell r="S4611" t="str">
            <v>E Luar Pulau2</v>
          </cell>
          <cell r="T4611" t="str">
            <v>Non SE &amp; JSE</v>
          </cell>
          <cell r="U4611">
            <v>60</v>
          </cell>
        </row>
        <row r="4612">
          <cell r="E4612" t="str">
            <v>B25010351</v>
          </cell>
          <cell r="F4612"/>
          <cell r="G4612">
            <v>1000</v>
          </cell>
          <cell r="H4612" t="str">
            <v>Hendra</v>
          </cell>
          <cell r="I4612" t="str">
            <v>Tiya</v>
          </cell>
          <cell r="J4612" t="str">
            <v>New 05/08/25</v>
          </cell>
          <cell r="K4612" t="str">
            <v>KU</v>
          </cell>
          <cell r="L4612" t="str">
            <v>LINT03</v>
          </cell>
          <cell r="M4612" t="str">
            <v>Lintang Jaya Tani</v>
          </cell>
          <cell r="N4612" t="str">
            <v>Lintang Jaya Tani</v>
          </cell>
          <cell r="O4612" t="str">
            <v>Jl Kebumen Darat Pasar 16 Lorong Ayam RT.000/RW.000, Enam Belas Ilir, Ilir Timur Satu</v>
          </cell>
          <cell r="P4612" t="str">
            <v>Palembang</v>
          </cell>
          <cell r="Q4612" t="str">
            <v>Jl Kebumen Darat Pasar 16 Lorong Ayam RT.000/RW.000, Enam Belas Ilir, Ilir Timur Satu</v>
          </cell>
          <cell r="R4612" t="str">
            <v>Palembang</v>
          </cell>
          <cell r="S4612" t="str">
            <v>E Luar Pulau2</v>
          </cell>
          <cell r="T4612" t="str">
            <v>Non SE &amp; JSE</v>
          </cell>
          <cell r="U4612">
            <v>60</v>
          </cell>
        </row>
        <row r="4613">
          <cell r="E4613" t="str">
            <v>B25013685</v>
          </cell>
          <cell r="F4613"/>
          <cell r="G4613">
            <v>1000</v>
          </cell>
          <cell r="H4613" t="str">
            <v>Hendra</v>
          </cell>
          <cell r="I4613" t="str">
            <v>Tiya</v>
          </cell>
          <cell r="J4613" t="str">
            <v>New 05/08/25</v>
          </cell>
          <cell r="K4613" t="str">
            <v>KU</v>
          </cell>
          <cell r="L4613" t="str">
            <v>LINT03</v>
          </cell>
          <cell r="M4613" t="str">
            <v>Lintang Jaya Tani</v>
          </cell>
          <cell r="N4613" t="str">
            <v>Lintang Jaya Tani</v>
          </cell>
          <cell r="O4613" t="str">
            <v>Jl Kebumen Darat Pasar 16 Lorong Ayam RT.000/RW.000, Enam Belas Ilir, Ilir Timur Satu</v>
          </cell>
          <cell r="P4613" t="str">
            <v>Palembang</v>
          </cell>
          <cell r="Q4613" t="str">
            <v>Jl Kebumen Darat Pasar 16 Lorong Ayam RT.000/RW.000, Enam Belas Ilir, Ilir Timur Satu</v>
          </cell>
          <cell r="R4613" t="str">
            <v>Palembang</v>
          </cell>
          <cell r="S4613" t="str">
            <v>E Luar Pulau2</v>
          </cell>
          <cell r="T4613" t="str">
            <v>Non SE &amp; JSE</v>
          </cell>
          <cell r="U4613">
            <v>60</v>
          </cell>
        </row>
        <row r="4614">
          <cell r="E4614" t="str">
            <v>B25013714</v>
          </cell>
          <cell r="F4614"/>
          <cell r="G4614">
            <v>1000</v>
          </cell>
          <cell r="H4614" t="str">
            <v>Hendra</v>
          </cell>
          <cell r="I4614" t="str">
            <v>Tiya</v>
          </cell>
          <cell r="J4614" t="str">
            <v>New 05/08/25</v>
          </cell>
          <cell r="K4614" t="str">
            <v>KU</v>
          </cell>
          <cell r="L4614" t="str">
            <v>LINT03</v>
          </cell>
          <cell r="M4614" t="str">
            <v>Lintang Jaya Tani</v>
          </cell>
          <cell r="N4614" t="str">
            <v>Lintang Jaya Tani</v>
          </cell>
          <cell r="O4614" t="str">
            <v>Jl Kebumen Darat Pasar 16 Lorong Ayam RT.000/RW.000, Enam Belas Ilir, Ilir Timur Satu</v>
          </cell>
          <cell r="P4614" t="str">
            <v>Palembang</v>
          </cell>
          <cell r="Q4614" t="str">
            <v>Jl Kebumen Darat Pasar 16 Lorong Ayam RT.000/RW.000, Enam Belas Ilir, Ilir Timur Satu</v>
          </cell>
          <cell r="R4614" t="str">
            <v>Palembang</v>
          </cell>
          <cell r="S4614" t="str">
            <v>E Luar Pulau2</v>
          </cell>
          <cell r="T4614" t="str">
            <v>Non SE &amp; JSE</v>
          </cell>
          <cell r="U4614">
            <v>60</v>
          </cell>
        </row>
        <row r="4615">
          <cell r="E4615" t="str">
            <v>B25013892</v>
          </cell>
          <cell r="F4615"/>
          <cell r="G4615">
            <v>1000</v>
          </cell>
          <cell r="H4615" t="str">
            <v>Hendra</v>
          </cell>
          <cell r="I4615" t="str">
            <v>Tiya</v>
          </cell>
          <cell r="J4615" t="str">
            <v>New 05/08/25</v>
          </cell>
          <cell r="K4615" t="str">
            <v>KU</v>
          </cell>
          <cell r="L4615" t="str">
            <v>LINT03</v>
          </cell>
          <cell r="M4615" t="str">
            <v>Lintang Jaya Tani</v>
          </cell>
          <cell r="N4615" t="str">
            <v>Lintang Jaya Tani</v>
          </cell>
          <cell r="O4615" t="str">
            <v>Jl Kebumen Darat Pasar 16 Lorong Ayam RT.000/RW.000, Enam Belas Ilir, Ilir Timur Satu</v>
          </cell>
          <cell r="P4615" t="str">
            <v>Palembang</v>
          </cell>
          <cell r="Q4615" t="str">
            <v>Jl Kebumen Darat Pasar 16 Lorong Ayam RT.000/RW.000, Enam Belas Ilir, Ilir Timur Satu</v>
          </cell>
          <cell r="R4615" t="str">
            <v>Palembang</v>
          </cell>
          <cell r="S4615" t="str">
            <v>E Luar Pulau2</v>
          </cell>
          <cell r="T4615" t="str">
            <v>Non SE &amp; JSE</v>
          </cell>
          <cell r="U4615">
            <v>60</v>
          </cell>
        </row>
        <row r="4616">
          <cell r="E4616" t="str">
            <v>D25013669</v>
          </cell>
          <cell r="F4616"/>
          <cell r="G4616">
            <v>92945000</v>
          </cell>
          <cell r="H4616" t="str">
            <v>Yuyun</v>
          </cell>
          <cell r="I4616" t="str">
            <v>Farida</v>
          </cell>
          <cell r="J4616" t="str">
            <v>New 07/06/23</v>
          </cell>
          <cell r="K4616" t="str">
            <v>COD</v>
          </cell>
          <cell r="L4616" t="str">
            <v>LUHU02</v>
          </cell>
          <cell r="M4616" t="str">
            <v>Luhur Tani/M. Itqon</v>
          </cell>
          <cell r="N4616" t="str">
            <v>Moh Itqon</v>
          </cell>
          <cell r="O4616" t="str">
            <v>Dusun Karanganyar RT.001/RW.009,Karangrejo, Gumukmas</v>
          </cell>
          <cell r="P4616" t="str">
            <v>Jember</v>
          </cell>
          <cell r="Q4616" t="str">
            <v>Dusun Karanganyar RT.001/RW.009, Karangrejo, Gumukmas</v>
          </cell>
          <cell r="R4616" t="str">
            <v>Jember</v>
          </cell>
          <cell r="S4616" t="str">
            <v>L Kota3</v>
          </cell>
          <cell r="T4616" t="str">
            <v>Efendi</v>
          </cell>
          <cell r="U4616">
            <v>30</v>
          </cell>
        </row>
        <row r="4617">
          <cell r="E4617" t="str">
            <v>D25013669</v>
          </cell>
          <cell r="F4617"/>
          <cell r="G4617">
            <v>92945000</v>
          </cell>
          <cell r="H4617" t="str">
            <v>Yuyun</v>
          </cell>
          <cell r="I4617" t="str">
            <v>Farida</v>
          </cell>
          <cell r="J4617" t="str">
            <v>New 07/06/23</v>
          </cell>
          <cell r="K4617" t="str">
            <v>COD</v>
          </cell>
          <cell r="L4617" t="str">
            <v>LUHU02</v>
          </cell>
          <cell r="M4617" t="str">
            <v>Luhur Tani/M. Itqon</v>
          </cell>
          <cell r="N4617" t="str">
            <v>Moh Itqon</v>
          </cell>
          <cell r="O4617" t="str">
            <v>Dusun Karanganyar RT.001/RW.009,Karangrejo, Gumukmas</v>
          </cell>
          <cell r="P4617" t="str">
            <v>Jember</v>
          </cell>
          <cell r="Q4617" t="str">
            <v>Dusun Karanganyar RT.001/RW.009, Karangrejo, Gumukmas</v>
          </cell>
          <cell r="R4617" t="str">
            <v>Jember</v>
          </cell>
          <cell r="S4617" t="str">
            <v>L Kota3</v>
          </cell>
          <cell r="T4617" t="str">
            <v>Efendi</v>
          </cell>
          <cell r="U4617">
            <v>30</v>
          </cell>
        </row>
        <row r="4618">
          <cell r="E4618" t="str">
            <v>T25001413</v>
          </cell>
          <cell r="F4618"/>
          <cell r="G4618">
            <v>92945000</v>
          </cell>
          <cell r="H4618" t="str">
            <v>Yuyun</v>
          </cell>
          <cell r="I4618" t="str">
            <v>Farida</v>
          </cell>
          <cell r="J4618" t="str">
            <v>New 07/06/23</v>
          </cell>
          <cell r="K4618" t="str">
            <v>COD</v>
          </cell>
          <cell r="L4618" t="str">
            <v>LUHU02</v>
          </cell>
          <cell r="M4618" t="str">
            <v>Luhur Tani/M. Itqon</v>
          </cell>
          <cell r="N4618" t="str">
            <v>Moh Itqon</v>
          </cell>
          <cell r="O4618" t="str">
            <v>Dusun Karanganyar RT.001/RW.009,Karangrejo, Gumukmas</v>
          </cell>
          <cell r="P4618" t="str">
            <v>Jember</v>
          </cell>
          <cell r="Q4618" t="str">
            <v>Dusun Karanganyar RT.001/RW.009, Karangrejo, Gumukmas</v>
          </cell>
          <cell r="R4618" t="str">
            <v>Jember</v>
          </cell>
          <cell r="S4618" t="str">
            <v>L Kota3</v>
          </cell>
          <cell r="T4618" t="str">
            <v>Efendi</v>
          </cell>
          <cell r="U4618">
            <v>60</v>
          </cell>
        </row>
        <row r="4619">
          <cell r="E4619" t="str">
            <v>B25012423</v>
          </cell>
          <cell r="F4619"/>
          <cell r="G4619">
            <v>92945000</v>
          </cell>
          <cell r="H4619" t="str">
            <v>Yuyun</v>
          </cell>
          <cell r="I4619" t="str">
            <v>Farida</v>
          </cell>
          <cell r="J4619" t="str">
            <v>New 07/06/23</v>
          </cell>
          <cell r="K4619" t="str">
            <v>COD</v>
          </cell>
          <cell r="L4619" t="str">
            <v>LUHU02</v>
          </cell>
          <cell r="M4619" t="str">
            <v>Luhur Tani/M. Itqon</v>
          </cell>
          <cell r="N4619" t="str">
            <v>Moh Itqon</v>
          </cell>
          <cell r="O4619" t="str">
            <v>Dusun Karanganyar RT.001/RW.009,Karangrejo, Gumukmas</v>
          </cell>
          <cell r="P4619" t="str">
            <v>Jember</v>
          </cell>
          <cell r="Q4619" t="str">
            <v>Dusun Karanganyar RT.001/RW.009, Karangrejo, Gumukmas</v>
          </cell>
          <cell r="R4619" t="str">
            <v>Jember</v>
          </cell>
          <cell r="S4619" t="str">
            <v>L Kota3</v>
          </cell>
          <cell r="T4619" t="str">
            <v>Efendi</v>
          </cell>
          <cell r="U4619">
            <v>60</v>
          </cell>
        </row>
        <row r="4620">
          <cell r="E4620" t="str">
            <v>D25015941</v>
          </cell>
          <cell r="F4620"/>
          <cell r="G4620">
            <v>92945000</v>
          </cell>
          <cell r="H4620" t="str">
            <v>Yuyun</v>
          </cell>
          <cell r="I4620" t="str">
            <v>Farida</v>
          </cell>
          <cell r="J4620" t="str">
            <v>New 07/06/23</v>
          </cell>
          <cell r="K4620" t="str">
            <v>COD</v>
          </cell>
          <cell r="L4620" t="str">
            <v>LUHU02</v>
          </cell>
          <cell r="M4620" t="str">
            <v>Luhur Tani/M. Itqon</v>
          </cell>
          <cell r="N4620" t="str">
            <v>Moh Itqon</v>
          </cell>
          <cell r="O4620" t="str">
            <v>Dusun Karanganyar RT.001/RW.009,Karangrejo, Gumukmas</v>
          </cell>
          <cell r="P4620" t="str">
            <v>Jember</v>
          </cell>
          <cell r="Q4620" t="str">
            <v>Dusun Karanganyar RT.001/RW.009, Karangrejo, Gumukmas</v>
          </cell>
          <cell r="R4620" t="str">
            <v>Jember</v>
          </cell>
          <cell r="S4620" t="str">
            <v>L Kota3</v>
          </cell>
          <cell r="T4620" t="str">
            <v>Efendi</v>
          </cell>
          <cell r="U4620">
            <v>0</v>
          </cell>
        </row>
        <row r="4621">
          <cell r="E4621" t="str">
            <v>T25001576</v>
          </cell>
          <cell r="F4621"/>
          <cell r="G4621">
            <v>92945000</v>
          </cell>
          <cell r="H4621" t="str">
            <v>Yuyun</v>
          </cell>
          <cell r="I4621" t="str">
            <v>Farida</v>
          </cell>
          <cell r="J4621" t="str">
            <v>New 07/06/23</v>
          </cell>
          <cell r="K4621" t="str">
            <v>COD</v>
          </cell>
          <cell r="L4621" t="str">
            <v>LUHU02</v>
          </cell>
          <cell r="M4621" t="str">
            <v>Luhur Tani/M. Itqon</v>
          </cell>
          <cell r="N4621" t="str">
            <v>Moh Itqon</v>
          </cell>
          <cell r="O4621" t="str">
            <v>Dusun Karanganyar RT.001/RW.009,Karangrejo, Gumukmas</v>
          </cell>
          <cell r="P4621" t="str">
            <v>Jember</v>
          </cell>
          <cell r="Q4621" t="str">
            <v>Dusun Karanganyar RT.001/RW.009, Karangrejo, Gumukmas</v>
          </cell>
          <cell r="R4621" t="str">
            <v>Jember</v>
          </cell>
          <cell r="S4621" t="str">
            <v>L Kota3</v>
          </cell>
          <cell r="T4621" t="str">
            <v>Efendi</v>
          </cell>
          <cell r="U4621">
            <v>60</v>
          </cell>
        </row>
        <row r="4622">
          <cell r="E4622" t="str">
            <v>L24000006</v>
          </cell>
          <cell r="F4622"/>
          <cell r="G4622">
            <v>1000</v>
          </cell>
          <cell r="H4622" t="str">
            <v>Hendra</v>
          </cell>
          <cell r="I4622" t="str">
            <v>Tiya</v>
          </cell>
          <cell r="J4622" t="str">
            <v>New 30/01/24</v>
          </cell>
          <cell r="K4622" t="str">
            <v>KU</v>
          </cell>
          <cell r="L4622" t="str">
            <v>MHAY01</v>
          </cell>
          <cell r="M4622" t="str">
            <v>M. Hayat, UD/Fachry</v>
          </cell>
          <cell r="N4622" t="str">
            <v>Fachry Rahman</v>
          </cell>
          <cell r="O4622" t="str">
            <v>Rato - Sila RT.008/RW.004, Kel. Rato, Kec. Bolo</v>
          </cell>
          <cell r="P4622" t="str">
            <v>Bima - NTB</v>
          </cell>
          <cell r="Q4622" t="str">
            <v>Rato - Sila RT.008/RW.004, Kel. Rato, Kec. Bolo</v>
          </cell>
          <cell r="R4622" t="str">
            <v>Bima - NTB</v>
          </cell>
          <cell r="S4622" t="str">
            <v>E Luar Pulau2</v>
          </cell>
          <cell r="T4622" t="str">
            <v>Muhlisin</v>
          </cell>
          <cell r="U4622">
            <v>75</v>
          </cell>
        </row>
        <row r="4623">
          <cell r="E4623" t="str">
            <v>N25000009</v>
          </cell>
          <cell r="F4623"/>
          <cell r="G4623">
            <v>1000</v>
          </cell>
          <cell r="H4623" t="str">
            <v>Hendra</v>
          </cell>
          <cell r="I4623" t="str">
            <v>Tiya</v>
          </cell>
          <cell r="J4623" t="str">
            <v>New 30/01/24</v>
          </cell>
          <cell r="K4623" t="str">
            <v>KU</v>
          </cell>
          <cell r="L4623" t="str">
            <v>MHAY01</v>
          </cell>
          <cell r="M4623" t="str">
            <v>M. Hayat, UD/Fachry</v>
          </cell>
          <cell r="N4623" t="str">
            <v>Fachry Rahman</v>
          </cell>
          <cell r="O4623" t="str">
            <v>Rato - Sila RT.008/RW.004, Kel. Rato, Kec. Bolo</v>
          </cell>
          <cell r="P4623" t="str">
            <v>Bima - NTB</v>
          </cell>
          <cell r="Q4623" t="str">
            <v>Rato - Sila RT.008/RW.004, Kel. Rato, Kec. Bolo</v>
          </cell>
          <cell r="R4623" t="str">
            <v>Bima - NTB</v>
          </cell>
          <cell r="S4623" t="str">
            <v>E Luar Pulau2</v>
          </cell>
          <cell r="T4623" t="str">
            <v>Muhlisin</v>
          </cell>
          <cell r="U4623">
            <v>30</v>
          </cell>
        </row>
        <row r="4624">
          <cell r="E4624" t="str">
            <v>D25015705</v>
          </cell>
          <cell r="F4624"/>
          <cell r="G4624">
            <v>65000000</v>
          </cell>
          <cell r="H4624" t="str">
            <v>Ariyani</v>
          </cell>
          <cell r="I4624" t="str">
            <v>Fira</v>
          </cell>
          <cell r="J4624"/>
          <cell r="K4624" t="str">
            <v>KU</v>
          </cell>
          <cell r="L4624" t="str">
            <v>MADA01</v>
          </cell>
          <cell r="M4624" t="str">
            <v>Madani, UD</v>
          </cell>
          <cell r="N4624" t="str">
            <v>Bobi Sudarsono</v>
          </cell>
          <cell r="O4624" t="str">
            <v>Dsn. II Sumberejo, RT.003/RW.009, Kel. Senduro, Kec. Senduro</v>
          </cell>
          <cell r="P4624" t="str">
            <v>Lumajang</v>
          </cell>
          <cell r="Q4624" t="str">
            <v>Pasar Senduro Ke Utara Depan SD.01 Senduro</v>
          </cell>
          <cell r="R4624" t="str">
            <v>Lumajang</v>
          </cell>
          <cell r="S4624" t="str">
            <v>C Lumajang</v>
          </cell>
          <cell r="T4624" t="str">
            <v>Efendi</v>
          </cell>
          <cell r="U4624">
            <v>30</v>
          </cell>
        </row>
        <row r="4625">
          <cell r="E4625" t="str">
            <v>D25015708</v>
          </cell>
          <cell r="F4625"/>
          <cell r="G4625">
            <v>65000000</v>
          </cell>
          <cell r="H4625" t="str">
            <v>Ariyani</v>
          </cell>
          <cell r="I4625" t="str">
            <v>Fira</v>
          </cell>
          <cell r="J4625"/>
          <cell r="K4625" t="str">
            <v>KU</v>
          </cell>
          <cell r="L4625" t="str">
            <v>MADA01</v>
          </cell>
          <cell r="M4625" t="str">
            <v>Madani, UD</v>
          </cell>
          <cell r="N4625" t="str">
            <v>Bobi Sudarsono</v>
          </cell>
          <cell r="O4625" t="str">
            <v>Dsn. II Sumberejo, RT.003/RW.009, Kel. Senduro, Kec. Senduro</v>
          </cell>
          <cell r="P4625" t="str">
            <v>Lumajang</v>
          </cell>
          <cell r="Q4625" t="str">
            <v>Pasar Senduro Ke Utara Depan SD.01 Senduro</v>
          </cell>
          <cell r="R4625" t="str">
            <v>Lumajang</v>
          </cell>
          <cell r="S4625" t="str">
            <v>C Lumajang</v>
          </cell>
          <cell r="T4625" t="str">
            <v>Efendi</v>
          </cell>
          <cell r="U4625">
            <v>30</v>
          </cell>
        </row>
        <row r="4626">
          <cell r="E4626" t="str">
            <v>D25015914</v>
          </cell>
          <cell r="F4626"/>
          <cell r="G4626">
            <v>65000000</v>
          </cell>
          <cell r="H4626" t="str">
            <v>Ariyani</v>
          </cell>
          <cell r="I4626" t="str">
            <v>Fira</v>
          </cell>
          <cell r="J4626"/>
          <cell r="K4626" t="str">
            <v>KU</v>
          </cell>
          <cell r="L4626" t="str">
            <v>MADA01</v>
          </cell>
          <cell r="M4626" t="str">
            <v>Madani, UD</v>
          </cell>
          <cell r="N4626" t="str">
            <v>Bobi Sudarsono</v>
          </cell>
          <cell r="O4626" t="str">
            <v>Dsn. II Sumberejo, RT.003/RW.009, Kel. Senduro, Kec. Senduro</v>
          </cell>
          <cell r="P4626" t="str">
            <v>Lumajang</v>
          </cell>
          <cell r="Q4626" t="str">
            <v>Pasar Senduro Ke Utara Depan SD.01 Senduro</v>
          </cell>
          <cell r="R4626" t="str">
            <v>Lumajang</v>
          </cell>
          <cell r="S4626" t="str">
            <v>C Lumajang</v>
          </cell>
          <cell r="T4626" t="str">
            <v>Efendi</v>
          </cell>
          <cell r="U4626">
            <v>30</v>
          </cell>
        </row>
        <row r="4627">
          <cell r="E4627" t="str">
            <v>D25013718</v>
          </cell>
          <cell r="F4627"/>
          <cell r="G4627">
            <v>500000000</v>
          </cell>
          <cell r="H4627" t="str">
            <v>Zakia</v>
          </cell>
          <cell r="I4627" t="str">
            <v>Tiya</v>
          </cell>
          <cell r="J4627"/>
          <cell r="K4627" t="str">
            <v>KU, Tunai</v>
          </cell>
          <cell r="L4627" t="str">
            <v>MADE01</v>
          </cell>
          <cell r="M4627" t="str">
            <v>Made, Kios</v>
          </cell>
          <cell r="N4627" t="str">
            <v>I Made Budiasa</v>
          </cell>
          <cell r="O4627" t="str">
            <v>Lingkungan Cangkring, Kel Tegalcangkring, Kec. Mendoyo</v>
          </cell>
          <cell r="P4627" t="str">
            <v>Jembrana</v>
          </cell>
          <cell r="Q4627" t="str">
            <v>Lingkungan Cangkring, Kel Tegalcangkring, Kec. Mendoyo Jembrana</v>
          </cell>
          <cell r="R4627" t="str">
            <v>Bali</v>
          </cell>
          <cell r="S4627" t="str">
            <v>S Bali3</v>
          </cell>
          <cell r="T4627" t="str">
            <v>Wira</v>
          </cell>
          <cell r="U4627">
            <v>30</v>
          </cell>
        </row>
        <row r="4628">
          <cell r="E4628" t="str">
            <v>D25013718</v>
          </cell>
          <cell r="F4628"/>
          <cell r="G4628">
            <v>500000000</v>
          </cell>
          <cell r="H4628" t="str">
            <v>Zakia</v>
          </cell>
          <cell r="I4628" t="str">
            <v>Tiya</v>
          </cell>
          <cell r="J4628"/>
          <cell r="K4628" t="str">
            <v>KU, Tunai</v>
          </cell>
          <cell r="L4628" t="str">
            <v>MADE01</v>
          </cell>
          <cell r="M4628" t="str">
            <v>Made, Kios</v>
          </cell>
          <cell r="N4628" t="str">
            <v>I Made Budiasa</v>
          </cell>
          <cell r="O4628" t="str">
            <v>Lingkungan Cangkring, Kel Tegalcangkring, Kec. Mendoyo</v>
          </cell>
          <cell r="P4628" t="str">
            <v>Jembrana</v>
          </cell>
          <cell r="Q4628" t="str">
            <v>Lingkungan Cangkring, Kel Tegalcangkring, Kec. Mendoyo Jembrana</v>
          </cell>
          <cell r="R4628" t="str">
            <v>Bali</v>
          </cell>
          <cell r="S4628" t="str">
            <v>S Bali3</v>
          </cell>
          <cell r="T4628" t="str">
            <v>Wira</v>
          </cell>
          <cell r="U4628">
            <v>30</v>
          </cell>
        </row>
        <row r="4629">
          <cell r="E4629" t="str">
            <v>D25013801</v>
          </cell>
          <cell r="F4629"/>
          <cell r="G4629">
            <v>500000000</v>
          </cell>
          <cell r="H4629" t="str">
            <v>Zakia</v>
          </cell>
          <cell r="I4629" t="str">
            <v>Tiya</v>
          </cell>
          <cell r="J4629"/>
          <cell r="K4629" t="str">
            <v>KU, Tunai</v>
          </cell>
          <cell r="L4629" t="str">
            <v>MADE01</v>
          </cell>
          <cell r="M4629" t="str">
            <v>Made, Kios</v>
          </cell>
          <cell r="N4629" t="str">
            <v>I Made Budiasa</v>
          </cell>
          <cell r="O4629" t="str">
            <v>Lingkungan Cangkring, Kel Tegalcangkring, Kec. Mendoyo</v>
          </cell>
          <cell r="P4629" t="str">
            <v>Jembrana</v>
          </cell>
          <cell r="Q4629" t="str">
            <v>Lingkungan Cangkring, Kel Tegalcangkring, Kec. Mendoyo Jembrana</v>
          </cell>
          <cell r="R4629" t="str">
            <v>Bali</v>
          </cell>
          <cell r="S4629" t="str">
            <v>S Bali3</v>
          </cell>
          <cell r="T4629" t="str">
            <v>Wira</v>
          </cell>
          <cell r="U4629">
            <v>30</v>
          </cell>
        </row>
        <row r="4630">
          <cell r="E4630" t="str">
            <v>B25012133</v>
          </cell>
          <cell r="F4630"/>
          <cell r="G4630">
            <v>500000000</v>
          </cell>
          <cell r="H4630" t="str">
            <v>Zakia</v>
          </cell>
          <cell r="I4630" t="str">
            <v>Tiya</v>
          </cell>
          <cell r="J4630"/>
          <cell r="K4630" t="str">
            <v>KU, Tunai</v>
          </cell>
          <cell r="L4630" t="str">
            <v>MADE01</v>
          </cell>
          <cell r="M4630" t="str">
            <v>Made, Kios</v>
          </cell>
          <cell r="N4630" t="str">
            <v>I Made Budiasa</v>
          </cell>
          <cell r="O4630" t="str">
            <v>Lingkungan Cangkring, Kel Tegalcangkring, Kec. Mendoyo</v>
          </cell>
          <cell r="P4630" t="str">
            <v>Jembrana</v>
          </cell>
          <cell r="Q4630" t="str">
            <v>Lingkungan Cangkring, Kel Tegalcangkring, Kec. Mendoyo Jembrana</v>
          </cell>
          <cell r="R4630" t="str">
            <v>Bali</v>
          </cell>
          <cell r="S4630" t="str">
            <v>S Bali3</v>
          </cell>
          <cell r="T4630" t="str">
            <v>Wira</v>
          </cell>
          <cell r="U4630">
            <v>30</v>
          </cell>
        </row>
        <row r="4631">
          <cell r="E4631" t="str">
            <v>D25014667</v>
          </cell>
          <cell r="F4631"/>
          <cell r="G4631">
            <v>500000000</v>
          </cell>
          <cell r="H4631" t="str">
            <v>Zakia</v>
          </cell>
          <cell r="I4631" t="str">
            <v>Tiya</v>
          </cell>
          <cell r="J4631"/>
          <cell r="K4631" t="str">
            <v>KU, Tunai</v>
          </cell>
          <cell r="L4631" t="str">
            <v>MADE01</v>
          </cell>
          <cell r="M4631" t="str">
            <v>Made, Kios</v>
          </cell>
          <cell r="N4631" t="str">
            <v>I Made Budiasa</v>
          </cell>
          <cell r="O4631" t="str">
            <v>Lingkungan Cangkring, Kel Tegalcangkring, Kec. Mendoyo</v>
          </cell>
          <cell r="P4631" t="str">
            <v>Jembrana</v>
          </cell>
          <cell r="Q4631" t="str">
            <v>Lingkungan Cangkring, Kel Tegalcangkring, Kec. Mendoyo Jembrana</v>
          </cell>
          <cell r="R4631" t="str">
            <v>Bali</v>
          </cell>
          <cell r="S4631" t="str">
            <v>S Bali3</v>
          </cell>
          <cell r="T4631" t="str">
            <v>Wira</v>
          </cell>
          <cell r="U4631">
            <v>30</v>
          </cell>
        </row>
        <row r="4632">
          <cell r="E4632" t="str">
            <v>D25014667</v>
          </cell>
          <cell r="F4632"/>
          <cell r="G4632">
            <v>500000000</v>
          </cell>
          <cell r="H4632" t="str">
            <v>Zakia</v>
          </cell>
          <cell r="I4632" t="str">
            <v>Tiya</v>
          </cell>
          <cell r="J4632"/>
          <cell r="K4632" t="str">
            <v>KU, Tunai</v>
          </cell>
          <cell r="L4632" t="str">
            <v>MADE01</v>
          </cell>
          <cell r="M4632" t="str">
            <v>Made, Kios</v>
          </cell>
          <cell r="N4632" t="str">
            <v>I Made Budiasa</v>
          </cell>
          <cell r="O4632" t="str">
            <v>Lingkungan Cangkring, Kel Tegalcangkring, Kec. Mendoyo</v>
          </cell>
          <cell r="P4632" t="str">
            <v>Jembrana</v>
          </cell>
          <cell r="Q4632" t="str">
            <v>Lingkungan Cangkring, Kel Tegalcangkring, Kec. Mendoyo Jembrana</v>
          </cell>
          <cell r="R4632" t="str">
            <v>Bali</v>
          </cell>
          <cell r="S4632" t="str">
            <v>S Bali3</v>
          </cell>
          <cell r="T4632" t="str">
            <v>Wira</v>
          </cell>
          <cell r="U4632">
            <v>30</v>
          </cell>
        </row>
        <row r="4633">
          <cell r="E4633" t="str">
            <v>B25012615</v>
          </cell>
          <cell r="F4633"/>
          <cell r="G4633">
            <v>500000000</v>
          </cell>
          <cell r="H4633" t="str">
            <v>Zakia</v>
          </cell>
          <cell r="I4633" t="str">
            <v>Tiya</v>
          </cell>
          <cell r="J4633"/>
          <cell r="K4633" t="str">
            <v>KU, Tunai</v>
          </cell>
          <cell r="L4633" t="str">
            <v>MADE01</v>
          </cell>
          <cell r="M4633" t="str">
            <v>Made, Kios</v>
          </cell>
          <cell r="N4633" t="str">
            <v>I Made Budiasa</v>
          </cell>
          <cell r="O4633" t="str">
            <v>Lingkungan Cangkring, Kel Tegalcangkring, Kec. Mendoyo</v>
          </cell>
          <cell r="P4633" t="str">
            <v>Jembrana</v>
          </cell>
          <cell r="Q4633" t="str">
            <v>Lingkungan Cangkring, Kel Tegalcangkring, Kec. Mendoyo Jembrana</v>
          </cell>
          <cell r="R4633" t="str">
            <v>Bali</v>
          </cell>
          <cell r="S4633" t="str">
            <v>S Bali3</v>
          </cell>
          <cell r="T4633" t="str">
            <v>Wira</v>
          </cell>
          <cell r="U4633">
            <v>30</v>
          </cell>
        </row>
        <row r="4634">
          <cell r="E4634" t="str">
            <v>B25012615</v>
          </cell>
          <cell r="F4634"/>
          <cell r="G4634">
            <v>500000000</v>
          </cell>
          <cell r="H4634" t="str">
            <v>Zakia</v>
          </cell>
          <cell r="I4634" t="str">
            <v>Tiya</v>
          </cell>
          <cell r="J4634"/>
          <cell r="K4634" t="str">
            <v>KU, Tunai</v>
          </cell>
          <cell r="L4634" t="str">
            <v>MADE01</v>
          </cell>
          <cell r="M4634" t="str">
            <v>Made, Kios</v>
          </cell>
          <cell r="N4634" t="str">
            <v>I Made Budiasa</v>
          </cell>
          <cell r="O4634" t="str">
            <v>Lingkungan Cangkring, Kel Tegalcangkring, Kec. Mendoyo</v>
          </cell>
          <cell r="P4634" t="str">
            <v>Jembrana</v>
          </cell>
          <cell r="Q4634" t="str">
            <v>Lingkungan Cangkring, Kel Tegalcangkring, Kec. Mendoyo Jembrana</v>
          </cell>
          <cell r="R4634" t="str">
            <v>Bali</v>
          </cell>
          <cell r="S4634" t="str">
            <v>S Bali3</v>
          </cell>
          <cell r="T4634" t="str">
            <v>Wira</v>
          </cell>
          <cell r="U4634">
            <v>30</v>
          </cell>
        </row>
        <row r="4635">
          <cell r="E4635" t="str">
            <v>D25015227</v>
          </cell>
          <cell r="F4635"/>
          <cell r="G4635">
            <v>500000000</v>
          </cell>
          <cell r="H4635" t="str">
            <v>Zakia</v>
          </cell>
          <cell r="I4635" t="str">
            <v>Tiya</v>
          </cell>
          <cell r="J4635"/>
          <cell r="K4635" t="str">
            <v>KU, Tunai</v>
          </cell>
          <cell r="L4635" t="str">
            <v>MADE01</v>
          </cell>
          <cell r="M4635" t="str">
            <v>Made, Kios</v>
          </cell>
          <cell r="N4635" t="str">
            <v>I Made Budiasa</v>
          </cell>
          <cell r="O4635" t="str">
            <v>Lingkungan Cangkring, Kel Tegalcangkring, Kec. Mendoyo</v>
          </cell>
          <cell r="P4635" t="str">
            <v>Jembrana</v>
          </cell>
          <cell r="Q4635" t="str">
            <v>Lingkungan Cangkring, Kel Tegalcangkring, Kec. Mendoyo Jembrana</v>
          </cell>
          <cell r="R4635" t="str">
            <v>Bali</v>
          </cell>
          <cell r="S4635" t="str">
            <v>S Bali3</v>
          </cell>
          <cell r="T4635" t="str">
            <v>Wira</v>
          </cell>
          <cell r="U4635">
            <v>30</v>
          </cell>
        </row>
        <row r="4636">
          <cell r="E4636" t="str">
            <v>D25015498</v>
          </cell>
          <cell r="F4636"/>
          <cell r="G4636">
            <v>500000000</v>
          </cell>
          <cell r="H4636" t="str">
            <v>Zakia</v>
          </cell>
          <cell r="I4636" t="str">
            <v>Tiya</v>
          </cell>
          <cell r="J4636"/>
          <cell r="K4636" t="str">
            <v>KU, Tunai</v>
          </cell>
          <cell r="L4636" t="str">
            <v>MADE01</v>
          </cell>
          <cell r="M4636" t="str">
            <v>Made, Kios</v>
          </cell>
          <cell r="N4636" t="str">
            <v>I Made Budiasa</v>
          </cell>
          <cell r="O4636" t="str">
            <v>Lingkungan Cangkring, Kel Tegalcangkring, Kec. Mendoyo</v>
          </cell>
          <cell r="P4636" t="str">
            <v>Jembrana</v>
          </cell>
          <cell r="Q4636" t="str">
            <v>Lingkungan Cangkring, Kel Tegalcangkring, Kec. Mendoyo Jembrana</v>
          </cell>
          <cell r="R4636" t="str">
            <v>Bali</v>
          </cell>
          <cell r="S4636" t="str">
            <v>S Bali3</v>
          </cell>
          <cell r="T4636" t="str">
            <v>Wira</v>
          </cell>
          <cell r="U4636">
            <v>30</v>
          </cell>
        </row>
        <row r="4637">
          <cell r="E4637" t="str">
            <v>B25013468</v>
          </cell>
          <cell r="F4637"/>
          <cell r="G4637">
            <v>500000000</v>
          </cell>
          <cell r="H4637" t="str">
            <v>Zakia</v>
          </cell>
          <cell r="I4637" t="str">
            <v>Tiya</v>
          </cell>
          <cell r="J4637"/>
          <cell r="K4637" t="str">
            <v>KU, Tunai</v>
          </cell>
          <cell r="L4637" t="str">
            <v>MADE01</v>
          </cell>
          <cell r="M4637" t="str">
            <v>Made, Kios</v>
          </cell>
          <cell r="N4637" t="str">
            <v>I Made Budiasa</v>
          </cell>
          <cell r="O4637" t="str">
            <v>Lingkungan Cangkring, Kel Tegalcangkring, Kec. Mendoyo</v>
          </cell>
          <cell r="P4637" t="str">
            <v>Jembrana</v>
          </cell>
          <cell r="Q4637" t="str">
            <v>Lingkungan Cangkring, Kel Tegalcangkring, Kec. Mendoyo Jembrana</v>
          </cell>
          <cell r="R4637" t="str">
            <v>Bali</v>
          </cell>
          <cell r="S4637" t="str">
            <v>S Bali3</v>
          </cell>
          <cell r="T4637" t="str">
            <v>Wira</v>
          </cell>
          <cell r="U4637">
            <v>30</v>
          </cell>
        </row>
        <row r="4638">
          <cell r="E4638" t="str">
            <v>Z25002291</v>
          </cell>
          <cell r="F4638"/>
          <cell r="G4638">
            <v>500000000</v>
          </cell>
          <cell r="H4638" t="str">
            <v>Yuyun</v>
          </cell>
          <cell r="I4638" t="str">
            <v>Farida</v>
          </cell>
          <cell r="J4638" t="str">
            <v>New 04/01/22</v>
          </cell>
          <cell r="K4638" t="str">
            <v>KU</v>
          </cell>
          <cell r="L4638" t="str">
            <v>MADY01</v>
          </cell>
          <cell r="M4638" t="str">
            <v>Madya Tani/Halimatus</v>
          </cell>
          <cell r="N4638" t="str">
            <v>Halimatus Sakdiyah</v>
          </cell>
          <cell r="O4638" t="str">
            <v>Jl. Brawijaya Gg.13, Dsn Pontang Tengah RT.048/RW.012 Kel. Pontang, Kec. Ambulu</v>
          </cell>
          <cell r="P4638" t="str">
            <v>Jember</v>
          </cell>
          <cell r="Q4638" t="str">
            <v>Jl. Candradimuka</v>
          </cell>
          <cell r="R4638" t="str">
            <v>Jember</v>
          </cell>
          <cell r="S4638" t="str">
            <v>L Kota2</v>
          </cell>
          <cell r="T4638" t="str">
            <v>Wira</v>
          </cell>
          <cell r="U4638">
            <v>30</v>
          </cell>
        </row>
        <row r="4639">
          <cell r="E4639" t="str">
            <v>Z25002364</v>
          </cell>
          <cell r="F4639"/>
          <cell r="G4639">
            <v>500000000</v>
          </cell>
          <cell r="H4639" t="str">
            <v>Yuyun</v>
          </cell>
          <cell r="I4639" t="str">
            <v>Farida</v>
          </cell>
          <cell r="J4639" t="str">
            <v>New 04/01/22</v>
          </cell>
          <cell r="K4639" t="str">
            <v>KU</v>
          </cell>
          <cell r="L4639" t="str">
            <v>MADY01</v>
          </cell>
          <cell r="M4639" t="str">
            <v>Madya Tani/Halimatus</v>
          </cell>
          <cell r="N4639" t="str">
            <v>Halimatus Sakdiyah</v>
          </cell>
          <cell r="O4639" t="str">
            <v>Jl. Brawijaya Gg.13, Dsn Pontang Tengah RT.048/RW.012 Kel. Pontang, Kec. Ambulu</v>
          </cell>
          <cell r="P4639" t="str">
            <v>Jember</v>
          </cell>
          <cell r="Q4639" t="str">
            <v>Jl. Candradimuka</v>
          </cell>
          <cell r="R4639" t="str">
            <v>Jember</v>
          </cell>
          <cell r="S4639" t="str">
            <v>L Kota2</v>
          </cell>
          <cell r="T4639" t="str">
            <v>Wira</v>
          </cell>
          <cell r="U4639">
            <v>30</v>
          </cell>
        </row>
        <row r="4640">
          <cell r="E4640" t="str">
            <v>Z25002469</v>
          </cell>
          <cell r="F4640"/>
          <cell r="G4640">
            <v>500000000</v>
          </cell>
          <cell r="H4640" t="str">
            <v>Yuyun</v>
          </cell>
          <cell r="I4640" t="str">
            <v>Farida</v>
          </cell>
          <cell r="J4640" t="str">
            <v>New 04/01/22</v>
          </cell>
          <cell r="K4640" t="str">
            <v>KU</v>
          </cell>
          <cell r="L4640" t="str">
            <v>MADY01</v>
          </cell>
          <cell r="M4640" t="str">
            <v>Madya Tani/Halimatus</v>
          </cell>
          <cell r="N4640" t="str">
            <v>Halimatus Sakdiyah</v>
          </cell>
          <cell r="O4640" t="str">
            <v>Jl. Brawijaya Gg.13, Dsn Pontang Tengah RT.048/RW.012 Kel. Pontang, Kec. Ambulu</v>
          </cell>
          <cell r="P4640" t="str">
            <v>Jember</v>
          </cell>
          <cell r="Q4640" t="str">
            <v>Jl. Candradimuka</v>
          </cell>
          <cell r="R4640" t="str">
            <v>Jember</v>
          </cell>
          <cell r="S4640" t="str">
            <v>L Kota2</v>
          </cell>
          <cell r="T4640" t="str">
            <v>Wira</v>
          </cell>
          <cell r="U4640">
            <v>30</v>
          </cell>
        </row>
        <row r="4641">
          <cell r="E4641" t="str">
            <v>Z25002530</v>
          </cell>
          <cell r="F4641"/>
          <cell r="G4641">
            <v>500000000</v>
          </cell>
          <cell r="H4641" t="str">
            <v>Yuyun</v>
          </cell>
          <cell r="I4641" t="str">
            <v>Farida</v>
          </cell>
          <cell r="J4641" t="str">
            <v>New 04/01/22</v>
          </cell>
          <cell r="K4641" t="str">
            <v>KU</v>
          </cell>
          <cell r="L4641" t="str">
            <v>MADY01</v>
          </cell>
          <cell r="M4641" t="str">
            <v>Madya Tani/Halimatus</v>
          </cell>
          <cell r="N4641" t="str">
            <v>Halimatus Sakdiyah</v>
          </cell>
          <cell r="O4641" t="str">
            <v>Jl. Brawijaya Gg.13, Dsn Pontang Tengah RT.048/RW.012 Kel. Pontang, Kec. Ambulu</v>
          </cell>
          <cell r="P4641" t="str">
            <v>Jember</v>
          </cell>
          <cell r="Q4641" t="str">
            <v>Jl. Candradimuka</v>
          </cell>
          <cell r="R4641" t="str">
            <v>Jember</v>
          </cell>
          <cell r="S4641" t="str">
            <v>L Kota2</v>
          </cell>
          <cell r="T4641" t="str">
            <v>Wira</v>
          </cell>
          <cell r="U4641">
            <v>30</v>
          </cell>
        </row>
        <row r="4642">
          <cell r="E4642" t="str">
            <v>Z25002743</v>
          </cell>
          <cell r="F4642"/>
          <cell r="G4642">
            <v>500000000</v>
          </cell>
          <cell r="H4642" t="str">
            <v>Yuyun</v>
          </cell>
          <cell r="I4642" t="str">
            <v>Farida</v>
          </cell>
          <cell r="J4642" t="str">
            <v>New 04/01/22</v>
          </cell>
          <cell r="K4642" t="str">
            <v>KU</v>
          </cell>
          <cell r="L4642" t="str">
            <v>MADY01</v>
          </cell>
          <cell r="M4642" t="str">
            <v>Madya Tani/Halimatus</v>
          </cell>
          <cell r="N4642" t="str">
            <v>Halimatus Sakdiyah</v>
          </cell>
          <cell r="O4642" t="str">
            <v>Jl. Brawijaya Gg.13, Dsn Pontang Tengah RT.048/RW.012 Kel. Pontang, Kec. Ambulu</v>
          </cell>
          <cell r="P4642" t="str">
            <v>Jember</v>
          </cell>
          <cell r="Q4642" t="str">
            <v>Jl. Candradimuka</v>
          </cell>
          <cell r="R4642" t="str">
            <v>Jember</v>
          </cell>
          <cell r="S4642" t="str">
            <v>L Kota2</v>
          </cell>
          <cell r="T4642" t="str">
            <v>Wira</v>
          </cell>
          <cell r="U4642">
            <v>60</v>
          </cell>
        </row>
        <row r="4643">
          <cell r="E4643" t="str">
            <v>Z25002816</v>
          </cell>
          <cell r="F4643"/>
          <cell r="G4643">
            <v>500000000</v>
          </cell>
          <cell r="H4643" t="str">
            <v>Yuyun</v>
          </cell>
          <cell r="I4643" t="str">
            <v>Farida</v>
          </cell>
          <cell r="J4643" t="str">
            <v>New 04/01/22</v>
          </cell>
          <cell r="K4643" t="str">
            <v>KU</v>
          </cell>
          <cell r="L4643" t="str">
            <v>MADY01</v>
          </cell>
          <cell r="M4643" t="str">
            <v>Madya Tani/Halimatus</v>
          </cell>
          <cell r="N4643" t="str">
            <v>Halimatus Sakdiyah</v>
          </cell>
          <cell r="O4643" t="str">
            <v>Jl. Brawijaya Gg.13, Dsn Pontang Tengah RT.048/RW.012 Kel. Pontang, Kec. Ambulu</v>
          </cell>
          <cell r="P4643" t="str">
            <v>Jember</v>
          </cell>
          <cell r="Q4643" t="str">
            <v>Jl. Candradimuka</v>
          </cell>
          <cell r="R4643" t="str">
            <v>Jember</v>
          </cell>
          <cell r="S4643" t="str">
            <v>L Kota2</v>
          </cell>
          <cell r="T4643" t="str">
            <v>Wira</v>
          </cell>
          <cell r="U4643">
            <v>30</v>
          </cell>
        </row>
        <row r="4644">
          <cell r="E4644" t="str">
            <v>D25014359</v>
          </cell>
          <cell r="F4644"/>
          <cell r="G4644">
            <v>10000000</v>
          </cell>
          <cell r="H4644" t="str">
            <v>Faris</v>
          </cell>
          <cell r="I4644" t="str">
            <v>Syahra</v>
          </cell>
          <cell r="J4644" t="str">
            <v>New 0705/25</v>
          </cell>
          <cell r="K4644" t="str">
            <v>CBD</v>
          </cell>
          <cell r="L4644" t="str">
            <v>MAFI01</v>
          </cell>
          <cell r="M4644" t="str">
            <v>Mafinna Tani</v>
          </cell>
          <cell r="N4644" t="str">
            <v>Abd Majid, SE</v>
          </cell>
          <cell r="O4644" t="str">
            <v>Lingk Klatakan RT.003/RW.001 , Kel. Klatak Kec. Kalipuro</v>
          </cell>
          <cell r="P4644" t="str">
            <v>Banyuwangi</v>
          </cell>
          <cell r="Q4644" t="str">
            <v>Lingk Klatakan RT.003/RW.001 , Kel. Klatak Kec. Kalipuro</v>
          </cell>
          <cell r="R4644" t="str">
            <v>Banyuwangi</v>
          </cell>
          <cell r="S4644" t="str">
            <v>H Bwi1</v>
          </cell>
          <cell r="T4644" t="str">
            <v>Hafid</v>
          </cell>
          <cell r="U4644">
            <v>30</v>
          </cell>
        </row>
        <row r="4645">
          <cell r="E4645" t="str">
            <v>B25008546</v>
          </cell>
          <cell r="F4645"/>
          <cell r="G4645">
            <v>500000000</v>
          </cell>
          <cell r="H4645" t="str">
            <v>Faris</v>
          </cell>
          <cell r="I4645" t="str">
            <v>Syahra</v>
          </cell>
          <cell r="J4645"/>
          <cell r="K4645" t="str">
            <v>KU</v>
          </cell>
          <cell r="L4645" t="str">
            <v>ILYA01</v>
          </cell>
          <cell r="M4645" t="str">
            <v>Maha Karya Sentosa, Toko</v>
          </cell>
          <cell r="N4645" t="str">
            <v>Romlawati</v>
          </cell>
          <cell r="O4645" t="str">
            <v>Dsn. Krajan, RT.07/RW.02, Sumberkencono Wongsorejo</v>
          </cell>
          <cell r="P4645" t="str">
            <v>Banyuwangi</v>
          </cell>
          <cell r="Q4645" t="str">
            <v>Dsn. Krajan, RT.07/RW.02, Sumberkencono Wongsorejo</v>
          </cell>
          <cell r="R4645" t="str">
            <v>Banyuwangi</v>
          </cell>
          <cell r="S4645" t="str">
            <v>H Bwi5</v>
          </cell>
          <cell r="T4645" t="str">
            <v>Hafid</v>
          </cell>
          <cell r="U4645">
            <v>60</v>
          </cell>
        </row>
        <row r="4646">
          <cell r="E4646" t="str">
            <v>B25008546</v>
          </cell>
          <cell r="F4646"/>
          <cell r="G4646">
            <v>500000000</v>
          </cell>
          <cell r="H4646" t="str">
            <v>Faris</v>
          </cell>
          <cell r="I4646" t="str">
            <v>Syahra</v>
          </cell>
          <cell r="J4646"/>
          <cell r="K4646" t="str">
            <v>KU</v>
          </cell>
          <cell r="L4646" t="str">
            <v>ILYA01</v>
          </cell>
          <cell r="M4646" t="str">
            <v>Maha Karya Sentosa, Toko</v>
          </cell>
          <cell r="N4646" t="str">
            <v>Romlawati</v>
          </cell>
          <cell r="O4646" t="str">
            <v>Dsn. Krajan, RT.07/RW.02, Sumberkencono Wongsorejo</v>
          </cell>
          <cell r="P4646" t="str">
            <v>Banyuwangi</v>
          </cell>
          <cell r="Q4646" t="str">
            <v>Dsn. Krajan, RT.07/RW.02, Sumberkencono Wongsorejo</v>
          </cell>
          <cell r="R4646" t="str">
            <v>Banyuwangi</v>
          </cell>
          <cell r="S4646" t="str">
            <v>H Bwi5</v>
          </cell>
          <cell r="T4646" t="str">
            <v>Hafid</v>
          </cell>
          <cell r="U4646">
            <v>60</v>
          </cell>
        </row>
        <row r="4647">
          <cell r="E4647" t="str">
            <v>B25009636</v>
          </cell>
          <cell r="F4647"/>
          <cell r="G4647">
            <v>500000000</v>
          </cell>
          <cell r="H4647" t="str">
            <v>Faris</v>
          </cell>
          <cell r="I4647" t="str">
            <v>Syahra</v>
          </cell>
          <cell r="J4647"/>
          <cell r="K4647" t="str">
            <v>KU</v>
          </cell>
          <cell r="L4647" t="str">
            <v>ILYA01</v>
          </cell>
          <cell r="M4647" t="str">
            <v>Maha Karya Sentosa, Toko</v>
          </cell>
          <cell r="N4647" t="str">
            <v>Romlawati</v>
          </cell>
          <cell r="O4647" t="str">
            <v>Dsn. Krajan, RT.07/RW.02, Sumberkencono Wongsorejo</v>
          </cell>
          <cell r="P4647" t="str">
            <v>Banyuwangi</v>
          </cell>
          <cell r="Q4647" t="str">
            <v>Dsn. Krajan, RT.07/RW.02, Sumberkencono Wongsorejo</v>
          </cell>
          <cell r="R4647" t="str">
            <v>Banyuwangi</v>
          </cell>
          <cell r="S4647" t="str">
            <v>H Bwi5</v>
          </cell>
          <cell r="T4647" t="str">
            <v>Hafid</v>
          </cell>
          <cell r="U4647">
            <v>30</v>
          </cell>
        </row>
        <row r="4648">
          <cell r="E4648" t="str">
            <v>B25009657</v>
          </cell>
          <cell r="F4648"/>
          <cell r="G4648">
            <v>500000000</v>
          </cell>
          <cell r="H4648" t="str">
            <v>Faris</v>
          </cell>
          <cell r="I4648" t="str">
            <v>Syahra</v>
          </cell>
          <cell r="J4648"/>
          <cell r="K4648" t="str">
            <v>KU</v>
          </cell>
          <cell r="L4648" t="str">
            <v>ILYA01</v>
          </cell>
          <cell r="M4648" t="str">
            <v>Maha Karya Sentosa, Toko</v>
          </cell>
          <cell r="N4648" t="str">
            <v>Romlawati</v>
          </cell>
          <cell r="O4648" t="str">
            <v>Dsn. Krajan, RT.07/RW.02, Sumberkencono Wongsorejo</v>
          </cell>
          <cell r="P4648" t="str">
            <v>Banyuwangi</v>
          </cell>
          <cell r="Q4648" t="str">
            <v>Dsn. Krajan, RT.07/RW.02, Sumberkencono Wongsorejo</v>
          </cell>
          <cell r="R4648" t="str">
            <v>Banyuwangi</v>
          </cell>
          <cell r="S4648" t="str">
            <v>H Bwi5</v>
          </cell>
          <cell r="T4648" t="str">
            <v>Hafid</v>
          </cell>
          <cell r="U4648">
            <v>30</v>
          </cell>
        </row>
        <row r="4649">
          <cell r="E4649" t="str">
            <v>B25010170</v>
          </cell>
          <cell r="F4649"/>
          <cell r="G4649">
            <v>500000000</v>
          </cell>
          <cell r="H4649" t="str">
            <v>Faris</v>
          </cell>
          <cell r="I4649" t="str">
            <v>Syahra</v>
          </cell>
          <cell r="J4649"/>
          <cell r="K4649" t="str">
            <v>KU</v>
          </cell>
          <cell r="L4649" t="str">
            <v>ILYA01</v>
          </cell>
          <cell r="M4649" t="str">
            <v>Maha Karya Sentosa, Toko</v>
          </cell>
          <cell r="N4649" t="str">
            <v>Romlawati</v>
          </cell>
          <cell r="O4649" t="str">
            <v>Dsn. Krajan, RT.07/RW.02, Sumberkencono Wongsorejo</v>
          </cell>
          <cell r="P4649" t="str">
            <v>Banyuwangi</v>
          </cell>
          <cell r="Q4649" t="str">
            <v>Dsn. Krajan, RT.07/RW.02, Sumberkencono Wongsorejo</v>
          </cell>
          <cell r="R4649" t="str">
            <v>Banyuwangi</v>
          </cell>
          <cell r="S4649" t="str">
            <v>H Bwi5</v>
          </cell>
          <cell r="T4649" t="str">
            <v>Hafid</v>
          </cell>
          <cell r="U4649">
            <v>60</v>
          </cell>
        </row>
        <row r="4650">
          <cell r="E4650" t="str">
            <v>D25012092</v>
          </cell>
          <cell r="F4650"/>
          <cell r="G4650">
            <v>500000000</v>
          </cell>
          <cell r="H4650" t="str">
            <v>Faris</v>
          </cell>
          <cell r="I4650" t="str">
            <v>Syahra</v>
          </cell>
          <cell r="J4650"/>
          <cell r="K4650" t="str">
            <v>KU</v>
          </cell>
          <cell r="L4650" t="str">
            <v>ILYA01</v>
          </cell>
          <cell r="M4650" t="str">
            <v>Maha Karya Sentosa, Toko</v>
          </cell>
          <cell r="N4650" t="str">
            <v>Romlawati</v>
          </cell>
          <cell r="O4650" t="str">
            <v>Dsn. Krajan, RT.07/RW.02, Sumberkencono Wongsorejo</v>
          </cell>
          <cell r="P4650" t="str">
            <v>Banyuwangi</v>
          </cell>
          <cell r="Q4650" t="str">
            <v>Dsn. Krajan, RT.07/RW.02, Sumberkencono Wongsorejo</v>
          </cell>
          <cell r="R4650" t="str">
            <v>Banyuwangi</v>
          </cell>
          <cell r="S4650" t="str">
            <v>H Bwi5</v>
          </cell>
          <cell r="T4650" t="str">
            <v>Hafid</v>
          </cell>
          <cell r="U4650">
            <v>60</v>
          </cell>
        </row>
        <row r="4651">
          <cell r="E4651" t="str">
            <v>T25001255</v>
          </cell>
          <cell r="F4651"/>
          <cell r="G4651">
            <v>500000000</v>
          </cell>
          <cell r="H4651" t="str">
            <v>Faris</v>
          </cell>
          <cell r="I4651" t="str">
            <v>Syahra</v>
          </cell>
          <cell r="J4651"/>
          <cell r="K4651" t="str">
            <v>KU</v>
          </cell>
          <cell r="L4651" t="str">
            <v>ILYA01</v>
          </cell>
          <cell r="M4651" t="str">
            <v>Maha Karya Sentosa, Toko</v>
          </cell>
          <cell r="N4651" t="str">
            <v>Romlawati</v>
          </cell>
          <cell r="O4651" t="str">
            <v>Dsn. Krajan, RT.07/RW.02, Sumberkencono Wongsorejo</v>
          </cell>
          <cell r="P4651" t="str">
            <v>Banyuwangi</v>
          </cell>
          <cell r="Q4651" t="str">
            <v>Dsn. Krajan, RT.07/RW.02, Sumberkencono Wongsorejo</v>
          </cell>
          <cell r="R4651" t="str">
            <v>Banyuwangi</v>
          </cell>
          <cell r="S4651" t="str">
            <v>H Bwi5</v>
          </cell>
          <cell r="T4651" t="str">
            <v>Hafid</v>
          </cell>
          <cell r="U4651">
            <v>60</v>
          </cell>
        </row>
        <row r="4652">
          <cell r="E4652" t="str">
            <v>D25012816</v>
          </cell>
          <cell r="F4652"/>
          <cell r="G4652">
            <v>500000000</v>
          </cell>
          <cell r="H4652" t="str">
            <v>Faris</v>
          </cell>
          <cell r="I4652" t="str">
            <v>Syahra</v>
          </cell>
          <cell r="J4652"/>
          <cell r="K4652" t="str">
            <v>KU</v>
          </cell>
          <cell r="L4652" t="str">
            <v>ILYA01</v>
          </cell>
          <cell r="M4652" t="str">
            <v>Maha Karya Sentosa, Toko</v>
          </cell>
          <cell r="N4652" t="str">
            <v>Romlawati</v>
          </cell>
          <cell r="O4652" t="str">
            <v>Dsn. Krajan, RT.07/RW.02, Sumberkencono Wongsorejo</v>
          </cell>
          <cell r="P4652" t="str">
            <v>Banyuwangi</v>
          </cell>
          <cell r="Q4652" t="str">
            <v>Dsn. Krajan, RT.07/RW.02, Sumberkencono Wongsorejo</v>
          </cell>
          <cell r="R4652" t="str">
            <v>Banyuwangi</v>
          </cell>
          <cell r="S4652" t="str">
            <v>H Bwi5</v>
          </cell>
          <cell r="T4652" t="str">
            <v>Hafid</v>
          </cell>
          <cell r="U4652">
            <v>30</v>
          </cell>
        </row>
        <row r="4653">
          <cell r="E4653" t="str">
            <v>D25012816</v>
          </cell>
          <cell r="F4653"/>
          <cell r="G4653">
            <v>500000000</v>
          </cell>
          <cell r="H4653" t="str">
            <v>Faris</v>
          </cell>
          <cell r="I4653" t="str">
            <v>Syahra</v>
          </cell>
          <cell r="J4653"/>
          <cell r="K4653" t="str">
            <v>KU</v>
          </cell>
          <cell r="L4653" t="str">
            <v>ILYA01</v>
          </cell>
          <cell r="M4653" t="str">
            <v>Maha Karya Sentosa, Toko</v>
          </cell>
          <cell r="N4653" t="str">
            <v>Romlawati</v>
          </cell>
          <cell r="O4653" t="str">
            <v>Dsn. Krajan, RT.07/RW.02, Sumberkencono Wongsorejo</v>
          </cell>
          <cell r="P4653" t="str">
            <v>Banyuwangi</v>
          </cell>
          <cell r="Q4653" t="str">
            <v>Dsn. Krajan, RT.07/RW.02, Sumberkencono Wongsorejo</v>
          </cell>
          <cell r="R4653" t="str">
            <v>Banyuwangi</v>
          </cell>
          <cell r="S4653" t="str">
            <v>H Bwi5</v>
          </cell>
          <cell r="T4653" t="str">
            <v>Hafid</v>
          </cell>
          <cell r="U4653">
            <v>30</v>
          </cell>
        </row>
        <row r="4654">
          <cell r="E4654" t="str">
            <v>D25013041</v>
          </cell>
          <cell r="F4654"/>
          <cell r="G4654">
            <v>500000000</v>
          </cell>
          <cell r="H4654" t="str">
            <v>Faris</v>
          </cell>
          <cell r="I4654" t="str">
            <v>Syahra</v>
          </cell>
          <cell r="J4654"/>
          <cell r="K4654" t="str">
            <v>KU</v>
          </cell>
          <cell r="L4654" t="str">
            <v>ILYA01</v>
          </cell>
          <cell r="M4654" t="str">
            <v>Maha Karya Sentosa, Toko</v>
          </cell>
          <cell r="N4654" t="str">
            <v>Romlawati</v>
          </cell>
          <cell r="O4654" t="str">
            <v>Dsn. Krajan, RT.07/RW.02, Sumberkencono Wongsorejo</v>
          </cell>
          <cell r="P4654" t="str">
            <v>Banyuwangi</v>
          </cell>
          <cell r="Q4654" t="str">
            <v>Dsn. Krajan, RT.07/RW.02, Sumberkencono Wongsorejo</v>
          </cell>
          <cell r="R4654" t="str">
            <v>Banyuwangi</v>
          </cell>
          <cell r="S4654" t="str">
            <v>H Bwi5</v>
          </cell>
          <cell r="T4654" t="str">
            <v>Hafid</v>
          </cell>
          <cell r="U4654">
            <v>30</v>
          </cell>
        </row>
        <row r="4655">
          <cell r="E4655" t="str">
            <v>D25013090</v>
          </cell>
          <cell r="F4655"/>
          <cell r="G4655">
            <v>500000000</v>
          </cell>
          <cell r="H4655" t="str">
            <v>Faris</v>
          </cell>
          <cell r="I4655" t="str">
            <v>Syahra</v>
          </cell>
          <cell r="J4655"/>
          <cell r="K4655" t="str">
            <v>KU</v>
          </cell>
          <cell r="L4655" t="str">
            <v>ILYA01</v>
          </cell>
          <cell r="M4655" t="str">
            <v>Maha Karya Sentosa, Toko</v>
          </cell>
          <cell r="N4655" t="str">
            <v>Romlawati</v>
          </cell>
          <cell r="O4655" t="str">
            <v>Dsn. Krajan, RT.07/RW.02, Sumberkencono Wongsorejo</v>
          </cell>
          <cell r="P4655" t="str">
            <v>Banyuwangi</v>
          </cell>
          <cell r="Q4655" t="str">
            <v>Dsn. Krajan, RT.07/RW.02, Sumberkencono Wongsorejo</v>
          </cell>
          <cell r="R4655" t="str">
            <v>Banyuwangi</v>
          </cell>
          <cell r="S4655" t="str">
            <v>H Bwi5</v>
          </cell>
          <cell r="T4655" t="str">
            <v>Hafid</v>
          </cell>
          <cell r="U4655">
            <v>60</v>
          </cell>
        </row>
        <row r="4656">
          <cell r="E4656" t="str">
            <v>B25011016</v>
          </cell>
          <cell r="F4656"/>
          <cell r="G4656">
            <v>500000000</v>
          </cell>
          <cell r="H4656" t="str">
            <v>Faris</v>
          </cell>
          <cell r="I4656" t="str">
            <v>Syahra</v>
          </cell>
          <cell r="J4656"/>
          <cell r="K4656" t="str">
            <v>KU</v>
          </cell>
          <cell r="L4656" t="str">
            <v>ILYA01</v>
          </cell>
          <cell r="M4656" t="str">
            <v>Maha Karya Sentosa, Toko</v>
          </cell>
          <cell r="N4656" t="str">
            <v>Romlawati</v>
          </cell>
          <cell r="O4656" t="str">
            <v>Dsn. Krajan, RT.07/RW.02, Sumberkencono Wongsorejo</v>
          </cell>
          <cell r="P4656" t="str">
            <v>Banyuwangi</v>
          </cell>
          <cell r="Q4656" t="str">
            <v>Dsn. Krajan, RT.07/RW.02, Sumberkencono Wongsorejo</v>
          </cell>
          <cell r="R4656" t="str">
            <v>Banyuwangi</v>
          </cell>
          <cell r="S4656" t="str">
            <v>H Bwi5</v>
          </cell>
          <cell r="T4656" t="str">
            <v>Hafid</v>
          </cell>
          <cell r="U4656">
            <v>60</v>
          </cell>
        </row>
        <row r="4657">
          <cell r="E4657" t="str">
            <v>D25013501</v>
          </cell>
          <cell r="F4657"/>
          <cell r="G4657">
            <v>500000000</v>
          </cell>
          <cell r="H4657" t="str">
            <v>Faris</v>
          </cell>
          <cell r="I4657" t="str">
            <v>Syahra</v>
          </cell>
          <cell r="J4657"/>
          <cell r="K4657" t="str">
            <v>KU</v>
          </cell>
          <cell r="L4657" t="str">
            <v>ILYA01</v>
          </cell>
          <cell r="M4657" t="str">
            <v>Maha Karya Sentosa, Toko</v>
          </cell>
          <cell r="N4657" t="str">
            <v>Romlawati</v>
          </cell>
          <cell r="O4657" t="str">
            <v>Dsn. Krajan, RT.07/RW.02, Sumberkencono Wongsorejo</v>
          </cell>
          <cell r="P4657" t="str">
            <v>Banyuwangi</v>
          </cell>
          <cell r="Q4657" t="str">
            <v>Dsn. Krajan, RT.07/RW.02, Sumberkencono Wongsorejo</v>
          </cell>
          <cell r="R4657" t="str">
            <v>Banyuwangi</v>
          </cell>
          <cell r="S4657" t="str">
            <v>H Bwi5</v>
          </cell>
          <cell r="T4657" t="str">
            <v>Hafid</v>
          </cell>
          <cell r="U4657">
            <v>60</v>
          </cell>
        </row>
        <row r="4658">
          <cell r="E4658" t="str">
            <v>B25011984</v>
          </cell>
          <cell r="F4658"/>
          <cell r="G4658">
            <v>500000000</v>
          </cell>
          <cell r="H4658" t="str">
            <v>Faris</v>
          </cell>
          <cell r="I4658" t="str">
            <v>Syahra</v>
          </cell>
          <cell r="J4658"/>
          <cell r="K4658" t="str">
            <v>KU</v>
          </cell>
          <cell r="L4658" t="str">
            <v>ILYA01</v>
          </cell>
          <cell r="M4658" t="str">
            <v>Maha Karya Sentosa, Toko</v>
          </cell>
          <cell r="N4658" t="str">
            <v>Romlawati</v>
          </cell>
          <cell r="O4658" t="str">
            <v>Dsn. Krajan, RT.07/RW.02, Sumberkencono Wongsorejo</v>
          </cell>
          <cell r="P4658" t="str">
            <v>Banyuwangi</v>
          </cell>
          <cell r="Q4658" t="str">
            <v>Dsn. Krajan, RT.07/RW.02, Sumberkencono Wongsorejo</v>
          </cell>
          <cell r="R4658" t="str">
            <v>Banyuwangi</v>
          </cell>
          <cell r="S4658" t="str">
            <v>H Bwi5</v>
          </cell>
          <cell r="T4658" t="str">
            <v>Hafid</v>
          </cell>
          <cell r="U4658">
            <v>30</v>
          </cell>
        </row>
        <row r="4659">
          <cell r="E4659" t="str">
            <v>D25014297</v>
          </cell>
          <cell r="F4659"/>
          <cell r="G4659">
            <v>500000000</v>
          </cell>
          <cell r="H4659" t="str">
            <v>Faris</v>
          </cell>
          <cell r="I4659" t="str">
            <v>Syahra</v>
          </cell>
          <cell r="J4659"/>
          <cell r="K4659" t="str">
            <v>KU</v>
          </cell>
          <cell r="L4659" t="str">
            <v>ILYA01</v>
          </cell>
          <cell r="M4659" t="str">
            <v>Maha Karya Sentosa, Toko</v>
          </cell>
          <cell r="N4659" t="str">
            <v>Romlawati</v>
          </cell>
          <cell r="O4659" t="str">
            <v>Dsn. Krajan, RT.07/RW.02, Sumberkencono Wongsorejo</v>
          </cell>
          <cell r="P4659" t="str">
            <v>Banyuwangi</v>
          </cell>
          <cell r="Q4659" t="str">
            <v>Dsn. Krajan, RT.07/RW.02, Sumberkencono Wongsorejo</v>
          </cell>
          <cell r="R4659" t="str">
            <v>Banyuwangi</v>
          </cell>
          <cell r="S4659" t="str">
            <v>H Bwi5</v>
          </cell>
          <cell r="T4659" t="str">
            <v>Hafid</v>
          </cell>
          <cell r="U4659">
            <v>30</v>
          </cell>
        </row>
        <row r="4660">
          <cell r="E4660" t="str">
            <v>B25012290</v>
          </cell>
          <cell r="F4660"/>
          <cell r="G4660">
            <v>500000000</v>
          </cell>
          <cell r="H4660" t="str">
            <v>Faris</v>
          </cell>
          <cell r="I4660" t="str">
            <v>Syahra</v>
          </cell>
          <cell r="J4660"/>
          <cell r="K4660" t="str">
            <v>KU</v>
          </cell>
          <cell r="L4660" t="str">
            <v>ILYA01</v>
          </cell>
          <cell r="M4660" t="str">
            <v>Maha Karya Sentosa, Toko</v>
          </cell>
          <cell r="N4660" t="str">
            <v>Romlawati</v>
          </cell>
          <cell r="O4660" t="str">
            <v>Dsn. Krajan, RT.07/RW.02, Sumberkencono Wongsorejo</v>
          </cell>
          <cell r="P4660" t="str">
            <v>Banyuwangi</v>
          </cell>
          <cell r="Q4660" t="str">
            <v>Dsn. Krajan, RT.07/RW.02, Sumberkencono Wongsorejo</v>
          </cell>
          <cell r="R4660" t="str">
            <v>Banyuwangi</v>
          </cell>
          <cell r="S4660" t="str">
            <v>H Bwi5</v>
          </cell>
          <cell r="T4660" t="str">
            <v>Hafid</v>
          </cell>
          <cell r="U4660">
            <v>0</v>
          </cell>
        </row>
        <row r="4661">
          <cell r="E4661" t="str">
            <v>D25014578</v>
          </cell>
          <cell r="F4661"/>
          <cell r="G4661">
            <v>500000000</v>
          </cell>
          <cell r="H4661" t="str">
            <v>Faris</v>
          </cell>
          <cell r="I4661" t="str">
            <v>Syahra</v>
          </cell>
          <cell r="J4661"/>
          <cell r="K4661" t="str">
            <v>KU</v>
          </cell>
          <cell r="L4661" t="str">
            <v>ILYA01</v>
          </cell>
          <cell r="M4661" t="str">
            <v>Maha Karya Sentosa, Toko</v>
          </cell>
          <cell r="N4661" t="str">
            <v>Romlawati</v>
          </cell>
          <cell r="O4661" t="str">
            <v>Dsn. Krajan, RT.07/RW.02, Sumberkencono Wongsorejo</v>
          </cell>
          <cell r="P4661" t="str">
            <v>Banyuwangi</v>
          </cell>
          <cell r="Q4661" t="str">
            <v>Dsn. Krajan, RT.07/RW.02, Sumberkencono Wongsorejo</v>
          </cell>
          <cell r="R4661" t="str">
            <v>Banyuwangi</v>
          </cell>
          <cell r="S4661" t="str">
            <v>H Bwi5</v>
          </cell>
          <cell r="T4661" t="str">
            <v>Hafid</v>
          </cell>
          <cell r="U4661">
            <v>0</v>
          </cell>
        </row>
        <row r="4662">
          <cell r="E4662" t="str">
            <v>D25014578</v>
          </cell>
          <cell r="F4662"/>
          <cell r="G4662">
            <v>500000000</v>
          </cell>
          <cell r="H4662" t="str">
            <v>Faris</v>
          </cell>
          <cell r="I4662" t="str">
            <v>Syahra</v>
          </cell>
          <cell r="J4662"/>
          <cell r="K4662" t="str">
            <v>KU</v>
          </cell>
          <cell r="L4662" t="str">
            <v>ILYA01</v>
          </cell>
          <cell r="M4662" t="str">
            <v>Maha Karya Sentosa, Toko</v>
          </cell>
          <cell r="N4662" t="str">
            <v>Romlawati</v>
          </cell>
          <cell r="O4662" t="str">
            <v>Dsn. Krajan, RT.07/RW.02, Sumberkencono Wongsorejo</v>
          </cell>
          <cell r="P4662" t="str">
            <v>Banyuwangi</v>
          </cell>
          <cell r="Q4662" t="str">
            <v>Dsn. Krajan, RT.07/RW.02, Sumberkencono Wongsorejo</v>
          </cell>
          <cell r="R4662" t="str">
            <v>Banyuwangi</v>
          </cell>
          <cell r="S4662" t="str">
            <v>H Bwi5</v>
          </cell>
          <cell r="T4662" t="str">
            <v>Hafid</v>
          </cell>
          <cell r="U4662">
            <v>0</v>
          </cell>
        </row>
        <row r="4663">
          <cell r="E4663" t="str">
            <v>D25014602</v>
          </cell>
          <cell r="F4663"/>
          <cell r="G4663">
            <v>500000000</v>
          </cell>
          <cell r="H4663" t="str">
            <v>Faris</v>
          </cell>
          <cell r="I4663" t="str">
            <v>Syahra</v>
          </cell>
          <cell r="J4663"/>
          <cell r="K4663" t="str">
            <v>KU</v>
          </cell>
          <cell r="L4663" t="str">
            <v>ILYA01</v>
          </cell>
          <cell r="M4663" t="str">
            <v>Maha Karya Sentosa, Toko</v>
          </cell>
          <cell r="N4663" t="str">
            <v>Romlawati</v>
          </cell>
          <cell r="O4663" t="str">
            <v>Dsn. Krajan, RT.07/RW.02, Sumberkencono Wongsorejo</v>
          </cell>
          <cell r="P4663" t="str">
            <v>Banyuwangi</v>
          </cell>
          <cell r="Q4663" t="str">
            <v>Dsn. Krajan, RT.07/RW.02, Sumberkencono Wongsorejo</v>
          </cell>
          <cell r="R4663" t="str">
            <v>Banyuwangi</v>
          </cell>
          <cell r="S4663" t="str">
            <v>H Bwi5</v>
          </cell>
          <cell r="T4663" t="str">
            <v>Hafid</v>
          </cell>
          <cell r="U4663">
            <v>14</v>
          </cell>
        </row>
        <row r="4664">
          <cell r="E4664" t="str">
            <v>Z25002527</v>
          </cell>
          <cell r="F4664"/>
          <cell r="G4664">
            <v>500000000</v>
          </cell>
          <cell r="H4664" t="str">
            <v>Faris</v>
          </cell>
          <cell r="I4664" t="str">
            <v>Syahra</v>
          </cell>
          <cell r="J4664"/>
          <cell r="K4664" t="str">
            <v>KU</v>
          </cell>
          <cell r="L4664" t="str">
            <v>ILYA01</v>
          </cell>
          <cell r="M4664" t="str">
            <v>Maha Karya Sentosa, Toko</v>
          </cell>
          <cell r="N4664" t="str">
            <v>Romlawati</v>
          </cell>
          <cell r="O4664" t="str">
            <v>Dsn. Krajan, RT.07/RW.02, Sumberkencono Wongsorejo</v>
          </cell>
          <cell r="P4664" t="str">
            <v>Banyuwangi</v>
          </cell>
          <cell r="Q4664" t="str">
            <v>Dsn. Krajan, RT.07/RW.02, Sumberkencono Wongsorejo</v>
          </cell>
          <cell r="R4664" t="str">
            <v>Banyuwangi</v>
          </cell>
          <cell r="S4664" t="str">
            <v>H Bwi5</v>
          </cell>
          <cell r="T4664" t="str">
            <v>Hafid</v>
          </cell>
          <cell r="U4664">
            <v>30</v>
          </cell>
        </row>
        <row r="4665">
          <cell r="E4665" t="str">
            <v>D25015489</v>
          </cell>
          <cell r="F4665"/>
          <cell r="G4665">
            <v>500000000</v>
          </cell>
          <cell r="H4665" t="str">
            <v>Faris</v>
          </cell>
          <cell r="I4665" t="str">
            <v>Syahra</v>
          </cell>
          <cell r="J4665"/>
          <cell r="K4665" t="str">
            <v>KU</v>
          </cell>
          <cell r="L4665" t="str">
            <v>ILYA01</v>
          </cell>
          <cell r="M4665" t="str">
            <v>Maha Karya Sentosa, Toko</v>
          </cell>
          <cell r="N4665" t="str">
            <v>Romlawati</v>
          </cell>
          <cell r="O4665" t="str">
            <v>Dsn. Krajan, RT.07/RW.02, Sumberkencono Wongsorejo</v>
          </cell>
          <cell r="P4665" t="str">
            <v>Banyuwangi</v>
          </cell>
          <cell r="Q4665" t="str">
            <v>Dsn. Krajan, RT.07/RW.02, Sumberkencono Wongsorejo</v>
          </cell>
          <cell r="R4665" t="str">
            <v>Banyuwangi</v>
          </cell>
          <cell r="S4665" t="str">
            <v>H Bwi5</v>
          </cell>
          <cell r="T4665" t="str">
            <v>Hafid</v>
          </cell>
          <cell r="U4665">
            <v>30</v>
          </cell>
        </row>
        <row r="4666">
          <cell r="E4666" t="str">
            <v>B25013569</v>
          </cell>
          <cell r="F4666"/>
          <cell r="G4666">
            <v>500000000</v>
          </cell>
          <cell r="H4666" t="str">
            <v>Faris</v>
          </cell>
          <cell r="I4666" t="str">
            <v>Syahra</v>
          </cell>
          <cell r="J4666"/>
          <cell r="K4666" t="str">
            <v>KU</v>
          </cell>
          <cell r="L4666" t="str">
            <v>ILYA01</v>
          </cell>
          <cell r="M4666" t="str">
            <v>Maha Karya Sentosa, Toko</v>
          </cell>
          <cell r="N4666" t="str">
            <v>Romlawati</v>
          </cell>
          <cell r="O4666" t="str">
            <v>Dsn. Krajan, RT.07/RW.02, Sumberkencono Wongsorejo</v>
          </cell>
          <cell r="P4666" t="str">
            <v>Banyuwangi</v>
          </cell>
          <cell r="Q4666" t="str">
            <v>Dsn. Krajan, RT.07/RW.02, Sumberkencono Wongsorejo</v>
          </cell>
          <cell r="R4666" t="str">
            <v>Banyuwangi</v>
          </cell>
          <cell r="S4666" t="str">
            <v>H Bwi5</v>
          </cell>
          <cell r="T4666" t="str">
            <v>Hafid</v>
          </cell>
          <cell r="U4666">
            <v>30</v>
          </cell>
        </row>
        <row r="4667">
          <cell r="E4667" t="str">
            <v>B25013570</v>
          </cell>
          <cell r="F4667"/>
          <cell r="G4667">
            <v>500000000</v>
          </cell>
          <cell r="H4667" t="str">
            <v>Faris</v>
          </cell>
          <cell r="I4667" t="str">
            <v>Syahra</v>
          </cell>
          <cell r="J4667"/>
          <cell r="K4667" t="str">
            <v>KU</v>
          </cell>
          <cell r="L4667" t="str">
            <v>ILYA01</v>
          </cell>
          <cell r="M4667" t="str">
            <v>Maha Karya Sentosa, Toko</v>
          </cell>
          <cell r="N4667" t="str">
            <v>Romlawati</v>
          </cell>
          <cell r="O4667" t="str">
            <v>Dsn. Krajan, RT.07/RW.02, Sumberkencono Wongsorejo</v>
          </cell>
          <cell r="P4667" t="str">
            <v>Banyuwangi</v>
          </cell>
          <cell r="Q4667" t="str">
            <v>Dsn. Krajan, RT.07/RW.02, Sumberkencono Wongsorejo</v>
          </cell>
          <cell r="R4667" t="str">
            <v>Banyuwangi</v>
          </cell>
          <cell r="S4667" t="str">
            <v>H Bwi5</v>
          </cell>
          <cell r="T4667" t="str">
            <v>Hafid</v>
          </cell>
          <cell r="U4667">
            <v>30</v>
          </cell>
        </row>
        <row r="4668">
          <cell r="E4668" t="str">
            <v>B25013598</v>
          </cell>
          <cell r="F4668"/>
          <cell r="G4668">
            <v>500000000</v>
          </cell>
          <cell r="H4668" t="str">
            <v>Faris</v>
          </cell>
          <cell r="I4668" t="str">
            <v>Syahra</v>
          </cell>
          <cell r="J4668"/>
          <cell r="K4668" t="str">
            <v>KU</v>
          </cell>
          <cell r="L4668" t="str">
            <v>ILYA01</v>
          </cell>
          <cell r="M4668" t="str">
            <v>Maha Karya Sentosa, Toko</v>
          </cell>
          <cell r="N4668" t="str">
            <v>Romlawati</v>
          </cell>
          <cell r="O4668" t="str">
            <v>Dsn. Krajan, RT.07/RW.02, Sumberkencono Wongsorejo</v>
          </cell>
          <cell r="P4668" t="str">
            <v>Banyuwangi</v>
          </cell>
          <cell r="Q4668" t="str">
            <v>Dsn. Krajan, RT.07/RW.02, Sumberkencono Wongsorejo</v>
          </cell>
          <cell r="R4668" t="str">
            <v>Banyuwangi</v>
          </cell>
          <cell r="S4668" t="str">
            <v>H Bwi5</v>
          </cell>
          <cell r="T4668" t="str">
            <v>Hafid</v>
          </cell>
          <cell r="U4668">
            <v>14</v>
          </cell>
        </row>
        <row r="4669">
          <cell r="E4669" t="str">
            <v>B25013602</v>
          </cell>
          <cell r="F4669"/>
          <cell r="G4669">
            <v>500000000</v>
          </cell>
          <cell r="H4669" t="str">
            <v>Faris</v>
          </cell>
          <cell r="I4669" t="str">
            <v>Syahra</v>
          </cell>
          <cell r="J4669"/>
          <cell r="K4669" t="str">
            <v>KU</v>
          </cell>
          <cell r="L4669" t="str">
            <v>ILYA01</v>
          </cell>
          <cell r="M4669" t="str">
            <v>Maha Karya Sentosa, Toko</v>
          </cell>
          <cell r="N4669" t="str">
            <v>Romlawati</v>
          </cell>
          <cell r="O4669" t="str">
            <v>Dsn. Krajan, RT.07/RW.02, Sumberkencono Wongsorejo</v>
          </cell>
          <cell r="P4669" t="str">
            <v>Banyuwangi</v>
          </cell>
          <cell r="Q4669" t="str">
            <v>Dsn. Krajan, RT.07/RW.02, Sumberkencono Wongsorejo</v>
          </cell>
          <cell r="R4669" t="str">
            <v>Banyuwangi</v>
          </cell>
          <cell r="S4669" t="str">
            <v>H Bwi5</v>
          </cell>
          <cell r="T4669" t="str">
            <v>Hafid</v>
          </cell>
          <cell r="U4669">
            <v>30</v>
          </cell>
        </row>
        <row r="4670">
          <cell r="E4670" t="str">
            <v>D25015849</v>
          </cell>
          <cell r="F4670"/>
          <cell r="G4670">
            <v>500000000</v>
          </cell>
          <cell r="H4670" t="str">
            <v>Faris</v>
          </cell>
          <cell r="I4670" t="str">
            <v>Syahra</v>
          </cell>
          <cell r="J4670"/>
          <cell r="K4670" t="str">
            <v>KU</v>
          </cell>
          <cell r="L4670" t="str">
            <v>ILYA01</v>
          </cell>
          <cell r="M4670" t="str">
            <v>Maha Karya Sentosa, Toko</v>
          </cell>
          <cell r="N4670" t="str">
            <v>Romlawati</v>
          </cell>
          <cell r="O4670" t="str">
            <v>Dsn. Krajan, RT.07/RW.02, Sumberkencono Wongsorejo</v>
          </cell>
          <cell r="P4670" t="str">
            <v>Banyuwangi</v>
          </cell>
          <cell r="Q4670" t="str">
            <v>Dsn. Krajan, RT.07/RW.02, Sumberkencono Wongsorejo</v>
          </cell>
          <cell r="R4670" t="str">
            <v>Banyuwangi</v>
          </cell>
          <cell r="S4670" t="str">
            <v>H Bwi5</v>
          </cell>
          <cell r="T4670" t="str">
            <v>Hafid</v>
          </cell>
          <cell r="U4670">
            <v>30</v>
          </cell>
        </row>
        <row r="4671">
          <cell r="E4671">
            <v>250144</v>
          </cell>
          <cell r="F4671"/>
          <cell r="G4671">
            <v>500000000</v>
          </cell>
          <cell r="H4671" t="str">
            <v>Faris</v>
          </cell>
          <cell r="I4671" t="str">
            <v>Syahra</v>
          </cell>
          <cell r="J4671"/>
          <cell r="K4671" t="str">
            <v>KU</v>
          </cell>
          <cell r="L4671" t="str">
            <v>ILYA01</v>
          </cell>
          <cell r="M4671" t="str">
            <v>Maha Karya Sentosa, Toko</v>
          </cell>
          <cell r="N4671" t="str">
            <v>Romlawati</v>
          </cell>
          <cell r="O4671" t="str">
            <v>Dsn. Krajan, RT.07/RW.02, Sumberkencono Wongsorejo</v>
          </cell>
          <cell r="P4671" t="str">
            <v>Banyuwangi</v>
          </cell>
          <cell r="Q4671" t="str">
            <v>Dsn. Krajan, RT.07/RW.02, Sumberkencono Wongsorejo</v>
          </cell>
          <cell r="R4671" t="str">
            <v>Banyuwangi</v>
          </cell>
          <cell r="S4671" t="str">
            <v>H Bwi5</v>
          </cell>
          <cell r="T4671" t="str">
            <v>Hafid</v>
          </cell>
          <cell r="U4671">
            <v>30</v>
          </cell>
        </row>
        <row r="4672">
          <cell r="E4672" t="str">
            <v>D25015969</v>
          </cell>
          <cell r="F4672"/>
          <cell r="G4672">
            <v>500000000</v>
          </cell>
          <cell r="H4672" t="str">
            <v>Faris</v>
          </cell>
          <cell r="I4672" t="str">
            <v>Syahra</v>
          </cell>
          <cell r="J4672"/>
          <cell r="K4672" t="str">
            <v>KU</v>
          </cell>
          <cell r="L4672" t="str">
            <v>ILYA01</v>
          </cell>
          <cell r="M4672" t="str">
            <v>Maha Karya Sentosa, Toko</v>
          </cell>
          <cell r="N4672" t="str">
            <v>Romlawati</v>
          </cell>
          <cell r="O4672" t="str">
            <v>Dsn. Krajan, RT.07/RW.02, Sumberkencono Wongsorejo</v>
          </cell>
          <cell r="P4672" t="str">
            <v>Banyuwangi</v>
          </cell>
          <cell r="Q4672" t="str">
            <v>Dsn. Krajan, RT.07/RW.02, Sumberkencono Wongsorejo</v>
          </cell>
          <cell r="R4672" t="str">
            <v>Banyuwangi</v>
          </cell>
          <cell r="S4672" t="str">
            <v>H Bwi5</v>
          </cell>
          <cell r="T4672" t="str">
            <v>Hafid</v>
          </cell>
          <cell r="U4672">
            <v>0</v>
          </cell>
        </row>
        <row r="4673">
          <cell r="E4673" t="str">
            <v>D25016076</v>
          </cell>
          <cell r="F4673"/>
          <cell r="G4673">
            <v>500000000</v>
          </cell>
          <cell r="H4673" t="str">
            <v>Faris</v>
          </cell>
          <cell r="I4673" t="str">
            <v>Syahra</v>
          </cell>
          <cell r="J4673"/>
          <cell r="K4673" t="str">
            <v>KU</v>
          </cell>
          <cell r="L4673" t="str">
            <v>ILYA01</v>
          </cell>
          <cell r="M4673" t="str">
            <v>Maha Karya Sentosa, Toko</v>
          </cell>
          <cell r="N4673" t="str">
            <v>Romlawati</v>
          </cell>
          <cell r="O4673" t="str">
            <v>Dsn. Krajan, RT.07/RW.02, Sumberkencono Wongsorejo</v>
          </cell>
          <cell r="P4673" t="str">
            <v>Banyuwangi</v>
          </cell>
          <cell r="Q4673" t="str">
            <v>Dsn. Krajan, RT.07/RW.02, Sumberkencono Wongsorejo</v>
          </cell>
          <cell r="R4673" t="str">
            <v>Banyuwangi</v>
          </cell>
          <cell r="S4673" t="str">
            <v>H Bwi5</v>
          </cell>
          <cell r="T4673" t="str">
            <v>Hafid</v>
          </cell>
          <cell r="U4673">
            <v>7</v>
          </cell>
        </row>
        <row r="4674">
          <cell r="E4674">
            <v>250149</v>
          </cell>
          <cell r="F4674"/>
          <cell r="G4674">
            <v>500000000</v>
          </cell>
          <cell r="H4674" t="str">
            <v>Faris</v>
          </cell>
          <cell r="I4674" t="str">
            <v>Syahra</v>
          </cell>
          <cell r="J4674"/>
          <cell r="K4674" t="str">
            <v>KU</v>
          </cell>
          <cell r="L4674" t="str">
            <v>ILYA01</v>
          </cell>
          <cell r="M4674" t="str">
            <v>Maha Karya Sentosa, Toko</v>
          </cell>
          <cell r="N4674" t="str">
            <v>Romlawati</v>
          </cell>
          <cell r="O4674" t="str">
            <v>Dsn. Krajan, RT.07/RW.02, Sumberkencono Wongsorejo</v>
          </cell>
          <cell r="P4674" t="str">
            <v>Banyuwangi</v>
          </cell>
          <cell r="Q4674" t="str">
            <v>Dsn. Krajan, RT.07/RW.02, Sumberkencono Wongsorejo</v>
          </cell>
          <cell r="R4674" t="str">
            <v>Banyuwangi</v>
          </cell>
          <cell r="S4674" t="str">
            <v>H Bwi5</v>
          </cell>
          <cell r="T4674" t="str">
            <v>Hafid</v>
          </cell>
          <cell r="U4674">
            <v>30</v>
          </cell>
        </row>
        <row r="4675">
          <cell r="E4675" t="str">
            <v>D25015568</v>
          </cell>
          <cell r="F4675"/>
          <cell r="G4675">
            <v>20000000</v>
          </cell>
          <cell r="H4675" t="str">
            <v>Yuyun</v>
          </cell>
          <cell r="I4675" t="str">
            <v>Syahra</v>
          </cell>
          <cell r="J4675"/>
          <cell r="K4675" t="str">
            <v>KU</v>
          </cell>
          <cell r="L4675" t="str">
            <v>JASU01</v>
          </cell>
          <cell r="M4675" t="str">
            <v>Maha Tani/Jasuli</v>
          </cell>
          <cell r="N4675" t="str">
            <v>Jasuli</v>
          </cell>
          <cell r="O4675" t="str">
            <v>Jember</v>
          </cell>
          <cell r="P4675" t="str">
            <v>Jember</v>
          </cell>
          <cell r="Q4675" t="str">
            <v>Suren, Ledokombo</v>
          </cell>
          <cell r="R4675" t="str">
            <v>Jember</v>
          </cell>
          <cell r="S4675" t="str">
            <v>B Agronomis</v>
          </cell>
          <cell r="T4675" t="str">
            <v>Wira</v>
          </cell>
          <cell r="U4675">
            <v>30</v>
          </cell>
        </row>
        <row r="4676">
          <cell r="E4676" t="str">
            <v>L25000018</v>
          </cell>
          <cell r="F4676"/>
          <cell r="G4676">
            <v>1000</v>
          </cell>
          <cell r="H4676" t="str">
            <v>Hendra</v>
          </cell>
          <cell r="I4676" t="str">
            <v>Tiya</v>
          </cell>
          <cell r="J4676" t="str">
            <v>New 04/06/25</v>
          </cell>
          <cell r="K4676" t="str">
            <v>CBD</v>
          </cell>
          <cell r="L4676" t="str">
            <v>MAHA08</v>
          </cell>
          <cell r="M4676" t="str">
            <v>Mahani</v>
          </cell>
          <cell r="N4676" t="str">
            <v>Mahani</v>
          </cell>
          <cell r="O4676" t="str">
            <v>Bima</v>
          </cell>
          <cell r="P4676" t="str">
            <v>Nusa Tenggara Barat</v>
          </cell>
          <cell r="Q4676" t="str">
            <v>Bima</v>
          </cell>
          <cell r="R4676" t="str">
            <v>Nusa Tenggara Barat</v>
          </cell>
          <cell r="S4676" t="str">
            <v>E Luar Pulau2</v>
          </cell>
          <cell r="T4676" t="str">
            <v>Muhlisin</v>
          </cell>
          <cell r="U4676">
            <v>45</v>
          </cell>
        </row>
        <row r="4677">
          <cell r="E4677" t="str">
            <v>D25014137</v>
          </cell>
          <cell r="F4677"/>
          <cell r="G4677">
            <v>500000000</v>
          </cell>
          <cell r="H4677" t="str">
            <v>Ariyani</v>
          </cell>
          <cell r="I4677" t="str">
            <v>Fira</v>
          </cell>
          <cell r="J4677"/>
          <cell r="K4677" t="str">
            <v>KU, Tunai</v>
          </cell>
          <cell r="L4677" t="str">
            <v>MAHU01</v>
          </cell>
          <cell r="M4677" t="str">
            <v>Mahhur</v>
          </cell>
          <cell r="N4677" t="str">
            <v>Yasir Arafat</v>
          </cell>
          <cell r="O4677" t="str">
            <v>Jl. Mastrip No. 140, RT.007/RW.002, Wonoasih, Wonoasih</v>
          </cell>
          <cell r="P4677" t="str">
            <v>Probolinggo</v>
          </cell>
          <cell r="Q4677" t="str">
            <v>Jl. Mastrip No. 140, RT.007/RW.002, Wonoasih, Wonoasih</v>
          </cell>
          <cell r="R4677" t="str">
            <v>Probolinggo</v>
          </cell>
          <cell r="S4677" t="str">
            <v>G Prob1</v>
          </cell>
          <cell r="T4677" t="str">
            <v>Wira</v>
          </cell>
          <cell r="U4677">
            <v>30</v>
          </cell>
        </row>
        <row r="4678">
          <cell r="E4678" t="str">
            <v>B25013482</v>
          </cell>
          <cell r="F4678"/>
          <cell r="G4678">
            <v>500000000</v>
          </cell>
          <cell r="H4678" t="str">
            <v>Ariyani</v>
          </cell>
          <cell r="I4678" t="str">
            <v>Fira</v>
          </cell>
          <cell r="J4678"/>
          <cell r="K4678" t="str">
            <v>KU, Tunai</v>
          </cell>
          <cell r="L4678" t="str">
            <v>MAHU01</v>
          </cell>
          <cell r="M4678" t="str">
            <v>Mahhur</v>
          </cell>
          <cell r="N4678" t="str">
            <v>Yasir Arafat</v>
          </cell>
          <cell r="O4678" t="str">
            <v>Jl. Mastrip No. 140, RT.007/RW.002, Wonoasih, Wonoasih</v>
          </cell>
          <cell r="P4678" t="str">
            <v>Probolinggo</v>
          </cell>
          <cell r="Q4678" t="str">
            <v>Jl. Mastrip No. 140, RT.007/RW.002, Wonoasih, Wonoasih</v>
          </cell>
          <cell r="R4678" t="str">
            <v>Probolinggo</v>
          </cell>
          <cell r="S4678" t="str">
            <v>G Prob1</v>
          </cell>
          <cell r="T4678" t="str">
            <v>Wira</v>
          </cell>
          <cell r="U4678">
            <v>30</v>
          </cell>
        </row>
        <row r="4679">
          <cell r="E4679" t="str">
            <v>D25015036</v>
          </cell>
          <cell r="F4679"/>
          <cell r="G4679">
            <v>300000000</v>
          </cell>
          <cell r="H4679" t="str">
            <v>Reni</v>
          </cell>
          <cell r="I4679" t="str">
            <v>Fira</v>
          </cell>
          <cell r="J4679"/>
          <cell r="K4679" t="str">
            <v>Tunai</v>
          </cell>
          <cell r="L4679" t="str">
            <v>MAHK03</v>
          </cell>
          <cell r="M4679" t="str">
            <v>Mahkota Agro/Juma'in</v>
          </cell>
          <cell r="N4679" t="str">
            <v>Ahmad Syarifuddin</v>
          </cell>
          <cell r="O4679" t="str">
            <v>Tunggul RT.001/RW.003, Kel. Tunggul, Kec. Paciran</v>
          </cell>
          <cell r="P4679" t="str">
            <v>Lamongan</v>
          </cell>
          <cell r="Q4679" t="str">
            <v>Compreng</v>
          </cell>
          <cell r="R4679" t="str">
            <v>Tuban</v>
          </cell>
          <cell r="S4679" t="str">
            <v>F Utara1</v>
          </cell>
          <cell r="T4679" t="str">
            <v>Dian</v>
          </cell>
          <cell r="U4679">
            <v>60</v>
          </cell>
        </row>
        <row r="4680">
          <cell r="E4680" t="str">
            <v>D25015978</v>
          </cell>
          <cell r="F4680"/>
          <cell r="G4680">
            <v>1000</v>
          </cell>
          <cell r="H4680" t="str">
            <v>Reni</v>
          </cell>
          <cell r="I4680" t="str">
            <v>Fira</v>
          </cell>
          <cell r="J4680" t="str">
            <v>New 05/03/2025</v>
          </cell>
          <cell r="K4680" t="str">
            <v>CBD</v>
          </cell>
          <cell r="L4680" t="str">
            <v>MAHK07</v>
          </cell>
          <cell r="M4680" t="str">
            <v>Mahkota Tani/Sigit</v>
          </cell>
          <cell r="N4680" t="str">
            <v>Sigit Adi Prabowo</v>
          </cell>
          <cell r="O4680" t="str">
            <v>Panjunan RT.004/RW.002 , Kel. Panjunan Kec. Kalitidu</v>
          </cell>
          <cell r="P4680" t="str">
            <v>Bojonegoro</v>
          </cell>
          <cell r="Q4680" t="str">
            <v>Desa Panjunan , Kec. Kalitidu</v>
          </cell>
          <cell r="R4680" t="str">
            <v xml:space="preserve">Bojonegoro </v>
          </cell>
          <cell r="S4680" t="str">
            <v>F Utara1</v>
          </cell>
          <cell r="T4680" t="str">
            <v>Dian</v>
          </cell>
          <cell r="U4680">
            <v>0</v>
          </cell>
        </row>
        <row r="4681">
          <cell r="E4681" t="str">
            <v>B25009026</v>
          </cell>
          <cell r="F4681"/>
          <cell r="G4681">
            <v>500000000</v>
          </cell>
          <cell r="H4681" t="str">
            <v>Yuyun</v>
          </cell>
          <cell r="I4681" t="str">
            <v>Farida</v>
          </cell>
          <cell r="J4681"/>
          <cell r="K4681" t="str">
            <v>BG, KU</v>
          </cell>
          <cell r="L4681" t="str">
            <v>MAHK01</v>
          </cell>
          <cell r="M4681" t="str">
            <v>Mahkota/Cik Cuan</v>
          </cell>
          <cell r="N4681" t="str">
            <v>Agustina</v>
          </cell>
          <cell r="O4681" t="str">
            <v>Cumedak</v>
          </cell>
          <cell r="P4681" t="str">
            <v>Jember</v>
          </cell>
          <cell r="Q4681" t="str">
            <v>Cumedak</v>
          </cell>
          <cell r="R4681" t="str">
            <v>Jember</v>
          </cell>
          <cell r="S4681" t="str">
            <v>N Bdw Stb</v>
          </cell>
          <cell r="T4681" t="str">
            <v>Wira</v>
          </cell>
          <cell r="U4681">
            <v>60</v>
          </cell>
        </row>
        <row r="4682">
          <cell r="E4682" t="str">
            <v>B25009760</v>
          </cell>
          <cell r="F4682"/>
          <cell r="G4682">
            <v>500000000</v>
          </cell>
          <cell r="H4682" t="str">
            <v>Yuyun</v>
          </cell>
          <cell r="I4682" t="str">
            <v>Farida</v>
          </cell>
          <cell r="J4682"/>
          <cell r="K4682" t="str">
            <v>BG, KU</v>
          </cell>
          <cell r="L4682" t="str">
            <v>MAHK01</v>
          </cell>
          <cell r="M4682" t="str">
            <v>Mahkota/Cik Cuan</v>
          </cell>
          <cell r="N4682" t="str">
            <v>Agustina</v>
          </cell>
          <cell r="O4682" t="str">
            <v>Cumedak</v>
          </cell>
          <cell r="P4682" t="str">
            <v>Jember</v>
          </cell>
          <cell r="Q4682" t="str">
            <v>Cumedak</v>
          </cell>
          <cell r="R4682" t="str">
            <v>Jember</v>
          </cell>
          <cell r="S4682" t="str">
            <v>N Bdw Stb</v>
          </cell>
          <cell r="T4682" t="str">
            <v>Wira</v>
          </cell>
          <cell r="U4682">
            <v>30</v>
          </cell>
        </row>
        <row r="4683">
          <cell r="E4683" t="str">
            <v>B25009797</v>
          </cell>
          <cell r="F4683"/>
          <cell r="G4683">
            <v>500000000</v>
          </cell>
          <cell r="H4683" t="str">
            <v>Yuyun</v>
          </cell>
          <cell r="I4683" t="str">
            <v>Farida</v>
          </cell>
          <cell r="J4683"/>
          <cell r="K4683" t="str">
            <v>BG, KU</v>
          </cell>
          <cell r="L4683" t="str">
            <v>MAHK01</v>
          </cell>
          <cell r="M4683" t="str">
            <v>Mahkota/Cik Cuan</v>
          </cell>
          <cell r="N4683" t="str">
            <v>Agustina</v>
          </cell>
          <cell r="O4683" t="str">
            <v>Cumedak</v>
          </cell>
          <cell r="P4683" t="str">
            <v>Jember</v>
          </cell>
          <cell r="Q4683" t="str">
            <v>Cumedak</v>
          </cell>
          <cell r="R4683" t="str">
            <v>Jember</v>
          </cell>
          <cell r="S4683" t="str">
            <v>N Bdw Stb</v>
          </cell>
          <cell r="T4683" t="str">
            <v>Wira</v>
          </cell>
          <cell r="U4683">
            <v>30</v>
          </cell>
        </row>
        <row r="4684">
          <cell r="E4684" t="str">
            <v>B25009797</v>
          </cell>
          <cell r="F4684"/>
          <cell r="G4684">
            <v>500000000</v>
          </cell>
          <cell r="H4684" t="str">
            <v>Yuyun</v>
          </cell>
          <cell r="I4684" t="str">
            <v>Farida</v>
          </cell>
          <cell r="J4684"/>
          <cell r="K4684" t="str">
            <v>BG, KU</v>
          </cell>
          <cell r="L4684" t="str">
            <v>MAHK01</v>
          </cell>
          <cell r="M4684" t="str">
            <v>Mahkota/Cik Cuan</v>
          </cell>
          <cell r="N4684" t="str">
            <v>Agustina</v>
          </cell>
          <cell r="O4684" t="str">
            <v>Cumedak</v>
          </cell>
          <cell r="P4684" t="str">
            <v>Jember</v>
          </cell>
          <cell r="Q4684" t="str">
            <v>Cumedak</v>
          </cell>
          <cell r="R4684" t="str">
            <v>Jember</v>
          </cell>
          <cell r="S4684" t="str">
            <v>N Bdw Stb</v>
          </cell>
          <cell r="T4684" t="str">
            <v>Wira</v>
          </cell>
          <cell r="U4684">
            <v>30</v>
          </cell>
        </row>
        <row r="4685">
          <cell r="E4685" t="str">
            <v>B25010742</v>
          </cell>
          <cell r="F4685"/>
          <cell r="G4685">
            <v>500000000</v>
          </cell>
          <cell r="H4685" t="str">
            <v>Yuyun</v>
          </cell>
          <cell r="I4685" t="str">
            <v>Farida</v>
          </cell>
          <cell r="J4685"/>
          <cell r="K4685" t="str">
            <v>BG, KU</v>
          </cell>
          <cell r="L4685" t="str">
            <v>MAHK01</v>
          </cell>
          <cell r="M4685" t="str">
            <v>Mahkota/Cik Cuan</v>
          </cell>
          <cell r="N4685" t="str">
            <v>Agustina</v>
          </cell>
          <cell r="O4685" t="str">
            <v>Cumedak</v>
          </cell>
          <cell r="P4685" t="str">
            <v>Jember</v>
          </cell>
          <cell r="Q4685" t="str">
            <v>Cumedak</v>
          </cell>
          <cell r="R4685" t="str">
            <v>Jember</v>
          </cell>
          <cell r="S4685" t="str">
            <v>N Bdw Stb</v>
          </cell>
          <cell r="T4685" t="str">
            <v>Wira</v>
          </cell>
          <cell r="U4685">
            <v>60</v>
          </cell>
        </row>
        <row r="4686">
          <cell r="E4686" t="str">
            <v>B25010743</v>
          </cell>
          <cell r="F4686"/>
          <cell r="G4686">
            <v>500000000</v>
          </cell>
          <cell r="H4686" t="str">
            <v>Yuyun</v>
          </cell>
          <cell r="I4686" t="str">
            <v>Farida</v>
          </cell>
          <cell r="J4686"/>
          <cell r="K4686" t="str">
            <v>BG, KU</v>
          </cell>
          <cell r="L4686" t="str">
            <v>MAHK01</v>
          </cell>
          <cell r="M4686" t="str">
            <v>Mahkota/Cik Cuan</v>
          </cell>
          <cell r="N4686" t="str">
            <v>Agustina</v>
          </cell>
          <cell r="O4686" t="str">
            <v>Cumedak</v>
          </cell>
          <cell r="P4686" t="str">
            <v>Jember</v>
          </cell>
          <cell r="Q4686" t="str">
            <v>Cumedak</v>
          </cell>
          <cell r="R4686" t="str">
            <v>Jember</v>
          </cell>
          <cell r="S4686" t="str">
            <v>N Bdw Stb</v>
          </cell>
          <cell r="T4686" t="str">
            <v>Wira</v>
          </cell>
          <cell r="U4686">
            <v>30</v>
          </cell>
        </row>
        <row r="4687">
          <cell r="E4687" t="str">
            <v>D25012767</v>
          </cell>
          <cell r="F4687"/>
          <cell r="G4687">
            <v>500000000</v>
          </cell>
          <cell r="H4687" t="str">
            <v>Yuyun</v>
          </cell>
          <cell r="I4687" t="str">
            <v>Farida</v>
          </cell>
          <cell r="J4687"/>
          <cell r="K4687" t="str">
            <v>BG, KU</v>
          </cell>
          <cell r="L4687" t="str">
            <v>MAHK01</v>
          </cell>
          <cell r="M4687" t="str">
            <v>Mahkota/Cik Cuan</v>
          </cell>
          <cell r="N4687" t="str">
            <v>Agustina</v>
          </cell>
          <cell r="O4687" t="str">
            <v>Cumedak</v>
          </cell>
          <cell r="P4687" t="str">
            <v>Jember</v>
          </cell>
          <cell r="Q4687" t="str">
            <v>Cumedak</v>
          </cell>
          <cell r="R4687" t="str">
            <v>Jember</v>
          </cell>
          <cell r="S4687" t="str">
            <v>N Bdw Stb</v>
          </cell>
          <cell r="T4687" t="str">
            <v>Wira</v>
          </cell>
          <cell r="U4687">
            <v>30</v>
          </cell>
        </row>
        <row r="4688">
          <cell r="E4688" t="str">
            <v>B25011071</v>
          </cell>
          <cell r="F4688"/>
          <cell r="G4688">
            <v>500000000</v>
          </cell>
          <cell r="H4688" t="str">
            <v>Yuyun</v>
          </cell>
          <cell r="I4688" t="str">
            <v>Farida</v>
          </cell>
          <cell r="J4688"/>
          <cell r="K4688" t="str">
            <v>BG, KU</v>
          </cell>
          <cell r="L4688" t="str">
            <v>MAHK01</v>
          </cell>
          <cell r="M4688" t="str">
            <v>Mahkota/Cik Cuan</v>
          </cell>
          <cell r="N4688" t="str">
            <v>Agustina</v>
          </cell>
          <cell r="O4688" t="str">
            <v>Cumedak</v>
          </cell>
          <cell r="P4688" t="str">
            <v>Jember</v>
          </cell>
          <cell r="Q4688" t="str">
            <v>Cumedak</v>
          </cell>
          <cell r="R4688" t="str">
            <v>Jember</v>
          </cell>
          <cell r="S4688" t="str">
            <v>N Bdw Stb</v>
          </cell>
          <cell r="T4688" t="str">
            <v>Wira</v>
          </cell>
          <cell r="U4688">
            <v>30</v>
          </cell>
        </row>
        <row r="4689">
          <cell r="E4689" t="str">
            <v>B25011178</v>
          </cell>
          <cell r="F4689"/>
          <cell r="G4689">
            <v>500000000</v>
          </cell>
          <cell r="H4689" t="str">
            <v>Yuyun</v>
          </cell>
          <cell r="I4689" t="str">
            <v>Farida</v>
          </cell>
          <cell r="J4689"/>
          <cell r="K4689" t="str">
            <v>BG, KU</v>
          </cell>
          <cell r="L4689" t="str">
            <v>MAHK01</v>
          </cell>
          <cell r="M4689" t="str">
            <v>Mahkota/Cik Cuan</v>
          </cell>
          <cell r="N4689" t="str">
            <v>Agustina</v>
          </cell>
          <cell r="O4689" t="str">
            <v>Cumedak</v>
          </cell>
          <cell r="P4689" t="str">
            <v>Jember</v>
          </cell>
          <cell r="Q4689" t="str">
            <v>Cumedak</v>
          </cell>
          <cell r="R4689" t="str">
            <v>Jember</v>
          </cell>
          <cell r="S4689" t="str">
            <v>N Bdw Stb</v>
          </cell>
          <cell r="T4689" t="str">
            <v>Wira</v>
          </cell>
          <cell r="U4689">
            <v>30</v>
          </cell>
        </row>
        <row r="4690">
          <cell r="E4690" t="str">
            <v>B25011341</v>
          </cell>
          <cell r="F4690"/>
          <cell r="G4690">
            <v>500000000</v>
          </cell>
          <cell r="H4690" t="str">
            <v>Yuyun</v>
          </cell>
          <cell r="I4690" t="str">
            <v>Farida</v>
          </cell>
          <cell r="J4690"/>
          <cell r="K4690" t="str">
            <v>BG, KU</v>
          </cell>
          <cell r="L4690" t="str">
            <v>MAHK01</v>
          </cell>
          <cell r="M4690" t="str">
            <v>Mahkota/Cik Cuan</v>
          </cell>
          <cell r="N4690" t="str">
            <v>Agustina</v>
          </cell>
          <cell r="O4690" t="str">
            <v>Cumedak</v>
          </cell>
          <cell r="P4690" t="str">
            <v>Jember</v>
          </cell>
          <cell r="Q4690" t="str">
            <v>Cumedak</v>
          </cell>
          <cell r="R4690" t="str">
            <v>Jember</v>
          </cell>
          <cell r="S4690" t="str">
            <v>N Bdw Stb</v>
          </cell>
          <cell r="T4690" t="str">
            <v>Wira</v>
          </cell>
          <cell r="U4690">
            <v>30</v>
          </cell>
        </row>
        <row r="4691">
          <cell r="E4691" t="str">
            <v>D25013624</v>
          </cell>
          <cell r="F4691"/>
          <cell r="G4691">
            <v>500000000</v>
          </cell>
          <cell r="H4691" t="str">
            <v>Yuyun</v>
          </cell>
          <cell r="I4691" t="str">
            <v>Farida</v>
          </cell>
          <cell r="J4691"/>
          <cell r="K4691" t="str">
            <v>BG, KU</v>
          </cell>
          <cell r="L4691" t="str">
            <v>MAHK01</v>
          </cell>
          <cell r="M4691" t="str">
            <v>Mahkota/Cik Cuan</v>
          </cell>
          <cell r="N4691" t="str">
            <v>Agustina</v>
          </cell>
          <cell r="O4691" t="str">
            <v>Cumedak</v>
          </cell>
          <cell r="P4691" t="str">
            <v>Jember</v>
          </cell>
          <cell r="Q4691" t="str">
            <v>Cumedak</v>
          </cell>
          <cell r="R4691" t="str">
            <v>Jember</v>
          </cell>
          <cell r="S4691" t="str">
            <v>N Bdw Stb</v>
          </cell>
          <cell r="T4691" t="str">
            <v>Wira</v>
          </cell>
          <cell r="U4691">
            <v>30</v>
          </cell>
        </row>
        <row r="4692">
          <cell r="E4692" t="str">
            <v>B25011454</v>
          </cell>
          <cell r="F4692"/>
          <cell r="G4692">
            <v>500000000</v>
          </cell>
          <cell r="H4692" t="str">
            <v>Yuyun</v>
          </cell>
          <cell r="I4692" t="str">
            <v>Farida</v>
          </cell>
          <cell r="J4692"/>
          <cell r="K4692" t="str">
            <v>BG, KU</v>
          </cell>
          <cell r="L4692" t="str">
            <v>MAHK01</v>
          </cell>
          <cell r="M4692" t="str">
            <v>Mahkota/Cik Cuan</v>
          </cell>
          <cell r="N4692" t="str">
            <v>Agustina</v>
          </cell>
          <cell r="O4692" t="str">
            <v>Cumedak</v>
          </cell>
          <cell r="P4692" t="str">
            <v>Jember</v>
          </cell>
          <cell r="Q4692" t="str">
            <v>Cumedak</v>
          </cell>
          <cell r="R4692" t="str">
            <v>Jember</v>
          </cell>
          <cell r="S4692" t="str">
            <v>N Bdw Stb</v>
          </cell>
          <cell r="T4692" t="str">
            <v>Wira</v>
          </cell>
          <cell r="U4692">
            <v>30</v>
          </cell>
        </row>
        <row r="4693">
          <cell r="E4693" t="str">
            <v>B25011569</v>
          </cell>
          <cell r="F4693"/>
          <cell r="G4693">
            <v>500000000</v>
          </cell>
          <cell r="H4693" t="str">
            <v>Yuyun</v>
          </cell>
          <cell r="I4693" t="str">
            <v>Farida</v>
          </cell>
          <cell r="J4693"/>
          <cell r="K4693" t="str">
            <v>BG, KU</v>
          </cell>
          <cell r="L4693" t="str">
            <v>MAHK01</v>
          </cell>
          <cell r="M4693" t="str">
            <v>Mahkota/Cik Cuan</v>
          </cell>
          <cell r="N4693" t="str">
            <v>Agustina</v>
          </cell>
          <cell r="O4693" t="str">
            <v>Cumedak</v>
          </cell>
          <cell r="P4693" t="str">
            <v>Jember</v>
          </cell>
          <cell r="Q4693" t="str">
            <v>Cumedak</v>
          </cell>
          <cell r="R4693" t="str">
            <v>Jember</v>
          </cell>
          <cell r="S4693" t="str">
            <v>N Bdw Stb</v>
          </cell>
          <cell r="T4693" t="str">
            <v>Wira</v>
          </cell>
          <cell r="U4693">
            <v>30</v>
          </cell>
        </row>
        <row r="4694">
          <cell r="E4694" t="str">
            <v>D25013779</v>
          </cell>
          <cell r="F4694"/>
          <cell r="G4694">
            <v>500000000</v>
          </cell>
          <cell r="H4694" t="str">
            <v>Yuyun</v>
          </cell>
          <cell r="I4694" t="str">
            <v>Farida</v>
          </cell>
          <cell r="J4694"/>
          <cell r="K4694" t="str">
            <v>BG, KU</v>
          </cell>
          <cell r="L4694" t="str">
            <v>MAHK01</v>
          </cell>
          <cell r="M4694" t="str">
            <v>Mahkota/Cik Cuan</v>
          </cell>
          <cell r="N4694" t="str">
            <v>Agustina</v>
          </cell>
          <cell r="O4694" t="str">
            <v>Cumedak</v>
          </cell>
          <cell r="P4694" t="str">
            <v>Jember</v>
          </cell>
          <cell r="Q4694" t="str">
            <v>Cumedak</v>
          </cell>
          <cell r="R4694" t="str">
            <v>Jember</v>
          </cell>
          <cell r="S4694" t="str">
            <v>N Bdw Stb</v>
          </cell>
          <cell r="T4694" t="str">
            <v>Wira</v>
          </cell>
          <cell r="U4694">
            <v>30</v>
          </cell>
        </row>
        <row r="4695">
          <cell r="E4695" t="str">
            <v>D25014107</v>
          </cell>
          <cell r="F4695"/>
          <cell r="G4695">
            <v>500000000</v>
          </cell>
          <cell r="H4695" t="str">
            <v>Yuyun</v>
          </cell>
          <cell r="I4695" t="str">
            <v>Farida</v>
          </cell>
          <cell r="J4695"/>
          <cell r="K4695" t="str">
            <v>BG, KU</v>
          </cell>
          <cell r="L4695" t="str">
            <v>MAHK01</v>
          </cell>
          <cell r="M4695" t="str">
            <v>Mahkota/Cik Cuan</v>
          </cell>
          <cell r="N4695" t="str">
            <v>Agustina</v>
          </cell>
          <cell r="O4695" t="str">
            <v>Cumedak</v>
          </cell>
          <cell r="P4695" t="str">
            <v>Jember</v>
          </cell>
          <cell r="Q4695" t="str">
            <v>Cumedak</v>
          </cell>
          <cell r="R4695" t="str">
            <v>Jember</v>
          </cell>
          <cell r="S4695" t="str">
            <v>N Bdw Stb</v>
          </cell>
          <cell r="T4695" t="str">
            <v>Wira</v>
          </cell>
          <cell r="U4695">
            <v>30</v>
          </cell>
        </row>
        <row r="4696">
          <cell r="E4696" t="str">
            <v>B25011961</v>
          </cell>
          <cell r="F4696"/>
          <cell r="G4696">
            <v>500000000</v>
          </cell>
          <cell r="H4696" t="str">
            <v>Yuyun</v>
          </cell>
          <cell r="I4696" t="str">
            <v>Farida</v>
          </cell>
          <cell r="J4696"/>
          <cell r="K4696" t="str">
            <v>BG, KU</v>
          </cell>
          <cell r="L4696" t="str">
            <v>MAHK01</v>
          </cell>
          <cell r="M4696" t="str">
            <v>Mahkota/Cik Cuan</v>
          </cell>
          <cell r="N4696" t="str">
            <v>Agustina</v>
          </cell>
          <cell r="O4696" t="str">
            <v>Cumedak</v>
          </cell>
          <cell r="P4696" t="str">
            <v>Jember</v>
          </cell>
          <cell r="Q4696" t="str">
            <v>Cumedak</v>
          </cell>
          <cell r="R4696" t="str">
            <v>Jember</v>
          </cell>
          <cell r="S4696" t="str">
            <v>N Bdw Stb</v>
          </cell>
          <cell r="T4696" t="str">
            <v>Wira</v>
          </cell>
          <cell r="U4696">
            <v>30</v>
          </cell>
        </row>
        <row r="4697">
          <cell r="E4697" t="str">
            <v>D25014162</v>
          </cell>
          <cell r="F4697"/>
          <cell r="G4697">
            <v>500000000</v>
          </cell>
          <cell r="H4697" t="str">
            <v>Yuyun</v>
          </cell>
          <cell r="I4697" t="str">
            <v>Farida</v>
          </cell>
          <cell r="J4697"/>
          <cell r="K4697" t="str">
            <v>BG, KU</v>
          </cell>
          <cell r="L4697" t="str">
            <v>MAHK01</v>
          </cell>
          <cell r="M4697" t="str">
            <v>Mahkota/Cik Cuan</v>
          </cell>
          <cell r="N4697" t="str">
            <v>Agustina</v>
          </cell>
          <cell r="O4697" t="str">
            <v>Cumedak</v>
          </cell>
          <cell r="P4697" t="str">
            <v>Jember</v>
          </cell>
          <cell r="Q4697" t="str">
            <v>Cumedak</v>
          </cell>
          <cell r="R4697" t="str">
            <v>Jember</v>
          </cell>
          <cell r="S4697" t="str">
            <v>N Bdw Stb</v>
          </cell>
          <cell r="T4697" t="str">
            <v>Wira</v>
          </cell>
          <cell r="U4697">
            <v>30</v>
          </cell>
        </row>
        <row r="4698">
          <cell r="E4698" t="str">
            <v>D25014331</v>
          </cell>
          <cell r="F4698"/>
          <cell r="G4698">
            <v>500000000</v>
          </cell>
          <cell r="H4698" t="str">
            <v>Yuyun</v>
          </cell>
          <cell r="I4698" t="str">
            <v>Farida</v>
          </cell>
          <cell r="J4698"/>
          <cell r="K4698" t="str">
            <v>BG, KU</v>
          </cell>
          <cell r="L4698" t="str">
            <v>MAHK01</v>
          </cell>
          <cell r="M4698" t="str">
            <v>Mahkota/Cik Cuan</v>
          </cell>
          <cell r="N4698" t="str">
            <v>Agustina</v>
          </cell>
          <cell r="O4698" t="str">
            <v>Cumedak</v>
          </cell>
          <cell r="P4698" t="str">
            <v>Jember</v>
          </cell>
          <cell r="Q4698" t="str">
            <v>Cumedak</v>
          </cell>
          <cell r="R4698" t="str">
            <v>Jember</v>
          </cell>
          <cell r="S4698" t="str">
            <v>N Bdw Stb</v>
          </cell>
          <cell r="T4698" t="str">
            <v>Wira</v>
          </cell>
          <cell r="U4698">
            <v>30</v>
          </cell>
        </row>
        <row r="4699">
          <cell r="E4699" t="str">
            <v>D25014398</v>
          </cell>
          <cell r="F4699"/>
          <cell r="G4699">
            <v>500000000</v>
          </cell>
          <cell r="H4699" t="str">
            <v>Yuyun</v>
          </cell>
          <cell r="I4699" t="str">
            <v>Farida</v>
          </cell>
          <cell r="J4699"/>
          <cell r="K4699" t="str">
            <v>BG, KU</v>
          </cell>
          <cell r="L4699" t="str">
            <v>MAHK01</v>
          </cell>
          <cell r="M4699" t="str">
            <v>Mahkota/Cik Cuan</v>
          </cell>
          <cell r="N4699" t="str">
            <v>Agustina</v>
          </cell>
          <cell r="O4699" t="str">
            <v>Cumedak</v>
          </cell>
          <cell r="P4699" t="str">
            <v>Jember</v>
          </cell>
          <cell r="Q4699" t="str">
            <v>Cumedak</v>
          </cell>
          <cell r="R4699" t="str">
            <v>Jember</v>
          </cell>
          <cell r="S4699" t="str">
            <v>N Bdw Stb</v>
          </cell>
          <cell r="T4699" t="str">
            <v>Wira</v>
          </cell>
          <cell r="U4699">
            <v>30</v>
          </cell>
        </row>
        <row r="4700">
          <cell r="E4700" t="str">
            <v>B25012345</v>
          </cell>
          <cell r="F4700"/>
          <cell r="G4700">
            <v>500000000</v>
          </cell>
          <cell r="H4700" t="str">
            <v>Yuyun</v>
          </cell>
          <cell r="I4700" t="str">
            <v>Farida</v>
          </cell>
          <cell r="J4700"/>
          <cell r="K4700" t="str">
            <v>BG, KU</v>
          </cell>
          <cell r="L4700" t="str">
            <v>MAHK01</v>
          </cell>
          <cell r="M4700" t="str">
            <v>Mahkota/Cik Cuan</v>
          </cell>
          <cell r="N4700" t="str">
            <v>Agustina</v>
          </cell>
          <cell r="O4700" t="str">
            <v>Cumedak</v>
          </cell>
          <cell r="P4700" t="str">
            <v>Jember</v>
          </cell>
          <cell r="Q4700" t="str">
            <v>Cumedak</v>
          </cell>
          <cell r="R4700" t="str">
            <v>Jember</v>
          </cell>
          <cell r="S4700" t="str">
            <v>N Bdw Stb</v>
          </cell>
          <cell r="T4700" t="str">
            <v>Wira</v>
          </cell>
          <cell r="U4700">
            <v>30</v>
          </cell>
        </row>
        <row r="4701">
          <cell r="E4701" t="str">
            <v>D25014889</v>
          </cell>
          <cell r="F4701"/>
          <cell r="G4701">
            <v>500000000</v>
          </cell>
          <cell r="H4701" t="str">
            <v>Yuyun</v>
          </cell>
          <cell r="I4701" t="str">
            <v>Farida</v>
          </cell>
          <cell r="J4701"/>
          <cell r="K4701" t="str">
            <v>BG, KU</v>
          </cell>
          <cell r="L4701" t="str">
            <v>MAHK01</v>
          </cell>
          <cell r="M4701" t="str">
            <v>Mahkota/Cik Cuan</v>
          </cell>
          <cell r="N4701" t="str">
            <v>Agustina</v>
          </cell>
          <cell r="O4701" t="str">
            <v>Cumedak</v>
          </cell>
          <cell r="P4701" t="str">
            <v>Jember</v>
          </cell>
          <cell r="Q4701" t="str">
            <v>Cumedak</v>
          </cell>
          <cell r="R4701" t="str">
            <v>Jember</v>
          </cell>
          <cell r="S4701" t="str">
            <v>N Bdw Stb</v>
          </cell>
          <cell r="T4701" t="str">
            <v>Wira</v>
          </cell>
          <cell r="U4701">
            <v>0</v>
          </cell>
        </row>
        <row r="4702">
          <cell r="E4702" t="str">
            <v>D25014889</v>
          </cell>
          <cell r="F4702"/>
          <cell r="G4702">
            <v>500000000</v>
          </cell>
          <cell r="H4702" t="str">
            <v>Yuyun</v>
          </cell>
          <cell r="I4702" t="str">
            <v>Farida</v>
          </cell>
          <cell r="J4702"/>
          <cell r="K4702" t="str">
            <v>BG, KU</v>
          </cell>
          <cell r="L4702" t="str">
            <v>MAHK01</v>
          </cell>
          <cell r="M4702" t="str">
            <v>Mahkota/Cik Cuan</v>
          </cell>
          <cell r="N4702" t="str">
            <v>Agustina</v>
          </cell>
          <cell r="O4702" t="str">
            <v>Cumedak</v>
          </cell>
          <cell r="P4702" t="str">
            <v>Jember</v>
          </cell>
          <cell r="Q4702" t="str">
            <v>Cumedak</v>
          </cell>
          <cell r="R4702" t="str">
            <v>Jember</v>
          </cell>
          <cell r="S4702" t="str">
            <v>N Bdw Stb</v>
          </cell>
          <cell r="T4702" t="str">
            <v>Wira</v>
          </cell>
          <cell r="U4702">
            <v>0</v>
          </cell>
        </row>
        <row r="4703">
          <cell r="E4703" t="str">
            <v>D25014903</v>
          </cell>
          <cell r="F4703"/>
          <cell r="G4703">
            <v>500000000</v>
          </cell>
          <cell r="H4703" t="str">
            <v>Yuyun</v>
          </cell>
          <cell r="I4703" t="str">
            <v>Farida</v>
          </cell>
          <cell r="J4703"/>
          <cell r="K4703" t="str">
            <v>BG, KU</v>
          </cell>
          <cell r="L4703" t="str">
            <v>MAHK01</v>
          </cell>
          <cell r="M4703" t="str">
            <v>Mahkota/Cik Cuan</v>
          </cell>
          <cell r="N4703" t="str">
            <v>Agustina</v>
          </cell>
          <cell r="O4703" t="str">
            <v>Cumedak</v>
          </cell>
          <cell r="P4703" t="str">
            <v>Jember</v>
          </cell>
          <cell r="Q4703" t="str">
            <v>Cumedak</v>
          </cell>
          <cell r="R4703" t="str">
            <v>Jember</v>
          </cell>
          <cell r="S4703" t="str">
            <v>N Bdw Stb</v>
          </cell>
          <cell r="T4703" t="str">
            <v>Wira</v>
          </cell>
          <cell r="U4703">
            <v>30</v>
          </cell>
        </row>
        <row r="4704">
          <cell r="E4704" t="str">
            <v>T25001473</v>
          </cell>
          <cell r="F4704"/>
          <cell r="G4704">
            <v>500000000</v>
          </cell>
          <cell r="H4704" t="str">
            <v>Yuyun</v>
          </cell>
          <cell r="I4704" t="str">
            <v>Farida</v>
          </cell>
          <cell r="J4704"/>
          <cell r="K4704" t="str">
            <v>BG, KU</v>
          </cell>
          <cell r="L4704" t="str">
            <v>MAHK01</v>
          </cell>
          <cell r="M4704" t="str">
            <v>Mahkota/Cik Cuan</v>
          </cell>
          <cell r="N4704" t="str">
            <v>Agustina</v>
          </cell>
          <cell r="O4704" t="str">
            <v>Cumedak</v>
          </cell>
          <cell r="P4704" t="str">
            <v>Jember</v>
          </cell>
          <cell r="Q4704" t="str">
            <v>Cumedak</v>
          </cell>
          <cell r="R4704" t="str">
            <v>Jember</v>
          </cell>
          <cell r="S4704" t="str">
            <v>N Bdw Stb</v>
          </cell>
          <cell r="T4704" t="str">
            <v>Wira</v>
          </cell>
          <cell r="U4704">
            <v>60</v>
          </cell>
        </row>
        <row r="4705">
          <cell r="E4705" t="str">
            <v>D25014995</v>
          </cell>
          <cell r="F4705"/>
          <cell r="G4705">
            <v>500000000</v>
          </cell>
          <cell r="H4705" t="str">
            <v>Yuyun</v>
          </cell>
          <cell r="I4705" t="str">
            <v>Farida</v>
          </cell>
          <cell r="J4705"/>
          <cell r="K4705" t="str">
            <v>BG, KU</v>
          </cell>
          <cell r="L4705" t="str">
            <v>MAHK01</v>
          </cell>
          <cell r="M4705" t="str">
            <v>Mahkota/Cik Cuan</v>
          </cell>
          <cell r="N4705" t="str">
            <v>Agustina</v>
          </cell>
          <cell r="O4705" t="str">
            <v>Cumedak</v>
          </cell>
          <cell r="P4705" t="str">
            <v>Jember</v>
          </cell>
          <cell r="Q4705" t="str">
            <v>Cumedak</v>
          </cell>
          <cell r="R4705" t="str">
            <v>Jember</v>
          </cell>
          <cell r="S4705" t="str">
            <v>N Bdw Stb</v>
          </cell>
          <cell r="T4705" t="str">
            <v>Wira</v>
          </cell>
          <cell r="U4705">
            <v>0</v>
          </cell>
        </row>
        <row r="4706">
          <cell r="E4706" t="str">
            <v>B25012969</v>
          </cell>
          <cell r="F4706"/>
          <cell r="G4706">
            <v>500000000</v>
          </cell>
          <cell r="H4706" t="str">
            <v>Yuyun</v>
          </cell>
          <cell r="I4706" t="str">
            <v>Farida</v>
          </cell>
          <cell r="J4706"/>
          <cell r="K4706" t="str">
            <v>BG, KU</v>
          </cell>
          <cell r="L4706" t="str">
            <v>MAHK01</v>
          </cell>
          <cell r="M4706" t="str">
            <v>Mahkota/Cik Cuan</v>
          </cell>
          <cell r="N4706" t="str">
            <v>Agustina</v>
          </cell>
          <cell r="O4706" t="str">
            <v>Cumedak</v>
          </cell>
          <cell r="P4706" t="str">
            <v>Jember</v>
          </cell>
          <cell r="Q4706" t="str">
            <v>Cumedak</v>
          </cell>
          <cell r="R4706" t="str">
            <v>Jember</v>
          </cell>
          <cell r="S4706" t="str">
            <v>N Bdw Stb</v>
          </cell>
          <cell r="T4706" t="str">
            <v>Wira</v>
          </cell>
          <cell r="U4706">
            <v>30</v>
          </cell>
        </row>
        <row r="4707">
          <cell r="E4707" t="str">
            <v>B25013248</v>
          </cell>
          <cell r="F4707"/>
          <cell r="G4707">
            <v>500000000</v>
          </cell>
          <cell r="H4707" t="str">
            <v>Yuyun</v>
          </cell>
          <cell r="I4707" t="str">
            <v>Farida</v>
          </cell>
          <cell r="J4707"/>
          <cell r="K4707" t="str">
            <v>BG, KU</v>
          </cell>
          <cell r="L4707" t="str">
            <v>MAHK01</v>
          </cell>
          <cell r="M4707" t="str">
            <v>Mahkota/Cik Cuan</v>
          </cell>
          <cell r="N4707" t="str">
            <v>Agustina</v>
          </cell>
          <cell r="O4707" t="str">
            <v>Cumedak</v>
          </cell>
          <cell r="P4707" t="str">
            <v>Jember</v>
          </cell>
          <cell r="Q4707" t="str">
            <v>Cumedak</v>
          </cell>
          <cell r="R4707" t="str">
            <v>Jember</v>
          </cell>
          <cell r="S4707" t="str">
            <v>N Bdw Stb</v>
          </cell>
          <cell r="T4707" t="str">
            <v>Wira</v>
          </cell>
          <cell r="U4707">
            <v>60</v>
          </cell>
        </row>
        <row r="4708">
          <cell r="E4708" t="str">
            <v>D25015806</v>
          </cell>
          <cell r="F4708"/>
          <cell r="G4708">
            <v>500000000</v>
          </cell>
          <cell r="H4708" t="str">
            <v>Yuyun</v>
          </cell>
          <cell r="I4708" t="str">
            <v>Farida</v>
          </cell>
          <cell r="J4708"/>
          <cell r="K4708" t="str">
            <v>BG, KU</v>
          </cell>
          <cell r="L4708" t="str">
            <v>MAHK01</v>
          </cell>
          <cell r="M4708" t="str">
            <v>Mahkota/Cik Cuan</v>
          </cell>
          <cell r="N4708" t="str">
            <v>Agustina</v>
          </cell>
          <cell r="O4708" t="str">
            <v>Cumedak</v>
          </cell>
          <cell r="P4708" t="str">
            <v>Jember</v>
          </cell>
          <cell r="Q4708" t="str">
            <v>Cumedak</v>
          </cell>
          <cell r="R4708" t="str">
            <v>Jember</v>
          </cell>
          <cell r="S4708" t="str">
            <v>N Bdw Stb</v>
          </cell>
          <cell r="T4708" t="str">
            <v>Wira</v>
          </cell>
          <cell r="U4708">
            <v>7</v>
          </cell>
        </row>
        <row r="4709">
          <cell r="E4709" t="str">
            <v>D25015993</v>
          </cell>
          <cell r="F4709"/>
          <cell r="G4709">
            <v>500000000</v>
          </cell>
          <cell r="H4709" t="str">
            <v>Yuyun</v>
          </cell>
          <cell r="I4709" t="str">
            <v>Farida</v>
          </cell>
          <cell r="J4709"/>
          <cell r="K4709" t="str">
            <v>BG, KU</v>
          </cell>
          <cell r="L4709" t="str">
            <v>MAHK01</v>
          </cell>
          <cell r="M4709" t="str">
            <v>Mahkota/Cik Cuan</v>
          </cell>
          <cell r="N4709" t="str">
            <v>Agustina</v>
          </cell>
          <cell r="O4709" t="str">
            <v>Cumedak</v>
          </cell>
          <cell r="P4709" t="str">
            <v>Jember</v>
          </cell>
          <cell r="Q4709" t="str">
            <v>Cumedak</v>
          </cell>
          <cell r="R4709" t="str">
            <v>Jember</v>
          </cell>
          <cell r="S4709" t="str">
            <v>N Bdw Stb</v>
          </cell>
          <cell r="T4709" t="str">
            <v>Wira</v>
          </cell>
          <cell r="U4709">
            <v>30</v>
          </cell>
        </row>
        <row r="4710">
          <cell r="E4710" t="str">
            <v>B25013945</v>
          </cell>
          <cell r="F4710"/>
          <cell r="G4710">
            <v>500000000</v>
          </cell>
          <cell r="H4710" t="str">
            <v>Yuyun</v>
          </cell>
          <cell r="I4710" t="str">
            <v>Farida</v>
          </cell>
          <cell r="J4710"/>
          <cell r="K4710" t="str">
            <v>BG, KU</v>
          </cell>
          <cell r="L4710" t="str">
            <v>MAHK01</v>
          </cell>
          <cell r="M4710" t="str">
            <v>Mahkota/Cik Cuan</v>
          </cell>
          <cell r="N4710" t="str">
            <v>Agustina</v>
          </cell>
          <cell r="O4710" t="str">
            <v>Cumedak</v>
          </cell>
          <cell r="P4710" t="str">
            <v>Jember</v>
          </cell>
          <cell r="Q4710" t="str">
            <v>Cumedak</v>
          </cell>
          <cell r="R4710" t="str">
            <v>Jember</v>
          </cell>
          <cell r="S4710" t="str">
            <v>N Bdw Stb</v>
          </cell>
          <cell r="T4710" t="str">
            <v>Wira</v>
          </cell>
          <cell r="U4710">
            <v>30</v>
          </cell>
        </row>
        <row r="4711">
          <cell r="E4711" t="str">
            <v>B25013946</v>
          </cell>
          <cell r="F4711"/>
          <cell r="G4711">
            <v>500000000</v>
          </cell>
          <cell r="H4711" t="str">
            <v>Yuyun</v>
          </cell>
          <cell r="I4711" t="str">
            <v>Farida</v>
          </cell>
          <cell r="J4711"/>
          <cell r="K4711" t="str">
            <v>BG, KU</v>
          </cell>
          <cell r="L4711" t="str">
            <v>MAHK01</v>
          </cell>
          <cell r="M4711" t="str">
            <v>Mahkota/Cik Cuan</v>
          </cell>
          <cell r="N4711" t="str">
            <v>Agustina</v>
          </cell>
          <cell r="O4711" t="str">
            <v>Cumedak</v>
          </cell>
          <cell r="P4711" t="str">
            <v>Jember</v>
          </cell>
          <cell r="Q4711" t="str">
            <v>Cumedak</v>
          </cell>
          <cell r="R4711" t="str">
            <v>Jember</v>
          </cell>
          <cell r="S4711" t="str">
            <v>N Bdw Stb</v>
          </cell>
          <cell r="T4711" t="str">
            <v>Wira</v>
          </cell>
          <cell r="U4711">
            <v>30</v>
          </cell>
        </row>
        <row r="4712">
          <cell r="E4712" t="str">
            <v>D25016361</v>
          </cell>
          <cell r="F4712"/>
          <cell r="G4712">
            <v>500000000</v>
          </cell>
          <cell r="H4712" t="str">
            <v>Yuyun</v>
          </cell>
          <cell r="I4712" t="str">
            <v>Farida</v>
          </cell>
          <cell r="J4712"/>
          <cell r="K4712" t="str">
            <v>BG, KU</v>
          </cell>
          <cell r="L4712" t="str">
            <v>MAHK01</v>
          </cell>
          <cell r="M4712" t="str">
            <v>Mahkota/Cik Cuan</v>
          </cell>
          <cell r="N4712" t="str">
            <v>Agustina</v>
          </cell>
          <cell r="O4712" t="str">
            <v>Cumedak</v>
          </cell>
          <cell r="P4712" t="str">
            <v>Jember</v>
          </cell>
          <cell r="Q4712" t="str">
            <v>Cumedak</v>
          </cell>
          <cell r="R4712" t="str">
            <v>Jember</v>
          </cell>
          <cell r="S4712" t="str">
            <v>N Bdw Stb</v>
          </cell>
          <cell r="T4712" t="str">
            <v>Wira</v>
          </cell>
          <cell r="U4712">
            <v>30</v>
          </cell>
        </row>
        <row r="4713">
          <cell r="E4713" t="str">
            <v>T25000750</v>
          </cell>
          <cell r="F4713"/>
          <cell r="G4713">
            <v>100000000</v>
          </cell>
          <cell r="H4713" t="str">
            <v>Reni</v>
          </cell>
          <cell r="I4713" t="str">
            <v>Farida</v>
          </cell>
          <cell r="J4713" t="str">
            <v>New 21/12/2024</v>
          </cell>
          <cell r="K4713" t="str">
            <v>CBD</v>
          </cell>
          <cell r="L4713" t="str">
            <v>MAJU24</v>
          </cell>
          <cell r="M4713" t="str">
            <v>Maju Jaya/Azwar</v>
          </cell>
          <cell r="N4713" t="str">
            <v>Westri Nugraheni</v>
          </cell>
          <cell r="O4713" t="str">
            <v>Dsn Sambirejo RT.001/RW.001, Kel. Sonobekel, Kec. Tanjunganom</v>
          </cell>
          <cell r="P4713" t="str">
            <v>Nganjuk</v>
          </cell>
          <cell r="Q4713" t="str">
            <v>Jl Raya Kwadungan, Sampa, Kel. Simo, Kec. Kwadungan</v>
          </cell>
          <cell r="R4713" t="str">
            <v>Ngawi</v>
          </cell>
          <cell r="S4713" t="str">
            <v>D Barat2</v>
          </cell>
          <cell r="T4713" t="str">
            <v>Dian</v>
          </cell>
          <cell r="U4713">
            <v>174</v>
          </cell>
        </row>
        <row r="4714">
          <cell r="E4714" t="str">
            <v>T25001401</v>
          </cell>
          <cell r="F4714"/>
          <cell r="G4714">
            <v>100000000</v>
          </cell>
          <cell r="H4714" t="str">
            <v>Reni</v>
          </cell>
          <cell r="I4714" t="str">
            <v>Farida</v>
          </cell>
          <cell r="J4714" t="str">
            <v>New 21/12/2024</v>
          </cell>
          <cell r="K4714" t="str">
            <v>CBD</v>
          </cell>
          <cell r="L4714" t="str">
            <v>MAJU24</v>
          </cell>
          <cell r="M4714" t="str">
            <v>Maju Jaya/Azwar</v>
          </cell>
          <cell r="N4714" t="str">
            <v>Westri Nugraheni</v>
          </cell>
          <cell r="O4714" t="str">
            <v>Dsn Sambirejo RT.001/RW.001, Kel. Sonobekel, Kec. Tanjunganom</v>
          </cell>
          <cell r="P4714" t="str">
            <v>Nganjuk</v>
          </cell>
          <cell r="Q4714" t="str">
            <v>Jl Raya Kwadungan, Sampa, Kel. Simo, Kec. Kwadungan</v>
          </cell>
          <cell r="R4714" t="str">
            <v>Ngawi</v>
          </cell>
          <cell r="S4714" t="str">
            <v>D Barat2</v>
          </cell>
          <cell r="T4714" t="str">
            <v>Dian</v>
          </cell>
          <cell r="U4714">
            <v>30</v>
          </cell>
        </row>
        <row r="4715">
          <cell r="E4715" t="str">
            <v>T25001437</v>
          </cell>
          <cell r="F4715"/>
          <cell r="G4715">
            <v>100000000</v>
          </cell>
          <cell r="H4715" t="str">
            <v>Reni</v>
          </cell>
          <cell r="I4715" t="str">
            <v>Farida</v>
          </cell>
          <cell r="J4715" t="str">
            <v>New 21/12/2024</v>
          </cell>
          <cell r="K4715" t="str">
            <v>CBD</v>
          </cell>
          <cell r="L4715" t="str">
            <v>MAJU24</v>
          </cell>
          <cell r="M4715" t="str">
            <v>Maju Jaya/Azwar</v>
          </cell>
          <cell r="N4715" t="str">
            <v>Westri Nugraheni</v>
          </cell>
          <cell r="O4715" t="str">
            <v>Dsn Sambirejo RT.001/RW.001, Kel. Sonobekel, Kec. Tanjunganom</v>
          </cell>
          <cell r="P4715" t="str">
            <v>Nganjuk</v>
          </cell>
          <cell r="Q4715" t="str">
            <v>Jl Raya Kwadungan, Sampa, Kel. Simo, Kec. Kwadungan</v>
          </cell>
          <cell r="R4715" t="str">
            <v>Ngawi</v>
          </cell>
          <cell r="S4715" t="str">
            <v>D Barat2</v>
          </cell>
          <cell r="T4715" t="str">
            <v>Dian</v>
          </cell>
          <cell r="U4715">
            <v>30</v>
          </cell>
        </row>
        <row r="4716">
          <cell r="E4716" t="str">
            <v>D25014863</v>
          </cell>
          <cell r="F4716"/>
          <cell r="G4716">
            <v>100000000</v>
          </cell>
          <cell r="H4716" t="str">
            <v>Reni</v>
          </cell>
          <cell r="I4716" t="str">
            <v>Farida</v>
          </cell>
          <cell r="J4716" t="str">
            <v>New 21/12/2024</v>
          </cell>
          <cell r="K4716" t="str">
            <v>CBD</v>
          </cell>
          <cell r="L4716" t="str">
            <v>MAJU24</v>
          </cell>
          <cell r="M4716" t="str">
            <v>Maju Jaya/Azwar</v>
          </cell>
          <cell r="N4716" t="str">
            <v>Westri Nugraheni</v>
          </cell>
          <cell r="O4716" t="str">
            <v>Dsn Sambirejo RT.001/RW.001, Kel. Sonobekel, Kec. Tanjunganom</v>
          </cell>
          <cell r="P4716" t="str">
            <v>Nganjuk</v>
          </cell>
          <cell r="Q4716" t="str">
            <v>Jl Raya Kwadungan, Sampa, Kel. Simo, Kec. Kwadungan</v>
          </cell>
          <cell r="R4716" t="str">
            <v>Ngawi</v>
          </cell>
          <cell r="S4716" t="str">
            <v>D Barat2</v>
          </cell>
          <cell r="T4716" t="str">
            <v>Dian</v>
          </cell>
          <cell r="U4716">
            <v>0</v>
          </cell>
        </row>
        <row r="4717">
          <cell r="E4717" t="str">
            <v>T25001552</v>
          </cell>
          <cell r="F4717"/>
          <cell r="G4717">
            <v>100000000</v>
          </cell>
          <cell r="H4717" t="str">
            <v>Reni</v>
          </cell>
          <cell r="I4717" t="str">
            <v>Farida</v>
          </cell>
          <cell r="J4717" t="str">
            <v>New 21/12/2024</v>
          </cell>
          <cell r="K4717" t="str">
            <v>CBD</v>
          </cell>
          <cell r="L4717" t="str">
            <v>MAJU24</v>
          </cell>
          <cell r="M4717" t="str">
            <v>Maju Jaya/Azwar</v>
          </cell>
          <cell r="N4717" t="str">
            <v>Westri Nugraheni</v>
          </cell>
          <cell r="O4717" t="str">
            <v>Dsn Sambirejo RT.001/RW.001, Kel. Sonobekel, Kec. Tanjunganom</v>
          </cell>
          <cell r="P4717" t="str">
            <v>Nganjuk</v>
          </cell>
          <cell r="Q4717" t="str">
            <v>Jl Raya Kwadungan, Sampa, Kel. Simo, Kec. Kwadungan</v>
          </cell>
          <cell r="R4717" t="str">
            <v>Ngawi</v>
          </cell>
          <cell r="S4717" t="str">
            <v>D Barat2</v>
          </cell>
          <cell r="T4717" t="str">
            <v>Dian</v>
          </cell>
          <cell r="U4717">
            <v>60</v>
          </cell>
        </row>
        <row r="4718">
          <cell r="E4718" t="str">
            <v>B25013905</v>
          </cell>
          <cell r="F4718"/>
          <cell r="G4718">
            <v>100000000</v>
          </cell>
          <cell r="H4718" t="str">
            <v>Reni</v>
          </cell>
          <cell r="I4718" t="str">
            <v>Farida</v>
          </cell>
          <cell r="J4718" t="str">
            <v>New 21/12/2024</v>
          </cell>
          <cell r="K4718" t="str">
            <v>CBD</v>
          </cell>
          <cell r="L4718" t="str">
            <v>MAJU24</v>
          </cell>
          <cell r="M4718" t="str">
            <v>Maju Jaya/Azwar</v>
          </cell>
          <cell r="N4718" t="str">
            <v>Westri Nugraheni</v>
          </cell>
          <cell r="O4718" t="str">
            <v>Dsn Sambirejo RT.001/RW.001, Kel. Sonobekel, Kec. Tanjunganom</v>
          </cell>
          <cell r="P4718" t="str">
            <v>Nganjuk</v>
          </cell>
          <cell r="Q4718" t="str">
            <v>Jl Raya Kwadungan, Sampa, Kel. Simo, Kec. Kwadungan</v>
          </cell>
          <cell r="R4718" t="str">
            <v>Ngawi</v>
          </cell>
          <cell r="S4718" t="str">
            <v>D Barat2</v>
          </cell>
          <cell r="T4718" t="str">
            <v>Dian</v>
          </cell>
          <cell r="U4718">
            <v>30</v>
          </cell>
        </row>
        <row r="4719">
          <cell r="E4719" t="str">
            <v>B25013898</v>
          </cell>
          <cell r="F4719"/>
          <cell r="G4719">
            <v>1000</v>
          </cell>
          <cell r="H4719" t="str">
            <v>Yuyun</v>
          </cell>
          <cell r="I4719" t="str">
            <v>Farida</v>
          </cell>
          <cell r="J4719" t="str">
            <v>New 14/01/25</v>
          </cell>
          <cell r="K4719" t="str">
            <v>CBD</v>
          </cell>
          <cell r="L4719" t="str">
            <v>MAJU25</v>
          </cell>
          <cell r="M4719" t="str">
            <v>Maju Jaya/Inggrid</v>
          </cell>
          <cell r="N4719" t="str">
            <v>Inggrid Glenys Clarabelle</v>
          </cell>
          <cell r="O4719" t="str">
            <v>Jalan Letjen Suprapto 18/18, RT.001/RW.003 , Kel. Kebonsari, Kec. Sumbersari</v>
          </cell>
          <cell r="P4719" t="str">
            <v>Jember</v>
          </cell>
          <cell r="Q4719" t="str">
            <v>Rambipuji</v>
          </cell>
          <cell r="R4719" t="str">
            <v xml:space="preserve">Jember </v>
          </cell>
          <cell r="S4719" t="str">
            <v>L Kota3</v>
          </cell>
          <cell r="T4719" t="str">
            <v>Efendi</v>
          </cell>
          <cell r="U4719">
            <v>0</v>
          </cell>
        </row>
        <row r="4720">
          <cell r="E4720" t="str">
            <v>B25013967</v>
          </cell>
          <cell r="F4720"/>
          <cell r="G4720">
            <v>1000</v>
          </cell>
          <cell r="H4720" t="str">
            <v>Yuyun</v>
          </cell>
          <cell r="I4720" t="str">
            <v>Farida</v>
          </cell>
          <cell r="J4720" t="str">
            <v>New 14/01/25</v>
          </cell>
          <cell r="K4720" t="str">
            <v>CBD</v>
          </cell>
          <cell r="L4720" t="str">
            <v>MAJU25</v>
          </cell>
          <cell r="M4720" t="str">
            <v>Maju Jaya/Inggrid</v>
          </cell>
          <cell r="N4720" t="str">
            <v>Inggrid Glenys Clarabelle</v>
          </cell>
          <cell r="O4720" t="str">
            <v>Jalan Letjen Suprapto 18/18, RT.001/RW.003 , Kel. Kebonsari, Kec. Sumbersari</v>
          </cell>
          <cell r="P4720" t="str">
            <v>Jember</v>
          </cell>
          <cell r="Q4720" t="str">
            <v>Rambipuji</v>
          </cell>
          <cell r="R4720" t="str">
            <v xml:space="preserve">Jember </v>
          </cell>
          <cell r="S4720" t="str">
            <v>L Kota3</v>
          </cell>
          <cell r="T4720" t="str">
            <v>Efendi</v>
          </cell>
          <cell r="U4720">
            <v>0</v>
          </cell>
        </row>
        <row r="4721">
          <cell r="E4721" t="str">
            <v>R25000080</v>
          </cell>
          <cell r="F4721"/>
          <cell r="G4721">
            <v>1000</v>
          </cell>
          <cell r="H4721" t="str">
            <v>Yuyun</v>
          </cell>
          <cell r="I4721" t="str">
            <v>Syahra</v>
          </cell>
          <cell r="J4721" t="str">
            <v>New 03/12/20</v>
          </cell>
          <cell r="K4721" t="str">
            <v>KU</v>
          </cell>
          <cell r="L4721" t="str">
            <v>MAJU02</v>
          </cell>
          <cell r="M4721" t="str">
            <v>Maju Makmur Utomo, PT</v>
          </cell>
          <cell r="N4721" t="str">
            <v>Maju Makmur Utomo, PT</v>
          </cell>
          <cell r="O4721" t="str">
            <v>Paradise Raya II Blok F No. C-27 RT.012/RW.012, Kel. Sunter Agung</v>
          </cell>
          <cell r="P4721" t="str">
            <v>Jakarta Utara</v>
          </cell>
          <cell r="Q4721" t="str">
            <v>Paradise Raya II Blok F No. C-27 RT.012/RW.012, Kel. Sunter Agung</v>
          </cell>
          <cell r="R4721" t="str">
            <v>Jakarta Utara</v>
          </cell>
          <cell r="S4721" t="str">
            <v>B Agronomis</v>
          </cell>
          <cell r="T4721" t="str">
            <v>Non SE &amp; JSE</v>
          </cell>
          <cell r="U4721">
            <v>30</v>
          </cell>
        </row>
        <row r="4722">
          <cell r="E4722" t="str">
            <v>R25000080</v>
          </cell>
          <cell r="F4722"/>
          <cell r="G4722">
            <v>1000</v>
          </cell>
          <cell r="H4722" t="str">
            <v>Yuyun</v>
          </cell>
          <cell r="I4722" t="str">
            <v>Syahra</v>
          </cell>
          <cell r="J4722" t="str">
            <v>New 03/12/20</v>
          </cell>
          <cell r="K4722" t="str">
            <v>KU</v>
          </cell>
          <cell r="L4722" t="str">
            <v>MAJU02</v>
          </cell>
          <cell r="M4722" t="str">
            <v>Maju Makmur Utomo, PT</v>
          </cell>
          <cell r="N4722" t="str">
            <v>Maju Makmur Utomo, PT</v>
          </cell>
          <cell r="O4722" t="str">
            <v>Paradise Raya II Blok F No. C-27 RT.012/RW.012, Kel. Sunter Agung</v>
          </cell>
          <cell r="P4722" t="str">
            <v>Jakarta Utara</v>
          </cell>
          <cell r="Q4722" t="str">
            <v>Paradise Raya II Blok F No. C-27 RT.012/RW.012, Kel. Sunter Agung</v>
          </cell>
          <cell r="R4722" t="str">
            <v>Jakarta Utara</v>
          </cell>
          <cell r="S4722" t="str">
            <v>B Agronomis</v>
          </cell>
          <cell r="T4722" t="str">
            <v>Non SE &amp; JSE</v>
          </cell>
          <cell r="U4722">
            <v>30</v>
          </cell>
        </row>
        <row r="4723">
          <cell r="E4723" t="str">
            <v>R25000100</v>
          </cell>
          <cell r="F4723"/>
          <cell r="G4723">
            <v>1000</v>
          </cell>
          <cell r="H4723" t="str">
            <v>Yuyun</v>
          </cell>
          <cell r="I4723" t="str">
            <v>Syahra</v>
          </cell>
          <cell r="J4723" t="str">
            <v>New 03/12/20</v>
          </cell>
          <cell r="K4723" t="str">
            <v>KU</v>
          </cell>
          <cell r="L4723" t="str">
            <v>MAJU02</v>
          </cell>
          <cell r="M4723" t="str">
            <v>Maju Makmur Utomo, PT</v>
          </cell>
          <cell r="N4723" t="str">
            <v>Maju Makmur Utomo, PT</v>
          </cell>
          <cell r="O4723" t="str">
            <v>Paradise Raya II Blok F No. C-27 RT.012/RW.012, Kel. Sunter Agung</v>
          </cell>
          <cell r="P4723" t="str">
            <v>Jakarta Utara</v>
          </cell>
          <cell r="Q4723" t="str">
            <v>Paradise Raya II Blok F No. C-27 RT.012/RW.012, Kel. Sunter Agung</v>
          </cell>
          <cell r="R4723" t="str">
            <v>Jakarta Utara</v>
          </cell>
          <cell r="S4723" t="str">
            <v>B Agronomis</v>
          </cell>
          <cell r="T4723" t="str">
            <v>Non SE &amp; JSE</v>
          </cell>
          <cell r="U4723">
            <v>0</v>
          </cell>
        </row>
        <row r="4724">
          <cell r="E4724" t="str">
            <v>R25000104</v>
          </cell>
          <cell r="F4724"/>
          <cell r="G4724">
            <v>1000</v>
          </cell>
          <cell r="H4724" t="str">
            <v>Yuyun</v>
          </cell>
          <cell r="I4724" t="str">
            <v>Syahra</v>
          </cell>
          <cell r="J4724" t="str">
            <v>New 03/12/20</v>
          </cell>
          <cell r="K4724" t="str">
            <v>KU</v>
          </cell>
          <cell r="L4724" t="str">
            <v>MAJU02</v>
          </cell>
          <cell r="M4724" t="str">
            <v>Maju Makmur Utomo, PT</v>
          </cell>
          <cell r="N4724" t="str">
            <v>Maju Makmur Utomo, PT</v>
          </cell>
          <cell r="O4724" t="str">
            <v>Paradise Raya II Blok F No. C-27 RT.012/RW.012, Kel. Sunter Agung</v>
          </cell>
          <cell r="P4724" t="str">
            <v>Jakarta Utara</v>
          </cell>
          <cell r="Q4724" t="str">
            <v>Paradise Raya II Blok F No. C-27 RT.012/RW.012, Kel. Sunter Agung</v>
          </cell>
          <cell r="R4724" t="str">
            <v>Jakarta Utara</v>
          </cell>
          <cell r="S4724" t="str">
            <v>B Agronomis</v>
          </cell>
          <cell r="T4724" t="str">
            <v>Non SE &amp; JSE</v>
          </cell>
          <cell r="U4724">
            <v>0</v>
          </cell>
        </row>
        <row r="4725">
          <cell r="E4725" t="str">
            <v>R25000115</v>
          </cell>
          <cell r="F4725"/>
          <cell r="G4725">
            <v>1000</v>
          </cell>
          <cell r="H4725" t="str">
            <v>Yuyun</v>
          </cell>
          <cell r="I4725" t="str">
            <v>Syahra</v>
          </cell>
          <cell r="J4725" t="str">
            <v>New 03/12/20</v>
          </cell>
          <cell r="K4725" t="str">
            <v>KU</v>
          </cell>
          <cell r="L4725" t="str">
            <v>MAJU02</v>
          </cell>
          <cell r="M4725" t="str">
            <v>Maju Makmur Utomo, PT</v>
          </cell>
          <cell r="N4725" t="str">
            <v>Maju Makmur Utomo, PT</v>
          </cell>
          <cell r="O4725" t="str">
            <v>Paradise Raya II Blok F No. C-27 RT.012/RW.012, Kel. Sunter Agung</v>
          </cell>
          <cell r="P4725" t="str">
            <v>Jakarta Utara</v>
          </cell>
          <cell r="Q4725" t="str">
            <v>Paradise Raya II Blok F No. C-27 RT.012/RW.012, Kel. Sunter Agung</v>
          </cell>
          <cell r="R4725" t="str">
            <v>Jakarta Utara</v>
          </cell>
          <cell r="S4725" t="str">
            <v>B Agronomis</v>
          </cell>
          <cell r="T4725" t="str">
            <v>Non SE &amp; JSE</v>
          </cell>
          <cell r="U4725">
            <v>0</v>
          </cell>
        </row>
        <row r="4726">
          <cell r="E4726" t="str">
            <v>R25000120</v>
          </cell>
          <cell r="F4726"/>
          <cell r="G4726">
            <v>1000</v>
          </cell>
          <cell r="H4726" t="str">
            <v>Yuyun</v>
          </cell>
          <cell r="I4726" t="str">
            <v>Syahra</v>
          </cell>
          <cell r="J4726" t="str">
            <v>New 03/12/20</v>
          </cell>
          <cell r="K4726" t="str">
            <v>KU</v>
          </cell>
          <cell r="L4726" t="str">
            <v>MAJU02</v>
          </cell>
          <cell r="M4726" t="str">
            <v>Maju Makmur Utomo, PT</v>
          </cell>
          <cell r="N4726" t="str">
            <v>Maju Makmur Utomo, PT</v>
          </cell>
          <cell r="O4726" t="str">
            <v>Paradise Raya II Blok F No. C-27 RT.012/RW.012, Kel. Sunter Agung</v>
          </cell>
          <cell r="P4726" t="str">
            <v>Jakarta Utara</v>
          </cell>
          <cell r="Q4726" t="str">
            <v>Paradise Raya II Blok F No. C-27 RT.012/RW.012, Kel. Sunter Agung</v>
          </cell>
          <cell r="R4726" t="str">
            <v>Jakarta Utara</v>
          </cell>
          <cell r="S4726" t="str">
            <v>B Agronomis</v>
          </cell>
          <cell r="T4726" t="str">
            <v>Non SE &amp; JSE</v>
          </cell>
          <cell r="U4726">
            <v>0</v>
          </cell>
        </row>
        <row r="4727">
          <cell r="E4727" t="str">
            <v>B25014085</v>
          </cell>
          <cell r="F4727"/>
          <cell r="G4727">
            <v>1000</v>
          </cell>
          <cell r="H4727" t="str">
            <v>Ariyani</v>
          </cell>
          <cell r="I4727" t="str">
            <v>Fira</v>
          </cell>
          <cell r="J4727"/>
          <cell r="K4727" t="str">
            <v>KU, Tunai</v>
          </cell>
          <cell r="L4727" t="str">
            <v>MAJU01</v>
          </cell>
          <cell r="M4727" t="str">
            <v>Maju Mandiri/Sunardi</v>
          </cell>
          <cell r="N4727" t="str">
            <v>Sunardi</v>
          </cell>
          <cell r="O4727" t="str">
            <v>Jatirejo Sidodadi</v>
          </cell>
          <cell r="P4727" t="str">
            <v>Jember</v>
          </cell>
          <cell r="Q4727" t="str">
            <v>Jatirejo Sidodadi</v>
          </cell>
          <cell r="R4727" t="str">
            <v>Jember</v>
          </cell>
          <cell r="S4727" t="str">
            <v>L Kota2</v>
          </cell>
          <cell r="T4727" t="str">
            <v>Wira</v>
          </cell>
          <cell r="U4727">
            <v>0</v>
          </cell>
        </row>
        <row r="4728">
          <cell r="E4728" t="str">
            <v>T25001264</v>
          </cell>
          <cell r="F4728"/>
          <cell r="G4728">
            <v>10000000</v>
          </cell>
          <cell r="H4728" t="str">
            <v>Faris</v>
          </cell>
          <cell r="I4728" t="str">
            <v>Syahra</v>
          </cell>
          <cell r="J4728" t="str">
            <v>New 14/10/20</v>
          </cell>
          <cell r="K4728" t="str">
            <v>KU</v>
          </cell>
          <cell r="L4728" t="str">
            <v>MAJU18</v>
          </cell>
          <cell r="M4728" t="str">
            <v>Maju Mapan/Gidion</v>
          </cell>
          <cell r="N4728" t="str">
            <v>Gidion Dwi Krisnanto</v>
          </cell>
          <cell r="O4728" t="str">
            <v>Dusun Ngadirejo, RT.006/RW.001, Kel. Bulurejo, Kec. Purwoharjo</v>
          </cell>
          <cell r="P4728" t="str">
            <v>Banyuwangi</v>
          </cell>
          <cell r="Q4728" t="str">
            <v>Dusun Ngadirejo, RT.006/RW.001, Kel. Bulurejo, Kec. Purwoharjo</v>
          </cell>
          <cell r="R4728" t="str">
            <v>Banyuwangi</v>
          </cell>
          <cell r="S4728" t="str">
            <v>H Bwi3</v>
          </cell>
          <cell r="T4728" t="str">
            <v>Hafid</v>
          </cell>
          <cell r="U4728">
            <v>60</v>
          </cell>
        </row>
        <row r="4729">
          <cell r="E4729" t="str">
            <v>T25001455</v>
          </cell>
          <cell r="F4729"/>
          <cell r="G4729">
            <v>10000000</v>
          </cell>
          <cell r="H4729" t="str">
            <v>Faris</v>
          </cell>
          <cell r="I4729" t="str">
            <v>Syahra</v>
          </cell>
          <cell r="J4729" t="str">
            <v>New 14/10/20</v>
          </cell>
          <cell r="K4729" t="str">
            <v>KU</v>
          </cell>
          <cell r="L4729" t="str">
            <v>MAJU18</v>
          </cell>
          <cell r="M4729" t="str">
            <v>Maju Mapan/Gidion</v>
          </cell>
          <cell r="N4729" t="str">
            <v>Gidion Dwi Krisnanto</v>
          </cell>
          <cell r="O4729" t="str">
            <v>Dusun Ngadirejo, RT.006/RW.001, Kel. Bulurejo, Kec. Purwoharjo</v>
          </cell>
          <cell r="P4729" t="str">
            <v>Banyuwangi</v>
          </cell>
          <cell r="Q4729" t="str">
            <v>Dusun Ngadirejo, RT.006/RW.001, Kel. Bulurejo, Kec. Purwoharjo</v>
          </cell>
          <cell r="R4729" t="str">
            <v>Banyuwangi</v>
          </cell>
          <cell r="S4729" t="str">
            <v>H Bwi3</v>
          </cell>
          <cell r="T4729" t="str">
            <v>Hafid</v>
          </cell>
          <cell r="U4729">
            <v>60</v>
          </cell>
        </row>
        <row r="4730">
          <cell r="E4730" t="str">
            <v>Z25002594</v>
          </cell>
          <cell r="F4730"/>
          <cell r="G4730">
            <v>1000</v>
          </cell>
          <cell r="H4730" t="str">
            <v>Sheila</v>
          </cell>
          <cell r="I4730" t="str">
            <v>Exclusive</v>
          </cell>
          <cell r="J4730" t="str">
            <v>New 16/10/24</v>
          </cell>
          <cell r="K4730" t="str">
            <v>KU</v>
          </cell>
          <cell r="L4730" t="str">
            <v>MAJU22</v>
          </cell>
          <cell r="M4730" t="str">
            <v>Maju Riyan Tani/Resty</v>
          </cell>
          <cell r="N4730" t="str">
            <v>Resty Sila Duwila</v>
          </cell>
          <cell r="O4730" t="str">
            <v>Dusun Manggis RT.004/RW.002, Kel. Waibau, Kec. Sanana, Kab. Kepulauan Sula</v>
          </cell>
          <cell r="P4730" t="str">
            <v>Maluku Utara</v>
          </cell>
          <cell r="Q4730" t="str">
            <v>Dusun Manggis RT.004/RW.002, Kel. Waibau, Kec. Sanana, Kab. Kepulauan Sula</v>
          </cell>
          <cell r="R4730" t="str">
            <v>Maluku Utara</v>
          </cell>
          <cell r="S4730" t="str">
            <v>E Luar Pulau2</v>
          </cell>
          <cell r="T4730" t="str">
            <v>Non SE &amp; JSE</v>
          </cell>
          <cell r="U4730">
            <v>15</v>
          </cell>
        </row>
        <row r="4731">
          <cell r="E4731" t="str">
            <v>Z25002623</v>
          </cell>
          <cell r="F4731"/>
          <cell r="G4731">
            <v>1000</v>
          </cell>
          <cell r="H4731" t="str">
            <v>Sheila</v>
          </cell>
          <cell r="I4731" t="str">
            <v>Exclusive</v>
          </cell>
          <cell r="J4731" t="str">
            <v>New 16/10/24</v>
          </cell>
          <cell r="K4731" t="str">
            <v>KU</v>
          </cell>
          <cell r="L4731" t="str">
            <v>MAJU22</v>
          </cell>
          <cell r="M4731" t="str">
            <v>Maju Riyan Tani/Resty</v>
          </cell>
          <cell r="N4731" t="str">
            <v>Resty Sila Duwila</v>
          </cell>
          <cell r="O4731" t="str">
            <v>Dusun Manggis RT.004/RW.002, Kel. Waibau, Kec. Sanana, Kab. Kepulauan Sula</v>
          </cell>
          <cell r="P4731" t="str">
            <v>Maluku Utara</v>
          </cell>
          <cell r="Q4731" t="str">
            <v>Dusun Manggis RT.004/RW.002, Kel. Waibau, Kec. Sanana, Kab. Kepulauan Sula</v>
          </cell>
          <cell r="R4731" t="str">
            <v>Maluku Utara</v>
          </cell>
          <cell r="S4731" t="str">
            <v>E Luar Pulau2</v>
          </cell>
          <cell r="T4731" t="str">
            <v>Non SE &amp; JSE</v>
          </cell>
          <cell r="U4731">
            <v>15</v>
          </cell>
        </row>
        <row r="4732">
          <cell r="E4732" t="str">
            <v>Z25002648</v>
          </cell>
          <cell r="F4732"/>
          <cell r="G4732">
            <v>1000</v>
          </cell>
          <cell r="H4732" t="str">
            <v>Sheila</v>
          </cell>
          <cell r="I4732" t="str">
            <v>Exclusive</v>
          </cell>
          <cell r="J4732" t="str">
            <v>New 16/10/24</v>
          </cell>
          <cell r="K4732" t="str">
            <v>KU</v>
          </cell>
          <cell r="L4732" t="str">
            <v>MAJU22</v>
          </cell>
          <cell r="M4732" t="str">
            <v>Maju Riyan Tani/Resty</v>
          </cell>
          <cell r="N4732" t="str">
            <v>Resty Sila Duwila</v>
          </cell>
          <cell r="O4732" t="str">
            <v>Dusun Manggis RT.004/RW.002, Kel. Waibau, Kec. Sanana, Kab. Kepulauan Sula</v>
          </cell>
          <cell r="P4732" t="str">
            <v>Maluku Utara</v>
          </cell>
          <cell r="Q4732" t="str">
            <v>Dusun Manggis RT.004/RW.002, Kel. Waibau, Kec. Sanana, Kab. Kepulauan Sula</v>
          </cell>
          <cell r="R4732" t="str">
            <v>Maluku Utara</v>
          </cell>
          <cell r="S4732" t="str">
            <v>E Luar Pulau2</v>
          </cell>
          <cell r="T4732" t="str">
            <v>Non SE &amp; JSE</v>
          </cell>
          <cell r="U4732">
            <v>15</v>
          </cell>
        </row>
        <row r="4733">
          <cell r="E4733" t="str">
            <v>Z25002652</v>
          </cell>
          <cell r="F4733"/>
          <cell r="G4733">
            <v>1000</v>
          </cell>
          <cell r="H4733" t="str">
            <v>Sheila</v>
          </cell>
          <cell r="I4733" t="str">
            <v>Exclusive</v>
          </cell>
          <cell r="J4733" t="str">
            <v>New 16/10/24</v>
          </cell>
          <cell r="K4733" t="str">
            <v>KU</v>
          </cell>
          <cell r="L4733" t="str">
            <v>MAJU22</v>
          </cell>
          <cell r="M4733" t="str">
            <v>Maju Riyan Tani/Resty</v>
          </cell>
          <cell r="N4733" t="str">
            <v>Resty Sila Duwila</v>
          </cell>
          <cell r="O4733" t="str">
            <v>Dusun Manggis RT.004/RW.002, Kel. Waibau, Kec. Sanana, Kab. Kepulauan Sula</v>
          </cell>
          <cell r="P4733" t="str">
            <v>Maluku Utara</v>
          </cell>
          <cell r="Q4733" t="str">
            <v>Dusun Manggis RT.004/RW.002, Kel. Waibau, Kec. Sanana, Kab. Kepulauan Sula</v>
          </cell>
          <cell r="R4733" t="str">
            <v>Maluku Utara</v>
          </cell>
          <cell r="S4733" t="str">
            <v>E Luar Pulau2</v>
          </cell>
          <cell r="T4733" t="str">
            <v>Non SE &amp; JSE</v>
          </cell>
          <cell r="U4733">
            <v>15</v>
          </cell>
        </row>
        <row r="4734">
          <cell r="E4734" t="str">
            <v>Z25002656</v>
          </cell>
          <cell r="F4734"/>
          <cell r="G4734">
            <v>1000</v>
          </cell>
          <cell r="H4734" t="str">
            <v>Sheila</v>
          </cell>
          <cell r="I4734" t="str">
            <v>Exclusive</v>
          </cell>
          <cell r="J4734" t="str">
            <v>New 16/10/24</v>
          </cell>
          <cell r="K4734" t="str">
            <v>KU</v>
          </cell>
          <cell r="L4734" t="str">
            <v>MAJU22</v>
          </cell>
          <cell r="M4734" t="str">
            <v>Maju Riyan Tani/Resty</v>
          </cell>
          <cell r="N4734" t="str">
            <v>Resty Sila Duwila</v>
          </cell>
          <cell r="O4734" t="str">
            <v>Dusun Manggis RT.004/RW.002, Kel. Waibau, Kec. Sanana, Kab. Kepulauan Sula</v>
          </cell>
          <cell r="P4734" t="str">
            <v>Maluku Utara</v>
          </cell>
          <cell r="Q4734" t="str">
            <v>Dusun Manggis RT.004/RW.002, Kel. Waibau, Kec. Sanana, Kab. Kepulauan Sula</v>
          </cell>
          <cell r="R4734" t="str">
            <v>Maluku Utara</v>
          </cell>
          <cell r="S4734" t="str">
            <v>E Luar Pulau2</v>
          </cell>
          <cell r="T4734" t="str">
            <v>Non SE &amp; JSE</v>
          </cell>
          <cell r="U4734">
            <v>15</v>
          </cell>
        </row>
        <row r="4735">
          <cell r="E4735" t="str">
            <v>Z25002727</v>
          </cell>
          <cell r="F4735"/>
          <cell r="G4735">
            <v>1000</v>
          </cell>
          <cell r="H4735" t="str">
            <v>Sheila</v>
          </cell>
          <cell r="I4735" t="str">
            <v>Exclusive</v>
          </cell>
          <cell r="J4735" t="str">
            <v>New 16/10/24</v>
          </cell>
          <cell r="K4735" t="str">
            <v>KU</v>
          </cell>
          <cell r="L4735" t="str">
            <v>MAJU22</v>
          </cell>
          <cell r="M4735" t="str">
            <v>Maju Riyan Tani/Resty</v>
          </cell>
          <cell r="N4735" t="str">
            <v>Resty Sila Duwila</v>
          </cell>
          <cell r="O4735" t="str">
            <v>Dusun Manggis RT.004/RW.002, Kel. Waibau, Kec. Sanana, Kab. Kepulauan Sula</v>
          </cell>
          <cell r="P4735" t="str">
            <v>Maluku Utara</v>
          </cell>
          <cell r="Q4735" t="str">
            <v>Dusun Manggis RT.004/RW.002, Kel. Waibau, Kec. Sanana, Kab. Kepulauan Sula</v>
          </cell>
          <cell r="R4735" t="str">
            <v>Maluku Utara</v>
          </cell>
          <cell r="S4735" t="str">
            <v>E Luar Pulau2</v>
          </cell>
          <cell r="T4735" t="str">
            <v>Non SE &amp; JSE</v>
          </cell>
          <cell r="U4735">
            <v>15</v>
          </cell>
        </row>
        <row r="4736">
          <cell r="E4736" t="str">
            <v>Z25002733</v>
          </cell>
          <cell r="F4736"/>
          <cell r="G4736">
            <v>1000</v>
          </cell>
          <cell r="H4736" t="str">
            <v>Sheila</v>
          </cell>
          <cell r="I4736" t="str">
            <v>Exclusive</v>
          </cell>
          <cell r="J4736" t="str">
            <v>New 16/10/24</v>
          </cell>
          <cell r="K4736" t="str">
            <v>KU</v>
          </cell>
          <cell r="L4736" t="str">
            <v>MAJU22</v>
          </cell>
          <cell r="M4736" t="str">
            <v>Maju Riyan Tani/Resty</v>
          </cell>
          <cell r="N4736" t="str">
            <v>Resty Sila Duwila</v>
          </cell>
          <cell r="O4736" t="str">
            <v>Dusun Manggis RT.004/RW.002, Kel. Waibau, Kec. Sanana, Kab. Kepulauan Sula</v>
          </cell>
          <cell r="P4736" t="str">
            <v>Maluku Utara</v>
          </cell>
          <cell r="Q4736" t="str">
            <v>Dusun Manggis RT.004/RW.002, Kel. Waibau, Kec. Sanana, Kab. Kepulauan Sula</v>
          </cell>
          <cell r="R4736" t="str">
            <v>Maluku Utara</v>
          </cell>
          <cell r="S4736" t="str">
            <v>E Luar Pulau2</v>
          </cell>
          <cell r="T4736" t="str">
            <v>Non SE &amp; JSE</v>
          </cell>
          <cell r="U4736">
            <v>15</v>
          </cell>
        </row>
        <row r="4737">
          <cell r="E4737" t="str">
            <v>Z25002742</v>
          </cell>
          <cell r="F4737"/>
          <cell r="G4737">
            <v>1000</v>
          </cell>
          <cell r="H4737" t="str">
            <v>Sheila</v>
          </cell>
          <cell r="I4737" t="str">
            <v>Exclusive</v>
          </cell>
          <cell r="J4737" t="str">
            <v>New 16/10/24</v>
          </cell>
          <cell r="K4737" t="str">
            <v>KU</v>
          </cell>
          <cell r="L4737" t="str">
            <v>MAJU22</v>
          </cell>
          <cell r="M4737" t="str">
            <v>Maju Riyan Tani/Resty</v>
          </cell>
          <cell r="N4737" t="str">
            <v>Resty Sila Duwila</v>
          </cell>
          <cell r="O4737" t="str">
            <v>Dusun Manggis RT.004/RW.002, Kel. Waibau, Kec. Sanana, Kab. Kepulauan Sula</v>
          </cell>
          <cell r="P4737" t="str">
            <v>Maluku Utara</v>
          </cell>
          <cell r="Q4737" t="str">
            <v>Dusun Manggis RT.004/RW.002, Kel. Waibau, Kec. Sanana, Kab. Kepulauan Sula</v>
          </cell>
          <cell r="R4737" t="str">
            <v>Maluku Utara</v>
          </cell>
          <cell r="S4737" t="str">
            <v>E Luar Pulau2</v>
          </cell>
          <cell r="T4737" t="str">
            <v>Non SE &amp; JSE</v>
          </cell>
          <cell r="U4737">
            <v>15</v>
          </cell>
        </row>
        <row r="4738">
          <cell r="E4738" t="str">
            <v>Z25002823</v>
          </cell>
          <cell r="F4738"/>
          <cell r="G4738">
            <v>1000</v>
          </cell>
          <cell r="H4738" t="str">
            <v>Sheila</v>
          </cell>
          <cell r="I4738" t="str">
            <v>Exclusive</v>
          </cell>
          <cell r="J4738" t="str">
            <v>New 16/10/24</v>
          </cell>
          <cell r="K4738" t="str">
            <v>KU</v>
          </cell>
          <cell r="L4738" t="str">
            <v>MAJU22</v>
          </cell>
          <cell r="M4738" t="str">
            <v>Maju Riyan Tani/Resty</v>
          </cell>
          <cell r="N4738" t="str">
            <v>Resty Sila Duwila</v>
          </cell>
          <cell r="O4738" t="str">
            <v>Dusun Manggis RT.004/RW.002, Kel. Waibau, Kec. Sanana, Kab. Kepulauan Sula</v>
          </cell>
          <cell r="P4738" t="str">
            <v>Maluku Utara</v>
          </cell>
          <cell r="Q4738" t="str">
            <v>Dusun Manggis RT.004/RW.002, Kel. Waibau, Kec. Sanana, Kab. Kepulauan Sula</v>
          </cell>
          <cell r="R4738" t="str">
            <v>Maluku Utara</v>
          </cell>
          <cell r="S4738" t="str">
            <v>E Luar Pulau2</v>
          </cell>
          <cell r="T4738" t="str">
            <v>Non SE &amp; JSE</v>
          </cell>
          <cell r="U4738">
            <v>15</v>
          </cell>
        </row>
        <row r="4739">
          <cell r="E4739" t="str">
            <v>D25016006</v>
          </cell>
          <cell r="F4739"/>
          <cell r="G4739">
            <v>600000000</v>
          </cell>
          <cell r="H4739" t="str">
            <v>Hendra</v>
          </cell>
          <cell r="I4739" t="str">
            <v>Tiya</v>
          </cell>
          <cell r="J4739" t="str">
            <v>New 13/11/19</v>
          </cell>
          <cell r="K4739" t="str">
            <v>KU</v>
          </cell>
          <cell r="L4739" t="str">
            <v>MAJU16</v>
          </cell>
          <cell r="M4739" t="str">
            <v>Maju Tani Makmur Sejahtera, CV</v>
          </cell>
          <cell r="N4739" t="str">
            <v>Maju Tani Makmur Sejahtera, CV</v>
          </cell>
          <cell r="O4739" t="str">
            <v>Jl. A. Bakarudin No.87, RT.012/RW.000 Mayang Mangurai, Alam Barajo</v>
          </cell>
          <cell r="P4739" t="str">
            <v>Jambi</v>
          </cell>
          <cell r="Q4739" t="str">
            <v>Jl. A. Bakarudin No.87, RT.012/RW.000 Mayang Mangurai, Alam Barajo</v>
          </cell>
          <cell r="R4739" t="str">
            <v>Jambi</v>
          </cell>
          <cell r="S4739" t="str">
            <v>E Luar Pulau2</v>
          </cell>
          <cell r="T4739" t="str">
            <v>Non SE &amp; JSE</v>
          </cell>
          <cell r="U4739">
            <v>45</v>
          </cell>
        </row>
        <row r="4740">
          <cell r="E4740" t="str">
            <v>D25016010</v>
          </cell>
          <cell r="F4740"/>
          <cell r="G4740">
            <v>600000000</v>
          </cell>
          <cell r="H4740" t="str">
            <v>Hendra</v>
          </cell>
          <cell r="I4740" t="str">
            <v>Tiya</v>
          </cell>
          <cell r="J4740" t="str">
            <v>New 13/11/19</v>
          </cell>
          <cell r="K4740" t="str">
            <v>KU</v>
          </cell>
          <cell r="L4740" t="str">
            <v>MAJU16</v>
          </cell>
          <cell r="M4740" t="str">
            <v>Maju Tani Makmur Sejahtera, CV</v>
          </cell>
          <cell r="N4740" t="str">
            <v>Maju Tani Makmur Sejahtera, CV</v>
          </cell>
          <cell r="O4740" t="str">
            <v>Jl. A. Bakarudin No.87, RT.012/RW.000 Mayang Mangurai, Alam Barajo</v>
          </cell>
          <cell r="P4740" t="str">
            <v>Jambi</v>
          </cell>
          <cell r="Q4740" t="str">
            <v>Jl. A. Bakarudin No.87, RT.012/RW.000 Mayang Mangurai, Alam Barajo</v>
          </cell>
          <cell r="R4740" t="str">
            <v>Jambi</v>
          </cell>
          <cell r="S4740" t="str">
            <v>E Luar Pulau2</v>
          </cell>
          <cell r="T4740" t="str">
            <v>Non SE &amp; JSE</v>
          </cell>
          <cell r="U4740">
            <v>45</v>
          </cell>
        </row>
        <row r="4741">
          <cell r="E4741" t="str">
            <v>D25012104</v>
          </cell>
          <cell r="F4741"/>
          <cell r="G4741">
            <v>50000000</v>
          </cell>
          <cell r="H4741" t="str">
            <v>Yuyun</v>
          </cell>
          <cell r="I4741" t="str">
            <v>Farida</v>
          </cell>
          <cell r="J4741"/>
          <cell r="K4741" t="str">
            <v>KU, Tunai</v>
          </cell>
          <cell r="L4741" t="str">
            <v>MAJU09</v>
          </cell>
          <cell r="M4741" t="str">
            <v>Maju Tani/Dedi Kurniawan</v>
          </cell>
          <cell r="N4741" t="str">
            <v>Dedi Kurniawan</v>
          </cell>
          <cell r="O4741" t="str">
            <v>Dsn. Jungrang 2, RT.026/RW.007, kel. Patempuran, Kec. Kalisat</v>
          </cell>
          <cell r="P4741" t="str">
            <v>Jember</v>
          </cell>
          <cell r="Q4741" t="str">
            <v>Dsn. Karangsari, RT.002/RW.004 Ds. Gumuksari, Kec. Kalisat, Kab. Jember</v>
          </cell>
          <cell r="R4741" t="str">
            <v>Jember</v>
          </cell>
          <cell r="S4741" t="str">
            <v>N Bdw Stb</v>
          </cell>
          <cell r="T4741" t="str">
            <v>Wira</v>
          </cell>
          <cell r="U4741">
            <v>60</v>
          </cell>
        </row>
        <row r="4742">
          <cell r="E4742" t="str">
            <v>B25010455</v>
          </cell>
          <cell r="F4742"/>
          <cell r="G4742">
            <v>50000000</v>
          </cell>
          <cell r="H4742" t="str">
            <v>Yuyun</v>
          </cell>
          <cell r="I4742" t="str">
            <v>Farida</v>
          </cell>
          <cell r="J4742"/>
          <cell r="K4742" t="str">
            <v>KU, Tunai</v>
          </cell>
          <cell r="L4742" t="str">
            <v>MAJU09</v>
          </cell>
          <cell r="M4742" t="str">
            <v>Maju Tani/Dedi Kurniawan</v>
          </cell>
          <cell r="N4742" t="str">
            <v>Dedi Kurniawan</v>
          </cell>
          <cell r="O4742" t="str">
            <v>Dsn. Jungrang 2, RT.026/RW.007, kel. Patempuran, Kec. Kalisat</v>
          </cell>
          <cell r="P4742" t="str">
            <v>Jember</v>
          </cell>
          <cell r="Q4742" t="str">
            <v>Dsn. Karangsari, RT.002/RW.004 Ds. Gumuksari, Kec. Kalisat, Kab. Jember</v>
          </cell>
          <cell r="R4742" t="str">
            <v>Jember</v>
          </cell>
          <cell r="S4742" t="str">
            <v>N Bdw Stb</v>
          </cell>
          <cell r="T4742" t="str">
            <v>Wira</v>
          </cell>
          <cell r="U4742">
            <v>30</v>
          </cell>
        </row>
        <row r="4743">
          <cell r="E4743" t="str">
            <v>D25012759</v>
          </cell>
          <cell r="F4743"/>
          <cell r="G4743">
            <v>50000000</v>
          </cell>
          <cell r="H4743" t="str">
            <v>Yuyun</v>
          </cell>
          <cell r="I4743" t="str">
            <v>Farida</v>
          </cell>
          <cell r="J4743"/>
          <cell r="K4743" t="str">
            <v>KU, Tunai</v>
          </cell>
          <cell r="L4743" t="str">
            <v>MAJU09</v>
          </cell>
          <cell r="M4743" t="str">
            <v>Maju Tani/Dedi Kurniawan</v>
          </cell>
          <cell r="N4743" t="str">
            <v>Dedi Kurniawan</v>
          </cell>
          <cell r="O4743" t="str">
            <v>Dsn. Jungrang 2, RT.026/RW.007, kel. Patempuran, Kec. Kalisat</v>
          </cell>
          <cell r="P4743" t="str">
            <v>Jember</v>
          </cell>
          <cell r="Q4743" t="str">
            <v>Dsn. Karangsari, RT.002/RW.004 Ds. Gumuksari, Kec. Kalisat, Kab. Jember</v>
          </cell>
          <cell r="R4743" t="str">
            <v>Jember</v>
          </cell>
          <cell r="S4743" t="str">
            <v>N Bdw Stb</v>
          </cell>
          <cell r="T4743" t="str">
            <v>Wira</v>
          </cell>
          <cell r="U4743">
            <v>30</v>
          </cell>
        </row>
        <row r="4744">
          <cell r="E4744" t="str">
            <v>D25013665</v>
          </cell>
          <cell r="F4744"/>
          <cell r="G4744">
            <v>50000000</v>
          </cell>
          <cell r="H4744" t="str">
            <v>Yuyun</v>
          </cell>
          <cell r="I4744" t="str">
            <v>Farida</v>
          </cell>
          <cell r="J4744"/>
          <cell r="K4744" t="str">
            <v>KU, Tunai</v>
          </cell>
          <cell r="L4744" t="str">
            <v>MAJU09</v>
          </cell>
          <cell r="M4744" t="str">
            <v>Maju Tani/Dedi Kurniawan</v>
          </cell>
          <cell r="N4744" t="str">
            <v>Dedi Kurniawan</v>
          </cell>
          <cell r="O4744" t="str">
            <v>Dsn. Jungrang 2, RT.026/RW.007, kel. Patempuran, Kec. Kalisat</v>
          </cell>
          <cell r="P4744" t="str">
            <v>Jember</v>
          </cell>
          <cell r="Q4744" t="str">
            <v>Dsn. Karangsari, RT.002/RW.004 Ds. Gumuksari, Kec. Kalisat, Kab. Jember</v>
          </cell>
          <cell r="R4744" t="str">
            <v>Jember</v>
          </cell>
          <cell r="S4744" t="str">
            <v>N Bdw Stb</v>
          </cell>
          <cell r="T4744" t="str">
            <v>Wira</v>
          </cell>
          <cell r="U4744">
            <v>30</v>
          </cell>
        </row>
        <row r="4745">
          <cell r="E4745" t="str">
            <v>T25001375</v>
          </cell>
          <cell r="F4745"/>
          <cell r="G4745">
            <v>50000000</v>
          </cell>
          <cell r="H4745" t="str">
            <v>Yuyun</v>
          </cell>
          <cell r="I4745" t="str">
            <v>Farida</v>
          </cell>
          <cell r="J4745"/>
          <cell r="K4745" t="str">
            <v>KU, Tunai</v>
          </cell>
          <cell r="L4745" t="str">
            <v>MAJU09</v>
          </cell>
          <cell r="M4745" t="str">
            <v>Maju Tani/Dedi Kurniawan</v>
          </cell>
          <cell r="N4745" t="str">
            <v>Dedi Kurniawan</v>
          </cell>
          <cell r="O4745" t="str">
            <v>Dsn. Jungrang 2, RT.026/RW.007, kel. Patempuran, Kec. Kalisat</v>
          </cell>
          <cell r="P4745" t="str">
            <v>Jember</v>
          </cell>
          <cell r="Q4745" t="str">
            <v>Dsn. Karangsari, RT.002/RW.004 Ds. Gumuksari, Kec. Kalisat, Kab. Jember</v>
          </cell>
          <cell r="R4745" t="str">
            <v>Jember</v>
          </cell>
          <cell r="S4745" t="str">
            <v>N Bdw Stb</v>
          </cell>
          <cell r="T4745" t="str">
            <v>Wira</v>
          </cell>
          <cell r="U4745">
            <v>30</v>
          </cell>
        </row>
        <row r="4746">
          <cell r="E4746" t="str">
            <v>B25011769</v>
          </cell>
          <cell r="F4746"/>
          <cell r="G4746">
            <v>50000000</v>
          </cell>
          <cell r="H4746" t="str">
            <v>Yuyun</v>
          </cell>
          <cell r="I4746" t="str">
            <v>Farida</v>
          </cell>
          <cell r="J4746"/>
          <cell r="K4746" t="str">
            <v>KU, Tunai</v>
          </cell>
          <cell r="L4746" t="str">
            <v>MAJU09</v>
          </cell>
          <cell r="M4746" t="str">
            <v>Maju Tani/Dedi Kurniawan</v>
          </cell>
          <cell r="N4746" t="str">
            <v>Dedi Kurniawan</v>
          </cell>
          <cell r="O4746" t="str">
            <v>Dsn. Jungrang 2, RT.026/RW.007, kel. Patempuran, Kec. Kalisat</v>
          </cell>
          <cell r="P4746" t="str">
            <v>Jember</v>
          </cell>
          <cell r="Q4746" t="str">
            <v>Dsn. Karangsari, RT.002/RW.004 Ds. Gumuksari, Kec. Kalisat, Kab. Jember</v>
          </cell>
          <cell r="R4746" t="str">
            <v>Jember</v>
          </cell>
          <cell r="S4746" t="str">
            <v>N Bdw Stb</v>
          </cell>
          <cell r="T4746" t="str">
            <v>Wira</v>
          </cell>
          <cell r="U4746">
            <v>30</v>
          </cell>
        </row>
        <row r="4747">
          <cell r="E4747" t="str">
            <v>B25013114</v>
          </cell>
          <cell r="F4747"/>
          <cell r="G4747">
            <v>50000000</v>
          </cell>
          <cell r="H4747" t="str">
            <v>Yuyun</v>
          </cell>
          <cell r="I4747" t="str">
            <v>Farida</v>
          </cell>
          <cell r="J4747"/>
          <cell r="K4747" t="str">
            <v>KU, Tunai</v>
          </cell>
          <cell r="L4747" t="str">
            <v>MAJU09</v>
          </cell>
          <cell r="M4747" t="str">
            <v>Maju Tani/Dedi Kurniawan</v>
          </cell>
          <cell r="N4747" t="str">
            <v>Dedi Kurniawan</v>
          </cell>
          <cell r="O4747" t="str">
            <v>Dsn. Jungrang 2, RT.026/RW.007, kel. Patempuran, Kec. Kalisat</v>
          </cell>
          <cell r="P4747" t="str">
            <v>Jember</v>
          </cell>
          <cell r="Q4747" t="str">
            <v>Dsn. Karangsari, RT.002/RW.004 Ds. Gumuksari, Kec. Kalisat, Kab. Jember</v>
          </cell>
          <cell r="R4747" t="str">
            <v>Jember</v>
          </cell>
          <cell r="S4747" t="str">
            <v>N Bdw Stb</v>
          </cell>
          <cell r="T4747" t="str">
            <v>Wira</v>
          </cell>
          <cell r="U4747">
            <v>30</v>
          </cell>
        </row>
        <row r="4748">
          <cell r="E4748" t="str">
            <v>D25015537</v>
          </cell>
          <cell r="F4748"/>
          <cell r="G4748">
            <v>50000000</v>
          </cell>
          <cell r="H4748" t="str">
            <v>Yuyun</v>
          </cell>
          <cell r="I4748" t="str">
            <v>Farida</v>
          </cell>
          <cell r="J4748"/>
          <cell r="K4748" t="str">
            <v>KU, Tunai</v>
          </cell>
          <cell r="L4748" t="str">
            <v>MAJU09</v>
          </cell>
          <cell r="M4748" t="str">
            <v>Maju Tani/Dedi Kurniawan</v>
          </cell>
          <cell r="N4748" t="str">
            <v>Dedi Kurniawan</v>
          </cell>
          <cell r="O4748" t="str">
            <v>Dsn. Jungrang 2, RT.026/RW.007, kel. Patempuran, Kec. Kalisat</v>
          </cell>
          <cell r="P4748" t="str">
            <v>Jember</v>
          </cell>
          <cell r="Q4748" t="str">
            <v>Dsn. Karangsari, RT.002/RW.004 Ds. Gumuksari, Kec. Kalisat, Kab. Jember</v>
          </cell>
          <cell r="R4748" t="str">
            <v>Jember</v>
          </cell>
          <cell r="S4748" t="str">
            <v>N Bdw Stb</v>
          </cell>
          <cell r="T4748" t="str">
            <v>Wira</v>
          </cell>
          <cell r="U4748">
            <v>0</v>
          </cell>
        </row>
        <row r="4749">
          <cell r="E4749" t="str">
            <v>B25013459</v>
          </cell>
          <cell r="F4749"/>
          <cell r="G4749">
            <v>50000000</v>
          </cell>
          <cell r="H4749" t="str">
            <v>Yuyun</v>
          </cell>
          <cell r="I4749" t="str">
            <v>Farida</v>
          </cell>
          <cell r="J4749"/>
          <cell r="K4749" t="str">
            <v>KU, Tunai</v>
          </cell>
          <cell r="L4749" t="str">
            <v>MAJU09</v>
          </cell>
          <cell r="M4749" t="str">
            <v>Maju Tani/Dedi Kurniawan</v>
          </cell>
          <cell r="N4749" t="str">
            <v>Dedi Kurniawan</v>
          </cell>
          <cell r="O4749" t="str">
            <v>Dsn. Jungrang 2, RT.026/RW.007, kel. Patempuran, Kec. Kalisat</v>
          </cell>
          <cell r="P4749" t="str">
            <v>Jember</v>
          </cell>
          <cell r="Q4749" t="str">
            <v>Dsn. Karangsari, RT.002/RW.004 Ds. Gumuksari, Kec. Kalisat, Kab. Jember</v>
          </cell>
          <cell r="R4749" t="str">
            <v>Jember</v>
          </cell>
          <cell r="S4749" t="str">
            <v>N Bdw Stb</v>
          </cell>
          <cell r="T4749" t="str">
            <v>Wira</v>
          </cell>
          <cell r="U4749">
            <v>30</v>
          </cell>
        </row>
        <row r="4750">
          <cell r="E4750" t="str">
            <v>D25013914</v>
          </cell>
          <cell r="F4750"/>
          <cell r="G4750">
            <v>500000000</v>
          </cell>
          <cell r="H4750" t="str">
            <v>Zakia</v>
          </cell>
          <cell r="I4750" t="str">
            <v>Tiya</v>
          </cell>
          <cell r="J4750"/>
          <cell r="K4750" t="str">
            <v>KU</v>
          </cell>
          <cell r="L4750" t="str">
            <v>MAJU07</v>
          </cell>
          <cell r="M4750" t="str">
            <v>Maju, UD/Agus</v>
          </cell>
          <cell r="N4750" t="str">
            <v>Agus Priyanto</v>
          </cell>
          <cell r="O4750" t="str">
            <v>Dsn. Bolowono, RT.003/RW.006, Kel. Wonokerto, Kec. Plemahan Kab. Kediri</v>
          </cell>
          <cell r="P4750" t="str">
            <v>Kediri</v>
          </cell>
          <cell r="Q4750" t="str">
            <v>Dsn. Bolowono, RT.003/RW.006, Kel. Wonokerto, Kec. Plemahan Kab. Kediri</v>
          </cell>
          <cell r="R4750" t="str">
            <v>Kediri</v>
          </cell>
          <cell r="S4750" t="str">
            <v>D Barat2</v>
          </cell>
          <cell r="T4750" t="str">
            <v>Tomi</v>
          </cell>
          <cell r="U4750">
            <v>30</v>
          </cell>
        </row>
        <row r="4751">
          <cell r="E4751" t="str">
            <v>D25014843</v>
          </cell>
          <cell r="F4751"/>
          <cell r="G4751">
            <v>500000000</v>
          </cell>
          <cell r="H4751" t="str">
            <v>Zakia</v>
          </cell>
          <cell r="I4751" t="str">
            <v>Tiya</v>
          </cell>
          <cell r="J4751"/>
          <cell r="K4751" t="str">
            <v>KU</v>
          </cell>
          <cell r="L4751" t="str">
            <v>MAJU07</v>
          </cell>
          <cell r="M4751" t="str">
            <v>Maju, UD/Agus</v>
          </cell>
          <cell r="N4751" t="str">
            <v>Agus Priyanto</v>
          </cell>
          <cell r="O4751" t="str">
            <v>Dsn. Bolowono, RT.003/RW.006, Kel. Wonokerto, Kec. Plemahan Kab. Kediri</v>
          </cell>
          <cell r="P4751" t="str">
            <v>Kediri</v>
          </cell>
          <cell r="Q4751" t="str">
            <v>Dsn. Bolowono, RT.003/RW.006, Kel. Wonokerto, Kec. Plemahan Kab. Kediri</v>
          </cell>
          <cell r="R4751" t="str">
            <v>Kediri</v>
          </cell>
          <cell r="S4751" t="str">
            <v>D Barat2</v>
          </cell>
          <cell r="T4751" t="str">
            <v>Tomi</v>
          </cell>
          <cell r="U4751">
            <v>30</v>
          </cell>
        </row>
        <row r="4752">
          <cell r="E4752" t="str">
            <v>T25001334</v>
          </cell>
          <cell r="F4752"/>
          <cell r="G4752">
            <v>30000000</v>
          </cell>
          <cell r="H4752" t="str">
            <v>Reni</v>
          </cell>
          <cell r="I4752" t="str">
            <v>Farida</v>
          </cell>
          <cell r="J4752"/>
          <cell r="K4752" t="str">
            <v>Tunai</v>
          </cell>
          <cell r="L4752" t="str">
            <v>MAKM08</v>
          </cell>
          <cell r="M4752" t="str">
            <v>Makmur Abadi</v>
          </cell>
          <cell r="N4752" t="str">
            <v>Musyairiyah</v>
          </cell>
          <cell r="O4752" t="str">
            <v>Jl. Ki Ageng Punuk, RT.002/RW.001, Kel. Menang, Kec. Jambon</v>
          </cell>
          <cell r="P4752" t="str">
            <v>Ponorogo</v>
          </cell>
          <cell r="Q4752" t="str">
            <v>Menang, Jambon</v>
          </cell>
          <cell r="R4752" t="str">
            <v>Ponorogo</v>
          </cell>
          <cell r="S4752" t="str">
            <v>D Barat2</v>
          </cell>
          <cell r="T4752" t="str">
            <v>Dian</v>
          </cell>
          <cell r="U4752">
            <v>60</v>
          </cell>
        </row>
        <row r="4753">
          <cell r="E4753" t="str">
            <v>T25001611</v>
          </cell>
          <cell r="F4753"/>
          <cell r="G4753">
            <v>30000000</v>
          </cell>
          <cell r="H4753" t="str">
            <v>Reni</v>
          </cell>
          <cell r="I4753" t="str">
            <v>Farida</v>
          </cell>
          <cell r="J4753"/>
          <cell r="K4753" t="str">
            <v>Tunai</v>
          </cell>
          <cell r="L4753" t="str">
            <v>MAKM08</v>
          </cell>
          <cell r="M4753" t="str">
            <v>Makmur Abadi</v>
          </cell>
          <cell r="N4753" t="str">
            <v>Musyairiyah</v>
          </cell>
          <cell r="O4753" t="str">
            <v>Jl. Ki Ageng Punuk, RT.002/RW.001, Kel. Menang, Kec. Jambon</v>
          </cell>
          <cell r="P4753" t="str">
            <v>Ponorogo</v>
          </cell>
          <cell r="Q4753" t="str">
            <v>Menang, Jambon</v>
          </cell>
          <cell r="R4753" t="str">
            <v>Ponorogo</v>
          </cell>
          <cell r="S4753" t="str">
            <v>D Barat2</v>
          </cell>
          <cell r="T4753" t="str">
            <v>Dian</v>
          </cell>
          <cell r="U4753">
            <v>60</v>
          </cell>
        </row>
        <row r="4754">
          <cell r="E4754" t="str">
            <v>D25011787</v>
          </cell>
          <cell r="F4754"/>
          <cell r="G4754">
            <v>100000000</v>
          </cell>
          <cell r="H4754" t="str">
            <v>Zakia</v>
          </cell>
          <cell r="I4754" t="str">
            <v>Tiya</v>
          </cell>
          <cell r="J4754" t="str">
            <v>New 04/08/21</v>
          </cell>
          <cell r="K4754" t="str">
            <v>KU, Tunai</v>
          </cell>
          <cell r="L4754" t="str">
            <v>MAKM16</v>
          </cell>
          <cell r="M4754" t="str">
            <v>Makmur Tani/ Ni Made Muliati</v>
          </cell>
          <cell r="N4754" t="str">
            <v>Ni Made Muliati</v>
          </cell>
          <cell r="O4754" t="str">
            <v>Banjar Munduk Anggrek , Kel. Yehembang Kauh, Kec. Mendoyo</v>
          </cell>
          <cell r="P4754" t="str">
            <v>Jembrana -Bali</v>
          </cell>
          <cell r="Q4754" t="str">
            <v>Banjar Munduk Anggrek , Kel. Yehembang Kauh, Kec. Mendoyo</v>
          </cell>
          <cell r="R4754" t="str">
            <v>Jembrana -Bali</v>
          </cell>
          <cell r="S4754" t="str">
            <v>S Bali3</v>
          </cell>
          <cell r="T4754" t="str">
            <v>Wira</v>
          </cell>
          <cell r="U4754">
            <v>30</v>
          </cell>
        </row>
        <row r="4755">
          <cell r="E4755" t="str">
            <v>D25012781</v>
          </cell>
          <cell r="F4755"/>
          <cell r="G4755">
            <v>100000000</v>
          </cell>
          <cell r="H4755" t="str">
            <v>Zakia</v>
          </cell>
          <cell r="I4755" t="str">
            <v>Tiya</v>
          </cell>
          <cell r="J4755" t="str">
            <v>New 04/08/21</v>
          </cell>
          <cell r="K4755" t="str">
            <v>KU, Tunai</v>
          </cell>
          <cell r="L4755" t="str">
            <v>MAKM16</v>
          </cell>
          <cell r="M4755" t="str">
            <v>Makmur Tani/ Ni Made Muliati</v>
          </cell>
          <cell r="N4755" t="str">
            <v>Ni Made Muliati</v>
          </cell>
          <cell r="O4755" t="str">
            <v>Banjar Munduk Anggrek , Kel. Yehembang Kauh, Kec. Mendoyo</v>
          </cell>
          <cell r="P4755" t="str">
            <v>Jembrana -Bali</v>
          </cell>
          <cell r="Q4755" t="str">
            <v>Banjar Munduk Anggrek , Kel. Yehembang Kauh, Kec. Mendoyo</v>
          </cell>
          <cell r="R4755" t="str">
            <v>Jembrana -Bali</v>
          </cell>
          <cell r="S4755" t="str">
            <v>S Bali3</v>
          </cell>
          <cell r="T4755" t="str">
            <v>Wira</v>
          </cell>
          <cell r="U4755">
            <v>30</v>
          </cell>
        </row>
        <row r="4756">
          <cell r="E4756" t="str">
            <v>D25012863</v>
          </cell>
          <cell r="F4756"/>
          <cell r="G4756">
            <v>100000000</v>
          </cell>
          <cell r="H4756" t="str">
            <v>Zakia</v>
          </cell>
          <cell r="I4756" t="str">
            <v>Tiya</v>
          </cell>
          <cell r="J4756" t="str">
            <v>New 04/08/21</v>
          </cell>
          <cell r="K4756" t="str">
            <v>KU, Tunai</v>
          </cell>
          <cell r="L4756" t="str">
            <v>MAKM16</v>
          </cell>
          <cell r="M4756" t="str">
            <v>Makmur Tani/ Ni Made Muliati</v>
          </cell>
          <cell r="N4756" t="str">
            <v>Ni Made Muliati</v>
          </cell>
          <cell r="O4756" t="str">
            <v>Banjar Munduk Anggrek , Kel. Yehembang Kauh, Kec. Mendoyo</v>
          </cell>
          <cell r="P4756" t="str">
            <v>Jembrana -Bali</v>
          </cell>
          <cell r="Q4756" t="str">
            <v>Banjar Munduk Anggrek , Kel. Yehembang Kauh, Kec. Mendoyo</v>
          </cell>
          <cell r="R4756" t="str">
            <v>Jembrana -Bali</v>
          </cell>
          <cell r="S4756" t="str">
            <v>S Bali3</v>
          </cell>
          <cell r="T4756" t="str">
            <v>Wira</v>
          </cell>
          <cell r="U4756">
            <v>30</v>
          </cell>
        </row>
        <row r="4757">
          <cell r="E4757" t="str">
            <v>D25012923</v>
          </cell>
          <cell r="F4757"/>
          <cell r="G4757">
            <v>100000000</v>
          </cell>
          <cell r="H4757" t="str">
            <v>Zakia</v>
          </cell>
          <cell r="I4757" t="str">
            <v>Tiya</v>
          </cell>
          <cell r="J4757" t="str">
            <v>New 04/08/21</v>
          </cell>
          <cell r="K4757" t="str">
            <v>KU, Tunai</v>
          </cell>
          <cell r="L4757" t="str">
            <v>MAKM16</v>
          </cell>
          <cell r="M4757" t="str">
            <v>Makmur Tani/ Ni Made Muliati</v>
          </cell>
          <cell r="N4757" t="str">
            <v>Ni Made Muliati</v>
          </cell>
          <cell r="O4757" t="str">
            <v>Banjar Munduk Anggrek , Kel. Yehembang Kauh, Kec. Mendoyo</v>
          </cell>
          <cell r="P4757" t="str">
            <v>Jembrana -Bali</v>
          </cell>
          <cell r="Q4757" t="str">
            <v>Banjar Munduk Anggrek , Kel. Yehembang Kauh, Kec. Mendoyo</v>
          </cell>
          <cell r="R4757" t="str">
            <v>Jembrana -Bali</v>
          </cell>
          <cell r="S4757" t="str">
            <v>S Bali3</v>
          </cell>
          <cell r="T4757" t="str">
            <v>Wira</v>
          </cell>
          <cell r="U4757">
            <v>30</v>
          </cell>
        </row>
        <row r="4758">
          <cell r="E4758" t="str">
            <v>D25013318</v>
          </cell>
          <cell r="F4758"/>
          <cell r="G4758">
            <v>100000000</v>
          </cell>
          <cell r="H4758" t="str">
            <v>Zakia</v>
          </cell>
          <cell r="I4758" t="str">
            <v>Tiya</v>
          </cell>
          <cell r="J4758" t="str">
            <v>New 04/08/21</v>
          </cell>
          <cell r="K4758" t="str">
            <v>KU, Tunai</v>
          </cell>
          <cell r="L4758" t="str">
            <v>MAKM16</v>
          </cell>
          <cell r="M4758" t="str">
            <v>Makmur Tani/ Ni Made Muliati</v>
          </cell>
          <cell r="N4758" t="str">
            <v>Ni Made Muliati</v>
          </cell>
          <cell r="O4758" t="str">
            <v>Banjar Munduk Anggrek , Kel. Yehembang Kauh, Kec. Mendoyo</v>
          </cell>
          <cell r="P4758" t="str">
            <v>Jembrana -Bali</v>
          </cell>
          <cell r="Q4758" t="str">
            <v>Banjar Munduk Anggrek , Kel. Yehembang Kauh, Kec. Mendoyo</v>
          </cell>
          <cell r="R4758" t="str">
            <v>Jembrana -Bali</v>
          </cell>
          <cell r="S4758" t="str">
            <v>S Bali3</v>
          </cell>
          <cell r="T4758" t="str">
            <v>Wira</v>
          </cell>
          <cell r="U4758">
            <v>30</v>
          </cell>
        </row>
        <row r="4759">
          <cell r="E4759" t="str">
            <v>B25012129</v>
          </cell>
          <cell r="F4759"/>
          <cell r="G4759">
            <v>100000000</v>
          </cell>
          <cell r="H4759" t="str">
            <v>Zakia</v>
          </cell>
          <cell r="I4759" t="str">
            <v>Tiya</v>
          </cell>
          <cell r="J4759" t="str">
            <v>New 04/08/21</v>
          </cell>
          <cell r="K4759" t="str">
            <v>KU, Tunai</v>
          </cell>
          <cell r="L4759" t="str">
            <v>MAKM16</v>
          </cell>
          <cell r="M4759" t="str">
            <v>Makmur Tani/ Ni Made Muliati</v>
          </cell>
          <cell r="N4759" t="str">
            <v>Ni Made Muliati</v>
          </cell>
          <cell r="O4759" t="str">
            <v>Banjar Munduk Anggrek , Kel. Yehembang Kauh, Kec. Mendoyo</v>
          </cell>
          <cell r="P4759" t="str">
            <v>Jembrana -Bali</v>
          </cell>
          <cell r="Q4759" t="str">
            <v>Banjar Munduk Anggrek , Kel. Yehembang Kauh, Kec. Mendoyo</v>
          </cell>
          <cell r="R4759" t="str">
            <v>Jembrana -Bali</v>
          </cell>
          <cell r="S4759" t="str">
            <v>S Bali3</v>
          </cell>
          <cell r="T4759" t="str">
            <v>Wira</v>
          </cell>
          <cell r="U4759">
            <v>30</v>
          </cell>
        </row>
        <row r="4760">
          <cell r="E4760" t="str">
            <v>B25012130</v>
          </cell>
          <cell r="F4760"/>
          <cell r="G4760">
            <v>100000000</v>
          </cell>
          <cell r="H4760" t="str">
            <v>Zakia</v>
          </cell>
          <cell r="I4760" t="str">
            <v>Tiya</v>
          </cell>
          <cell r="J4760" t="str">
            <v>New 04/08/21</v>
          </cell>
          <cell r="K4760" t="str">
            <v>KU, Tunai</v>
          </cell>
          <cell r="L4760" t="str">
            <v>MAKM16</v>
          </cell>
          <cell r="M4760" t="str">
            <v>Makmur Tani/ Ni Made Muliati</v>
          </cell>
          <cell r="N4760" t="str">
            <v>Ni Made Muliati</v>
          </cell>
          <cell r="O4760" t="str">
            <v>Banjar Munduk Anggrek , Kel. Yehembang Kauh, Kec. Mendoyo</v>
          </cell>
          <cell r="P4760" t="str">
            <v>Jembrana -Bali</v>
          </cell>
          <cell r="Q4760" t="str">
            <v>Banjar Munduk Anggrek , Kel. Yehembang Kauh, Kec. Mendoyo</v>
          </cell>
          <cell r="R4760" t="str">
            <v>Jembrana -Bali</v>
          </cell>
          <cell r="S4760" t="str">
            <v>S Bali3</v>
          </cell>
          <cell r="T4760" t="str">
            <v>Wira</v>
          </cell>
          <cell r="U4760">
            <v>30</v>
          </cell>
        </row>
        <row r="4761">
          <cell r="E4761" t="str">
            <v>B25012131</v>
          </cell>
          <cell r="F4761"/>
          <cell r="G4761">
            <v>100000000</v>
          </cell>
          <cell r="H4761" t="str">
            <v>Zakia</v>
          </cell>
          <cell r="I4761" t="str">
            <v>Tiya</v>
          </cell>
          <cell r="J4761" t="str">
            <v>New 04/08/21</v>
          </cell>
          <cell r="K4761" t="str">
            <v>KU, Tunai</v>
          </cell>
          <cell r="L4761" t="str">
            <v>MAKM16</v>
          </cell>
          <cell r="M4761" t="str">
            <v>Makmur Tani/ Ni Made Muliati</v>
          </cell>
          <cell r="N4761" t="str">
            <v>Ni Made Muliati</v>
          </cell>
          <cell r="O4761" t="str">
            <v>Banjar Munduk Anggrek , Kel. Yehembang Kauh, Kec. Mendoyo</v>
          </cell>
          <cell r="P4761" t="str">
            <v>Jembrana -Bali</v>
          </cell>
          <cell r="Q4761" t="str">
            <v>Banjar Munduk Anggrek , Kel. Yehembang Kauh, Kec. Mendoyo</v>
          </cell>
          <cell r="R4761" t="str">
            <v>Jembrana -Bali</v>
          </cell>
          <cell r="S4761" t="str">
            <v>S Bali3</v>
          </cell>
          <cell r="T4761" t="str">
            <v>Wira</v>
          </cell>
          <cell r="U4761">
            <v>30</v>
          </cell>
        </row>
        <row r="4762">
          <cell r="E4762" t="str">
            <v>D25014895</v>
          </cell>
          <cell r="F4762"/>
          <cell r="G4762">
            <v>100000000</v>
          </cell>
          <cell r="H4762" t="str">
            <v>Zakia</v>
          </cell>
          <cell r="I4762" t="str">
            <v>Tiya</v>
          </cell>
          <cell r="J4762" t="str">
            <v>New 04/08/21</v>
          </cell>
          <cell r="K4762" t="str">
            <v>KU, Tunai</v>
          </cell>
          <cell r="L4762" t="str">
            <v>MAKM16</v>
          </cell>
          <cell r="M4762" t="str">
            <v>Makmur Tani/ Ni Made Muliati</v>
          </cell>
          <cell r="N4762" t="str">
            <v>Ni Made Muliati</v>
          </cell>
          <cell r="O4762" t="str">
            <v>Banjar Munduk Anggrek , Kel. Yehembang Kauh, Kec. Mendoyo</v>
          </cell>
          <cell r="P4762" t="str">
            <v>Jembrana -Bali</v>
          </cell>
          <cell r="Q4762" t="str">
            <v>Banjar Munduk Anggrek , Kel. Yehembang Kauh, Kec. Mendoyo</v>
          </cell>
          <cell r="R4762" t="str">
            <v>Jembrana -Bali</v>
          </cell>
          <cell r="S4762" t="str">
            <v>S Bali3</v>
          </cell>
          <cell r="T4762" t="str">
            <v>Wira</v>
          </cell>
          <cell r="U4762">
            <v>30</v>
          </cell>
        </row>
        <row r="4763">
          <cell r="E4763" t="str">
            <v>D25015185</v>
          </cell>
          <cell r="F4763"/>
          <cell r="G4763">
            <v>100000000</v>
          </cell>
          <cell r="H4763" t="str">
            <v>Zakia</v>
          </cell>
          <cell r="I4763" t="str">
            <v>Tiya</v>
          </cell>
          <cell r="J4763" t="str">
            <v>New 04/08/21</v>
          </cell>
          <cell r="K4763" t="str">
            <v>KU, Tunai</v>
          </cell>
          <cell r="L4763" t="str">
            <v>MAKM16</v>
          </cell>
          <cell r="M4763" t="str">
            <v>Makmur Tani/ Ni Made Muliati</v>
          </cell>
          <cell r="N4763" t="str">
            <v>Ni Made Muliati</v>
          </cell>
          <cell r="O4763" t="str">
            <v>Banjar Munduk Anggrek , Kel. Yehembang Kauh, Kec. Mendoyo</v>
          </cell>
          <cell r="P4763" t="str">
            <v>Jembrana -Bali</v>
          </cell>
          <cell r="Q4763" t="str">
            <v>Banjar Munduk Anggrek , Kel. Yehembang Kauh, Kec. Mendoyo</v>
          </cell>
          <cell r="R4763" t="str">
            <v>Jembrana -Bali</v>
          </cell>
          <cell r="S4763" t="str">
            <v>S Bali3</v>
          </cell>
          <cell r="T4763" t="str">
            <v>Wira</v>
          </cell>
          <cell r="U4763">
            <v>30</v>
          </cell>
        </row>
        <row r="4764">
          <cell r="E4764" t="str">
            <v>D25015228</v>
          </cell>
          <cell r="F4764"/>
          <cell r="G4764">
            <v>100000000</v>
          </cell>
          <cell r="H4764" t="str">
            <v>Zakia</v>
          </cell>
          <cell r="I4764" t="str">
            <v>Tiya</v>
          </cell>
          <cell r="J4764" t="str">
            <v>New 04/08/21</v>
          </cell>
          <cell r="K4764" t="str">
            <v>KU, Tunai</v>
          </cell>
          <cell r="L4764" t="str">
            <v>MAKM16</v>
          </cell>
          <cell r="M4764" t="str">
            <v>Makmur Tani/ Ni Made Muliati</v>
          </cell>
          <cell r="N4764" t="str">
            <v>Ni Made Muliati</v>
          </cell>
          <cell r="O4764" t="str">
            <v>Banjar Munduk Anggrek , Kel. Yehembang Kauh, Kec. Mendoyo</v>
          </cell>
          <cell r="P4764" t="str">
            <v>Jembrana -Bali</v>
          </cell>
          <cell r="Q4764" t="str">
            <v>Banjar Munduk Anggrek , Kel. Yehembang Kauh, Kec. Mendoyo</v>
          </cell>
          <cell r="R4764" t="str">
            <v>Jembrana -Bali</v>
          </cell>
          <cell r="S4764" t="str">
            <v>S Bali3</v>
          </cell>
          <cell r="T4764" t="str">
            <v>Wira</v>
          </cell>
          <cell r="U4764">
            <v>30</v>
          </cell>
        </row>
        <row r="4765">
          <cell r="E4765" t="str">
            <v>D25015229</v>
          </cell>
          <cell r="F4765"/>
          <cell r="G4765">
            <v>100000000</v>
          </cell>
          <cell r="H4765" t="str">
            <v>Zakia</v>
          </cell>
          <cell r="I4765" t="str">
            <v>Tiya</v>
          </cell>
          <cell r="J4765" t="str">
            <v>New 04/08/21</v>
          </cell>
          <cell r="K4765" t="str">
            <v>KU, Tunai</v>
          </cell>
          <cell r="L4765" t="str">
            <v>MAKM16</v>
          </cell>
          <cell r="M4765" t="str">
            <v>Makmur Tani/ Ni Made Muliati</v>
          </cell>
          <cell r="N4765" t="str">
            <v>Ni Made Muliati</v>
          </cell>
          <cell r="O4765" t="str">
            <v>Banjar Munduk Anggrek , Kel. Yehembang Kauh, Kec. Mendoyo</v>
          </cell>
          <cell r="P4765" t="str">
            <v>Jembrana -Bali</v>
          </cell>
          <cell r="Q4765" t="str">
            <v>Banjar Munduk Anggrek , Kel. Yehembang Kauh, Kec. Mendoyo</v>
          </cell>
          <cell r="R4765" t="str">
            <v>Jembrana -Bali</v>
          </cell>
          <cell r="S4765" t="str">
            <v>S Bali3</v>
          </cell>
          <cell r="T4765" t="str">
            <v>Wira</v>
          </cell>
          <cell r="U4765">
            <v>30</v>
          </cell>
        </row>
        <row r="4766">
          <cell r="E4766" t="str">
            <v>D25015231</v>
          </cell>
          <cell r="F4766"/>
          <cell r="G4766">
            <v>100000000</v>
          </cell>
          <cell r="H4766" t="str">
            <v>Zakia</v>
          </cell>
          <cell r="I4766" t="str">
            <v>Tiya</v>
          </cell>
          <cell r="J4766" t="str">
            <v>New 04/08/21</v>
          </cell>
          <cell r="K4766" t="str">
            <v>KU, Tunai</v>
          </cell>
          <cell r="L4766" t="str">
            <v>MAKM16</v>
          </cell>
          <cell r="M4766" t="str">
            <v>Makmur Tani/ Ni Made Muliati</v>
          </cell>
          <cell r="N4766" t="str">
            <v>Ni Made Muliati</v>
          </cell>
          <cell r="O4766" t="str">
            <v>Banjar Munduk Anggrek , Kel. Yehembang Kauh, Kec. Mendoyo</v>
          </cell>
          <cell r="P4766" t="str">
            <v>Jembrana -Bali</v>
          </cell>
          <cell r="Q4766" t="str">
            <v>Banjar Munduk Anggrek , Kel. Yehembang Kauh, Kec. Mendoyo</v>
          </cell>
          <cell r="R4766" t="str">
            <v>Jembrana -Bali</v>
          </cell>
          <cell r="S4766" t="str">
            <v>S Bali3</v>
          </cell>
          <cell r="T4766" t="str">
            <v>Wira</v>
          </cell>
          <cell r="U4766">
            <v>30</v>
          </cell>
        </row>
        <row r="4767">
          <cell r="E4767" t="str">
            <v>D25015250</v>
          </cell>
          <cell r="F4767"/>
          <cell r="G4767">
            <v>100000000</v>
          </cell>
          <cell r="H4767" t="str">
            <v>Zakia</v>
          </cell>
          <cell r="I4767" t="str">
            <v>Tiya</v>
          </cell>
          <cell r="J4767" t="str">
            <v>New 04/08/21</v>
          </cell>
          <cell r="K4767" t="str">
            <v>KU, Tunai</v>
          </cell>
          <cell r="L4767" t="str">
            <v>MAKM16</v>
          </cell>
          <cell r="M4767" t="str">
            <v>Makmur Tani/ Ni Made Muliati</v>
          </cell>
          <cell r="N4767" t="str">
            <v>Ni Made Muliati</v>
          </cell>
          <cell r="O4767" t="str">
            <v>Banjar Munduk Anggrek , Kel. Yehembang Kauh, Kec. Mendoyo</v>
          </cell>
          <cell r="P4767" t="str">
            <v>Jembrana -Bali</v>
          </cell>
          <cell r="Q4767" t="str">
            <v>Banjar Munduk Anggrek , Kel. Yehembang Kauh, Kec. Mendoyo</v>
          </cell>
          <cell r="R4767" t="str">
            <v>Jembrana -Bali</v>
          </cell>
          <cell r="S4767" t="str">
            <v>S Bali3</v>
          </cell>
          <cell r="T4767" t="str">
            <v>Wira</v>
          </cell>
          <cell r="U4767">
            <v>30</v>
          </cell>
        </row>
        <row r="4768">
          <cell r="E4768" t="str">
            <v>B25013469</v>
          </cell>
          <cell r="F4768"/>
          <cell r="G4768">
            <v>100000000</v>
          </cell>
          <cell r="H4768" t="str">
            <v>Zakia</v>
          </cell>
          <cell r="I4768" t="str">
            <v>Tiya</v>
          </cell>
          <cell r="J4768" t="str">
            <v>New 04/08/21</v>
          </cell>
          <cell r="K4768" t="str">
            <v>KU, Tunai</v>
          </cell>
          <cell r="L4768" t="str">
            <v>MAKM16</v>
          </cell>
          <cell r="M4768" t="str">
            <v>Makmur Tani/ Ni Made Muliati</v>
          </cell>
          <cell r="N4768" t="str">
            <v>Ni Made Muliati</v>
          </cell>
          <cell r="O4768" t="str">
            <v>Banjar Munduk Anggrek , Kel. Yehembang Kauh, Kec. Mendoyo</v>
          </cell>
          <cell r="P4768" t="str">
            <v>Jembrana -Bali</v>
          </cell>
          <cell r="Q4768" t="str">
            <v>Banjar Munduk Anggrek , Kel. Yehembang Kauh, Kec. Mendoyo</v>
          </cell>
          <cell r="R4768" t="str">
            <v>Jembrana -Bali</v>
          </cell>
          <cell r="S4768" t="str">
            <v>S Bali3</v>
          </cell>
          <cell r="T4768" t="str">
            <v>Wira</v>
          </cell>
          <cell r="U4768">
            <v>30</v>
          </cell>
        </row>
        <row r="4769">
          <cell r="E4769" t="str">
            <v>D25016296</v>
          </cell>
          <cell r="F4769"/>
          <cell r="G4769">
            <v>100000000</v>
          </cell>
          <cell r="H4769" t="str">
            <v>Zakia</v>
          </cell>
          <cell r="I4769" t="str">
            <v>Tiya</v>
          </cell>
          <cell r="J4769" t="str">
            <v>New 04/08/21</v>
          </cell>
          <cell r="K4769" t="str">
            <v>KU, Tunai</v>
          </cell>
          <cell r="L4769" t="str">
            <v>MAKM16</v>
          </cell>
          <cell r="M4769" t="str">
            <v>Makmur Tani/ Ni Made Muliati</v>
          </cell>
          <cell r="N4769" t="str">
            <v>Ni Made Muliati</v>
          </cell>
          <cell r="O4769" t="str">
            <v>Banjar Munduk Anggrek , Kel. Yehembang Kauh, Kec. Mendoyo</v>
          </cell>
          <cell r="P4769" t="str">
            <v>Jembrana -Bali</v>
          </cell>
          <cell r="Q4769" t="str">
            <v>Banjar Munduk Anggrek , Kel. Yehembang Kauh, Kec. Mendoyo</v>
          </cell>
          <cell r="R4769" t="str">
            <v>Jembrana -Bali</v>
          </cell>
          <cell r="S4769" t="str">
            <v>S Bali3</v>
          </cell>
          <cell r="T4769" t="str">
            <v>Wira</v>
          </cell>
          <cell r="U4769">
            <v>30</v>
          </cell>
        </row>
        <row r="4770">
          <cell r="E4770" t="str">
            <v>D25016297</v>
          </cell>
          <cell r="F4770"/>
          <cell r="G4770">
            <v>100000000</v>
          </cell>
          <cell r="H4770" t="str">
            <v>Zakia</v>
          </cell>
          <cell r="I4770" t="str">
            <v>Tiya</v>
          </cell>
          <cell r="J4770" t="str">
            <v>New 04/08/21</v>
          </cell>
          <cell r="K4770" t="str">
            <v>KU, Tunai</v>
          </cell>
          <cell r="L4770" t="str">
            <v>MAKM16</v>
          </cell>
          <cell r="M4770" t="str">
            <v>Makmur Tani/ Ni Made Muliati</v>
          </cell>
          <cell r="N4770" t="str">
            <v>Ni Made Muliati</v>
          </cell>
          <cell r="O4770" t="str">
            <v>Banjar Munduk Anggrek , Kel. Yehembang Kauh, Kec. Mendoyo</v>
          </cell>
          <cell r="P4770" t="str">
            <v>Jembrana -Bali</v>
          </cell>
          <cell r="Q4770" t="str">
            <v>Banjar Munduk Anggrek , Kel. Yehembang Kauh, Kec. Mendoyo</v>
          </cell>
          <cell r="R4770" t="str">
            <v>Jembrana -Bali</v>
          </cell>
          <cell r="S4770" t="str">
            <v>S Bali3</v>
          </cell>
          <cell r="T4770" t="str">
            <v>Wira</v>
          </cell>
          <cell r="U4770">
            <v>30</v>
          </cell>
        </row>
        <row r="4771">
          <cell r="E4771" t="str">
            <v>D25016316</v>
          </cell>
          <cell r="F4771"/>
          <cell r="G4771">
            <v>100000000</v>
          </cell>
          <cell r="H4771" t="str">
            <v>Zakia</v>
          </cell>
          <cell r="I4771" t="str">
            <v>Tiya</v>
          </cell>
          <cell r="J4771" t="str">
            <v>New 04/08/21</v>
          </cell>
          <cell r="K4771" t="str">
            <v>KU, Tunai</v>
          </cell>
          <cell r="L4771" t="str">
            <v>MAKM16</v>
          </cell>
          <cell r="M4771" t="str">
            <v>Makmur Tani/ Ni Made Muliati</v>
          </cell>
          <cell r="N4771" t="str">
            <v>Ni Made Muliati</v>
          </cell>
          <cell r="O4771" t="str">
            <v>Banjar Munduk Anggrek , Kel. Yehembang Kauh, Kec. Mendoyo</v>
          </cell>
          <cell r="P4771" t="str">
            <v>Jembrana -Bali</v>
          </cell>
          <cell r="Q4771" t="str">
            <v>Banjar Munduk Anggrek , Kel. Yehembang Kauh, Kec. Mendoyo</v>
          </cell>
          <cell r="R4771" t="str">
            <v>Jembrana -Bali</v>
          </cell>
          <cell r="S4771" t="str">
            <v>S Bali3</v>
          </cell>
          <cell r="T4771" t="str">
            <v>Wira</v>
          </cell>
          <cell r="U4771">
            <v>30</v>
          </cell>
        </row>
        <row r="4772">
          <cell r="E4772" t="str">
            <v>T25001412</v>
          </cell>
          <cell r="F4772"/>
          <cell r="G4772">
            <v>15000000</v>
          </cell>
          <cell r="H4772" t="str">
            <v>Yuyun</v>
          </cell>
          <cell r="I4772" t="str">
            <v>Farida</v>
          </cell>
          <cell r="J4772" t="str">
            <v>New 06/06/23</v>
          </cell>
          <cell r="K4772" t="str">
            <v>COD</v>
          </cell>
          <cell r="L4772" t="str">
            <v>MAND11</v>
          </cell>
          <cell r="M4772" t="str">
            <v>Mandiri Tani Sejahtera/Yanda</v>
          </cell>
          <cell r="N4772" t="str">
            <v>Yanda Noval Dyan Prasetyo</v>
          </cell>
          <cell r="O4772" t="str">
            <v>Dsn Banjarejo RT.001/RW.027, Kel. Tembokrejo, Kec. Gumukmas</v>
          </cell>
          <cell r="P4772" t="str">
            <v>Jember</v>
          </cell>
          <cell r="Q4772" t="str">
            <v>Barat Proliman, Kebonsari, Tembokrejo, Kec. Gumukmas</v>
          </cell>
          <cell r="R4772" t="str">
            <v>Jember</v>
          </cell>
          <cell r="S4772" t="str">
            <v>L Kota3</v>
          </cell>
          <cell r="T4772" t="str">
            <v>Wira</v>
          </cell>
          <cell r="U4772">
            <v>60</v>
          </cell>
        </row>
        <row r="4773">
          <cell r="E4773" t="str">
            <v>B25013463</v>
          </cell>
          <cell r="F4773"/>
          <cell r="G4773">
            <v>15000000</v>
          </cell>
          <cell r="H4773" t="str">
            <v>Yuyun</v>
          </cell>
          <cell r="I4773" t="str">
            <v>Farida</v>
          </cell>
          <cell r="J4773" t="str">
            <v>New 06/06/23</v>
          </cell>
          <cell r="K4773" t="str">
            <v>COD</v>
          </cell>
          <cell r="L4773" t="str">
            <v>MAND11</v>
          </cell>
          <cell r="M4773" t="str">
            <v>Mandiri Tani Sejahtera/Yanda</v>
          </cell>
          <cell r="N4773" t="str">
            <v>Yanda Noval Dyan Prasetyo</v>
          </cell>
          <cell r="O4773" t="str">
            <v>Dsn Banjarejo RT.001/RW.027, Kel. Tembokrejo, Kec. Gumukmas</v>
          </cell>
          <cell r="P4773" t="str">
            <v>Jember</v>
          </cell>
          <cell r="Q4773" t="str">
            <v>Barat Proliman, Kebonsari, Tembokrejo, Kec. Gumukmas</v>
          </cell>
          <cell r="R4773" t="str">
            <v>Jember</v>
          </cell>
          <cell r="S4773" t="str">
            <v>L Kota3</v>
          </cell>
          <cell r="T4773" t="str">
            <v>Wira</v>
          </cell>
          <cell r="U4773">
            <v>30</v>
          </cell>
        </row>
        <row r="4774">
          <cell r="E4774" t="str">
            <v>D25015740</v>
          </cell>
          <cell r="F4774"/>
          <cell r="G4774">
            <v>15000000</v>
          </cell>
          <cell r="H4774" t="str">
            <v>Yuyun</v>
          </cell>
          <cell r="I4774" t="str">
            <v>Farida</v>
          </cell>
          <cell r="J4774" t="str">
            <v>New 06/06/23</v>
          </cell>
          <cell r="K4774" t="str">
            <v>COD</v>
          </cell>
          <cell r="L4774" t="str">
            <v>MAND11</v>
          </cell>
          <cell r="M4774" t="str">
            <v>Mandiri Tani Sejahtera/Yanda</v>
          </cell>
          <cell r="N4774" t="str">
            <v>Yanda Noval Dyan Prasetyo</v>
          </cell>
          <cell r="O4774" t="str">
            <v>Dsn Banjarejo RT.001/RW.027, Kel. Tembokrejo, Kec. Gumukmas</v>
          </cell>
          <cell r="P4774" t="str">
            <v>Jember</v>
          </cell>
          <cell r="Q4774" t="str">
            <v>Barat Proliman, Kebonsari, Tembokrejo, Kec. Gumukmas</v>
          </cell>
          <cell r="R4774" t="str">
            <v>Jember</v>
          </cell>
          <cell r="S4774" t="str">
            <v>L Kota3</v>
          </cell>
          <cell r="T4774" t="str">
            <v>Wira</v>
          </cell>
          <cell r="U4774">
            <v>30</v>
          </cell>
        </row>
        <row r="4775">
          <cell r="E4775" t="str">
            <v>D25012670</v>
          </cell>
          <cell r="F4775"/>
          <cell r="G4775">
            <v>80000000</v>
          </cell>
          <cell r="H4775" t="str">
            <v>Faris</v>
          </cell>
          <cell r="I4775" t="str">
            <v>Syahra</v>
          </cell>
          <cell r="J4775"/>
          <cell r="K4775" t="str">
            <v>KU</v>
          </cell>
          <cell r="L4775" t="str">
            <v>MAND06</v>
          </cell>
          <cell r="M4775" t="str">
            <v>Mandiri/Suparni</v>
          </cell>
          <cell r="N4775" t="str">
            <v>Tukiyah Andriyani</v>
          </cell>
          <cell r="O4775" t="str">
            <v>Purworejo, RT.013/RW.002, Kel. Kalipait, Kec. Tegaldlimo</v>
          </cell>
          <cell r="P4775" t="str">
            <v>Banyuwangi</v>
          </cell>
          <cell r="Q4775" t="str">
            <v>Kalipait</v>
          </cell>
          <cell r="R4775" t="str">
            <v>Banyuwangi</v>
          </cell>
          <cell r="S4775" t="str">
            <v>H Bwi3</v>
          </cell>
          <cell r="T4775" t="str">
            <v>Hafid</v>
          </cell>
          <cell r="U4775">
            <v>30</v>
          </cell>
        </row>
        <row r="4776">
          <cell r="E4776" t="str">
            <v>D25012670</v>
          </cell>
          <cell r="F4776"/>
          <cell r="G4776">
            <v>80000000</v>
          </cell>
          <cell r="H4776" t="str">
            <v>Faris</v>
          </cell>
          <cell r="I4776" t="str">
            <v>Syahra</v>
          </cell>
          <cell r="J4776"/>
          <cell r="K4776" t="str">
            <v>KU</v>
          </cell>
          <cell r="L4776" t="str">
            <v>MAND06</v>
          </cell>
          <cell r="M4776" t="str">
            <v>Mandiri/Suparni</v>
          </cell>
          <cell r="N4776" t="str">
            <v>Tukiyah Andriyani</v>
          </cell>
          <cell r="O4776" t="str">
            <v>Purworejo, RT.013/RW.002, Kel. Kalipait, Kec. Tegaldlimo</v>
          </cell>
          <cell r="P4776" t="str">
            <v>Banyuwangi</v>
          </cell>
          <cell r="Q4776" t="str">
            <v>Kalipait</v>
          </cell>
          <cell r="R4776" t="str">
            <v>Banyuwangi</v>
          </cell>
          <cell r="S4776" t="str">
            <v>H Bwi3</v>
          </cell>
          <cell r="T4776" t="str">
            <v>Hafid</v>
          </cell>
          <cell r="U4776">
            <v>30</v>
          </cell>
        </row>
        <row r="4777">
          <cell r="E4777" t="str">
            <v>D25012712</v>
          </cell>
          <cell r="F4777"/>
          <cell r="G4777">
            <v>80000000</v>
          </cell>
          <cell r="H4777" t="str">
            <v>Faris</v>
          </cell>
          <cell r="I4777" t="str">
            <v>Syahra</v>
          </cell>
          <cell r="J4777"/>
          <cell r="K4777" t="str">
            <v>KU</v>
          </cell>
          <cell r="L4777" t="str">
            <v>MAND06</v>
          </cell>
          <cell r="M4777" t="str">
            <v>Mandiri/Suparni</v>
          </cell>
          <cell r="N4777" t="str">
            <v>Tukiyah Andriyani</v>
          </cell>
          <cell r="O4777" t="str">
            <v>Purworejo, RT.013/RW.002, Kel. Kalipait, Kec. Tegaldlimo</v>
          </cell>
          <cell r="P4777" t="str">
            <v>Banyuwangi</v>
          </cell>
          <cell r="Q4777" t="str">
            <v>Kalipait</v>
          </cell>
          <cell r="R4777" t="str">
            <v>Banyuwangi</v>
          </cell>
          <cell r="S4777" t="str">
            <v>H Bwi3</v>
          </cell>
          <cell r="T4777" t="str">
            <v>Hafid</v>
          </cell>
          <cell r="U4777">
            <v>30</v>
          </cell>
        </row>
        <row r="4778">
          <cell r="E4778" t="str">
            <v>B25011409</v>
          </cell>
          <cell r="F4778"/>
          <cell r="G4778">
            <v>80000000</v>
          </cell>
          <cell r="H4778" t="str">
            <v>Faris</v>
          </cell>
          <cell r="I4778" t="str">
            <v>Syahra</v>
          </cell>
          <cell r="J4778"/>
          <cell r="K4778" t="str">
            <v>KU</v>
          </cell>
          <cell r="L4778" t="str">
            <v>MAND06</v>
          </cell>
          <cell r="M4778" t="str">
            <v>Mandiri/Suparni</v>
          </cell>
          <cell r="N4778" t="str">
            <v>Tukiyah Andriyani</v>
          </cell>
          <cell r="O4778" t="str">
            <v>Purworejo, RT.013/RW.002, Kel. Kalipait, Kec. Tegaldlimo</v>
          </cell>
          <cell r="P4778" t="str">
            <v>Banyuwangi</v>
          </cell>
          <cell r="Q4778" t="str">
            <v>Kalipait</v>
          </cell>
          <cell r="R4778" t="str">
            <v>Banyuwangi</v>
          </cell>
          <cell r="S4778" t="str">
            <v>H Bwi3</v>
          </cell>
          <cell r="T4778" t="str">
            <v>Hafid</v>
          </cell>
          <cell r="U4778">
            <v>30</v>
          </cell>
        </row>
        <row r="4779">
          <cell r="E4779" t="str">
            <v>D25014457</v>
          </cell>
          <cell r="F4779"/>
          <cell r="G4779">
            <v>80000000</v>
          </cell>
          <cell r="H4779" t="str">
            <v>Faris</v>
          </cell>
          <cell r="I4779" t="str">
            <v>Syahra</v>
          </cell>
          <cell r="J4779"/>
          <cell r="K4779" t="str">
            <v>KU</v>
          </cell>
          <cell r="L4779" t="str">
            <v>MAND06</v>
          </cell>
          <cell r="M4779" t="str">
            <v>Mandiri/Suparni</v>
          </cell>
          <cell r="N4779" t="str">
            <v>Tukiyah Andriyani</v>
          </cell>
          <cell r="O4779" t="str">
            <v>Purworejo, RT.013/RW.002, Kel. Kalipait, Kec. Tegaldlimo</v>
          </cell>
          <cell r="P4779" t="str">
            <v>Banyuwangi</v>
          </cell>
          <cell r="Q4779" t="str">
            <v>Kalipait</v>
          </cell>
          <cell r="R4779" t="str">
            <v>Banyuwangi</v>
          </cell>
          <cell r="S4779" t="str">
            <v>H Bwi3</v>
          </cell>
          <cell r="T4779" t="str">
            <v>Hafid</v>
          </cell>
          <cell r="U4779">
            <v>30</v>
          </cell>
        </row>
        <row r="4780">
          <cell r="E4780" t="str">
            <v>B25012796</v>
          </cell>
          <cell r="F4780"/>
          <cell r="G4780">
            <v>80000000</v>
          </cell>
          <cell r="H4780" t="str">
            <v>Faris</v>
          </cell>
          <cell r="I4780" t="str">
            <v>Syahra</v>
          </cell>
          <cell r="J4780"/>
          <cell r="K4780" t="str">
            <v>KU</v>
          </cell>
          <cell r="L4780" t="str">
            <v>MAND06</v>
          </cell>
          <cell r="M4780" t="str">
            <v>Mandiri/Suparni</v>
          </cell>
          <cell r="N4780" t="str">
            <v>Tukiyah Andriyani</v>
          </cell>
          <cell r="O4780" t="str">
            <v>Purworejo, RT.013/RW.002, Kel. Kalipait, Kec. Tegaldlimo</v>
          </cell>
          <cell r="P4780" t="str">
            <v>Banyuwangi</v>
          </cell>
          <cell r="Q4780" t="str">
            <v>Kalipait</v>
          </cell>
          <cell r="R4780" t="str">
            <v>Banyuwangi</v>
          </cell>
          <cell r="S4780" t="str">
            <v>H Bwi3</v>
          </cell>
          <cell r="T4780" t="str">
            <v>Hafid</v>
          </cell>
          <cell r="U4780">
            <v>0</v>
          </cell>
        </row>
        <row r="4781">
          <cell r="E4781" t="str">
            <v>B25012796</v>
          </cell>
          <cell r="F4781"/>
          <cell r="G4781">
            <v>80000000</v>
          </cell>
          <cell r="H4781" t="str">
            <v>Faris</v>
          </cell>
          <cell r="I4781" t="str">
            <v>Syahra</v>
          </cell>
          <cell r="J4781"/>
          <cell r="K4781" t="str">
            <v>KU</v>
          </cell>
          <cell r="L4781" t="str">
            <v>MAND06</v>
          </cell>
          <cell r="M4781" t="str">
            <v>Mandiri/Suparni</v>
          </cell>
          <cell r="N4781" t="str">
            <v>Tukiyah Andriyani</v>
          </cell>
          <cell r="O4781" t="str">
            <v>Purworejo, RT.013/RW.002, Kel. Kalipait, Kec. Tegaldlimo</v>
          </cell>
          <cell r="P4781" t="str">
            <v>Banyuwangi</v>
          </cell>
          <cell r="Q4781" t="str">
            <v>Kalipait</v>
          </cell>
          <cell r="R4781" t="str">
            <v>Banyuwangi</v>
          </cell>
          <cell r="S4781" t="str">
            <v>H Bwi3</v>
          </cell>
          <cell r="T4781" t="str">
            <v>Hafid</v>
          </cell>
          <cell r="U4781">
            <v>0</v>
          </cell>
        </row>
        <row r="4782">
          <cell r="E4782" t="str">
            <v>D25015521</v>
          </cell>
          <cell r="F4782"/>
          <cell r="G4782">
            <v>80000000</v>
          </cell>
          <cell r="H4782" t="str">
            <v>Faris</v>
          </cell>
          <cell r="I4782" t="str">
            <v>Syahra</v>
          </cell>
          <cell r="J4782"/>
          <cell r="K4782" t="str">
            <v>KU</v>
          </cell>
          <cell r="L4782" t="str">
            <v>MAND06</v>
          </cell>
          <cell r="M4782" t="str">
            <v>Mandiri/Suparni</v>
          </cell>
          <cell r="N4782" t="str">
            <v>Tukiyah Andriyani</v>
          </cell>
          <cell r="O4782" t="str">
            <v>Purworejo, RT.013/RW.002, Kel. Kalipait, Kec. Tegaldlimo</v>
          </cell>
          <cell r="P4782" t="str">
            <v>Banyuwangi</v>
          </cell>
          <cell r="Q4782" t="str">
            <v>Kalipait</v>
          </cell>
          <cell r="R4782" t="str">
            <v>Banyuwangi</v>
          </cell>
          <cell r="S4782" t="str">
            <v>H Bwi3</v>
          </cell>
          <cell r="T4782" t="str">
            <v>Hafid</v>
          </cell>
          <cell r="U4782">
            <v>0</v>
          </cell>
        </row>
        <row r="4783">
          <cell r="E4783" t="str">
            <v>D25015676</v>
          </cell>
          <cell r="F4783"/>
          <cell r="G4783">
            <v>80000000</v>
          </cell>
          <cell r="H4783" t="str">
            <v>Faris</v>
          </cell>
          <cell r="I4783" t="str">
            <v>Syahra</v>
          </cell>
          <cell r="J4783"/>
          <cell r="K4783" t="str">
            <v>KU</v>
          </cell>
          <cell r="L4783" t="str">
            <v>MAND06</v>
          </cell>
          <cell r="M4783" t="str">
            <v>Mandiri/Suparni</v>
          </cell>
          <cell r="N4783" t="str">
            <v>Tukiyah Andriyani</v>
          </cell>
          <cell r="O4783" t="str">
            <v>Purworejo, RT.013/RW.002, Kel. Kalipait, Kec. Tegaldlimo</v>
          </cell>
          <cell r="P4783" t="str">
            <v>Banyuwangi</v>
          </cell>
          <cell r="Q4783" t="str">
            <v>Kalipait</v>
          </cell>
          <cell r="R4783" t="str">
            <v>Banyuwangi</v>
          </cell>
          <cell r="S4783" t="str">
            <v>H Bwi3</v>
          </cell>
          <cell r="T4783" t="str">
            <v>Hafid</v>
          </cell>
          <cell r="U4783">
            <v>0</v>
          </cell>
        </row>
        <row r="4784">
          <cell r="E4784" t="str">
            <v>D25015676</v>
          </cell>
          <cell r="F4784"/>
          <cell r="G4784">
            <v>80000000</v>
          </cell>
          <cell r="H4784" t="str">
            <v>Faris</v>
          </cell>
          <cell r="I4784" t="str">
            <v>Syahra</v>
          </cell>
          <cell r="J4784"/>
          <cell r="K4784" t="str">
            <v>KU</v>
          </cell>
          <cell r="L4784" t="str">
            <v>MAND06</v>
          </cell>
          <cell r="M4784" t="str">
            <v>Mandiri/Suparni</v>
          </cell>
          <cell r="N4784" t="str">
            <v>Tukiyah Andriyani</v>
          </cell>
          <cell r="O4784" t="str">
            <v>Purworejo, RT.013/RW.002, Kel. Kalipait, Kec. Tegaldlimo</v>
          </cell>
          <cell r="P4784" t="str">
            <v>Banyuwangi</v>
          </cell>
          <cell r="Q4784" t="str">
            <v>Kalipait</v>
          </cell>
          <cell r="R4784" t="str">
            <v>Banyuwangi</v>
          </cell>
          <cell r="S4784" t="str">
            <v>H Bwi3</v>
          </cell>
          <cell r="T4784" t="str">
            <v>Hafid</v>
          </cell>
          <cell r="U4784">
            <v>0</v>
          </cell>
        </row>
        <row r="4785">
          <cell r="E4785" t="str">
            <v>B25013442</v>
          </cell>
          <cell r="F4785"/>
          <cell r="G4785">
            <v>50000000</v>
          </cell>
          <cell r="H4785" t="str">
            <v>Faris</v>
          </cell>
          <cell r="I4785" t="str">
            <v>Syahra</v>
          </cell>
          <cell r="J4785"/>
          <cell r="K4785" t="str">
            <v>Tunai</v>
          </cell>
          <cell r="L4785" t="str">
            <v>MANG01</v>
          </cell>
          <cell r="M4785" t="str">
            <v>Manggala</v>
          </cell>
          <cell r="N4785" t="str">
            <v>Wakijan</v>
          </cell>
          <cell r="O4785" t="str">
            <v>Dsn. Sendangrejo, RT.003/RW.002, kel. Kebondalem. Kec. Bangorejo</v>
          </cell>
          <cell r="P4785" t="str">
            <v>Banyuwangi</v>
          </cell>
          <cell r="Q4785" t="str">
            <v>Kebondalem Bangorejo</v>
          </cell>
          <cell r="R4785" t="str">
            <v>Banyuwangi</v>
          </cell>
          <cell r="S4785" t="str">
            <v>H Bwi4</v>
          </cell>
          <cell r="T4785" t="str">
            <v>Hafid</v>
          </cell>
          <cell r="U4785">
            <v>30</v>
          </cell>
        </row>
        <row r="4786">
          <cell r="E4786" t="str">
            <v>T25001361</v>
          </cell>
          <cell r="F4786"/>
          <cell r="G4786">
            <v>10000000</v>
          </cell>
          <cell r="H4786" t="str">
            <v>Zakia</v>
          </cell>
          <cell r="I4786" t="str">
            <v>Tiya</v>
          </cell>
          <cell r="J4786" t="str">
            <v>New 27/02/2025</v>
          </cell>
          <cell r="K4786" t="str">
            <v>COD</v>
          </cell>
          <cell r="L4786" t="str">
            <v>MANI01</v>
          </cell>
          <cell r="M4786" t="str">
            <v>Manik Tani</v>
          </cell>
          <cell r="N4786" t="str">
            <v>I Made Jeneng Suma Yasa</v>
          </cell>
          <cell r="O4786" t="str">
            <v>Kel. Manikliyu , Kec. Kintamani, Bangli</v>
          </cell>
          <cell r="P4786" t="str">
            <v>Bali</v>
          </cell>
          <cell r="Q4786" t="str">
            <v>Bayungcerik , Kec. Kintamani, Bangli</v>
          </cell>
          <cell r="R4786" t="str">
            <v xml:space="preserve">Bali </v>
          </cell>
          <cell r="S4786" t="str">
            <v>S Bali1</v>
          </cell>
          <cell r="T4786" t="str">
            <v>Wira</v>
          </cell>
          <cell r="U4786">
            <v>60</v>
          </cell>
        </row>
        <row r="4787">
          <cell r="E4787" t="str">
            <v>D25016031</v>
          </cell>
          <cell r="F4787"/>
          <cell r="G4787">
            <v>10000000</v>
          </cell>
          <cell r="H4787" t="str">
            <v>Zakia</v>
          </cell>
          <cell r="I4787" t="str">
            <v>Tiya</v>
          </cell>
          <cell r="J4787" t="str">
            <v>New 27/02/2025</v>
          </cell>
          <cell r="K4787" t="str">
            <v>COD</v>
          </cell>
          <cell r="L4787" t="str">
            <v>MANI01</v>
          </cell>
          <cell r="M4787" t="str">
            <v>Manik Tani</v>
          </cell>
          <cell r="N4787" t="str">
            <v>I Made Jeneng Suma Yasa</v>
          </cell>
          <cell r="O4787" t="str">
            <v>Kel. Manikliyu , Kec. Kintamani, Bangli</v>
          </cell>
          <cell r="P4787" t="str">
            <v>Bali</v>
          </cell>
          <cell r="Q4787" t="str">
            <v>Bayungcerik , Kec. Kintamani, Bangli</v>
          </cell>
          <cell r="R4787" t="str">
            <v xml:space="preserve">Bali </v>
          </cell>
          <cell r="S4787" t="str">
            <v>S Bali1</v>
          </cell>
          <cell r="T4787" t="str">
            <v>Wira</v>
          </cell>
          <cell r="U4787">
            <v>0</v>
          </cell>
        </row>
        <row r="4788">
          <cell r="E4788" t="str">
            <v>D25016031</v>
          </cell>
          <cell r="F4788"/>
          <cell r="G4788">
            <v>10000000</v>
          </cell>
          <cell r="H4788" t="str">
            <v>Zakia</v>
          </cell>
          <cell r="I4788" t="str">
            <v>Tiya</v>
          </cell>
          <cell r="J4788" t="str">
            <v>New 27/02/2025</v>
          </cell>
          <cell r="K4788" t="str">
            <v>COD</v>
          </cell>
          <cell r="L4788" t="str">
            <v>MANI01</v>
          </cell>
          <cell r="M4788" t="str">
            <v>Manik Tani</v>
          </cell>
          <cell r="N4788" t="str">
            <v>I Made Jeneng Suma Yasa</v>
          </cell>
          <cell r="O4788" t="str">
            <v>Kel. Manikliyu , Kec. Kintamani, Bangli</v>
          </cell>
          <cell r="P4788" t="str">
            <v>Bali</v>
          </cell>
          <cell r="Q4788" t="str">
            <v>Bayungcerik , Kec. Kintamani, Bangli</v>
          </cell>
          <cell r="R4788" t="str">
            <v xml:space="preserve">Bali </v>
          </cell>
          <cell r="S4788" t="str">
            <v>S Bali1</v>
          </cell>
          <cell r="T4788" t="str">
            <v>Wira</v>
          </cell>
          <cell r="U4788">
            <v>0</v>
          </cell>
        </row>
        <row r="4789">
          <cell r="E4789" t="str">
            <v>D25016032</v>
          </cell>
          <cell r="F4789"/>
          <cell r="G4789">
            <v>10000000</v>
          </cell>
          <cell r="H4789" t="str">
            <v>Zakia</v>
          </cell>
          <cell r="I4789" t="str">
            <v>Tiya</v>
          </cell>
          <cell r="J4789" t="str">
            <v>New 27/02/2025</v>
          </cell>
          <cell r="K4789" t="str">
            <v>COD</v>
          </cell>
          <cell r="L4789" t="str">
            <v>MANI01</v>
          </cell>
          <cell r="M4789" t="str">
            <v>Manik Tani</v>
          </cell>
          <cell r="N4789" t="str">
            <v>I Made Jeneng Suma Yasa</v>
          </cell>
          <cell r="O4789" t="str">
            <v>Kel. Manikliyu , Kec. Kintamani, Bangli</v>
          </cell>
          <cell r="P4789" t="str">
            <v>Bali</v>
          </cell>
          <cell r="Q4789" t="str">
            <v>Bayungcerik , Kec. Kintamani, Bangli</v>
          </cell>
          <cell r="R4789" t="str">
            <v xml:space="preserve">Bali </v>
          </cell>
          <cell r="S4789" t="str">
            <v>S Bali1</v>
          </cell>
          <cell r="T4789" t="str">
            <v>Wira</v>
          </cell>
          <cell r="U4789">
            <v>0</v>
          </cell>
        </row>
        <row r="4790">
          <cell r="E4790" t="str">
            <v>D25015146</v>
          </cell>
          <cell r="F4790"/>
          <cell r="G4790">
            <v>75000000</v>
          </cell>
          <cell r="H4790" t="str">
            <v>Zakia</v>
          </cell>
          <cell r="I4790" t="str">
            <v>Tiya</v>
          </cell>
          <cell r="J4790" t="str">
            <v>New 23/12/20</v>
          </cell>
          <cell r="K4790" t="str">
            <v>KU</v>
          </cell>
          <cell r="L4790" t="str">
            <v>MANS01</v>
          </cell>
          <cell r="M4790" t="str">
            <v>Mansur, UD</v>
          </cell>
          <cell r="N4790" t="str">
            <v>Muhammad Burhannnudin</v>
          </cell>
          <cell r="O4790" t="str">
            <v>Dusun Mediunan, RT.004/RW.005, Kel. Ngampel, Kec. Papar</v>
          </cell>
          <cell r="P4790" t="str">
            <v>Kediri</v>
          </cell>
          <cell r="Q4790" t="str">
            <v>Dusun Mediunan, RT.004/RW.005, Kel. Ngampel, Kec. Papar</v>
          </cell>
          <cell r="R4790" t="str">
            <v>Kediri</v>
          </cell>
          <cell r="S4790" t="str">
            <v>D Barat2</v>
          </cell>
          <cell r="T4790" t="str">
            <v>Tomi</v>
          </cell>
          <cell r="U4790">
            <v>30</v>
          </cell>
        </row>
        <row r="4791">
          <cell r="E4791" t="str">
            <v>B25013288</v>
          </cell>
          <cell r="F4791"/>
          <cell r="G4791">
            <v>75000000</v>
          </cell>
          <cell r="H4791" t="str">
            <v>Zakia</v>
          </cell>
          <cell r="I4791" t="str">
            <v>Tiya</v>
          </cell>
          <cell r="J4791" t="str">
            <v>New 23/12/20</v>
          </cell>
          <cell r="K4791" t="str">
            <v>KU</v>
          </cell>
          <cell r="L4791" t="str">
            <v>MANS01</v>
          </cell>
          <cell r="M4791" t="str">
            <v>Mansur, UD</v>
          </cell>
          <cell r="N4791" t="str">
            <v>Muhammad Burhannnudin</v>
          </cell>
          <cell r="O4791" t="str">
            <v>Dusun Mediunan, RT.004/RW.005, Kel. Ngampel, Kec. Papar</v>
          </cell>
          <cell r="P4791" t="str">
            <v>Kediri</v>
          </cell>
          <cell r="Q4791" t="str">
            <v>Dusun Mediunan, RT.004/RW.005, Kel. Ngampel, Kec. Papar</v>
          </cell>
          <cell r="R4791" t="str">
            <v>Kediri</v>
          </cell>
          <cell r="S4791" t="str">
            <v>D Barat2</v>
          </cell>
          <cell r="T4791" t="str">
            <v>Tomi</v>
          </cell>
          <cell r="U4791">
            <v>0</v>
          </cell>
        </row>
        <row r="4792">
          <cell r="E4792" t="str">
            <v>B25010131</v>
          </cell>
          <cell r="F4792"/>
          <cell r="G4792">
            <v>50000000</v>
          </cell>
          <cell r="H4792" t="str">
            <v>Ariyani</v>
          </cell>
          <cell r="I4792" t="str">
            <v>Fira</v>
          </cell>
          <cell r="J4792"/>
          <cell r="K4792" t="str">
            <v>KU</v>
          </cell>
          <cell r="L4792" t="str">
            <v>MANT03</v>
          </cell>
          <cell r="M4792" t="str">
            <v>Mantab Jaya/Andiya</v>
          </cell>
          <cell r="N4792" t="str">
            <v>Andiya Wibowo</v>
          </cell>
          <cell r="O4792" t="str">
            <v>Dusun Trunosari RT.003/RT.005, Klanting, Sukodono</v>
          </cell>
          <cell r="P4792" t="str">
            <v>Lumajang</v>
          </cell>
          <cell r="Q4792" t="str">
            <v>Dusun Trunosari, Klanting, Sukodono</v>
          </cell>
          <cell r="R4792" t="str">
            <v>Lumajang</v>
          </cell>
          <cell r="S4792" t="str">
            <v>C Lumajang</v>
          </cell>
          <cell r="T4792" t="str">
            <v>Wira</v>
          </cell>
          <cell r="U4792">
            <v>30</v>
          </cell>
        </row>
        <row r="4793">
          <cell r="E4793" t="str">
            <v>B25010131</v>
          </cell>
          <cell r="F4793"/>
          <cell r="G4793">
            <v>50000000</v>
          </cell>
          <cell r="H4793" t="str">
            <v>Ariyani</v>
          </cell>
          <cell r="I4793" t="str">
            <v>Fira</v>
          </cell>
          <cell r="J4793"/>
          <cell r="K4793" t="str">
            <v>KU</v>
          </cell>
          <cell r="L4793" t="str">
            <v>MANT03</v>
          </cell>
          <cell r="M4793" t="str">
            <v>Mantab Jaya/Andiya</v>
          </cell>
          <cell r="N4793" t="str">
            <v>Andiya Wibowo</v>
          </cell>
          <cell r="O4793" t="str">
            <v>Dusun Trunosari RT.003/RT.005, Klanting, Sukodono</v>
          </cell>
          <cell r="P4793" t="str">
            <v>Lumajang</v>
          </cell>
          <cell r="Q4793" t="str">
            <v>Dusun Trunosari, Klanting, Sukodono</v>
          </cell>
          <cell r="R4793" t="str">
            <v>Lumajang</v>
          </cell>
          <cell r="S4793" t="str">
            <v>C Lumajang</v>
          </cell>
          <cell r="T4793" t="str">
            <v>Wira</v>
          </cell>
          <cell r="U4793">
            <v>30</v>
          </cell>
        </row>
        <row r="4794">
          <cell r="E4794" t="str">
            <v>B25011164</v>
          </cell>
          <cell r="F4794"/>
          <cell r="G4794">
            <v>50000000</v>
          </cell>
          <cell r="H4794" t="str">
            <v>Ariyani</v>
          </cell>
          <cell r="I4794" t="str">
            <v>Fira</v>
          </cell>
          <cell r="J4794"/>
          <cell r="K4794" t="str">
            <v>KU</v>
          </cell>
          <cell r="L4794" t="str">
            <v>MANT03</v>
          </cell>
          <cell r="M4794" t="str">
            <v>Mantab Jaya/Andiya</v>
          </cell>
          <cell r="N4794" t="str">
            <v>Andiya Wibowo</v>
          </cell>
          <cell r="O4794" t="str">
            <v>Dusun Trunosari RT.003/RT.005, Klanting, Sukodono</v>
          </cell>
          <cell r="P4794" t="str">
            <v>Lumajang</v>
          </cell>
          <cell r="Q4794" t="str">
            <v>Dusun Trunosari, Klanting, Sukodono</v>
          </cell>
          <cell r="R4794" t="str">
            <v>Lumajang</v>
          </cell>
          <cell r="S4794" t="str">
            <v>C Lumajang</v>
          </cell>
          <cell r="T4794" t="str">
            <v>Wira</v>
          </cell>
          <cell r="U4794">
            <v>30</v>
          </cell>
        </row>
        <row r="4795">
          <cell r="E4795" t="str">
            <v>B25011164</v>
          </cell>
          <cell r="F4795"/>
          <cell r="G4795">
            <v>50000000</v>
          </cell>
          <cell r="H4795" t="str">
            <v>Ariyani</v>
          </cell>
          <cell r="I4795" t="str">
            <v>Fira</v>
          </cell>
          <cell r="J4795"/>
          <cell r="K4795" t="str">
            <v>KU</v>
          </cell>
          <cell r="L4795" t="str">
            <v>MANT03</v>
          </cell>
          <cell r="M4795" t="str">
            <v>Mantab Jaya/Andiya</v>
          </cell>
          <cell r="N4795" t="str">
            <v>Andiya Wibowo</v>
          </cell>
          <cell r="O4795" t="str">
            <v>Dusun Trunosari RT.003/RT.005, Klanting, Sukodono</v>
          </cell>
          <cell r="P4795" t="str">
            <v>Lumajang</v>
          </cell>
          <cell r="Q4795" t="str">
            <v>Dusun Trunosari, Klanting, Sukodono</v>
          </cell>
          <cell r="R4795" t="str">
            <v>Lumajang</v>
          </cell>
          <cell r="S4795" t="str">
            <v>C Lumajang</v>
          </cell>
          <cell r="T4795" t="str">
            <v>Wira</v>
          </cell>
          <cell r="U4795">
            <v>30</v>
          </cell>
        </row>
        <row r="4796">
          <cell r="E4796" t="str">
            <v>D25013404</v>
          </cell>
          <cell r="F4796"/>
          <cell r="G4796">
            <v>50000000</v>
          </cell>
          <cell r="H4796" t="str">
            <v>Ariyani</v>
          </cell>
          <cell r="I4796" t="str">
            <v>Fira</v>
          </cell>
          <cell r="J4796"/>
          <cell r="K4796" t="str">
            <v>KU</v>
          </cell>
          <cell r="L4796" t="str">
            <v>MANT03</v>
          </cell>
          <cell r="M4796" t="str">
            <v>Mantab Jaya/Andiya</v>
          </cell>
          <cell r="N4796" t="str">
            <v>Andiya Wibowo</v>
          </cell>
          <cell r="O4796" t="str">
            <v>Dusun Trunosari RT.003/RT.005, Klanting, Sukodono</v>
          </cell>
          <cell r="P4796" t="str">
            <v>Lumajang</v>
          </cell>
          <cell r="Q4796" t="str">
            <v>Dusun Trunosari, Klanting, Sukodono</v>
          </cell>
          <cell r="R4796" t="str">
            <v>Lumajang</v>
          </cell>
          <cell r="S4796" t="str">
            <v>C Lumajang</v>
          </cell>
          <cell r="T4796" t="str">
            <v>Wira</v>
          </cell>
          <cell r="U4796">
            <v>30</v>
          </cell>
        </row>
        <row r="4797">
          <cell r="E4797" t="str">
            <v>B25011416</v>
          </cell>
          <cell r="F4797"/>
          <cell r="G4797">
            <v>50000000</v>
          </cell>
          <cell r="H4797" t="str">
            <v>Ariyani</v>
          </cell>
          <cell r="I4797" t="str">
            <v>Fira</v>
          </cell>
          <cell r="J4797"/>
          <cell r="K4797" t="str">
            <v>KU</v>
          </cell>
          <cell r="L4797" t="str">
            <v>MANT03</v>
          </cell>
          <cell r="M4797" t="str">
            <v>Mantab Jaya/Andiya</v>
          </cell>
          <cell r="N4797" t="str">
            <v>Andiya Wibowo</v>
          </cell>
          <cell r="O4797" t="str">
            <v>Dusun Trunosari RT.003/RT.005, Klanting, Sukodono</v>
          </cell>
          <cell r="P4797" t="str">
            <v>Lumajang</v>
          </cell>
          <cell r="Q4797" t="str">
            <v>Dusun Trunosari, Klanting, Sukodono</v>
          </cell>
          <cell r="R4797" t="str">
            <v>Lumajang</v>
          </cell>
          <cell r="S4797" t="str">
            <v>C Lumajang</v>
          </cell>
          <cell r="T4797" t="str">
            <v>Wira</v>
          </cell>
          <cell r="U4797">
            <v>30</v>
          </cell>
        </row>
        <row r="4798">
          <cell r="E4798" t="str">
            <v>B25011416</v>
          </cell>
          <cell r="F4798"/>
          <cell r="G4798">
            <v>50000000</v>
          </cell>
          <cell r="H4798" t="str">
            <v>Ariyani</v>
          </cell>
          <cell r="I4798" t="str">
            <v>Fira</v>
          </cell>
          <cell r="J4798"/>
          <cell r="K4798" t="str">
            <v>KU</v>
          </cell>
          <cell r="L4798" t="str">
            <v>MANT03</v>
          </cell>
          <cell r="M4798" t="str">
            <v>Mantab Jaya/Andiya</v>
          </cell>
          <cell r="N4798" t="str">
            <v>Andiya Wibowo</v>
          </cell>
          <cell r="O4798" t="str">
            <v>Dusun Trunosari RT.003/RT.005, Klanting, Sukodono</v>
          </cell>
          <cell r="P4798" t="str">
            <v>Lumajang</v>
          </cell>
          <cell r="Q4798" t="str">
            <v>Dusun Trunosari, Klanting, Sukodono</v>
          </cell>
          <cell r="R4798" t="str">
            <v>Lumajang</v>
          </cell>
          <cell r="S4798" t="str">
            <v>C Lumajang</v>
          </cell>
          <cell r="T4798" t="str">
            <v>Wira</v>
          </cell>
          <cell r="U4798">
            <v>30</v>
          </cell>
        </row>
        <row r="4799">
          <cell r="E4799" t="str">
            <v>D25014611</v>
          </cell>
          <cell r="F4799"/>
          <cell r="G4799">
            <v>50000000</v>
          </cell>
          <cell r="H4799" t="str">
            <v>Ariyani</v>
          </cell>
          <cell r="I4799" t="str">
            <v>Fira</v>
          </cell>
          <cell r="J4799"/>
          <cell r="K4799" t="str">
            <v>KU</v>
          </cell>
          <cell r="L4799" t="str">
            <v>MANT03</v>
          </cell>
          <cell r="M4799" t="str">
            <v>Mantab Jaya/Andiya</v>
          </cell>
          <cell r="N4799" t="str">
            <v>Andiya Wibowo</v>
          </cell>
          <cell r="O4799" t="str">
            <v>Dusun Trunosari RT.003/RT.005, Klanting, Sukodono</v>
          </cell>
          <cell r="P4799" t="str">
            <v>Lumajang</v>
          </cell>
          <cell r="Q4799" t="str">
            <v>Dusun Trunosari, Klanting, Sukodono</v>
          </cell>
          <cell r="R4799" t="str">
            <v>Lumajang</v>
          </cell>
          <cell r="S4799" t="str">
            <v>C Lumajang</v>
          </cell>
          <cell r="T4799" t="str">
            <v>Wira</v>
          </cell>
          <cell r="U4799">
            <v>30</v>
          </cell>
        </row>
        <row r="4800">
          <cell r="E4800" t="str">
            <v>B25013192</v>
          </cell>
          <cell r="F4800"/>
          <cell r="G4800">
            <v>50000000</v>
          </cell>
          <cell r="H4800" t="str">
            <v>Ariyani</v>
          </cell>
          <cell r="I4800" t="str">
            <v>Fira</v>
          </cell>
          <cell r="J4800"/>
          <cell r="K4800" t="str">
            <v>KU</v>
          </cell>
          <cell r="L4800" t="str">
            <v>MANT03</v>
          </cell>
          <cell r="M4800" t="str">
            <v>Mantab Jaya/Andiya</v>
          </cell>
          <cell r="N4800" t="str">
            <v>Andiya Wibowo</v>
          </cell>
          <cell r="O4800" t="str">
            <v>Dusun Trunosari RT.003/RT.005, Klanting, Sukodono</v>
          </cell>
          <cell r="P4800" t="str">
            <v>Lumajang</v>
          </cell>
          <cell r="Q4800" t="str">
            <v>Dusun Trunosari, Klanting, Sukodono</v>
          </cell>
          <cell r="R4800" t="str">
            <v>Lumajang</v>
          </cell>
          <cell r="S4800" t="str">
            <v>C Lumajang</v>
          </cell>
          <cell r="T4800" t="str">
            <v>Wira</v>
          </cell>
          <cell r="U4800">
            <v>30</v>
          </cell>
        </row>
        <row r="4801">
          <cell r="E4801" t="str">
            <v>D25015460</v>
          </cell>
          <cell r="F4801"/>
          <cell r="G4801">
            <v>50000000</v>
          </cell>
          <cell r="H4801" t="str">
            <v>Ariyani</v>
          </cell>
          <cell r="I4801" t="str">
            <v>Fira</v>
          </cell>
          <cell r="J4801"/>
          <cell r="K4801" t="str">
            <v>KU</v>
          </cell>
          <cell r="L4801" t="str">
            <v>MANT03</v>
          </cell>
          <cell r="M4801" t="str">
            <v>Mantab Jaya/Andiya</v>
          </cell>
          <cell r="N4801" t="str">
            <v>Andiya Wibowo</v>
          </cell>
          <cell r="O4801" t="str">
            <v>Dusun Trunosari RT.003/RT.005, Klanting, Sukodono</v>
          </cell>
          <cell r="P4801" t="str">
            <v>Lumajang</v>
          </cell>
          <cell r="Q4801" t="str">
            <v>Dusun Trunosari, Klanting, Sukodono</v>
          </cell>
          <cell r="R4801" t="str">
            <v>Lumajang</v>
          </cell>
          <cell r="S4801" t="str">
            <v>C Lumajang</v>
          </cell>
          <cell r="T4801" t="str">
            <v>Wira</v>
          </cell>
          <cell r="U4801">
            <v>30</v>
          </cell>
        </row>
        <row r="4802">
          <cell r="E4802" t="str">
            <v>B25013368</v>
          </cell>
          <cell r="F4802"/>
          <cell r="G4802">
            <v>50000000</v>
          </cell>
          <cell r="H4802" t="str">
            <v>Ariyani</v>
          </cell>
          <cell r="I4802" t="str">
            <v>Fira</v>
          </cell>
          <cell r="J4802"/>
          <cell r="K4802" t="str">
            <v>KU</v>
          </cell>
          <cell r="L4802" t="str">
            <v>MANT03</v>
          </cell>
          <cell r="M4802" t="str">
            <v>Mantab Jaya/Andiya</v>
          </cell>
          <cell r="N4802" t="str">
            <v>Andiya Wibowo</v>
          </cell>
          <cell r="O4802" t="str">
            <v>Dusun Trunosari RT.003/RT.005, Klanting, Sukodono</v>
          </cell>
          <cell r="P4802" t="str">
            <v>Lumajang</v>
          </cell>
          <cell r="Q4802" t="str">
            <v>Dusun Trunosari, Klanting, Sukodono</v>
          </cell>
          <cell r="R4802" t="str">
            <v>Lumajang</v>
          </cell>
          <cell r="S4802" t="str">
            <v>C Lumajang</v>
          </cell>
          <cell r="T4802" t="str">
            <v>Wira</v>
          </cell>
          <cell r="U4802">
            <v>30</v>
          </cell>
        </row>
        <row r="4803">
          <cell r="E4803" t="str">
            <v>B25012543</v>
          </cell>
          <cell r="F4803"/>
          <cell r="G4803">
            <v>1000</v>
          </cell>
          <cell r="H4803" t="str">
            <v>Yuyun</v>
          </cell>
          <cell r="I4803" t="str">
            <v>Farida</v>
          </cell>
          <cell r="J4803" t="str">
            <v>New 21/09/20</v>
          </cell>
          <cell r="K4803" t="str">
            <v>KU</v>
          </cell>
          <cell r="L4803" t="str">
            <v>MANU04</v>
          </cell>
          <cell r="M4803" t="str">
            <v>Manunggal Berkah Jaya/Izzul</v>
          </cell>
          <cell r="N4803" t="str">
            <v>Muhammad Izzul Muttaqin</v>
          </cell>
          <cell r="O4803" t="str">
            <v>Dusun Gayasan A RT.005/RW.005, Kel. Jenggawah, Kec. Jenggawah</v>
          </cell>
          <cell r="P4803" t="str">
            <v>Jember</v>
          </cell>
          <cell r="Q4803" t="str">
            <v>Dusun Gayasan A RT.005/RW.005, Kel. Jenggawah, Kec. Jenggawah</v>
          </cell>
          <cell r="R4803" t="str">
            <v>Jember</v>
          </cell>
          <cell r="S4803" t="str">
            <v>L Kota2</v>
          </cell>
          <cell r="T4803" t="str">
            <v>Wira</v>
          </cell>
          <cell r="U4803">
            <v>0</v>
          </cell>
        </row>
        <row r="4804">
          <cell r="E4804" t="str">
            <v>D25010847</v>
          </cell>
          <cell r="F4804"/>
          <cell r="G4804">
            <v>50000000</v>
          </cell>
          <cell r="H4804" t="str">
            <v>Faris</v>
          </cell>
          <cell r="I4804" t="str">
            <v>Syahra</v>
          </cell>
          <cell r="J4804"/>
          <cell r="K4804" t="str">
            <v>KU</v>
          </cell>
          <cell r="L4804" t="str">
            <v>MAPA02</v>
          </cell>
          <cell r="M4804" t="str">
            <v>Mapan Agro Sentosa, UD</v>
          </cell>
          <cell r="N4804" t="str">
            <v>Moch. Iqbal Kavin</v>
          </cell>
          <cell r="O4804" t="str">
            <v>Dambuntung, RT.004/RW.001, Kel. Kedungsari, Kec. Tegaldlimo</v>
          </cell>
          <cell r="P4804" t="str">
            <v>Banyuwangi</v>
          </cell>
          <cell r="Q4804" t="str">
            <v>Dikirim ke Mujahidin Delapan</v>
          </cell>
          <cell r="R4804" t="str">
            <v>Banyuwangi</v>
          </cell>
          <cell r="S4804" t="str">
            <v>H Bwi2</v>
          </cell>
          <cell r="T4804" t="str">
            <v>Hafid</v>
          </cell>
          <cell r="U4804">
            <v>60</v>
          </cell>
        </row>
        <row r="4805">
          <cell r="E4805" t="str">
            <v>D25012252</v>
          </cell>
          <cell r="F4805"/>
          <cell r="G4805">
            <v>50000000</v>
          </cell>
          <cell r="H4805" t="str">
            <v>Faris</v>
          </cell>
          <cell r="I4805" t="str">
            <v>Syahra</v>
          </cell>
          <cell r="J4805"/>
          <cell r="K4805" t="str">
            <v>KU</v>
          </cell>
          <cell r="L4805" t="str">
            <v>MAPA02</v>
          </cell>
          <cell r="M4805" t="str">
            <v>Mapan Agro Sentosa, UD</v>
          </cell>
          <cell r="N4805" t="str">
            <v>Moch. Iqbal Kavin</v>
          </cell>
          <cell r="O4805" t="str">
            <v>Dambuntung, RT.004/RW.001, Kel. Kedungsari, Kec. Tegaldlimo</v>
          </cell>
          <cell r="P4805" t="str">
            <v>Banyuwangi</v>
          </cell>
          <cell r="Q4805" t="str">
            <v>Dikirim ke Mujahidin Delapan</v>
          </cell>
          <cell r="R4805" t="str">
            <v>Banyuwangi</v>
          </cell>
          <cell r="S4805" t="str">
            <v>H Bwi2</v>
          </cell>
          <cell r="T4805" t="str">
            <v>Hafid</v>
          </cell>
          <cell r="U4805">
            <v>30</v>
          </cell>
        </row>
        <row r="4806">
          <cell r="E4806" t="str">
            <v>D25013209</v>
          </cell>
          <cell r="F4806"/>
          <cell r="G4806">
            <v>50000000</v>
          </cell>
          <cell r="H4806" t="str">
            <v>Faris</v>
          </cell>
          <cell r="I4806" t="str">
            <v>Syahra</v>
          </cell>
          <cell r="J4806"/>
          <cell r="K4806" t="str">
            <v>KU</v>
          </cell>
          <cell r="L4806" t="str">
            <v>MAPA02</v>
          </cell>
          <cell r="M4806" t="str">
            <v>Mapan Agro Sentosa, UD</v>
          </cell>
          <cell r="N4806" t="str">
            <v>Moch. Iqbal Kavin</v>
          </cell>
          <cell r="O4806" t="str">
            <v>Dambuntung, RT.004/RW.001, Kel. Kedungsari, Kec. Tegaldlimo</v>
          </cell>
          <cell r="P4806" t="str">
            <v>Banyuwangi</v>
          </cell>
          <cell r="Q4806" t="str">
            <v>Dikirim ke Mujahidin Delapan</v>
          </cell>
          <cell r="R4806" t="str">
            <v>Banyuwangi</v>
          </cell>
          <cell r="S4806" t="str">
            <v>H Bwi2</v>
          </cell>
          <cell r="T4806" t="str">
            <v>Hafid</v>
          </cell>
          <cell r="U4806">
            <v>30</v>
          </cell>
        </row>
        <row r="4807">
          <cell r="E4807" t="str">
            <v>D25013852</v>
          </cell>
          <cell r="F4807"/>
          <cell r="G4807">
            <v>50000000</v>
          </cell>
          <cell r="H4807" t="str">
            <v>Faris</v>
          </cell>
          <cell r="I4807" t="str">
            <v>Syahra</v>
          </cell>
          <cell r="J4807"/>
          <cell r="K4807" t="str">
            <v>KU</v>
          </cell>
          <cell r="L4807" t="str">
            <v>MAPA02</v>
          </cell>
          <cell r="M4807" t="str">
            <v>Mapan Agro Sentosa, UD</v>
          </cell>
          <cell r="N4807" t="str">
            <v>Moch. Iqbal Kavin</v>
          </cell>
          <cell r="O4807" t="str">
            <v>Dambuntung, RT.004/RW.001, Kel. Kedungsari, Kec. Tegaldlimo</v>
          </cell>
          <cell r="P4807" t="str">
            <v>Banyuwangi</v>
          </cell>
          <cell r="Q4807" t="str">
            <v>Dikirim ke Mujahidin Delapan</v>
          </cell>
          <cell r="R4807" t="str">
            <v>Banyuwangi</v>
          </cell>
          <cell r="S4807" t="str">
            <v>H Bwi2</v>
          </cell>
          <cell r="T4807" t="str">
            <v>Hafid</v>
          </cell>
          <cell r="U4807">
            <v>30</v>
          </cell>
        </row>
        <row r="4808">
          <cell r="E4808" t="str">
            <v>B25012414</v>
          </cell>
          <cell r="F4808"/>
          <cell r="G4808">
            <v>50000000</v>
          </cell>
          <cell r="H4808" t="str">
            <v>Faris</v>
          </cell>
          <cell r="I4808" t="str">
            <v>Syahra</v>
          </cell>
          <cell r="J4808"/>
          <cell r="K4808" t="str">
            <v>KU</v>
          </cell>
          <cell r="L4808" t="str">
            <v>MAPA02</v>
          </cell>
          <cell r="M4808" t="str">
            <v>Mapan Agro Sentosa, UD</v>
          </cell>
          <cell r="N4808" t="str">
            <v>Moch. Iqbal Kavin</v>
          </cell>
          <cell r="O4808" t="str">
            <v>Dambuntung, RT.004/RW.001, Kel. Kedungsari, Kec. Tegaldlimo</v>
          </cell>
          <cell r="P4808" t="str">
            <v>Banyuwangi</v>
          </cell>
          <cell r="Q4808" t="str">
            <v>Dikirim ke Mujahidin Delapan</v>
          </cell>
          <cell r="R4808" t="str">
            <v>Banyuwangi</v>
          </cell>
          <cell r="S4808" t="str">
            <v>H Bwi2</v>
          </cell>
          <cell r="T4808" t="str">
            <v>Hafid</v>
          </cell>
          <cell r="U4808">
            <v>30</v>
          </cell>
        </row>
        <row r="4809">
          <cell r="E4809" t="str">
            <v>B25013704</v>
          </cell>
          <cell r="F4809"/>
          <cell r="G4809">
            <v>50000000</v>
          </cell>
          <cell r="H4809" t="str">
            <v>Faris</v>
          </cell>
          <cell r="I4809" t="str">
            <v>Syahra</v>
          </cell>
          <cell r="J4809"/>
          <cell r="K4809" t="str">
            <v>KU</v>
          </cell>
          <cell r="L4809" t="str">
            <v>MAPA02</v>
          </cell>
          <cell r="M4809" t="str">
            <v>Mapan Agro Sentosa, UD</v>
          </cell>
          <cell r="N4809" t="str">
            <v>Moch. Iqbal Kavin</v>
          </cell>
          <cell r="O4809" t="str">
            <v>Dambuntung, RT.004/RW.001, Kel. Kedungsari, Kec. Tegaldlimo</v>
          </cell>
          <cell r="P4809" t="str">
            <v>Banyuwangi</v>
          </cell>
          <cell r="Q4809" t="str">
            <v>Dikirim ke Mujahidin Delapan</v>
          </cell>
          <cell r="R4809" t="str">
            <v>Banyuwangi</v>
          </cell>
          <cell r="S4809" t="str">
            <v>H Bwi2</v>
          </cell>
          <cell r="T4809" t="str">
            <v>Hafid</v>
          </cell>
          <cell r="U4809">
            <v>0</v>
          </cell>
        </row>
        <row r="4810">
          <cell r="E4810" t="str">
            <v>D25016057</v>
          </cell>
          <cell r="F4810"/>
          <cell r="G4810">
            <v>50000000</v>
          </cell>
          <cell r="H4810" t="str">
            <v>Faris</v>
          </cell>
          <cell r="I4810" t="str">
            <v>Syahra</v>
          </cell>
          <cell r="J4810"/>
          <cell r="K4810" t="str">
            <v>KU</v>
          </cell>
          <cell r="L4810" t="str">
            <v>MAPA02</v>
          </cell>
          <cell r="M4810" t="str">
            <v>Mapan Agro Sentosa, UD</v>
          </cell>
          <cell r="N4810" t="str">
            <v>Moch. Iqbal Kavin</v>
          </cell>
          <cell r="O4810" t="str">
            <v>Dambuntung, RT.004/RW.001, Kel. Kedungsari, Kec. Tegaldlimo</v>
          </cell>
          <cell r="P4810" t="str">
            <v>Banyuwangi</v>
          </cell>
          <cell r="Q4810" t="str">
            <v>Dikirim ke Mujahidin Delapan</v>
          </cell>
          <cell r="R4810" t="str">
            <v>Banyuwangi</v>
          </cell>
          <cell r="S4810" t="str">
            <v>H Bwi2</v>
          </cell>
          <cell r="T4810" t="str">
            <v>Hafid</v>
          </cell>
          <cell r="U4810">
            <v>30</v>
          </cell>
        </row>
        <row r="4811">
          <cell r="E4811" t="str">
            <v>T25001163</v>
          </cell>
          <cell r="F4811"/>
          <cell r="G4811">
            <v>100000000</v>
          </cell>
          <cell r="H4811" t="str">
            <v>Faris</v>
          </cell>
          <cell r="I4811" t="str">
            <v>Syahra</v>
          </cell>
          <cell r="J4811"/>
          <cell r="K4811" t="str">
            <v>Tunai</v>
          </cell>
          <cell r="L4811" t="str">
            <v>MARG01</v>
          </cell>
          <cell r="M4811" t="str">
            <v>Margo Joyo/Iksan</v>
          </cell>
          <cell r="N4811" t="str">
            <v>Trias Yulian Kurnia Zaidah</v>
          </cell>
          <cell r="O4811" t="str">
            <v>Dusun Krajan RT.001/RW.004, Siliragung</v>
          </cell>
          <cell r="P4811" t="str">
            <v>Banyuwangi</v>
          </cell>
          <cell r="Q4811" t="str">
            <v>Slamet Riyadi No. 36 Silir Agung</v>
          </cell>
          <cell r="R4811" t="str">
            <v>Banyuwangi</v>
          </cell>
          <cell r="S4811" t="str">
            <v>H Bwi4</v>
          </cell>
          <cell r="T4811" t="str">
            <v>Hafid</v>
          </cell>
          <cell r="U4811">
            <v>60</v>
          </cell>
        </row>
        <row r="4812">
          <cell r="E4812" t="str">
            <v>D25011955</v>
          </cell>
          <cell r="F4812"/>
          <cell r="G4812">
            <v>100000000</v>
          </cell>
          <cell r="H4812" t="str">
            <v>Faris</v>
          </cell>
          <cell r="I4812" t="str">
            <v>Syahra</v>
          </cell>
          <cell r="J4812"/>
          <cell r="K4812" t="str">
            <v>Tunai</v>
          </cell>
          <cell r="L4812" t="str">
            <v>MARG01</v>
          </cell>
          <cell r="M4812" t="str">
            <v>Margo Joyo/Iksan</v>
          </cell>
          <cell r="N4812" t="str">
            <v>Trias Yulian Kurnia Zaidah</v>
          </cell>
          <cell r="O4812" t="str">
            <v>Dusun Krajan RT.001/RW.004, Siliragung</v>
          </cell>
          <cell r="P4812" t="str">
            <v>Banyuwangi</v>
          </cell>
          <cell r="Q4812" t="str">
            <v>Slamet Riyadi No. 36 Silir Agung</v>
          </cell>
          <cell r="R4812" t="str">
            <v>Banyuwangi</v>
          </cell>
          <cell r="S4812" t="str">
            <v>H Bwi4</v>
          </cell>
          <cell r="T4812" t="str">
            <v>Hafid</v>
          </cell>
          <cell r="U4812">
            <v>30</v>
          </cell>
        </row>
        <row r="4813">
          <cell r="E4813" t="str">
            <v>B25010092</v>
          </cell>
          <cell r="F4813"/>
          <cell r="G4813">
            <v>100000000</v>
          </cell>
          <cell r="H4813" t="str">
            <v>Faris</v>
          </cell>
          <cell r="I4813" t="str">
            <v>Syahra</v>
          </cell>
          <cell r="J4813"/>
          <cell r="K4813" t="str">
            <v>Tunai</v>
          </cell>
          <cell r="L4813" t="str">
            <v>MARG01</v>
          </cell>
          <cell r="M4813" t="str">
            <v>Margo Joyo/Iksan</v>
          </cell>
          <cell r="N4813" t="str">
            <v>Trias Yulian Kurnia Zaidah</v>
          </cell>
          <cell r="O4813" t="str">
            <v>Dusun Krajan RT.001/RW.004, Siliragung</v>
          </cell>
          <cell r="P4813" t="str">
            <v>Banyuwangi</v>
          </cell>
          <cell r="Q4813" t="str">
            <v>Slamet Riyadi No. 36 Silir Agung</v>
          </cell>
          <cell r="R4813" t="str">
            <v>Banyuwangi</v>
          </cell>
          <cell r="S4813" t="str">
            <v>H Bwi4</v>
          </cell>
          <cell r="T4813" t="str">
            <v>Hafid</v>
          </cell>
          <cell r="U4813">
            <v>30</v>
          </cell>
        </row>
        <row r="4814">
          <cell r="E4814">
            <v>250069</v>
          </cell>
          <cell r="F4814"/>
          <cell r="G4814">
            <v>100000000</v>
          </cell>
          <cell r="H4814" t="str">
            <v>Faris</v>
          </cell>
          <cell r="I4814" t="str">
            <v>Syahra</v>
          </cell>
          <cell r="J4814"/>
          <cell r="K4814" t="str">
            <v>Tunai</v>
          </cell>
          <cell r="L4814" t="str">
            <v>MARG01</v>
          </cell>
          <cell r="M4814" t="str">
            <v>Margo Joyo/Iksan</v>
          </cell>
          <cell r="N4814" t="str">
            <v>Trias Yulian Kurnia Zaidah</v>
          </cell>
          <cell r="O4814" t="str">
            <v>Dusun Krajan RT.001/RW.004, Siliragung</v>
          </cell>
          <cell r="P4814" t="str">
            <v>Banyuwangi</v>
          </cell>
          <cell r="Q4814" t="str">
            <v>Slamet Riyadi No. 36 Silir Agung</v>
          </cell>
          <cell r="R4814" t="str">
            <v>Banyuwangi</v>
          </cell>
          <cell r="S4814" t="str">
            <v>H Bwi4</v>
          </cell>
          <cell r="T4814" t="str">
            <v>Hafid</v>
          </cell>
          <cell r="U4814">
            <v>30</v>
          </cell>
        </row>
        <row r="4815">
          <cell r="E4815" t="str">
            <v>B25010933</v>
          </cell>
          <cell r="F4815"/>
          <cell r="G4815">
            <v>100000000</v>
          </cell>
          <cell r="H4815" t="str">
            <v>Faris</v>
          </cell>
          <cell r="I4815" t="str">
            <v>Syahra</v>
          </cell>
          <cell r="J4815"/>
          <cell r="K4815" t="str">
            <v>Tunai</v>
          </cell>
          <cell r="L4815" t="str">
            <v>MARG01</v>
          </cell>
          <cell r="M4815" t="str">
            <v>Margo Joyo/Iksan</v>
          </cell>
          <cell r="N4815" t="str">
            <v>Trias Yulian Kurnia Zaidah</v>
          </cell>
          <cell r="O4815" t="str">
            <v>Dusun Krajan RT.001/RW.004, Siliragung</v>
          </cell>
          <cell r="P4815" t="str">
            <v>Banyuwangi</v>
          </cell>
          <cell r="Q4815" t="str">
            <v>Slamet Riyadi No. 36 Silir Agung</v>
          </cell>
          <cell r="R4815" t="str">
            <v>Banyuwangi</v>
          </cell>
          <cell r="S4815" t="str">
            <v>H Bwi4</v>
          </cell>
          <cell r="T4815" t="str">
            <v>Hafid</v>
          </cell>
          <cell r="U4815">
            <v>30</v>
          </cell>
        </row>
        <row r="4816">
          <cell r="E4816" t="str">
            <v>B25010934</v>
          </cell>
          <cell r="F4816"/>
          <cell r="G4816">
            <v>100000000</v>
          </cell>
          <cell r="H4816" t="str">
            <v>Faris</v>
          </cell>
          <cell r="I4816" t="str">
            <v>Syahra</v>
          </cell>
          <cell r="J4816"/>
          <cell r="K4816" t="str">
            <v>Tunai</v>
          </cell>
          <cell r="L4816" t="str">
            <v>MARG01</v>
          </cell>
          <cell r="M4816" t="str">
            <v>Margo Joyo/Iksan</v>
          </cell>
          <cell r="N4816" t="str">
            <v>Trias Yulian Kurnia Zaidah</v>
          </cell>
          <cell r="O4816" t="str">
            <v>Dusun Krajan RT.001/RW.004, Siliragung</v>
          </cell>
          <cell r="P4816" t="str">
            <v>Banyuwangi</v>
          </cell>
          <cell r="Q4816" t="str">
            <v>Slamet Riyadi No. 36 Silir Agung</v>
          </cell>
          <cell r="R4816" t="str">
            <v>Banyuwangi</v>
          </cell>
          <cell r="S4816" t="str">
            <v>H Bwi4</v>
          </cell>
          <cell r="T4816" t="str">
            <v>Hafid</v>
          </cell>
          <cell r="U4816">
            <v>30</v>
          </cell>
        </row>
        <row r="4817">
          <cell r="E4817" t="str">
            <v>B25011633</v>
          </cell>
          <cell r="F4817"/>
          <cell r="G4817">
            <v>100000000</v>
          </cell>
          <cell r="H4817" t="str">
            <v>Faris</v>
          </cell>
          <cell r="I4817" t="str">
            <v>Syahra</v>
          </cell>
          <cell r="J4817"/>
          <cell r="K4817" t="str">
            <v>Tunai</v>
          </cell>
          <cell r="L4817" t="str">
            <v>MARG01</v>
          </cell>
          <cell r="M4817" t="str">
            <v>Margo Joyo/Iksan</v>
          </cell>
          <cell r="N4817" t="str">
            <v>Trias Yulian Kurnia Zaidah</v>
          </cell>
          <cell r="O4817" t="str">
            <v>Dusun Krajan RT.001/RW.004, Siliragung</v>
          </cell>
          <cell r="P4817" t="str">
            <v>Banyuwangi</v>
          </cell>
          <cell r="Q4817" t="str">
            <v>Slamet Riyadi No. 36 Silir Agung</v>
          </cell>
          <cell r="R4817" t="str">
            <v>Banyuwangi</v>
          </cell>
          <cell r="S4817" t="str">
            <v>H Bwi4</v>
          </cell>
          <cell r="T4817" t="str">
            <v>Hafid</v>
          </cell>
          <cell r="U4817">
            <v>30</v>
          </cell>
        </row>
        <row r="4818">
          <cell r="E4818" t="str">
            <v>B25011634</v>
          </cell>
          <cell r="F4818"/>
          <cell r="G4818">
            <v>100000000</v>
          </cell>
          <cell r="H4818" t="str">
            <v>Faris</v>
          </cell>
          <cell r="I4818" t="str">
            <v>Syahra</v>
          </cell>
          <cell r="J4818"/>
          <cell r="K4818" t="str">
            <v>Tunai</v>
          </cell>
          <cell r="L4818" t="str">
            <v>MARG01</v>
          </cell>
          <cell r="M4818" t="str">
            <v>Margo Joyo/Iksan</v>
          </cell>
          <cell r="N4818" t="str">
            <v>Trias Yulian Kurnia Zaidah</v>
          </cell>
          <cell r="O4818" t="str">
            <v>Dusun Krajan RT.001/RW.004, Siliragung</v>
          </cell>
          <cell r="P4818" t="str">
            <v>Banyuwangi</v>
          </cell>
          <cell r="Q4818" t="str">
            <v>Slamet Riyadi No. 36 Silir Agung</v>
          </cell>
          <cell r="R4818" t="str">
            <v>Banyuwangi</v>
          </cell>
          <cell r="S4818" t="str">
            <v>H Bwi4</v>
          </cell>
          <cell r="T4818" t="str">
            <v>Hafid</v>
          </cell>
          <cell r="U4818">
            <v>30</v>
          </cell>
        </row>
        <row r="4819">
          <cell r="E4819">
            <v>250121</v>
          </cell>
          <cell r="F4819"/>
          <cell r="G4819">
            <v>100000000</v>
          </cell>
          <cell r="H4819" t="str">
            <v>Faris</v>
          </cell>
          <cell r="I4819" t="str">
            <v>Syahra</v>
          </cell>
          <cell r="J4819"/>
          <cell r="K4819" t="str">
            <v>Tunai</v>
          </cell>
          <cell r="L4819" t="str">
            <v>MARG01</v>
          </cell>
          <cell r="M4819" t="str">
            <v>Margo Joyo/Iksan</v>
          </cell>
          <cell r="N4819" t="str">
            <v>Trias Yulian Kurnia Zaidah</v>
          </cell>
          <cell r="O4819" t="str">
            <v>Dusun Krajan RT.001/RW.004, Siliragung</v>
          </cell>
          <cell r="P4819" t="str">
            <v>Banyuwangi</v>
          </cell>
          <cell r="Q4819" t="str">
            <v>Slamet Riyadi No. 36 Silir Agung</v>
          </cell>
          <cell r="R4819" t="str">
            <v>Banyuwangi</v>
          </cell>
          <cell r="S4819" t="str">
            <v>H Bwi4</v>
          </cell>
          <cell r="T4819" t="str">
            <v>Hafid</v>
          </cell>
          <cell r="U4819">
            <v>30</v>
          </cell>
        </row>
        <row r="4820">
          <cell r="E4820" t="str">
            <v>D25014662</v>
          </cell>
          <cell r="F4820"/>
          <cell r="G4820">
            <v>100000000</v>
          </cell>
          <cell r="H4820" t="str">
            <v>Faris</v>
          </cell>
          <cell r="I4820" t="str">
            <v>Syahra</v>
          </cell>
          <cell r="J4820"/>
          <cell r="K4820" t="str">
            <v>Tunai</v>
          </cell>
          <cell r="L4820" t="str">
            <v>MARG01</v>
          </cell>
          <cell r="M4820" t="str">
            <v>Margo Joyo/Iksan</v>
          </cell>
          <cell r="N4820" t="str">
            <v>Trias Yulian Kurnia Zaidah</v>
          </cell>
          <cell r="O4820" t="str">
            <v>Dusun Krajan RT.001/RW.004, Siliragung</v>
          </cell>
          <cell r="P4820" t="str">
            <v>Banyuwangi</v>
          </cell>
          <cell r="Q4820" t="str">
            <v>Slamet Riyadi No. 36 Silir Agung</v>
          </cell>
          <cell r="R4820" t="str">
            <v>Banyuwangi</v>
          </cell>
          <cell r="S4820" t="str">
            <v>H Bwi4</v>
          </cell>
          <cell r="T4820" t="str">
            <v>Hafid</v>
          </cell>
          <cell r="U4820">
            <v>30</v>
          </cell>
        </row>
        <row r="4821">
          <cell r="E4821" t="str">
            <v>D25014663</v>
          </cell>
          <cell r="F4821"/>
          <cell r="G4821">
            <v>100000000</v>
          </cell>
          <cell r="H4821" t="str">
            <v>Faris</v>
          </cell>
          <cell r="I4821" t="str">
            <v>Syahra</v>
          </cell>
          <cell r="J4821"/>
          <cell r="K4821" t="str">
            <v>Tunai</v>
          </cell>
          <cell r="L4821" t="str">
            <v>MARG01</v>
          </cell>
          <cell r="M4821" t="str">
            <v>Margo Joyo/Iksan</v>
          </cell>
          <cell r="N4821" t="str">
            <v>Trias Yulian Kurnia Zaidah</v>
          </cell>
          <cell r="O4821" t="str">
            <v>Dusun Krajan RT.001/RW.004, Siliragung</v>
          </cell>
          <cell r="P4821" t="str">
            <v>Banyuwangi</v>
          </cell>
          <cell r="Q4821" t="str">
            <v>Slamet Riyadi No. 36 Silir Agung</v>
          </cell>
          <cell r="R4821" t="str">
            <v>Banyuwangi</v>
          </cell>
          <cell r="S4821" t="str">
            <v>H Bwi4</v>
          </cell>
          <cell r="T4821" t="str">
            <v>Hafid</v>
          </cell>
          <cell r="U4821">
            <v>0</v>
          </cell>
        </row>
        <row r="4822">
          <cell r="E4822" t="str">
            <v>B25013301</v>
          </cell>
          <cell r="F4822"/>
          <cell r="G4822">
            <v>100000000</v>
          </cell>
          <cell r="H4822" t="str">
            <v>Faris</v>
          </cell>
          <cell r="I4822" t="str">
            <v>Syahra</v>
          </cell>
          <cell r="J4822"/>
          <cell r="K4822" t="str">
            <v>Tunai</v>
          </cell>
          <cell r="L4822" t="str">
            <v>MARG01</v>
          </cell>
          <cell r="M4822" t="str">
            <v>Margo Joyo/Iksan</v>
          </cell>
          <cell r="N4822" t="str">
            <v>Trias Yulian Kurnia Zaidah</v>
          </cell>
          <cell r="O4822" t="str">
            <v>Dusun Krajan RT.001/RW.004, Siliragung</v>
          </cell>
          <cell r="P4822" t="str">
            <v>Banyuwangi</v>
          </cell>
          <cell r="Q4822" t="str">
            <v>Slamet Riyadi No. 36 Silir Agung</v>
          </cell>
          <cell r="R4822" t="str">
            <v>Banyuwangi</v>
          </cell>
          <cell r="S4822" t="str">
            <v>H Bwi4</v>
          </cell>
          <cell r="T4822" t="str">
            <v>Hafid</v>
          </cell>
          <cell r="U4822">
            <v>30</v>
          </cell>
        </row>
        <row r="4823">
          <cell r="E4823" t="str">
            <v>B25013313</v>
          </cell>
          <cell r="F4823"/>
          <cell r="G4823">
            <v>100000000</v>
          </cell>
          <cell r="H4823" t="str">
            <v>Faris</v>
          </cell>
          <cell r="I4823" t="str">
            <v>Syahra</v>
          </cell>
          <cell r="J4823"/>
          <cell r="K4823" t="str">
            <v>Tunai</v>
          </cell>
          <cell r="L4823" t="str">
            <v>MARG01</v>
          </cell>
          <cell r="M4823" t="str">
            <v>Margo Joyo/Iksan</v>
          </cell>
          <cell r="N4823" t="str">
            <v>Trias Yulian Kurnia Zaidah</v>
          </cell>
          <cell r="O4823" t="str">
            <v>Dusun Krajan RT.001/RW.004, Siliragung</v>
          </cell>
          <cell r="P4823" t="str">
            <v>Banyuwangi</v>
          </cell>
          <cell r="Q4823" t="str">
            <v>Slamet Riyadi No. 36 Silir Agung</v>
          </cell>
          <cell r="R4823" t="str">
            <v>Banyuwangi</v>
          </cell>
          <cell r="S4823" t="str">
            <v>H Bwi4</v>
          </cell>
          <cell r="T4823" t="str">
            <v>Hafid</v>
          </cell>
          <cell r="U4823">
            <v>30</v>
          </cell>
        </row>
        <row r="4824">
          <cell r="E4824" t="str">
            <v>D25013810</v>
          </cell>
          <cell r="F4824"/>
          <cell r="G4824">
            <v>50000000</v>
          </cell>
          <cell r="H4824" t="str">
            <v>Yuyun</v>
          </cell>
          <cell r="I4824" t="str">
            <v>Farida</v>
          </cell>
          <cell r="J4824"/>
          <cell r="K4824" t="str">
            <v>Tunai</v>
          </cell>
          <cell r="L4824" t="str">
            <v>MARG03</v>
          </cell>
          <cell r="M4824" t="str">
            <v>Margo Rahayu/Latief</v>
          </cell>
          <cell r="N4824" t="str">
            <v>Latief</v>
          </cell>
          <cell r="O4824" t="str">
            <v>Watukebo Andongsari Ambulu</v>
          </cell>
          <cell r="P4824" t="str">
            <v>Jember</v>
          </cell>
          <cell r="Q4824" t="str">
            <v>Watukebo Andongsari Ambulu</v>
          </cell>
          <cell r="R4824" t="str">
            <v>Jember</v>
          </cell>
          <cell r="S4824" t="str">
            <v>L Kota2</v>
          </cell>
          <cell r="T4824" t="str">
            <v>Efendi</v>
          </cell>
          <cell r="U4824">
            <v>30</v>
          </cell>
        </row>
        <row r="4825">
          <cell r="E4825" t="str">
            <v>D25013824</v>
          </cell>
          <cell r="F4825"/>
          <cell r="G4825">
            <v>50000000</v>
          </cell>
          <cell r="H4825" t="str">
            <v>Yuyun</v>
          </cell>
          <cell r="I4825" t="str">
            <v>Farida</v>
          </cell>
          <cell r="J4825"/>
          <cell r="K4825" t="str">
            <v>Tunai</v>
          </cell>
          <cell r="L4825" t="str">
            <v>MARG03</v>
          </cell>
          <cell r="M4825" t="str">
            <v>Margo Rahayu/Latief</v>
          </cell>
          <cell r="N4825" t="str">
            <v>Latief</v>
          </cell>
          <cell r="O4825" t="str">
            <v>Watukebo Andongsari Ambulu</v>
          </cell>
          <cell r="P4825" t="str">
            <v>Jember</v>
          </cell>
          <cell r="Q4825" t="str">
            <v>Watukebo Andongsari Ambulu</v>
          </cell>
          <cell r="R4825" t="str">
            <v>Jember</v>
          </cell>
          <cell r="S4825" t="str">
            <v>L Kota2</v>
          </cell>
          <cell r="T4825" t="str">
            <v>Efendi</v>
          </cell>
          <cell r="U4825">
            <v>30</v>
          </cell>
        </row>
        <row r="4826">
          <cell r="E4826" t="str">
            <v>D25014634</v>
          </cell>
          <cell r="F4826"/>
          <cell r="G4826">
            <v>50000000</v>
          </cell>
          <cell r="H4826" t="str">
            <v>Yuyun</v>
          </cell>
          <cell r="I4826" t="str">
            <v>Farida</v>
          </cell>
          <cell r="J4826"/>
          <cell r="K4826" t="str">
            <v>Tunai</v>
          </cell>
          <cell r="L4826" t="str">
            <v>MARG03</v>
          </cell>
          <cell r="M4826" t="str">
            <v>Margo Rahayu/Latief</v>
          </cell>
          <cell r="N4826" t="str">
            <v>Latief</v>
          </cell>
          <cell r="O4826" t="str">
            <v>Watukebo Andongsari Ambulu</v>
          </cell>
          <cell r="P4826" t="str">
            <v>Jember</v>
          </cell>
          <cell r="Q4826" t="str">
            <v>Watukebo Andongsari Ambulu</v>
          </cell>
          <cell r="R4826" t="str">
            <v>Jember</v>
          </cell>
          <cell r="S4826" t="str">
            <v>L Kota2</v>
          </cell>
          <cell r="T4826" t="str">
            <v>Efendi</v>
          </cell>
          <cell r="U4826">
            <v>30</v>
          </cell>
        </row>
        <row r="4827">
          <cell r="E4827" t="str">
            <v>B25014039</v>
          </cell>
          <cell r="F4827"/>
          <cell r="G4827">
            <v>50000000</v>
          </cell>
          <cell r="H4827" t="str">
            <v>Yuyun</v>
          </cell>
          <cell r="I4827" t="str">
            <v>Farida</v>
          </cell>
          <cell r="J4827"/>
          <cell r="K4827" t="str">
            <v>Tunai</v>
          </cell>
          <cell r="L4827" t="str">
            <v>MARG03</v>
          </cell>
          <cell r="M4827" t="str">
            <v>Margo Rahayu/Latief</v>
          </cell>
          <cell r="N4827" t="str">
            <v>Latief</v>
          </cell>
          <cell r="O4827" t="str">
            <v>Watukebo Andongsari Ambulu</v>
          </cell>
          <cell r="P4827" t="str">
            <v>Jember</v>
          </cell>
          <cell r="Q4827" t="str">
            <v>Watukebo Andongsari Ambulu</v>
          </cell>
          <cell r="R4827" t="str">
            <v>Jember</v>
          </cell>
          <cell r="S4827" t="str">
            <v>L Kota2</v>
          </cell>
          <cell r="T4827" t="str">
            <v>Efendi</v>
          </cell>
          <cell r="U4827">
            <v>30</v>
          </cell>
        </row>
        <row r="4828">
          <cell r="E4828" t="str">
            <v>B25014040</v>
          </cell>
          <cell r="F4828"/>
          <cell r="G4828">
            <v>50000000</v>
          </cell>
          <cell r="H4828" t="str">
            <v>Yuyun</v>
          </cell>
          <cell r="I4828" t="str">
            <v>Farida</v>
          </cell>
          <cell r="J4828"/>
          <cell r="K4828" t="str">
            <v>Tunai</v>
          </cell>
          <cell r="L4828" t="str">
            <v>MARG03</v>
          </cell>
          <cell r="M4828" t="str">
            <v>Margo Rahayu/Latief</v>
          </cell>
          <cell r="N4828" t="str">
            <v>Latief</v>
          </cell>
          <cell r="O4828" t="str">
            <v>Watukebo Andongsari Ambulu</v>
          </cell>
          <cell r="P4828" t="str">
            <v>Jember</v>
          </cell>
          <cell r="Q4828" t="str">
            <v>Watukebo Andongsari Ambulu</v>
          </cell>
          <cell r="R4828" t="str">
            <v>Jember</v>
          </cell>
          <cell r="S4828" t="str">
            <v>L Kota2</v>
          </cell>
          <cell r="T4828" t="str">
            <v>Efendi</v>
          </cell>
          <cell r="U4828">
            <v>30</v>
          </cell>
        </row>
        <row r="4829">
          <cell r="E4829" t="str">
            <v>B25012967</v>
          </cell>
          <cell r="F4829"/>
          <cell r="G4829">
            <v>1000</v>
          </cell>
          <cell r="H4829" t="str">
            <v>Hendra</v>
          </cell>
          <cell r="I4829" t="str">
            <v>Tiya</v>
          </cell>
          <cell r="J4829" t="str">
            <v>New 24/12/2024</v>
          </cell>
          <cell r="K4829" t="str">
            <v>CBD</v>
          </cell>
          <cell r="L4829" t="str">
            <v>MARI07</v>
          </cell>
          <cell r="M4829" t="str">
            <v>Marinus Lende Bora</v>
          </cell>
          <cell r="N4829" t="str">
            <v>Marinus Lende Bora</v>
          </cell>
          <cell r="O4829" t="str">
            <v>Binna Kadelu RT.000/RW.000, Buru Dielo, Wewewa Selatan</v>
          </cell>
          <cell r="P4829" t="str">
            <v>Sumba Barat Daya</v>
          </cell>
          <cell r="Q4829" t="str">
            <v>Buru Deilo, Wewewa Selatan</v>
          </cell>
          <cell r="R4829" t="str">
            <v>Sumba Barat Daya</v>
          </cell>
          <cell r="S4829" t="str">
            <v>E Luar Pulau3</v>
          </cell>
          <cell r="T4829" t="str">
            <v>Muhlisin</v>
          </cell>
          <cell r="U4829">
            <v>15</v>
          </cell>
        </row>
        <row r="4830">
          <cell r="E4830" t="str">
            <v>B25013886</v>
          </cell>
          <cell r="F4830"/>
          <cell r="G4830">
            <v>1000</v>
          </cell>
          <cell r="H4830" t="str">
            <v>Hendra</v>
          </cell>
          <cell r="I4830" t="str">
            <v>Tiya</v>
          </cell>
          <cell r="J4830" t="str">
            <v>New 24/12/2024</v>
          </cell>
          <cell r="K4830" t="str">
            <v>CBD</v>
          </cell>
          <cell r="L4830" t="str">
            <v>MARI07</v>
          </cell>
          <cell r="M4830" t="str">
            <v>Marinus Lende Bora</v>
          </cell>
          <cell r="N4830" t="str">
            <v>Marinus Lende Bora</v>
          </cell>
          <cell r="O4830" t="str">
            <v>Binna Kadelu RT.000/RW.000, Buru Dielo, Wewewa Selatan</v>
          </cell>
          <cell r="P4830" t="str">
            <v>Sumba Barat Daya</v>
          </cell>
          <cell r="Q4830" t="str">
            <v>Buru Deilo, Wewewa Selatan</v>
          </cell>
          <cell r="R4830" t="str">
            <v>Sumba Barat Daya</v>
          </cell>
          <cell r="S4830" t="str">
            <v>E Luar Pulau3</v>
          </cell>
          <cell r="T4830" t="str">
            <v>Muhlisin</v>
          </cell>
          <cell r="U4830">
            <v>15</v>
          </cell>
        </row>
        <row r="4831">
          <cell r="E4831" t="str">
            <v>D25012936</v>
          </cell>
          <cell r="F4831"/>
          <cell r="G4831">
            <v>2500000000</v>
          </cell>
          <cell r="H4831" t="str">
            <v>Hendra</v>
          </cell>
          <cell r="I4831" t="str">
            <v>Tiya</v>
          </cell>
          <cell r="J4831"/>
          <cell r="K4831" t="str">
            <v>KU</v>
          </cell>
          <cell r="L4831" t="str">
            <v>MARY01</v>
          </cell>
          <cell r="M4831" t="str">
            <v>Maryono</v>
          </cell>
          <cell r="N4831" t="str">
            <v>Ryrifi Tani Blessing, PT</v>
          </cell>
          <cell r="O4831" t="str">
            <v>Dusun Spontan Loorng 6B RT.004/RW.001, Wonokerto, Sukamaju Selatan</v>
          </cell>
          <cell r="P4831" t="str">
            <v>Luwu Utara</v>
          </cell>
          <cell r="Q4831" t="str">
            <v>Dsn. Spontan Lr. 6B, Wonokerto, Sukamaju</v>
          </cell>
          <cell r="R4831" t="str">
            <v>Luwu Utara</v>
          </cell>
          <cell r="S4831" t="str">
            <v>E Luar Pulau2</v>
          </cell>
          <cell r="T4831" t="str">
            <v>Non SE &amp; JSE</v>
          </cell>
          <cell r="U4831">
            <v>45</v>
          </cell>
        </row>
        <row r="4832">
          <cell r="E4832" t="str">
            <v>D25012947</v>
          </cell>
          <cell r="F4832"/>
          <cell r="G4832">
            <v>2500000000</v>
          </cell>
          <cell r="H4832" t="str">
            <v>Hendra</v>
          </cell>
          <cell r="I4832" t="str">
            <v>Tiya</v>
          </cell>
          <cell r="J4832"/>
          <cell r="K4832" t="str">
            <v>KU</v>
          </cell>
          <cell r="L4832" t="str">
            <v>MARY01</v>
          </cell>
          <cell r="M4832" t="str">
            <v>Maryono</v>
          </cell>
          <cell r="N4832" t="str">
            <v>Ryrifi Tani Blessing, PT</v>
          </cell>
          <cell r="O4832" t="str">
            <v>Dusun Spontan Loorng 6B RT.004/RW.001, Wonokerto, Sukamaju Selatan</v>
          </cell>
          <cell r="P4832" t="str">
            <v>Luwu Utara</v>
          </cell>
          <cell r="Q4832" t="str">
            <v>Dsn. Spontan Lr. 6B, Wonokerto, Sukamaju</v>
          </cell>
          <cell r="R4832" t="str">
            <v>Luwu Utara</v>
          </cell>
          <cell r="S4832" t="str">
            <v>E Luar Pulau2</v>
          </cell>
          <cell r="T4832" t="str">
            <v>Non SE &amp; JSE</v>
          </cell>
          <cell r="U4832">
            <v>45</v>
          </cell>
        </row>
        <row r="4833">
          <cell r="E4833" t="str">
            <v>D25013784</v>
          </cell>
          <cell r="F4833"/>
          <cell r="G4833">
            <v>2500000000</v>
          </cell>
          <cell r="H4833" t="str">
            <v>Hendra</v>
          </cell>
          <cell r="I4833" t="str">
            <v>Tiya</v>
          </cell>
          <cell r="J4833"/>
          <cell r="K4833" t="str">
            <v>KU</v>
          </cell>
          <cell r="L4833" t="str">
            <v>MARY01</v>
          </cell>
          <cell r="M4833" t="str">
            <v>Maryono</v>
          </cell>
          <cell r="N4833" t="str">
            <v>Ryrifi Tani Blessing, PT</v>
          </cell>
          <cell r="O4833" t="str">
            <v>Dusun Spontan Loorng 6B RT.004/RW.001, Wonokerto, Sukamaju Selatan</v>
          </cell>
          <cell r="P4833" t="str">
            <v>Luwu Utara</v>
          </cell>
          <cell r="Q4833" t="str">
            <v>Dsn. Spontan Lr. 6B, Wonokerto, Sukamaju</v>
          </cell>
          <cell r="R4833" t="str">
            <v>Luwu Utara</v>
          </cell>
          <cell r="S4833" t="str">
            <v>E Luar Pulau2</v>
          </cell>
          <cell r="T4833" t="str">
            <v>Non SE &amp; JSE</v>
          </cell>
          <cell r="U4833">
            <v>45</v>
          </cell>
        </row>
        <row r="4834">
          <cell r="E4834" t="str">
            <v>D25013798</v>
          </cell>
          <cell r="F4834"/>
          <cell r="G4834">
            <v>2500000000</v>
          </cell>
          <cell r="H4834" t="str">
            <v>Hendra</v>
          </cell>
          <cell r="I4834" t="str">
            <v>Tiya</v>
          </cell>
          <cell r="J4834"/>
          <cell r="K4834" t="str">
            <v>KU</v>
          </cell>
          <cell r="L4834" t="str">
            <v>MARY01</v>
          </cell>
          <cell r="M4834" t="str">
            <v>Maryono</v>
          </cell>
          <cell r="N4834" t="str">
            <v>Ryrifi Tani Blessing, PT</v>
          </cell>
          <cell r="O4834" t="str">
            <v>Dusun Spontan Loorng 6B RT.004/RW.001, Wonokerto, Sukamaju Selatan</v>
          </cell>
          <cell r="P4834" t="str">
            <v>Luwu Utara</v>
          </cell>
          <cell r="Q4834" t="str">
            <v>Dsn. Spontan Lr. 6B, Wonokerto, Sukamaju</v>
          </cell>
          <cell r="R4834" t="str">
            <v>Luwu Utara</v>
          </cell>
          <cell r="S4834" t="str">
            <v>E Luar Pulau2</v>
          </cell>
          <cell r="T4834" t="str">
            <v>Non SE &amp; JSE</v>
          </cell>
          <cell r="U4834">
            <v>45</v>
          </cell>
        </row>
        <row r="4835">
          <cell r="E4835" t="str">
            <v>D25014169</v>
          </cell>
          <cell r="F4835"/>
          <cell r="G4835">
            <v>2500000000</v>
          </cell>
          <cell r="H4835" t="str">
            <v>Hendra</v>
          </cell>
          <cell r="I4835" t="str">
            <v>Tiya</v>
          </cell>
          <cell r="J4835"/>
          <cell r="K4835" t="str">
            <v>KU</v>
          </cell>
          <cell r="L4835" t="str">
            <v>MARY01</v>
          </cell>
          <cell r="M4835" t="str">
            <v>Maryono</v>
          </cell>
          <cell r="N4835" t="str">
            <v>Ryrifi Tani Blessing, PT</v>
          </cell>
          <cell r="O4835" t="str">
            <v>Dusun Spontan Loorng 6B RT.004/RW.001, Wonokerto, Sukamaju Selatan</v>
          </cell>
          <cell r="P4835" t="str">
            <v>Luwu Utara</v>
          </cell>
          <cell r="Q4835" t="str">
            <v>Dsn. Spontan Lr. 6B, Wonokerto, Sukamaju</v>
          </cell>
          <cell r="R4835" t="str">
            <v>Luwu Utara</v>
          </cell>
          <cell r="S4835" t="str">
            <v>E Luar Pulau2</v>
          </cell>
          <cell r="T4835" t="str">
            <v>Non SE &amp; JSE</v>
          </cell>
          <cell r="U4835">
            <v>45</v>
          </cell>
        </row>
        <row r="4836">
          <cell r="E4836" t="str">
            <v>D25015316</v>
          </cell>
          <cell r="F4836"/>
          <cell r="G4836">
            <v>2500000000</v>
          </cell>
          <cell r="H4836" t="str">
            <v>Hendra</v>
          </cell>
          <cell r="I4836" t="str">
            <v>Tiya</v>
          </cell>
          <cell r="J4836"/>
          <cell r="K4836" t="str">
            <v>KU</v>
          </cell>
          <cell r="L4836" t="str">
            <v>MARY01</v>
          </cell>
          <cell r="M4836" t="str">
            <v>Maryono</v>
          </cell>
          <cell r="N4836" t="str">
            <v>Ryrifi Tani Blessing, PT</v>
          </cell>
          <cell r="O4836" t="str">
            <v>Dusun Spontan Loorng 6B RT.004/RW.001, Wonokerto, Sukamaju Selatan</v>
          </cell>
          <cell r="P4836" t="str">
            <v>Luwu Utara</v>
          </cell>
          <cell r="Q4836" t="str">
            <v>Dsn. Spontan Lr. 6B, Wonokerto, Sukamaju</v>
          </cell>
          <cell r="R4836" t="str">
            <v>Luwu Utara</v>
          </cell>
          <cell r="S4836" t="str">
            <v>E Luar Pulau2</v>
          </cell>
          <cell r="T4836" t="str">
            <v>Non SE &amp; JSE</v>
          </cell>
          <cell r="U4836">
            <v>15</v>
          </cell>
        </row>
        <row r="4837">
          <cell r="E4837" t="str">
            <v>D25015316</v>
          </cell>
          <cell r="F4837"/>
          <cell r="G4837">
            <v>2500000000</v>
          </cell>
          <cell r="H4837" t="str">
            <v>Hendra</v>
          </cell>
          <cell r="I4837" t="str">
            <v>Tiya</v>
          </cell>
          <cell r="J4837"/>
          <cell r="K4837" t="str">
            <v>KU</v>
          </cell>
          <cell r="L4837" t="str">
            <v>MARY01</v>
          </cell>
          <cell r="M4837" t="str">
            <v>Maryono</v>
          </cell>
          <cell r="N4837" t="str">
            <v>Ryrifi Tani Blessing, PT</v>
          </cell>
          <cell r="O4837" t="str">
            <v>Dusun Spontan Loorng 6B RT.004/RW.001, Wonokerto, Sukamaju Selatan</v>
          </cell>
          <cell r="P4837" t="str">
            <v>Luwu Utara</v>
          </cell>
          <cell r="Q4837" t="str">
            <v>Dsn. Spontan Lr. 6B, Wonokerto, Sukamaju</v>
          </cell>
          <cell r="R4837" t="str">
            <v>Luwu Utara</v>
          </cell>
          <cell r="S4837" t="str">
            <v>E Luar Pulau2</v>
          </cell>
          <cell r="T4837" t="str">
            <v>Non SE &amp; JSE</v>
          </cell>
          <cell r="U4837">
            <v>15</v>
          </cell>
        </row>
        <row r="4838">
          <cell r="E4838" t="str">
            <v>D25015371</v>
          </cell>
          <cell r="F4838"/>
          <cell r="G4838">
            <v>2500000000</v>
          </cell>
          <cell r="H4838" t="str">
            <v>Hendra</v>
          </cell>
          <cell r="I4838" t="str">
            <v>Tiya</v>
          </cell>
          <cell r="J4838"/>
          <cell r="K4838" t="str">
            <v>KU</v>
          </cell>
          <cell r="L4838" t="str">
            <v>MARY01</v>
          </cell>
          <cell r="M4838" t="str">
            <v>Maryono</v>
          </cell>
          <cell r="N4838" t="str">
            <v>Ryrifi Tani Blessing, PT</v>
          </cell>
          <cell r="O4838" t="str">
            <v>Dusun Spontan Loorng 6B RT.004/RW.001, Wonokerto, Sukamaju Selatan</v>
          </cell>
          <cell r="P4838" t="str">
            <v>Luwu Utara</v>
          </cell>
          <cell r="Q4838" t="str">
            <v>Dsn. Spontan Lr. 6B, Wonokerto, Sukamaju</v>
          </cell>
          <cell r="R4838" t="str">
            <v>Luwu Utara</v>
          </cell>
          <cell r="S4838" t="str">
            <v>E Luar Pulau2</v>
          </cell>
          <cell r="T4838" t="str">
            <v>Non SE &amp; JSE</v>
          </cell>
          <cell r="U4838">
            <v>45</v>
          </cell>
        </row>
        <row r="4839">
          <cell r="E4839" t="str">
            <v>D25015703</v>
          </cell>
          <cell r="F4839"/>
          <cell r="G4839">
            <v>2500000000</v>
          </cell>
          <cell r="H4839" t="str">
            <v>Hendra</v>
          </cell>
          <cell r="I4839" t="str">
            <v>Tiya</v>
          </cell>
          <cell r="J4839"/>
          <cell r="K4839" t="str">
            <v>KU</v>
          </cell>
          <cell r="L4839" t="str">
            <v>MARY01</v>
          </cell>
          <cell r="M4839" t="str">
            <v>Maryono</v>
          </cell>
          <cell r="N4839" t="str">
            <v>Ryrifi Tani Blessing, PT</v>
          </cell>
          <cell r="O4839" t="str">
            <v>Dusun Spontan Loorng 6B RT.004/RW.001, Wonokerto, Sukamaju Selatan</v>
          </cell>
          <cell r="P4839" t="str">
            <v>Luwu Utara</v>
          </cell>
          <cell r="Q4839" t="str">
            <v>Dsn. Spontan Lr. 6B, Wonokerto, Sukamaju</v>
          </cell>
          <cell r="R4839" t="str">
            <v>Luwu Utara</v>
          </cell>
          <cell r="S4839" t="str">
            <v>E Luar Pulau2</v>
          </cell>
          <cell r="T4839" t="str">
            <v>Non SE &amp; JSE</v>
          </cell>
          <cell r="U4839">
            <v>45</v>
          </cell>
        </row>
        <row r="4840">
          <cell r="E4840" t="str">
            <v>D25015710</v>
          </cell>
          <cell r="F4840"/>
          <cell r="G4840">
            <v>2500000000</v>
          </cell>
          <cell r="H4840" t="str">
            <v>Hendra</v>
          </cell>
          <cell r="I4840" t="str">
            <v>Tiya</v>
          </cell>
          <cell r="J4840"/>
          <cell r="K4840" t="str">
            <v>KU</v>
          </cell>
          <cell r="L4840" t="str">
            <v>MARY01</v>
          </cell>
          <cell r="M4840" t="str">
            <v>Maryono</v>
          </cell>
          <cell r="N4840" t="str">
            <v>Ryrifi Tani Blessing, PT</v>
          </cell>
          <cell r="O4840" t="str">
            <v>Dusun Spontan Loorng 6B RT.004/RW.001, Wonokerto, Sukamaju Selatan</v>
          </cell>
          <cell r="P4840" t="str">
            <v>Luwu Utara</v>
          </cell>
          <cell r="Q4840" t="str">
            <v>Dsn. Spontan Lr. 6B, Wonokerto, Sukamaju</v>
          </cell>
          <cell r="R4840" t="str">
            <v>Luwu Utara</v>
          </cell>
          <cell r="S4840" t="str">
            <v>E Luar Pulau2</v>
          </cell>
          <cell r="T4840" t="str">
            <v>Non SE &amp; JSE</v>
          </cell>
          <cell r="U4840">
            <v>15</v>
          </cell>
        </row>
        <row r="4841">
          <cell r="E4841" t="str">
            <v>B25013563</v>
          </cell>
          <cell r="F4841"/>
          <cell r="G4841">
            <v>2500000000</v>
          </cell>
          <cell r="H4841" t="str">
            <v>Hendra</v>
          </cell>
          <cell r="I4841" t="str">
            <v>Tiya</v>
          </cell>
          <cell r="J4841"/>
          <cell r="K4841" t="str">
            <v>KU</v>
          </cell>
          <cell r="L4841" t="str">
            <v>MARY01</v>
          </cell>
          <cell r="M4841" t="str">
            <v>Maryono</v>
          </cell>
          <cell r="N4841" t="str">
            <v>Ryrifi Tani Blessing, PT</v>
          </cell>
          <cell r="O4841" t="str">
            <v>Dusun Spontan Loorng 6B RT.004/RW.001, Wonokerto, Sukamaju Selatan</v>
          </cell>
          <cell r="P4841" t="str">
            <v>Luwu Utara</v>
          </cell>
          <cell r="Q4841" t="str">
            <v>Dsn. Spontan Lr. 6B, Wonokerto, Sukamaju</v>
          </cell>
          <cell r="R4841" t="str">
            <v>Luwu Utara</v>
          </cell>
          <cell r="S4841" t="str">
            <v>E Luar Pulau2</v>
          </cell>
          <cell r="T4841" t="str">
            <v>Non SE &amp; JSE</v>
          </cell>
          <cell r="U4841">
            <v>45</v>
          </cell>
        </row>
        <row r="4842">
          <cell r="E4842" t="str">
            <v>D25015813</v>
          </cell>
          <cell r="F4842"/>
          <cell r="G4842">
            <v>2500000000</v>
          </cell>
          <cell r="H4842" t="str">
            <v>Hendra</v>
          </cell>
          <cell r="I4842" t="str">
            <v>Tiya</v>
          </cell>
          <cell r="J4842"/>
          <cell r="K4842" t="str">
            <v>KU</v>
          </cell>
          <cell r="L4842" t="str">
            <v>MARY01</v>
          </cell>
          <cell r="M4842" t="str">
            <v>Maryono</v>
          </cell>
          <cell r="N4842" t="str">
            <v>Ryrifi Tani Blessing, PT</v>
          </cell>
          <cell r="O4842" t="str">
            <v>Dusun Spontan Loorng 6B RT.004/RW.001, Wonokerto, Sukamaju Selatan</v>
          </cell>
          <cell r="P4842" t="str">
            <v>Luwu Utara</v>
          </cell>
          <cell r="Q4842" t="str">
            <v>Dsn. Spontan Lr. 6B, Wonokerto, Sukamaju</v>
          </cell>
          <cell r="R4842" t="str">
            <v>Luwu Utara</v>
          </cell>
          <cell r="S4842" t="str">
            <v>E Luar Pulau2</v>
          </cell>
          <cell r="T4842" t="str">
            <v>Non SE &amp; JSE</v>
          </cell>
          <cell r="U4842">
            <v>45</v>
          </cell>
        </row>
        <row r="4843">
          <cell r="E4843" t="str">
            <v>D25015814</v>
          </cell>
          <cell r="F4843"/>
          <cell r="G4843">
            <v>2500000000</v>
          </cell>
          <cell r="H4843" t="str">
            <v>Hendra</v>
          </cell>
          <cell r="I4843" t="str">
            <v>Tiya</v>
          </cell>
          <cell r="J4843"/>
          <cell r="K4843" t="str">
            <v>KU</v>
          </cell>
          <cell r="L4843" t="str">
            <v>MARY01</v>
          </cell>
          <cell r="M4843" t="str">
            <v>Maryono</v>
          </cell>
          <cell r="N4843" t="str">
            <v>Ryrifi Tani Blessing, PT</v>
          </cell>
          <cell r="O4843" t="str">
            <v>Dusun Spontan Loorng 6B RT.004/RW.001, Wonokerto, Sukamaju Selatan</v>
          </cell>
          <cell r="P4843" t="str">
            <v>Luwu Utara</v>
          </cell>
          <cell r="Q4843" t="str">
            <v>Dsn. Spontan Lr. 6B, Wonokerto, Sukamaju</v>
          </cell>
          <cell r="R4843" t="str">
            <v>Luwu Utara</v>
          </cell>
          <cell r="S4843" t="str">
            <v>E Luar Pulau2</v>
          </cell>
          <cell r="T4843" t="str">
            <v>Non SE &amp; JSE</v>
          </cell>
          <cell r="U4843">
            <v>45</v>
          </cell>
        </row>
        <row r="4844">
          <cell r="E4844" t="str">
            <v>B25012658</v>
          </cell>
          <cell r="F4844"/>
          <cell r="G4844">
            <v>1000</v>
          </cell>
          <cell r="H4844" t="str">
            <v>Yuyun</v>
          </cell>
          <cell r="I4844" t="str">
            <v>Farida</v>
          </cell>
          <cell r="J4844" t="str">
            <v>New 28/05/20</v>
          </cell>
          <cell r="K4844" t="str">
            <v>KU</v>
          </cell>
          <cell r="L4844" t="str">
            <v>MATA01</v>
          </cell>
          <cell r="M4844" t="str">
            <v>Matahari Seed</v>
          </cell>
          <cell r="N4844" t="str">
            <v>Syaiful Raharjo</v>
          </cell>
          <cell r="O4844" t="str">
            <v>Dsn. Cangkring baru, RT.015/RW.001 Kel. Cangkring, Kec. Jenggawah</v>
          </cell>
          <cell r="P4844" t="str">
            <v>Jember</v>
          </cell>
          <cell r="Q4844" t="str">
            <v>Ambulu</v>
          </cell>
          <cell r="R4844" t="str">
            <v>Jember</v>
          </cell>
          <cell r="S4844" t="str">
            <v>L Kota2</v>
          </cell>
          <cell r="T4844" t="str">
            <v>Wira</v>
          </cell>
          <cell r="U4844">
            <v>0</v>
          </cell>
        </row>
        <row r="4845">
          <cell r="E4845" t="str">
            <v>D25015468</v>
          </cell>
          <cell r="F4845"/>
          <cell r="G4845">
            <v>1000</v>
          </cell>
          <cell r="H4845" t="str">
            <v>Yuyun</v>
          </cell>
          <cell r="I4845" t="str">
            <v>Farida</v>
          </cell>
          <cell r="J4845" t="str">
            <v>New 28/05/20</v>
          </cell>
          <cell r="K4845" t="str">
            <v>KU</v>
          </cell>
          <cell r="L4845" t="str">
            <v>MATA01</v>
          </cell>
          <cell r="M4845" t="str">
            <v>Matahari Seed</v>
          </cell>
          <cell r="N4845" t="str">
            <v>Syaiful Raharjo</v>
          </cell>
          <cell r="O4845" t="str">
            <v>Dsn. Cangkring baru, RT.015/RW.001 Kel. Cangkring, Kec. Jenggawah</v>
          </cell>
          <cell r="P4845" t="str">
            <v>Jember</v>
          </cell>
          <cell r="Q4845" t="str">
            <v>Ambulu</v>
          </cell>
          <cell r="R4845" t="str">
            <v>Jember</v>
          </cell>
          <cell r="S4845" t="str">
            <v>L Kota2</v>
          </cell>
          <cell r="T4845" t="str">
            <v>Wira</v>
          </cell>
          <cell r="U4845">
            <v>0</v>
          </cell>
        </row>
        <row r="4846">
          <cell r="E4846" t="str">
            <v>D25013860</v>
          </cell>
          <cell r="F4846"/>
          <cell r="G4846">
            <v>300000000</v>
          </cell>
          <cell r="H4846" t="str">
            <v>Hendra</v>
          </cell>
          <cell r="I4846" t="str">
            <v>Tiya</v>
          </cell>
          <cell r="J4846" t="str">
            <v>New 31/05/21</v>
          </cell>
          <cell r="K4846" t="str">
            <v>KU</v>
          </cell>
          <cell r="L4846" t="str">
            <v>MAUL05</v>
          </cell>
          <cell r="M4846" t="str">
            <v>Maulana Ansori</v>
          </cell>
          <cell r="N4846" t="str">
            <v>Maula Agro Utama, CV</v>
          </cell>
          <cell r="O4846" t="str">
            <v>JL. RA. Kartini Gg. Padi No. 22B, Sekip Lama</v>
          </cell>
          <cell r="P4846" t="str">
            <v>Singkawang Tengah</v>
          </cell>
          <cell r="Q4846" t="str">
            <v>JL. RA. Kartini Gg. Padi No. 22B, Sekip Lama</v>
          </cell>
          <cell r="R4846" t="str">
            <v>Singkawang Tengah</v>
          </cell>
          <cell r="S4846" t="str">
            <v>E Luar Pulau2</v>
          </cell>
          <cell r="T4846" t="str">
            <v>Non SE &amp; JSE</v>
          </cell>
          <cell r="U4846">
            <v>15</v>
          </cell>
        </row>
        <row r="4847">
          <cell r="E4847" t="str">
            <v>B25006005</v>
          </cell>
          <cell r="F4847"/>
          <cell r="G4847">
            <v>30000000</v>
          </cell>
          <cell r="H4847" t="str">
            <v>Faris</v>
          </cell>
          <cell r="I4847" t="str">
            <v>Syahra</v>
          </cell>
          <cell r="J4847"/>
          <cell r="K4847" t="str">
            <v>KU</v>
          </cell>
          <cell r="L4847" t="str">
            <v>MBAH01</v>
          </cell>
          <cell r="M4847" t="str">
            <v>Mbah Semar, Kios</v>
          </cell>
          <cell r="N4847" t="str">
            <v>Noor Ahmadi</v>
          </cell>
          <cell r="O4847" t="str">
            <v>Ringinanom, RT.004/RW.001 Kel. Wringinpitu, Kec. Tegaldlimo</v>
          </cell>
          <cell r="P4847" t="str">
            <v>Banyuwangi</v>
          </cell>
          <cell r="Q4847" t="str">
            <v>Ringinanom, RT.004/RW.001 Kel. Wringinpitu, Kec. Tegaldlimo</v>
          </cell>
          <cell r="R4847" t="str">
            <v>Banyuwangi</v>
          </cell>
          <cell r="S4847" t="str">
            <v>H Bwi3</v>
          </cell>
          <cell r="T4847" t="str">
            <v>Hafid</v>
          </cell>
          <cell r="U4847">
            <v>60</v>
          </cell>
        </row>
        <row r="4848">
          <cell r="E4848" t="str">
            <v>D25008384</v>
          </cell>
          <cell r="F4848"/>
          <cell r="G4848">
            <v>30000000</v>
          </cell>
          <cell r="H4848" t="str">
            <v>Faris</v>
          </cell>
          <cell r="I4848" t="str">
            <v>Syahra</v>
          </cell>
          <cell r="J4848"/>
          <cell r="K4848" t="str">
            <v>KU</v>
          </cell>
          <cell r="L4848" t="str">
            <v>MBAH01</v>
          </cell>
          <cell r="M4848" t="str">
            <v>Mbah Semar, Kios</v>
          </cell>
          <cell r="N4848" t="str">
            <v>Noor Ahmadi</v>
          </cell>
          <cell r="O4848" t="str">
            <v>Ringinanom, RT.004/RW.001 Kel. Wringinpitu, Kec. Tegaldlimo</v>
          </cell>
          <cell r="P4848" t="str">
            <v>Banyuwangi</v>
          </cell>
          <cell r="Q4848" t="str">
            <v>Ringinanom, RT.004/RW.001 Kel. Wringinpitu, Kec. Tegaldlimo</v>
          </cell>
          <cell r="R4848" t="str">
            <v>Banyuwangi</v>
          </cell>
          <cell r="S4848" t="str">
            <v>H Bwi3</v>
          </cell>
          <cell r="T4848" t="str">
            <v>Hafid</v>
          </cell>
          <cell r="U4848">
            <v>60</v>
          </cell>
        </row>
        <row r="4849">
          <cell r="E4849" t="str">
            <v>B25006926</v>
          </cell>
          <cell r="F4849"/>
          <cell r="G4849">
            <v>30000000</v>
          </cell>
          <cell r="H4849" t="str">
            <v>Faris</v>
          </cell>
          <cell r="I4849" t="str">
            <v>Syahra</v>
          </cell>
          <cell r="J4849"/>
          <cell r="K4849" t="str">
            <v>KU</v>
          </cell>
          <cell r="L4849" t="str">
            <v>MBAH01</v>
          </cell>
          <cell r="M4849" t="str">
            <v>Mbah Semar, Kios</v>
          </cell>
          <cell r="N4849" t="str">
            <v>Noor Ahmadi</v>
          </cell>
          <cell r="O4849" t="str">
            <v>Ringinanom, RT.004/RW.001 Kel. Wringinpitu, Kec. Tegaldlimo</v>
          </cell>
          <cell r="P4849" t="str">
            <v>Banyuwangi</v>
          </cell>
          <cell r="Q4849" t="str">
            <v>Ringinanom, RT.004/RW.001 Kel. Wringinpitu, Kec. Tegaldlimo</v>
          </cell>
          <cell r="R4849" t="str">
            <v>Banyuwangi</v>
          </cell>
          <cell r="S4849" t="str">
            <v>H Bwi3</v>
          </cell>
          <cell r="T4849" t="str">
            <v>Hafid</v>
          </cell>
          <cell r="U4849">
            <v>30</v>
          </cell>
        </row>
        <row r="4850">
          <cell r="E4850" t="str">
            <v>T25000989</v>
          </cell>
          <cell r="F4850"/>
          <cell r="G4850">
            <v>30000000</v>
          </cell>
          <cell r="H4850" t="str">
            <v>Faris</v>
          </cell>
          <cell r="I4850" t="str">
            <v>Syahra</v>
          </cell>
          <cell r="J4850"/>
          <cell r="K4850" t="str">
            <v>KU</v>
          </cell>
          <cell r="L4850" t="str">
            <v>MBAH01</v>
          </cell>
          <cell r="M4850" t="str">
            <v>Mbah Semar, Kios</v>
          </cell>
          <cell r="N4850" t="str">
            <v>Noor Ahmadi</v>
          </cell>
          <cell r="O4850" t="str">
            <v>Ringinanom, RT.004/RW.001 Kel. Wringinpitu, Kec. Tegaldlimo</v>
          </cell>
          <cell r="P4850" t="str">
            <v>Banyuwangi</v>
          </cell>
          <cell r="Q4850" t="str">
            <v>Ringinanom, RT.004/RW.001 Kel. Wringinpitu, Kec. Tegaldlimo</v>
          </cell>
          <cell r="R4850" t="str">
            <v>Banyuwangi</v>
          </cell>
          <cell r="S4850" t="str">
            <v>H Bwi3</v>
          </cell>
          <cell r="T4850" t="str">
            <v>Hafid</v>
          </cell>
          <cell r="U4850">
            <v>60</v>
          </cell>
        </row>
        <row r="4851">
          <cell r="E4851" t="str">
            <v>B25008597</v>
          </cell>
          <cell r="F4851"/>
          <cell r="G4851">
            <v>30000000</v>
          </cell>
          <cell r="H4851" t="str">
            <v>Faris</v>
          </cell>
          <cell r="I4851" t="str">
            <v>Syahra</v>
          </cell>
          <cell r="J4851"/>
          <cell r="K4851" t="str">
            <v>KU</v>
          </cell>
          <cell r="L4851" t="str">
            <v>MBAH01</v>
          </cell>
          <cell r="M4851" t="str">
            <v>Mbah Semar, Kios</v>
          </cell>
          <cell r="N4851" t="str">
            <v>Noor Ahmadi</v>
          </cell>
          <cell r="O4851" t="str">
            <v>Ringinanom, RT.004/RW.001 Kel. Wringinpitu, Kec. Tegaldlimo</v>
          </cell>
          <cell r="P4851" t="str">
            <v>Banyuwangi</v>
          </cell>
          <cell r="Q4851" t="str">
            <v>Ringinanom, RT.004/RW.001 Kel. Wringinpitu, Kec. Tegaldlimo</v>
          </cell>
          <cell r="R4851" t="str">
            <v>Banyuwangi</v>
          </cell>
          <cell r="S4851" t="str">
            <v>H Bwi3</v>
          </cell>
          <cell r="T4851" t="str">
            <v>Hafid</v>
          </cell>
          <cell r="U4851">
            <v>60</v>
          </cell>
        </row>
        <row r="4852">
          <cell r="E4852" t="str">
            <v>B25008681</v>
          </cell>
          <cell r="F4852"/>
          <cell r="G4852">
            <v>30000000</v>
          </cell>
          <cell r="H4852" t="str">
            <v>Faris</v>
          </cell>
          <cell r="I4852" t="str">
            <v>Syahra</v>
          </cell>
          <cell r="J4852"/>
          <cell r="K4852" t="str">
            <v>KU</v>
          </cell>
          <cell r="L4852" t="str">
            <v>MBAH01</v>
          </cell>
          <cell r="M4852" t="str">
            <v>Mbah Semar, Kios</v>
          </cell>
          <cell r="N4852" t="str">
            <v>Noor Ahmadi</v>
          </cell>
          <cell r="O4852" t="str">
            <v>Ringinanom, RT.004/RW.001 Kel. Wringinpitu, Kec. Tegaldlimo</v>
          </cell>
          <cell r="P4852" t="str">
            <v>Banyuwangi</v>
          </cell>
          <cell r="Q4852" t="str">
            <v>Ringinanom, RT.004/RW.001 Kel. Wringinpitu, Kec. Tegaldlimo</v>
          </cell>
          <cell r="R4852" t="str">
            <v>Banyuwangi</v>
          </cell>
          <cell r="S4852" t="str">
            <v>H Bwi3</v>
          </cell>
          <cell r="T4852" t="str">
            <v>Hafid</v>
          </cell>
          <cell r="U4852">
            <v>60</v>
          </cell>
        </row>
        <row r="4853">
          <cell r="E4853" t="str">
            <v>T25001088</v>
          </cell>
          <cell r="F4853"/>
          <cell r="G4853">
            <v>30000000</v>
          </cell>
          <cell r="H4853" t="str">
            <v>Faris</v>
          </cell>
          <cell r="I4853" t="str">
            <v>Syahra</v>
          </cell>
          <cell r="J4853"/>
          <cell r="K4853" t="str">
            <v>KU</v>
          </cell>
          <cell r="L4853" t="str">
            <v>MBAH01</v>
          </cell>
          <cell r="M4853" t="str">
            <v>Mbah Semar, Kios</v>
          </cell>
          <cell r="N4853" t="str">
            <v>Noor Ahmadi</v>
          </cell>
          <cell r="O4853" t="str">
            <v>Ringinanom, RT.004/RW.001 Kel. Wringinpitu, Kec. Tegaldlimo</v>
          </cell>
          <cell r="P4853" t="str">
            <v>Banyuwangi</v>
          </cell>
          <cell r="Q4853" t="str">
            <v>Ringinanom, RT.004/RW.001 Kel. Wringinpitu, Kec. Tegaldlimo</v>
          </cell>
          <cell r="R4853" t="str">
            <v>Banyuwangi</v>
          </cell>
          <cell r="S4853" t="str">
            <v>H Bwi3</v>
          </cell>
          <cell r="T4853" t="str">
            <v>Hafid</v>
          </cell>
          <cell r="U4853">
            <v>60</v>
          </cell>
        </row>
        <row r="4854">
          <cell r="E4854" t="str">
            <v>D25011382</v>
          </cell>
          <cell r="F4854"/>
          <cell r="G4854">
            <v>30000000</v>
          </cell>
          <cell r="H4854" t="str">
            <v>Faris</v>
          </cell>
          <cell r="I4854" t="str">
            <v>Syahra</v>
          </cell>
          <cell r="J4854"/>
          <cell r="K4854" t="str">
            <v>KU</v>
          </cell>
          <cell r="L4854" t="str">
            <v>MBAH01</v>
          </cell>
          <cell r="M4854" t="str">
            <v>Mbah Semar, Kios</v>
          </cell>
          <cell r="N4854" t="str">
            <v>Noor Ahmadi</v>
          </cell>
          <cell r="O4854" t="str">
            <v>Ringinanom, RT.004/RW.001 Kel. Wringinpitu, Kec. Tegaldlimo</v>
          </cell>
          <cell r="P4854" t="str">
            <v>Banyuwangi</v>
          </cell>
          <cell r="Q4854" t="str">
            <v>Ringinanom, RT.004/RW.001 Kel. Wringinpitu, Kec. Tegaldlimo</v>
          </cell>
          <cell r="R4854" t="str">
            <v>Banyuwangi</v>
          </cell>
          <cell r="S4854" t="str">
            <v>H Bwi3</v>
          </cell>
          <cell r="T4854" t="str">
            <v>Hafid</v>
          </cell>
          <cell r="U4854">
            <v>60</v>
          </cell>
        </row>
        <row r="4855">
          <cell r="E4855" t="str">
            <v>T25001276</v>
          </cell>
          <cell r="F4855"/>
          <cell r="G4855">
            <v>30000000</v>
          </cell>
          <cell r="H4855" t="str">
            <v>Faris</v>
          </cell>
          <cell r="I4855" t="str">
            <v>Syahra</v>
          </cell>
          <cell r="J4855"/>
          <cell r="K4855" t="str">
            <v>KU</v>
          </cell>
          <cell r="L4855" t="str">
            <v>MBAH01</v>
          </cell>
          <cell r="M4855" t="str">
            <v>Mbah Semar, Kios</v>
          </cell>
          <cell r="N4855" t="str">
            <v>Noor Ahmadi</v>
          </cell>
          <cell r="O4855" t="str">
            <v>Ringinanom, RT.004/RW.001 Kel. Wringinpitu, Kec. Tegaldlimo</v>
          </cell>
          <cell r="P4855" t="str">
            <v>Banyuwangi</v>
          </cell>
          <cell r="Q4855" t="str">
            <v>Ringinanom, RT.004/RW.001 Kel. Wringinpitu, Kec. Tegaldlimo</v>
          </cell>
          <cell r="R4855" t="str">
            <v>Banyuwangi</v>
          </cell>
          <cell r="S4855" t="str">
            <v>H Bwi3</v>
          </cell>
          <cell r="T4855" t="str">
            <v>Hafid</v>
          </cell>
          <cell r="U4855">
            <v>60</v>
          </cell>
        </row>
        <row r="4856">
          <cell r="E4856" t="str">
            <v>D25012996</v>
          </cell>
          <cell r="F4856"/>
          <cell r="G4856">
            <v>30000000</v>
          </cell>
          <cell r="H4856" t="str">
            <v>Faris</v>
          </cell>
          <cell r="I4856" t="str">
            <v>Syahra</v>
          </cell>
          <cell r="J4856"/>
          <cell r="K4856" t="str">
            <v>KU</v>
          </cell>
          <cell r="L4856" t="str">
            <v>MBAH01</v>
          </cell>
          <cell r="M4856" t="str">
            <v>Mbah Semar, Kios</v>
          </cell>
          <cell r="N4856" t="str">
            <v>Noor Ahmadi</v>
          </cell>
          <cell r="O4856" t="str">
            <v>Ringinanom, RT.004/RW.001 Kel. Wringinpitu, Kec. Tegaldlimo</v>
          </cell>
          <cell r="P4856" t="str">
            <v>Banyuwangi</v>
          </cell>
          <cell r="Q4856" t="str">
            <v>Ringinanom, RT.004/RW.001 Kel. Wringinpitu, Kec. Tegaldlimo</v>
          </cell>
          <cell r="R4856" t="str">
            <v>Banyuwangi</v>
          </cell>
          <cell r="S4856" t="str">
            <v>H Bwi3</v>
          </cell>
          <cell r="T4856" t="str">
            <v>Hafid</v>
          </cell>
          <cell r="U4856">
            <v>60</v>
          </cell>
        </row>
        <row r="4857">
          <cell r="E4857" t="str">
            <v>T25001472</v>
          </cell>
          <cell r="F4857"/>
          <cell r="G4857">
            <v>30000000</v>
          </cell>
          <cell r="H4857" t="str">
            <v>Faris</v>
          </cell>
          <cell r="I4857" t="str">
            <v>Syahra</v>
          </cell>
          <cell r="J4857"/>
          <cell r="K4857" t="str">
            <v>KU</v>
          </cell>
          <cell r="L4857" t="str">
            <v>MBAH01</v>
          </cell>
          <cell r="M4857" t="str">
            <v>Mbah Semar, Kios</v>
          </cell>
          <cell r="N4857" t="str">
            <v>Noor Ahmadi</v>
          </cell>
          <cell r="O4857" t="str">
            <v>Ringinanom, RT.004/RW.001 Kel. Wringinpitu, Kec. Tegaldlimo</v>
          </cell>
          <cell r="P4857" t="str">
            <v>Banyuwangi</v>
          </cell>
          <cell r="Q4857" t="str">
            <v>Ringinanom, RT.004/RW.001 Kel. Wringinpitu, Kec. Tegaldlimo</v>
          </cell>
          <cell r="R4857" t="str">
            <v>Banyuwangi</v>
          </cell>
          <cell r="S4857" t="str">
            <v>H Bwi3</v>
          </cell>
          <cell r="T4857" t="str">
            <v>Hafid</v>
          </cell>
          <cell r="U4857">
            <v>60</v>
          </cell>
        </row>
        <row r="4858">
          <cell r="E4858" t="str">
            <v>T25001547</v>
          </cell>
          <cell r="F4858"/>
          <cell r="G4858">
            <v>30000000</v>
          </cell>
          <cell r="H4858" t="str">
            <v>Faris</v>
          </cell>
          <cell r="I4858" t="str">
            <v>Syahra</v>
          </cell>
          <cell r="J4858"/>
          <cell r="K4858" t="str">
            <v>KU</v>
          </cell>
          <cell r="L4858" t="str">
            <v>MBAH01</v>
          </cell>
          <cell r="M4858" t="str">
            <v>Mbah Semar, Kios</v>
          </cell>
          <cell r="N4858" t="str">
            <v>Noor Ahmadi</v>
          </cell>
          <cell r="O4858" t="str">
            <v>Ringinanom, RT.004/RW.001 Kel. Wringinpitu, Kec. Tegaldlimo</v>
          </cell>
          <cell r="P4858" t="str">
            <v>Banyuwangi</v>
          </cell>
          <cell r="Q4858" t="str">
            <v>Ringinanom, RT.004/RW.001 Kel. Wringinpitu, Kec. Tegaldlimo</v>
          </cell>
          <cell r="R4858" t="str">
            <v>Banyuwangi</v>
          </cell>
          <cell r="S4858" t="str">
            <v>H Bwi3</v>
          </cell>
          <cell r="T4858" t="str">
            <v>Hafid</v>
          </cell>
          <cell r="U4858">
            <v>60</v>
          </cell>
        </row>
        <row r="4859">
          <cell r="E4859" t="str">
            <v>D21000994</v>
          </cell>
          <cell r="F4859"/>
          <cell r="G4859">
            <v>1000</v>
          </cell>
          <cell r="H4859" t="str">
            <v>Hendra</v>
          </cell>
          <cell r="I4859" t="str">
            <v>Tiya</v>
          </cell>
          <cell r="J4859" t="str">
            <v>New 04/05/20</v>
          </cell>
          <cell r="K4859" t="str">
            <v>KU</v>
          </cell>
          <cell r="L4859" t="str">
            <v>MEGA08</v>
          </cell>
          <cell r="M4859" t="str">
            <v>Mega Agro Sejahtera/Fadli</v>
          </cell>
          <cell r="N4859" t="str">
            <v>Fadli</v>
          </cell>
          <cell r="O4859" t="str">
            <v>Dusun Mori Sama RT.004/RW.002 Kel. Waduwani, Kec. Woha</v>
          </cell>
          <cell r="P4859" t="str">
            <v>Bima</v>
          </cell>
          <cell r="Q4859" t="str">
            <v>Dusun Mori Sama RT.004/RW.002 Kel. Waduwani, Kec. Woha</v>
          </cell>
          <cell r="R4859" t="str">
            <v>Bima</v>
          </cell>
          <cell r="S4859" t="str">
            <v>E Luar Pulau2</v>
          </cell>
          <cell r="T4859" t="str">
            <v>Muhlisin</v>
          </cell>
          <cell r="U4859">
            <v>45</v>
          </cell>
        </row>
        <row r="4860">
          <cell r="E4860" t="str">
            <v>D25007028</v>
          </cell>
          <cell r="F4860"/>
          <cell r="G4860">
            <v>1100000000</v>
          </cell>
          <cell r="H4860" t="str">
            <v>Zakia</v>
          </cell>
          <cell r="I4860" t="str">
            <v>Tiya</v>
          </cell>
          <cell r="J4860"/>
          <cell r="K4860" t="str">
            <v>KU, Tunai</v>
          </cell>
          <cell r="L4860" t="str">
            <v>MEGA02</v>
          </cell>
          <cell r="M4860" t="str">
            <v>Mega Tani, UD</v>
          </cell>
          <cell r="N4860" t="str">
            <v>Pande Wayan Ladra</v>
          </cell>
          <cell r="O4860" t="str">
            <v>Br. Belantih, Ds. Belantih, Kec. Kintamani Kab. Bangli</v>
          </cell>
          <cell r="P4860" t="str">
            <v>Bangli - Bali</v>
          </cell>
          <cell r="Q4860" t="str">
            <v>Br. Belantih, Ds. Belantih, Kec. Kintamani Kab. Bangli, Bangli</v>
          </cell>
          <cell r="R4860" t="str">
            <v>Bali</v>
          </cell>
          <cell r="S4860" t="str">
            <v>S Bali1</v>
          </cell>
          <cell r="T4860" t="str">
            <v>Wira</v>
          </cell>
          <cell r="U4860">
            <v>60</v>
          </cell>
        </row>
        <row r="4861">
          <cell r="E4861" t="str">
            <v>D25009293</v>
          </cell>
          <cell r="F4861"/>
          <cell r="G4861">
            <v>1100000000</v>
          </cell>
          <cell r="H4861" t="str">
            <v>Zakia</v>
          </cell>
          <cell r="I4861" t="str">
            <v>Tiya</v>
          </cell>
          <cell r="J4861"/>
          <cell r="K4861" t="str">
            <v>KU, Tunai</v>
          </cell>
          <cell r="L4861" t="str">
            <v>MEGA02</v>
          </cell>
          <cell r="M4861" t="str">
            <v>Mega Tani, UD</v>
          </cell>
          <cell r="N4861" t="str">
            <v>Pande Wayan Ladra</v>
          </cell>
          <cell r="O4861" t="str">
            <v>Br. Belantih, Ds. Belantih, Kec. Kintamani Kab. Bangli</v>
          </cell>
          <cell r="P4861" t="str">
            <v>Bangli - Bali</v>
          </cell>
          <cell r="Q4861" t="str">
            <v>Br. Belantih, Ds. Belantih, Kec. Kintamani Kab. Bangli, Bangli</v>
          </cell>
          <cell r="R4861" t="str">
            <v>Bali</v>
          </cell>
          <cell r="S4861" t="str">
            <v>S Bali1</v>
          </cell>
          <cell r="T4861" t="str">
            <v>Wira</v>
          </cell>
          <cell r="U4861">
            <v>60</v>
          </cell>
        </row>
        <row r="4862">
          <cell r="E4862" t="str">
            <v>D25009294</v>
          </cell>
          <cell r="F4862"/>
          <cell r="G4862">
            <v>1100000000</v>
          </cell>
          <cell r="H4862" t="str">
            <v>Zakia</v>
          </cell>
          <cell r="I4862" t="str">
            <v>Tiya</v>
          </cell>
          <cell r="J4862"/>
          <cell r="K4862" t="str">
            <v>KU, Tunai</v>
          </cell>
          <cell r="L4862" t="str">
            <v>MEGA02</v>
          </cell>
          <cell r="M4862" t="str">
            <v>Mega Tani, UD</v>
          </cell>
          <cell r="N4862" t="str">
            <v>Pande Wayan Ladra</v>
          </cell>
          <cell r="O4862" t="str">
            <v>Br. Belantih, Ds. Belantih, Kec. Kintamani Kab. Bangli</v>
          </cell>
          <cell r="P4862" t="str">
            <v>Bangli - Bali</v>
          </cell>
          <cell r="Q4862" t="str">
            <v>Br. Belantih, Ds. Belantih, Kec. Kintamani Kab. Bangli, Bangli</v>
          </cell>
          <cell r="R4862" t="str">
            <v>Bali</v>
          </cell>
          <cell r="S4862" t="str">
            <v>S Bali1</v>
          </cell>
          <cell r="T4862" t="str">
            <v>Wira</v>
          </cell>
          <cell r="U4862">
            <v>60</v>
          </cell>
        </row>
        <row r="4863">
          <cell r="E4863" t="str">
            <v>D25009294</v>
          </cell>
          <cell r="F4863"/>
          <cell r="G4863">
            <v>1100000000</v>
          </cell>
          <cell r="H4863" t="str">
            <v>Zakia</v>
          </cell>
          <cell r="I4863" t="str">
            <v>Tiya</v>
          </cell>
          <cell r="J4863"/>
          <cell r="K4863" t="str">
            <v>KU, Tunai</v>
          </cell>
          <cell r="L4863" t="str">
            <v>MEGA02</v>
          </cell>
          <cell r="M4863" t="str">
            <v>Mega Tani, UD</v>
          </cell>
          <cell r="N4863" t="str">
            <v>Pande Wayan Ladra</v>
          </cell>
          <cell r="O4863" t="str">
            <v>Br. Belantih, Ds. Belantih, Kec. Kintamani Kab. Bangli</v>
          </cell>
          <cell r="P4863" t="str">
            <v>Bangli - Bali</v>
          </cell>
          <cell r="Q4863" t="str">
            <v>Br. Belantih, Ds. Belantih, Kec. Kintamani Kab. Bangli, Bangli</v>
          </cell>
          <cell r="R4863" t="str">
            <v>Bali</v>
          </cell>
          <cell r="S4863" t="str">
            <v>S Bali1</v>
          </cell>
          <cell r="T4863" t="str">
            <v>Wira</v>
          </cell>
          <cell r="U4863">
            <v>60</v>
          </cell>
        </row>
        <row r="4864">
          <cell r="E4864" t="str">
            <v>D25009865</v>
          </cell>
          <cell r="F4864"/>
          <cell r="G4864">
            <v>1100000000</v>
          </cell>
          <cell r="H4864" t="str">
            <v>Zakia</v>
          </cell>
          <cell r="I4864" t="str">
            <v>Tiya</v>
          </cell>
          <cell r="J4864"/>
          <cell r="K4864" t="str">
            <v>KU, Tunai</v>
          </cell>
          <cell r="L4864" t="str">
            <v>MEGA02</v>
          </cell>
          <cell r="M4864" t="str">
            <v>Mega Tani, UD</v>
          </cell>
          <cell r="N4864" t="str">
            <v>Pande Wayan Ladra</v>
          </cell>
          <cell r="O4864" t="str">
            <v>Br. Belantih, Ds. Belantih, Kec. Kintamani Kab. Bangli</v>
          </cell>
          <cell r="P4864" t="str">
            <v>Bangli - Bali</v>
          </cell>
          <cell r="Q4864" t="str">
            <v>Br. Belantih, Ds. Belantih, Kec. Kintamani Kab. Bangli, Bangli</v>
          </cell>
          <cell r="R4864" t="str">
            <v>Bali</v>
          </cell>
          <cell r="S4864" t="str">
            <v>S Bali1</v>
          </cell>
          <cell r="T4864" t="str">
            <v>Wira</v>
          </cell>
          <cell r="U4864">
            <v>30</v>
          </cell>
        </row>
        <row r="4865">
          <cell r="E4865" t="str">
            <v>D25009876</v>
          </cell>
          <cell r="F4865"/>
          <cell r="G4865">
            <v>1100000000</v>
          </cell>
          <cell r="H4865" t="str">
            <v>Zakia</v>
          </cell>
          <cell r="I4865" t="str">
            <v>Tiya</v>
          </cell>
          <cell r="J4865"/>
          <cell r="K4865" t="str">
            <v>KU, Tunai</v>
          </cell>
          <cell r="L4865" t="str">
            <v>MEGA02</v>
          </cell>
          <cell r="M4865" t="str">
            <v>Mega Tani, UD</v>
          </cell>
          <cell r="N4865" t="str">
            <v>Pande Wayan Ladra</v>
          </cell>
          <cell r="O4865" t="str">
            <v>Br. Belantih, Ds. Belantih, Kec. Kintamani Kab. Bangli</v>
          </cell>
          <cell r="P4865" t="str">
            <v>Bangli - Bali</v>
          </cell>
          <cell r="Q4865" t="str">
            <v>Br. Belantih, Ds. Belantih, Kec. Kintamani Kab. Bangli, Bangli</v>
          </cell>
          <cell r="R4865" t="str">
            <v>Bali</v>
          </cell>
          <cell r="S4865" t="str">
            <v>S Bali1</v>
          </cell>
          <cell r="T4865" t="str">
            <v>Wira</v>
          </cell>
          <cell r="U4865">
            <v>30</v>
          </cell>
        </row>
        <row r="4866">
          <cell r="E4866" t="str">
            <v>D25010536</v>
          </cell>
          <cell r="F4866"/>
          <cell r="G4866">
            <v>1100000000</v>
          </cell>
          <cell r="H4866" t="str">
            <v>Zakia</v>
          </cell>
          <cell r="I4866" t="str">
            <v>Tiya</v>
          </cell>
          <cell r="J4866"/>
          <cell r="K4866" t="str">
            <v>KU, Tunai</v>
          </cell>
          <cell r="L4866" t="str">
            <v>MEGA02</v>
          </cell>
          <cell r="M4866" t="str">
            <v>Mega Tani, UD</v>
          </cell>
          <cell r="N4866" t="str">
            <v>Pande Wayan Ladra</v>
          </cell>
          <cell r="O4866" t="str">
            <v>Br. Belantih, Ds. Belantih, Kec. Kintamani Kab. Bangli</v>
          </cell>
          <cell r="P4866" t="str">
            <v>Bangli - Bali</v>
          </cell>
          <cell r="Q4866" t="str">
            <v>Br. Belantih, Ds. Belantih, Kec. Kintamani Kab. Bangli, Bangli</v>
          </cell>
          <cell r="R4866" t="str">
            <v>Bali</v>
          </cell>
          <cell r="S4866" t="str">
            <v>S Bali1</v>
          </cell>
          <cell r="T4866" t="str">
            <v>Wira</v>
          </cell>
          <cell r="U4866">
            <v>30</v>
          </cell>
        </row>
        <row r="4867">
          <cell r="E4867" t="str">
            <v>D25010536</v>
          </cell>
          <cell r="F4867"/>
          <cell r="G4867">
            <v>1100000000</v>
          </cell>
          <cell r="H4867" t="str">
            <v>Zakia</v>
          </cell>
          <cell r="I4867" t="str">
            <v>Tiya</v>
          </cell>
          <cell r="J4867"/>
          <cell r="K4867" t="str">
            <v>KU, Tunai</v>
          </cell>
          <cell r="L4867" t="str">
            <v>MEGA02</v>
          </cell>
          <cell r="M4867" t="str">
            <v>Mega Tani, UD</v>
          </cell>
          <cell r="N4867" t="str">
            <v>Pande Wayan Ladra</v>
          </cell>
          <cell r="O4867" t="str">
            <v>Br. Belantih, Ds. Belantih, Kec. Kintamani Kab. Bangli</v>
          </cell>
          <cell r="P4867" t="str">
            <v>Bangli - Bali</v>
          </cell>
          <cell r="Q4867" t="str">
            <v>Br. Belantih, Ds. Belantih, Kec. Kintamani Kab. Bangli, Bangli</v>
          </cell>
          <cell r="R4867" t="str">
            <v>Bali</v>
          </cell>
          <cell r="S4867" t="str">
            <v>S Bali1</v>
          </cell>
          <cell r="T4867" t="str">
            <v>Wira</v>
          </cell>
          <cell r="U4867">
            <v>30</v>
          </cell>
        </row>
        <row r="4868">
          <cell r="E4868" t="str">
            <v>D25010537</v>
          </cell>
          <cell r="F4868"/>
          <cell r="G4868">
            <v>1100000000</v>
          </cell>
          <cell r="H4868" t="str">
            <v>Zakia</v>
          </cell>
          <cell r="I4868" t="str">
            <v>Tiya</v>
          </cell>
          <cell r="J4868"/>
          <cell r="K4868" t="str">
            <v>KU, Tunai</v>
          </cell>
          <cell r="L4868" t="str">
            <v>MEGA02</v>
          </cell>
          <cell r="M4868" t="str">
            <v>Mega Tani, UD</v>
          </cell>
          <cell r="N4868" t="str">
            <v>Pande Wayan Ladra</v>
          </cell>
          <cell r="O4868" t="str">
            <v>Br. Belantih, Ds. Belantih, Kec. Kintamani Kab. Bangli</v>
          </cell>
          <cell r="P4868" t="str">
            <v>Bangli - Bali</v>
          </cell>
          <cell r="Q4868" t="str">
            <v>Br. Belantih, Ds. Belantih, Kec. Kintamani Kab. Bangli, Bangli</v>
          </cell>
          <cell r="R4868" t="str">
            <v>Bali</v>
          </cell>
          <cell r="S4868" t="str">
            <v>S Bali1</v>
          </cell>
          <cell r="T4868" t="str">
            <v>Wira</v>
          </cell>
          <cell r="U4868">
            <v>30</v>
          </cell>
        </row>
        <row r="4869">
          <cell r="E4869" t="str">
            <v>B25009068</v>
          </cell>
          <cell r="F4869"/>
          <cell r="G4869">
            <v>1100000000</v>
          </cell>
          <cell r="H4869" t="str">
            <v>Zakia</v>
          </cell>
          <cell r="I4869" t="str">
            <v>Tiya</v>
          </cell>
          <cell r="J4869"/>
          <cell r="K4869" t="str">
            <v>KU, Tunai</v>
          </cell>
          <cell r="L4869" t="str">
            <v>MEGA02</v>
          </cell>
          <cell r="M4869" t="str">
            <v>Mega Tani, UD</v>
          </cell>
          <cell r="N4869" t="str">
            <v>Pande Wayan Ladra</v>
          </cell>
          <cell r="O4869" t="str">
            <v>Br. Belantih, Ds. Belantih, Kec. Kintamani Kab. Bangli</v>
          </cell>
          <cell r="P4869" t="str">
            <v>Bangli - Bali</v>
          </cell>
          <cell r="Q4869" t="str">
            <v>Br. Belantih, Ds. Belantih, Kec. Kintamani Kab. Bangli, Bangli</v>
          </cell>
          <cell r="R4869" t="str">
            <v>Bali</v>
          </cell>
          <cell r="S4869" t="str">
            <v>S Bali1</v>
          </cell>
          <cell r="T4869" t="str">
            <v>Wira</v>
          </cell>
          <cell r="U4869">
            <v>60</v>
          </cell>
        </row>
        <row r="4870">
          <cell r="E4870" t="str">
            <v>B25009512</v>
          </cell>
          <cell r="F4870"/>
          <cell r="G4870">
            <v>1100000000</v>
          </cell>
          <cell r="H4870" t="str">
            <v>Zakia</v>
          </cell>
          <cell r="I4870" t="str">
            <v>Tiya</v>
          </cell>
          <cell r="J4870"/>
          <cell r="K4870" t="str">
            <v>KU, Tunai</v>
          </cell>
          <cell r="L4870" t="str">
            <v>MEGA02</v>
          </cell>
          <cell r="M4870" t="str">
            <v>Mega Tani, UD</v>
          </cell>
          <cell r="N4870" t="str">
            <v>Pande Wayan Ladra</v>
          </cell>
          <cell r="O4870" t="str">
            <v>Br. Belantih, Ds. Belantih, Kec. Kintamani Kab. Bangli</v>
          </cell>
          <cell r="P4870" t="str">
            <v>Bangli - Bali</v>
          </cell>
          <cell r="Q4870" t="str">
            <v>Br. Belantih, Ds. Belantih, Kec. Kintamani Kab. Bangli, Bangli</v>
          </cell>
          <cell r="R4870" t="str">
            <v>Bali</v>
          </cell>
          <cell r="S4870" t="str">
            <v>S Bali1</v>
          </cell>
          <cell r="T4870" t="str">
            <v>Wira</v>
          </cell>
          <cell r="U4870">
            <v>30</v>
          </cell>
        </row>
        <row r="4871">
          <cell r="E4871" t="str">
            <v>D25012408</v>
          </cell>
          <cell r="F4871"/>
          <cell r="G4871">
            <v>1100000000</v>
          </cell>
          <cell r="H4871" t="str">
            <v>Zakia</v>
          </cell>
          <cell r="I4871" t="str">
            <v>Tiya</v>
          </cell>
          <cell r="J4871"/>
          <cell r="K4871" t="str">
            <v>KU, Tunai</v>
          </cell>
          <cell r="L4871" t="str">
            <v>MEGA02</v>
          </cell>
          <cell r="M4871" t="str">
            <v>Mega Tani, UD</v>
          </cell>
          <cell r="N4871" t="str">
            <v>Pande Wayan Ladra</v>
          </cell>
          <cell r="O4871" t="str">
            <v>Br. Belantih, Ds. Belantih, Kec. Kintamani Kab. Bangli</v>
          </cell>
          <cell r="P4871" t="str">
            <v>Bangli - Bali</v>
          </cell>
          <cell r="Q4871" t="str">
            <v>Br. Belantih, Ds. Belantih, Kec. Kintamani Kab. Bangli, Bangli</v>
          </cell>
          <cell r="R4871" t="str">
            <v>Bali</v>
          </cell>
          <cell r="S4871" t="str">
            <v>S Bali1</v>
          </cell>
          <cell r="T4871" t="str">
            <v>Wira</v>
          </cell>
          <cell r="U4871">
            <v>60</v>
          </cell>
        </row>
        <row r="4872">
          <cell r="E4872" t="str">
            <v>D25013391</v>
          </cell>
          <cell r="F4872"/>
          <cell r="G4872">
            <v>1100000000</v>
          </cell>
          <cell r="H4872" t="str">
            <v>Zakia</v>
          </cell>
          <cell r="I4872" t="str">
            <v>Tiya</v>
          </cell>
          <cell r="J4872"/>
          <cell r="K4872" t="str">
            <v>KU, Tunai</v>
          </cell>
          <cell r="L4872" t="str">
            <v>MEGA02</v>
          </cell>
          <cell r="M4872" t="str">
            <v>Mega Tani, UD</v>
          </cell>
          <cell r="N4872" t="str">
            <v>Pande Wayan Ladra</v>
          </cell>
          <cell r="O4872" t="str">
            <v>Br. Belantih, Ds. Belantih, Kec. Kintamani Kab. Bangli</v>
          </cell>
          <cell r="P4872" t="str">
            <v>Bangli - Bali</v>
          </cell>
          <cell r="Q4872" t="str">
            <v>Br. Belantih, Ds. Belantih, Kec. Kintamani Kab. Bangli, Bangli</v>
          </cell>
          <cell r="R4872" t="str">
            <v>Bali</v>
          </cell>
          <cell r="S4872" t="str">
            <v>S Bali1</v>
          </cell>
          <cell r="T4872" t="str">
            <v>Wira</v>
          </cell>
          <cell r="U4872">
            <v>60</v>
          </cell>
        </row>
        <row r="4873">
          <cell r="E4873" t="str">
            <v>D25013392</v>
          </cell>
          <cell r="F4873"/>
          <cell r="G4873">
            <v>1100000000</v>
          </cell>
          <cell r="H4873" t="str">
            <v>Zakia</v>
          </cell>
          <cell r="I4873" t="str">
            <v>Tiya</v>
          </cell>
          <cell r="J4873"/>
          <cell r="K4873" t="str">
            <v>KU, Tunai</v>
          </cell>
          <cell r="L4873" t="str">
            <v>MEGA02</v>
          </cell>
          <cell r="M4873" t="str">
            <v>Mega Tani, UD</v>
          </cell>
          <cell r="N4873" t="str">
            <v>Pande Wayan Ladra</v>
          </cell>
          <cell r="O4873" t="str">
            <v>Br. Belantih, Ds. Belantih, Kec. Kintamani Kab. Bangli</v>
          </cell>
          <cell r="P4873" t="str">
            <v>Bangli - Bali</v>
          </cell>
          <cell r="Q4873" t="str">
            <v>Br. Belantih, Ds. Belantih, Kec. Kintamani Kab. Bangli, Bangli</v>
          </cell>
          <cell r="R4873" t="str">
            <v>Bali</v>
          </cell>
          <cell r="S4873" t="str">
            <v>S Bali1</v>
          </cell>
          <cell r="T4873" t="str">
            <v>Wira</v>
          </cell>
          <cell r="U4873">
            <v>30</v>
          </cell>
        </row>
        <row r="4874">
          <cell r="E4874" t="str">
            <v>B25011471</v>
          </cell>
          <cell r="F4874"/>
          <cell r="G4874">
            <v>1100000000</v>
          </cell>
          <cell r="H4874" t="str">
            <v>Zakia</v>
          </cell>
          <cell r="I4874" t="str">
            <v>Tiya</v>
          </cell>
          <cell r="J4874"/>
          <cell r="K4874" t="str">
            <v>KU, Tunai</v>
          </cell>
          <cell r="L4874" t="str">
            <v>MEGA02</v>
          </cell>
          <cell r="M4874" t="str">
            <v>Mega Tani, UD</v>
          </cell>
          <cell r="N4874" t="str">
            <v>Pande Wayan Ladra</v>
          </cell>
          <cell r="O4874" t="str">
            <v>Br. Belantih, Ds. Belantih, Kec. Kintamani Kab. Bangli</v>
          </cell>
          <cell r="P4874" t="str">
            <v>Bangli - Bali</v>
          </cell>
          <cell r="Q4874" t="str">
            <v>Br. Belantih, Ds. Belantih, Kec. Kintamani Kab. Bangli, Bangli</v>
          </cell>
          <cell r="R4874" t="str">
            <v>Bali</v>
          </cell>
          <cell r="S4874" t="str">
            <v>S Bali1</v>
          </cell>
          <cell r="T4874" t="str">
            <v>Wira</v>
          </cell>
          <cell r="U4874">
            <v>30</v>
          </cell>
        </row>
        <row r="4875">
          <cell r="E4875" t="str">
            <v>D25014547</v>
          </cell>
          <cell r="F4875"/>
          <cell r="G4875">
            <v>1100000000</v>
          </cell>
          <cell r="H4875" t="str">
            <v>Zakia</v>
          </cell>
          <cell r="I4875" t="str">
            <v>Tiya</v>
          </cell>
          <cell r="J4875"/>
          <cell r="K4875" t="str">
            <v>KU, Tunai</v>
          </cell>
          <cell r="L4875" t="str">
            <v>MEGA02</v>
          </cell>
          <cell r="M4875" t="str">
            <v>Mega Tani, UD</v>
          </cell>
          <cell r="N4875" t="str">
            <v>Pande Wayan Ladra</v>
          </cell>
          <cell r="O4875" t="str">
            <v>Br. Belantih, Ds. Belantih, Kec. Kintamani Kab. Bangli</v>
          </cell>
          <cell r="P4875" t="str">
            <v>Bangli - Bali</v>
          </cell>
          <cell r="Q4875" t="str">
            <v>Br. Belantih, Ds. Belantih, Kec. Kintamani Kab. Bangli, Bangli</v>
          </cell>
          <cell r="R4875" t="str">
            <v>Bali</v>
          </cell>
          <cell r="S4875" t="str">
            <v>S Bali1</v>
          </cell>
          <cell r="T4875" t="str">
            <v>Wira</v>
          </cell>
          <cell r="U4875">
            <v>60</v>
          </cell>
        </row>
        <row r="4876">
          <cell r="E4876" t="str">
            <v>D25014548</v>
          </cell>
          <cell r="F4876"/>
          <cell r="G4876">
            <v>1100000000</v>
          </cell>
          <cell r="H4876" t="str">
            <v>Zakia</v>
          </cell>
          <cell r="I4876" t="str">
            <v>Tiya</v>
          </cell>
          <cell r="J4876"/>
          <cell r="K4876" t="str">
            <v>KU, Tunai</v>
          </cell>
          <cell r="L4876" t="str">
            <v>MEGA02</v>
          </cell>
          <cell r="M4876" t="str">
            <v>Mega Tani, UD</v>
          </cell>
          <cell r="N4876" t="str">
            <v>Pande Wayan Ladra</v>
          </cell>
          <cell r="O4876" t="str">
            <v>Br. Belantih, Ds. Belantih, Kec. Kintamani Kab. Bangli</v>
          </cell>
          <cell r="P4876" t="str">
            <v>Bangli - Bali</v>
          </cell>
          <cell r="Q4876" t="str">
            <v>Br. Belantih, Ds. Belantih, Kec. Kintamani Kab. Bangli, Bangli</v>
          </cell>
          <cell r="R4876" t="str">
            <v>Bali</v>
          </cell>
          <cell r="S4876" t="str">
            <v>S Bali1</v>
          </cell>
          <cell r="T4876" t="str">
            <v>Wira</v>
          </cell>
          <cell r="U4876">
            <v>30</v>
          </cell>
        </row>
        <row r="4877">
          <cell r="E4877" t="str">
            <v>D25014957</v>
          </cell>
          <cell r="F4877"/>
          <cell r="G4877">
            <v>1100000000</v>
          </cell>
          <cell r="H4877" t="str">
            <v>Zakia</v>
          </cell>
          <cell r="I4877" t="str">
            <v>Tiya</v>
          </cell>
          <cell r="J4877"/>
          <cell r="K4877" t="str">
            <v>KU, Tunai</v>
          </cell>
          <cell r="L4877" t="str">
            <v>MEGA02</v>
          </cell>
          <cell r="M4877" t="str">
            <v>Mega Tani, UD</v>
          </cell>
          <cell r="N4877" t="str">
            <v>Pande Wayan Ladra</v>
          </cell>
          <cell r="O4877" t="str">
            <v>Br. Belantih, Ds. Belantih, Kec. Kintamani Kab. Bangli</v>
          </cell>
          <cell r="P4877" t="str">
            <v>Bangli - Bali</v>
          </cell>
          <cell r="Q4877" t="str">
            <v>Br. Belantih, Ds. Belantih, Kec. Kintamani Kab. Bangli, Bangli</v>
          </cell>
          <cell r="R4877" t="str">
            <v>Bali</v>
          </cell>
          <cell r="S4877" t="str">
            <v>S Bali1</v>
          </cell>
          <cell r="T4877" t="str">
            <v>Wira</v>
          </cell>
          <cell r="U4877">
            <v>60</v>
          </cell>
        </row>
        <row r="4878">
          <cell r="E4878" t="str">
            <v>D25014958</v>
          </cell>
          <cell r="F4878"/>
          <cell r="G4878">
            <v>1100000000</v>
          </cell>
          <cell r="H4878" t="str">
            <v>Zakia</v>
          </cell>
          <cell r="I4878" t="str">
            <v>Tiya</v>
          </cell>
          <cell r="J4878"/>
          <cell r="K4878" t="str">
            <v>KU, Tunai</v>
          </cell>
          <cell r="L4878" t="str">
            <v>MEGA02</v>
          </cell>
          <cell r="M4878" t="str">
            <v>Mega Tani, UD</v>
          </cell>
          <cell r="N4878" t="str">
            <v>Pande Wayan Ladra</v>
          </cell>
          <cell r="O4878" t="str">
            <v>Br. Belantih, Ds. Belantih, Kec. Kintamani Kab. Bangli</v>
          </cell>
          <cell r="P4878" t="str">
            <v>Bangli - Bali</v>
          </cell>
          <cell r="Q4878" t="str">
            <v>Br. Belantih, Ds. Belantih, Kec. Kintamani Kab. Bangli, Bangli</v>
          </cell>
          <cell r="R4878" t="str">
            <v>Bali</v>
          </cell>
          <cell r="S4878" t="str">
            <v>S Bali1</v>
          </cell>
          <cell r="T4878" t="str">
            <v>Wira</v>
          </cell>
          <cell r="U4878">
            <v>30</v>
          </cell>
        </row>
        <row r="4879">
          <cell r="E4879" t="str">
            <v>D25015293</v>
          </cell>
          <cell r="F4879"/>
          <cell r="G4879">
            <v>1100000000</v>
          </cell>
          <cell r="H4879" t="str">
            <v>Zakia</v>
          </cell>
          <cell r="I4879" t="str">
            <v>Tiya</v>
          </cell>
          <cell r="J4879"/>
          <cell r="K4879" t="str">
            <v>KU, Tunai</v>
          </cell>
          <cell r="L4879" t="str">
            <v>MEGA02</v>
          </cell>
          <cell r="M4879" t="str">
            <v>Mega Tani, UD</v>
          </cell>
          <cell r="N4879" t="str">
            <v>Pande Wayan Ladra</v>
          </cell>
          <cell r="O4879" t="str">
            <v>Br. Belantih, Ds. Belantih, Kec. Kintamani Kab. Bangli</v>
          </cell>
          <cell r="P4879" t="str">
            <v>Bangli - Bali</v>
          </cell>
          <cell r="Q4879" t="str">
            <v>Br. Belantih, Ds. Belantih, Kec. Kintamani Kab. Bangli, Bangli</v>
          </cell>
          <cell r="R4879" t="str">
            <v>Bali</v>
          </cell>
          <cell r="S4879" t="str">
            <v>S Bali1</v>
          </cell>
          <cell r="T4879" t="str">
            <v>Wira</v>
          </cell>
          <cell r="U4879">
            <v>60</v>
          </cell>
        </row>
        <row r="4880">
          <cell r="E4880" t="str">
            <v>D25015583</v>
          </cell>
          <cell r="F4880"/>
          <cell r="G4880">
            <v>1100000000</v>
          </cell>
          <cell r="H4880" t="str">
            <v>Zakia</v>
          </cell>
          <cell r="I4880" t="str">
            <v>Tiya</v>
          </cell>
          <cell r="J4880"/>
          <cell r="K4880" t="str">
            <v>KU, Tunai</v>
          </cell>
          <cell r="L4880" t="str">
            <v>MEGA02</v>
          </cell>
          <cell r="M4880" t="str">
            <v>Mega Tani, UD</v>
          </cell>
          <cell r="N4880" t="str">
            <v>Pande Wayan Ladra</v>
          </cell>
          <cell r="O4880" t="str">
            <v>Br. Belantih, Ds. Belantih, Kec. Kintamani Kab. Bangli</v>
          </cell>
          <cell r="P4880" t="str">
            <v>Bangli - Bali</v>
          </cell>
          <cell r="Q4880" t="str">
            <v>Br. Belantih, Ds. Belantih, Kec. Kintamani Kab. Bangli, Bangli</v>
          </cell>
          <cell r="R4880" t="str">
            <v>Bali</v>
          </cell>
          <cell r="S4880" t="str">
            <v>S Bali1</v>
          </cell>
          <cell r="T4880" t="str">
            <v>Wira</v>
          </cell>
          <cell r="U4880">
            <v>60</v>
          </cell>
        </row>
        <row r="4881">
          <cell r="E4881" t="str">
            <v>D25016140</v>
          </cell>
          <cell r="F4881"/>
          <cell r="G4881">
            <v>1100000000</v>
          </cell>
          <cell r="H4881" t="str">
            <v>Zakia</v>
          </cell>
          <cell r="I4881" t="str">
            <v>Tiya</v>
          </cell>
          <cell r="J4881"/>
          <cell r="K4881" t="str">
            <v>KU, Tunai</v>
          </cell>
          <cell r="L4881" t="str">
            <v>MEGA02</v>
          </cell>
          <cell r="M4881" t="str">
            <v>Mega Tani, UD</v>
          </cell>
          <cell r="N4881" t="str">
            <v>Pande Wayan Ladra</v>
          </cell>
          <cell r="O4881" t="str">
            <v>Br. Belantih, Ds. Belantih, Kec. Kintamani Kab. Bangli</v>
          </cell>
          <cell r="P4881" t="str">
            <v>Bangli - Bali</v>
          </cell>
          <cell r="Q4881" t="str">
            <v>Br. Belantih, Ds. Belantih, Kec. Kintamani Kab. Bangli, Bangli</v>
          </cell>
          <cell r="R4881" t="str">
            <v>Bali</v>
          </cell>
          <cell r="S4881" t="str">
            <v>S Bali1</v>
          </cell>
          <cell r="T4881" t="str">
            <v>Wira</v>
          </cell>
          <cell r="U4881">
            <v>30</v>
          </cell>
        </row>
        <row r="4882">
          <cell r="E4882" t="str">
            <v>D25016141</v>
          </cell>
          <cell r="F4882"/>
          <cell r="G4882">
            <v>1100000000</v>
          </cell>
          <cell r="H4882" t="str">
            <v>Zakia</v>
          </cell>
          <cell r="I4882" t="str">
            <v>Tiya</v>
          </cell>
          <cell r="J4882"/>
          <cell r="K4882" t="str">
            <v>KU, Tunai</v>
          </cell>
          <cell r="L4882" t="str">
            <v>MEGA02</v>
          </cell>
          <cell r="M4882" t="str">
            <v>Mega Tani, UD</v>
          </cell>
          <cell r="N4882" t="str">
            <v>Pande Wayan Ladra</v>
          </cell>
          <cell r="O4882" t="str">
            <v>Br. Belantih, Ds. Belantih, Kec. Kintamani Kab. Bangli</v>
          </cell>
          <cell r="P4882" t="str">
            <v>Bangli - Bali</v>
          </cell>
          <cell r="Q4882" t="str">
            <v>Br. Belantih, Ds. Belantih, Kec. Kintamani Kab. Bangli, Bangli</v>
          </cell>
          <cell r="R4882" t="str">
            <v>Bali</v>
          </cell>
          <cell r="S4882" t="str">
            <v>S Bali1</v>
          </cell>
          <cell r="T4882" t="str">
            <v>Wira</v>
          </cell>
          <cell r="U4882">
            <v>60</v>
          </cell>
        </row>
        <row r="4883">
          <cell r="E4883" t="str">
            <v>T25001595</v>
          </cell>
          <cell r="F4883"/>
          <cell r="G4883">
            <v>1100000000</v>
          </cell>
          <cell r="H4883" t="str">
            <v>Zakia</v>
          </cell>
          <cell r="I4883" t="str">
            <v>Tiya</v>
          </cell>
          <cell r="J4883"/>
          <cell r="K4883" t="str">
            <v>KU, Tunai</v>
          </cell>
          <cell r="L4883" t="str">
            <v>MEGA02</v>
          </cell>
          <cell r="M4883" t="str">
            <v>Mega Tani, UD</v>
          </cell>
          <cell r="N4883" t="str">
            <v>Pande Wayan Ladra</v>
          </cell>
          <cell r="O4883" t="str">
            <v>Br. Belantih, Ds. Belantih, Kec. Kintamani Kab. Bangli</v>
          </cell>
          <cell r="P4883" t="str">
            <v>Bangli - Bali</v>
          </cell>
          <cell r="Q4883" t="str">
            <v>Br. Belantih, Ds. Belantih, Kec. Kintamani Kab. Bangli, Bangli</v>
          </cell>
          <cell r="R4883" t="str">
            <v>Bali</v>
          </cell>
          <cell r="S4883" t="str">
            <v>S Bali1</v>
          </cell>
          <cell r="T4883" t="str">
            <v>Wira</v>
          </cell>
          <cell r="U4883">
            <v>60</v>
          </cell>
        </row>
        <row r="4884">
          <cell r="E4884" t="str">
            <v>D25016241</v>
          </cell>
          <cell r="F4884"/>
          <cell r="G4884">
            <v>1100000000</v>
          </cell>
          <cell r="H4884" t="str">
            <v>Zakia</v>
          </cell>
          <cell r="I4884" t="str">
            <v>Tiya</v>
          </cell>
          <cell r="J4884"/>
          <cell r="K4884" t="str">
            <v>KU, Tunai</v>
          </cell>
          <cell r="L4884" t="str">
            <v>MEGA02</v>
          </cell>
          <cell r="M4884" t="str">
            <v>Mega Tani, UD</v>
          </cell>
          <cell r="N4884" t="str">
            <v>Pande Wayan Ladra</v>
          </cell>
          <cell r="O4884" t="str">
            <v>Br. Belantih, Ds. Belantih, Kec. Kintamani Kab. Bangli</v>
          </cell>
          <cell r="P4884" t="str">
            <v>Bangli - Bali</v>
          </cell>
          <cell r="Q4884" t="str">
            <v>Br. Belantih, Ds. Belantih, Kec. Kintamani Kab. Bangli, Bangli</v>
          </cell>
          <cell r="R4884" t="str">
            <v>Bali</v>
          </cell>
          <cell r="S4884" t="str">
            <v>S Bali1</v>
          </cell>
          <cell r="T4884" t="str">
            <v>Wira</v>
          </cell>
          <cell r="U4884">
            <v>30</v>
          </cell>
        </row>
        <row r="4885">
          <cell r="E4885" t="str">
            <v>D25016271</v>
          </cell>
          <cell r="F4885"/>
          <cell r="G4885">
            <v>1100000000</v>
          </cell>
          <cell r="H4885" t="str">
            <v>Zakia</v>
          </cell>
          <cell r="I4885" t="str">
            <v>Tiya</v>
          </cell>
          <cell r="J4885"/>
          <cell r="K4885" t="str">
            <v>KU, Tunai</v>
          </cell>
          <cell r="L4885" t="str">
            <v>MEGA02</v>
          </cell>
          <cell r="M4885" t="str">
            <v>Mega Tani, UD</v>
          </cell>
          <cell r="N4885" t="str">
            <v>Pande Wayan Ladra</v>
          </cell>
          <cell r="O4885" t="str">
            <v>Br. Belantih, Ds. Belantih, Kec. Kintamani Kab. Bangli</v>
          </cell>
          <cell r="P4885" t="str">
            <v>Bangli - Bali</v>
          </cell>
          <cell r="Q4885" t="str">
            <v>Br. Belantih, Ds. Belantih, Kec. Kintamani Kab. Bangli, Bangli</v>
          </cell>
          <cell r="R4885" t="str">
            <v>Bali</v>
          </cell>
          <cell r="S4885" t="str">
            <v>S Bali1</v>
          </cell>
          <cell r="T4885" t="str">
            <v>Wira</v>
          </cell>
          <cell r="U4885">
            <v>30</v>
          </cell>
        </row>
        <row r="4886">
          <cell r="E4886" t="str">
            <v>D25013553</v>
          </cell>
          <cell r="F4886"/>
          <cell r="G4886">
            <v>200000000</v>
          </cell>
          <cell r="H4886" t="str">
            <v>Zakia</v>
          </cell>
          <cell r="I4886" t="str">
            <v>Tiya</v>
          </cell>
          <cell r="J4886" t="str">
            <v>New 26/01/22</v>
          </cell>
          <cell r="K4886" t="str">
            <v>KU</v>
          </cell>
          <cell r="L4886" t="str">
            <v>MEGA09</v>
          </cell>
          <cell r="M4886" t="str">
            <v>Mega Tani/Gusti Kade Suastika</v>
          </cell>
          <cell r="N4886" t="str">
            <v>Gusti Kade Suastika</v>
          </cell>
          <cell r="O4886" t="str">
            <v>Banjar Gunung Sekar, Kel. Mendoyo Dauh Tukad, Kec. Mendoyo</v>
          </cell>
          <cell r="P4886" t="str">
            <v>Jembrana - Bali</v>
          </cell>
          <cell r="Q4886" t="str">
            <v>Ds. Tinungan, Kec. Baturiti, Tabanan</v>
          </cell>
          <cell r="R4886" t="str">
            <v>Bali</v>
          </cell>
          <cell r="S4886" t="str">
            <v>S Bali1</v>
          </cell>
          <cell r="T4886" t="str">
            <v>Wira</v>
          </cell>
          <cell r="U4886">
            <v>30</v>
          </cell>
        </row>
        <row r="4887">
          <cell r="E4887" t="str">
            <v>D25012213</v>
          </cell>
          <cell r="F4887"/>
          <cell r="G4887">
            <v>100000000</v>
          </cell>
          <cell r="H4887" t="str">
            <v>Zakia</v>
          </cell>
          <cell r="I4887" t="str">
            <v>Tiya</v>
          </cell>
          <cell r="J4887" t="str">
            <v>New 18/05/20</v>
          </cell>
          <cell r="K4887" t="str">
            <v>KU, Tunai</v>
          </cell>
          <cell r="L4887" t="str">
            <v>MEKA11</v>
          </cell>
          <cell r="M4887" t="str">
            <v>Mekar Jaya Tani/Rudy</v>
          </cell>
          <cell r="N4887" t="str">
            <v>Rudy Johan Dhoko</v>
          </cell>
          <cell r="O4887" t="str">
            <v>Dusun Ngancar RT.003/RW.003 Kel. Ngancar, Kec. Ngancar</v>
          </cell>
          <cell r="P4887" t="str">
            <v>Kediri</v>
          </cell>
          <cell r="Q4887" t="str">
            <v xml:space="preserve">Bangsri, Kel. Selosari, Kec. Kandat </v>
          </cell>
          <cell r="R4887" t="str">
            <v>Kediri</v>
          </cell>
          <cell r="S4887" t="str">
            <v>D Barat2</v>
          </cell>
          <cell r="T4887" t="str">
            <v>Tomi</v>
          </cell>
          <cell r="U4887">
            <v>30</v>
          </cell>
        </row>
        <row r="4888">
          <cell r="E4888" t="str">
            <v>B25011287</v>
          </cell>
          <cell r="F4888"/>
          <cell r="G4888">
            <v>100000000</v>
          </cell>
          <cell r="H4888" t="str">
            <v>Zakia</v>
          </cell>
          <cell r="I4888" t="str">
            <v>Tiya</v>
          </cell>
          <cell r="J4888" t="str">
            <v>New 18/05/20</v>
          </cell>
          <cell r="K4888" t="str">
            <v>KU, Tunai</v>
          </cell>
          <cell r="L4888" t="str">
            <v>MEKA11</v>
          </cell>
          <cell r="M4888" t="str">
            <v>Mekar Jaya Tani/Rudy</v>
          </cell>
          <cell r="N4888" t="str">
            <v>Rudy Johan Dhoko</v>
          </cell>
          <cell r="O4888" t="str">
            <v>Dusun Ngancar RT.003/RW.003 Kel. Ngancar, Kec. Ngancar</v>
          </cell>
          <cell r="P4888" t="str">
            <v>Kediri</v>
          </cell>
          <cell r="Q4888" t="str">
            <v xml:space="preserve">Bangsri, Kel. Selosari, Kec. Kandat </v>
          </cell>
          <cell r="R4888" t="str">
            <v>Kediri</v>
          </cell>
          <cell r="S4888" t="str">
            <v>D Barat2</v>
          </cell>
          <cell r="T4888" t="str">
            <v>Tomi</v>
          </cell>
          <cell r="U4888">
            <v>30</v>
          </cell>
        </row>
        <row r="4889">
          <cell r="E4889" t="str">
            <v>D25013568</v>
          </cell>
          <cell r="F4889"/>
          <cell r="G4889">
            <v>100000000</v>
          </cell>
          <cell r="H4889" t="str">
            <v>Zakia</v>
          </cell>
          <cell r="I4889" t="str">
            <v>Tiya</v>
          </cell>
          <cell r="J4889" t="str">
            <v>New 18/05/20</v>
          </cell>
          <cell r="K4889" t="str">
            <v>KU, Tunai</v>
          </cell>
          <cell r="L4889" t="str">
            <v>MEKA11</v>
          </cell>
          <cell r="M4889" t="str">
            <v>Mekar Jaya Tani/Rudy</v>
          </cell>
          <cell r="N4889" t="str">
            <v>Rudy Johan Dhoko</v>
          </cell>
          <cell r="O4889" t="str">
            <v>Dusun Ngancar RT.003/RW.003 Kel. Ngancar, Kec. Ngancar</v>
          </cell>
          <cell r="P4889" t="str">
            <v>Kediri</v>
          </cell>
          <cell r="Q4889" t="str">
            <v xml:space="preserve">Bangsri, Kel. Selosari, Kec. Kandat </v>
          </cell>
          <cell r="R4889" t="str">
            <v>Kediri</v>
          </cell>
          <cell r="S4889" t="str">
            <v>D Barat2</v>
          </cell>
          <cell r="T4889" t="str">
            <v>Tomi</v>
          </cell>
          <cell r="U4889">
            <v>30</v>
          </cell>
        </row>
        <row r="4890">
          <cell r="E4890" t="str">
            <v>D25013781</v>
          </cell>
          <cell r="F4890"/>
          <cell r="G4890">
            <v>100000000</v>
          </cell>
          <cell r="H4890" t="str">
            <v>Zakia</v>
          </cell>
          <cell r="I4890" t="str">
            <v>Tiya</v>
          </cell>
          <cell r="J4890" t="str">
            <v>New 18/05/20</v>
          </cell>
          <cell r="K4890" t="str">
            <v>KU, Tunai</v>
          </cell>
          <cell r="L4890" t="str">
            <v>MEKA11</v>
          </cell>
          <cell r="M4890" t="str">
            <v>Mekar Jaya Tani/Rudy</v>
          </cell>
          <cell r="N4890" t="str">
            <v>Rudy Johan Dhoko</v>
          </cell>
          <cell r="O4890" t="str">
            <v>Dusun Ngancar RT.003/RW.003 Kel. Ngancar, Kec. Ngancar</v>
          </cell>
          <cell r="P4890" t="str">
            <v>Kediri</v>
          </cell>
          <cell r="Q4890" t="str">
            <v xml:space="preserve">Bangsri, Kel. Selosari, Kec. Kandat </v>
          </cell>
          <cell r="R4890" t="str">
            <v>Kediri</v>
          </cell>
          <cell r="S4890" t="str">
            <v>D Barat2</v>
          </cell>
          <cell r="T4890" t="str">
            <v>Tomi</v>
          </cell>
          <cell r="U4890">
            <v>30</v>
          </cell>
        </row>
        <row r="4891">
          <cell r="E4891" t="str">
            <v>D25015196</v>
          </cell>
          <cell r="F4891"/>
          <cell r="G4891">
            <v>100000000</v>
          </cell>
          <cell r="H4891" t="str">
            <v>Zakia</v>
          </cell>
          <cell r="I4891" t="str">
            <v>Tiya</v>
          </cell>
          <cell r="J4891" t="str">
            <v>New 18/05/20</v>
          </cell>
          <cell r="K4891" t="str">
            <v>KU, Tunai</v>
          </cell>
          <cell r="L4891" t="str">
            <v>MEKA11</v>
          </cell>
          <cell r="M4891" t="str">
            <v>Mekar Jaya Tani/Rudy</v>
          </cell>
          <cell r="N4891" t="str">
            <v>Rudy Johan Dhoko</v>
          </cell>
          <cell r="O4891" t="str">
            <v>Dusun Ngancar RT.003/RW.003 Kel. Ngancar, Kec. Ngancar</v>
          </cell>
          <cell r="P4891" t="str">
            <v>Kediri</v>
          </cell>
          <cell r="Q4891" t="str">
            <v xml:space="preserve">Bangsri, Kel. Selosari, Kec. Kandat </v>
          </cell>
          <cell r="R4891" t="str">
            <v>Kediri</v>
          </cell>
          <cell r="S4891" t="str">
            <v>D Barat2</v>
          </cell>
          <cell r="T4891" t="str">
            <v>Tomi</v>
          </cell>
          <cell r="U4891">
            <v>30</v>
          </cell>
        </row>
        <row r="4892">
          <cell r="E4892" t="str">
            <v>B25013333</v>
          </cell>
          <cell r="F4892"/>
          <cell r="G4892">
            <v>100000000</v>
          </cell>
          <cell r="H4892" t="str">
            <v>Zakia</v>
          </cell>
          <cell r="I4892" t="str">
            <v>Tiya</v>
          </cell>
          <cell r="J4892" t="str">
            <v>New 18/05/20</v>
          </cell>
          <cell r="K4892" t="str">
            <v>KU, Tunai</v>
          </cell>
          <cell r="L4892" t="str">
            <v>MEKA11</v>
          </cell>
          <cell r="M4892" t="str">
            <v>Mekar Jaya Tani/Rudy</v>
          </cell>
          <cell r="N4892" t="str">
            <v>Rudy Johan Dhoko</v>
          </cell>
          <cell r="O4892" t="str">
            <v>Dusun Ngancar RT.003/RW.003 Kel. Ngancar, Kec. Ngancar</v>
          </cell>
          <cell r="P4892" t="str">
            <v>Kediri</v>
          </cell>
          <cell r="Q4892" t="str">
            <v xml:space="preserve">Bangsri, Kel. Selosari, Kec. Kandat </v>
          </cell>
          <cell r="R4892" t="str">
            <v>Kediri</v>
          </cell>
          <cell r="S4892" t="str">
            <v>D Barat2</v>
          </cell>
          <cell r="T4892" t="str">
            <v>Tomi</v>
          </cell>
          <cell r="U4892">
            <v>30</v>
          </cell>
        </row>
        <row r="4893">
          <cell r="E4893" t="str">
            <v>D25015695</v>
          </cell>
          <cell r="F4893"/>
          <cell r="G4893">
            <v>100000000</v>
          </cell>
          <cell r="H4893" t="str">
            <v>Zakia</v>
          </cell>
          <cell r="I4893" t="str">
            <v>Tiya</v>
          </cell>
          <cell r="J4893" t="str">
            <v>New 18/05/20</v>
          </cell>
          <cell r="K4893" t="str">
            <v>KU, Tunai</v>
          </cell>
          <cell r="L4893" t="str">
            <v>MEKA11</v>
          </cell>
          <cell r="M4893" t="str">
            <v>Mekar Jaya Tani/Rudy</v>
          </cell>
          <cell r="N4893" t="str">
            <v>Rudy Johan Dhoko</v>
          </cell>
          <cell r="O4893" t="str">
            <v>Dusun Ngancar RT.003/RW.003 Kel. Ngancar, Kec. Ngancar</v>
          </cell>
          <cell r="P4893" t="str">
            <v>Kediri</v>
          </cell>
          <cell r="Q4893" t="str">
            <v xml:space="preserve">Bangsri, Kel. Selosari, Kec. Kandat </v>
          </cell>
          <cell r="R4893" t="str">
            <v>Kediri</v>
          </cell>
          <cell r="S4893" t="str">
            <v>D Barat2</v>
          </cell>
          <cell r="T4893" t="str">
            <v>Tomi</v>
          </cell>
          <cell r="U4893">
            <v>30</v>
          </cell>
        </row>
        <row r="4894">
          <cell r="E4894" t="str">
            <v>B25009243</v>
          </cell>
          <cell r="F4894"/>
          <cell r="G4894">
            <v>5000000000</v>
          </cell>
          <cell r="H4894" t="str">
            <v>Hendra</v>
          </cell>
          <cell r="I4894" t="str">
            <v>Tiya</v>
          </cell>
          <cell r="J4894"/>
          <cell r="K4894" t="str">
            <v>KU</v>
          </cell>
          <cell r="L4894" t="str">
            <v>MEKA03</v>
          </cell>
          <cell r="M4894" t="str">
            <v>Mekar PS/Abdul Halik</v>
          </cell>
          <cell r="N4894" t="str">
            <v>Mekar Tani, CV</v>
          </cell>
          <cell r="O4894" t="str">
            <v>Jl. Ir Phm Noor, No.01, RT.004/RW.002 Barabai Utara, Barabai, Kab. Hulu Sungai Tengah</v>
          </cell>
          <cell r="P4894" t="str">
            <v>Kalimantan Selatan</v>
          </cell>
          <cell r="Q4894" t="str">
            <v>Jl. Ir Phm Noor, No.01, RT.004/RW.002 Barabai Utara, Barabai, Kab. Hulu Sungai Tengah</v>
          </cell>
          <cell r="R4894" t="str">
            <v>Kalimantan Selatan</v>
          </cell>
          <cell r="S4894" t="str">
            <v>E Luar Pulau2</v>
          </cell>
          <cell r="T4894" t="str">
            <v>Non SE &amp; JSE</v>
          </cell>
          <cell r="U4894">
            <v>45</v>
          </cell>
        </row>
        <row r="4895">
          <cell r="E4895" t="str">
            <v>B25012670</v>
          </cell>
          <cell r="F4895"/>
          <cell r="G4895">
            <v>10000000</v>
          </cell>
          <cell r="H4895" t="str">
            <v>Faris</v>
          </cell>
          <cell r="I4895" t="str">
            <v>Syahra</v>
          </cell>
          <cell r="J4895"/>
          <cell r="K4895" t="str">
            <v>KU, Tunai</v>
          </cell>
          <cell r="L4895" t="str">
            <v>MEKA06</v>
          </cell>
          <cell r="M4895" t="str">
            <v>Mekar Sari/Gatot</v>
          </cell>
          <cell r="N4895" t="str">
            <v>Gatot Yulianto</v>
          </cell>
          <cell r="O4895" t="str">
            <v>Utara Balai Desa Bagorejo, Srono</v>
          </cell>
          <cell r="P4895" t="str">
            <v>Banyuwangi</v>
          </cell>
          <cell r="Q4895" t="str">
            <v>Utara Balai Desa Bagorejo, Srono</v>
          </cell>
          <cell r="R4895" t="str">
            <v>Banyuwangi</v>
          </cell>
          <cell r="S4895" t="str">
            <v>H Bwi2</v>
          </cell>
          <cell r="T4895" t="str">
            <v>Hafid</v>
          </cell>
          <cell r="U4895">
            <v>30</v>
          </cell>
        </row>
        <row r="4896">
          <cell r="E4896" t="str">
            <v>B25013687</v>
          </cell>
          <cell r="F4896"/>
          <cell r="G4896">
            <v>10000000</v>
          </cell>
          <cell r="H4896" t="str">
            <v>Faris</v>
          </cell>
          <cell r="I4896" t="str">
            <v>Syahra</v>
          </cell>
          <cell r="J4896"/>
          <cell r="K4896" t="str">
            <v>KU, Tunai</v>
          </cell>
          <cell r="L4896" t="str">
            <v>MEKA06</v>
          </cell>
          <cell r="M4896" t="str">
            <v>Mekar Sari/Gatot</v>
          </cell>
          <cell r="N4896" t="str">
            <v>Gatot Yulianto</v>
          </cell>
          <cell r="O4896" t="str">
            <v>Utara Balai Desa Bagorejo, Srono</v>
          </cell>
          <cell r="P4896" t="str">
            <v>Banyuwangi</v>
          </cell>
          <cell r="Q4896" t="str">
            <v>Utara Balai Desa Bagorejo, Srono</v>
          </cell>
          <cell r="R4896" t="str">
            <v>Banyuwangi</v>
          </cell>
          <cell r="S4896" t="str">
            <v>H Bwi2</v>
          </cell>
          <cell r="T4896" t="str">
            <v>Hafid</v>
          </cell>
          <cell r="U4896">
            <v>0</v>
          </cell>
        </row>
        <row r="4897">
          <cell r="E4897" t="str">
            <v>B25013831</v>
          </cell>
          <cell r="F4897"/>
          <cell r="G4897">
            <v>10000000</v>
          </cell>
          <cell r="H4897" t="str">
            <v>Faris</v>
          </cell>
          <cell r="I4897" t="str">
            <v>Syahra</v>
          </cell>
          <cell r="J4897"/>
          <cell r="K4897" t="str">
            <v>KU, Tunai</v>
          </cell>
          <cell r="L4897" t="str">
            <v>MEKA06</v>
          </cell>
          <cell r="M4897" t="str">
            <v>Mekar Sari/Gatot</v>
          </cell>
          <cell r="N4897" t="str">
            <v>Gatot Yulianto</v>
          </cell>
          <cell r="O4897" t="str">
            <v>Utara Balai Desa Bagorejo, Srono</v>
          </cell>
          <cell r="P4897" t="str">
            <v>Banyuwangi</v>
          </cell>
          <cell r="Q4897" t="str">
            <v>Utara Balai Desa Bagorejo, Srono</v>
          </cell>
          <cell r="R4897" t="str">
            <v>Banyuwangi</v>
          </cell>
          <cell r="S4897" t="str">
            <v>H Bwi2</v>
          </cell>
          <cell r="T4897" t="str">
            <v>Hafid</v>
          </cell>
          <cell r="U4897">
            <v>0</v>
          </cell>
        </row>
        <row r="4898">
          <cell r="E4898" t="str">
            <v>B25010613</v>
          </cell>
          <cell r="F4898"/>
          <cell r="G4898">
            <v>100000000</v>
          </cell>
          <cell r="H4898" t="str">
            <v>Hendra</v>
          </cell>
          <cell r="I4898" t="str">
            <v>Tiya</v>
          </cell>
          <cell r="J4898" t="str">
            <v>New 09/06/20</v>
          </cell>
          <cell r="K4898" t="str">
            <v>KU</v>
          </cell>
          <cell r="L4898" t="str">
            <v>MEKA12</v>
          </cell>
          <cell r="M4898" t="str">
            <v>Mekar Tani/Muhlis</v>
          </cell>
          <cell r="N4898" t="str">
            <v>Muhlis</v>
          </cell>
          <cell r="O4898" t="str">
            <v>Biletepung, RT.004 Beleka, gerung, Kab. Lombok Barat NTB</v>
          </cell>
          <cell r="P4898" t="str">
            <v>Lombok Barat - NTB</v>
          </cell>
          <cell r="Q4898" t="str">
            <v>Biletepung, RT.004 Beleka, gerung, Kab. Lombok Barat NTB</v>
          </cell>
          <cell r="R4898" t="str">
            <v>Lombok Barat - NTB</v>
          </cell>
          <cell r="S4898" t="str">
            <v>E Luar Pulau2</v>
          </cell>
          <cell r="T4898" t="str">
            <v>Muhlisin</v>
          </cell>
          <cell r="U4898">
            <v>45</v>
          </cell>
        </row>
        <row r="4899">
          <cell r="E4899" t="str">
            <v>D25012810</v>
          </cell>
          <cell r="F4899"/>
          <cell r="G4899">
            <v>100000000</v>
          </cell>
          <cell r="H4899" t="str">
            <v>Hendra</v>
          </cell>
          <cell r="I4899" t="str">
            <v>Tiya</v>
          </cell>
          <cell r="J4899" t="str">
            <v>New 09/06/20</v>
          </cell>
          <cell r="K4899" t="str">
            <v>KU</v>
          </cell>
          <cell r="L4899" t="str">
            <v>MEKA12</v>
          </cell>
          <cell r="M4899" t="str">
            <v>Mekar Tani/Muhlis</v>
          </cell>
          <cell r="N4899" t="str">
            <v>Muhlis</v>
          </cell>
          <cell r="O4899" t="str">
            <v>Biletepung, RT.004 Beleka, gerung, Kab. Lombok Barat NTB</v>
          </cell>
          <cell r="P4899" t="str">
            <v>Lombok Barat - NTB</v>
          </cell>
          <cell r="Q4899" t="str">
            <v>Biletepung, RT.004 Beleka, gerung, Kab. Lombok Barat NTB</v>
          </cell>
          <cell r="R4899" t="str">
            <v>Lombok Barat - NTB</v>
          </cell>
          <cell r="S4899" t="str">
            <v>E Luar Pulau2</v>
          </cell>
          <cell r="T4899" t="str">
            <v>Muhlisin</v>
          </cell>
          <cell r="U4899">
            <v>45</v>
          </cell>
        </row>
        <row r="4900">
          <cell r="E4900" t="str">
            <v>B25010882</v>
          </cell>
          <cell r="F4900"/>
          <cell r="G4900">
            <v>100000000</v>
          </cell>
          <cell r="H4900" t="str">
            <v>Hendra</v>
          </cell>
          <cell r="I4900" t="str">
            <v>Tiya</v>
          </cell>
          <cell r="J4900" t="str">
            <v>New 09/06/20</v>
          </cell>
          <cell r="K4900" t="str">
            <v>KU</v>
          </cell>
          <cell r="L4900" t="str">
            <v>MEKA12</v>
          </cell>
          <cell r="M4900" t="str">
            <v>Mekar Tani/Muhlis</v>
          </cell>
          <cell r="N4900" t="str">
            <v>Muhlis</v>
          </cell>
          <cell r="O4900" t="str">
            <v>Biletepung, RT.004 Beleka, gerung, Kab. Lombok Barat NTB</v>
          </cell>
          <cell r="P4900" t="str">
            <v>Lombok Barat - NTB</v>
          </cell>
          <cell r="Q4900" t="str">
            <v>Biletepung, RT.004 Beleka, gerung, Kab. Lombok Barat NTB</v>
          </cell>
          <cell r="R4900" t="str">
            <v>Lombok Barat - NTB</v>
          </cell>
          <cell r="S4900" t="str">
            <v>E Luar Pulau2</v>
          </cell>
          <cell r="T4900" t="str">
            <v>Muhlisin</v>
          </cell>
          <cell r="U4900">
            <v>45</v>
          </cell>
        </row>
        <row r="4901">
          <cell r="E4901" t="str">
            <v>B25010888</v>
          </cell>
          <cell r="F4901"/>
          <cell r="G4901">
            <v>100000000</v>
          </cell>
          <cell r="H4901" t="str">
            <v>Hendra</v>
          </cell>
          <cell r="I4901" t="str">
            <v>Tiya</v>
          </cell>
          <cell r="J4901" t="str">
            <v>New 09/06/20</v>
          </cell>
          <cell r="K4901" t="str">
            <v>KU</v>
          </cell>
          <cell r="L4901" t="str">
            <v>MEKA12</v>
          </cell>
          <cell r="M4901" t="str">
            <v>Mekar Tani/Muhlis</v>
          </cell>
          <cell r="N4901" t="str">
            <v>Muhlis</v>
          </cell>
          <cell r="O4901" t="str">
            <v>Biletepung, RT.004 Beleka, gerung, Kab. Lombok Barat NTB</v>
          </cell>
          <cell r="P4901" t="str">
            <v>Lombok Barat - NTB</v>
          </cell>
          <cell r="Q4901" t="str">
            <v>Biletepung, RT.004 Beleka, gerung, Kab. Lombok Barat NTB</v>
          </cell>
          <cell r="R4901" t="str">
            <v>Lombok Barat - NTB</v>
          </cell>
          <cell r="S4901" t="str">
            <v>E Luar Pulau2</v>
          </cell>
          <cell r="T4901" t="str">
            <v>Muhlisin</v>
          </cell>
          <cell r="U4901">
            <v>45</v>
          </cell>
        </row>
        <row r="4902">
          <cell r="E4902" t="str">
            <v>D25012979</v>
          </cell>
          <cell r="F4902"/>
          <cell r="G4902">
            <v>100000000</v>
          </cell>
          <cell r="H4902" t="str">
            <v>Hendra</v>
          </cell>
          <cell r="I4902" t="str">
            <v>Tiya</v>
          </cell>
          <cell r="J4902" t="str">
            <v>New 09/06/20</v>
          </cell>
          <cell r="K4902" t="str">
            <v>KU</v>
          </cell>
          <cell r="L4902" t="str">
            <v>MEKA12</v>
          </cell>
          <cell r="M4902" t="str">
            <v>Mekar Tani/Muhlis</v>
          </cell>
          <cell r="N4902" t="str">
            <v>Muhlis</v>
          </cell>
          <cell r="O4902" t="str">
            <v>Biletepung, RT.004 Beleka, gerung, Kab. Lombok Barat NTB</v>
          </cell>
          <cell r="P4902" t="str">
            <v>Lombok Barat - NTB</v>
          </cell>
          <cell r="Q4902" t="str">
            <v>Biletepung, RT.004 Beleka, gerung, Kab. Lombok Barat NTB</v>
          </cell>
          <cell r="R4902" t="str">
            <v>Lombok Barat - NTB</v>
          </cell>
          <cell r="S4902" t="str">
            <v>E Luar Pulau2</v>
          </cell>
          <cell r="T4902" t="str">
            <v>Muhlisin</v>
          </cell>
          <cell r="U4902">
            <v>45</v>
          </cell>
        </row>
        <row r="4903">
          <cell r="E4903" t="str">
            <v>B25012229</v>
          </cell>
          <cell r="F4903"/>
          <cell r="G4903">
            <v>100000000</v>
          </cell>
          <cell r="H4903" t="str">
            <v>Hendra</v>
          </cell>
          <cell r="I4903" t="str">
            <v>Tiya</v>
          </cell>
          <cell r="J4903" t="str">
            <v>New 09/06/20</v>
          </cell>
          <cell r="K4903" t="str">
            <v>KU</v>
          </cell>
          <cell r="L4903" t="str">
            <v>MEKA12</v>
          </cell>
          <cell r="M4903" t="str">
            <v>Mekar Tani/Muhlis</v>
          </cell>
          <cell r="N4903" t="str">
            <v>Muhlis</v>
          </cell>
          <cell r="O4903" t="str">
            <v>Biletepung, RT.004 Beleka, gerung, Kab. Lombok Barat NTB</v>
          </cell>
          <cell r="P4903" t="str">
            <v>Lombok Barat - NTB</v>
          </cell>
          <cell r="Q4903" t="str">
            <v>Biletepung, RT.004 Beleka, gerung, Kab. Lombok Barat NTB</v>
          </cell>
          <cell r="R4903" t="str">
            <v>Lombok Barat - NTB</v>
          </cell>
          <cell r="S4903" t="str">
            <v>E Luar Pulau2</v>
          </cell>
          <cell r="T4903" t="str">
            <v>Muhlisin</v>
          </cell>
          <cell r="U4903">
            <v>45</v>
          </cell>
        </row>
        <row r="4904">
          <cell r="E4904" t="str">
            <v>D25015082</v>
          </cell>
          <cell r="F4904"/>
          <cell r="G4904">
            <v>100000000</v>
          </cell>
          <cell r="H4904" t="str">
            <v>Hendra</v>
          </cell>
          <cell r="I4904" t="str">
            <v>Tiya</v>
          </cell>
          <cell r="J4904" t="str">
            <v>New 09/06/20</v>
          </cell>
          <cell r="K4904" t="str">
            <v>KU</v>
          </cell>
          <cell r="L4904" t="str">
            <v>MEKA12</v>
          </cell>
          <cell r="M4904" t="str">
            <v>Mekar Tani/Muhlis</v>
          </cell>
          <cell r="N4904" t="str">
            <v>Muhlis</v>
          </cell>
          <cell r="O4904" t="str">
            <v>Biletepung, RT.004 Beleka, gerung, Kab. Lombok Barat NTB</v>
          </cell>
          <cell r="P4904" t="str">
            <v>Lombok Barat - NTB</v>
          </cell>
          <cell r="Q4904" t="str">
            <v>Biletepung, RT.004 Beleka, gerung, Kab. Lombok Barat NTB</v>
          </cell>
          <cell r="R4904" t="str">
            <v>Lombok Barat - NTB</v>
          </cell>
          <cell r="S4904" t="str">
            <v>E Luar Pulau2</v>
          </cell>
          <cell r="T4904" t="str">
            <v>Muhlisin</v>
          </cell>
          <cell r="U4904">
            <v>45</v>
          </cell>
        </row>
        <row r="4905">
          <cell r="E4905" t="str">
            <v>D25015083</v>
          </cell>
          <cell r="F4905"/>
          <cell r="G4905">
            <v>100000000</v>
          </cell>
          <cell r="H4905" t="str">
            <v>Hendra</v>
          </cell>
          <cell r="I4905" t="str">
            <v>Tiya</v>
          </cell>
          <cell r="J4905" t="str">
            <v>New 09/06/20</v>
          </cell>
          <cell r="K4905" t="str">
            <v>KU</v>
          </cell>
          <cell r="L4905" t="str">
            <v>MEKA12</v>
          </cell>
          <cell r="M4905" t="str">
            <v>Mekar Tani/Muhlis</v>
          </cell>
          <cell r="N4905" t="str">
            <v>Muhlis</v>
          </cell>
          <cell r="O4905" t="str">
            <v>Biletepung, RT.004 Beleka, gerung, Kab. Lombok Barat NTB</v>
          </cell>
          <cell r="P4905" t="str">
            <v>Lombok Barat - NTB</v>
          </cell>
          <cell r="Q4905" t="str">
            <v>Biletepung, RT.004 Beleka, gerung, Kab. Lombok Barat NTB</v>
          </cell>
          <cell r="R4905" t="str">
            <v>Lombok Barat - NTB</v>
          </cell>
          <cell r="S4905" t="str">
            <v>E Luar Pulau2</v>
          </cell>
          <cell r="T4905" t="str">
            <v>Muhlisin</v>
          </cell>
          <cell r="U4905">
            <v>15</v>
          </cell>
        </row>
        <row r="4906">
          <cell r="E4906" t="str">
            <v>B25007297</v>
          </cell>
          <cell r="F4906"/>
          <cell r="G4906">
            <v>200000000</v>
          </cell>
          <cell r="H4906" t="str">
            <v>Faris</v>
          </cell>
          <cell r="I4906" t="str">
            <v>Syahra</v>
          </cell>
          <cell r="J4906" t="str">
            <v>New 23/08/21</v>
          </cell>
          <cell r="K4906" t="str">
            <v>KU, Tunai</v>
          </cell>
          <cell r="L4906" t="str">
            <v>MEKA15</v>
          </cell>
          <cell r="M4906" t="str">
            <v>Mekar Tani/Tunti</v>
          </cell>
          <cell r="N4906" t="str">
            <v>Tunti Mustikowati</v>
          </cell>
          <cell r="O4906" t="str">
            <v>Dusun Gebangkandel, RT.003/RW.005, Kel. Sumbersari, Kec. Purwoharjo</v>
          </cell>
          <cell r="P4906" t="str">
            <v>Banyuwangi</v>
          </cell>
          <cell r="Q4906" t="str">
            <v>Dusun Gebangkandel, RT.003/RW.005, Kel. Sumbersari, Kec. Purwoharjo</v>
          </cell>
          <cell r="R4906" t="str">
            <v>Banyuwangi</v>
          </cell>
          <cell r="S4906" t="str">
            <v>H Bwi3</v>
          </cell>
          <cell r="T4906" t="str">
            <v>Hafid</v>
          </cell>
          <cell r="U4906">
            <v>60</v>
          </cell>
        </row>
        <row r="4907">
          <cell r="E4907" t="str">
            <v>B25007591</v>
          </cell>
          <cell r="F4907"/>
          <cell r="G4907">
            <v>200000000</v>
          </cell>
          <cell r="H4907" t="str">
            <v>Faris</v>
          </cell>
          <cell r="I4907" t="str">
            <v>Syahra</v>
          </cell>
          <cell r="J4907" t="str">
            <v>New 23/08/21</v>
          </cell>
          <cell r="K4907" t="str">
            <v>KU, Tunai</v>
          </cell>
          <cell r="L4907" t="str">
            <v>MEKA15</v>
          </cell>
          <cell r="M4907" t="str">
            <v>Mekar Tani/Tunti</v>
          </cell>
          <cell r="N4907" t="str">
            <v>Tunti Mustikowati</v>
          </cell>
          <cell r="O4907" t="str">
            <v>Dusun Gebangkandel, RT.003/RW.005, Kel. Sumbersari, Kec. Purwoharjo</v>
          </cell>
          <cell r="P4907" t="str">
            <v>Banyuwangi</v>
          </cell>
          <cell r="Q4907" t="str">
            <v>Dusun Gebangkandel, RT.003/RW.005, Kel. Sumbersari, Kec. Purwoharjo</v>
          </cell>
          <cell r="R4907" t="str">
            <v>Banyuwangi</v>
          </cell>
          <cell r="S4907" t="str">
            <v>H Bwi3</v>
          </cell>
          <cell r="T4907" t="str">
            <v>Hafid</v>
          </cell>
          <cell r="U4907">
            <v>60</v>
          </cell>
        </row>
        <row r="4908">
          <cell r="E4908" t="str">
            <v>B25007650</v>
          </cell>
          <cell r="F4908"/>
          <cell r="G4908">
            <v>200000000</v>
          </cell>
          <cell r="H4908" t="str">
            <v>Faris</v>
          </cell>
          <cell r="I4908" t="str">
            <v>Syahra</v>
          </cell>
          <cell r="J4908" t="str">
            <v>New 23/08/21</v>
          </cell>
          <cell r="K4908" t="str">
            <v>KU, Tunai</v>
          </cell>
          <cell r="L4908" t="str">
            <v>MEKA15</v>
          </cell>
          <cell r="M4908" t="str">
            <v>Mekar Tani/Tunti</v>
          </cell>
          <cell r="N4908" t="str">
            <v>Tunti Mustikowati</v>
          </cell>
          <cell r="O4908" t="str">
            <v>Dusun Gebangkandel, RT.003/RW.005, Kel. Sumbersari, Kec. Purwoharjo</v>
          </cell>
          <cell r="P4908" t="str">
            <v>Banyuwangi</v>
          </cell>
          <cell r="Q4908" t="str">
            <v>Dusun Gebangkandel, RT.003/RW.005, Kel. Sumbersari, Kec. Purwoharjo</v>
          </cell>
          <cell r="R4908" t="str">
            <v>Banyuwangi</v>
          </cell>
          <cell r="S4908" t="str">
            <v>H Bwi3</v>
          </cell>
          <cell r="T4908" t="str">
            <v>Hafid</v>
          </cell>
          <cell r="U4908">
            <v>60</v>
          </cell>
        </row>
        <row r="4909">
          <cell r="E4909" t="str">
            <v>B25007650</v>
          </cell>
          <cell r="F4909"/>
          <cell r="G4909">
            <v>200000000</v>
          </cell>
          <cell r="H4909" t="str">
            <v>Faris</v>
          </cell>
          <cell r="I4909" t="str">
            <v>Syahra</v>
          </cell>
          <cell r="J4909" t="str">
            <v>New 23/08/21</v>
          </cell>
          <cell r="K4909" t="str">
            <v>KU, Tunai</v>
          </cell>
          <cell r="L4909" t="str">
            <v>MEKA15</v>
          </cell>
          <cell r="M4909" t="str">
            <v>Mekar Tani/Tunti</v>
          </cell>
          <cell r="N4909" t="str">
            <v>Tunti Mustikowati</v>
          </cell>
          <cell r="O4909" t="str">
            <v>Dusun Gebangkandel, RT.003/RW.005, Kel. Sumbersari, Kec. Purwoharjo</v>
          </cell>
          <cell r="P4909" t="str">
            <v>Banyuwangi</v>
          </cell>
          <cell r="Q4909" t="str">
            <v>Dusun Gebangkandel, RT.003/RW.005, Kel. Sumbersari, Kec. Purwoharjo</v>
          </cell>
          <cell r="R4909" t="str">
            <v>Banyuwangi</v>
          </cell>
          <cell r="S4909" t="str">
            <v>H Bwi3</v>
          </cell>
          <cell r="T4909" t="str">
            <v>Hafid</v>
          </cell>
          <cell r="U4909">
            <v>60</v>
          </cell>
        </row>
        <row r="4910">
          <cell r="E4910" t="str">
            <v>D25009543</v>
          </cell>
          <cell r="F4910"/>
          <cell r="G4910">
            <v>200000000</v>
          </cell>
          <cell r="H4910" t="str">
            <v>Faris</v>
          </cell>
          <cell r="I4910" t="str">
            <v>Syahra</v>
          </cell>
          <cell r="J4910" t="str">
            <v>New 23/08/21</v>
          </cell>
          <cell r="K4910" t="str">
            <v>KU, Tunai</v>
          </cell>
          <cell r="L4910" t="str">
            <v>MEKA15</v>
          </cell>
          <cell r="M4910" t="str">
            <v>Mekar Tani/Tunti</v>
          </cell>
          <cell r="N4910" t="str">
            <v>Tunti Mustikowati</v>
          </cell>
          <cell r="O4910" t="str">
            <v>Dusun Gebangkandel, RT.003/RW.005, Kel. Sumbersari, Kec. Purwoharjo</v>
          </cell>
          <cell r="P4910" t="str">
            <v>Banyuwangi</v>
          </cell>
          <cell r="Q4910" t="str">
            <v>Dusun Gebangkandel, RT.003/RW.005, Kel. Sumbersari, Kec. Purwoharjo</v>
          </cell>
          <cell r="R4910" t="str">
            <v>Banyuwangi</v>
          </cell>
          <cell r="S4910" t="str">
            <v>H Bwi3</v>
          </cell>
          <cell r="T4910" t="str">
            <v>Hafid</v>
          </cell>
          <cell r="U4910">
            <v>60</v>
          </cell>
        </row>
        <row r="4911">
          <cell r="E4911" t="str">
            <v>D25009592</v>
          </cell>
          <cell r="F4911"/>
          <cell r="G4911">
            <v>200000000</v>
          </cell>
          <cell r="H4911" t="str">
            <v>Faris</v>
          </cell>
          <cell r="I4911" t="str">
            <v>Syahra</v>
          </cell>
          <cell r="J4911" t="str">
            <v>New 23/08/21</v>
          </cell>
          <cell r="K4911" t="str">
            <v>KU, Tunai</v>
          </cell>
          <cell r="L4911" t="str">
            <v>MEKA15</v>
          </cell>
          <cell r="M4911" t="str">
            <v>Mekar Tani/Tunti</v>
          </cell>
          <cell r="N4911" t="str">
            <v>Tunti Mustikowati</v>
          </cell>
          <cell r="O4911" t="str">
            <v>Dusun Gebangkandel, RT.003/RW.005, Kel. Sumbersari, Kec. Purwoharjo</v>
          </cell>
          <cell r="P4911" t="str">
            <v>Banyuwangi</v>
          </cell>
          <cell r="Q4911" t="str">
            <v>Dusun Gebangkandel, RT.003/RW.005, Kel. Sumbersari, Kec. Purwoharjo</v>
          </cell>
          <cell r="R4911" t="str">
            <v>Banyuwangi</v>
          </cell>
          <cell r="S4911" t="str">
            <v>H Bwi3</v>
          </cell>
          <cell r="T4911" t="str">
            <v>Hafid</v>
          </cell>
          <cell r="U4911">
            <v>30</v>
          </cell>
        </row>
        <row r="4912">
          <cell r="E4912" t="str">
            <v>D25010066</v>
          </cell>
          <cell r="F4912"/>
          <cell r="G4912">
            <v>200000000</v>
          </cell>
          <cell r="H4912" t="str">
            <v>Faris</v>
          </cell>
          <cell r="I4912" t="str">
            <v>Syahra</v>
          </cell>
          <cell r="J4912" t="str">
            <v>New 23/08/21</v>
          </cell>
          <cell r="K4912" t="str">
            <v>KU, Tunai</v>
          </cell>
          <cell r="L4912" t="str">
            <v>MEKA15</v>
          </cell>
          <cell r="M4912" t="str">
            <v>Mekar Tani/Tunti</v>
          </cell>
          <cell r="N4912" t="str">
            <v>Tunti Mustikowati</v>
          </cell>
          <cell r="O4912" t="str">
            <v>Dusun Gebangkandel, RT.003/RW.005, Kel. Sumbersari, Kec. Purwoharjo</v>
          </cell>
          <cell r="P4912" t="str">
            <v>Banyuwangi</v>
          </cell>
          <cell r="Q4912" t="str">
            <v>Dusun Gebangkandel, RT.003/RW.005, Kel. Sumbersari, Kec. Purwoharjo</v>
          </cell>
          <cell r="R4912" t="str">
            <v>Banyuwangi</v>
          </cell>
          <cell r="S4912" t="str">
            <v>H Bwi3</v>
          </cell>
          <cell r="T4912" t="str">
            <v>Hafid</v>
          </cell>
          <cell r="U4912">
            <v>30</v>
          </cell>
        </row>
        <row r="4913">
          <cell r="E4913" t="str">
            <v>B25008293</v>
          </cell>
          <cell r="F4913"/>
          <cell r="G4913">
            <v>200000000</v>
          </cell>
          <cell r="H4913" t="str">
            <v>Faris</v>
          </cell>
          <cell r="I4913" t="str">
            <v>Syahra</v>
          </cell>
          <cell r="J4913" t="str">
            <v>New 23/08/21</v>
          </cell>
          <cell r="K4913" t="str">
            <v>KU, Tunai</v>
          </cell>
          <cell r="L4913" t="str">
            <v>MEKA15</v>
          </cell>
          <cell r="M4913" t="str">
            <v>Mekar Tani/Tunti</v>
          </cell>
          <cell r="N4913" t="str">
            <v>Tunti Mustikowati</v>
          </cell>
          <cell r="O4913" t="str">
            <v>Dusun Gebangkandel, RT.003/RW.005, Kel. Sumbersari, Kec. Purwoharjo</v>
          </cell>
          <cell r="P4913" t="str">
            <v>Banyuwangi</v>
          </cell>
          <cell r="Q4913" t="str">
            <v>Dusun Gebangkandel, RT.003/RW.005, Kel. Sumbersari, Kec. Purwoharjo</v>
          </cell>
          <cell r="R4913" t="str">
            <v>Banyuwangi</v>
          </cell>
          <cell r="S4913" t="str">
            <v>H Bwi3</v>
          </cell>
          <cell r="T4913" t="str">
            <v>Hafid</v>
          </cell>
          <cell r="U4913">
            <v>30</v>
          </cell>
        </row>
        <row r="4914">
          <cell r="E4914" t="str">
            <v>B25008362</v>
          </cell>
          <cell r="F4914"/>
          <cell r="G4914">
            <v>200000000</v>
          </cell>
          <cell r="H4914" t="str">
            <v>Faris</v>
          </cell>
          <cell r="I4914" t="str">
            <v>Syahra</v>
          </cell>
          <cell r="J4914" t="str">
            <v>New 23/08/21</v>
          </cell>
          <cell r="K4914" t="str">
            <v>KU, Tunai</v>
          </cell>
          <cell r="L4914" t="str">
            <v>MEKA15</v>
          </cell>
          <cell r="M4914" t="str">
            <v>Mekar Tani/Tunti</v>
          </cell>
          <cell r="N4914" t="str">
            <v>Tunti Mustikowati</v>
          </cell>
          <cell r="O4914" t="str">
            <v>Dusun Gebangkandel, RT.003/RW.005, Kel. Sumbersari, Kec. Purwoharjo</v>
          </cell>
          <cell r="P4914" t="str">
            <v>Banyuwangi</v>
          </cell>
          <cell r="Q4914" t="str">
            <v>Dusun Gebangkandel, RT.003/RW.005, Kel. Sumbersari, Kec. Purwoharjo</v>
          </cell>
          <cell r="R4914" t="str">
            <v>Banyuwangi</v>
          </cell>
          <cell r="S4914" t="str">
            <v>H Bwi3</v>
          </cell>
          <cell r="T4914" t="str">
            <v>Hafid</v>
          </cell>
          <cell r="U4914">
            <v>60</v>
          </cell>
        </row>
        <row r="4915">
          <cell r="E4915" t="str">
            <v>B25008363</v>
          </cell>
          <cell r="F4915"/>
          <cell r="G4915">
            <v>200000000</v>
          </cell>
          <cell r="H4915" t="str">
            <v>Faris</v>
          </cell>
          <cell r="I4915" t="str">
            <v>Syahra</v>
          </cell>
          <cell r="J4915" t="str">
            <v>New 23/08/21</v>
          </cell>
          <cell r="K4915" t="str">
            <v>KU, Tunai</v>
          </cell>
          <cell r="L4915" t="str">
            <v>MEKA15</v>
          </cell>
          <cell r="M4915" t="str">
            <v>Mekar Tani/Tunti</v>
          </cell>
          <cell r="N4915" t="str">
            <v>Tunti Mustikowati</v>
          </cell>
          <cell r="O4915" t="str">
            <v>Dusun Gebangkandel, RT.003/RW.005, Kel. Sumbersari, Kec. Purwoharjo</v>
          </cell>
          <cell r="P4915" t="str">
            <v>Banyuwangi</v>
          </cell>
          <cell r="Q4915" t="str">
            <v>Dusun Gebangkandel, RT.003/RW.005, Kel. Sumbersari, Kec. Purwoharjo</v>
          </cell>
          <cell r="R4915" t="str">
            <v>Banyuwangi</v>
          </cell>
          <cell r="S4915" t="str">
            <v>H Bwi3</v>
          </cell>
          <cell r="T4915" t="str">
            <v>Hafid</v>
          </cell>
          <cell r="U4915">
            <v>30</v>
          </cell>
        </row>
        <row r="4916">
          <cell r="E4916" t="str">
            <v>B25008485</v>
          </cell>
          <cell r="F4916"/>
          <cell r="G4916">
            <v>200000000</v>
          </cell>
          <cell r="H4916" t="str">
            <v>Faris</v>
          </cell>
          <cell r="I4916" t="str">
            <v>Syahra</v>
          </cell>
          <cell r="J4916" t="str">
            <v>New 23/08/21</v>
          </cell>
          <cell r="K4916" t="str">
            <v>KU, Tunai</v>
          </cell>
          <cell r="L4916" t="str">
            <v>MEKA15</v>
          </cell>
          <cell r="M4916" t="str">
            <v>Mekar Tani/Tunti</v>
          </cell>
          <cell r="N4916" t="str">
            <v>Tunti Mustikowati</v>
          </cell>
          <cell r="O4916" t="str">
            <v>Dusun Gebangkandel, RT.003/RW.005, Kel. Sumbersari, Kec. Purwoharjo</v>
          </cell>
          <cell r="P4916" t="str">
            <v>Banyuwangi</v>
          </cell>
          <cell r="Q4916" t="str">
            <v>Dusun Gebangkandel, RT.003/RW.005, Kel. Sumbersari, Kec. Purwoharjo</v>
          </cell>
          <cell r="R4916" t="str">
            <v>Banyuwangi</v>
          </cell>
          <cell r="S4916" t="str">
            <v>H Bwi3</v>
          </cell>
          <cell r="T4916" t="str">
            <v>Hafid</v>
          </cell>
          <cell r="U4916">
            <v>60</v>
          </cell>
        </row>
        <row r="4917">
          <cell r="E4917" t="str">
            <v>B25008554</v>
          </cell>
          <cell r="F4917"/>
          <cell r="G4917">
            <v>200000000</v>
          </cell>
          <cell r="H4917" t="str">
            <v>Faris</v>
          </cell>
          <cell r="I4917" t="str">
            <v>Syahra</v>
          </cell>
          <cell r="J4917" t="str">
            <v>New 23/08/21</v>
          </cell>
          <cell r="K4917" t="str">
            <v>KU, Tunai</v>
          </cell>
          <cell r="L4917" t="str">
            <v>MEKA15</v>
          </cell>
          <cell r="M4917" t="str">
            <v>Mekar Tani/Tunti</v>
          </cell>
          <cell r="N4917" t="str">
            <v>Tunti Mustikowati</v>
          </cell>
          <cell r="O4917" t="str">
            <v>Dusun Gebangkandel, RT.003/RW.005, Kel. Sumbersari, Kec. Purwoharjo</v>
          </cell>
          <cell r="P4917" t="str">
            <v>Banyuwangi</v>
          </cell>
          <cell r="Q4917" t="str">
            <v>Dusun Gebangkandel, RT.003/RW.005, Kel. Sumbersari, Kec. Purwoharjo</v>
          </cell>
          <cell r="R4917" t="str">
            <v>Banyuwangi</v>
          </cell>
          <cell r="S4917" t="str">
            <v>H Bwi3</v>
          </cell>
          <cell r="T4917" t="str">
            <v>Hafid</v>
          </cell>
          <cell r="U4917">
            <v>30</v>
          </cell>
        </row>
        <row r="4918">
          <cell r="E4918" t="str">
            <v>T25001108</v>
          </cell>
          <cell r="F4918"/>
          <cell r="G4918">
            <v>200000000</v>
          </cell>
          <cell r="H4918" t="str">
            <v>Faris</v>
          </cell>
          <cell r="I4918" t="str">
            <v>Syahra</v>
          </cell>
          <cell r="J4918" t="str">
            <v>New 23/08/21</v>
          </cell>
          <cell r="K4918" t="str">
            <v>KU, Tunai</v>
          </cell>
          <cell r="L4918" t="str">
            <v>MEKA15</v>
          </cell>
          <cell r="M4918" t="str">
            <v>Mekar Tani/Tunti</v>
          </cell>
          <cell r="N4918" t="str">
            <v>Tunti Mustikowati</v>
          </cell>
          <cell r="O4918" t="str">
            <v>Dusun Gebangkandel, RT.003/RW.005, Kel. Sumbersari, Kec. Purwoharjo</v>
          </cell>
          <cell r="P4918" t="str">
            <v>Banyuwangi</v>
          </cell>
          <cell r="Q4918" t="str">
            <v>Dusun Gebangkandel, RT.003/RW.005, Kel. Sumbersari, Kec. Purwoharjo</v>
          </cell>
          <cell r="R4918" t="str">
            <v>Banyuwangi</v>
          </cell>
          <cell r="S4918" t="str">
            <v>H Bwi3</v>
          </cell>
          <cell r="T4918" t="str">
            <v>Hafid</v>
          </cell>
          <cell r="U4918">
            <v>60</v>
          </cell>
        </row>
        <row r="4919">
          <cell r="E4919" t="str">
            <v>B25008831</v>
          </cell>
          <cell r="F4919"/>
          <cell r="G4919">
            <v>200000000</v>
          </cell>
          <cell r="H4919" t="str">
            <v>Faris</v>
          </cell>
          <cell r="I4919" t="str">
            <v>Syahra</v>
          </cell>
          <cell r="J4919" t="str">
            <v>New 23/08/21</v>
          </cell>
          <cell r="K4919" t="str">
            <v>KU, Tunai</v>
          </cell>
          <cell r="L4919" t="str">
            <v>MEKA15</v>
          </cell>
          <cell r="M4919" t="str">
            <v>Mekar Tani/Tunti</v>
          </cell>
          <cell r="N4919" t="str">
            <v>Tunti Mustikowati</v>
          </cell>
          <cell r="O4919" t="str">
            <v>Dusun Gebangkandel, RT.003/RW.005, Kel. Sumbersari, Kec. Purwoharjo</v>
          </cell>
          <cell r="P4919" t="str">
            <v>Banyuwangi</v>
          </cell>
          <cell r="Q4919" t="str">
            <v>Dusun Gebangkandel, RT.003/RW.005, Kel. Sumbersari, Kec. Purwoharjo</v>
          </cell>
          <cell r="R4919" t="str">
            <v>Banyuwangi</v>
          </cell>
          <cell r="S4919" t="str">
            <v>H Bwi3</v>
          </cell>
          <cell r="T4919" t="str">
            <v>Hafid</v>
          </cell>
          <cell r="U4919">
            <v>30</v>
          </cell>
        </row>
        <row r="4920">
          <cell r="E4920" t="str">
            <v>B25009010</v>
          </cell>
          <cell r="F4920"/>
          <cell r="G4920">
            <v>200000000</v>
          </cell>
          <cell r="H4920" t="str">
            <v>Faris</v>
          </cell>
          <cell r="I4920" t="str">
            <v>Syahra</v>
          </cell>
          <cell r="J4920" t="str">
            <v>New 23/08/21</v>
          </cell>
          <cell r="K4920" t="str">
            <v>KU, Tunai</v>
          </cell>
          <cell r="L4920" t="str">
            <v>MEKA15</v>
          </cell>
          <cell r="M4920" t="str">
            <v>Mekar Tani/Tunti</v>
          </cell>
          <cell r="N4920" t="str">
            <v>Tunti Mustikowati</v>
          </cell>
          <cell r="O4920" t="str">
            <v>Dusun Gebangkandel, RT.003/RW.005, Kel. Sumbersari, Kec. Purwoharjo</v>
          </cell>
          <cell r="P4920" t="str">
            <v>Banyuwangi</v>
          </cell>
          <cell r="Q4920" t="str">
            <v>Dusun Gebangkandel, RT.003/RW.005, Kel. Sumbersari, Kec. Purwoharjo</v>
          </cell>
          <cell r="R4920" t="str">
            <v>Banyuwangi</v>
          </cell>
          <cell r="S4920" t="str">
            <v>H Bwi3</v>
          </cell>
          <cell r="T4920" t="str">
            <v>Hafid</v>
          </cell>
          <cell r="U4920">
            <v>30</v>
          </cell>
        </row>
        <row r="4921">
          <cell r="E4921" t="str">
            <v>B25009319</v>
          </cell>
          <cell r="F4921"/>
          <cell r="G4921">
            <v>200000000</v>
          </cell>
          <cell r="H4921" t="str">
            <v>Faris</v>
          </cell>
          <cell r="I4921" t="str">
            <v>Syahra</v>
          </cell>
          <cell r="J4921" t="str">
            <v>New 23/08/21</v>
          </cell>
          <cell r="K4921" t="str">
            <v>KU, Tunai</v>
          </cell>
          <cell r="L4921" t="str">
            <v>MEKA15</v>
          </cell>
          <cell r="M4921" t="str">
            <v>Mekar Tani/Tunti</v>
          </cell>
          <cell r="N4921" t="str">
            <v>Tunti Mustikowati</v>
          </cell>
          <cell r="O4921" t="str">
            <v>Dusun Gebangkandel, RT.003/RW.005, Kel. Sumbersari, Kec. Purwoharjo</v>
          </cell>
          <cell r="P4921" t="str">
            <v>Banyuwangi</v>
          </cell>
          <cell r="Q4921" t="str">
            <v>Dusun Gebangkandel, RT.003/RW.005, Kel. Sumbersari, Kec. Purwoharjo</v>
          </cell>
          <cell r="R4921" t="str">
            <v>Banyuwangi</v>
          </cell>
          <cell r="S4921" t="str">
            <v>H Bwi3</v>
          </cell>
          <cell r="T4921" t="str">
            <v>Hafid</v>
          </cell>
          <cell r="U4921">
            <v>60</v>
          </cell>
        </row>
        <row r="4922">
          <cell r="E4922" t="str">
            <v>D25011207</v>
          </cell>
          <cell r="F4922"/>
          <cell r="G4922">
            <v>200000000</v>
          </cell>
          <cell r="H4922" t="str">
            <v>Faris</v>
          </cell>
          <cell r="I4922" t="str">
            <v>Syahra</v>
          </cell>
          <cell r="J4922" t="str">
            <v>New 23/08/21</v>
          </cell>
          <cell r="K4922" t="str">
            <v>KU, Tunai</v>
          </cell>
          <cell r="L4922" t="str">
            <v>MEKA15</v>
          </cell>
          <cell r="M4922" t="str">
            <v>Mekar Tani/Tunti</v>
          </cell>
          <cell r="N4922" t="str">
            <v>Tunti Mustikowati</v>
          </cell>
          <cell r="O4922" t="str">
            <v>Dusun Gebangkandel, RT.003/RW.005, Kel. Sumbersari, Kec. Purwoharjo</v>
          </cell>
          <cell r="P4922" t="str">
            <v>Banyuwangi</v>
          </cell>
          <cell r="Q4922" t="str">
            <v>Dusun Gebangkandel, RT.003/RW.005, Kel. Sumbersari, Kec. Purwoharjo</v>
          </cell>
          <cell r="R4922" t="str">
            <v>Banyuwangi</v>
          </cell>
          <cell r="S4922" t="str">
            <v>H Bwi3</v>
          </cell>
          <cell r="T4922" t="str">
            <v>Hafid</v>
          </cell>
          <cell r="U4922">
            <v>30</v>
          </cell>
        </row>
        <row r="4923">
          <cell r="E4923" t="str">
            <v>D25011207</v>
          </cell>
          <cell r="F4923"/>
          <cell r="G4923">
            <v>200000000</v>
          </cell>
          <cell r="H4923" t="str">
            <v>Faris</v>
          </cell>
          <cell r="I4923" t="str">
            <v>Syahra</v>
          </cell>
          <cell r="J4923" t="str">
            <v>New 23/08/21</v>
          </cell>
          <cell r="K4923" t="str">
            <v>KU, Tunai</v>
          </cell>
          <cell r="L4923" t="str">
            <v>MEKA15</v>
          </cell>
          <cell r="M4923" t="str">
            <v>Mekar Tani/Tunti</v>
          </cell>
          <cell r="N4923" t="str">
            <v>Tunti Mustikowati</v>
          </cell>
          <cell r="O4923" t="str">
            <v>Dusun Gebangkandel, RT.003/RW.005, Kel. Sumbersari, Kec. Purwoharjo</v>
          </cell>
          <cell r="P4923" t="str">
            <v>Banyuwangi</v>
          </cell>
          <cell r="Q4923" t="str">
            <v>Dusun Gebangkandel, RT.003/RW.005, Kel. Sumbersari, Kec. Purwoharjo</v>
          </cell>
          <cell r="R4923" t="str">
            <v>Banyuwangi</v>
          </cell>
          <cell r="S4923" t="str">
            <v>H Bwi3</v>
          </cell>
          <cell r="T4923" t="str">
            <v>Hafid</v>
          </cell>
          <cell r="U4923">
            <v>30</v>
          </cell>
        </row>
        <row r="4924">
          <cell r="E4924" t="str">
            <v>D25011208</v>
          </cell>
          <cell r="F4924"/>
          <cell r="G4924">
            <v>200000000</v>
          </cell>
          <cell r="H4924" t="str">
            <v>Faris</v>
          </cell>
          <cell r="I4924" t="str">
            <v>Syahra</v>
          </cell>
          <cell r="J4924" t="str">
            <v>New 23/08/21</v>
          </cell>
          <cell r="K4924" t="str">
            <v>KU, Tunai</v>
          </cell>
          <cell r="L4924" t="str">
            <v>MEKA15</v>
          </cell>
          <cell r="M4924" t="str">
            <v>Mekar Tani/Tunti</v>
          </cell>
          <cell r="N4924" t="str">
            <v>Tunti Mustikowati</v>
          </cell>
          <cell r="O4924" t="str">
            <v>Dusun Gebangkandel, RT.003/RW.005, Kel. Sumbersari, Kec. Purwoharjo</v>
          </cell>
          <cell r="P4924" t="str">
            <v>Banyuwangi</v>
          </cell>
          <cell r="Q4924" t="str">
            <v>Dusun Gebangkandel, RT.003/RW.005, Kel. Sumbersari, Kec. Purwoharjo</v>
          </cell>
          <cell r="R4924" t="str">
            <v>Banyuwangi</v>
          </cell>
          <cell r="S4924" t="str">
            <v>H Bwi3</v>
          </cell>
          <cell r="T4924" t="str">
            <v>Hafid</v>
          </cell>
          <cell r="U4924">
            <v>30</v>
          </cell>
        </row>
        <row r="4925">
          <cell r="E4925" t="str">
            <v>T25001172</v>
          </cell>
          <cell r="F4925"/>
          <cell r="G4925">
            <v>200000000</v>
          </cell>
          <cell r="H4925" t="str">
            <v>Faris</v>
          </cell>
          <cell r="I4925" t="str">
            <v>Syahra</v>
          </cell>
          <cell r="J4925" t="str">
            <v>New 23/08/21</v>
          </cell>
          <cell r="K4925" t="str">
            <v>KU, Tunai</v>
          </cell>
          <cell r="L4925" t="str">
            <v>MEKA15</v>
          </cell>
          <cell r="M4925" t="str">
            <v>Mekar Tani/Tunti</v>
          </cell>
          <cell r="N4925" t="str">
            <v>Tunti Mustikowati</v>
          </cell>
          <cell r="O4925" t="str">
            <v>Dusun Gebangkandel, RT.003/RW.005, Kel. Sumbersari, Kec. Purwoharjo</v>
          </cell>
          <cell r="P4925" t="str">
            <v>Banyuwangi</v>
          </cell>
          <cell r="Q4925" t="str">
            <v>Dusun Gebangkandel, RT.003/RW.005, Kel. Sumbersari, Kec. Purwoharjo</v>
          </cell>
          <cell r="R4925" t="str">
            <v>Banyuwangi</v>
          </cell>
          <cell r="S4925" t="str">
            <v>H Bwi3</v>
          </cell>
          <cell r="T4925" t="str">
            <v>Hafid</v>
          </cell>
          <cell r="U4925">
            <v>60</v>
          </cell>
        </row>
        <row r="4926">
          <cell r="E4926" t="str">
            <v>B25009420</v>
          </cell>
          <cell r="F4926"/>
          <cell r="G4926">
            <v>200000000</v>
          </cell>
          <cell r="H4926" t="str">
            <v>Faris</v>
          </cell>
          <cell r="I4926" t="str">
            <v>Syahra</v>
          </cell>
          <cell r="J4926" t="str">
            <v>New 23/08/21</v>
          </cell>
          <cell r="K4926" t="str">
            <v>KU, Tunai</v>
          </cell>
          <cell r="L4926" t="str">
            <v>MEKA15</v>
          </cell>
          <cell r="M4926" t="str">
            <v>Mekar Tani/Tunti</v>
          </cell>
          <cell r="N4926" t="str">
            <v>Tunti Mustikowati</v>
          </cell>
          <cell r="O4926" t="str">
            <v>Dusun Gebangkandel, RT.003/RW.005, Kel. Sumbersari, Kec. Purwoharjo</v>
          </cell>
          <cell r="P4926" t="str">
            <v>Banyuwangi</v>
          </cell>
          <cell r="Q4926" t="str">
            <v>Dusun Gebangkandel, RT.003/RW.005, Kel. Sumbersari, Kec. Purwoharjo</v>
          </cell>
          <cell r="R4926" t="str">
            <v>Banyuwangi</v>
          </cell>
          <cell r="S4926" t="str">
            <v>H Bwi3</v>
          </cell>
          <cell r="T4926" t="str">
            <v>Hafid</v>
          </cell>
          <cell r="U4926">
            <v>30</v>
          </cell>
        </row>
        <row r="4927">
          <cell r="E4927" t="str">
            <v>D25011436</v>
          </cell>
          <cell r="F4927"/>
          <cell r="G4927">
            <v>200000000</v>
          </cell>
          <cell r="H4927" t="str">
            <v>Faris</v>
          </cell>
          <cell r="I4927" t="str">
            <v>Syahra</v>
          </cell>
          <cell r="J4927" t="str">
            <v>New 23/08/21</v>
          </cell>
          <cell r="K4927" t="str">
            <v>KU, Tunai</v>
          </cell>
          <cell r="L4927" t="str">
            <v>MEKA15</v>
          </cell>
          <cell r="M4927" t="str">
            <v>Mekar Tani/Tunti</v>
          </cell>
          <cell r="N4927" t="str">
            <v>Tunti Mustikowati</v>
          </cell>
          <cell r="O4927" t="str">
            <v>Dusun Gebangkandel, RT.003/RW.005, Kel. Sumbersari, Kec. Purwoharjo</v>
          </cell>
          <cell r="P4927" t="str">
            <v>Banyuwangi</v>
          </cell>
          <cell r="Q4927" t="str">
            <v>Dusun Gebangkandel, RT.003/RW.005, Kel. Sumbersari, Kec. Purwoharjo</v>
          </cell>
          <cell r="R4927" t="str">
            <v>Banyuwangi</v>
          </cell>
          <cell r="S4927" t="str">
            <v>H Bwi3</v>
          </cell>
          <cell r="T4927" t="str">
            <v>Hafid</v>
          </cell>
          <cell r="U4927">
            <v>60</v>
          </cell>
        </row>
        <row r="4928">
          <cell r="E4928" t="str">
            <v>D25011443</v>
          </cell>
          <cell r="F4928"/>
          <cell r="G4928">
            <v>200000000</v>
          </cell>
          <cell r="H4928" t="str">
            <v>Faris</v>
          </cell>
          <cell r="I4928" t="str">
            <v>Syahra</v>
          </cell>
          <cell r="J4928" t="str">
            <v>New 23/08/21</v>
          </cell>
          <cell r="K4928" t="str">
            <v>KU, Tunai</v>
          </cell>
          <cell r="L4928" t="str">
            <v>MEKA15</v>
          </cell>
          <cell r="M4928" t="str">
            <v>Mekar Tani/Tunti</v>
          </cell>
          <cell r="N4928" t="str">
            <v>Tunti Mustikowati</v>
          </cell>
          <cell r="O4928" t="str">
            <v>Dusun Gebangkandel, RT.003/RW.005, Kel. Sumbersari, Kec. Purwoharjo</v>
          </cell>
          <cell r="P4928" t="str">
            <v>Banyuwangi</v>
          </cell>
          <cell r="Q4928" t="str">
            <v>Dusun Gebangkandel, RT.003/RW.005, Kel. Sumbersari, Kec. Purwoharjo</v>
          </cell>
          <cell r="R4928" t="str">
            <v>Banyuwangi</v>
          </cell>
          <cell r="S4928" t="str">
            <v>H Bwi3</v>
          </cell>
          <cell r="T4928" t="str">
            <v>Hafid</v>
          </cell>
          <cell r="U4928">
            <v>30</v>
          </cell>
        </row>
        <row r="4929">
          <cell r="E4929" t="str">
            <v>B25009751</v>
          </cell>
          <cell r="F4929"/>
          <cell r="G4929">
            <v>200000000</v>
          </cell>
          <cell r="H4929" t="str">
            <v>Faris</v>
          </cell>
          <cell r="I4929" t="str">
            <v>Syahra</v>
          </cell>
          <cell r="J4929" t="str">
            <v>New 23/08/21</v>
          </cell>
          <cell r="K4929" t="str">
            <v>KU, Tunai</v>
          </cell>
          <cell r="L4929" t="str">
            <v>MEKA15</v>
          </cell>
          <cell r="M4929" t="str">
            <v>Mekar Tani/Tunti</v>
          </cell>
          <cell r="N4929" t="str">
            <v>Tunti Mustikowati</v>
          </cell>
          <cell r="O4929" t="str">
            <v>Dusun Gebangkandel, RT.003/RW.005, Kel. Sumbersari, Kec. Purwoharjo</v>
          </cell>
          <cell r="P4929" t="str">
            <v>Banyuwangi</v>
          </cell>
          <cell r="Q4929" t="str">
            <v>Dusun Gebangkandel, RT.003/RW.005, Kel. Sumbersari, Kec. Purwoharjo</v>
          </cell>
          <cell r="R4929" t="str">
            <v>Banyuwangi</v>
          </cell>
          <cell r="S4929" t="str">
            <v>H Bwi3</v>
          </cell>
          <cell r="T4929" t="str">
            <v>Hafid</v>
          </cell>
          <cell r="U4929">
            <v>60</v>
          </cell>
        </row>
        <row r="4930">
          <cell r="E4930" t="str">
            <v>D25011723</v>
          </cell>
          <cell r="F4930"/>
          <cell r="G4930">
            <v>200000000</v>
          </cell>
          <cell r="H4930" t="str">
            <v>Faris</v>
          </cell>
          <cell r="I4930" t="str">
            <v>Syahra</v>
          </cell>
          <cell r="J4930" t="str">
            <v>New 23/08/21</v>
          </cell>
          <cell r="K4930" t="str">
            <v>KU, Tunai</v>
          </cell>
          <cell r="L4930" t="str">
            <v>MEKA15</v>
          </cell>
          <cell r="M4930" t="str">
            <v>Mekar Tani/Tunti</v>
          </cell>
          <cell r="N4930" t="str">
            <v>Tunti Mustikowati</v>
          </cell>
          <cell r="O4930" t="str">
            <v>Dusun Gebangkandel, RT.003/RW.005, Kel. Sumbersari, Kec. Purwoharjo</v>
          </cell>
          <cell r="P4930" t="str">
            <v>Banyuwangi</v>
          </cell>
          <cell r="Q4930" t="str">
            <v>Dusun Gebangkandel, RT.003/RW.005, Kel. Sumbersari, Kec. Purwoharjo</v>
          </cell>
          <cell r="R4930" t="str">
            <v>Banyuwangi</v>
          </cell>
          <cell r="S4930" t="str">
            <v>H Bwi3</v>
          </cell>
          <cell r="T4930" t="str">
            <v>Hafid</v>
          </cell>
          <cell r="U4930">
            <v>60</v>
          </cell>
        </row>
        <row r="4931">
          <cell r="E4931" t="str">
            <v>D25011749</v>
          </cell>
          <cell r="F4931"/>
          <cell r="G4931">
            <v>200000000</v>
          </cell>
          <cell r="H4931" t="str">
            <v>Faris</v>
          </cell>
          <cell r="I4931" t="str">
            <v>Syahra</v>
          </cell>
          <cell r="J4931" t="str">
            <v>New 23/08/21</v>
          </cell>
          <cell r="K4931" t="str">
            <v>KU, Tunai</v>
          </cell>
          <cell r="L4931" t="str">
            <v>MEKA15</v>
          </cell>
          <cell r="M4931" t="str">
            <v>Mekar Tani/Tunti</v>
          </cell>
          <cell r="N4931" t="str">
            <v>Tunti Mustikowati</v>
          </cell>
          <cell r="O4931" t="str">
            <v>Dusun Gebangkandel, RT.003/RW.005, Kel. Sumbersari, Kec. Purwoharjo</v>
          </cell>
          <cell r="P4931" t="str">
            <v>Banyuwangi</v>
          </cell>
          <cell r="Q4931" t="str">
            <v>Dusun Gebangkandel, RT.003/RW.005, Kel. Sumbersari, Kec. Purwoharjo</v>
          </cell>
          <cell r="R4931" t="str">
            <v>Banyuwangi</v>
          </cell>
          <cell r="S4931" t="str">
            <v>H Bwi3</v>
          </cell>
          <cell r="T4931" t="str">
            <v>Hafid</v>
          </cell>
          <cell r="U4931">
            <v>30</v>
          </cell>
        </row>
        <row r="4932">
          <cell r="E4932" t="str">
            <v>B25009900</v>
          </cell>
          <cell r="F4932"/>
          <cell r="G4932">
            <v>200000000</v>
          </cell>
          <cell r="H4932" t="str">
            <v>Faris</v>
          </cell>
          <cell r="I4932" t="str">
            <v>Syahra</v>
          </cell>
          <cell r="J4932" t="str">
            <v>New 23/08/21</v>
          </cell>
          <cell r="K4932" t="str">
            <v>KU, Tunai</v>
          </cell>
          <cell r="L4932" t="str">
            <v>MEKA15</v>
          </cell>
          <cell r="M4932" t="str">
            <v>Mekar Tani/Tunti</v>
          </cell>
          <cell r="N4932" t="str">
            <v>Tunti Mustikowati</v>
          </cell>
          <cell r="O4932" t="str">
            <v>Dusun Gebangkandel, RT.003/RW.005, Kel. Sumbersari, Kec. Purwoharjo</v>
          </cell>
          <cell r="P4932" t="str">
            <v>Banyuwangi</v>
          </cell>
          <cell r="Q4932" t="str">
            <v>Dusun Gebangkandel, RT.003/RW.005, Kel. Sumbersari, Kec. Purwoharjo</v>
          </cell>
          <cell r="R4932" t="str">
            <v>Banyuwangi</v>
          </cell>
          <cell r="S4932" t="str">
            <v>H Bwi3</v>
          </cell>
          <cell r="T4932" t="str">
            <v>Hafid</v>
          </cell>
          <cell r="U4932">
            <v>60</v>
          </cell>
        </row>
        <row r="4933">
          <cell r="E4933" t="str">
            <v>B25010014</v>
          </cell>
          <cell r="F4933"/>
          <cell r="G4933">
            <v>200000000</v>
          </cell>
          <cell r="H4933" t="str">
            <v>Faris</v>
          </cell>
          <cell r="I4933" t="str">
            <v>Syahra</v>
          </cell>
          <cell r="J4933" t="str">
            <v>New 23/08/21</v>
          </cell>
          <cell r="K4933" t="str">
            <v>KU, Tunai</v>
          </cell>
          <cell r="L4933" t="str">
            <v>MEKA15</v>
          </cell>
          <cell r="M4933" t="str">
            <v>Mekar Tani/Tunti</v>
          </cell>
          <cell r="N4933" t="str">
            <v>Tunti Mustikowati</v>
          </cell>
          <cell r="O4933" t="str">
            <v>Dusun Gebangkandel, RT.003/RW.005, Kel. Sumbersari, Kec. Purwoharjo</v>
          </cell>
          <cell r="P4933" t="str">
            <v>Banyuwangi</v>
          </cell>
          <cell r="Q4933" t="str">
            <v>Dusun Gebangkandel, RT.003/RW.005, Kel. Sumbersari, Kec. Purwoharjo</v>
          </cell>
          <cell r="R4933" t="str">
            <v>Banyuwangi</v>
          </cell>
          <cell r="S4933" t="str">
            <v>H Bwi3</v>
          </cell>
          <cell r="T4933" t="str">
            <v>Hafid</v>
          </cell>
          <cell r="U4933">
            <v>60</v>
          </cell>
        </row>
        <row r="4934">
          <cell r="E4934" t="str">
            <v>B25010040</v>
          </cell>
          <cell r="F4934"/>
          <cell r="G4934">
            <v>200000000</v>
          </cell>
          <cell r="H4934" t="str">
            <v>Faris</v>
          </cell>
          <cell r="I4934" t="str">
            <v>Syahra</v>
          </cell>
          <cell r="J4934" t="str">
            <v>New 23/08/21</v>
          </cell>
          <cell r="K4934" t="str">
            <v>KU, Tunai</v>
          </cell>
          <cell r="L4934" t="str">
            <v>MEKA15</v>
          </cell>
          <cell r="M4934" t="str">
            <v>Mekar Tani/Tunti</v>
          </cell>
          <cell r="N4934" t="str">
            <v>Tunti Mustikowati</v>
          </cell>
          <cell r="O4934" t="str">
            <v>Dusun Gebangkandel, RT.003/RW.005, Kel. Sumbersari, Kec. Purwoharjo</v>
          </cell>
          <cell r="P4934" t="str">
            <v>Banyuwangi</v>
          </cell>
          <cell r="Q4934" t="str">
            <v>Dusun Gebangkandel, RT.003/RW.005, Kel. Sumbersari, Kec. Purwoharjo</v>
          </cell>
          <cell r="R4934" t="str">
            <v>Banyuwangi</v>
          </cell>
          <cell r="S4934" t="str">
            <v>H Bwi3</v>
          </cell>
          <cell r="T4934" t="str">
            <v>Hafid</v>
          </cell>
          <cell r="U4934">
            <v>60</v>
          </cell>
        </row>
        <row r="4935">
          <cell r="E4935" t="str">
            <v>D25012260</v>
          </cell>
          <cell r="F4935"/>
          <cell r="G4935">
            <v>200000000</v>
          </cell>
          <cell r="H4935" t="str">
            <v>Faris</v>
          </cell>
          <cell r="I4935" t="str">
            <v>Syahra</v>
          </cell>
          <cell r="J4935" t="str">
            <v>New 23/08/21</v>
          </cell>
          <cell r="K4935" t="str">
            <v>KU, Tunai</v>
          </cell>
          <cell r="L4935" t="str">
            <v>MEKA15</v>
          </cell>
          <cell r="M4935" t="str">
            <v>Mekar Tani/Tunti</v>
          </cell>
          <cell r="N4935" t="str">
            <v>Tunti Mustikowati</v>
          </cell>
          <cell r="O4935" t="str">
            <v>Dusun Gebangkandel, RT.003/RW.005, Kel. Sumbersari, Kec. Purwoharjo</v>
          </cell>
          <cell r="P4935" t="str">
            <v>Banyuwangi</v>
          </cell>
          <cell r="Q4935" t="str">
            <v>Dusun Gebangkandel, RT.003/RW.005, Kel. Sumbersari, Kec. Purwoharjo</v>
          </cell>
          <cell r="R4935" t="str">
            <v>Banyuwangi</v>
          </cell>
          <cell r="S4935" t="str">
            <v>H Bwi3</v>
          </cell>
          <cell r="T4935" t="str">
            <v>Hafid</v>
          </cell>
          <cell r="U4935">
            <v>30</v>
          </cell>
        </row>
        <row r="4936">
          <cell r="E4936" t="str">
            <v>D25012265</v>
          </cell>
          <cell r="F4936"/>
          <cell r="G4936">
            <v>200000000</v>
          </cell>
          <cell r="H4936" t="str">
            <v>Faris</v>
          </cell>
          <cell r="I4936" t="str">
            <v>Syahra</v>
          </cell>
          <cell r="J4936" t="str">
            <v>New 23/08/21</v>
          </cell>
          <cell r="K4936" t="str">
            <v>KU, Tunai</v>
          </cell>
          <cell r="L4936" t="str">
            <v>MEKA15</v>
          </cell>
          <cell r="M4936" t="str">
            <v>Mekar Tani/Tunti</v>
          </cell>
          <cell r="N4936" t="str">
            <v>Tunti Mustikowati</v>
          </cell>
          <cell r="O4936" t="str">
            <v>Dusun Gebangkandel, RT.003/RW.005, Kel. Sumbersari, Kec. Purwoharjo</v>
          </cell>
          <cell r="P4936" t="str">
            <v>Banyuwangi</v>
          </cell>
          <cell r="Q4936" t="str">
            <v>Dusun Gebangkandel, RT.003/RW.005, Kel. Sumbersari, Kec. Purwoharjo</v>
          </cell>
          <cell r="R4936" t="str">
            <v>Banyuwangi</v>
          </cell>
          <cell r="S4936" t="str">
            <v>H Bwi3</v>
          </cell>
          <cell r="T4936" t="str">
            <v>Hafid</v>
          </cell>
          <cell r="U4936">
            <v>60</v>
          </cell>
        </row>
        <row r="4937">
          <cell r="E4937" t="str">
            <v>B25010822</v>
          </cell>
          <cell r="F4937"/>
          <cell r="G4937">
            <v>200000000</v>
          </cell>
          <cell r="H4937" t="str">
            <v>Faris</v>
          </cell>
          <cell r="I4937" t="str">
            <v>Syahra</v>
          </cell>
          <cell r="J4937" t="str">
            <v>New 23/08/21</v>
          </cell>
          <cell r="K4937" t="str">
            <v>KU, Tunai</v>
          </cell>
          <cell r="L4937" t="str">
            <v>MEKA15</v>
          </cell>
          <cell r="M4937" t="str">
            <v>Mekar Tani/Tunti</v>
          </cell>
          <cell r="N4937" t="str">
            <v>Tunti Mustikowati</v>
          </cell>
          <cell r="O4937" t="str">
            <v>Dusun Gebangkandel, RT.003/RW.005, Kel. Sumbersari, Kec. Purwoharjo</v>
          </cell>
          <cell r="P4937" t="str">
            <v>Banyuwangi</v>
          </cell>
          <cell r="Q4937" t="str">
            <v>Dusun Gebangkandel, RT.003/RW.005, Kel. Sumbersari, Kec. Purwoharjo</v>
          </cell>
          <cell r="R4937" t="str">
            <v>Banyuwangi</v>
          </cell>
          <cell r="S4937" t="str">
            <v>H Bwi3</v>
          </cell>
          <cell r="T4937" t="str">
            <v>Hafid</v>
          </cell>
          <cell r="U4937">
            <v>60</v>
          </cell>
        </row>
        <row r="4938">
          <cell r="E4938" t="str">
            <v>D25012849</v>
          </cell>
          <cell r="F4938"/>
          <cell r="G4938">
            <v>200000000</v>
          </cell>
          <cell r="H4938" t="str">
            <v>Faris</v>
          </cell>
          <cell r="I4938" t="str">
            <v>Syahra</v>
          </cell>
          <cell r="J4938" t="str">
            <v>New 23/08/21</v>
          </cell>
          <cell r="K4938" t="str">
            <v>KU, Tunai</v>
          </cell>
          <cell r="L4938" t="str">
            <v>MEKA15</v>
          </cell>
          <cell r="M4938" t="str">
            <v>Mekar Tani/Tunti</v>
          </cell>
          <cell r="N4938" t="str">
            <v>Tunti Mustikowati</v>
          </cell>
          <cell r="O4938" t="str">
            <v>Dusun Gebangkandel, RT.003/RW.005, Kel. Sumbersari, Kec. Purwoharjo</v>
          </cell>
          <cell r="P4938" t="str">
            <v>Banyuwangi</v>
          </cell>
          <cell r="Q4938" t="str">
            <v>Dusun Gebangkandel, RT.003/RW.005, Kel. Sumbersari, Kec. Purwoharjo</v>
          </cell>
          <cell r="R4938" t="str">
            <v>Banyuwangi</v>
          </cell>
          <cell r="S4938" t="str">
            <v>H Bwi3</v>
          </cell>
          <cell r="T4938" t="str">
            <v>Hafid</v>
          </cell>
          <cell r="U4938">
            <v>30</v>
          </cell>
        </row>
        <row r="4939">
          <cell r="E4939" t="str">
            <v>B25010995</v>
          </cell>
          <cell r="F4939"/>
          <cell r="G4939">
            <v>200000000</v>
          </cell>
          <cell r="H4939" t="str">
            <v>Faris</v>
          </cell>
          <cell r="I4939" t="str">
            <v>Syahra</v>
          </cell>
          <cell r="J4939" t="str">
            <v>New 23/08/21</v>
          </cell>
          <cell r="K4939" t="str">
            <v>KU, Tunai</v>
          </cell>
          <cell r="L4939" t="str">
            <v>MEKA15</v>
          </cell>
          <cell r="M4939" t="str">
            <v>Mekar Tani/Tunti</v>
          </cell>
          <cell r="N4939" t="str">
            <v>Tunti Mustikowati</v>
          </cell>
          <cell r="O4939" t="str">
            <v>Dusun Gebangkandel, RT.003/RW.005, Kel. Sumbersari, Kec. Purwoharjo</v>
          </cell>
          <cell r="P4939" t="str">
            <v>Banyuwangi</v>
          </cell>
          <cell r="Q4939" t="str">
            <v>Dusun Gebangkandel, RT.003/RW.005, Kel. Sumbersari, Kec. Purwoharjo</v>
          </cell>
          <cell r="R4939" t="str">
            <v>Banyuwangi</v>
          </cell>
          <cell r="S4939" t="str">
            <v>H Bwi3</v>
          </cell>
          <cell r="T4939" t="str">
            <v>Hafid</v>
          </cell>
          <cell r="U4939">
            <v>60</v>
          </cell>
        </row>
        <row r="4940">
          <cell r="E4940" t="str">
            <v>B25011000</v>
          </cell>
          <cell r="F4940"/>
          <cell r="G4940">
            <v>200000000</v>
          </cell>
          <cell r="H4940" t="str">
            <v>Faris</v>
          </cell>
          <cell r="I4940" t="str">
            <v>Syahra</v>
          </cell>
          <cell r="J4940" t="str">
            <v>New 23/08/21</v>
          </cell>
          <cell r="K4940" t="str">
            <v>KU, Tunai</v>
          </cell>
          <cell r="L4940" t="str">
            <v>MEKA15</v>
          </cell>
          <cell r="M4940" t="str">
            <v>Mekar Tani/Tunti</v>
          </cell>
          <cell r="N4940" t="str">
            <v>Tunti Mustikowati</v>
          </cell>
          <cell r="O4940" t="str">
            <v>Dusun Gebangkandel, RT.003/RW.005, Kel. Sumbersari, Kec. Purwoharjo</v>
          </cell>
          <cell r="P4940" t="str">
            <v>Banyuwangi</v>
          </cell>
          <cell r="Q4940" t="str">
            <v>Dusun Gebangkandel, RT.003/RW.005, Kel. Sumbersari, Kec. Purwoharjo</v>
          </cell>
          <cell r="R4940" t="str">
            <v>Banyuwangi</v>
          </cell>
          <cell r="S4940" t="str">
            <v>H Bwi3</v>
          </cell>
          <cell r="T4940" t="str">
            <v>Hafid</v>
          </cell>
          <cell r="U4940">
            <v>60</v>
          </cell>
        </row>
        <row r="4941">
          <cell r="E4941" t="str">
            <v>B25011001</v>
          </cell>
          <cell r="F4941"/>
          <cell r="G4941">
            <v>200000000</v>
          </cell>
          <cell r="H4941" t="str">
            <v>Faris</v>
          </cell>
          <cell r="I4941" t="str">
            <v>Syahra</v>
          </cell>
          <cell r="J4941" t="str">
            <v>New 23/08/21</v>
          </cell>
          <cell r="K4941" t="str">
            <v>KU, Tunai</v>
          </cell>
          <cell r="L4941" t="str">
            <v>MEKA15</v>
          </cell>
          <cell r="M4941" t="str">
            <v>Mekar Tani/Tunti</v>
          </cell>
          <cell r="N4941" t="str">
            <v>Tunti Mustikowati</v>
          </cell>
          <cell r="O4941" t="str">
            <v>Dusun Gebangkandel, RT.003/RW.005, Kel. Sumbersari, Kec. Purwoharjo</v>
          </cell>
          <cell r="P4941" t="str">
            <v>Banyuwangi</v>
          </cell>
          <cell r="Q4941" t="str">
            <v>Dusun Gebangkandel, RT.003/RW.005, Kel. Sumbersari, Kec. Purwoharjo</v>
          </cell>
          <cell r="R4941" t="str">
            <v>Banyuwangi</v>
          </cell>
          <cell r="S4941" t="str">
            <v>H Bwi3</v>
          </cell>
          <cell r="T4941" t="str">
            <v>Hafid</v>
          </cell>
          <cell r="U4941">
            <v>60</v>
          </cell>
        </row>
        <row r="4942">
          <cell r="E4942" t="str">
            <v>B25011002</v>
          </cell>
          <cell r="F4942"/>
          <cell r="G4942">
            <v>200000000</v>
          </cell>
          <cell r="H4942" t="str">
            <v>Faris</v>
          </cell>
          <cell r="I4942" t="str">
            <v>Syahra</v>
          </cell>
          <cell r="J4942" t="str">
            <v>New 23/08/21</v>
          </cell>
          <cell r="K4942" t="str">
            <v>KU, Tunai</v>
          </cell>
          <cell r="L4942" t="str">
            <v>MEKA15</v>
          </cell>
          <cell r="M4942" t="str">
            <v>Mekar Tani/Tunti</v>
          </cell>
          <cell r="N4942" t="str">
            <v>Tunti Mustikowati</v>
          </cell>
          <cell r="O4942" t="str">
            <v>Dusun Gebangkandel, RT.003/RW.005, Kel. Sumbersari, Kec. Purwoharjo</v>
          </cell>
          <cell r="P4942" t="str">
            <v>Banyuwangi</v>
          </cell>
          <cell r="Q4942" t="str">
            <v>Dusun Gebangkandel, RT.003/RW.005, Kel. Sumbersari, Kec. Purwoharjo</v>
          </cell>
          <cell r="R4942" t="str">
            <v>Banyuwangi</v>
          </cell>
          <cell r="S4942" t="str">
            <v>H Bwi3</v>
          </cell>
          <cell r="T4942" t="str">
            <v>Hafid</v>
          </cell>
          <cell r="U4942">
            <v>60</v>
          </cell>
        </row>
        <row r="4943">
          <cell r="E4943" t="str">
            <v>D25013514</v>
          </cell>
          <cell r="F4943"/>
          <cell r="G4943">
            <v>200000000</v>
          </cell>
          <cell r="H4943" t="str">
            <v>Faris</v>
          </cell>
          <cell r="I4943" t="str">
            <v>Syahra</v>
          </cell>
          <cell r="J4943" t="str">
            <v>New 23/08/21</v>
          </cell>
          <cell r="K4943" t="str">
            <v>KU, Tunai</v>
          </cell>
          <cell r="L4943" t="str">
            <v>MEKA15</v>
          </cell>
          <cell r="M4943" t="str">
            <v>Mekar Tani/Tunti</v>
          </cell>
          <cell r="N4943" t="str">
            <v>Tunti Mustikowati</v>
          </cell>
          <cell r="O4943" t="str">
            <v>Dusun Gebangkandel, RT.003/RW.005, Kel. Sumbersari, Kec. Purwoharjo</v>
          </cell>
          <cell r="P4943" t="str">
            <v>Banyuwangi</v>
          </cell>
          <cell r="Q4943" t="str">
            <v>Dusun Gebangkandel, RT.003/RW.005, Kel. Sumbersari, Kec. Purwoharjo</v>
          </cell>
          <cell r="R4943" t="str">
            <v>Banyuwangi</v>
          </cell>
          <cell r="S4943" t="str">
            <v>H Bwi3</v>
          </cell>
          <cell r="T4943" t="str">
            <v>Hafid</v>
          </cell>
          <cell r="U4943">
            <v>30</v>
          </cell>
        </row>
        <row r="4944">
          <cell r="E4944" t="str">
            <v>D25013881</v>
          </cell>
          <cell r="F4944"/>
          <cell r="G4944">
            <v>200000000</v>
          </cell>
          <cell r="H4944" t="str">
            <v>Faris</v>
          </cell>
          <cell r="I4944" t="str">
            <v>Syahra</v>
          </cell>
          <cell r="J4944" t="str">
            <v>New 23/08/21</v>
          </cell>
          <cell r="K4944" t="str">
            <v>KU, Tunai</v>
          </cell>
          <cell r="L4944" t="str">
            <v>MEKA15</v>
          </cell>
          <cell r="M4944" t="str">
            <v>Mekar Tani/Tunti</v>
          </cell>
          <cell r="N4944" t="str">
            <v>Tunti Mustikowati</v>
          </cell>
          <cell r="O4944" t="str">
            <v>Dusun Gebangkandel, RT.003/RW.005, Kel. Sumbersari, Kec. Purwoharjo</v>
          </cell>
          <cell r="P4944" t="str">
            <v>Banyuwangi</v>
          </cell>
          <cell r="Q4944" t="str">
            <v>Dusun Gebangkandel, RT.003/RW.005, Kel. Sumbersari, Kec. Purwoharjo</v>
          </cell>
          <cell r="R4944" t="str">
            <v>Banyuwangi</v>
          </cell>
          <cell r="S4944" t="str">
            <v>H Bwi3</v>
          </cell>
          <cell r="T4944" t="str">
            <v>Hafid</v>
          </cell>
          <cell r="U4944">
            <v>30</v>
          </cell>
        </row>
        <row r="4945">
          <cell r="E4945" t="str">
            <v>B25012573</v>
          </cell>
          <cell r="F4945"/>
          <cell r="G4945">
            <v>200000000</v>
          </cell>
          <cell r="H4945" t="str">
            <v>Faris</v>
          </cell>
          <cell r="I4945" t="str">
            <v>Syahra</v>
          </cell>
          <cell r="J4945" t="str">
            <v>New 23/08/21</v>
          </cell>
          <cell r="K4945" t="str">
            <v>KU, Tunai</v>
          </cell>
          <cell r="L4945" t="str">
            <v>MEKA15</v>
          </cell>
          <cell r="M4945" t="str">
            <v>Mekar Tani/Tunti</v>
          </cell>
          <cell r="N4945" t="str">
            <v>Tunti Mustikowati</v>
          </cell>
          <cell r="O4945" t="str">
            <v>Dusun Gebangkandel, RT.003/RW.005, Kel. Sumbersari, Kec. Purwoharjo</v>
          </cell>
          <cell r="P4945" t="str">
            <v>Banyuwangi</v>
          </cell>
          <cell r="Q4945" t="str">
            <v>Dusun Gebangkandel, RT.003/RW.005, Kel. Sumbersari, Kec. Purwoharjo</v>
          </cell>
          <cell r="R4945" t="str">
            <v>Banyuwangi</v>
          </cell>
          <cell r="S4945" t="str">
            <v>H Bwi3</v>
          </cell>
          <cell r="T4945" t="str">
            <v>Hafid</v>
          </cell>
          <cell r="U4945">
            <v>30</v>
          </cell>
        </row>
        <row r="4946">
          <cell r="E4946" t="str">
            <v>B25012634</v>
          </cell>
          <cell r="F4946"/>
          <cell r="G4946">
            <v>200000000</v>
          </cell>
          <cell r="H4946" t="str">
            <v>Faris</v>
          </cell>
          <cell r="I4946" t="str">
            <v>Syahra</v>
          </cell>
          <cell r="J4946" t="str">
            <v>New 23/08/21</v>
          </cell>
          <cell r="K4946" t="str">
            <v>KU, Tunai</v>
          </cell>
          <cell r="L4946" t="str">
            <v>MEKA15</v>
          </cell>
          <cell r="M4946" t="str">
            <v>Mekar Tani/Tunti</v>
          </cell>
          <cell r="N4946" t="str">
            <v>Tunti Mustikowati</v>
          </cell>
          <cell r="O4946" t="str">
            <v>Dusun Gebangkandel, RT.003/RW.005, Kel. Sumbersari, Kec. Purwoharjo</v>
          </cell>
          <cell r="P4946" t="str">
            <v>Banyuwangi</v>
          </cell>
          <cell r="Q4946" t="str">
            <v>Dusun Gebangkandel, RT.003/RW.005, Kel. Sumbersari, Kec. Purwoharjo</v>
          </cell>
          <cell r="R4946" t="str">
            <v>Banyuwangi</v>
          </cell>
          <cell r="S4946" t="str">
            <v>H Bwi3</v>
          </cell>
          <cell r="T4946" t="str">
            <v>Hafid</v>
          </cell>
          <cell r="U4946">
            <v>30</v>
          </cell>
        </row>
        <row r="4947">
          <cell r="E4947" t="str">
            <v>D25014880</v>
          </cell>
          <cell r="F4947"/>
          <cell r="G4947">
            <v>200000000</v>
          </cell>
          <cell r="H4947" t="str">
            <v>Faris</v>
          </cell>
          <cell r="I4947" t="str">
            <v>Syahra</v>
          </cell>
          <cell r="J4947" t="str">
            <v>New 23/08/21</v>
          </cell>
          <cell r="K4947" t="str">
            <v>KU, Tunai</v>
          </cell>
          <cell r="L4947" t="str">
            <v>MEKA15</v>
          </cell>
          <cell r="M4947" t="str">
            <v>Mekar Tani/Tunti</v>
          </cell>
          <cell r="N4947" t="str">
            <v>Tunti Mustikowati</v>
          </cell>
          <cell r="O4947" t="str">
            <v>Dusun Gebangkandel, RT.003/RW.005, Kel. Sumbersari, Kec. Purwoharjo</v>
          </cell>
          <cell r="P4947" t="str">
            <v>Banyuwangi</v>
          </cell>
          <cell r="Q4947" t="str">
            <v>Dusun Gebangkandel, RT.003/RW.005, Kel. Sumbersari, Kec. Purwoharjo</v>
          </cell>
          <cell r="R4947" t="str">
            <v>Banyuwangi</v>
          </cell>
          <cell r="S4947" t="str">
            <v>H Bwi3</v>
          </cell>
          <cell r="T4947" t="str">
            <v>Hafid</v>
          </cell>
          <cell r="U4947">
            <v>0</v>
          </cell>
        </row>
        <row r="4948">
          <cell r="E4948" t="str">
            <v>T25001476</v>
          </cell>
          <cell r="F4948"/>
          <cell r="G4948">
            <v>200000000</v>
          </cell>
          <cell r="H4948" t="str">
            <v>Faris</v>
          </cell>
          <cell r="I4948" t="str">
            <v>Syahra</v>
          </cell>
          <cell r="J4948" t="str">
            <v>New 23/08/21</v>
          </cell>
          <cell r="K4948" t="str">
            <v>KU, Tunai</v>
          </cell>
          <cell r="L4948" t="str">
            <v>MEKA15</v>
          </cell>
          <cell r="M4948" t="str">
            <v>Mekar Tani/Tunti</v>
          </cell>
          <cell r="N4948" t="str">
            <v>Tunti Mustikowati</v>
          </cell>
          <cell r="O4948" t="str">
            <v>Dusun Gebangkandel, RT.003/RW.005, Kel. Sumbersari, Kec. Purwoharjo</v>
          </cell>
          <cell r="P4948" t="str">
            <v>Banyuwangi</v>
          </cell>
          <cell r="Q4948" t="str">
            <v>Dusun Gebangkandel, RT.003/RW.005, Kel. Sumbersari, Kec. Purwoharjo</v>
          </cell>
          <cell r="R4948" t="str">
            <v>Banyuwangi</v>
          </cell>
          <cell r="S4948" t="str">
            <v>H Bwi3</v>
          </cell>
          <cell r="T4948" t="str">
            <v>Hafid</v>
          </cell>
          <cell r="U4948">
            <v>60</v>
          </cell>
        </row>
        <row r="4949">
          <cell r="E4949" t="str">
            <v>D25015618</v>
          </cell>
          <cell r="F4949"/>
          <cell r="G4949">
            <v>200000000</v>
          </cell>
          <cell r="H4949" t="str">
            <v>Faris</v>
          </cell>
          <cell r="I4949" t="str">
            <v>Syahra</v>
          </cell>
          <cell r="J4949" t="str">
            <v>New 23/08/21</v>
          </cell>
          <cell r="K4949" t="str">
            <v>KU, Tunai</v>
          </cell>
          <cell r="L4949" t="str">
            <v>MEKA15</v>
          </cell>
          <cell r="M4949" t="str">
            <v>Mekar Tani/Tunti</v>
          </cell>
          <cell r="N4949" t="str">
            <v>Tunti Mustikowati</v>
          </cell>
          <cell r="O4949" t="str">
            <v>Dusun Gebangkandel, RT.003/RW.005, Kel. Sumbersari, Kec. Purwoharjo</v>
          </cell>
          <cell r="P4949" t="str">
            <v>Banyuwangi</v>
          </cell>
          <cell r="Q4949" t="str">
            <v>Dusun Gebangkandel, RT.003/RW.005, Kel. Sumbersari, Kec. Purwoharjo</v>
          </cell>
          <cell r="R4949" t="str">
            <v>Banyuwangi</v>
          </cell>
          <cell r="S4949" t="str">
            <v>H Bwi3</v>
          </cell>
          <cell r="T4949" t="str">
            <v>Hafid</v>
          </cell>
          <cell r="U4949">
            <v>60</v>
          </cell>
        </row>
        <row r="4950">
          <cell r="E4950" t="str">
            <v>Z25002227</v>
          </cell>
          <cell r="F4950"/>
          <cell r="G4950">
            <v>2500000000</v>
          </cell>
          <cell r="H4950" t="str">
            <v>Yuyun</v>
          </cell>
          <cell r="I4950" t="str">
            <v>Farida</v>
          </cell>
          <cell r="J4950"/>
          <cell r="K4950" t="str">
            <v>Tunai</v>
          </cell>
          <cell r="L4950" t="str">
            <v>MERD01</v>
          </cell>
          <cell r="M4950" t="str">
            <v>Merdeka Tani/Sugiono</v>
          </cell>
          <cell r="N4950" t="str">
            <v>Sugiono</v>
          </cell>
          <cell r="O4950" t="str">
            <v>Dsn. Gumuk Gebang, RT.006/RW.014 Kel. Nogosari, Kec. Rambipuji</v>
          </cell>
          <cell r="P4950" t="str">
            <v>Jember</v>
          </cell>
          <cell r="Q4950" t="str">
            <v>Rambipuji</v>
          </cell>
          <cell r="R4950" t="str">
            <v>Jember</v>
          </cell>
          <cell r="S4950" t="str">
            <v>L Kota3</v>
          </cell>
          <cell r="T4950" t="str">
            <v>Wira</v>
          </cell>
          <cell r="U4950">
            <v>30</v>
          </cell>
        </row>
        <row r="4951">
          <cell r="E4951" t="str">
            <v>Z25002228</v>
          </cell>
          <cell r="F4951"/>
          <cell r="G4951">
            <v>2500000000</v>
          </cell>
          <cell r="H4951" t="str">
            <v>Yuyun</v>
          </cell>
          <cell r="I4951" t="str">
            <v>Farida</v>
          </cell>
          <cell r="J4951"/>
          <cell r="K4951" t="str">
            <v>Tunai</v>
          </cell>
          <cell r="L4951" t="str">
            <v>MERD01</v>
          </cell>
          <cell r="M4951" t="str">
            <v>Merdeka Tani/Sugiono</v>
          </cell>
          <cell r="N4951" t="str">
            <v>Sugiono</v>
          </cell>
          <cell r="O4951" t="str">
            <v>Dsn. Gumuk Gebang, RT.006/RW.014 Kel. Nogosari, Kec. Rambipuji</v>
          </cell>
          <cell r="P4951" t="str">
            <v>Jember</v>
          </cell>
          <cell r="Q4951" t="str">
            <v>Rambipuji</v>
          </cell>
          <cell r="R4951" t="str">
            <v>Jember</v>
          </cell>
          <cell r="S4951" t="str">
            <v>L Kota3</v>
          </cell>
          <cell r="T4951" t="str">
            <v>Wira</v>
          </cell>
          <cell r="U4951">
            <v>30</v>
          </cell>
        </row>
        <row r="4952">
          <cell r="E4952" t="str">
            <v>Z25002229</v>
          </cell>
          <cell r="F4952"/>
          <cell r="G4952">
            <v>2500000000</v>
          </cell>
          <cell r="H4952" t="str">
            <v>Yuyun</v>
          </cell>
          <cell r="I4952" t="str">
            <v>Farida</v>
          </cell>
          <cell r="J4952"/>
          <cell r="K4952" t="str">
            <v>Tunai</v>
          </cell>
          <cell r="L4952" t="str">
            <v>MERD01</v>
          </cell>
          <cell r="M4952" t="str">
            <v>Merdeka Tani/Sugiono</v>
          </cell>
          <cell r="N4952" t="str">
            <v>Sugiono</v>
          </cell>
          <cell r="O4952" t="str">
            <v>Dsn. Gumuk Gebang, RT.006/RW.014 Kel. Nogosari, Kec. Rambipuji</v>
          </cell>
          <cell r="P4952" t="str">
            <v>Jember</v>
          </cell>
          <cell r="Q4952" t="str">
            <v>Rambipuji</v>
          </cell>
          <cell r="R4952" t="str">
            <v>Jember</v>
          </cell>
          <cell r="S4952" t="str">
            <v>L Kota3</v>
          </cell>
          <cell r="T4952" t="str">
            <v>Wira</v>
          </cell>
          <cell r="U4952">
            <v>30</v>
          </cell>
        </row>
        <row r="4953">
          <cell r="E4953" t="str">
            <v>Z25002232</v>
          </cell>
          <cell r="F4953"/>
          <cell r="G4953">
            <v>2500000000</v>
          </cell>
          <cell r="H4953" t="str">
            <v>Yuyun</v>
          </cell>
          <cell r="I4953" t="str">
            <v>Farida</v>
          </cell>
          <cell r="J4953"/>
          <cell r="K4953" t="str">
            <v>Tunai</v>
          </cell>
          <cell r="L4953" t="str">
            <v>MERD01</v>
          </cell>
          <cell r="M4953" t="str">
            <v>Merdeka Tani/Sugiono</v>
          </cell>
          <cell r="N4953" t="str">
            <v>Sugiono</v>
          </cell>
          <cell r="O4953" t="str">
            <v>Dsn. Gumuk Gebang, RT.006/RW.014 Kel. Nogosari, Kec. Rambipuji</v>
          </cell>
          <cell r="P4953" t="str">
            <v>Jember</v>
          </cell>
          <cell r="Q4953" t="str">
            <v>Rambipuji</v>
          </cell>
          <cell r="R4953" t="str">
            <v>Jember</v>
          </cell>
          <cell r="S4953" t="str">
            <v>L Kota3</v>
          </cell>
          <cell r="T4953" t="str">
            <v>Wira</v>
          </cell>
          <cell r="U4953">
            <v>30</v>
          </cell>
        </row>
        <row r="4954">
          <cell r="E4954" t="str">
            <v>Z25002242</v>
          </cell>
          <cell r="F4954"/>
          <cell r="G4954">
            <v>2500000000</v>
          </cell>
          <cell r="H4954" t="str">
            <v>Yuyun</v>
          </cell>
          <cell r="I4954" t="str">
            <v>Farida</v>
          </cell>
          <cell r="J4954"/>
          <cell r="K4954" t="str">
            <v>Tunai</v>
          </cell>
          <cell r="L4954" t="str">
            <v>MERD01</v>
          </cell>
          <cell r="M4954" t="str">
            <v>Merdeka Tani/Sugiono</v>
          </cell>
          <cell r="N4954" t="str">
            <v>Sugiono</v>
          </cell>
          <cell r="O4954" t="str">
            <v>Dsn. Gumuk Gebang, RT.006/RW.014 Kel. Nogosari, Kec. Rambipuji</v>
          </cell>
          <cell r="P4954" t="str">
            <v>Jember</v>
          </cell>
          <cell r="Q4954" t="str">
            <v>Rambipuji</v>
          </cell>
          <cell r="R4954" t="str">
            <v>Jember</v>
          </cell>
          <cell r="S4954" t="str">
            <v>L Kota3</v>
          </cell>
          <cell r="T4954" t="str">
            <v>Wira</v>
          </cell>
          <cell r="U4954">
            <v>30</v>
          </cell>
        </row>
        <row r="4955">
          <cell r="E4955" t="str">
            <v>Z25002243</v>
          </cell>
          <cell r="F4955"/>
          <cell r="G4955">
            <v>2500000000</v>
          </cell>
          <cell r="H4955" t="str">
            <v>Yuyun</v>
          </cell>
          <cell r="I4955" t="str">
            <v>Farida</v>
          </cell>
          <cell r="J4955"/>
          <cell r="K4955" t="str">
            <v>Tunai</v>
          </cell>
          <cell r="L4955" t="str">
            <v>MERD01</v>
          </cell>
          <cell r="M4955" t="str">
            <v>Merdeka Tani/Sugiono</v>
          </cell>
          <cell r="N4955" t="str">
            <v>Sugiono</v>
          </cell>
          <cell r="O4955" t="str">
            <v>Dsn. Gumuk Gebang, RT.006/RW.014 Kel. Nogosari, Kec. Rambipuji</v>
          </cell>
          <cell r="P4955" t="str">
            <v>Jember</v>
          </cell>
          <cell r="Q4955" t="str">
            <v>Rambipuji</v>
          </cell>
          <cell r="R4955" t="str">
            <v>Jember</v>
          </cell>
          <cell r="S4955" t="str">
            <v>L Kota3</v>
          </cell>
          <cell r="T4955" t="str">
            <v>Wira</v>
          </cell>
          <cell r="U4955">
            <v>30</v>
          </cell>
        </row>
        <row r="4956">
          <cell r="E4956" t="str">
            <v>Z25002252</v>
          </cell>
          <cell r="F4956"/>
          <cell r="G4956">
            <v>2500000000</v>
          </cell>
          <cell r="H4956" t="str">
            <v>Yuyun</v>
          </cell>
          <cell r="I4956" t="str">
            <v>Farida</v>
          </cell>
          <cell r="J4956"/>
          <cell r="K4956" t="str">
            <v>Tunai</v>
          </cell>
          <cell r="L4956" t="str">
            <v>MERD01</v>
          </cell>
          <cell r="M4956" t="str">
            <v>Merdeka Tani/Sugiono</v>
          </cell>
          <cell r="N4956" t="str">
            <v>Sugiono</v>
          </cell>
          <cell r="O4956" t="str">
            <v>Dsn. Gumuk Gebang, RT.006/RW.014 Kel. Nogosari, Kec. Rambipuji</v>
          </cell>
          <cell r="P4956" t="str">
            <v>Jember</v>
          </cell>
          <cell r="Q4956" t="str">
            <v>Rambipuji</v>
          </cell>
          <cell r="R4956" t="str">
            <v>Jember</v>
          </cell>
          <cell r="S4956" t="str">
            <v>L Kota3</v>
          </cell>
          <cell r="T4956" t="str">
            <v>Wira</v>
          </cell>
          <cell r="U4956">
            <v>30</v>
          </cell>
        </row>
        <row r="4957">
          <cell r="E4957" t="str">
            <v>Z25002288</v>
          </cell>
          <cell r="F4957"/>
          <cell r="G4957">
            <v>2500000000</v>
          </cell>
          <cell r="H4957" t="str">
            <v>Yuyun</v>
          </cell>
          <cell r="I4957" t="str">
            <v>Farida</v>
          </cell>
          <cell r="J4957"/>
          <cell r="K4957" t="str">
            <v>Tunai</v>
          </cell>
          <cell r="L4957" t="str">
            <v>MERD01</v>
          </cell>
          <cell r="M4957" t="str">
            <v>Merdeka Tani/Sugiono</v>
          </cell>
          <cell r="N4957" t="str">
            <v>Sugiono</v>
          </cell>
          <cell r="O4957" t="str">
            <v>Dsn. Gumuk Gebang, RT.006/RW.014 Kel. Nogosari, Kec. Rambipuji</v>
          </cell>
          <cell r="P4957" t="str">
            <v>Jember</v>
          </cell>
          <cell r="Q4957" t="str">
            <v>Rambipuji</v>
          </cell>
          <cell r="R4957" t="str">
            <v>Jember</v>
          </cell>
          <cell r="S4957" t="str">
            <v>L Kota3</v>
          </cell>
          <cell r="T4957" t="str">
            <v>Wira</v>
          </cell>
          <cell r="U4957">
            <v>30</v>
          </cell>
        </row>
        <row r="4958">
          <cell r="E4958" t="str">
            <v>Z25002294</v>
          </cell>
          <cell r="F4958"/>
          <cell r="G4958">
            <v>2500000000</v>
          </cell>
          <cell r="H4958" t="str">
            <v>Yuyun</v>
          </cell>
          <cell r="I4958" t="str">
            <v>Farida</v>
          </cell>
          <cell r="J4958"/>
          <cell r="K4958" t="str">
            <v>Tunai</v>
          </cell>
          <cell r="L4958" t="str">
            <v>MERD01</v>
          </cell>
          <cell r="M4958" t="str">
            <v>Merdeka Tani/Sugiono</v>
          </cell>
          <cell r="N4958" t="str">
            <v>Sugiono</v>
          </cell>
          <cell r="O4958" t="str">
            <v>Dsn. Gumuk Gebang, RT.006/RW.014 Kel. Nogosari, Kec. Rambipuji</v>
          </cell>
          <cell r="P4958" t="str">
            <v>Jember</v>
          </cell>
          <cell r="Q4958" t="str">
            <v>Rambipuji</v>
          </cell>
          <cell r="R4958" t="str">
            <v>Jember</v>
          </cell>
          <cell r="S4958" t="str">
            <v>L Kota3</v>
          </cell>
          <cell r="T4958" t="str">
            <v>Wira</v>
          </cell>
          <cell r="U4958">
            <v>30</v>
          </cell>
        </row>
        <row r="4959">
          <cell r="E4959" t="str">
            <v>Z25002295</v>
          </cell>
          <cell r="F4959"/>
          <cell r="G4959">
            <v>2500000000</v>
          </cell>
          <cell r="H4959" t="str">
            <v>Yuyun</v>
          </cell>
          <cell r="I4959" t="str">
            <v>Farida</v>
          </cell>
          <cell r="J4959"/>
          <cell r="K4959" t="str">
            <v>Tunai</v>
          </cell>
          <cell r="L4959" t="str">
            <v>MERD01</v>
          </cell>
          <cell r="M4959" t="str">
            <v>Merdeka Tani/Sugiono</v>
          </cell>
          <cell r="N4959" t="str">
            <v>Sugiono</v>
          </cell>
          <cell r="O4959" t="str">
            <v>Dsn. Gumuk Gebang, RT.006/RW.014 Kel. Nogosari, Kec. Rambipuji</v>
          </cell>
          <cell r="P4959" t="str">
            <v>Jember</v>
          </cell>
          <cell r="Q4959" t="str">
            <v>Rambipuji</v>
          </cell>
          <cell r="R4959" t="str">
            <v>Jember</v>
          </cell>
          <cell r="S4959" t="str">
            <v>L Kota3</v>
          </cell>
          <cell r="T4959" t="str">
            <v>Wira</v>
          </cell>
          <cell r="U4959">
            <v>30</v>
          </cell>
        </row>
        <row r="4960">
          <cell r="E4960" t="str">
            <v>Z25002310</v>
          </cell>
          <cell r="F4960"/>
          <cell r="G4960">
            <v>2500000000</v>
          </cell>
          <cell r="H4960" t="str">
            <v>Yuyun</v>
          </cell>
          <cell r="I4960" t="str">
            <v>Farida</v>
          </cell>
          <cell r="J4960"/>
          <cell r="K4960" t="str">
            <v>Tunai</v>
          </cell>
          <cell r="L4960" t="str">
            <v>MERD01</v>
          </cell>
          <cell r="M4960" t="str">
            <v>Merdeka Tani/Sugiono</v>
          </cell>
          <cell r="N4960" t="str">
            <v>Sugiono</v>
          </cell>
          <cell r="O4960" t="str">
            <v>Dsn. Gumuk Gebang, RT.006/RW.014 Kel. Nogosari, Kec. Rambipuji</v>
          </cell>
          <cell r="P4960" t="str">
            <v>Jember</v>
          </cell>
          <cell r="Q4960" t="str">
            <v>Rambipuji</v>
          </cell>
          <cell r="R4960" t="str">
            <v>Jember</v>
          </cell>
          <cell r="S4960" t="str">
            <v>L Kota3</v>
          </cell>
          <cell r="T4960" t="str">
            <v>Wira</v>
          </cell>
          <cell r="U4960">
            <v>30</v>
          </cell>
        </row>
        <row r="4961">
          <cell r="E4961" t="str">
            <v>Z25002312</v>
          </cell>
          <cell r="F4961"/>
          <cell r="G4961">
            <v>2500000000</v>
          </cell>
          <cell r="H4961" t="str">
            <v>Yuyun</v>
          </cell>
          <cell r="I4961" t="str">
            <v>Farida</v>
          </cell>
          <cell r="J4961"/>
          <cell r="K4961" t="str">
            <v>Tunai</v>
          </cell>
          <cell r="L4961" t="str">
            <v>MERD01</v>
          </cell>
          <cell r="M4961" t="str">
            <v>Merdeka Tani/Sugiono</v>
          </cell>
          <cell r="N4961" t="str">
            <v>Sugiono</v>
          </cell>
          <cell r="O4961" t="str">
            <v>Dsn. Gumuk Gebang, RT.006/RW.014 Kel. Nogosari, Kec. Rambipuji</v>
          </cell>
          <cell r="P4961" t="str">
            <v>Jember</v>
          </cell>
          <cell r="Q4961" t="str">
            <v>Rambipuji</v>
          </cell>
          <cell r="R4961" t="str">
            <v>Jember</v>
          </cell>
          <cell r="S4961" t="str">
            <v>L Kota3</v>
          </cell>
          <cell r="T4961" t="str">
            <v>Wira</v>
          </cell>
          <cell r="U4961">
            <v>60</v>
          </cell>
        </row>
        <row r="4962">
          <cell r="E4962" t="str">
            <v>Z25002320</v>
          </cell>
          <cell r="F4962"/>
          <cell r="G4962">
            <v>2500000000</v>
          </cell>
          <cell r="H4962" t="str">
            <v>Yuyun</v>
          </cell>
          <cell r="I4962" t="str">
            <v>Farida</v>
          </cell>
          <cell r="J4962"/>
          <cell r="K4962" t="str">
            <v>Tunai</v>
          </cell>
          <cell r="L4962" t="str">
            <v>MERD01</v>
          </cell>
          <cell r="M4962" t="str">
            <v>Merdeka Tani/Sugiono</v>
          </cell>
          <cell r="N4962" t="str">
            <v>Sugiono</v>
          </cell>
          <cell r="O4962" t="str">
            <v>Dsn. Gumuk Gebang, RT.006/RW.014 Kel. Nogosari, Kec. Rambipuji</v>
          </cell>
          <cell r="P4962" t="str">
            <v>Jember</v>
          </cell>
          <cell r="Q4962" t="str">
            <v>Rambipuji</v>
          </cell>
          <cell r="R4962" t="str">
            <v>Jember</v>
          </cell>
          <cell r="S4962" t="str">
            <v>L Kota3</v>
          </cell>
          <cell r="T4962" t="str">
            <v>Wira</v>
          </cell>
          <cell r="U4962">
            <v>30</v>
          </cell>
        </row>
        <row r="4963">
          <cell r="E4963" t="str">
            <v>Z25002329</v>
          </cell>
          <cell r="F4963"/>
          <cell r="G4963">
            <v>2500000000</v>
          </cell>
          <cell r="H4963" t="str">
            <v>Yuyun</v>
          </cell>
          <cell r="I4963" t="str">
            <v>Farida</v>
          </cell>
          <cell r="J4963"/>
          <cell r="K4963" t="str">
            <v>Tunai</v>
          </cell>
          <cell r="L4963" t="str">
            <v>MERD01</v>
          </cell>
          <cell r="M4963" t="str">
            <v>Merdeka Tani/Sugiono</v>
          </cell>
          <cell r="N4963" t="str">
            <v>Sugiono</v>
          </cell>
          <cell r="O4963" t="str">
            <v>Dsn. Gumuk Gebang, RT.006/RW.014 Kel. Nogosari, Kec. Rambipuji</v>
          </cell>
          <cell r="P4963" t="str">
            <v>Jember</v>
          </cell>
          <cell r="Q4963" t="str">
            <v>Rambipuji</v>
          </cell>
          <cell r="R4963" t="str">
            <v>Jember</v>
          </cell>
          <cell r="S4963" t="str">
            <v>L Kota3</v>
          </cell>
          <cell r="T4963" t="str">
            <v>Wira</v>
          </cell>
          <cell r="U4963">
            <v>30</v>
          </cell>
        </row>
        <row r="4964">
          <cell r="E4964" t="str">
            <v>Z25002331</v>
          </cell>
          <cell r="F4964"/>
          <cell r="G4964">
            <v>2500000000</v>
          </cell>
          <cell r="H4964" t="str">
            <v>Yuyun</v>
          </cell>
          <cell r="I4964" t="str">
            <v>Farida</v>
          </cell>
          <cell r="J4964"/>
          <cell r="K4964" t="str">
            <v>Tunai</v>
          </cell>
          <cell r="L4964" t="str">
            <v>MERD01</v>
          </cell>
          <cell r="M4964" t="str">
            <v>Merdeka Tani/Sugiono</v>
          </cell>
          <cell r="N4964" t="str">
            <v>Sugiono</v>
          </cell>
          <cell r="O4964" t="str">
            <v>Dsn. Gumuk Gebang, RT.006/RW.014 Kel. Nogosari, Kec. Rambipuji</v>
          </cell>
          <cell r="P4964" t="str">
            <v>Jember</v>
          </cell>
          <cell r="Q4964" t="str">
            <v>Rambipuji</v>
          </cell>
          <cell r="R4964" t="str">
            <v>Jember</v>
          </cell>
          <cell r="S4964" t="str">
            <v>L Kota3</v>
          </cell>
          <cell r="T4964" t="str">
            <v>Wira</v>
          </cell>
          <cell r="U4964">
            <v>30</v>
          </cell>
        </row>
        <row r="4965">
          <cell r="E4965" t="str">
            <v>Z25002335</v>
          </cell>
          <cell r="F4965"/>
          <cell r="G4965">
            <v>2500000000</v>
          </cell>
          <cell r="H4965" t="str">
            <v>Yuyun</v>
          </cell>
          <cell r="I4965" t="str">
            <v>Farida</v>
          </cell>
          <cell r="J4965"/>
          <cell r="K4965" t="str">
            <v>Tunai</v>
          </cell>
          <cell r="L4965" t="str">
            <v>MERD01</v>
          </cell>
          <cell r="M4965" t="str">
            <v>Merdeka Tani/Sugiono</v>
          </cell>
          <cell r="N4965" t="str">
            <v>Sugiono</v>
          </cell>
          <cell r="O4965" t="str">
            <v>Dsn. Gumuk Gebang, RT.006/RW.014 Kel. Nogosari, Kec. Rambipuji</v>
          </cell>
          <cell r="P4965" t="str">
            <v>Jember</v>
          </cell>
          <cell r="Q4965" t="str">
            <v>Rambipuji</v>
          </cell>
          <cell r="R4965" t="str">
            <v>Jember</v>
          </cell>
          <cell r="S4965" t="str">
            <v>L Kota3</v>
          </cell>
          <cell r="T4965" t="str">
            <v>Wira</v>
          </cell>
          <cell r="U4965">
            <v>30</v>
          </cell>
        </row>
        <row r="4966">
          <cell r="E4966" t="str">
            <v>Z25002346</v>
          </cell>
          <cell r="F4966"/>
          <cell r="G4966">
            <v>2500000000</v>
          </cell>
          <cell r="H4966" t="str">
            <v>Yuyun</v>
          </cell>
          <cell r="I4966" t="str">
            <v>Farida</v>
          </cell>
          <cell r="J4966"/>
          <cell r="K4966" t="str">
            <v>Tunai</v>
          </cell>
          <cell r="L4966" t="str">
            <v>MERD01</v>
          </cell>
          <cell r="M4966" t="str">
            <v>Merdeka Tani/Sugiono</v>
          </cell>
          <cell r="N4966" t="str">
            <v>Sugiono</v>
          </cell>
          <cell r="O4966" t="str">
            <v>Dsn. Gumuk Gebang, RT.006/RW.014 Kel. Nogosari, Kec. Rambipuji</v>
          </cell>
          <cell r="P4966" t="str">
            <v>Jember</v>
          </cell>
          <cell r="Q4966" t="str">
            <v>Rambipuji</v>
          </cell>
          <cell r="R4966" t="str">
            <v>Jember</v>
          </cell>
          <cell r="S4966" t="str">
            <v>L Kota3</v>
          </cell>
          <cell r="T4966" t="str">
            <v>Wira</v>
          </cell>
          <cell r="U4966">
            <v>30</v>
          </cell>
        </row>
        <row r="4967">
          <cell r="E4967" t="str">
            <v>Z25002347</v>
          </cell>
          <cell r="F4967"/>
          <cell r="G4967">
            <v>2500000000</v>
          </cell>
          <cell r="H4967" t="str">
            <v>Yuyun</v>
          </cell>
          <cell r="I4967" t="str">
            <v>Farida</v>
          </cell>
          <cell r="J4967"/>
          <cell r="K4967" t="str">
            <v>Tunai</v>
          </cell>
          <cell r="L4967" t="str">
            <v>MERD01</v>
          </cell>
          <cell r="M4967" t="str">
            <v>Merdeka Tani/Sugiono</v>
          </cell>
          <cell r="N4967" t="str">
            <v>Sugiono</v>
          </cell>
          <cell r="O4967" t="str">
            <v>Dsn. Gumuk Gebang, RT.006/RW.014 Kel. Nogosari, Kec. Rambipuji</v>
          </cell>
          <cell r="P4967" t="str">
            <v>Jember</v>
          </cell>
          <cell r="Q4967" t="str">
            <v>Rambipuji</v>
          </cell>
          <cell r="R4967" t="str">
            <v>Jember</v>
          </cell>
          <cell r="S4967" t="str">
            <v>L Kota3</v>
          </cell>
          <cell r="T4967" t="str">
            <v>Wira</v>
          </cell>
          <cell r="U4967">
            <v>30</v>
          </cell>
        </row>
        <row r="4968">
          <cell r="E4968" t="str">
            <v>Z25002351</v>
          </cell>
          <cell r="F4968"/>
          <cell r="G4968">
            <v>2500000000</v>
          </cell>
          <cell r="H4968" t="str">
            <v>Yuyun</v>
          </cell>
          <cell r="I4968" t="str">
            <v>Farida</v>
          </cell>
          <cell r="J4968"/>
          <cell r="K4968" t="str">
            <v>Tunai</v>
          </cell>
          <cell r="L4968" t="str">
            <v>MERD01</v>
          </cell>
          <cell r="M4968" t="str">
            <v>Merdeka Tani/Sugiono</v>
          </cell>
          <cell r="N4968" t="str">
            <v>Sugiono</v>
          </cell>
          <cell r="O4968" t="str">
            <v>Dsn. Gumuk Gebang, RT.006/RW.014 Kel. Nogosari, Kec. Rambipuji</v>
          </cell>
          <cell r="P4968" t="str">
            <v>Jember</v>
          </cell>
          <cell r="Q4968" t="str">
            <v>Rambipuji</v>
          </cell>
          <cell r="R4968" t="str">
            <v>Jember</v>
          </cell>
          <cell r="S4968" t="str">
            <v>L Kota3</v>
          </cell>
          <cell r="T4968" t="str">
            <v>Wira</v>
          </cell>
          <cell r="U4968">
            <v>30</v>
          </cell>
        </row>
        <row r="4969">
          <cell r="E4969" t="str">
            <v>Z25002357</v>
          </cell>
          <cell r="F4969"/>
          <cell r="G4969">
            <v>2500000000</v>
          </cell>
          <cell r="H4969" t="str">
            <v>Yuyun</v>
          </cell>
          <cell r="I4969" t="str">
            <v>Farida</v>
          </cell>
          <cell r="J4969"/>
          <cell r="K4969" t="str">
            <v>Tunai</v>
          </cell>
          <cell r="L4969" t="str">
            <v>MERD01</v>
          </cell>
          <cell r="M4969" t="str">
            <v>Merdeka Tani/Sugiono</v>
          </cell>
          <cell r="N4969" t="str">
            <v>Sugiono</v>
          </cell>
          <cell r="O4969" t="str">
            <v>Dsn. Gumuk Gebang, RT.006/RW.014 Kel. Nogosari, Kec. Rambipuji</v>
          </cell>
          <cell r="P4969" t="str">
            <v>Jember</v>
          </cell>
          <cell r="Q4969" t="str">
            <v>Rambipuji</v>
          </cell>
          <cell r="R4969" t="str">
            <v>Jember</v>
          </cell>
          <cell r="S4969" t="str">
            <v>L Kota3</v>
          </cell>
          <cell r="T4969" t="str">
            <v>Wira</v>
          </cell>
          <cell r="U4969">
            <v>30</v>
          </cell>
        </row>
        <row r="4970">
          <cell r="E4970" t="str">
            <v>Z25002359</v>
          </cell>
          <cell r="F4970"/>
          <cell r="G4970">
            <v>2500000000</v>
          </cell>
          <cell r="H4970" t="str">
            <v>Yuyun</v>
          </cell>
          <cell r="I4970" t="str">
            <v>Farida</v>
          </cell>
          <cell r="J4970"/>
          <cell r="K4970" t="str">
            <v>Tunai</v>
          </cell>
          <cell r="L4970" t="str">
            <v>MERD01</v>
          </cell>
          <cell r="M4970" t="str">
            <v>Merdeka Tani/Sugiono</v>
          </cell>
          <cell r="N4970" t="str">
            <v>Sugiono</v>
          </cell>
          <cell r="O4970" t="str">
            <v>Dsn. Gumuk Gebang, RT.006/RW.014 Kel. Nogosari, Kec. Rambipuji</v>
          </cell>
          <cell r="P4970" t="str">
            <v>Jember</v>
          </cell>
          <cell r="Q4970" t="str">
            <v>Rambipuji</v>
          </cell>
          <cell r="R4970" t="str">
            <v>Jember</v>
          </cell>
          <cell r="S4970" t="str">
            <v>L Kota3</v>
          </cell>
          <cell r="T4970" t="str">
            <v>Wira</v>
          </cell>
          <cell r="U4970">
            <v>30</v>
          </cell>
        </row>
        <row r="4971">
          <cell r="E4971" t="str">
            <v>Z25002360</v>
          </cell>
          <cell r="F4971"/>
          <cell r="G4971">
            <v>2500000000</v>
          </cell>
          <cell r="H4971" t="str">
            <v>Yuyun</v>
          </cell>
          <cell r="I4971" t="str">
            <v>Farida</v>
          </cell>
          <cell r="J4971"/>
          <cell r="K4971" t="str">
            <v>Tunai</v>
          </cell>
          <cell r="L4971" t="str">
            <v>MERD01</v>
          </cell>
          <cell r="M4971" t="str">
            <v>Merdeka Tani/Sugiono</v>
          </cell>
          <cell r="N4971" t="str">
            <v>Sugiono</v>
          </cell>
          <cell r="O4971" t="str">
            <v>Dsn. Gumuk Gebang, RT.006/RW.014 Kel. Nogosari, Kec. Rambipuji</v>
          </cell>
          <cell r="P4971" t="str">
            <v>Jember</v>
          </cell>
          <cell r="Q4971" t="str">
            <v>Rambipuji</v>
          </cell>
          <cell r="R4971" t="str">
            <v>Jember</v>
          </cell>
          <cell r="S4971" t="str">
            <v>L Kota3</v>
          </cell>
          <cell r="T4971" t="str">
            <v>Wira</v>
          </cell>
          <cell r="U4971">
            <v>30</v>
          </cell>
        </row>
        <row r="4972">
          <cell r="E4972" t="str">
            <v>Z25002362</v>
          </cell>
          <cell r="F4972"/>
          <cell r="G4972">
            <v>2500000000</v>
          </cell>
          <cell r="H4972" t="str">
            <v>Yuyun</v>
          </cell>
          <cell r="I4972" t="str">
            <v>Farida</v>
          </cell>
          <cell r="J4972"/>
          <cell r="K4972" t="str">
            <v>Tunai</v>
          </cell>
          <cell r="L4972" t="str">
            <v>MERD01</v>
          </cell>
          <cell r="M4972" t="str">
            <v>Merdeka Tani/Sugiono</v>
          </cell>
          <cell r="N4972" t="str">
            <v>Sugiono</v>
          </cell>
          <cell r="O4972" t="str">
            <v>Dsn. Gumuk Gebang, RT.006/RW.014 Kel. Nogosari, Kec. Rambipuji</v>
          </cell>
          <cell r="P4972" t="str">
            <v>Jember</v>
          </cell>
          <cell r="Q4972" t="str">
            <v>Rambipuji</v>
          </cell>
          <cell r="R4972" t="str">
            <v>Jember</v>
          </cell>
          <cell r="S4972" t="str">
            <v>L Kota3</v>
          </cell>
          <cell r="T4972" t="str">
            <v>Wira</v>
          </cell>
          <cell r="U4972">
            <v>30</v>
          </cell>
        </row>
        <row r="4973">
          <cell r="E4973" t="str">
            <v>Z25002383</v>
          </cell>
          <cell r="F4973"/>
          <cell r="G4973">
            <v>2500000000</v>
          </cell>
          <cell r="H4973" t="str">
            <v>Yuyun</v>
          </cell>
          <cell r="I4973" t="str">
            <v>Farida</v>
          </cell>
          <cell r="J4973"/>
          <cell r="K4973" t="str">
            <v>Tunai</v>
          </cell>
          <cell r="L4973" t="str">
            <v>MERD01</v>
          </cell>
          <cell r="M4973" t="str">
            <v>Merdeka Tani/Sugiono</v>
          </cell>
          <cell r="N4973" t="str">
            <v>Sugiono</v>
          </cell>
          <cell r="O4973" t="str">
            <v>Dsn. Gumuk Gebang, RT.006/RW.014 Kel. Nogosari, Kec. Rambipuji</v>
          </cell>
          <cell r="P4973" t="str">
            <v>Jember</v>
          </cell>
          <cell r="Q4973" t="str">
            <v>Rambipuji</v>
          </cell>
          <cell r="R4973" t="str">
            <v>Jember</v>
          </cell>
          <cell r="S4973" t="str">
            <v>L Kota3</v>
          </cell>
          <cell r="T4973" t="str">
            <v>Wira</v>
          </cell>
          <cell r="U4973">
            <v>30</v>
          </cell>
        </row>
        <row r="4974">
          <cell r="E4974" t="str">
            <v>Z25002391</v>
          </cell>
          <cell r="F4974"/>
          <cell r="G4974">
            <v>2500000000</v>
          </cell>
          <cell r="H4974" t="str">
            <v>Yuyun</v>
          </cell>
          <cell r="I4974" t="str">
            <v>Farida</v>
          </cell>
          <cell r="J4974"/>
          <cell r="K4974" t="str">
            <v>Tunai</v>
          </cell>
          <cell r="L4974" t="str">
            <v>MERD01</v>
          </cell>
          <cell r="M4974" t="str">
            <v>Merdeka Tani/Sugiono</v>
          </cell>
          <cell r="N4974" t="str">
            <v>Sugiono</v>
          </cell>
          <cell r="O4974" t="str">
            <v>Dsn. Gumuk Gebang, RT.006/RW.014 Kel. Nogosari, Kec. Rambipuji</v>
          </cell>
          <cell r="P4974" t="str">
            <v>Jember</v>
          </cell>
          <cell r="Q4974" t="str">
            <v>Rambipuji</v>
          </cell>
          <cell r="R4974" t="str">
            <v>Jember</v>
          </cell>
          <cell r="S4974" t="str">
            <v>L Kota3</v>
          </cell>
          <cell r="T4974" t="str">
            <v>Wira</v>
          </cell>
          <cell r="U4974">
            <v>30</v>
          </cell>
        </row>
        <row r="4975">
          <cell r="E4975" t="str">
            <v>Z25002394</v>
          </cell>
          <cell r="F4975"/>
          <cell r="G4975">
            <v>2500000000</v>
          </cell>
          <cell r="H4975" t="str">
            <v>Yuyun</v>
          </cell>
          <cell r="I4975" t="str">
            <v>Farida</v>
          </cell>
          <cell r="J4975"/>
          <cell r="K4975" t="str">
            <v>Tunai</v>
          </cell>
          <cell r="L4975" t="str">
            <v>MERD01</v>
          </cell>
          <cell r="M4975" t="str">
            <v>Merdeka Tani/Sugiono</v>
          </cell>
          <cell r="N4975" t="str">
            <v>Sugiono</v>
          </cell>
          <cell r="O4975" t="str">
            <v>Dsn. Gumuk Gebang, RT.006/RW.014 Kel. Nogosari, Kec. Rambipuji</v>
          </cell>
          <cell r="P4975" t="str">
            <v>Jember</v>
          </cell>
          <cell r="Q4975" t="str">
            <v>Rambipuji</v>
          </cell>
          <cell r="R4975" t="str">
            <v>Jember</v>
          </cell>
          <cell r="S4975" t="str">
            <v>L Kota3</v>
          </cell>
          <cell r="T4975" t="str">
            <v>Wira</v>
          </cell>
          <cell r="U4975">
            <v>30</v>
          </cell>
        </row>
        <row r="4976">
          <cell r="E4976" t="str">
            <v>Z25002424</v>
          </cell>
          <cell r="F4976"/>
          <cell r="G4976">
            <v>2500000000</v>
          </cell>
          <cell r="H4976" t="str">
            <v>Yuyun</v>
          </cell>
          <cell r="I4976" t="str">
            <v>Farida</v>
          </cell>
          <cell r="J4976"/>
          <cell r="K4976" t="str">
            <v>Tunai</v>
          </cell>
          <cell r="L4976" t="str">
            <v>MERD01</v>
          </cell>
          <cell r="M4976" t="str">
            <v>Merdeka Tani/Sugiono</v>
          </cell>
          <cell r="N4976" t="str">
            <v>Sugiono</v>
          </cell>
          <cell r="O4976" t="str">
            <v>Dsn. Gumuk Gebang, RT.006/RW.014 Kel. Nogosari, Kec. Rambipuji</v>
          </cell>
          <cell r="P4976" t="str">
            <v>Jember</v>
          </cell>
          <cell r="Q4976" t="str">
            <v>Rambipuji</v>
          </cell>
          <cell r="R4976" t="str">
            <v>Jember</v>
          </cell>
          <cell r="S4976" t="str">
            <v>L Kota3</v>
          </cell>
          <cell r="T4976" t="str">
            <v>Wira</v>
          </cell>
          <cell r="U4976">
            <v>30</v>
          </cell>
        </row>
        <row r="4977">
          <cell r="E4977" t="str">
            <v>Z25002433</v>
          </cell>
          <cell r="F4977"/>
          <cell r="G4977">
            <v>2500000000</v>
          </cell>
          <cell r="H4977" t="str">
            <v>Yuyun</v>
          </cell>
          <cell r="I4977" t="str">
            <v>Farida</v>
          </cell>
          <cell r="J4977"/>
          <cell r="K4977" t="str">
            <v>Tunai</v>
          </cell>
          <cell r="L4977" t="str">
            <v>MERD01</v>
          </cell>
          <cell r="M4977" t="str">
            <v>Merdeka Tani/Sugiono</v>
          </cell>
          <cell r="N4977" t="str">
            <v>Sugiono</v>
          </cell>
          <cell r="O4977" t="str">
            <v>Dsn. Gumuk Gebang, RT.006/RW.014 Kel. Nogosari, Kec. Rambipuji</v>
          </cell>
          <cell r="P4977" t="str">
            <v>Jember</v>
          </cell>
          <cell r="Q4977" t="str">
            <v>Rambipuji</v>
          </cell>
          <cell r="R4977" t="str">
            <v>Jember</v>
          </cell>
          <cell r="S4977" t="str">
            <v>L Kota3</v>
          </cell>
          <cell r="T4977" t="str">
            <v>Wira</v>
          </cell>
          <cell r="U4977">
            <v>30</v>
          </cell>
        </row>
        <row r="4978">
          <cell r="E4978" t="str">
            <v>Z25002435</v>
          </cell>
          <cell r="F4978"/>
          <cell r="G4978">
            <v>2500000000</v>
          </cell>
          <cell r="H4978" t="str">
            <v>Yuyun</v>
          </cell>
          <cell r="I4978" t="str">
            <v>Farida</v>
          </cell>
          <cell r="J4978"/>
          <cell r="K4978" t="str">
            <v>Tunai</v>
          </cell>
          <cell r="L4978" t="str">
            <v>MERD01</v>
          </cell>
          <cell r="M4978" t="str">
            <v>Merdeka Tani/Sugiono</v>
          </cell>
          <cell r="N4978" t="str">
            <v>Sugiono</v>
          </cell>
          <cell r="O4978" t="str">
            <v>Dsn. Gumuk Gebang, RT.006/RW.014 Kel. Nogosari, Kec. Rambipuji</v>
          </cell>
          <cell r="P4978" t="str">
            <v>Jember</v>
          </cell>
          <cell r="Q4978" t="str">
            <v>Rambipuji</v>
          </cell>
          <cell r="R4978" t="str">
            <v>Jember</v>
          </cell>
          <cell r="S4978" t="str">
            <v>L Kota3</v>
          </cell>
          <cell r="T4978" t="str">
            <v>Wira</v>
          </cell>
          <cell r="U4978">
            <v>60</v>
          </cell>
        </row>
        <row r="4979">
          <cell r="E4979" t="str">
            <v>Z25002460</v>
          </cell>
          <cell r="F4979"/>
          <cell r="G4979">
            <v>2500000000</v>
          </cell>
          <cell r="H4979" t="str">
            <v>Yuyun</v>
          </cell>
          <cell r="I4979" t="str">
            <v>Farida</v>
          </cell>
          <cell r="J4979"/>
          <cell r="K4979" t="str">
            <v>Tunai</v>
          </cell>
          <cell r="L4979" t="str">
            <v>MERD01</v>
          </cell>
          <cell r="M4979" t="str">
            <v>Merdeka Tani/Sugiono</v>
          </cell>
          <cell r="N4979" t="str">
            <v>Sugiono</v>
          </cell>
          <cell r="O4979" t="str">
            <v>Dsn. Gumuk Gebang, RT.006/RW.014 Kel. Nogosari, Kec. Rambipuji</v>
          </cell>
          <cell r="P4979" t="str">
            <v>Jember</v>
          </cell>
          <cell r="Q4979" t="str">
            <v>Rambipuji</v>
          </cell>
          <cell r="R4979" t="str">
            <v>Jember</v>
          </cell>
          <cell r="S4979" t="str">
            <v>L Kota3</v>
          </cell>
          <cell r="T4979" t="str">
            <v>Wira</v>
          </cell>
          <cell r="U4979">
            <v>30</v>
          </cell>
        </row>
        <row r="4980">
          <cell r="E4980" t="str">
            <v>Z25002463</v>
          </cell>
          <cell r="F4980"/>
          <cell r="G4980">
            <v>2500000000</v>
          </cell>
          <cell r="H4980" t="str">
            <v>Yuyun</v>
          </cell>
          <cell r="I4980" t="str">
            <v>Farida</v>
          </cell>
          <cell r="J4980"/>
          <cell r="K4980" t="str">
            <v>Tunai</v>
          </cell>
          <cell r="L4980" t="str">
            <v>MERD01</v>
          </cell>
          <cell r="M4980" t="str">
            <v>Merdeka Tani/Sugiono</v>
          </cell>
          <cell r="N4980" t="str">
            <v>Sugiono</v>
          </cell>
          <cell r="O4980" t="str">
            <v>Dsn. Gumuk Gebang, RT.006/RW.014 Kel. Nogosari, Kec. Rambipuji</v>
          </cell>
          <cell r="P4980" t="str">
            <v>Jember</v>
          </cell>
          <cell r="Q4980" t="str">
            <v>Rambipuji</v>
          </cell>
          <cell r="R4980" t="str">
            <v>Jember</v>
          </cell>
          <cell r="S4980" t="str">
            <v>L Kota3</v>
          </cell>
          <cell r="T4980" t="str">
            <v>Wira</v>
          </cell>
          <cell r="U4980">
            <v>30</v>
          </cell>
        </row>
        <row r="4981">
          <cell r="E4981" t="str">
            <v>Z25002485</v>
          </cell>
          <cell r="F4981"/>
          <cell r="G4981">
            <v>2500000000</v>
          </cell>
          <cell r="H4981" t="str">
            <v>Yuyun</v>
          </cell>
          <cell r="I4981" t="str">
            <v>Farida</v>
          </cell>
          <cell r="J4981"/>
          <cell r="K4981" t="str">
            <v>Tunai</v>
          </cell>
          <cell r="L4981" t="str">
            <v>MERD01</v>
          </cell>
          <cell r="M4981" t="str">
            <v>Merdeka Tani/Sugiono</v>
          </cell>
          <cell r="N4981" t="str">
            <v>Sugiono</v>
          </cell>
          <cell r="O4981" t="str">
            <v>Dsn. Gumuk Gebang, RT.006/RW.014 Kel. Nogosari, Kec. Rambipuji</v>
          </cell>
          <cell r="P4981" t="str">
            <v>Jember</v>
          </cell>
          <cell r="Q4981" t="str">
            <v>Rambipuji</v>
          </cell>
          <cell r="R4981" t="str">
            <v>Jember</v>
          </cell>
          <cell r="S4981" t="str">
            <v>L Kota3</v>
          </cell>
          <cell r="T4981" t="str">
            <v>Wira</v>
          </cell>
          <cell r="U4981">
            <v>30</v>
          </cell>
        </row>
        <row r="4982">
          <cell r="E4982" t="str">
            <v>Z25002498</v>
          </cell>
          <cell r="F4982"/>
          <cell r="G4982">
            <v>2500000000</v>
          </cell>
          <cell r="H4982" t="str">
            <v>Yuyun</v>
          </cell>
          <cell r="I4982" t="str">
            <v>Farida</v>
          </cell>
          <cell r="J4982"/>
          <cell r="K4982" t="str">
            <v>Tunai</v>
          </cell>
          <cell r="L4982" t="str">
            <v>MERD01</v>
          </cell>
          <cell r="M4982" t="str">
            <v>Merdeka Tani/Sugiono</v>
          </cell>
          <cell r="N4982" t="str">
            <v>Sugiono</v>
          </cell>
          <cell r="O4982" t="str">
            <v>Dsn. Gumuk Gebang, RT.006/RW.014 Kel. Nogosari, Kec. Rambipuji</v>
          </cell>
          <cell r="P4982" t="str">
            <v>Jember</v>
          </cell>
          <cell r="Q4982" t="str">
            <v>Rambipuji</v>
          </cell>
          <cell r="R4982" t="str">
            <v>Jember</v>
          </cell>
          <cell r="S4982" t="str">
            <v>L Kota3</v>
          </cell>
          <cell r="T4982" t="str">
            <v>Wira</v>
          </cell>
          <cell r="U4982">
            <v>0</v>
          </cell>
        </row>
        <row r="4983">
          <cell r="E4983" t="str">
            <v>Z25002506</v>
          </cell>
          <cell r="F4983"/>
          <cell r="G4983">
            <v>2500000000</v>
          </cell>
          <cell r="H4983" t="str">
            <v>Yuyun</v>
          </cell>
          <cell r="I4983" t="str">
            <v>Farida</v>
          </cell>
          <cell r="J4983"/>
          <cell r="K4983" t="str">
            <v>Tunai</v>
          </cell>
          <cell r="L4983" t="str">
            <v>MERD01</v>
          </cell>
          <cell r="M4983" t="str">
            <v>Merdeka Tani/Sugiono</v>
          </cell>
          <cell r="N4983" t="str">
            <v>Sugiono</v>
          </cell>
          <cell r="O4983" t="str">
            <v>Dsn. Gumuk Gebang, RT.006/RW.014 Kel. Nogosari, Kec. Rambipuji</v>
          </cell>
          <cell r="P4983" t="str">
            <v>Jember</v>
          </cell>
          <cell r="Q4983" t="str">
            <v>Rambipuji</v>
          </cell>
          <cell r="R4983" t="str">
            <v>Jember</v>
          </cell>
          <cell r="S4983" t="str">
            <v>L Kota3</v>
          </cell>
          <cell r="T4983" t="str">
            <v>Wira</v>
          </cell>
          <cell r="U4983">
            <v>30</v>
          </cell>
        </row>
        <row r="4984">
          <cell r="E4984" t="str">
            <v>Z25002512</v>
          </cell>
          <cell r="F4984"/>
          <cell r="G4984">
            <v>2500000000</v>
          </cell>
          <cell r="H4984" t="str">
            <v>Yuyun</v>
          </cell>
          <cell r="I4984" t="str">
            <v>Farida</v>
          </cell>
          <cell r="J4984"/>
          <cell r="K4984" t="str">
            <v>Tunai</v>
          </cell>
          <cell r="L4984" t="str">
            <v>MERD01</v>
          </cell>
          <cell r="M4984" t="str">
            <v>Merdeka Tani/Sugiono</v>
          </cell>
          <cell r="N4984" t="str">
            <v>Sugiono</v>
          </cell>
          <cell r="O4984" t="str">
            <v>Dsn. Gumuk Gebang, RT.006/RW.014 Kel. Nogosari, Kec. Rambipuji</v>
          </cell>
          <cell r="P4984" t="str">
            <v>Jember</v>
          </cell>
          <cell r="Q4984" t="str">
            <v>Rambipuji</v>
          </cell>
          <cell r="R4984" t="str">
            <v>Jember</v>
          </cell>
          <cell r="S4984" t="str">
            <v>L Kota3</v>
          </cell>
          <cell r="T4984" t="str">
            <v>Wira</v>
          </cell>
          <cell r="U4984">
            <v>30</v>
          </cell>
        </row>
        <row r="4985">
          <cell r="E4985" t="str">
            <v>Z25002513</v>
          </cell>
          <cell r="F4985"/>
          <cell r="G4985">
            <v>2500000000</v>
          </cell>
          <cell r="H4985" t="str">
            <v>Yuyun</v>
          </cell>
          <cell r="I4985" t="str">
            <v>Farida</v>
          </cell>
          <cell r="J4985"/>
          <cell r="K4985" t="str">
            <v>Tunai</v>
          </cell>
          <cell r="L4985" t="str">
            <v>MERD01</v>
          </cell>
          <cell r="M4985" t="str">
            <v>Merdeka Tani/Sugiono</v>
          </cell>
          <cell r="N4985" t="str">
            <v>Sugiono</v>
          </cell>
          <cell r="O4985" t="str">
            <v>Dsn. Gumuk Gebang, RT.006/RW.014 Kel. Nogosari, Kec. Rambipuji</v>
          </cell>
          <cell r="P4985" t="str">
            <v>Jember</v>
          </cell>
          <cell r="Q4985" t="str">
            <v>Rambipuji</v>
          </cell>
          <cell r="R4985" t="str">
            <v>Jember</v>
          </cell>
          <cell r="S4985" t="str">
            <v>L Kota3</v>
          </cell>
          <cell r="T4985" t="str">
            <v>Wira</v>
          </cell>
          <cell r="U4985">
            <v>30</v>
          </cell>
        </row>
        <row r="4986">
          <cell r="E4986" t="str">
            <v>Z25002522</v>
          </cell>
          <cell r="F4986"/>
          <cell r="G4986">
            <v>2500000000</v>
          </cell>
          <cell r="H4986" t="str">
            <v>Yuyun</v>
          </cell>
          <cell r="I4986" t="str">
            <v>Farida</v>
          </cell>
          <cell r="J4986"/>
          <cell r="K4986" t="str">
            <v>Tunai</v>
          </cell>
          <cell r="L4986" t="str">
            <v>MERD01</v>
          </cell>
          <cell r="M4986" t="str">
            <v>Merdeka Tani/Sugiono</v>
          </cell>
          <cell r="N4986" t="str">
            <v>Sugiono</v>
          </cell>
          <cell r="O4986" t="str">
            <v>Dsn. Gumuk Gebang, RT.006/RW.014 Kel. Nogosari, Kec. Rambipuji</v>
          </cell>
          <cell r="P4986" t="str">
            <v>Jember</v>
          </cell>
          <cell r="Q4986" t="str">
            <v>Rambipuji</v>
          </cell>
          <cell r="R4986" t="str">
            <v>Jember</v>
          </cell>
          <cell r="S4986" t="str">
            <v>L Kota3</v>
          </cell>
          <cell r="T4986" t="str">
            <v>Wira</v>
          </cell>
          <cell r="U4986">
            <v>7</v>
          </cell>
        </row>
        <row r="4987">
          <cell r="E4987" t="str">
            <v>Z25002523</v>
          </cell>
          <cell r="F4987"/>
          <cell r="G4987">
            <v>2500000000</v>
          </cell>
          <cell r="H4987" t="str">
            <v>Yuyun</v>
          </cell>
          <cell r="I4987" t="str">
            <v>Farida</v>
          </cell>
          <cell r="J4987"/>
          <cell r="K4987" t="str">
            <v>Tunai</v>
          </cell>
          <cell r="L4987" t="str">
            <v>MERD01</v>
          </cell>
          <cell r="M4987" t="str">
            <v>Merdeka Tani/Sugiono</v>
          </cell>
          <cell r="N4987" t="str">
            <v>Sugiono</v>
          </cell>
          <cell r="O4987" t="str">
            <v>Dsn. Gumuk Gebang, RT.006/RW.014 Kel. Nogosari, Kec. Rambipuji</v>
          </cell>
          <cell r="P4987" t="str">
            <v>Jember</v>
          </cell>
          <cell r="Q4987" t="str">
            <v>Rambipuji</v>
          </cell>
          <cell r="R4987" t="str">
            <v>Jember</v>
          </cell>
          <cell r="S4987" t="str">
            <v>L Kota3</v>
          </cell>
          <cell r="T4987" t="str">
            <v>Wira</v>
          </cell>
          <cell r="U4987">
            <v>30</v>
          </cell>
        </row>
        <row r="4988">
          <cell r="E4988" t="str">
            <v>Z25002524</v>
          </cell>
          <cell r="F4988"/>
          <cell r="G4988">
            <v>2500000000</v>
          </cell>
          <cell r="H4988" t="str">
            <v>Yuyun</v>
          </cell>
          <cell r="I4988" t="str">
            <v>Farida</v>
          </cell>
          <cell r="J4988"/>
          <cell r="K4988" t="str">
            <v>Tunai</v>
          </cell>
          <cell r="L4988" t="str">
            <v>MERD01</v>
          </cell>
          <cell r="M4988" t="str">
            <v>Merdeka Tani/Sugiono</v>
          </cell>
          <cell r="N4988" t="str">
            <v>Sugiono</v>
          </cell>
          <cell r="O4988" t="str">
            <v>Dsn. Gumuk Gebang, RT.006/RW.014 Kel. Nogosari, Kec. Rambipuji</v>
          </cell>
          <cell r="P4988" t="str">
            <v>Jember</v>
          </cell>
          <cell r="Q4988" t="str">
            <v>Rambipuji</v>
          </cell>
          <cell r="R4988" t="str">
            <v>Jember</v>
          </cell>
          <cell r="S4988" t="str">
            <v>L Kota3</v>
          </cell>
          <cell r="T4988" t="str">
            <v>Wira</v>
          </cell>
          <cell r="U4988">
            <v>7</v>
          </cell>
        </row>
        <row r="4989">
          <cell r="E4989" t="str">
            <v>Z25002525</v>
          </cell>
          <cell r="F4989"/>
          <cell r="G4989">
            <v>2500000000</v>
          </cell>
          <cell r="H4989" t="str">
            <v>Yuyun</v>
          </cell>
          <cell r="I4989" t="str">
            <v>Farida</v>
          </cell>
          <cell r="J4989"/>
          <cell r="K4989" t="str">
            <v>Tunai</v>
          </cell>
          <cell r="L4989" t="str">
            <v>MERD01</v>
          </cell>
          <cell r="M4989" t="str">
            <v>Merdeka Tani/Sugiono</v>
          </cell>
          <cell r="N4989" t="str">
            <v>Sugiono</v>
          </cell>
          <cell r="O4989" t="str">
            <v>Dsn. Gumuk Gebang, RT.006/RW.014 Kel. Nogosari, Kec. Rambipuji</v>
          </cell>
          <cell r="P4989" t="str">
            <v>Jember</v>
          </cell>
          <cell r="Q4989" t="str">
            <v>Rambipuji</v>
          </cell>
          <cell r="R4989" t="str">
            <v>Jember</v>
          </cell>
          <cell r="S4989" t="str">
            <v>L Kota3</v>
          </cell>
          <cell r="T4989" t="str">
            <v>Wira</v>
          </cell>
          <cell r="U4989">
            <v>30</v>
          </cell>
        </row>
        <row r="4990">
          <cell r="E4990" t="str">
            <v>Z25002526</v>
          </cell>
          <cell r="F4990"/>
          <cell r="G4990">
            <v>2500000000</v>
          </cell>
          <cell r="H4990" t="str">
            <v>Yuyun</v>
          </cell>
          <cell r="I4990" t="str">
            <v>Farida</v>
          </cell>
          <cell r="J4990"/>
          <cell r="K4990" t="str">
            <v>Tunai</v>
          </cell>
          <cell r="L4990" t="str">
            <v>MERD01</v>
          </cell>
          <cell r="M4990" t="str">
            <v>Merdeka Tani/Sugiono</v>
          </cell>
          <cell r="N4990" t="str">
            <v>Sugiono</v>
          </cell>
          <cell r="O4990" t="str">
            <v>Dsn. Gumuk Gebang, RT.006/RW.014 Kel. Nogosari, Kec. Rambipuji</v>
          </cell>
          <cell r="P4990" t="str">
            <v>Jember</v>
          </cell>
          <cell r="Q4990" t="str">
            <v>Rambipuji</v>
          </cell>
          <cell r="R4990" t="str">
            <v>Jember</v>
          </cell>
          <cell r="S4990" t="str">
            <v>L Kota3</v>
          </cell>
          <cell r="T4990" t="str">
            <v>Wira</v>
          </cell>
          <cell r="U4990">
            <v>30</v>
          </cell>
        </row>
        <row r="4991">
          <cell r="E4991" t="str">
            <v>Z25002534</v>
          </cell>
          <cell r="F4991"/>
          <cell r="G4991">
            <v>2500000000</v>
          </cell>
          <cell r="H4991" t="str">
            <v>Yuyun</v>
          </cell>
          <cell r="I4991" t="str">
            <v>Farida</v>
          </cell>
          <cell r="J4991"/>
          <cell r="K4991" t="str">
            <v>Tunai</v>
          </cell>
          <cell r="L4991" t="str">
            <v>MERD01</v>
          </cell>
          <cell r="M4991" t="str">
            <v>Merdeka Tani/Sugiono</v>
          </cell>
          <cell r="N4991" t="str">
            <v>Sugiono</v>
          </cell>
          <cell r="O4991" t="str">
            <v>Dsn. Gumuk Gebang, RT.006/RW.014 Kel. Nogosari, Kec. Rambipuji</v>
          </cell>
          <cell r="P4991" t="str">
            <v>Jember</v>
          </cell>
          <cell r="Q4991" t="str">
            <v>Rambipuji</v>
          </cell>
          <cell r="R4991" t="str">
            <v>Jember</v>
          </cell>
          <cell r="S4991" t="str">
            <v>L Kota3</v>
          </cell>
          <cell r="T4991" t="str">
            <v>Wira</v>
          </cell>
          <cell r="U4991">
            <v>30</v>
          </cell>
        </row>
        <row r="4992">
          <cell r="E4992" t="str">
            <v>Z25002535</v>
          </cell>
          <cell r="F4992"/>
          <cell r="G4992">
            <v>2500000000</v>
          </cell>
          <cell r="H4992" t="str">
            <v>Yuyun</v>
          </cell>
          <cell r="I4992" t="str">
            <v>Farida</v>
          </cell>
          <cell r="J4992"/>
          <cell r="K4992" t="str">
            <v>Tunai</v>
          </cell>
          <cell r="L4992" t="str">
            <v>MERD01</v>
          </cell>
          <cell r="M4992" t="str">
            <v>Merdeka Tani/Sugiono</v>
          </cell>
          <cell r="N4992" t="str">
            <v>Sugiono</v>
          </cell>
          <cell r="O4992" t="str">
            <v>Dsn. Gumuk Gebang, RT.006/RW.014 Kel. Nogosari, Kec. Rambipuji</v>
          </cell>
          <cell r="P4992" t="str">
            <v>Jember</v>
          </cell>
          <cell r="Q4992" t="str">
            <v>Rambipuji</v>
          </cell>
          <cell r="R4992" t="str">
            <v>Jember</v>
          </cell>
          <cell r="S4992" t="str">
            <v>L Kota3</v>
          </cell>
          <cell r="T4992" t="str">
            <v>Wira</v>
          </cell>
          <cell r="U4992">
            <v>30</v>
          </cell>
        </row>
        <row r="4993">
          <cell r="E4993" t="str">
            <v>Z25002543</v>
          </cell>
          <cell r="F4993"/>
          <cell r="G4993">
            <v>2500000000</v>
          </cell>
          <cell r="H4993" t="str">
            <v>Yuyun</v>
          </cell>
          <cell r="I4993" t="str">
            <v>Farida</v>
          </cell>
          <cell r="J4993"/>
          <cell r="K4993" t="str">
            <v>Tunai</v>
          </cell>
          <cell r="L4993" t="str">
            <v>MERD01</v>
          </cell>
          <cell r="M4993" t="str">
            <v>Merdeka Tani/Sugiono</v>
          </cell>
          <cell r="N4993" t="str">
            <v>Sugiono</v>
          </cell>
          <cell r="O4993" t="str">
            <v>Dsn. Gumuk Gebang, RT.006/RW.014 Kel. Nogosari, Kec. Rambipuji</v>
          </cell>
          <cell r="P4993" t="str">
            <v>Jember</v>
          </cell>
          <cell r="Q4993" t="str">
            <v>Rambipuji</v>
          </cell>
          <cell r="R4993" t="str">
            <v>Jember</v>
          </cell>
          <cell r="S4993" t="str">
            <v>L Kota3</v>
          </cell>
          <cell r="T4993" t="str">
            <v>Wira</v>
          </cell>
          <cell r="U4993">
            <v>30</v>
          </cell>
        </row>
        <row r="4994">
          <cell r="E4994" t="str">
            <v>Z25002547</v>
          </cell>
          <cell r="F4994"/>
          <cell r="G4994">
            <v>2500000000</v>
          </cell>
          <cell r="H4994" t="str">
            <v>Yuyun</v>
          </cell>
          <cell r="I4994" t="str">
            <v>Farida</v>
          </cell>
          <cell r="J4994"/>
          <cell r="K4994" t="str">
            <v>Tunai</v>
          </cell>
          <cell r="L4994" t="str">
            <v>MERD01</v>
          </cell>
          <cell r="M4994" t="str">
            <v>Merdeka Tani/Sugiono</v>
          </cell>
          <cell r="N4994" t="str">
            <v>Sugiono</v>
          </cell>
          <cell r="O4994" t="str">
            <v>Dsn. Gumuk Gebang, RT.006/RW.014 Kel. Nogosari, Kec. Rambipuji</v>
          </cell>
          <cell r="P4994" t="str">
            <v>Jember</v>
          </cell>
          <cell r="Q4994" t="str">
            <v>Rambipuji</v>
          </cell>
          <cell r="R4994" t="str">
            <v>Jember</v>
          </cell>
          <cell r="S4994" t="str">
            <v>L Kota3</v>
          </cell>
          <cell r="T4994" t="str">
            <v>Wira</v>
          </cell>
          <cell r="U4994">
            <v>0</v>
          </cell>
        </row>
        <row r="4995">
          <cell r="E4995" t="str">
            <v>Z25002550</v>
          </cell>
          <cell r="F4995"/>
          <cell r="G4995">
            <v>2500000000</v>
          </cell>
          <cell r="H4995" t="str">
            <v>Yuyun</v>
          </cell>
          <cell r="I4995" t="str">
            <v>Farida</v>
          </cell>
          <cell r="J4995"/>
          <cell r="K4995" t="str">
            <v>Tunai</v>
          </cell>
          <cell r="L4995" t="str">
            <v>MERD01</v>
          </cell>
          <cell r="M4995" t="str">
            <v>Merdeka Tani/Sugiono</v>
          </cell>
          <cell r="N4995" t="str">
            <v>Sugiono</v>
          </cell>
          <cell r="O4995" t="str">
            <v>Dsn. Gumuk Gebang, RT.006/RW.014 Kel. Nogosari, Kec. Rambipuji</v>
          </cell>
          <cell r="P4995" t="str">
            <v>Jember</v>
          </cell>
          <cell r="Q4995" t="str">
            <v>Rambipuji</v>
          </cell>
          <cell r="R4995" t="str">
            <v>Jember</v>
          </cell>
          <cell r="S4995" t="str">
            <v>L Kota3</v>
          </cell>
          <cell r="T4995" t="str">
            <v>Wira</v>
          </cell>
          <cell r="U4995">
            <v>0</v>
          </cell>
        </row>
        <row r="4996">
          <cell r="E4996" t="str">
            <v>Z25002553</v>
          </cell>
          <cell r="F4996"/>
          <cell r="G4996">
            <v>2500000000</v>
          </cell>
          <cell r="H4996" t="str">
            <v>Yuyun</v>
          </cell>
          <cell r="I4996" t="str">
            <v>Farida</v>
          </cell>
          <cell r="J4996"/>
          <cell r="K4996" t="str">
            <v>Tunai</v>
          </cell>
          <cell r="L4996" t="str">
            <v>MERD01</v>
          </cell>
          <cell r="M4996" t="str">
            <v>Merdeka Tani/Sugiono</v>
          </cell>
          <cell r="N4996" t="str">
            <v>Sugiono</v>
          </cell>
          <cell r="O4996" t="str">
            <v>Dsn. Gumuk Gebang, RT.006/RW.014 Kel. Nogosari, Kec. Rambipuji</v>
          </cell>
          <cell r="P4996" t="str">
            <v>Jember</v>
          </cell>
          <cell r="Q4996" t="str">
            <v>Rambipuji</v>
          </cell>
          <cell r="R4996" t="str">
            <v>Jember</v>
          </cell>
          <cell r="S4996" t="str">
            <v>L Kota3</v>
          </cell>
          <cell r="T4996" t="str">
            <v>Wira</v>
          </cell>
          <cell r="U4996">
            <v>30</v>
          </cell>
        </row>
        <row r="4997">
          <cell r="E4997" t="str">
            <v>Z25002554</v>
          </cell>
          <cell r="F4997"/>
          <cell r="G4997">
            <v>2500000000</v>
          </cell>
          <cell r="H4997" t="str">
            <v>Yuyun</v>
          </cell>
          <cell r="I4997" t="str">
            <v>Farida</v>
          </cell>
          <cell r="J4997"/>
          <cell r="K4997" t="str">
            <v>Tunai</v>
          </cell>
          <cell r="L4997" t="str">
            <v>MERD01</v>
          </cell>
          <cell r="M4997" t="str">
            <v>Merdeka Tani/Sugiono</v>
          </cell>
          <cell r="N4997" t="str">
            <v>Sugiono</v>
          </cell>
          <cell r="O4997" t="str">
            <v>Dsn. Gumuk Gebang, RT.006/RW.014 Kel. Nogosari, Kec. Rambipuji</v>
          </cell>
          <cell r="P4997" t="str">
            <v>Jember</v>
          </cell>
          <cell r="Q4997" t="str">
            <v>Rambipuji</v>
          </cell>
          <cell r="R4997" t="str">
            <v>Jember</v>
          </cell>
          <cell r="S4997" t="str">
            <v>L Kota3</v>
          </cell>
          <cell r="T4997" t="str">
            <v>Wira</v>
          </cell>
          <cell r="U4997">
            <v>7</v>
          </cell>
        </row>
        <row r="4998">
          <cell r="E4998" t="str">
            <v>Z25002565</v>
          </cell>
          <cell r="F4998"/>
          <cell r="G4998">
            <v>2500000000</v>
          </cell>
          <cell r="H4998" t="str">
            <v>Yuyun</v>
          </cell>
          <cell r="I4998" t="str">
            <v>Farida</v>
          </cell>
          <cell r="J4998"/>
          <cell r="K4998" t="str">
            <v>Tunai</v>
          </cell>
          <cell r="L4998" t="str">
            <v>MERD01</v>
          </cell>
          <cell r="M4998" t="str">
            <v>Merdeka Tani/Sugiono</v>
          </cell>
          <cell r="N4998" t="str">
            <v>Sugiono</v>
          </cell>
          <cell r="O4998" t="str">
            <v>Dsn. Gumuk Gebang, RT.006/RW.014 Kel. Nogosari, Kec. Rambipuji</v>
          </cell>
          <cell r="P4998" t="str">
            <v>Jember</v>
          </cell>
          <cell r="Q4998" t="str">
            <v>Rambipuji</v>
          </cell>
          <cell r="R4998" t="str">
            <v>Jember</v>
          </cell>
          <cell r="S4998" t="str">
            <v>L Kota3</v>
          </cell>
          <cell r="T4998" t="str">
            <v>Wira</v>
          </cell>
          <cell r="U4998">
            <v>30</v>
          </cell>
        </row>
        <row r="4999">
          <cell r="E4999" t="str">
            <v>Z25002568</v>
          </cell>
          <cell r="F4999"/>
          <cell r="G4999">
            <v>2500000000</v>
          </cell>
          <cell r="H4999" t="str">
            <v>Yuyun</v>
          </cell>
          <cell r="I4999" t="str">
            <v>Farida</v>
          </cell>
          <cell r="J4999"/>
          <cell r="K4999" t="str">
            <v>Tunai</v>
          </cell>
          <cell r="L4999" t="str">
            <v>MERD01</v>
          </cell>
          <cell r="M4999" t="str">
            <v>Merdeka Tani/Sugiono</v>
          </cell>
          <cell r="N4999" t="str">
            <v>Sugiono</v>
          </cell>
          <cell r="O4999" t="str">
            <v>Dsn. Gumuk Gebang, RT.006/RW.014 Kel. Nogosari, Kec. Rambipuji</v>
          </cell>
          <cell r="P4999" t="str">
            <v>Jember</v>
          </cell>
          <cell r="Q4999" t="str">
            <v>Rambipuji</v>
          </cell>
          <cell r="R4999" t="str">
            <v>Jember</v>
          </cell>
          <cell r="S4999" t="str">
            <v>L Kota3</v>
          </cell>
          <cell r="T4999" t="str">
            <v>Wira</v>
          </cell>
          <cell r="U4999">
            <v>30</v>
          </cell>
        </row>
        <row r="5000">
          <cell r="E5000" t="str">
            <v>Z250035</v>
          </cell>
          <cell r="F5000"/>
          <cell r="G5000">
            <v>2500000000</v>
          </cell>
          <cell r="H5000" t="str">
            <v>Yuyun</v>
          </cell>
          <cell r="I5000" t="str">
            <v>Farida</v>
          </cell>
          <cell r="J5000"/>
          <cell r="K5000" t="str">
            <v>Tunai</v>
          </cell>
          <cell r="L5000" t="str">
            <v>MERD01</v>
          </cell>
          <cell r="M5000" t="str">
            <v>Merdeka Tani/Sugiono</v>
          </cell>
          <cell r="N5000" t="str">
            <v>Sugiono</v>
          </cell>
          <cell r="O5000" t="str">
            <v>Dsn. Gumuk Gebang, RT.006/RW.014 Kel. Nogosari, Kec. Rambipuji</v>
          </cell>
          <cell r="P5000" t="str">
            <v>Jember</v>
          </cell>
          <cell r="Q5000" t="str">
            <v>Rambipuji</v>
          </cell>
          <cell r="R5000" t="str">
            <v>Jember</v>
          </cell>
          <cell r="S5000" t="str">
            <v>L Kota3</v>
          </cell>
          <cell r="T5000" t="str">
            <v>Wira</v>
          </cell>
          <cell r="U5000">
            <v>0</v>
          </cell>
        </row>
        <row r="5001">
          <cell r="E5001" t="str">
            <v>Z25002584</v>
          </cell>
          <cell r="F5001"/>
          <cell r="G5001">
            <v>2500000000</v>
          </cell>
          <cell r="H5001" t="str">
            <v>Yuyun</v>
          </cell>
          <cell r="I5001" t="str">
            <v>Farida</v>
          </cell>
          <cell r="J5001"/>
          <cell r="K5001" t="str">
            <v>Tunai</v>
          </cell>
          <cell r="L5001" t="str">
            <v>MERD01</v>
          </cell>
          <cell r="M5001" t="str">
            <v>Merdeka Tani/Sugiono</v>
          </cell>
          <cell r="N5001" t="str">
            <v>Sugiono</v>
          </cell>
          <cell r="O5001" t="str">
            <v>Dsn. Gumuk Gebang, RT.006/RW.014 Kel. Nogosari, Kec. Rambipuji</v>
          </cell>
          <cell r="P5001" t="str">
            <v>Jember</v>
          </cell>
          <cell r="Q5001" t="str">
            <v>Rambipuji</v>
          </cell>
          <cell r="R5001" t="str">
            <v>Jember</v>
          </cell>
          <cell r="S5001" t="str">
            <v>L Kota3</v>
          </cell>
          <cell r="T5001" t="str">
            <v>Wira</v>
          </cell>
          <cell r="U5001">
            <v>30</v>
          </cell>
        </row>
        <row r="5002">
          <cell r="E5002" t="str">
            <v>Z25002588</v>
          </cell>
          <cell r="F5002"/>
          <cell r="G5002">
            <v>2500000000</v>
          </cell>
          <cell r="H5002" t="str">
            <v>Yuyun</v>
          </cell>
          <cell r="I5002" t="str">
            <v>Farida</v>
          </cell>
          <cell r="J5002"/>
          <cell r="K5002" t="str">
            <v>Tunai</v>
          </cell>
          <cell r="L5002" t="str">
            <v>MERD01</v>
          </cell>
          <cell r="M5002" t="str">
            <v>Merdeka Tani/Sugiono</v>
          </cell>
          <cell r="N5002" t="str">
            <v>Sugiono</v>
          </cell>
          <cell r="O5002" t="str">
            <v>Dsn. Gumuk Gebang, RT.006/RW.014 Kel. Nogosari, Kec. Rambipuji</v>
          </cell>
          <cell r="P5002" t="str">
            <v>Jember</v>
          </cell>
          <cell r="Q5002" t="str">
            <v>Rambipuji</v>
          </cell>
          <cell r="R5002" t="str">
            <v>Jember</v>
          </cell>
          <cell r="S5002" t="str">
            <v>L Kota3</v>
          </cell>
          <cell r="T5002" t="str">
            <v>Wira</v>
          </cell>
          <cell r="U5002">
            <v>7</v>
          </cell>
        </row>
        <row r="5003">
          <cell r="E5003" t="str">
            <v>Z25002605</v>
          </cell>
          <cell r="F5003"/>
          <cell r="G5003">
            <v>2500000000</v>
          </cell>
          <cell r="H5003" t="str">
            <v>Yuyun</v>
          </cell>
          <cell r="I5003" t="str">
            <v>Farida</v>
          </cell>
          <cell r="J5003"/>
          <cell r="K5003" t="str">
            <v>Tunai</v>
          </cell>
          <cell r="L5003" t="str">
            <v>MERD01</v>
          </cell>
          <cell r="M5003" t="str">
            <v>Merdeka Tani/Sugiono</v>
          </cell>
          <cell r="N5003" t="str">
            <v>Sugiono</v>
          </cell>
          <cell r="O5003" t="str">
            <v>Dsn. Gumuk Gebang, RT.006/RW.014 Kel. Nogosari, Kec. Rambipuji</v>
          </cell>
          <cell r="P5003" t="str">
            <v>Jember</v>
          </cell>
          <cell r="Q5003" t="str">
            <v>Rambipuji</v>
          </cell>
          <cell r="R5003" t="str">
            <v>Jember</v>
          </cell>
          <cell r="S5003" t="str">
            <v>L Kota3</v>
          </cell>
          <cell r="T5003" t="str">
            <v>Wira</v>
          </cell>
          <cell r="U5003">
            <v>30</v>
          </cell>
        </row>
        <row r="5004">
          <cell r="E5004" t="str">
            <v>Z25002606</v>
          </cell>
          <cell r="F5004"/>
          <cell r="G5004">
            <v>2500000000</v>
          </cell>
          <cell r="H5004" t="str">
            <v>Yuyun</v>
          </cell>
          <cell r="I5004" t="str">
            <v>Farida</v>
          </cell>
          <cell r="J5004"/>
          <cell r="K5004" t="str">
            <v>Tunai</v>
          </cell>
          <cell r="L5004" t="str">
            <v>MERD01</v>
          </cell>
          <cell r="M5004" t="str">
            <v>Merdeka Tani/Sugiono</v>
          </cell>
          <cell r="N5004" t="str">
            <v>Sugiono</v>
          </cell>
          <cell r="O5004" t="str">
            <v>Dsn. Gumuk Gebang, RT.006/RW.014 Kel. Nogosari, Kec. Rambipuji</v>
          </cell>
          <cell r="P5004" t="str">
            <v>Jember</v>
          </cell>
          <cell r="Q5004" t="str">
            <v>Rambipuji</v>
          </cell>
          <cell r="R5004" t="str">
            <v>Jember</v>
          </cell>
          <cell r="S5004" t="str">
            <v>L Kota3</v>
          </cell>
          <cell r="T5004" t="str">
            <v>Wira</v>
          </cell>
          <cell r="U5004">
            <v>30</v>
          </cell>
        </row>
        <row r="5005">
          <cell r="E5005" t="str">
            <v>Z25002607</v>
          </cell>
          <cell r="F5005"/>
          <cell r="G5005">
            <v>2500000000</v>
          </cell>
          <cell r="H5005" t="str">
            <v>Yuyun</v>
          </cell>
          <cell r="I5005" t="str">
            <v>Farida</v>
          </cell>
          <cell r="J5005"/>
          <cell r="K5005" t="str">
            <v>Tunai</v>
          </cell>
          <cell r="L5005" t="str">
            <v>MERD01</v>
          </cell>
          <cell r="M5005" t="str">
            <v>Merdeka Tani/Sugiono</v>
          </cell>
          <cell r="N5005" t="str">
            <v>Sugiono</v>
          </cell>
          <cell r="O5005" t="str">
            <v>Dsn. Gumuk Gebang, RT.006/RW.014 Kel. Nogosari, Kec. Rambipuji</v>
          </cell>
          <cell r="P5005" t="str">
            <v>Jember</v>
          </cell>
          <cell r="Q5005" t="str">
            <v>Rambipuji</v>
          </cell>
          <cell r="R5005" t="str">
            <v>Jember</v>
          </cell>
          <cell r="S5005" t="str">
            <v>L Kota3</v>
          </cell>
          <cell r="T5005" t="str">
            <v>Wira</v>
          </cell>
          <cell r="U5005">
            <v>30</v>
          </cell>
        </row>
        <row r="5006">
          <cell r="E5006" t="str">
            <v>Z25002612</v>
          </cell>
          <cell r="F5006"/>
          <cell r="G5006">
            <v>2500000000</v>
          </cell>
          <cell r="H5006" t="str">
            <v>Yuyun</v>
          </cell>
          <cell r="I5006" t="str">
            <v>Farida</v>
          </cell>
          <cell r="J5006"/>
          <cell r="K5006" t="str">
            <v>Tunai</v>
          </cell>
          <cell r="L5006" t="str">
            <v>MERD01</v>
          </cell>
          <cell r="M5006" t="str">
            <v>Merdeka Tani/Sugiono</v>
          </cell>
          <cell r="N5006" t="str">
            <v>Sugiono</v>
          </cell>
          <cell r="O5006" t="str">
            <v>Dsn. Gumuk Gebang, RT.006/RW.014 Kel. Nogosari, Kec. Rambipuji</v>
          </cell>
          <cell r="P5006" t="str">
            <v>Jember</v>
          </cell>
          <cell r="Q5006" t="str">
            <v>Rambipuji</v>
          </cell>
          <cell r="R5006" t="str">
            <v>Jember</v>
          </cell>
          <cell r="S5006" t="str">
            <v>L Kota3</v>
          </cell>
          <cell r="T5006" t="str">
            <v>Wira</v>
          </cell>
          <cell r="U5006">
            <v>30</v>
          </cell>
        </row>
        <row r="5007">
          <cell r="E5007" t="str">
            <v>Z25002615</v>
          </cell>
          <cell r="F5007"/>
          <cell r="G5007">
            <v>2500000000</v>
          </cell>
          <cell r="H5007" t="str">
            <v>Yuyun</v>
          </cell>
          <cell r="I5007" t="str">
            <v>Farida</v>
          </cell>
          <cell r="J5007"/>
          <cell r="K5007" t="str">
            <v>Tunai</v>
          </cell>
          <cell r="L5007" t="str">
            <v>MERD01</v>
          </cell>
          <cell r="M5007" t="str">
            <v>Merdeka Tani/Sugiono</v>
          </cell>
          <cell r="N5007" t="str">
            <v>Sugiono</v>
          </cell>
          <cell r="O5007" t="str">
            <v>Dsn. Gumuk Gebang, RT.006/RW.014 Kel. Nogosari, Kec. Rambipuji</v>
          </cell>
          <cell r="P5007" t="str">
            <v>Jember</v>
          </cell>
          <cell r="Q5007" t="str">
            <v>Rambipuji</v>
          </cell>
          <cell r="R5007" t="str">
            <v>Jember</v>
          </cell>
          <cell r="S5007" t="str">
            <v>L Kota3</v>
          </cell>
          <cell r="T5007" t="str">
            <v>Wira</v>
          </cell>
          <cell r="U5007">
            <v>30</v>
          </cell>
        </row>
        <row r="5008">
          <cell r="E5008" t="str">
            <v>Z25002616</v>
          </cell>
          <cell r="F5008"/>
          <cell r="G5008">
            <v>2500000000</v>
          </cell>
          <cell r="H5008" t="str">
            <v>Yuyun</v>
          </cell>
          <cell r="I5008" t="str">
            <v>Farida</v>
          </cell>
          <cell r="J5008"/>
          <cell r="K5008" t="str">
            <v>Tunai</v>
          </cell>
          <cell r="L5008" t="str">
            <v>MERD01</v>
          </cell>
          <cell r="M5008" t="str">
            <v>Merdeka Tani/Sugiono</v>
          </cell>
          <cell r="N5008" t="str">
            <v>Sugiono</v>
          </cell>
          <cell r="O5008" t="str">
            <v>Dsn. Gumuk Gebang, RT.006/RW.014 Kel. Nogosari, Kec. Rambipuji</v>
          </cell>
          <cell r="P5008" t="str">
            <v>Jember</v>
          </cell>
          <cell r="Q5008" t="str">
            <v>Rambipuji</v>
          </cell>
          <cell r="R5008" t="str">
            <v>Jember</v>
          </cell>
          <cell r="S5008" t="str">
            <v>L Kota3</v>
          </cell>
          <cell r="T5008" t="str">
            <v>Wira</v>
          </cell>
          <cell r="U5008">
            <v>30</v>
          </cell>
        </row>
        <row r="5009">
          <cell r="E5009" t="str">
            <v>Z25002617</v>
          </cell>
          <cell r="F5009"/>
          <cell r="G5009">
            <v>2500000000</v>
          </cell>
          <cell r="H5009" t="str">
            <v>Yuyun</v>
          </cell>
          <cell r="I5009" t="str">
            <v>Farida</v>
          </cell>
          <cell r="J5009"/>
          <cell r="K5009" t="str">
            <v>Tunai</v>
          </cell>
          <cell r="L5009" t="str">
            <v>MERD01</v>
          </cell>
          <cell r="M5009" t="str">
            <v>Merdeka Tani/Sugiono</v>
          </cell>
          <cell r="N5009" t="str">
            <v>Sugiono</v>
          </cell>
          <cell r="O5009" t="str">
            <v>Dsn. Gumuk Gebang, RT.006/RW.014 Kel. Nogosari, Kec. Rambipuji</v>
          </cell>
          <cell r="P5009" t="str">
            <v>Jember</v>
          </cell>
          <cell r="Q5009" t="str">
            <v>Rambipuji</v>
          </cell>
          <cell r="R5009" t="str">
            <v>Jember</v>
          </cell>
          <cell r="S5009" t="str">
            <v>L Kota3</v>
          </cell>
          <cell r="T5009" t="str">
            <v>Wira</v>
          </cell>
          <cell r="U5009">
            <v>30</v>
          </cell>
        </row>
        <row r="5010">
          <cell r="E5010" t="str">
            <v>Z25002624</v>
          </cell>
          <cell r="F5010"/>
          <cell r="G5010">
            <v>2500000000</v>
          </cell>
          <cell r="H5010" t="str">
            <v>Yuyun</v>
          </cell>
          <cell r="I5010" t="str">
            <v>Farida</v>
          </cell>
          <cell r="J5010"/>
          <cell r="K5010" t="str">
            <v>Tunai</v>
          </cell>
          <cell r="L5010" t="str">
            <v>MERD01</v>
          </cell>
          <cell r="M5010" t="str">
            <v>Merdeka Tani/Sugiono</v>
          </cell>
          <cell r="N5010" t="str">
            <v>Sugiono</v>
          </cell>
          <cell r="O5010" t="str">
            <v>Dsn. Gumuk Gebang, RT.006/RW.014 Kel. Nogosari, Kec. Rambipuji</v>
          </cell>
          <cell r="P5010" t="str">
            <v>Jember</v>
          </cell>
          <cell r="Q5010" t="str">
            <v>Rambipuji</v>
          </cell>
          <cell r="R5010" t="str">
            <v>Jember</v>
          </cell>
          <cell r="S5010" t="str">
            <v>L Kota3</v>
          </cell>
          <cell r="T5010" t="str">
            <v>Wira</v>
          </cell>
          <cell r="U5010">
            <v>0</v>
          </cell>
        </row>
        <row r="5011">
          <cell r="E5011" t="str">
            <v>Z25002625</v>
          </cell>
          <cell r="F5011"/>
          <cell r="G5011">
            <v>2500000000</v>
          </cell>
          <cell r="H5011" t="str">
            <v>Yuyun</v>
          </cell>
          <cell r="I5011" t="str">
            <v>Farida</v>
          </cell>
          <cell r="J5011"/>
          <cell r="K5011" t="str">
            <v>Tunai</v>
          </cell>
          <cell r="L5011" t="str">
            <v>MERD01</v>
          </cell>
          <cell r="M5011" t="str">
            <v>Merdeka Tani/Sugiono</v>
          </cell>
          <cell r="N5011" t="str">
            <v>Sugiono</v>
          </cell>
          <cell r="O5011" t="str">
            <v>Dsn. Gumuk Gebang, RT.006/RW.014 Kel. Nogosari, Kec. Rambipuji</v>
          </cell>
          <cell r="P5011" t="str">
            <v>Jember</v>
          </cell>
          <cell r="Q5011" t="str">
            <v>Rambipuji</v>
          </cell>
          <cell r="R5011" t="str">
            <v>Jember</v>
          </cell>
          <cell r="S5011" t="str">
            <v>L Kota3</v>
          </cell>
          <cell r="T5011" t="str">
            <v>Wira</v>
          </cell>
          <cell r="U5011">
            <v>30</v>
          </cell>
        </row>
        <row r="5012">
          <cell r="E5012" t="str">
            <v>Z25002628</v>
          </cell>
          <cell r="F5012"/>
          <cell r="G5012">
            <v>2500000000</v>
          </cell>
          <cell r="H5012" t="str">
            <v>Yuyun</v>
          </cell>
          <cell r="I5012" t="str">
            <v>Farida</v>
          </cell>
          <cell r="J5012"/>
          <cell r="K5012" t="str">
            <v>Tunai</v>
          </cell>
          <cell r="L5012" t="str">
            <v>MERD01</v>
          </cell>
          <cell r="M5012" t="str">
            <v>Merdeka Tani/Sugiono</v>
          </cell>
          <cell r="N5012" t="str">
            <v>Sugiono</v>
          </cell>
          <cell r="O5012" t="str">
            <v>Dsn. Gumuk Gebang, RT.006/RW.014 Kel. Nogosari, Kec. Rambipuji</v>
          </cell>
          <cell r="P5012" t="str">
            <v>Jember</v>
          </cell>
          <cell r="Q5012" t="str">
            <v>Rambipuji</v>
          </cell>
          <cell r="R5012" t="str">
            <v>Jember</v>
          </cell>
          <cell r="S5012" t="str">
            <v>L Kota3</v>
          </cell>
          <cell r="T5012" t="str">
            <v>Wira</v>
          </cell>
          <cell r="U5012">
            <v>30</v>
          </cell>
        </row>
        <row r="5013">
          <cell r="E5013" t="str">
            <v>Z25002632</v>
          </cell>
          <cell r="F5013"/>
          <cell r="G5013">
            <v>2500000000</v>
          </cell>
          <cell r="H5013" t="str">
            <v>Yuyun</v>
          </cell>
          <cell r="I5013" t="str">
            <v>Farida</v>
          </cell>
          <cell r="J5013"/>
          <cell r="K5013" t="str">
            <v>Tunai</v>
          </cell>
          <cell r="L5013" t="str">
            <v>MERD01</v>
          </cell>
          <cell r="M5013" t="str">
            <v>Merdeka Tani/Sugiono</v>
          </cell>
          <cell r="N5013" t="str">
            <v>Sugiono</v>
          </cell>
          <cell r="O5013" t="str">
            <v>Dsn. Gumuk Gebang, RT.006/RW.014 Kel. Nogosari, Kec. Rambipuji</v>
          </cell>
          <cell r="P5013" t="str">
            <v>Jember</v>
          </cell>
          <cell r="Q5013" t="str">
            <v>Rambipuji</v>
          </cell>
          <cell r="R5013" t="str">
            <v>Jember</v>
          </cell>
          <cell r="S5013" t="str">
            <v>L Kota3</v>
          </cell>
          <cell r="T5013" t="str">
            <v>Wira</v>
          </cell>
          <cell r="U5013">
            <v>7</v>
          </cell>
        </row>
        <row r="5014">
          <cell r="E5014" t="str">
            <v>Z25002636</v>
          </cell>
          <cell r="F5014"/>
          <cell r="G5014">
            <v>2500000000</v>
          </cell>
          <cell r="H5014" t="str">
            <v>Yuyun</v>
          </cell>
          <cell r="I5014" t="str">
            <v>Farida</v>
          </cell>
          <cell r="J5014"/>
          <cell r="K5014" t="str">
            <v>Tunai</v>
          </cell>
          <cell r="L5014" t="str">
            <v>MERD01</v>
          </cell>
          <cell r="M5014" t="str">
            <v>Merdeka Tani/Sugiono</v>
          </cell>
          <cell r="N5014" t="str">
            <v>Sugiono</v>
          </cell>
          <cell r="O5014" t="str">
            <v>Dsn. Gumuk Gebang, RT.006/RW.014 Kel. Nogosari, Kec. Rambipuji</v>
          </cell>
          <cell r="P5014" t="str">
            <v>Jember</v>
          </cell>
          <cell r="Q5014" t="str">
            <v>Rambipuji</v>
          </cell>
          <cell r="R5014" t="str">
            <v>Jember</v>
          </cell>
          <cell r="S5014" t="str">
            <v>L Kota3</v>
          </cell>
          <cell r="T5014" t="str">
            <v>Wira</v>
          </cell>
          <cell r="U5014">
            <v>30</v>
          </cell>
        </row>
        <row r="5015">
          <cell r="E5015" t="str">
            <v>Z250037</v>
          </cell>
          <cell r="F5015"/>
          <cell r="G5015">
            <v>2500000000</v>
          </cell>
          <cell r="H5015" t="str">
            <v>Yuyun</v>
          </cell>
          <cell r="I5015" t="str">
            <v>Farida</v>
          </cell>
          <cell r="J5015"/>
          <cell r="K5015" t="str">
            <v>Tunai</v>
          </cell>
          <cell r="L5015" t="str">
            <v>MERD01</v>
          </cell>
          <cell r="M5015" t="str">
            <v>Merdeka Tani/Sugiono</v>
          </cell>
          <cell r="N5015" t="str">
            <v>Sugiono</v>
          </cell>
          <cell r="O5015" t="str">
            <v>Dsn. Gumuk Gebang, RT.006/RW.014 Kel. Nogosari, Kec. Rambipuji</v>
          </cell>
          <cell r="P5015" t="str">
            <v>Jember</v>
          </cell>
          <cell r="Q5015" t="str">
            <v>Rambipuji</v>
          </cell>
          <cell r="R5015" t="str">
            <v>Jember</v>
          </cell>
          <cell r="S5015" t="str">
            <v>L Kota3</v>
          </cell>
          <cell r="T5015" t="str">
            <v>Wira</v>
          </cell>
          <cell r="U5015">
            <v>0</v>
          </cell>
        </row>
        <row r="5016">
          <cell r="E5016" t="str">
            <v>Z25002667</v>
          </cell>
          <cell r="F5016"/>
          <cell r="G5016">
            <v>2500000000</v>
          </cell>
          <cell r="H5016" t="str">
            <v>Yuyun</v>
          </cell>
          <cell r="I5016" t="str">
            <v>Farida</v>
          </cell>
          <cell r="J5016"/>
          <cell r="K5016" t="str">
            <v>Tunai</v>
          </cell>
          <cell r="L5016" t="str">
            <v>MERD01</v>
          </cell>
          <cell r="M5016" t="str">
            <v>Merdeka Tani/Sugiono</v>
          </cell>
          <cell r="N5016" t="str">
            <v>Sugiono</v>
          </cell>
          <cell r="O5016" t="str">
            <v>Dsn. Gumuk Gebang, RT.006/RW.014 Kel. Nogosari, Kec. Rambipuji</v>
          </cell>
          <cell r="P5016" t="str">
            <v>Jember</v>
          </cell>
          <cell r="Q5016" t="str">
            <v>Rambipuji</v>
          </cell>
          <cell r="R5016" t="str">
            <v>Jember</v>
          </cell>
          <cell r="S5016" t="str">
            <v>L Kota3</v>
          </cell>
          <cell r="T5016" t="str">
            <v>Wira</v>
          </cell>
          <cell r="U5016">
            <v>30</v>
          </cell>
        </row>
        <row r="5017">
          <cell r="E5017" t="str">
            <v>Z25002674</v>
          </cell>
          <cell r="F5017"/>
          <cell r="G5017">
            <v>2500000000</v>
          </cell>
          <cell r="H5017" t="str">
            <v>Yuyun</v>
          </cell>
          <cell r="I5017" t="str">
            <v>Farida</v>
          </cell>
          <cell r="J5017"/>
          <cell r="K5017" t="str">
            <v>Tunai</v>
          </cell>
          <cell r="L5017" t="str">
            <v>MERD01</v>
          </cell>
          <cell r="M5017" t="str">
            <v>Merdeka Tani/Sugiono</v>
          </cell>
          <cell r="N5017" t="str">
            <v>Sugiono</v>
          </cell>
          <cell r="O5017" t="str">
            <v>Dsn. Gumuk Gebang, RT.006/RW.014 Kel. Nogosari, Kec. Rambipuji</v>
          </cell>
          <cell r="P5017" t="str">
            <v>Jember</v>
          </cell>
          <cell r="Q5017" t="str">
            <v>Rambipuji</v>
          </cell>
          <cell r="R5017" t="str">
            <v>Jember</v>
          </cell>
          <cell r="S5017" t="str">
            <v>L Kota3</v>
          </cell>
          <cell r="T5017" t="str">
            <v>Wira</v>
          </cell>
          <cell r="U5017">
            <v>30</v>
          </cell>
        </row>
        <row r="5018">
          <cell r="E5018" t="str">
            <v>Z25002677</v>
          </cell>
          <cell r="F5018"/>
          <cell r="G5018">
            <v>2500000000</v>
          </cell>
          <cell r="H5018" t="str">
            <v>Yuyun</v>
          </cell>
          <cell r="I5018" t="str">
            <v>Farida</v>
          </cell>
          <cell r="J5018"/>
          <cell r="K5018" t="str">
            <v>Tunai</v>
          </cell>
          <cell r="L5018" t="str">
            <v>MERD01</v>
          </cell>
          <cell r="M5018" t="str">
            <v>Merdeka Tani/Sugiono</v>
          </cell>
          <cell r="N5018" t="str">
            <v>Sugiono</v>
          </cell>
          <cell r="O5018" t="str">
            <v>Dsn. Gumuk Gebang, RT.006/RW.014 Kel. Nogosari, Kec. Rambipuji</v>
          </cell>
          <cell r="P5018" t="str">
            <v>Jember</v>
          </cell>
          <cell r="Q5018" t="str">
            <v>Rambipuji</v>
          </cell>
          <cell r="R5018" t="str">
            <v>Jember</v>
          </cell>
          <cell r="S5018" t="str">
            <v>L Kota3</v>
          </cell>
          <cell r="T5018" t="str">
            <v>Wira</v>
          </cell>
          <cell r="U5018">
            <v>30</v>
          </cell>
        </row>
        <row r="5019">
          <cell r="E5019" t="str">
            <v>Z25002678</v>
          </cell>
          <cell r="F5019"/>
          <cell r="G5019">
            <v>2500000000</v>
          </cell>
          <cell r="H5019" t="str">
            <v>Yuyun</v>
          </cell>
          <cell r="I5019" t="str">
            <v>Farida</v>
          </cell>
          <cell r="J5019"/>
          <cell r="K5019" t="str">
            <v>Tunai</v>
          </cell>
          <cell r="L5019" t="str">
            <v>MERD01</v>
          </cell>
          <cell r="M5019" t="str">
            <v>Merdeka Tani/Sugiono</v>
          </cell>
          <cell r="N5019" t="str">
            <v>Sugiono</v>
          </cell>
          <cell r="O5019" t="str">
            <v>Dsn. Gumuk Gebang, RT.006/RW.014 Kel. Nogosari, Kec. Rambipuji</v>
          </cell>
          <cell r="P5019" t="str">
            <v>Jember</v>
          </cell>
          <cell r="Q5019" t="str">
            <v>Rambipuji</v>
          </cell>
          <cell r="R5019" t="str">
            <v>Jember</v>
          </cell>
          <cell r="S5019" t="str">
            <v>L Kota3</v>
          </cell>
          <cell r="T5019" t="str">
            <v>Wira</v>
          </cell>
          <cell r="U5019">
            <v>30</v>
          </cell>
        </row>
        <row r="5020">
          <cell r="E5020" t="str">
            <v>Z25002680</v>
          </cell>
          <cell r="F5020"/>
          <cell r="G5020">
            <v>2500000000</v>
          </cell>
          <cell r="H5020" t="str">
            <v>Yuyun</v>
          </cell>
          <cell r="I5020" t="str">
            <v>Farida</v>
          </cell>
          <cell r="J5020"/>
          <cell r="K5020" t="str">
            <v>Tunai</v>
          </cell>
          <cell r="L5020" t="str">
            <v>MERD01</v>
          </cell>
          <cell r="M5020" t="str">
            <v>Merdeka Tani/Sugiono</v>
          </cell>
          <cell r="N5020" t="str">
            <v>Sugiono</v>
          </cell>
          <cell r="O5020" t="str">
            <v>Dsn. Gumuk Gebang, RT.006/RW.014 Kel. Nogosari, Kec. Rambipuji</v>
          </cell>
          <cell r="P5020" t="str">
            <v>Jember</v>
          </cell>
          <cell r="Q5020" t="str">
            <v>Rambipuji</v>
          </cell>
          <cell r="R5020" t="str">
            <v>Jember</v>
          </cell>
          <cell r="S5020" t="str">
            <v>L Kota3</v>
          </cell>
          <cell r="T5020" t="str">
            <v>Wira</v>
          </cell>
          <cell r="U5020">
            <v>30</v>
          </cell>
        </row>
        <row r="5021">
          <cell r="E5021" t="str">
            <v>Z25002691</v>
          </cell>
          <cell r="F5021"/>
          <cell r="G5021">
            <v>2500000000</v>
          </cell>
          <cell r="H5021" t="str">
            <v>Yuyun</v>
          </cell>
          <cell r="I5021" t="str">
            <v>Farida</v>
          </cell>
          <cell r="J5021"/>
          <cell r="K5021" t="str">
            <v>Tunai</v>
          </cell>
          <cell r="L5021" t="str">
            <v>MERD01</v>
          </cell>
          <cell r="M5021" t="str">
            <v>Merdeka Tani/Sugiono</v>
          </cell>
          <cell r="N5021" t="str">
            <v>Sugiono</v>
          </cell>
          <cell r="O5021" t="str">
            <v>Dsn. Gumuk Gebang, RT.006/RW.014 Kel. Nogosari, Kec. Rambipuji</v>
          </cell>
          <cell r="P5021" t="str">
            <v>Jember</v>
          </cell>
          <cell r="Q5021" t="str">
            <v>Rambipuji</v>
          </cell>
          <cell r="R5021" t="str">
            <v>Jember</v>
          </cell>
          <cell r="S5021" t="str">
            <v>L Kota3</v>
          </cell>
          <cell r="T5021" t="str">
            <v>Wira</v>
          </cell>
          <cell r="U5021">
            <v>7</v>
          </cell>
        </row>
        <row r="5022">
          <cell r="E5022" t="str">
            <v>Z25002693</v>
          </cell>
          <cell r="F5022"/>
          <cell r="G5022">
            <v>2500000000</v>
          </cell>
          <cell r="H5022" t="str">
            <v>Yuyun</v>
          </cell>
          <cell r="I5022" t="str">
            <v>Farida</v>
          </cell>
          <cell r="J5022"/>
          <cell r="K5022" t="str">
            <v>Tunai</v>
          </cell>
          <cell r="L5022" t="str">
            <v>MERD01</v>
          </cell>
          <cell r="M5022" t="str">
            <v>Merdeka Tani/Sugiono</v>
          </cell>
          <cell r="N5022" t="str">
            <v>Sugiono</v>
          </cell>
          <cell r="O5022" t="str">
            <v>Dsn. Gumuk Gebang, RT.006/RW.014 Kel. Nogosari, Kec. Rambipuji</v>
          </cell>
          <cell r="P5022" t="str">
            <v>Jember</v>
          </cell>
          <cell r="Q5022" t="str">
            <v>Rambipuji</v>
          </cell>
          <cell r="R5022" t="str">
            <v>Jember</v>
          </cell>
          <cell r="S5022" t="str">
            <v>L Kota3</v>
          </cell>
          <cell r="T5022" t="str">
            <v>Wira</v>
          </cell>
          <cell r="U5022">
            <v>30</v>
          </cell>
        </row>
        <row r="5023">
          <cell r="E5023" t="str">
            <v>Z25002702</v>
          </cell>
          <cell r="F5023"/>
          <cell r="G5023">
            <v>2500000000</v>
          </cell>
          <cell r="H5023" t="str">
            <v>Yuyun</v>
          </cell>
          <cell r="I5023" t="str">
            <v>Farida</v>
          </cell>
          <cell r="J5023"/>
          <cell r="K5023" t="str">
            <v>Tunai</v>
          </cell>
          <cell r="L5023" t="str">
            <v>MERD01</v>
          </cell>
          <cell r="M5023" t="str">
            <v>Merdeka Tani/Sugiono</v>
          </cell>
          <cell r="N5023" t="str">
            <v>Sugiono</v>
          </cell>
          <cell r="O5023" t="str">
            <v>Dsn. Gumuk Gebang, RT.006/RW.014 Kel. Nogosari, Kec. Rambipuji</v>
          </cell>
          <cell r="P5023" t="str">
            <v>Jember</v>
          </cell>
          <cell r="Q5023" t="str">
            <v>Rambipuji</v>
          </cell>
          <cell r="R5023" t="str">
            <v>Jember</v>
          </cell>
          <cell r="S5023" t="str">
            <v>L Kota3</v>
          </cell>
          <cell r="T5023" t="str">
            <v>Wira</v>
          </cell>
          <cell r="U5023">
            <v>30</v>
          </cell>
        </row>
        <row r="5024">
          <cell r="E5024" t="str">
            <v>Z25002706</v>
          </cell>
          <cell r="F5024"/>
          <cell r="G5024">
            <v>2500000000</v>
          </cell>
          <cell r="H5024" t="str">
            <v>Yuyun</v>
          </cell>
          <cell r="I5024" t="str">
            <v>Farida</v>
          </cell>
          <cell r="J5024"/>
          <cell r="K5024" t="str">
            <v>Tunai</v>
          </cell>
          <cell r="L5024" t="str">
            <v>MERD01</v>
          </cell>
          <cell r="M5024" t="str">
            <v>Merdeka Tani/Sugiono</v>
          </cell>
          <cell r="N5024" t="str">
            <v>Sugiono</v>
          </cell>
          <cell r="O5024" t="str">
            <v>Dsn. Gumuk Gebang, RT.006/RW.014 Kel. Nogosari, Kec. Rambipuji</v>
          </cell>
          <cell r="P5024" t="str">
            <v>Jember</v>
          </cell>
          <cell r="Q5024" t="str">
            <v>Rambipuji</v>
          </cell>
          <cell r="R5024" t="str">
            <v>Jember</v>
          </cell>
          <cell r="S5024" t="str">
            <v>L Kota3</v>
          </cell>
          <cell r="T5024" t="str">
            <v>Wira</v>
          </cell>
          <cell r="U5024">
            <v>0</v>
          </cell>
        </row>
        <row r="5025">
          <cell r="E5025" t="str">
            <v>Z25002711</v>
          </cell>
          <cell r="F5025"/>
          <cell r="G5025">
            <v>2500000000</v>
          </cell>
          <cell r="H5025" t="str">
            <v>Yuyun</v>
          </cell>
          <cell r="I5025" t="str">
            <v>Farida</v>
          </cell>
          <cell r="J5025"/>
          <cell r="K5025" t="str">
            <v>Tunai</v>
          </cell>
          <cell r="L5025" t="str">
            <v>MERD01</v>
          </cell>
          <cell r="M5025" t="str">
            <v>Merdeka Tani/Sugiono</v>
          </cell>
          <cell r="N5025" t="str">
            <v>Sugiono</v>
          </cell>
          <cell r="O5025" t="str">
            <v>Dsn. Gumuk Gebang, RT.006/RW.014 Kel. Nogosari, Kec. Rambipuji</v>
          </cell>
          <cell r="P5025" t="str">
            <v>Jember</v>
          </cell>
          <cell r="Q5025" t="str">
            <v>Rambipuji</v>
          </cell>
          <cell r="R5025" t="str">
            <v>Jember</v>
          </cell>
          <cell r="S5025" t="str">
            <v>L Kota3</v>
          </cell>
          <cell r="T5025" t="str">
            <v>Wira</v>
          </cell>
          <cell r="U5025">
            <v>30</v>
          </cell>
        </row>
        <row r="5026">
          <cell r="E5026" t="str">
            <v>Z25002717</v>
          </cell>
          <cell r="F5026"/>
          <cell r="G5026">
            <v>2500000000</v>
          </cell>
          <cell r="H5026" t="str">
            <v>Yuyun</v>
          </cell>
          <cell r="I5026" t="str">
            <v>Farida</v>
          </cell>
          <cell r="J5026"/>
          <cell r="K5026" t="str">
            <v>Tunai</v>
          </cell>
          <cell r="L5026" t="str">
            <v>MERD01</v>
          </cell>
          <cell r="M5026" t="str">
            <v>Merdeka Tani/Sugiono</v>
          </cell>
          <cell r="N5026" t="str">
            <v>Sugiono</v>
          </cell>
          <cell r="O5026" t="str">
            <v>Dsn. Gumuk Gebang, RT.006/RW.014 Kel. Nogosari, Kec. Rambipuji</v>
          </cell>
          <cell r="P5026" t="str">
            <v>Jember</v>
          </cell>
          <cell r="Q5026" t="str">
            <v>Rambipuji</v>
          </cell>
          <cell r="R5026" t="str">
            <v>Jember</v>
          </cell>
          <cell r="S5026" t="str">
            <v>L Kota3</v>
          </cell>
          <cell r="T5026" t="str">
            <v>Wira</v>
          </cell>
          <cell r="U5026">
            <v>7</v>
          </cell>
        </row>
        <row r="5027">
          <cell r="E5027" t="str">
            <v>Z25002719</v>
          </cell>
          <cell r="F5027"/>
          <cell r="G5027">
            <v>2500000000</v>
          </cell>
          <cell r="H5027" t="str">
            <v>Yuyun</v>
          </cell>
          <cell r="I5027" t="str">
            <v>Farida</v>
          </cell>
          <cell r="J5027"/>
          <cell r="K5027" t="str">
            <v>Tunai</v>
          </cell>
          <cell r="L5027" t="str">
            <v>MERD01</v>
          </cell>
          <cell r="M5027" t="str">
            <v>Merdeka Tani/Sugiono</v>
          </cell>
          <cell r="N5027" t="str">
            <v>Sugiono</v>
          </cell>
          <cell r="O5027" t="str">
            <v>Dsn. Gumuk Gebang, RT.006/RW.014 Kel. Nogosari, Kec. Rambipuji</v>
          </cell>
          <cell r="P5027" t="str">
            <v>Jember</v>
          </cell>
          <cell r="Q5027" t="str">
            <v>Rambipuji</v>
          </cell>
          <cell r="R5027" t="str">
            <v>Jember</v>
          </cell>
          <cell r="S5027" t="str">
            <v>L Kota3</v>
          </cell>
          <cell r="T5027" t="str">
            <v>Wira</v>
          </cell>
          <cell r="U5027">
            <v>30</v>
          </cell>
        </row>
        <row r="5028">
          <cell r="E5028" t="str">
            <v>Z25002729</v>
          </cell>
          <cell r="F5028"/>
          <cell r="G5028">
            <v>2500000000</v>
          </cell>
          <cell r="H5028" t="str">
            <v>Yuyun</v>
          </cell>
          <cell r="I5028" t="str">
            <v>Farida</v>
          </cell>
          <cell r="J5028"/>
          <cell r="K5028" t="str">
            <v>Tunai</v>
          </cell>
          <cell r="L5028" t="str">
            <v>MERD01</v>
          </cell>
          <cell r="M5028" t="str">
            <v>Merdeka Tani/Sugiono</v>
          </cell>
          <cell r="N5028" t="str">
            <v>Sugiono</v>
          </cell>
          <cell r="O5028" t="str">
            <v>Dsn. Gumuk Gebang, RT.006/RW.014 Kel. Nogosari, Kec. Rambipuji</v>
          </cell>
          <cell r="P5028" t="str">
            <v>Jember</v>
          </cell>
          <cell r="Q5028" t="str">
            <v>Rambipuji</v>
          </cell>
          <cell r="R5028" t="str">
            <v>Jember</v>
          </cell>
          <cell r="S5028" t="str">
            <v>L Kota3</v>
          </cell>
          <cell r="T5028" t="str">
            <v>Wira</v>
          </cell>
          <cell r="U5028">
            <v>30</v>
          </cell>
        </row>
        <row r="5029">
          <cell r="E5029" t="str">
            <v>Z25002736</v>
          </cell>
          <cell r="F5029"/>
          <cell r="G5029">
            <v>2500000000</v>
          </cell>
          <cell r="H5029" t="str">
            <v>Yuyun</v>
          </cell>
          <cell r="I5029" t="str">
            <v>Farida</v>
          </cell>
          <cell r="J5029"/>
          <cell r="K5029" t="str">
            <v>Tunai</v>
          </cell>
          <cell r="L5029" t="str">
            <v>MERD01</v>
          </cell>
          <cell r="M5029" t="str">
            <v>Merdeka Tani/Sugiono</v>
          </cell>
          <cell r="N5029" t="str">
            <v>Sugiono</v>
          </cell>
          <cell r="O5029" t="str">
            <v>Dsn. Gumuk Gebang, RT.006/RW.014 Kel. Nogosari, Kec. Rambipuji</v>
          </cell>
          <cell r="P5029" t="str">
            <v>Jember</v>
          </cell>
          <cell r="Q5029" t="str">
            <v>Rambipuji</v>
          </cell>
          <cell r="R5029" t="str">
            <v>Jember</v>
          </cell>
          <cell r="S5029" t="str">
            <v>L Kota3</v>
          </cell>
          <cell r="T5029" t="str">
            <v>Wira</v>
          </cell>
          <cell r="U5029">
            <v>30</v>
          </cell>
        </row>
        <row r="5030">
          <cell r="E5030" t="str">
            <v>Z25002750</v>
          </cell>
          <cell r="F5030"/>
          <cell r="G5030">
            <v>2500000000</v>
          </cell>
          <cell r="H5030" t="str">
            <v>Yuyun</v>
          </cell>
          <cell r="I5030" t="str">
            <v>Farida</v>
          </cell>
          <cell r="J5030"/>
          <cell r="K5030" t="str">
            <v>Tunai</v>
          </cell>
          <cell r="L5030" t="str">
            <v>MERD01</v>
          </cell>
          <cell r="M5030" t="str">
            <v>Merdeka Tani/Sugiono</v>
          </cell>
          <cell r="N5030" t="str">
            <v>Sugiono</v>
          </cell>
          <cell r="O5030" t="str">
            <v>Dsn. Gumuk Gebang, RT.006/RW.014 Kel. Nogosari, Kec. Rambipuji</v>
          </cell>
          <cell r="P5030" t="str">
            <v>Jember</v>
          </cell>
          <cell r="Q5030" t="str">
            <v>Rambipuji</v>
          </cell>
          <cell r="R5030" t="str">
            <v>Jember</v>
          </cell>
          <cell r="S5030" t="str">
            <v>L Kota3</v>
          </cell>
          <cell r="T5030" t="str">
            <v>Wira</v>
          </cell>
          <cell r="U5030">
            <v>30</v>
          </cell>
        </row>
        <row r="5031">
          <cell r="E5031" t="str">
            <v>Z25002752</v>
          </cell>
          <cell r="F5031"/>
          <cell r="G5031">
            <v>2500000000</v>
          </cell>
          <cell r="H5031" t="str">
            <v>Yuyun</v>
          </cell>
          <cell r="I5031" t="str">
            <v>Farida</v>
          </cell>
          <cell r="J5031"/>
          <cell r="K5031" t="str">
            <v>Tunai</v>
          </cell>
          <cell r="L5031" t="str">
            <v>MERD01</v>
          </cell>
          <cell r="M5031" t="str">
            <v>Merdeka Tani/Sugiono</v>
          </cell>
          <cell r="N5031" t="str">
            <v>Sugiono</v>
          </cell>
          <cell r="O5031" t="str">
            <v>Dsn. Gumuk Gebang, RT.006/RW.014 Kel. Nogosari, Kec. Rambipuji</v>
          </cell>
          <cell r="P5031" t="str">
            <v>Jember</v>
          </cell>
          <cell r="Q5031" t="str">
            <v>Rambipuji</v>
          </cell>
          <cell r="R5031" t="str">
            <v>Jember</v>
          </cell>
          <cell r="S5031" t="str">
            <v>L Kota3</v>
          </cell>
          <cell r="T5031" t="str">
            <v>Wira</v>
          </cell>
          <cell r="U5031">
            <v>30</v>
          </cell>
        </row>
        <row r="5032">
          <cell r="E5032" t="str">
            <v>Z250039</v>
          </cell>
          <cell r="F5032"/>
          <cell r="G5032">
            <v>2500000000</v>
          </cell>
          <cell r="H5032" t="str">
            <v>Yuyun</v>
          </cell>
          <cell r="I5032" t="str">
            <v>Farida</v>
          </cell>
          <cell r="J5032"/>
          <cell r="K5032" t="str">
            <v>Tunai</v>
          </cell>
          <cell r="L5032" t="str">
            <v>MERD01</v>
          </cell>
          <cell r="M5032" t="str">
            <v>Merdeka Tani/Sugiono</v>
          </cell>
          <cell r="N5032" t="str">
            <v>Sugiono</v>
          </cell>
          <cell r="O5032" t="str">
            <v>Dsn. Gumuk Gebang, RT.006/RW.014 Kel. Nogosari, Kec. Rambipuji</v>
          </cell>
          <cell r="P5032" t="str">
            <v>Jember</v>
          </cell>
          <cell r="Q5032" t="str">
            <v>Rambipuji</v>
          </cell>
          <cell r="R5032" t="str">
            <v>Jember</v>
          </cell>
          <cell r="S5032" t="str">
            <v>L Kota3</v>
          </cell>
          <cell r="T5032" t="str">
            <v>Wira</v>
          </cell>
          <cell r="U5032">
            <v>0</v>
          </cell>
        </row>
        <row r="5033">
          <cell r="E5033" t="str">
            <v>Z25002781</v>
          </cell>
          <cell r="F5033"/>
          <cell r="G5033">
            <v>2500000000</v>
          </cell>
          <cell r="H5033" t="str">
            <v>Yuyun</v>
          </cell>
          <cell r="I5033" t="str">
            <v>Farida</v>
          </cell>
          <cell r="J5033"/>
          <cell r="K5033" t="str">
            <v>Tunai</v>
          </cell>
          <cell r="L5033" t="str">
            <v>MERD01</v>
          </cell>
          <cell r="M5033" t="str">
            <v>Merdeka Tani/Sugiono</v>
          </cell>
          <cell r="N5033" t="str">
            <v>Sugiono</v>
          </cell>
          <cell r="O5033" t="str">
            <v>Dsn. Gumuk Gebang, RT.006/RW.014 Kel. Nogosari, Kec. Rambipuji</v>
          </cell>
          <cell r="P5033" t="str">
            <v>Jember</v>
          </cell>
          <cell r="Q5033" t="str">
            <v>Rambipuji</v>
          </cell>
          <cell r="R5033" t="str">
            <v>Jember</v>
          </cell>
          <cell r="S5033" t="str">
            <v>L Kota3</v>
          </cell>
          <cell r="T5033" t="str">
            <v>Wira</v>
          </cell>
          <cell r="U5033">
            <v>30</v>
          </cell>
        </row>
        <row r="5034">
          <cell r="E5034" t="str">
            <v>Z25002782</v>
          </cell>
          <cell r="F5034"/>
          <cell r="G5034">
            <v>2500000000</v>
          </cell>
          <cell r="H5034" t="str">
            <v>Yuyun</v>
          </cell>
          <cell r="I5034" t="str">
            <v>Farida</v>
          </cell>
          <cell r="J5034"/>
          <cell r="K5034" t="str">
            <v>Tunai</v>
          </cell>
          <cell r="L5034" t="str">
            <v>MERD01</v>
          </cell>
          <cell r="M5034" t="str">
            <v>Merdeka Tani/Sugiono</v>
          </cell>
          <cell r="N5034" t="str">
            <v>Sugiono</v>
          </cell>
          <cell r="O5034" t="str">
            <v>Dsn. Gumuk Gebang, RT.006/RW.014 Kel. Nogosari, Kec. Rambipuji</v>
          </cell>
          <cell r="P5034" t="str">
            <v>Jember</v>
          </cell>
          <cell r="Q5034" t="str">
            <v>Rambipuji</v>
          </cell>
          <cell r="R5034" t="str">
            <v>Jember</v>
          </cell>
          <cell r="S5034" t="str">
            <v>L Kota3</v>
          </cell>
          <cell r="T5034" t="str">
            <v>Wira</v>
          </cell>
          <cell r="U5034">
            <v>30</v>
          </cell>
        </row>
        <row r="5035">
          <cell r="E5035" t="str">
            <v>Z25002784</v>
          </cell>
          <cell r="F5035"/>
          <cell r="G5035">
            <v>2500000000</v>
          </cell>
          <cell r="H5035" t="str">
            <v>Yuyun</v>
          </cell>
          <cell r="I5035" t="str">
            <v>Farida</v>
          </cell>
          <cell r="J5035"/>
          <cell r="K5035" t="str">
            <v>Tunai</v>
          </cell>
          <cell r="L5035" t="str">
            <v>MERD01</v>
          </cell>
          <cell r="M5035" t="str">
            <v>Merdeka Tani/Sugiono</v>
          </cell>
          <cell r="N5035" t="str">
            <v>Sugiono</v>
          </cell>
          <cell r="O5035" t="str">
            <v>Dsn. Gumuk Gebang, RT.006/RW.014 Kel. Nogosari, Kec. Rambipuji</v>
          </cell>
          <cell r="P5035" t="str">
            <v>Jember</v>
          </cell>
          <cell r="Q5035" t="str">
            <v>Rambipuji</v>
          </cell>
          <cell r="R5035" t="str">
            <v>Jember</v>
          </cell>
          <cell r="S5035" t="str">
            <v>L Kota3</v>
          </cell>
          <cell r="T5035" t="str">
            <v>Wira</v>
          </cell>
          <cell r="U5035">
            <v>30</v>
          </cell>
        </row>
        <row r="5036">
          <cell r="E5036" t="str">
            <v>Z25002785</v>
          </cell>
          <cell r="F5036"/>
          <cell r="G5036">
            <v>2500000000</v>
          </cell>
          <cell r="H5036" t="str">
            <v>Yuyun</v>
          </cell>
          <cell r="I5036" t="str">
            <v>Farida</v>
          </cell>
          <cell r="J5036"/>
          <cell r="K5036" t="str">
            <v>Tunai</v>
          </cell>
          <cell r="L5036" t="str">
            <v>MERD01</v>
          </cell>
          <cell r="M5036" t="str">
            <v>Merdeka Tani/Sugiono</v>
          </cell>
          <cell r="N5036" t="str">
            <v>Sugiono</v>
          </cell>
          <cell r="O5036" t="str">
            <v>Dsn. Gumuk Gebang, RT.006/RW.014 Kel. Nogosari, Kec. Rambipuji</v>
          </cell>
          <cell r="P5036" t="str">
            <v>Jember</v>
          </cell>
          <cell r="Q5036" t="str">
            <v>Rambipuji</v>
          </cell>
          <cell r="R5036" t="str">
            <v>Jember</v>
          </cell>
          <cell r="S5036" t="str">
            <v>L Kota3</v>
          </cell>
          <cell r="T5036" t="str">
            <v>Wira</v>
          </cell>
          <cell r="U5036">
            <v>0</v>
          </cell>
        </row>
        <row r="5037">
          <cell r="E5037" t="str">
            <v>Z25002786</v>
          </cell>
          <cell r="F5037"/>
          <cell r="G5037">
            <v>2500000000</v>
          </cell>
          <cell r="H5037" t="str">
            <v>Yuyun</v>
          </cell>
          <cell r="I5037" t="str">
            <v>Farida</v>
          </cell>
          <cell r="J5037"/>
          <cell r="K5037" t="str">
            <v>Tunai</v>
          </cell>
          <cell r="L5037" t="str">
            <v>MERD01</v>
          </cell>
          <cell r="M5037" t="str">
            <v>Merdeka Tani/Sugiono</v>
          </cell>
          <cell r="N5037" t="str">
            <v>Sugiono</v>
          </cell>
          <cell r="O5037" t="str">
            <v>Dsn. Gumuk Gebang, RT.006/RW.014 Kel. Nogosari, Kec. Rambipuji</v>
          </cell>
          <cell r="P5037" t="str">
            <v>Jember</v>
          </cell>
          <cell r="Q5037" t="str">
            <v>Rambipuji</v>
          </cell>
          <cell r="R5037" t="str">
            <v>Jember</v>
          </cell>
          <cell r="S5037" t="str">
            <v>L Kota3</v>
          </cell>
          <cell r="T5037" t="str">
            <v>Wira</v>
          </cell>
          <cell r="U5037">
            <v>30</v>
          </cell>
        </row>
        <row r="5038">
          <cell r="E5038" t="str">
            <v>Z250043</v>
          </cell>
          <cell r="F5038"/>
          <cell r="G5038">
            <v>2500000000</v>
          </cell>
          <cell r="H5038" t="str">
            <v>Yuyun</v>
          </cell>
          <cell r="I5038" t="str">
            <v>Farida</v>
          </cell>
          <cell r="J5038"/>
          <cell r="K5038" t="str">
            <v>Tunai</v>
          </cell>
          <cell r="L5038" t="str">
            <v>MERD01</v>
          </cell>
          <cell r="M5038" t="str">
            <v>Merdeka Tani/Sugiono</v>
          </cell>
          <cell r="N5038" t="str">
            <v>Sugiono</v>
          </cell>
          <cell r="O5038" t="str">
            <v>Dsn. Gumuk Gebang, RT.006/RW.014 Kel. Nogosari, Kec. Rambipuji</v>
          </cell>
          <cell r="P5038" t="str">
            <v>Jember</v>
          </cell>
          <cell r="Q5038" t="str">
            <v>Rambipuji</v>
          </cell>
          <cell r="R5038" t="str">
            <v>Jember</v>
          </cell>
          <cell r="S5038" t="str">
            <v>L Kota3</v>
          </cell>
          <cell r="T5038" t="str">
            <v>Wira</v>
          </cell>
          <cell r="U5038">
            <v>0</v>
          </cell>
        </row>
        <row r="5039">
          <cell r="E5039" t="str">
            <v>Z250044</v>
          </cell>
          <cell r="F5039"/>
          <cell r="G5039">
            <v>2500000000</v>
          </cell>
          <cell r="H5039" t="str">
            <v>Yuyun</v>
          </cell>
          <cell r="I5039" t="str">
            <v>Farida</v>
          </cell>
          <cell r="J5039"/>
          <cell r="K5039" t="str">
            <v>Tunai</v>
          </cell>
          <cell r="L5039" t="str">
            <v>MERD01</v>
          </cell>
          <cell r="M5039" t="str">
            <v>Merdeka Tani/Sugiono</v>
          </cell>
          <cell r="N5039" t="str">
            <v>Sugiono</v>
          </cell>
          <cell r="O5039" t="str">
            <v>Dsn. Gumuk Gebang, RT.006/RW.014 Kel. Nogosari, Kec. Rambipuji</v>
          </cell>
          <cell r="P5039" t="str">
            <v>Jember</v>
          </cell>
          <cell r="Q5039" t="str">
            <v>Rambipuji</v>
          </cell>
          <cell r="R5039" t="str">
            <v>Jember</v>
          </cell>
          <cell r="S5039" t="str">
            <v>L Kota3</v>
          </cell>
          <cell r="T5039" t="str">
            <v>Wira</v>
          </cell>
          <cell r="U5039">
            <v>7</v>
          </cell>
        </row>
        <row r="5040">
          <cell r="E5040" t="str">
            <v>Z25002790</v>
          </cell>
          <cell r="F5040"/>
          <cell r="G5040">
            <v>2500000000</v>
          </cell>
          <cell r="H5040" t="str">
            <v>Yuyun</v>
          </cell>
          <cell r="I5040" t="str">
            <v>Farida</v>
          </cell>
          <cell r="J5040"/>
          <cell r="K5040" t="str">
            <v>Tunai</v>
          </cell>
          <cell r="L5040" t="str">
            <v>MERD01</v>
          </cell>
          <cell r="M5040" t="str">
            <v>Merdeka Tani/Sugiono</v>
          </cell>
          <cell r="N5040" t="str">
            <v>Sugiono</v>
          </cell>
          <cell r="O5040" t="str">
            <v>Dsn. Gumuk Gebang, RT.006/RW.014 Kel. Nogosari, Kec. Rambipuji</v>
          </cell>
          <cell r="P5040" t="str">
            <v>Jember</v>
          </cell>
          <cell r="Q5040" t="str">
            <v>Rambipuji</v>
          </cell>
          <cell r="R5040" t="str">
            <v>Jember</v>
          </cell>
          <cell r="S5040" t="str">
            <v>L Kota3</v>
          </cell>
          <cell r="T5040" t="str">
            <v>Wira</v>
          </cell>
          <cell r="U5040">
            <v>0</v>
          </cell>
        </row>
        <row r="5041">
          <cell r="E5041" t="str">
            <v>Z25002794</v>
          </cell>
          <cell r="F5041"/>
          <cell r="G5041">
            <v>2500000000</v>
          </cell>
          <cell r="H5041" t="str">
            <v>Yuyun</v>
          </cell>
          <cell r="I5041" t="str">
            <v>Farida</v>
          </cell>
          <cell r="J5041"/>
          <cell r="K5041" t="str">
            <v>Tunai</v>
          </cell>
          <cell r="L5041" t="str">
            <v>MERD01</v>
          </cell>
          <cell r="M5041" t="str">
            <v>Merdeka Tani/Sugiono</v>
          </cell>
          <cell r="N5041" t="str">
            <v>Sugiono</v>
          </cell>
          <cell r="O5041" t="str">
            <v>Dsn. Gumuk Gebang, RT.006/RW.014 Kel. Nogosari, Kec. Rambipuji</v>
          </cell>
          <cell r="P5041" t="str">
            <v>Jember</v>
          </cell>
          <cell r="Q5041" t="str">
            <v>Rambipuji</v>
          </cell>
          <cell r="R5041" t="str">
            <v>Jember</v>
          </cell>
          <cell r="S5041" t="str">
            <v>L Kota3</v>
          </cell>
          <cell r="T5041" t="str">
            <v>Wira</v>
          </cell>
          <cell r="U5041">
            <v>0</v>
          </cell>
        </row>
        <row r="5042">
          <cell r="E5042" t="str">
            <v>Z25002801</v>
          </cell>
          <cell r="F5042"/>
          <cell r="G5042">
            <v>2500000000</v>
          </cell>
          <cell r="H5042" t="str">
            <v>Yuyun</v>
          </cell>
          <cell r="I5042" t="str">
            <v>Farida</v>
          </cell>
          <cell r="J5042"/>
          <cell r="K5042" t="str">
            <v>Tunai</v>
          </cell>
          <cell r="L5042" t="str">
            <v>MERD01</v>
          </cell>
          <cell r="M5042" t="str">
            <v>Merdeka Tani/Sugiono</v>
          </cell>
          <cell r="N5042" t="str">
            <v>Sugiono</v>
          </cell>
          <cell r="O5042" t="str">
            <v>Dsn. Gumuk Gebang, RT.006/RW.014 Kel. Nogosari, Kec. Rambipuji</v>
          </cell>
          <cell r="P5042" t="str">
            <v>Jember</v>
          </cell>
          <cell r="Q5042" t="str">
            <v>Rambipuji</v>
          </cell>
          <cell r="R5042" t="str">
            <v>Jember</v>
          </cell>
          <cell r="S5042" t="str">
            <v>L Kota3</v>
          </cell>
          <cell r="T5042" t="str">
            <v>Wira</v>
          </cell>
          <cell r="U5042">
            <v>30</v>
          </cell>
        </row>
        <row r="5043">
          <cell r="E5043" t="str">
            <v>Z25002805</v>
          </cell>
          <cell r="F5043"/>
          <cell r="G5043">
            <v>2500000000</v>
          </cell>
          <cell r="H5043" t="str">
            <v>Yuyun</v>
          </cell>
          <cell r="I5043" t="str">
            <v>Farida</v>
          </cell>
          <cell r="J5043"/>
          <cell r="K5043" t="str">
            <v>Tunai</v>
          </cell>
          <cell r="L5043" t="str">
            <v>MERD01</v>
          </cell>
          <cell r="M5043" t="str">
            <v>Merdeka Tani/Sugiono</v>
          </cell>
          <cell r="N5043" t="str">
            <v>Sugiono</v>
          </cell>
          <cell r="O5043" t="str">
            <v>Dsn. Gumuk Gebang, RT.006/RW.014 Kel. Nogosari, Kec. Rambipuji</v>
          </cell>
          <cell r="P5043" t="str">
            <v>Jember</v>
          </cell>
          <cell r="Q5043" t="str">
            <v>Rambipuji</v>
          </cell>
          <cell r="R5043" t="str">
            <v>Jember</v>
          </cell>
          <cell r="S5043" t="str">
            <v>L Kota3</v>
          </cell>
          <cell r="T5043" t="str">
            <v>Wira</v>
          </cell>
          <cell r="U5043">
            <v>30</v>
          </cell>
        </row>
        <row r="5044">
          <cell r="E5044" t="str">
            <v>Z25002822</v>
          </cell>
          <cell r="F5044"/>
          <cell r="G5044">
            <v>2500000000</v>
          </cell>
          <cell r="H5044" t="str">
            <v>Yuyun</v>
          </cell>
          <cell r="I5044" t="str">
            <v>Farida</v>
          </cell>
          <cell r="J5044"/>
          <cell r="K5044" t="str">
            <v>Tunai</v>
          </cell>
          <cell r="L5044" t="str">
            <v>MERD01</v>
          </cell>
          <cell r="M5044" t="str">
            <v>Merdeka Tani/Sugiono</v>
          </cell>
          <cell r="N5044" t="str">
            <v>Sugiono</v>
          </cell>
          <cell r="O5044" t="str">
            <v>Dsn. Gumuk Gebang, RT.006/RW.014 Kel. Nogosari, Kec. Rambipuji</v>
          </cell>
          <cell r="P5044" t="str">
            <v>Jember</v>
          </cell>
          <cell r="Q5044" t="str">
            <v>Rambipuji</v>
          </cell>
          <cell r="R5044" t="str">
            <v>Jember</v>
          </cell>
          <cell r="S5044" t="str">
            <v>L Kota3</v>
          </cell>
          <cell r="T5044" t="str">
            <v>Wira</v>
          </cell>
          <cell r="U5044">
            <v>30</v>
          </cell>
        </row>
        <row r="5045">
          <cell r="E5045" t="str">
            <v>Z25002828</v>
          </cell>
          <cell r="F5045"/>
          <cell r="G5045">
            <v>2500000000</v>
          </cell>
          <cell r="H5045" t="str">
            <v>Yuyun</v>
          </cell>
          <cell r="I5045" t="str">
            <v>Farida</v>
          </cell>
          <cell r="J5045"/>
          <cell r="K5045" t="str">
            <v>Tunai</v>
          </cell>
          <cell r="L5045" t="str">
            <v>MERD01</v>
          </cell>
          <cell r="M5045" t="str">
            <v>Merdeka Tani/Sugiono</v>
          </cell>
          <cell r="N5045" t="str">
            <v>Sugiono</v>
          </cell>
          <cell r="O5045" t="str">
            <v>Dsn. Gumuk Gebang, RT.006/RW.014 Kel. Nogosari, Kec. Rambipuji</v>
          </cell>
          <cell r="P5045" t="str">
            <v>Jember</v>
          </cell>
          <cell r="Q5045" t="str">
            <v>Rambipuji</v>
          </cell>
          <cell r="R5045" t="str">
            <v>Jember</v>
          </cell>
          <cell r="S5045" t="str">
            <v>L Kota3</v>
          </cell>
          <cell r="T5045" t="str">
            <v>Wira</v>
          </cell>
          <cell r="U5045">
            <v>30</v>
          </cell>
        </row>
        <row r="5046">
          <cell r="E5046" t="str">
            <v>Z25002834</v>
          </cell>
          <cell r="F5046"/>
          <cell r="G5046">
            <v>2500000000</v>
          </cell>
          <cell r="H5046" t="str">
            <v>Yuyun</v>
          </cell>
          <cell r="I5046" t="str">
            <v>Farida</v>
          </cell>
          <cell r="J5046"/>
          <cell r="K5046" t="str">
            <v>Tunai</v>
          </cell>
          <cell r="L5046" t="str">
            <v>MERD01</v>
          </cell>
          <cell r="M5046" t="str">
            <v>Merdeka Tani/Sugiono</v>
          </cell>
          <cell r="N5046" t="str">
            <v>Sugiono</v>
          </cell>
          <cell r="O5046" t="str">
            <v>Dsn. Gumuk Gebang, RT.006/RW.014 Kel. Nogosari, Kec. Rambipuji</v>
          </cell>
          <cell r="P5046" t="str">
            <v>Jember</v>
          </cell>
          <cell r="Q5046" t="str">
            <v>Rambipuji</v>
          </cell>
          <cell r="R5046" t="str">
            <v>Jember</v>
          </cell>
          <cell r="S5046" t="str">
            <v>L Kota3</v>
          </cell>
          <cell r="T5046" t="str">
            <v>Wira</v>
          </cell>
          <cell r="U5046">
            <v>0</v>
          </cell>
        </row>
        <row r="5047">
          <cell r="E5047" t="str">
            <v>Z25002841</v>
          </cell>
          <cell r="F5047"/>
          <cell r="G5047">
            <v>2500000000</v>
          </cell>
          <cell r="H5047" t="str">
            <v>Yuyun</v>
          </cell>
          <cell r="I5047" t="str">
            <v>Farida</v>
          </cell>
          <cell r="J5047"/>
          <cell r="K5047" t="str">
            <v>Tunai</v>
          </cell>
          <cell r="L5047" t="str">
            <v>MERD01</v>
          </cell>
          <cell r="M5047" t="str">
            <v>Merdeka Tani/Sugiono</v>
          </cell>
          <cell r="N5047" t="str">
            <v>Sugiono</v>
          </cell>
          <cell r="O5047" t="str">
            <v>Dsn. Gumuk Gebang, RT.006/RW.014 Kel. Nogosari, Kec. Rambipuji</v>
          </cell>
          <cell r="P5047" t="str">
            <v>Jember</v>
          </cell>
          <cell r="Q5047" t="str">
            <v>Rambipuji</v>
          </cell>
          <cell r="R5047" t="str">
            <v>Jember</v>
          </cell>
          <cell r="S5047" t="str">
            <v>L Kota3</v>
          </cell>
          <cell r="T5047" t="str">
            <v>Wira</v>
          </cell>
          <cell r="U5047">
            <v>30</v>
          </cell>
        </row>
        <row r="5048">
          <cell r="E5048" t="str">
            <v>B25011028</v>
          </cell>
          <cell r="F5048"/>
          <cell r="G5048">
            <v>100000000</v>
          </cell>
          <cell r="H5048" t="str">
            <v>Zakia</v>
          </cell>
          <cell r="I5048" t="str">
            <v>Tiya</v>
          </cell>
          <cell r="J5048"/>
          <cell r="K5048" t="str">
            <v>KU</v>
          </cell>
          <cell r="L5048" t="str">
            <v>MERT01</v>
          </cell>
          <cell r="M5048" t="str">
            <v>Merte/Coan</v>
          </cell>
          <cell r="N5048" t="str">
            <v>Merte, CV</v>
          </cell>
          <cell r="O5048" t="str">
            <v>Jl. Sudirman No.31, Seririt, Seririt, Buleleng</v>
          </cell>
          <cell r="P5048" t="str">
            <v>Bali</v>
          </cell>
          <cell r="Q5048" t="str">
            <v>Jl. Diponegoro Seririt Singaraja</v>
          </cell>
          <cell r="R5048" t="str">
            <v>Bali</v>
          </cell>
          <cell r="S5048" t="str">
            <v>S Bali1</v>
          </cell>
          <cell r="T5048" t="str">
            <v>Wira</v>
          </cell>
          <cell r="U5048">
            <v>30</v>
          </cell>
        </row>
        <row r="5049">
          <cell r="E5049" t="str">
            <v>B25011649</v>
          </cell>
          <cell r="F5049"/>
          <cell r="G5049">
            <v>100000000</v>
          </cell>
          <cell r="H5049" t="str">
            <v>Zakia</v>
          </cell>
          <cell r="I5049" t="str">
            <v>Tiya</v>
          </cell>
          <cell r="J5049"/>
          <cell r="K5049" t="str">
            <v>KU</v>
          </cell>
          <cell r="L5049" t="str">
            <v>MERT01</v>
          </cell>
          <cell r="M5049" t="str">
            <v>Merte/Coan</v>
          </cell>
          <cell r="N5049" t="str">
            <v>Merte, CV</v>
          </cell>
          <cell r="O5049" t="str">
            <v>Jl. Sudirman No.31, Seririt, Seririt, Buleleng</v>
          </cell>
          <cell r="P5049" t="str">
            <v>Bali</v>
          </cell>
          <cell r="Q5049" t="str">
            <v>Jl. Diponegoro Seririt Singaraja</v>
          </cell>
          <cell r="R5049" t="str">
            <v>Bali</v>
          </cell>
          <cell r="S5049" t="str">
            <v>S Bali1</v>
          </cell>
          <cell r="T5049" t="str">
            <v>Wira</v>
          </cell>
          <cell r="U5049">
            <v>30</v>
          </cell>
        </row>
        <row r="5050">
          <cell r="E5050" t="str">
            <v>D25014242</v>
          </cell>
          <cell r="F5050"/>
          <cell r="G5050">
            <v>100000000</v>
          </cell>
          <cell r="H5050" t="str">
            <v>Zakia</v>
          </cell>
          <cell r="I5050" t="str">
            <v>Tiya</v>
          </cell>
          <cell r="J5050"/>
          <cell r="K5050" t="str">
            <v>KU</v>
          </cell>
          <cell r="L5050" t="str">
            <v>MERT01</v>
          </cell>
          <cell r="M5050" t="str">
            <v>Merte/Coan</v>
          </cell>
          <cell r="N5050" t="str">
            <v>Merte, CV</v>
          </cell>
          <cell r="O5050" t="str">
            <v>Jl. Sudirman No.31, Seririt, Seririt, Buleleng</v>
          </cell>
          <cell r="P5050" t="str">
            <v>Bali</v>
          </cell>
          <cell r="Q5050" t="str">
            <v>Jl. Diponegoro Seririt Singaraja</v>
          </cell>
          <cell r="R5050" t="str">
            <v>Bali</v>
          </cell>
          <cell r="S5050" t="str">
            <v>S Bali1</v>
          </cell>
          <cell r="T5050" t="str">
            <v>Wira</v>
          </cell>
          <cell r="U5050">
            <v>30</v>
          </cell>
        </row>
        <row r="5051">
          <cell r="E5051" t="str">
            <v>D25014597</v>
          </cell>
          <cell r="F5051"/>
          <cell r="G5051">
            <v>100000000</v>
          </cell>
          <cell r="H5051" t="str">
            <v>Zakia</v>
          </cell>
          <cell r="I5051" t="str">
            <v>Tiya</v>
          </cell>
          <cell r="J5051"/>
          <cell r="K5051" t="str">
            <v>KU</v>
          </cell>
          <cell r="L5051" t="str">
            <v>MERT01</v>
          </cell>
          <cell r="M5051" t="str">
            <v>Merte/Coan</v>
          </cell>
          <cell r="N5051" t="str">
            <v>Merte, CV</v>
          </cell>
          <cell r="O5051" t="str">
            <v>Jl. Sudirman No.31, Seririt, Seririt, Buleleng</v>
          </cell>
          <cell r="P5051" t="str">
            <v>Bali</v>
          </cell>
          <cell r="Q5051" t="str">
            <v>Jl. Diponegoro Seririt Singaraja</v>
          </cell>
          <cell r="R5051" t="str">
            <v>Bali</v>
          </cell>
          <cell r="S5051" t="str">
            <v>S Bali1</v>
          </cell>
          <cell r="T5051" t="str">
            <v>Wira</v>
          </cell>
          <cell r="U5051">
            <v>30</v>
          </cell>
        </row>
        <row r="5052">
          <cell r="E5052" t="str">
            <v>B25012624</v>
          </cell>
          <cell r="F5052"/>
          <cell r="G5052">
            <v>100000000</v>
          </cell>
          <cell r="H5052" t="str">
            <v>Zakia</v>
          </cell>
          <cell r="I5052" t="str">
            <v>Tiya</v>
          </cell>
          <cell r="J5052"/>
          <cell r="K5052" t="str">
            <v>KU</v>
          </cell>
          <cell r="L5052" t="str">
            <v>MERT01</v>
          </cell>
          <cell r="M5052" t="str">
            <v>Merte/Coan</v>
          </cell>
          <cell r="N5052" t="str">
            <v>Merte, CV</v>
          </cell>
          <cell r="O5052" t="str">
            <v>Jl. Sudirman No.31, Seririt, Seririt, Buleleng</v>
          </cell>
          <cell r="P5052" t="str">
            <v>Bali</v>
          </cell>
          <cell r="Q5052" t="str">
            <v>Jl. Diponegoro Seririt Singaraja</v>
          </cell>
          <cell r="R5052" t="str">
            <v>Bali</v>
          </cell>
          <cell r="S5052" t="str">
            <v>S Bali1</v>
          </cell>
          <cell r="T5052" t="str">
            <v>Wira</v>
          </cell>
          <cell r="U5052">
            <v>30</v>
          </cell>
        </row>
        <row r="5053">
          <cell r="E5053" t="str">
            <v>D25016024</v>
          </cell>
          <cell r="F5053"/>
          <cell r="G5053">
            <v>100000000</v>
          </cell>
          <cell r="H5053" t="str">
            <v>Zakia</v>
          </cell>
          <cell r="I5053" t="str">
            <v>Tiya</v>
          </cell>
          <cell r="J5053"/>
          <cell r="K5053" t="str">
            <v>KU</v>
          </cell>
          <cell r="L5053" t="str">
            <v>MERT01</v>
          </cell>
          <cell r="M5053" t="str">
            <v>Merte/Coan</v>
          </cell>
          <cell r="N5053" t="str">
            <v>Merte, CV</v>
          </cell>
          <cell r="O5053" t="str">
            <v>Jl. Sudirman No.31, Seririt, Seririt, Buleleng</v>
          </cell>
          <cell r="P5053" t="str">
            <v>Bali</v>
          </cell>
          <cell r="Q5053" t="str">
            <v>Jl. Diponegoro Seririt Singaraja</v>
          </cell>
          <cell r="R5053" t="str">
            <v>Bali</v>
          </cell>
          <cell r="S5053" t="str">
            <v>S Bali1</v>
          </cell>
          <cell r="T5053" t="str">
            <v>Wira</v>
          </cell>
          <cell r="U5053">
            <v>30</v>
          </cell>
        </row>
        <row r="5054">
          <cell r="E5054" t="str">
            <v>D25016138</v>
          </cell>
          <cell r="F5054"/>
          <cell r="G5054">
            <v>100000000</v>
          </cell>
          <cell r="H5054" t="str">
            <v>Zakia</v>
          </cell>
          <cell r="I5054" t="str">
            <v>Tiya</v>
          </cell>
          <cell r="J5054"/>
          <cell r="K5054" t="str">
            <v>KU</v>
          </cell>
          <cell r="L5054" t="str">
            <v>MERT01</v>
          </cell>
          <cell r="M5054" t="str">
            <v>Merte/Coan</v>
          </cell>
          <cell r="N5054" t="str">
            <v>Merte, CV</v>
          </cell>
          <cell r="O5054" t="str">
            <v>Jl. Sudirman No.31, Seririt, Seririt, Buleleng</v>
          </cell>
          <cell r="P5054" t="str">
            <v>Bali</v>
          </cell>
          <cell r="Q5054" t="str">
            <v>Jl. Diponegoro Seririt Singaraja</v>
          </cell>
          <cell r="R5054" t="str">
            <v>Bali</v>
          </cell>
          <cell r="S5054" t="str">
            <v>S Bali1</v>
          </cell>
          <cell r="T5054" t="str">
            <v>Wira</v>
          </cell>
          <cell r="U5054">
            <v>30</v>
          </cell>
        </row>
        <row r="5055">
          <cell r="E5055" t="str">
            <v>T25001481</v>
          </cell>
          <cell r="F5055"/>
          <cell r="G5055">
            <v>1000</v>
          </cell>
          <cell r="H5055" t="str">
            <v>Reni</v>
          </cell>
          <cell r="I5055" t="str">
            <v>Farida</v>
          </cell>
          <cell r="J5055" t="str">
            <v>New 25/07/20</v>
          </cell>
          <cell r="K5055" t="str">
            <v>KU, Tunai</v>
          </cell>
          <cell r="L5055" t="str">
            <v>METR01</v>
          </cell>
          <cell r="M5055" t="str">
            <v>Metro Tani/Imam</v>
          </cell>
          <cell r="N5055" t="str">
            <v>Imam Ashari</v>
          </cell>
          <cell r="O5055" t="str">
            <v>Dukuh Karangjati, RT.00./RW.002, Kel. Grogol, Kec. Sawoo</v>
          </cell>
          <cell r="P5055" t="str">
            <v>Ponorogo</v>
          </cell>
          <cell r="Q5055" t="str">
            <v>Dukuh Karangjati, RT.00./RW.002, Kel. Grogol, Kec. Sawoo</v>
          </cell>
          <cell r="R5055" t="str">
            <v>Ponorogo</v>
          </cell>
          <cell r="S5055" t="str">
            <v>D Barat2</v>
          </cell>
          <cell r="T5055" t="str">
            <v>Dian</v>
          </cell>
          <cell r="U5055">
            <v>60</v>
          </cell>
        </row>
        <row r="5056">
          <cell r="E5056" t="str">
            <v>T25001481</v>
          </cell>
          <cell r="F5056"/>
          <cell r="G5056">
            <v>1000</v>
          </cell>
          <cell r="H5056" t="str">
            <v>Reni</v>
          </cell>
          <cell r="I5056" t="str">
            <v>Farida</v>
          </cell>
          <cell r="J5056" t="str">
            <v>New 25/07/20</v>
          </cell>
          <cell r="K5056" t="str">
            <v>KU, Tunai</v>
          </cell>
          <cell r="L5056" t="str">
            <v>METR01</v>
          </cell>
          <cell r="M5056" t="str">
            <v>Metro Tani/Imam</v>
          </cell>
          <cell r="N5056" t="str">
            <v>Imam Ashari</v>
          </cell>
          <cell r="O5056" t="str">
            <v>Dukuh Karangjati, RT.00./RW.002, Kel. Grogol, Kec. Sawoo</v>
          </cell>
          <cell r="P5056" t="str">
            <v>Ponorogo</v>
          </cell>
          <cell r="Q5056" t="str">
            <v>Dukuh Karangjati, RT.00./RW.002, Kel. Grogol, Kec. Sawoo</v>
          </cell>
          <cell r="R5056" t="str">
            <v>Ponorogo</v>
          </cell>
          <cell r="S5056" t="str">
            <v>D Barat2</v>
          </cell>
          <cell r="T5056" t="str">
            <v>Dian</v>
          </cell>
          <cell r="U5056">
            <v>60</v>
          </cell>
        </row>
        <row r="5057">
          <cell r="E5057" t="str">
            <v>B25013632</v>
          </cell>
          <cell r="F5057"/>
          <cell r="G5057">
            <v>1000</v>
          </cell>
          <cell r="H5057" t="str">
            <v>Reni</v>
          </cell>
          <cell r="I5057" t="str">
            <v>Farida</v>
          </cell>
          <cell r="J5057" t="str">
            <v>New 25/07/20</v>
          </cell>
          <cell r="K5057" t="str">
            <v>KU, Tunai</v>
          </cell>
          <cell r="L5057" t="str">
            <v>METR01</v>
          </cell>
          <cell r="M5057" t="str">
            <v>Metro Tani/Imam</v>
          </cell>
          <cell r="N5057" t="str">
            <v>Imam Ashari</v>
          </cell>
          <cell r="O5057" t="str">
            <v>Dukuh Karangjati, RT.00./RW.002, Kel. Grogol, Kec. Sawoo</v>
          </cell>
          <cell r="P5057" t="str">
            <v>Ponorogo</v>
          </cell>
          <cell r="Q5057" t="str">
            <v>Dukuh Karangjati, RT.00./RW.002, Kel. Grogol, Kec. Sawoo</v>
          </cell>
          <cell r="R5057" t="str">
            <v>Ponorogo</v>
          </cell>
          <cell r="S5057" t="str">
            <v>D Barat2</v>
          </cell>
          <cell r="T5057" t="str">
            <v>Dian</v>
          </cell>
          <cell r="U5057">
            <v>60</v>
          </cell>
        </row>
        <row r="5058">
          <cell r="E5058" t="str">
            <v>D25015556</v>
          </cell>
          <cell r="F5058"/>
          <cell r="G5058">
            <v>200000000</v>
          </cell>
          <cell r="H5058" t="str">
            <v>Ariyani</v>
          </cell>
          <cell r="I5058" t="str">
            <v>Fira</v>
          </cell>
          <cell r="J5058" t="str">
            <v>New 03/04/20</v>
          </cell>
          <cell r="K5058" t="str">
            <v>KU</v>
          </cell>
          <cell r="L5058" t="str">
            <v>MITR58</v>
          </cell>
          <cell r="M5058" t="str">
            <v>Mira Tani/Yudi, H</v>
          </cell>
          <cell r="N5058" t="str">
            <v>Wahyudi</v>
          </cell>
          <cell r="O5058" t="str">
            <v>Dsn. Glatik Timur, Kel. Glagahsari, Kec. Sukorejo</v>
          </cell>
          <cell r="P5058" t="str">
            <v>Pasuruan</v>
          </cell>
          <cell r="Q5058" t="str">
            <v>Jl. Pasar 66, Sukorejo</v>
          </cell>
          <cell r="R5058" t="str">
            <v>Pasuruan</v>
          </cell>
          <cell r="S5058" t="str">
            <v>F Utara1</v>
          </cell>
          <cell r="T5058" t="str">
            <v>Tomi</v>
          </cell>
          <cell r="U5058">
            <v>0</v>
          </cell>
        </row>
        <row r="5059">
          <cell r="E5059" t="str">
            <v>D25015557</v>
          </cell>
          <cell r="F5059"/>
          <cell r="G5059">
            <v>200000000</v>
          </cell>
          <cell r="H5059" t="str">
            <v>Ariyani</v>
          </cell>
          <cell r="I5059" t="str">
            <v>Fira</v>
          </cell>
          <cell r="J5059" t="str">
            <v>New 03/04/20</v>
          </cell>
          <cell r="K5059" t="str">
            <v>KU</v>
          </cell>
          <cell r="L5059" t="str">
            <v>MITR58</v>
          </cell>
          <cell r="M5059" t="str">
            <v>Mira Tani/Yudi, H</v>
          </cell>
          <cell r="N5059" t="str">
            <v>Wahyudi</v>
          </cell>
          <cell r="O5059" t="str">
            <v>Dsn. Glatik Timur, Kel. Glagahsari, Kec. Sukorejo</v>
          </cell>
          <cell r="P5059" t="str">
            <v>Pasuruan</v>
          </cell>
          <cell r="Q5059" t="str">
            <v>Jl. Pasar 66, Sukorejo</v>
          </cell>
          <cell r="R5059" t="str">
            <v>Pasuruan</v>
          </cell>
          <cell r="S5059" t="str">
            <v>F Utara1</v>
          </cell>
          <cell r="T5059" t="str">
            <v>Tomi</v>
          </cell>
          <cell r="U5059">
            <v>0</v>
          </cell>
        </row>
        <row r="5060">
          <cell r="E5060" t="str">
            <v>B25013512</v>
          </cell>
          <cell r="F5060"/>
          <cell r="G5060">
            <v>200000000</v>
          </cell>
          <cell r="H5060" t="str">
            <v>Ariyani</v>
          </cell>
          <cell r="I5060" t="str">
            <v>Fira</v>
          </cell>
          <cell r="J5060" t="str">
            <v>New 03/04/20</v>
          </cell>
          <cell r="K5060" t="str">
            <v>KU</v>
          </cell>
          <cell r="L5060" t="str">
            <v>MITR58</v>
          </cell>
          <cell r="M5060" t="str">
            <v>Mira Tani/Yudi, H</v>
          </cell>
          <cell r="N5060" t="str">
            <v>Wahyudi</v>
          </cell>
          <cell r="O5060" t="str">
            <v>Dsn. Glatik Timur, Kel. Glagahsari, Kec. Sukorejo</v>
          </cell>
          <cell r="P5060" t="str">
            <v>Pasuruan</v>
          </cell>
          <cell r="Q5060" t="str">
            <v>Jl. Pasar 66, Sukorejo</v>
          </cell>
          <cell r="R5060" t="str">
            <v>Pasuruan</v>
          </cell>
          <cell r="S5060" t="str">
            <v>F Utara1</v>
          </cell>
          <cell r="T5060" t="str">
            <v>Tomi</v>
          </cell>
          <cell r="U5060">
            <v>0</v>
          </cell>
        </row>
        <row r="5061">
          <cell r="E5061" t="str">
            <v>B25013694</v>
          </cell>
          <cell r="F5061"/>
          <cell r="G5061">
            <v>200000000</v>
          </cell>
          <cell r="H5061" t="str">
            <v>Ariyani</v>
          </cell>
          <cell r="I5061" t="str">
            <v>Fira</v>
          </cell>
          <cell r="J5061" t="str">
            <v>New 03/04/20</v>
          </cell>
          <cell r="K5061" t="str">
            <v>KU</v>
          </cell>
          <cell r="L5061" t="str">
            <v>MITR58</v>
          </cell>
          <cell r="M5061" t="str">
            <v>Mira Tani/Yudi, H</v>
          </cell>
          <cell r="N5061" t="str">
            <v>Wahyudi</v>
          </cell>
          <cell r="O5061" t="str">
            <v>Dsn. Glatik Timur, Kel. Glagahsari, Kec. Sukorejo</v>
          </cell>
          <cell r="P5061" t="str">
            <v>Pasuruan</v>
          </cell>
          <cell r="Q5061" t="str">
            <v>Jl. Pasar 66, Sukorejo</v>
          </cell>
          <cell r="R5061" t="str">
            <v>Pasuruan</v>
          </cell>
          <cell r="S5061" t="str">
            <v>F Utara1</v>
          </cell>
          <cell r="T5061" t="str">
            <v>Tomi</v>
          </cell>
          <cell r="U5061">
            <v>0</v>
          </cell>
        </row>
        <row r="5062">
          <cell r="E5062" t="str">
            <v>B25009599</v>
          </cell>
          <cell r="F5062"/>
          <cell r="G5062">
            <v>30000000</v>
          </cell>
          <cell r="H5062" t="str">
            <v>Zakia</v>
          </cell>
          <cell r="I5062" t="str">
            <v>Tiya</v>
          </cell>
          <cell r="J5062" t="str">
            <v>New 11/05/23</v>
          </cell>
          <cell r="K5062" t="str">
            <v>KU</v>
          </cell>
          <cell r="L5062" t="str">
            <v>M1SA01</v>
          </cell>
          <cell r="M5062" t="str">
            <v>MIS Agro/sahrawi</v>
          </cell>
          <cell r="N5062" t="str">
            <v>Sahrawi Y</v>
          </cell>
          <cell r="O5062" t="str">
            <v>Dsn. Sumber Batas, Kel. Klompang Barat, Kec. Pakong</v>
          </cell>
          <cell r="P5062" t="str">
            <v>Pamekasan</v>
          </cell>
          <cell r="Q5062" t="str">
            <v>Dsn. Sumber Batas, Kel. Klompang Barat, Kec. Pakong</v>
          </cell>
          <cell r="R5062" t="str">
            <v>Pamekasan</v>
          </cell>
          <cell r="S5062" t="str">
            <v>M Madura</v>
          </cell>
          <cell r="T5062" t="str">
            <v>Tomi</v>
          </cell>
          <cell r="U5062">
            <v>60</v>
          </cell>
        </row>
        <row r="5063">
          <cell r="E5063" t="str">
            <v>D25014140</v>
          </cell>
          <cell r="F5063"/>
          <cell r="G5063">
            <v>30000000</v>
          </cell>
          <cell r="H5063" t="str">
            <v>Zakia</v>
          </cell>
          <cell r="I5063" t="str">
            <v>Tiya</v>
          </cell>
          <cell r="J5063" t="str">
            <v>New 11/05/23</v>
          </cell>
          <cell r="K5063" t="str">
            <v>KU</v>
          </cell>
          <cell r="L5063" t="str">
            <v>M1SA01</v>
          </cell>
          <cell r="M5063" t="str">
            <v>MIS Agro/sahrawi</v>
          </cell>
          <cell r="N5063" t="str">
            <v>Sahrawi Y</v>
          </cell>
          <cell r="O5063" t="str">
            <v>Dsn. Sumber Batas, Kel. Klompang Barat, Kec. Pakong</v>
          </cell>
          <cell r="P5063" t="str">
            <v>Pamekasan</v>
          </cell>
          <cell r="Q5063" t="str">
            <v>Dsn. Sumber Batas, Kel. Klompang Barat, Kec. Pakong</v>
          </cell>
          <cell r="R5063" t="str">
            <v>Pamekasan</v>
          </cell>
          <cell r="S5063" t="str">
            <v>M Madura</v>
          </cell>
          <cell r="T5063" t="str">
            <v>Tomi</v>
          </cell>
          <cell r="U5063">
            <v>60</v>
          </cell>
        </row>
        <row r="5064">
          <cell r="E5064" t="str">
            <v>D25015653</v>
          </cell>
          <cell r="F5064"/>
          <cell r="G5064">
            <v>30000000</v>
          </cell>
          <cell r="H5064" t="str">
            <v>Zakia</v>
          </cell>
          <cell r="I5064" t="str">
            <v>Tiya</v>
          </cell>
          <cell r="J5064" t="str">
            <v>New 11/05/23</v>
          </cell>
          <cell r="K5064" t="str">
            <v>KU</v>
          </cell>
          <cell r="L5064" t="str">
            <v>M1SA01</v>
          </cell>
          <cell r="M5064" t="str">
            <v>MIS Agro/sahrawi</v>
          </cell>
          <cell r="N5064" t="str">
            <v>Sahrawi Y</v>
          </cell>
          <cell r="O5064" t="str">
            <v>Dsn. Sumber Batas, Kel. Klompang Barat, Kec. Pakong</v>
          </cell>
          <cell r="P5064" t="str">
            <v>Pamekasan</v>
          </cell>
          <cell r="Q5064" t="str">
            <v>Dsn. Sumber Batas, Kel. Klompang Barat, Kec. Pakong</v>
          </cell>
          <cell r="R5064" t="str">
            <v>Pamekasan</v>
          </cell>
          <cell r="S5064" t="str">
            <v>M Madura</v>
          </cell>
          <cell r="T5064" t="str">
            <v>Tomi</v>
          </cell>
          <cell r="U5064">
            <v>0</v>
          </cell>
        </row>
        <row r="5065">
          <cell r="E5065" t="str">
            <v>D25016261</v>
          </cell>
          <cell r="F5065"/>
          <cell r="G5065">
            <v>30000000</v>
          </cell>
          <cell r="H5065" t="str">
            <v>Zakia</v>
          </cell>
          <cell r="I5065" t="str">
            <v>Tiya</v>
          </cell>
          <cell r="J5065" t="str">
            <v>New 11/05/23</v>
          </cell>
          <cell r="K5065" t="str">
            <v>KU</v>
          </cell>
          <cell r="L5065" t="str">
            <v>M1SA01</v>
          </cell>
          <cell r="M5065" t="str">
            <v>MIS Agro/sahrawi</v>
          </cell>
          <cell r="N5065" t="str">
            <v>Sahrawi Y</v>
          </cell>
          <cell r="O5065" t="str">
            <v>Dsn. Sumber Batas, Kel. Klompang Barat, Kec. Pakong</v>
          </cell>
          <cell r="P5065" t="str">
            <v>Pamekasan</v>
          </cell>
          <cell r="Q5065" t="str">
            <v>Dsn. Sumber Batas, Kel. Klompang Barat, Kec. Pakong</v>
          </cell>
          <cell r="R5065" t="str">
            <v>Pamekasan</v>
          </cell>
          <cell r="S5065" t="str">
            <v>M Madura</v>
          </cell>
          <cell r="T5065" t="str">
            <v>Tomi</v>
          </cell>
          <cell r="U5065">
            <v>0</v>
          </cell>
        </row>
        <row r="5066">
          <cell r="E5066" t="str">
            <v>D25013449</v>
          </cell>
          <cell r="F5066"/>
          <cell r="G5066">
            <v>100000000</v>
          </cell>
          <cell r="H5066" t="str">
            <v>Yuyun</v>
          </cell>
          <cell r="I5066" t="str">
            <v>Farida</v>
          </cell>
          <cell r="J5066" t="str">
            <v>New 26/09/19</v>
          </cell>
          <cell r="K5066" t="str">
            <v>KU</v>
          </cell>
          <cell r="L5066" t="str">
            <v>MITR54</v>
          </cell>
          <cell r="M5066" t="str">
            <v>Mitra Indotani Abadi, PT</v>
          </cell>
          <cell r="N5066" t="str">
            <v>Mitra Indotani Abadi, PT</v>
          </cell>
          <cell r="O5066" t="str">
            <v>Jl. Semeru No.89, RT.001/RW.004 Ajung, Ajung, Kab. Jember</v>
          </cell>
          <cell r="P5066" t="str">
            <v>Jember</v>
          </cell>
          <cell r="Q5066" t="str">
            <v>Jl. Semeru No.89, RT.001/RW.004 Ajung, Ajung, Kab. Jember</v>
          </cell>
          <cell r="R5066" t="str">
            <v>Jember</v>
          </cell>
          <cell r="S5066" t="str">
            <v>L Kota1</v>
          </cell>
          <cell r="T5066" t="str">
            <v>OTHERS</v>
          </cell>
          <cell r="U5066">
            <v>30</v>
          </cell>
        </row>
        <row r="5067">
          <cell r="E5067" t="str">
            <v>R25000103</v>
          </cell>
          <cell r="F5067"/>
          <cell r="G5067">
            <v>1000</v>
          </cell>
          <cell r="H5067" t="str">
            <v>Yuyun</v>
          </cell>
          <cell r="I5067" t="str">
            <v>Syahra</v>
          </cell>
          <cell r="J5067" t="str">
            <v>New 15/05/23</v>
          </cell>
          <cell r="K5067" t="str">
            <v>KU</v>
          </cell>
          <cell r="L5067" t="str">
            <v>MITR73</v>
          </cell>
          <cell r="M5067" t="str">
            <v>Mitra Kreasidharma, PT</v>
          </cell>
          <cell r="N5067" t="str">
            <v>Mitra Kreasidharma, PT</v>
          </cell>
          <cell r="O5067" t="str">
            <v>Plaza Sentral Lt.5B, JL. Jendr. Sudirman, Karet Semanggi, Setiabudi</v>
          </cell>
          <cell r="P5067" t="str">
            <v>Jakarta Selatan</v>
          </cell>
          <cell r="Q5067" t="str">
            <v>Plaza Sentral Lt.5B, JL. Jendr. Sudirman, Karet Semanggi, Setiabudi</v>
          </cell>
          <cell r="R5067" t="str">
            <v>Jakarta Selatan</v>
          </cell>
          <cell r="S5067" t="str">
            <v>B Agronomis</v>
          </cell>
          <cell r="T5067" t="str">
            <v>Non SE &amp; JSE</v>
          </cell>
          <cell r="U5067">
            <v>0</v>
          </cell>
        </row>
        <row r="5068">
          <cell r="E5068" t="str">
            <v>B25012117</v>
          </cell>
          <cell r="F5068"/>
          <cell r="G5068">
            <v>25000000</v>
          </cell>
          <cell r="H5068" t="str">
            <v>Hendra</v>
          </cell>
          <cell r="I5068" t="str">
            <v>Tiya</v>
          </cell>
          <cell r="J5068" t="str">
            <v>New 09/04/20</v>
          </cell>
          <cell r="K5068" t="str">
            <v>KU</v>
          </cell>
          <cell r="L5068" t="str">
            <v>MITR59</v>
          </cell>
          <cell r="M5068" t="str">
            <v>Mitra Mandiri, UD/Heri</v>
          </cell>
          <cell r="N5068" t="str">
            <v>Heri Purnawan</v>
          </cell>
          <cell r="O5068" t="str">
            <v>Jl. Pelabuhan (Ud. Mitra Mandiri), Dsn. Kalende RT.008 Naru, Sape, Kab. Bima - NTB</v>
          </cell>
          <cell r="P5068" t="str">
            <v>Bima - NTB</v>
          </cell>
          <cell r="Q5068" t="str">
            <v>Jl. Pelabuhan (Ud. Mitra Mandiri), Dsn. Kalende RT.008 Naru, Sape, Kab. Bima - NTB</v>
          </cell>
          <cell r="R5068" t="str">
            <v>Bima - NTB</v>
          </cell>
          <cell r="S5068" t="str">
            <v>E Luar Pulau2</v>
          </cell>
          <cell r="T5068" t="str">
            <v>Muhlisin</v>
          </cell>
          <cell r="U5068">
            <v>45</v>
          </cell>
        </row>
        <row r="5069">
          <cell r="E5069" t="str">
            <v>B25009436</v>
          </cell>
          <cell r="F5069"/>
          <cell r="G5069">
            <v>30000000</v>
          </cell>
          <cell r="H5069" t="str">
            <v>Faris</v>
          </cell>
          <cell r="I5069" t="str">
            <v>Syahra</v>
          </cell>
          <cell r="J5069" t="str">
            <v>New 02/09/21</v>
          </cell>
          <cell r="K5069" t="str">
            <v>KU</v>
          </cell>
          <cell r="L5069" t="str">
            <v>MITR67</v>
          </cell>
          <cell r="M5069" t="str">
            <v>Mitra Tani 1</v>
          </cell>
          <cell r="N5069" t="str">
            <v>Muhammad Khoirul Anam</v>
          </cell>
          <cell r="O5069" t="str">
            <v>Dusun Mulyorejo, RT.005/RW.001, Kel. Wringinrejo, Kec. Gambiran</v>
          </cell>
          <cell r="P5069" t="str">
            <v>Banyuwangi</v>
          </cell>
          <cell r="Q5069" t="str">
            <v>Dusun Mulyorejo, RT.005/RW.001, Kel. Wringinrejo, Kec. Gambiran</v>
          </cell>
          <cell r="R5069" t="str">
            <v>Banyuwangi</v>
          </cell>
          <cell r="S5069" t="str">
            <v>H Bwi3</v>
          </cell>
          <cell r="T5069" t="str">
            <v>Hafid</v>
          </cell>
          <cell r="U5069">
            <v>30</v>
          </cell>
        </row>
        <row r="5070">
          <cell r="E5070" t="str">
            <v>T25001206</v>
          </cell>
          <cell r="F5070"/>
          <cell r="G5070">
            <v>30000000</v>
          </cell>
          <cell r="H5070" t="str">
            <v>Faris</v>
          </cell>
          <cell r="I5070" t="str">
            <v>Syahra</v>
          </cell>
          <cell r="J5070" t="str">
            <v>New 02/09/21</v>
          </cell>
          <cell r="K5070" t="str">
            <v>KU</v>
          </cell>
          <cell r="L5070" t="str">
            <v>MITR67</v>
          </cell>
          <cell r="M5070" t="str">
            <v>Mitra Tani 1</v>
          </cell>
          <cell r="N5070" t="str">
            <v>Muhammad Khoirul Anam</v>
          </cell>
          <cell r="O5070" t="str">
            <v>Dusun Mulyorejo, RT.005/RW.001, Kel. Wringinrejo, Kec. Gambiran</v>
          </cell>
          <cell r="P5070" t="str">
            <v>Banyuwangi</v>
          </cell>
          <cell r="Q5070" t="str">
            <v>Dusun Mulyorejo, RT.005/RW.001, Kel. Wringinrejo, Kec. Gambiran</v>
          </cell>
          <cell r="R5070" t="str">
            <v>Banyuwangi</v>
          </cell>
          <cell r="S5070" t="str">
            <v>H Bwi3</v>
          </cell>
          <cell r="T5070" t="str">
            <v>Hafid</v>
          </cell>
          <cell r="U5070">
            <v>60</v>
          </cell>
        </row>
        <row r="5071">
          <cell r="E5071" t="str">
            <v>T25001507</v>
          </cell>
          <cell r="F5071"/>
          <cell r="G5071">
            <v>30000000</v>
          </cell>
          <cell r="H5071" t="str">
            <v>Faris</v>
          </cell>
          <cell r="I5071" t="str">
            <v>Syahra</v>
          </cell>
          <cell r="J5071" t="str">
            <v>New 02/09/21</v>
          </cell>
          <cell r="K5071" t="str">
            <v>KU</v>
          </cell>
          <cell r="L5071" t="str">
            <v>MITR67</v>
          </cell>
          <cell r="M5071" t="str">
            <v>Mitra Tani 1</v>
          </cell>
          <cell r="N5071" t="str">
            <v>Muhammad Khoirul Anam</v>
          </cell>
          <cell r="O5071" t="str">
            <v>Dusun Mulyorejo, RT.005/RW.001, Kel. Wringinrejo, Kec. Gambiran</v>
          </cell>
          <cell r="P5071" t="str">
            <v>Banyuwangi</v>
          </cell>
          <cell r="Q5071" t="str">
            <v>Dusun Mulyorejo, RT.005/RW.001, Kel. Wringinrejo, Kec. Gambiran</v>
          </cell>
          <cell r="R5071" t="str">
            <v>Banyuwangi</v>
          </cell>
          <cell r="S5071" t="str">
            <v>H Bwi3</v>
          </cell>
          <cell r="T5071" t="str">
            <v>Hafid</v>
          </cell>
          <cell r="U5071">
            <v>60</v>
          </cell>
        </row>
        <row r="5072">
          <cell r="E5072" t="str">
            <v>T25001539</v>
          </cell>
          <cell r="F5072"/>
          <cell r="G5072">
            <v>30000000</v>
          </cell>
          <cell r="H5072" t="str">
            <v>Faris</v>
          </cell>
          <cell r="I5072" t="str">
            <v>Syahra</v>
          </cell>
          <cell r="J5072" t="str">
            <v>New 02/09/21</v>
          </cell>
          <cell r="K5072" t="str">
            <v>KU</v>
          </cell>
          <cell r="L5072" t="str">
            <v>MITR67</v>
          </cell>
          <cell r="M5072" t="str">
            <v>Mitra Tani 1</v>
          </cell>
          <cell r="N5072" t="str">
            <v>Muhammad Khoirul Anam</v>
          </cell>
          <cell r="O5072" t="str">
            <v>Dusun Mulyorejo, RT.005/RW.001, Kel. Wringinrejo, Kec. Gambiran</v>
          </cell>
          <cell r="P5072" t="str">
            <v>Banyuwangi</v>
          </cell>
          <cell r="Q5072" t="str">
            <v>Dusun Mulyorejo, RT.005/RW.001, Kel. Wringinrejo, Kec. Gambiran</v>
          </cell>
          <cell r="R5072" t="str">
            <v>Banyuwangi</v>
          </cell>
          <cell r="S5072" t="str">
            <v>H Bwi3</v>
          </cell>
          <cell r="T5072" t="str">
            <v>Hafid</v>
          </cell>
          <cell r="U5072">
            <v>60</v>
          </cell>
        </row>
        <row r="5073">
          <cell r="E5073" t="str">
            <v>D25015244</v>
          </cell>
          <cell r="F5073"/>
          <cell r="G5073">
            <v>1000</v>
          </cell>
          <cell r="H5073" t="str">
            <v>Faris</v>
          </cell>
          <cell r="I5073" t="str">
            <v>Syahra</v>
          </cell>
          <cell r="J5073"/>
          <cell r="K5073" t="str">
            <v>KU</v>
          </cell>
          <cell r="L5073" t="str">
            <v>MITR45</v>
          </cell>
          <cell r="M5073" t="str">
            <v>Mitra Tani Mambaul Huda</v>
          </cell>
          <cell r="N5073" t="str">
            <v>M. Sukron Adibi</v>
          </cell>
          <cell r="O5073" t="str">
            <v>Dsn. Sumberurip, RT.005/RW.011 Kel. Barurejo, Kec. Siliragung</v>
          </cell>
          <cell r="P5073" t="str">
            <v>Banyuwangi</v>
          </cell>
          <cell r="Q5073" t="str">
            <v>Dsn. Sumberurip, RT.005/RW.011 Kel. Barurejo, Kec. Siliragung</v>
          </cell>
          <cell r="R5073" t="str">
            <v>Banyuwangi</v>
          </cell>
          <cell r="S5073" t="str">
            <v>H Bwi4</v>
          </cell>
          <cell r="T5073" t="str">
            <v>Hafid</v>
          </cell>
          <cell r="U5073">
            <v>0</v>
          </cell>
        </row>
        <row r="5074">
          <cell r="E5074" t="str">
            <v>B25013254</v>
          </cell>
          <cell r="F5074"/>
          <cell r="G5074">
            <v>1000</v>
          </cell>
          <cell r="H5074" t="str">
            <v>Faris</v>
          </cell>
          <cell r="I5074" t="str">
            <v>Syahra</v>
          </cell>
          <cell r="J5074"/>
          <cell r="K5074" t="str">
            <v>KU</v>
          </cell>
          <cell r="L5074" t="str">
            <v>MITR45</v>
          </cell>
          <cell r="M5074" t="str">
            <v>Mitra Tani Mambaul Huda</v>
          </cell>
          <cell r="N5074" t="str">
            <v>M. Sukron Adibi</v>
          </cell>
          <cell r="O5074" t="str">
            <v>Dsn. Sumberurip, RT.005/RW.011 Kel. Barurejo, Kec. Siliragung</v>
          </cell>
          <cell r="P5074" t="str">
            <v>Banyuwangi</v>
          </cell>
          <cell r="Q5074" t="str">
            <v>Dsn. Sumberurip, RT.005/RW.011 Kel. Barurejo, Kec. Siliragung</v>
          </cell>
          <cell r="R5074" t="str">
            <v>Banyuwangi</v>
          </cell>
          <cell r="S5074" t="str">
            <v>H Bwi4</v>
          </cell>
          <cell r="T5074" t="str">
            <v>Hafid</v>
          </cell>
          <cell r="U5074">
            <v>0</v>
          </cell>
        </row>
        <row r="5075">
          <cell r="E5075" t="str">
            <v>B25012699</v>
          </cell>
          <cell r="F5075"/>
          <cell r="G5075">
            <v>1000</v>
          </cell>
          <cell r="H5075" t="str">
            <v>Reni</v>
          </cell>
          <cell r="I5075" t="str">
            <v>Farida</v>
          </cell>
          <cell r="J5075"/>
          <cell r="K5075" t="str">
            <v>KU</v>
          </cell>
          <cell r="L5075" t="str">
            <v>MITR04</v>
          </cell>
          <cell r="M5075" t="str">
            <v>Mitra Tani Sejati/Nol</v>
          </cell>
          <cell r="N5075" t="str">
            <v>Nol Arkamto</v>
          </cell>
          <cell r="O5075" t="str">
            <v>Kidul Lap.Suntani Mlarak</v>
          </cell>
          <cell r="P5075" t="str">
            <v>Ponorogo</v>
          </cell>
          <cell r="Q5075" t="str">
            <v>Kidul Lap.Suntani Mlarak</v>
          </cell>
          <cell r="R5075" t="str">
            <v>Ponorogo</v>
          </cell>
          <cell r="S5075" t="str">
            <v>D Barat2</v>
          </cell>
          <cell r="T5075" t="str">
            <v>Dian</v>
          </cell>
          <cell r="U5075">
            <v>0</v>
          </cell>
        </row>
        <row r="5076">
          <cell r="E5076" t="str">
            <v>B25012187</v>
          </cell>
          <cell r="F5076"/>
          <cell r="G5076">
            <v>20000000</v>
          </cell>
          <cell r="H5076" t="str">
            <v>Reni</v>
          </cell>
          <cell r="I5076" t="str">
            <v>Fira</v>
          </cell>
          <cell r="J5076" t="str">
            <v>New 26/09/22</v>
          </cell>
          <cell r="K5076" t="str">
            <v>KU</v>
          </cell>
          <cell r="L5076" t="str">
            <v>MITR71</v>
          </cell>
          <cell r="M5076" t="str">
            <v>Mitra Tani, UD/Gunawan</v>
          </cell>
          <cell r="N5076" t="str">
            <v>Gunawan Wibisono</v>
          </cell>
          <cell r="O5076" t="str">
            <v>Ds. Cekalang RT.006/RW.001, Kel. Cekalang Kec. Soko</v>
          </cell>
          <cell r="P5076" t="str">
            <v>Tuban</v>
          </cell>
          <cell r="Q5076" t="str">
            <v>Ds. Cekalang RT.006/RW.001, Kel. Cekalang Kec. Soko</v>
          </cell>
          <cell r="R5076" t="str">
            <v>Tuban</v>
          </cell>
          <cell r="S5076" t="str">
            <v>F Utara1</v>
          </cell>
          <cell r="T5076" t="str">
            <v>Dian</v>
          </cell>
          <cell r="U5076">
            <v>60</v>
          </cell>
        </row>
        <row r="5077">
          <cell r="E5077" t="str">
            <v>B25012730</v>
          </cell>
          <cell r="F5077"/>
          <cell r="G5077">
            <v>20000000</v>
          </cell>
          <cell r="H5077" t="str">
            <v>Reni</v>
          </cell>
          <cell r="I5077" t="str">
            <v>Fira</v>
          </cell>
          <cell r="J5077" t="str">
            <v>New 26/09/22</v>
          </cell>
          <cell r="K5077" t="str">
            <v>KU</v>
          </cell>
          <cell r="L5077" t="str">
            <v>MITR71</v>
          </cell>
          <cell r="M5077" t="str">
            <v>Mitra Tani, UD/Gunawan</v>
          </cell>
          <cell r="N5077" t="str">
            <v>Gunawan Wibisono</v>
          </cell>
          <cell r="O5077" t="str">
            <v>Ds. Cekalang RT.006/RW.001, Kel. Cekalang Kec. Soko</v>
          </cell>
          <cell r="P5077" t="str">
            <v>Tuban</v>
          </cell>
          <cell r="Q5077" t="str">
            <v>Ds. Cekalang RT.006/RW.001, Kel. Cekalang Kec. Soko</v>
          </cell>
          <cell r="R5077" t="str">
            <v>Tuban</v>
          </cell>
          <cell r="S5077" t="str">
            <v>F Utara1</v>
          </cell>
          <cell r="T5077" t="str">
            <v>Dian</v>
          </cell>
          <cell r="U5077">
            <v>60</v>
          </cell>
        </row>
        <row r="5078">
          <cell r="E5078" t="str">
            <v>B25012770</v>
          </cell>
          <cell r="F5078"/>
          <cell r="G5078">
            <v>20000000</v>
          </cell>
          <cell r="H5078" t="str">
            <v>Reni</v>
          </cell>
          <cell r="I5078" t="str">
            <v>Fira</v>
          </cell>
          <cell r="J5078" t="str">
            <v>New 26/09/22</v>
          </cell>
          <cell r="K5078" t="str">
            <v>KU</v>
          </cell>
          <cell r="L5078" t="str">
            <v>MITR71</v>
          </cell>
          <cell r="M5078" t="str">
            <v>Mitra Tani, UD/Gunawan</v>
          </cell>
          <cell r="N5078" t="str">
            <v>Gunawan Wibisono</v>
          </cell>
          <cell r="O5078" t="str">
            <v>Ds. Cekalang RT.006/RW.001, Kel. Cekalang Kec. Soko</v>
          </cell>
          <cell r="P5078" t="str">
            <v>Tuban</v>
          </cell>
          <cell r="Q5078" t="str">
            <v>Ds. Cekalang RT.006/RW.001, Kel. Cekalang Kec. Soko</v>
          </cell>
          <cell r="R5078" t="str">
            <v>Tuban</v>
          </cell>
          <cell r="S5078" t="str">
            <v>F Utara1</v>
          </cell>
          <cell r="T5078" t="str">
            <v>Dian</v>
          </cell>
          <cell r="U5078">
            <v>60</v>
          </cell>
        </row>
        <row r="5079">
          <cell r="E5079" t="str">
            <v>N25000027</v>
          </cell>
          <cell r="F5079"/>
          <cell r="G5079">
            <v>1000</v>
          </cell>
          <cell r="H5079" t="str">
            <v>Hendra</v>
          </cell>
          <cell r="I5079" t="str">
            <v>Tiya</v>
          </cell>
          <cell r="J5079" t="str">
            <v>New 11/05/22</v>
          </cell>
          <cell r="K5079" t="str">
            <v>KU</v>
          </cell>
          <cell r="L5079" t="str">
            <v>MITR69</v>
          </cell>
          <cell r="M5079" t="str">
            <v>Mitra Tani, UD/Ilham</v>
          </cell>
          <cell r="N5079" t="str">
            <v>ILham</v>
          </cell>
          <cell r="O5079" t="str">
            <v>JL. KH. Marzuki RT.003/RW.005, Kel. Karang Tengah, Kec. Karang Tengah</v>
          </cell>
          <cell r="P5079" t="str">
            <v>Tangerang</v>
          </cell>
          <cell r="Q5079" t="str">
            <v>Jln Lintas Sumbawa - Bima, Dusun Godo (Depan SD Dusun Godo), Desa Dadibou, Kec. Woha</v>
          </cell>
          <cell r="R5079" t="str">
            <v>Bima</v>
          </cell>
          <cell r="S5079" t="str">
            <v>E Luar Pulau2</v>
          </cell>
          <cell r="T5079" t="str">
            <v>Muhlisin</v>
          </cell>
          <cell r="U5079">
            <v>45</v>
          </cell>
        </row>
        <row r="5080">
          <cell r="E5080" t="str">
            <v>B25013342</v>
          </cell>
          <cell r="F5080"/>
          <cell r="G5080">
            <v>1000</v>
          </cell>
          <cell r="H5080" t="str">
            <v>Ariyani</v>
          </cell>
          <cell r="I5080" t="str">
            <v>Fira</v>
          </cell>
          <cell r="J5080" t="str">
            <v>New 18/10/25</v>
          </cell>
          <cell r="K5080" t="str">
            <v>KU</v>
          </cell>
          <cell r="L5080" t="str">
            <v>MITR83</v>
          </cell>
          <cell r="M5080" t="str">
            <v>Mitra Tani, UD/Joko</v>
          </cell>
          <cell r="N5080" t="str">
            <v>Joko Susilo</v>
          </cell>
          <cell r="O5080" t="str">
            <v>Dusun Timur TR.013/RW.003, Kel. Krucil, Kec. Krucil</v>
          </cell>
          <cell r="P5080" t="str">
            <v>Probolinggo</v>
          </cell>
          <cell r="Q5080" t="str">
            <v>Dusun Timur TR.013/RW.003, Kel. Krucil, Kec. Krucil</v>
          </cell>
          <cell r="R5080" t="str">
            <v>Probolinggo</v>
          </cell>
          <cell r="S5080" t="str">
            <v>G Prob1</v>
          </cell>
          <cell r="T5080" t="str">
            <v>Wira</v>
          </cell>
          <cell r="U5080">
            <v>0</v>
          </cell>
        </row>
        <row r="5081">
          <cell r="E5081" t="str">
            <v>B25012108</v>
          </cell>
          <cell r="F5081"/>
          <cell r="G5081">
            <v>25000000</v>
          </cell>
          <cell r="H5081" t="str">
            <v>Faris</v>
          </cell>
          <cell r="I5081" t="str">
            <v>Syahra</v>
          </cell>
          <cell r="J5081" t="str">
            <v>New 13/10/20</v>
          </cell>
          <cell r="K5081" t="str">
            <v>KU, Tunai</v>
          </cell>
          <cell r="L5081" t="str">
            <v>MITR63</v>
          </cell>
          <cell r="M5081" t="str">
            <v>Mitra Tani/Alfan</v>
          </cell>
          <cell r="N5081" t="str">
            <v>Alfan Sugiarto</v>
          </cell>
          <cell r="O5081" t="str">
            <v>Dsn. Grundo Lumutan RT.023/RW.006, Kel. Lumutan, Kec. Botolinggo</v>
          </cell>
          <cell r="P5081" t="str">
            <v>Bondowoso</v>
          </cell>
          <cell r="Q5081" t="str">
            <v>Dsn. Grundo Lumutan RT.023/RW.006, Kel. Lumutan, Kec. Botolinggo</v>
          </cell>
          <cell r="R5081" t="str">
            <v>Bondowoso</v>
          </cell>
          <cell r="S5081" t="str">
            <v>N Bdw Stb</v>
          </cell>
          <cell r="T5081" t="str">
            <v>Wira</v>
          </cell>
          <cell r="U5081">
            <v>30</v>
          </cell>
        </row>
        <row r="5082">
          <cell r="E5082" t="str">
            <v>B25012109</v>
          </cell>
          <cell r="F5082"/>
          <cell r="G5082">
            <v>25000000</v>
          </cell>
          <cell r="H5082" t="str">
            <v>Faris</v>
          </cell>
          <cell r="I5082" t="str">
            <v>Syahra</v>
          </cell>
          <cell r="J5082" t="str">
            <v>New 13/10/20</v>
          </cell>
          <cell r="K5082" t="str">
            <v>KU, Tunai</v>
          </cell>
          <cell r="L5082" t="str">
            <v>MITR63</v>
          </cell>
          <cell r="M5082" t="str">
            <v>Mitra Tani/Alfan</v>
          </cell>
          <cell r="N5082" t="str">
            <v>Alfan Sugiarto</v>
          </cell>
          <cell r="O5082" t="str">
            <v>Dsn. Grundo Lumutan RT.023/RW.006, Kel. Lumutan, Kec. Botolinggo</v>
          </cell>
          <cell r="P5082" t="str">
            <v>Bondowoso</v>
          </cell>
          <cell r="Q5082" t="str">
            <v>Dsn. Grundo Lumutan RT.023/RW.006, Kel. Lumutan, Kec. Botolinggo</v>
          </cell>
          <cell r="R5082" t="str">
            <v>Bondowoso</v>
          </cell>
          <cell r="S5082" t="str">
            <v>N Bdw Stb</v>
          </cell>
          <cell r="T5082" t="str">
            <v>Wira</v>
          </cell>
          <cell r="U5082">
            <v>30</v>
          </cell>
        </row>
        <row r="5083">
          <cell r="E5083" t="str">
            <v>B25012732</v>
          </cell>
          <cell r="F5083"/>
          <cell r="G5083">
            <v>25000000</v>
          </cell>
          <cell r="H5083" t="str">
            <v>Faris</v>
          </cell>
          <cell r="I5083" t="str">
            <v>Syahra</v>
          </cell>
          <cell r="J5083" t="str">
            <v>New 13/10/20</v>
          </cell>
          <cell r="K5083" t="str">
            <v>KU, Tunai</v>
          </cell>
          <cell r="L5083" t="str">
            <v>MITR63</v>
          </cell>
          <cell r="M5083" t="str">
            <v>Mitra Tani/Alfan</v>
          </cell>
          <cell r="N5083" t="str">
            <v>Alfan Sugiarto</v>
          </cell>
          <cell r="O5083" t="str">
            <v>Dsn. Grundo Lumutan RT.023/RW.006, Kel. Lumutan, Kec. Botolinggo</v>
          </cell>
          <cell r="P5083" t="str">
            <v>Bondowoso</v>
          </cell>
          <cell r="Q5083" t="str">
            <v>Dsn. Grundo Lumutan RT.023/RW.006, Kel. Lumutan, Kec. Botolinggo</v>
          </cell>
          <cell r="R5083" t="str">
            <v>Bondowoso</v>
          </cell>
          <cell r="S5083" t="str">
            <v>N Bdw Stb</v>
          </cell>
          <cell r="T5083" t="str">
            <v>Wira</v>
          </cell>
          <cell r="U5083">
            <v>30</v>
          </cell>
        </row>
        <row r="5084">
          <cell r="E5084" t="str">
            <v>B25012745</v>
          </cell>
          <cell r="F5084"/>
          <cell r="G5084">
            <v>25000000</v>
          </cell>
          <cell r="H5084" t="str">
            <v>Faris</v>
          </cell>
          <cell r="I5084" t="str">
            <v>Syahra</v>
          </cell>
          <cell r="J5084" t="str">
            <v>New 13/10/20</v>
          </cell>
          <cell r="K5084" t="str">
            <v>KU, Tunai</v>
          </cell>
          <cell r="L5084" t="str">
            <v>MITR63</v>
          </cell>
          <cell r="M5084" t="str">
            <v>Mitra Tani/Alfan</v>
          </cell>
          <cell r="N5084" t="str">
            <v>Alfan Sugiarto</v>
          </cell>
          <cell r="O5084" t="str">
            <v>Dsn. Grundo Lumutan RT.023/RW.006, Kel. Lumutan, Kec. Botolinggo</v>
          </cell>
          <cell r="P5084" t="str">
            <v>Bondowoso</v>
          </cell>
          <cell r="Q5084" t="str">
            <v>Dsn. Grundo Lumutan RT.023/RW.006, Kel. Lumutan, Kec. Botolinggo</v>
          </cell>
          <cell r="R5084" t="str">
            <v>Bondowoso</v>
          </cell>
          <cell r="S5084" t="str">
            <v>N Bdw Stb</v>
          </cell>
          <cell r="T5084" t="str">
            <v>Wira</v>
          </cell>
          <cell r="U5084">
            <v>30</v>
          </cell>
        </row>
        <row r="5085">
          <cell r="E5085" t="str">
            <v>B25013103</v>
          </cell>
          <cell r="F5085"/>
          <cell r="G5085">
            <v>25000000</v>
          </cell>
          <cell r="H5085" t="str">
            <v>Faris</v>
          </cell>
          <cell r="I5085" t="str">
            <v>Syahra</v>
          </cell>
          <cell r="J5085" t="str">
            <v>New 13/10/20</v>
          </cell>
          <cell r="K5085" t="str">
            <v>KU, Tunai</v>
          </cell>
          <cell r="L5085" t="str">
            <v>MITR63</v>
          </cell>
          <cell r="M5085" t="str">
            <v>Mitra Tani/Alfan</v>
          </cell>
          <cell r="N5085" t="str">
            <v>Alfan Sugiarto</v>
          </cell>
          <cell r="O5085" t="str">
            <v>Dsn. Grundo Lumutan RT.023/RW.006, Kel. Lumutan, Kec. Botolinggo</v>
          </cell>
          <cell r="P5085" t="str">
            <v>Bondowoso</v>
          </cell>
          <cell r="Q5085" t="str">
            <v>Dsn. Grundo Lumutan RT.023/RW.006, Kel. Lumutan, Kec. Botolinggo</v>
          </cell>
          <cell r="R5085" t="str">
            <v>Bondowoso</v>
          </cell>
          <cell r="S5085" t="str">
            <v>N Bdw Stb</v>
          </cell>
          <cell r="T5085" t="str">
            <v>Wira</v>
          </cell>
          <cell r="U5085">
            <v>30</v>
          </cell>
        </row>
        <row r="5086">
          <cell r="E5086" t="str">
            <v>B25009974</v>
          </cell>
          <cell r="F5086"/>
          <cell r="G5086">
            <v>60000000</v>
          </cell>
          <cell r="H5086" t="str">
            <v>Reni</v>
          </cell>
          <cell r="I5086" t="str">
            <v>Fira</v>
          </cell>
          <cell r="J5086"/>
          <cell r="K5086" t="str">
            <v>KU</v>
          </cell>
          <cell r="L5086" t="str">
            <v>MITR24</v>
          </cell>
          <cell r="M5086" t="str">
            <v>Mitra Tani/Bajuri</v>
          </cell>
          <cell r="N5086" t="str">
            <v>Bajuri</v>
          </cell>
          <cell r="O5086" t="str">
            <v>Wadung, RT.001/RW.002, Wadung, Jeni, Kab. Tuban</v>
          </cell>
          <cell r="P5086" t="str">
            <v>Tuban</v>
          </cell>
          <cell r="Q5086" t="str">
            <v>Jenu</v>
          </cell>
          <cell r="R5086" t="str">
            <v>Tuban</v>
          </cell>
          <cell r="S5086" t="str">
            <v>F Utara1</v>
          </cell>
          <cell r="T5086" t="str">
            <v>Dian</v>
          </cell>
          <cell r="U5086">
            <v>60</v>
          </cell>
        </row>
        <row r="5087">
          <cell r="E5087" t="str">
            <v>D25015275</v>
          </cell>
          <cell r="F5087"/>
          <cell r="G5087">
            <v>60000000</v>
          </cell>
          <cell r="H5087" t="str">
            <v>Reni</v>
          </cell>
          <cell r="I5087" t="str">
            <v>Fira</v>
          </cell>
          <cell r="J5087"/>
          <cell r="K5087" t="str">
            <v>KU</v>
          </cell>
          <cell r="L5087" t="str">
            <v>MITR24</v>
          </cell>
          <cell r="M5087" t="str">
            <v>Mitra Tani/Bajuri</v>
          </cell>
          <cell r="N5087" t="str">
            <v>Bajuri</v>
          </cell>
          <cell r="O5087" t="str">
            <v>Wadung, RT.001/RW.002, Wadung, Jeni, Kab. Tuban</v>
          </cell>
          <cell r="P5087" t="str">
            <v>Tuban</v>
          </cell>
          <cell r="Q5087" t="str">
            <v>Jenu</v>
          </cell>
          <cell r="R5087" t="str">
            <v>Tuban</v>
          </cell>
          <cell r="S5087" t="str">
            <v>F Utara1</v>
          </cell>
          <cell r="T5087" t="str">
            <v>Dian</v>
          </cell>
          <cell r="U5087">
            <v>60</v>
          </cell>
        </row>
        <row r="5088">
          <cell r="E5088" t="str">
            <v>B25010069</v>
          </cell>
          <cell r="F5088"/>
          <cell r="G5088">
            <v>500000000</v>
          </cell>
          <cell r="H5088" t="str">
            <v>Faris</v>
          </cell>
          <cell r="I5088" t="str">
            <v>Syahra</v>
          </cell>
          <cell r="J5088"/>
          <cell r="K5088" t="str">
            <v>KU</v>
          </cell>
          <cell r="L5088" t="str">
            <v>MITR09</v>
          </cell>
          <cell r="M5088" t="str">
            <v>Mitra Tani/Eko Susanto</v>
          </cell>
          <cell r="N5088" t="str">
            <v>Eko Susanto</v>
          </cell>
          <cell r="O5088" t="str">
            <v>Dsn. Krajan, RT.003/RW.001, Gendoh, Sempu</v>
          </cell>
          <cell r="P5088" t="str">
            <v>Banyuwangi</v>
          </cell>
          <cell r="Q5088" t="str">
            <v>Dsn. Krajan, RT.003/RW.001, Gendoh, Sempu</v>
          </cell>
          <cell r="R5088" t="str">
            <v>Banyuwangi</v>
          </cell>
          <cell r="S5088" t="str">
            <v>H Bwi1</v>
          </cell>
          <cell r="T5088" t="str">
            <v>Hafid</v>
          </cell>
          <cell r="U5088">
            <v>30</v>
          </cell>
        </row>
        <row r="5089">
          <cell r="E5089" t="str">
            <v>B25010070</v>
          </cell>
          <cell r="F5089"/>
          <cell r="G5089">
            <v>500000000</v>
          </cell>
          <cell r="H5089" t="str">
            <v>Faris</v>
          </cell>
          <cell r="I5089" t="str">
            <v>Syahra</v>
          </cell>
          <cell r="J5089"/>
          <cell r="K5089" t="str">
            <v>KU</v>
          </cell>
          <cell r="L5089" t="str">
            <v>MITR09</v>
          </cell>
          <cell r="M5089" t="str">
            <v>Mitra Tani/Eko Susanto</v>
          </cell>
          <cell r="N5089" t="str">
            <v>Eko Susanto</v>
          </cell>
          <cell r="O5089" t="str">
            <v>Dsn. Krajan, RT.003/RW.001, Gendoh, Sempu</v>
          </cell>
          <cell r="P5089" t="str">
            <v>Banyuwangi</v>
          </cell>
          <cell r="Q5089" t="str">
            <v>Dsn. Krajan, RT.003/RW.001, Gendoh, Sempu</v>
          </cell>
          <cell r="R5089" t="str">
            <v>Banyuwangi</v>
          </cell>
          <cell r="S5089" t="str">
            <v>H Bwi1</v>
          </cell>
          <cell r="T5089" t="str">
            <v>Hafid</v>
          </cell>
          <cell r="U5089">
            <v>30</v>
          </cell>
        </row>
        <row r="5090">
          <cell r="E5090" t="str">
            <v>B25010469</v>
          </cell>
          <cell r="F5090"/>
          <cell r="G5090">
            <v>500000000</v>
          </cell>
          <cell r="H5090" t="str">
            <v>Faris</v>
          </cell>
          <cell r="I5090" t="str">
            <v>Syahra</v>
          </cell>
          <cell r="J5090"/>
          <cell r="K5090" t="str">
            <v>KU</v>
          </cell>
          <cell r="L5090" t="str">
            <v>MITR09</v>
          </cell>
          <cell r="M5090" t="str">
            <v>Mitra Tani/Eko Susanto</v>
          </cell>
          <cell r="N5090" t="str">
            <v>Eko Susanto</v>
          </cell>
          <cell r="O5090" t="str">
            <v>Dsn. Krajan, RT.003/RW.001, Gendoh, Sempu</v>
          </cell>
          <cell r="P5090" t="str">
            <v>Banyuwangi</v>
          </cell>
          <cell r="Q5090" t="str">
            <v>Dsn. Krajan, RT.003/RW.001, Gendoh, Sempu</v>
          </cell>
          <cell r="R5090" t="str">
            <v>Banyuwangi</v>
          </cell>
          <cell r="S5090" t="str">
            <v>H Bwi1</v>
          </cell>
          <cell r="T5090" t="str">
            <v>Hafid</v>
          </cell>
          <cell r="U5090">
            <v>30</v>
          </cell>
        </row>
        <row r="5091">
          <cell r="E5091" t="str">
            <v>B25010470</v>
          </cell>
          <cell r="F5091"/>
          <cell r="G5091">
            <v>500000000</v>
          </cell>
          <cell r="H5091" t="str">
            <v>Faris</v>
          </cell>
          <cell r="I5091" t="str">
            <v>Syahra</v>
          </cell>
          <cell r="J5091"/>
          <cell r="K5091" t="str">
            <v>KU</v>
          </cell>
          <cell r="L5091" t="str">
            <v>MITR09</v>
          </cell>
          <cell r="M5091" t="str">
            <v>Mitra Tani/Eko Susanto</v>
          </cell>
          <cell r="N5091" t="str">
            <v>Eko Susanto</v>
          </cell>
          <cell r="O5091" t="str">
            <v>Dsn. Krajan, RT.003/RW.001, Gendoh, Sempu</v>
          </cell>
          <cell r="P5091" t="str">
            <v>Banyuwangi</v>
          </cell>
          <cell r="Q5091" t="str">
            <v>Dsn. Krajan, RT.003/RW.001, Gendoh, Sempu</v>
          </cell>
          <cell r="R5091" t="str">
            <v>Banyuwangi</v>
          </cell>
          <cell r="S5091" t="str">
            <v>H Bwi1</v>
          </cell>
          <cell r="T5091" t="str">
            <v>Hafid</v>
          </cell>
          <cell r="U5091">
            <v>30</v>
          </cell>
        </row>
        <row r="5092">
          <cell r="E5092" t="str">
            <v>B25010471</v>
          </cell>
          <cell r="F5092"/>
          <cell r="G5092">
            <v>500000000</v>
          </cell>
          <cell r="H5092" t="str">
            <v>Faris</v>
          </cell>
          <cell r="I5092" t="str">
            <v>Syahra</v>
          </cell>
          <cell r="J5092"/>
          <cell r="K5092" t="str">
            <v>KU</v>
          </cell>
          <cell r="L5092" t="str">
            <v>MITR09</v>
          </cell>
          <cell r="M5092" t="str">
            <v>Mitra Tani/Eko Susanto</v>
          </cell>
          <cell r="N5092" t="str">
            <v>Eko Susanto</v>
          </cell>
          <cell r="O5092" t="str">
            <v>Dsn. Krajan, RT.003/RW.001, Gendoh, Sempu</v>
          </cell>
          <cell r="P5092" t="str">
            <v>Banyuwangi</v>
          </cell>
          <cell r="Q5092" t="str">
            <v>Dsn. Krajan, RT.003/RW.001, Gendoh, Sempu</v>
          </cell>
          <cell r="R5092" t="str">
            <v>Banyuwangi</v>
          </cell>
          <cell r="S5092" t="str">
            <v>H Bwi1</v>
          </cell>
          <cell r="T5092" t="str">
            <v>Hafid</v>
          </cell>
          <cell r="U5092">
            <v>30</v>
          </cell>
        </row>
        <row r="5093">
          <cell r="E5093" t="str">
            <v>D25012702</v>
          </cell>
          <cell r="F5093"/>
          <cell r="G5093">
            <v>500000000</v>
          </cell>
          <cell r="H5093" t="str">
            <v>Faris</v>
          </cell>
          <cell r="I5093" t="str">
            <v>Syahra</v>
          </cell>
          <cell r="J5093"/>
          <cell r="K5093" t="str">
            <v>KU</v>
          </cell>
          <cell r="L5093" t="str">
            <v>MITR09</v>
          </cell>
          <cell r="M5093" t="str">
            <v>Mitra Tani/Eko Susanto</v>
          </cell>
          <cell r="N5093" t="str">
            <v>Eko Susanto</v>
          </cell>
          <cell r="O5093" t="str">
            <v>Dsn. Krajan, RT.003/RW.001, Gendoh, Sempu</v>
          </cell>
          <cell r="P5093" t="str">
            <v>Banyuwangi</v>
          </cell>
          <cell r="Q5093" t="str">
            <v>Dsn. Krajan, RT.003/RW.001, Gendoh, Sempu</v>
          </cell>
          <cell r="R5093" t="str">
            <v>Banyuwangi</v>
          </cell>
          <cell r="S5093" t="str">
            <v>H Bwi1</v>
          </cell>
          <cell r="T5093" t="str">
            <v>Hafid</v>
          </cell>
          <cell r="U5093">
            <v>30</v>
          </cell>
        </row>
        <row r="5094">
          <cell r="E5094" t="str">
            <v>D25012703</v>
          </cell>
          <cell r="F5094"/>
          <cell r="G5094">
            <v>500000000</v>
          </cell>
          <cell r="H5094" t="str">
            <v>Faris</v>
          </cell>
          <cell r="I5094" t="str">
            <v>Syahra</v>
          </cell>
          <cell r="J5094"/>
          <cell r="K5094" t="str">
            <v>KU</v>
          </cell>
          <cell r="L5094" t="str">
            <v>MITR09</v>
          </cell>
          <cell r="M5094" t="str">
            <v>Mitra Tani/Eko Susanto</v>
          </cell>
          <cell r="N5094" t="str">
            <v>Eko Susanto</v>
          </cell>
          <cell r="O5094" t="str">
            <v>Dsn. Krajan, RT.003/RW.001, Gendoh, Sempu</v>
          </cell>
          <cell r="P5094" t="str">
            <v>Banyuwangi</v>
          </cell>
          <cell r="Q5094" t="str">
            <v>Dsn. Krajan, RT.003/RW.001, Gendoh, Sempu</v>
          </cell>
          <cell r="R5094" t="str">
            <v>Banyuwangi</v>
          </cell>
          <cell r="S5094" t="str">
            <v>H Bwi1</v>
          </cell>
          <cell r="T5094" t="str">
            <v>Hafid</v>
          </cell>
          <cell r="U5094">
            <v>60</v>
          </cell>
        </row>
        <row r="5095">
          <cell r="E5095" t="str">
            <v>B25010765</v>
          </cell>
          <cell r="F5095"/>
          <cell r="G5095">
            <v>500000000</v>
          </cell>
          <cell r="H5095" t="str">
            <v>Faris</v>
          </cell>
          <cell r="I5095" t="str">
            <v>Syahra</v>
          </cell>
          <cell r="J5095"/>
          <cell r="K5095" t="str">
            <v>KU</v>
          </cell>
          <cell r="L5095" t="str">
            <v>MITR09</v>
          </cell>
          <cell r="M5095" t="str">
            <v>Mitra Tani/Eko Susanto</v>
          </cell>
          <cell r="N5095" t="str">
            <v>Eko Susanto</v>
          </cell>
          <cell r="O5095" t="str">
            <v>Dsn. Krajan, RT.003/RW.001, Gendoh, Sempu</v>
          </cell>
          <cell r="P5095" t="str">
            <v>Banyuwangi</v>
          </cell>
          <cell r="Q5095" t="str">
            <v>Dsn. Krajan, RT.003/RW.001, Gendoh, Sempu</v>
          </cell>
          <cell r="R5095" t="str">
            <v>Banyuwangi</v>
          </cell>
          <cell r="S5095" t="str">
            <v>H Bwi1</v>
          </cell>
          <cell r="T5095" t="str">
            <v>Hafid</v>
          </cell>
          <cell r="U5095">
            <v>30</v>
          </cell>
        </row>
        <row r="5096">
          <cell r="E5096" t="str">
            <v>B25010766</v>
          </cell>
          <cell r="F5096"/>
          <cell r="G5096">
            <v>500000000</v>
          </cell>
          <cell r="H5096" t="str">
            <v>Faris</v>
          </cell>
          <cell r="I5096" t="str">
            <v>Syahra</v>
          </cell>
          <cell r="J5096"/>
          <cell r="K5096" t="str">
            <v>KU</v>
          </cell>
          <cell r="L5096" t="str">
            <v>MITR09</v>
          </cell>
          <cell r="M5096" t="str">
            <v>Mitra Tani/Eko Susanto</v>
          </cell>
          <cell r="N5096" t="str">
            <v>Eko Susanto</v>
          </cell>
          <cell r="O5096" t="str">
            <v>Dsn. Krajan, RT.003/RW.001, Gendoh, Sempu</v>
          </cell>
          <cell r="P5096" t="str">
            <v>Banyuwangi</v>
          </cell>
          <cell r="Q5096" t="str">
            <v>Dsn. Krajan, RT.003/RW.001, Gendoh, Sempu</v>
          </cell>
          <cell r="R5096" t="str">
            <v>Banyuwangi</v>
          </cell>
          <cell r="S5096" t="str">
            <v>H Bwi1</v>
          </cell>
          <cell r="T5096" t="str">
            <v>Hafid</v>
          </cell>
          <cell r="U5096">
            <v>30</v>
          </cell>
        </row>
        <row r="5097">
          <cell r="E5097" t="str">
            <v>B25010767</v>
          </cell>
          <cell r="F5097"/>
          <cell r="G5097">
            <v>500000000</v>
          </cell>
          <cell r="H5097" t="str">
            <v>Faris</v>
          </cell>
          <cell r="I5097" t="str">
            <v>Syahra</v>
          </cell>
          <cell r="J5097"/>
          <cell r="K5097" t="str">
            <v>KU</v>
          </cell>
          <cell r="L5097" t="str">
            <v>MITR09</v>
          </cell>
          <cell r="M5097" t="str">
            <v>Mitra Tani/Eko Susanto</v>
          </cell>
          <cell r="N5097" t="str">
            <v>Eko Susanto</v>
          </cell>
          <cell r="O5097" t="str">
            <v>Dsn. Krajan, RT.003/RW.001, Gendoh, Sempu</v>
          </cell>
          <cell r="P5097" t="str">
            <v>Banyuwangi</v>
          </cell>
          <cell r="Q5097" t="str">
            <v>Dsn. Krajan, RT.003/RW.001, Gendoh, Sempu</v>
          </cell>
          <cell r="R5097" t="str">
            <v>Banyuwangi</v>
          </cell>
          <cell r="S5097" t="str">
            <v>H Bwi1</v>
          </cell>
          <cell r="T5097" t="str">
            <v>Hafid</v>
          </cell>
          <cell r="U5097">
            <v>30</v>
          </cell>
        </row>
        <row r="5098">
          <cell r="E5098" t="str">
            <v>D25012828</v>
          </cell>
          <cell r="F5098"/>
          <cell r="G5098">
            <v>500000000</v>
          </cell>
          <cell r="H5098" t="str">
            <v>Faris</v>
          </cell>
          <cell r="I5098" t="str">
            <v>Syahra</v>
          </cell>
          <cell r="J5098"/>
          <cell r="K5098" t="str">
            <v>KU</v>
          </cell>
          <cell r="L5098" t="str">
            <v>MITR09</v>
          </cell>
          <cell r="M5098" t="str">
            <v>Mitra Tani/Eko Susanto</v>
          </cell>
          <cell r="N5098" t="str">
            <v>Eko Susanto</v>
          </cell>
          <cell r="O5098" t="str">
            <v>Dsn. Krajan, RT.003/RW.001, Gendoh, Sempu</v>
          </cell>
          <cell r="P5098" t="str">
            <v>Banyuwangi</v>
          </cell>
          <cell r="Q5098" t="str">
            <v>Dsn. Krajan, RT.003/RW.001, Gendoh, Sempu</v>
          </cell>
          <cell r="R5098" t="str">
            <v>Banyuwangi</v>
          </cell>
          <cell r="S5098" t="str">
            <v>H Bwi1</v>
          </cell>
          <cell r="T5098" t="str">
            <v>Hafid</v>
          </cell>
          <cell r="U5098">
            <v>30</v>
          </cell>
        </row>
        <row r="5099">
          <cell r="E5099" t="str">
            <v>D25013193</v>
          </cell>
          <cell r="F5099"/>
          <cell r="G5099">
            <v>500000000</v>
          </cell>
          <cell r="H5099" t="str">
            <v>Faris</v>
          </cell>
          <cell r="I5099" t="str">
            <v>Syahra</v>
          </cell>
          <cell r="J5099"/>
          <cell r="K5099" t="str">
            <v>KU</v>
          </cell>
          <cell r="L5099" t="str">
            <v>MITR09</v>
          </cell>
          <cell r="M5099" t="str">
            <v>Mitra Tani/Eko Susanto</v>
          </cell>
          <cell r="N5099" t="str">
            <v>Eko Susanto</v>
          </cell>
          <cell r="O5099" t="str">
            <v>Dsn. Krajan, RT.003/RW.001, Gendoh, Sempu</v>
          </cell>
          <cell r="P5099" t="str">
            <v>Banyuwangi</v>
          </cell>
          <cell r="Q5099" t="str">
            <v>Dsn. Krajan, RT.003/RW.001, Gendoh, Sempu</v>
          </cell>
          <cell r="R5099" t="str">
            <v>Banyuwangi</v>
          </cell>
          <cell r="S5099" t="str">
            <v>H Bwi1</v>
          </cell>
          <cell r="T5099" t="str">
            <v>Hafid</v>
          </cell>
          <cell r="U5099">
            <v>30</v>
          </cell>
        </row>
        <row r="5100">
          <cell r="E5100" t="str">
            <v>D25013194</v>
          </cell>
          <cell r="F5100"/>
          <cell r="G5100">
            <v>500000000</v>
          </cell>
          <cell r="H5100" t="str">
            <v>Faris</v>
          </cell>
          <cell r="I5100" t="str">
            <v>Syahra</v>
          </cell>
          <cell r="J5100"/>
          <cell r="K5100" t="str">
            <v>KU</v>
          </cell>
          <cell r="L5100" t="str">
            <v>MITR09</v>
          </cell>
          <cell r="M5100" t="str">
            <v>Mitra Tani/Eko Susanto</v>
          </cell>
          <cell r="N5100" t="str">
            <v>Eko Susanto</v>
          </cell>
          <cell r="O5100" t="str">
            <v>Dsn. Krajan, RT.003/RW.001, Gendoh, Sempu</v>
          </cell>
          <cell r="P5100" t="str">
            <v>Banyuwangi</v>
          </cell>
          <cell r="Q5100" t="str">
            <v>Dsn. Krajan, RT.003/RW.001, Gendoh, Sempu</v>
          </cell>
          <cell r="R5100" t="str">
            <v>Banyuwangi</v>
          </cell>
          <cell r="S5100" t="str">
            <v>H Bwi1</v>
          </cell>
          <cell r="T5100" t="str">
            <v>Hafid</v>
          </cell>
          <cell r="U5100">
            <v>30</v>
          </cell>
        </row>
        <row r="5101">
          <cell r="E5101" t="str">
            <v>D25013270</v>
          </cell>
          <cell r="F5101"/>
          <cell r="G5101">
            <v>500000000</v>
          </cell>
          <cell r="H5101" t="str">
            <v>Faris</v>
          </cell>
          <cell r="I5101" t="str">
            <v>Syahra</v>
          </cell>
          <cell r="J5101"/>
          <cell r="K5101" t="str">
            <v>KU</v>
          </cell>
          <cell r="L5101" t="str">
            <v>MITR09</v>
          </cell>
          <cell r="M5101" t="str">
            <v>Mitra Tani/Eko Susanto</v>
          </cell>
          <cell r="N5101" t="str">
            <v>Eko Susanto</v>
          </cell>
          <cell r="O5101" t="str">
            <v>Dsn. Krajan, RT.003/RW.001, Gendoh, Sempu</v>
          </cell>
          <cell r="P5101" t="str">
            <v>Banyuwangi</v>
          </cell>
          <cell r="Q5101" t="str">
            <v>Dsn. Krajan, RT.003/RW.001, Gendoh, Sempu</v>
          </cell>
          <cell r="R5101" t="str">
            <v>Banyuwangi</v>
          </cell>
          <cell r="S5101" t="str">
            <v>H Bwi1</v>
          </cell>
          <cell r="T5101" t="str">
            <v>Hafid</v>
          </cell>
          <cell r="U5101">
            <v>30</v>
          </cell>
        </row>
        <row r="5102">
          <cell r="E5102" t="str">
            <v>B25011393</v>
          </cell>
          <cell r="F5102"/>
          <cell r="G5102">
            <v>500000000</v>
          </cell>
          <cell r="H5102" t="str">
            <v>Faris</v>
          </cell>
          <cell r="I5102" t="str">
            <v>Syahra</v>
          </cell>
          <cell r="J5102"/>
          <cell r="K5102" t="str">
            <v>KU</v>
          </cell>
          <cell r="L5102" t="str">
            <v>MITR09</v>
          </cell>
          <cell r="M5102" t="str">
            <v>Mitra Tani/Eko Susanto</v>
          </cell>
          <cell r="N5102" t="str">
            <v>Eko Susanto</v>
          </cell>
          <cell r="O5102" t="str">
            <v>Dsn. Krajan, RT.003/RW.001, Gendoh, Sempu</v>
          </cell>
          <cell r="P5102" t="str">
            <v>Banyuwangi</v>
          </cell>
          <cell r="Q5102" t="str">
            <v>Dsn. Krajan, RT.003/RW.001, Gendoh, Sempu</v>
          </cell>
          <cell r="R5102" t="str">
            <v>Banyuwangi</v>
          </cell>
          <cell r="S5102" t="str">
            <v>H Bwi1</v>
          </cell>
          <cell r="T5102" t="str">
            <v>Hafid</v>
          </cell>
          <cell r="U5102">
            <v>60</v>
          </cell>
        </row>
        <row r="5103">
          <cell r="E5103" t="str">
            <v>B25011394</v>
          </cell>
          <cell r="F5103"/>
          <cell r="G5103">
            <v>500000000</v>
          </cell>
          <cell r="H5103" t="str">
            <v>Faris</v>
          </cell>
          <cell r="I5103" t="str">
            <v>Syahra</v>
          </cell>
          <cell r="J5103"/>
          <cell r="K5103" t="str">
            <v>KU</v>
          </cell>
          <cell r="L5103" t="str">
            <v>MITR09</v>
          </cell>
          <cell r="M5103" t="str">
            <v>Mitra Tani/Eko Susanto</v>
          </cell>
          <cell r="N5103" t="str">
            <v>Eko Susanto</v>
          </cell>
          <cell r="O5103" t="str">
            <v>Dsn. Krajan, RT.003/RW.001, Gendoh, Sempu</v>
          </cell>
          <cell r="P5103" t="str">
            <v>Banyuwangi</v>
          </cell>
          <cell r="Q5103" t="str">
            <v>Dsn. Krajan, RT.003/RW.001, Gendoh, Sempu</v>
          </cell>
          <cell r="R5103" t="str">
            <v>Banyuwangi</v>
          </cell>
          <cell r="S5103" t="str">
            <v>H Bwi1</v>
          </cell>
          <cell r="T5103" t="str">
            <v>Hafid</v>
          </cell>
          <cell r="U5103">
            <v>30</v>
          </cell>
        </row>
        <row r="5104">
          <cell r="E5104" t="str">
            <v>D25013635</v>
          </cell>
          <cell r="F5104"/>
          <cell r="G5104">
            <v>500000000</v>
          </cell>
          <cell r="H5104" t="str">
            <v>Faris</v>
          </cell>
          <cell r="I5104" t="str">
            <v>Syahra</v>
          </cell>
          <cell r="J5104"/>
          <cell r="K5104" t="str">
            <v>KU</v>
          </cell>
          <cell r="L5104" t="str">
            <v>MITR09</v>
          </cell>
          <cell r="M5104" t="str">
            <v>Mitra Tani/Eko Susanto</v>
          </cell>
          <cell r="N5104" t="str">
            <v>Eko Susanto</v>
          </cell>
          <cell r="O5104" t="str">
            <v>Dsn. Krajan, RT.003/RW.001, Gendoh, Sempu</v>
          </cell>
          <cell r="P5104" t="str">
            <v>Banyuwangi</v>
          </cell>
          <cell r="Q5104" t="str">
            <v>Dsn. Krajan, RT.003/RW.001, Gendoh, Sempu</v>
          </cell>
          <cell r="R5104" t="str">
            <v>Banyuwangi</v>
          </cell>
          <cell r="S5104" t="str">
            <v>H Bwi1</v>
          </cell>
          <cell r="T5104" t="str">
            <v>Hafid</v>
          </cell>
          <cell r="U5104">
            <v>30</v>
          </cell>
        </row>
        <row r="5105">
          <cell r="E5105" t="str">
            <v>B25011722</v>
          </cell>
          <cell r="F5105"/>
          <cell r="G5105">
            <v>500000000</v>
          </cell>
          <cell r="H5105" t="str">
            <v>Faris</v>
          </cell>
          <cell r="I5105" t="str">
            <v>Syahra</v>
          </cell>
          <cell r="J5105"/>
          <cell r="K5105" t="str">
            <v>KU</v>
          </cell>
          <cell r="L5105" t="str">
            <v>MITR09</v>
          </cell>
          <cell r="M5105" t="str">
            <v>Mitra Tani/Eko Susanto</v>
          </cell>
          <cell r="N5105" t="str">
            <v>Eko Susanto</v>
          </cell>
          <cell r="O5105" t="str">
            <v>Dsn. Krajan, RT.003/RW.001, Gendoh, Sempu</v>
          </cell>
          <cell r="P5105" t="str">
            <v>Banyuwangi</v>
          </cell>
          <cell r="Q5105" t="str">
            <v>Dsn. Krajan, RT.003/RW.001, Gendoh, Sempu</v>
          </cell>
          <cell r="R5105" t="str">
            <v>Banyuwangi</v>
          </cell>
          <cell r="S5105" t="str">
            <v>H Bwi1</v>
          </cell>
          <cell r="T5105" t="str">
            <v>Hafid</v>
          </cell>
          <cell r="U5105">
            <v>30</v>
          </cell>
        </row>
        <row r="5106">
          <cell r="E5106" t="str">
            <v>B25011723</v>
          </cell>
          <cell r="F5106"/>
          <cell r="G5106">
            <v>500000000</v>
          </cell>
          <cell r="H5106" t="str">
            <v>Faris</v>
          </cell>
          <cell r="I5106" t="str">
            <v>Syahra</v>
          </cell>
          <cell r="J5106"/>
          <cell r="K5106" t="str">
            <v>KU</v>
          </cell>
          <cell r="L5106" t="str">
            <v>MITR09</v>
          </cell>
          <cell r="M5106" t="str">
            <v>Mitra Tani/Eko Susanto</v>
          </cell>
          <cell r="N5106" t="str">
            <v>Eko Susanto</v>
          </cell>
          <cell r="O5106" t="str">
            <v>Dsn. Krajan, RT.003/RW.001, Gendoh, Sempu</v>
          </cell>
          <cell r="P5106" t="str">
            <v>Banyuwangi</v>
          </cell>
          <cell r="Q5106" t="str">
            <v>Dsn. Krajan, RT.003/RW.001, Gendoh, Sempu</v>
          </cell>
          <cell r="R5106" t="str">
            <v>Banyuwangi</v>
          </cell>
          <cell r="S5106" t="str">
            <v>H Bwi1</v>
          </cell>
          <cell r="T5106" t="str">
            <v>Hafid</v>
          </cell>
          <cell r="U5106">
            <v>30</v>
          </cell>
        </row>
        <row r="5107">
          <cell r="E5107" t="str">
            <v>D25014327</v>
          </cell>
          <cell r="F5107"/>
          <cell r="G5107">
            <v>500000000</v>
          </cell>
          <cell r="H5107" t="str">
            <v>Faris</v>
          </cell>
          <cell r="I5107" t="str">
            <v>Syahra</v>
          </cell>
          <cell r="J5107"/>
          <cell r="K5107" t="str">
            <v>KU</v>
          </cell>
          <cell r="L5107" t="str">
            <v>MITR09</v>
          </cell>
          <cell r="M5107" t="str">
            <v>Mitra Tani/Eko Susanto</v>
          </cell>
          <cell r="N5107" t="str">
            <v>Eko Susanto</v>
          </cell>
          <cell r="O5107" t="str">
            <v>Dsn. Krajan, RT.003/RW.001, Gendoh, Sempu</v>
          </cell>
          <cell r="P5107" t="str">
            <v>Banyuwangi</v>
          </cell>
          <cell r="Q5107" t="str">
            <v>Dsn. Krajan, RT.003/RW.001, Gendoh, Sempu</v>
          </cell>
          <cell r="R5107" t="str">
            <v>Banyuwangi</v>
          </cell>
          <cell r="S5107" t="str">
            <v>H Bwi1</v>
          </cell>
          <cell r="T5107" t="str">
            <v>Hafid</v>
          </cell>
          <cell r="U5107">
            <v>30</v>
          </cell>
        </row>
        <row r="5108">
          <cell r="E5108" t="str">
            <v>B25012406</v>
          </cell>
          <cell r="F5108"/>
          <cell r="G5108">
            <v>500000000</v>
          </cell>
          <cell r="H5108" t="str">
            <v>Faris</v>
          </cell>
          <cell r="I5108" t="str">
            <v>Syahra</v>
          </cell>
          <cell r="J5108"/>
          <cell r="K5108" t="str">
            <v>KU</v>
          </cell>
          <cell r="L5108" t="str">
            <v>MITR09</v>
          </cell>
          <cell r="M5108" t="str">
            <v>Mitra Tani/Eko Susanto</v>
          </cell>
          <cell r="N5108" t="str">
            <v>Eko Susanto</v>
          </cell>
          <cell r="O5108" t="str">
            <v>Dsn. Krajan, RT.003/RW.001, Gendoh, Sempu</v>
          </cell>
          <cell r="P5108" t="str">
            <v>Banyuwangi</v>
          </cell>
          <cell r="Q5108" t="str">
            <v>Dsn. Krajan, RT.003/RW.001, Gendoh, Sempu</v>
          </cell>
          <cell r="R5108" t="str">
            <v>Banyuwangi</v>
          </cell>
          <cell r="S5108" t="str">
            <v>H Bwi1</v>
          </cell>
          <cell r="T5108" t="str">
            <v>Hafid</v>
          </cell>
          <cell r="U5108">
            <v>30</v>
          </cell>
        </row>
        <row r="5109">
          <cell r="E5109" t="str">
            <v>B25012409</v>
          </cell>
          <cell r="F5109"/>
          <cell r="G5109">
            <v>500000000</v>
          </cell>
          <cell r="H5109" t="str">
            <v>Faris</v>
          </cell>
          <cell r="I5109" t="str">
            <v>Syahra</v>
          </cell>
          <cell r="J5109"/>
          <cell r="K5109" t="str">
            <v>KU</v>
          </cell>
          <cell r="L5109" t="str">
            <v>MITR09</v>
          </cell>
          <cell r="M5109" t="str">
            <v>Mitra Tani/Eko Susanto</v>
          </cell>
          <cell r="N5109" t="str">
            <v>Eko Susanto</v>
          </cell>
          <cell r="O5109" t="str">
            <v>Dsn. Krajan, RT.003/RW.001, Gendoh, Sempu</v>
          </cell>
          <cell r="P5109" t="str">
            <v>Banyuwangi</v>
          </cell>
          <cell r="Q5109" t="str">
            <v>Dsn. Krajan, RT.003/RW.001, Gendoh, Sempu</v>
          </cell>
          <cell r="R5109" t="str">
            <v>Banyuwangi</v>
          </cell>
          <cell r="S5109" t="str">
            <v>H Bwi1</v>
          </cell>
          <cell r="T5109" t="str">
            <v>Hafid</v>
          </cell>
          <cell r="U5109">
            <v>30</v>
          </cell>
        </row>
        <row r="5110">
          <cell r="E5110" t="str">
            <v>B25012410</v>
          </cell>
          <cell r="F5110"/>
          <cell r="G5110">
            <v>500000000</v>
          </cell>
          <cell r="H5110" t="str">
            <v>Faris</v>
          </cell>
          <cell r="I5110" t="str">
            <v>Syahra</v>
          </cell>
          <cell r="J5110"/>
          <cell r="K5110" t="str">
            <v>KU</v>
          </cell>
          <cell r="L5110" t="str">
            <v>MITR09</v>
          </cell>
          <cell r="M5110" t="str">
            <v>Mitra Tani/Eko Susanto</v>
          </cell>
          <cell r="N5110" t="str">
            <v>Eko Susanto</v>
          </cell>
          <cell r="O5110" t="str">
            <v>Dsn. Krajan, RT.003/RW.001, Gendoh, Sempu</v>
          </cell>
          <cell r="P5110" t="str">
            <v>Banyuwangi</v>
          </cell>
          <cell r="Q5110" t="str">
            <v>Dsn. Krajan, RT.003/RW.001, Gendoh, Sempu</v>
          </cell>
          <cell r="R5110" t="str">
            <v>Banyuwangi</v>
          </cell>
          <cell r="S5110" t="str">
            <v>H Bwi1</v>
          </cell>
          <cell r="T5110" t="str">
            <v>Hafid</v>
          </cell>
          <cell r="U5110">
            <v>30</v>
          </cell>
        </row>
        <row r="5111">
          <cell r="E5111" t="str">
            <v>B25012801</v>
          </cell>
          <cell r="F5111"/>
          <cell r="G5111">
            <v>500000000</v>
          </cell>
          <cell r="H5111" t="str">
            <v>Faris</v>
          </cell>
          <cell r="I5111" t="str">
            <v>Syahra</v>
          </cell>
          <cell r="J5111"/>
          <cell r="K5111" t="str">
            <v>KU</v>
          </cell>
          <cell r="L5111" t="str">
            <v>MITR09</v>
          </cell>
          <cell r="M5111" t="str">
            <v>Mitra Tani/Eko Susanto</v>
          </cell>
          <cell r="N5111" t="str">
            <v>Eko Susanto</v>
          </cell>
          <cell r="O5111" t="str">
            <v>Dsn. Krajan, RT.003/RW.001, Gendoh, Sempu</v>
          </cell>
          <cell r="P5111" t="str">
            <v>Banyuwangi</v>
          </cell>
          <cell r="Q5111" t="str">
            <v>Dsn. Krajan, RT.003/RW.001, Gendoh, Sempu</v>
          </cell>
          <cell r="R5111" t="str">
            <v>Banyuwangi</v>
          </cell>
          <cell r="S5111" t="str">
            <v>H Bwi1</v>
          </cell>
          <cell r="T5111" t="str">
            <v>Hafid</v>
          </cell>
          <cell r="U5111">
            <v>0</v>
          </cell>
        </row>
        <row r="5112">
          <cell r="E5112" t="str">
            <v>B25012811</v>
          </cell>
          <cell r="F5112"/>
          <cell r="G5112">
            <v>500000000</v>
          </cell>
          <cell r="H5112" t="str">
            <v>Faris</v>
          </cell>
          <cell r="I5112" t="str">
            <v>Syahra</v>
          </cell>
          <cell r="J5112"/>
          <cell r="K5112" t="str">
            <v>KU</v>
          </cell>
          <cell r="L5112" t="str">
            <v>MITR09</v>
          </cell>
          <cell r="M5112" t="str">
            <v>Mitra Tani/Eko Susanto</v>
          </cell>
          <cell r="N5112" t="str">
            <v>Eko Susanto</v>
          </cell>
          <cell r="O5112" t="str">
            <v>Dsn. Krajan, RT.003/RW.001, Gendoh, Sempu</v>
          </cell>
          <cell r="P5112" t="str">
            <v>Banyuwangi</v>
          </cell>
          <cell r="Q5112" t="str">
            <v>Dsn. Krajan, RT.003/RW.001, Gendoh, Sempu</v>
          </cell>
          <cell r="R5112" t="str">
            <v>Banyuwangi</v>
          </cell>
          <cell r="S5112" t="str">
            <v>H Bwi1</v>
          </cell>
          <cell r="T5112" t="str">
            <v>Hafid</v>
          </cell>
          <cell r="U5112">
            <v>30</v>
          </cell>
        </row>
        <row r="5113">
          <cell r="E5113" t="str">
            <v>D25015070</v>
          </cell>
          <cell r="F5113"/>
          <cell r="G5113">
            <v>500000000</v>
          </cell>
          <cell r="H5113" t="str">
            <v>Faris</v>
          </cell>
          <cell r="I5113" t="str">
            <v>Syahra</v>
          </cell>
          <cell r="J5113"/>
          <cell r="K5113" t="str">
            <v>KU</v>
          </cell>
          <cell r="L5113" t="str">
            <v>MITR09</v>
          </cell>
          <cell r="M5113" t="str">
            <v>Mitra Tani/Eko Susanto</v>
          </cell>
          <cell r="N5113" t="str">
            <v>Eko Susanto</v>
          </cell>
          <cell r="O5113" t="str">
            <v>Dsn. Krajan, RT.003/RW.001, Gendoh, Sempu</v>
          </cell>
          <cell r="P5113" t="str">
            <v>Banyuwangi</v>
          </cell>
          <cell r="Q5113" t="str">
            <v>Dsn. Krajan, RT.003/RW.001, Gendoh, Sempu</v>
          </cell>
          <cell r="R5113" t="str">
            <v>Banyuwangi</v>
          </cell>
          <cell r="S5113" t="str">
            <v>H Bwi1</v>
          </cell>
          <cell r="T5113" t="str">
            <v>Hafid</v>
          </cell>
          <cell r="U5113">
            <v>30</v>
          </cell>
        </row>
        <row r="5114">
          <cell r="E5114">
            <v>250134</v>
          </cell>
          <cell r="F5114"/>
          <cell r="G5114">
            <v>500000000</v>
          </cell>
          <cell r="H5114" t="str">
            <v>Faris</v>
          </cell>
          <cell r="I5114" t="str">
            <v>Syahra</v>
          </cell>
          <cell r="J5114"/>
          <cell r="K5114" t="str">
            <v>KU</v>
          </cell>
          <cell r="L5114" t="str">
            <v>MITR09</v>
          </cell>
          <cell r="M5114" t="str">
            <v>Mitra Tani/Eko Susanto</v>
          </cell>
          <cell r="N5114" t="str">
            <v>Eko Susanto</v>
          </cell>
          <cell r="O5114" t="str">
            <v>Dsn. Krajan, RT.003/RW.001, Gendoh, Sempu</v>
          </cell>
          <cell r="P5114" t="str">
            <v>Banyuwangi</v>
          </cell>
          <cell r="Q5114" t="str">
            <v>Dsn. Krajan, RT.003/RW.001, Gendoh, Sempu</v>
          </cell>
          <cell r="R5114" t="str">
            <v>Banyuwangi</v>
          </cell>
          <cell r="S5114" t="str">
            <v>H Bwi1</v>
          </cell>
          <cell r="T5114" t="str">
            <v>Hafid</v>
          </cell>
          <cell r="U5114">
            <v>30</v>
          </cell>
        </row>
        <row r="5115">
          <cell r="E5115" t="str">
            <v>B25013081</v>
          </cell>
          <cell r="F5115"/>
          <cell r="G5115">
            <v>500000000</v>
          </cell>
          <cell r="H5115" t="str">
            <v>Faris</v>
          </cell>
          <cell r="I5115" t="str">
            <v>Syahra</v>
          </cell>
          <cell r="J5115"/>
          <cell r="K5115" t="str">
            <v>KU</v>
          </cell>
          <cell r="L5115" t="str">
            <v>MITR09</v>
          </cell>
          <cell r="M5115" t="str">
            <v>Mitra Tani/Eko Susanto</v>
          </cell>
          <cell r="N5115" t="str">
            <v>Eko Susanto</v>
          </cell>
          <cell r="O5115" t="str">
            <v>Dsn. Krajan, RT.003/RW.001, Gendoh, Sempu</v>
          </cell>
          <cell r="P5115" t="str">
            <v>Banyuwangi</v>
          </cell>
          <cell r="Q5115" t="str">
            <v>Dsn. Krajan, RT.003/RW.001, Gendoh, Sempu</v>
          </cell>
          <cell r="R5115" t="str">
            <v>Banyuwangi</v>
          </cell>
          <cell r="S5115" t="str">
            <v>H Bwi1</v>
          </cell>
          <cell r="T5115" t="str">
            <v>Hafid</v>
          </cell>
          <cell r="U5115">
            <v>30</v>
          </cell>
        </row>
        <row r="5116">
          <cell r="E5116" t="str">
            <v>B25013082</v>
          </cell>
          <cell r="F5116"/>
          <cell r="G5116">
            <v>500000000</v>
          </cell>
          <cell r="H5116" t="str">
            <v>Faris</v>
          </cell>
          <cell r="I5116" t="str">
            <v>Syahra</v>
          </cell>
          <cell r="J5116"/>
          <cell r="K5116" t="str">
            <v>KU</v>
          </cell>
          <cell r="L5116" t="str">
            <v>MITR09</v>
          </cell>
          <cell r="M5116" t="str">
            <v>Mitra Tani/Eko Susanto</v>
          </cell>
          <cell r="N5116" t="str">
            <v>Eko Susanto</v>
          </cell>
          <cell r="O5116" t="str">
            <v>Dsn. Krajan, RT.003/RW.001, Gendoh, Sempu</v>
          </cell>
          <cell r="P5116" t="str">
            <v>Banyuwangi</v>
          </cell>
          <cell r="Q5116" t="str">
            <v>Dsn. Krajan, RT.003/RW.001, Gendoh, Sempu</v>
          </cell>
          <cell r="R5116" t="str">
            <v>Banyuwangi</v>
          </cell>
          <cell r="S5116" t="str">
            <v>H Bwi1</v>
          </cell>
          <cell r="T5116" t="str">
            <v>Hafid</v>
          </cell>
          <cell r="U5116">
            <v>30</v>
          </cell>
        </row>
        <row r="5117">
          <cell r="E5117" t="str">
            <v>B25013083</v>
          </cell>
          <cell r="F5117"/>
          <cell r="G5117">
            <v>500000000</v>
          </cell>
          <cell r="H5117" t="str">
            <v>Faris</v>
          </cell>
          <cell r="I5117" t="str">
            <v>Syahra</v>
          </cell>
          <cell r="J5117"/>
          <cell r="K5117" t="str">
            <v>KU</v>
          </cell>
          <cell r="L5117" t="str">
            <v>MITR09</v>
          </cell>
          <cell r="M5117" t="str">
            <v>Mitra Tani/Eko Susanto</v>
          </cell>
          <cell r="N5117" t="str">
            <v>Eko Susanto</v>
          </cell>
          <cell r="O5117" t="str">
            <v>Dsn. Krajan, RT.003/RW.001, Gendoh, Sempu</v>
          </cell>
          <cell r="P5117" t="str">
            <v>Banyuwangi</v>
          </cell>
          <cell r="Q5117" t="str">
            <v>Dsn. Krajan, RT.003/RW.001, Gendoh, Sempu</v>
          </cell>
          <cell r="R5117" t="str">
            <v>Banyuwangi</v>
          </cell>
          <cell r="S5117" t="str">
            <v>H Bwi1</v>
          </cell>
          <cell r="T5117" t="str">
            <v>Hafid</v>
          </cell>
          <cell r="U5117">
            <v>30</v>
          </cell>
        </row>
        <row r="5118">
          <cell r="E5118" t="str">
            <v>B25013498</v>
          </cell>
          <cell r="F5118"/>
          <cell r="G5118">
            <v>500000000</v>
          </cell>
          <cell r="H5118" t="str">
            <v>Faris</v>
          </cell>
          <cell r="I5118" t="str">
            <v>Syahra</v>
          </cell>
          <cell r="J5118"/>
          <cell r="K5118" t="str">
            <v>KU</v>
          </cell>
          <cell r="L5118" t="str">
            <v>MITR09</v>
          </cell>
          <cell r="M5118" t="str">
            <v>Mitra Tani/Eko Susanto</v>
          </cell>
          <cell r="N5118" t="str">
            <v>Eko Susanto</v>
          </cell>
          <cell r="O5118" t="str">
            <v>Dsn. Krajan, RT.003/RW.001, Gendoh, Sempu</v>
          </cell>
          <cell r="P5118" t="str">
            <v>Banyuwangi</v>
          </cell>
          <cell r="Q5118" t="str">
            <v>Dsn. Krajan, RT.003/RW.001, Gendoh, Sempu</v>
          </cell>
          <cell r="R5118" t="str">
            <v>Banyuwangi</v>
          </cell>
          <cell r="S5118" t="str">
            <v>H Bwi1</v>
          </cell>
          <cell r="T5118" t="str">
            <v>Hafid</v>
          </cell>
          <cell r="U5118">
            <v>30</v>
          </cell>
        </row>
        <row r="5119">
          <cell r="E5119">
            <v>250147</v>
          </cell>
          <cell r="F5119"/>
          <cell r="G5119">
            <v>500000000</v>
          </cell>
          <cell r="H5119" t="str">
            <v>Faris</v>
          </cell>
          <cell r="I5119" t="str">
            <v>Syahra</v>
          </cell>
          <cell r="J5119"/>
          <cell r="K5119" t="str">
            <v>KU</v>
          </cell>
          <cell r="L5119" t="str">
            <v>MITR09</v>
          </cell>
          <cell r="M5119" t="str">
            <v>Mitra Tani/Eko Susanto</v>
          </cell>
          <cell r="N5119" t="str">
            <v>Eko Susanto</v>
          </cell>
          <cell r="O5119" t="str">
            <v>Dsn. Krajan, RT.003/RW.001, Gendoh, Sempu</v>
          </cell>
          <cell r="P5119" t="str">
            <v>Banyuwangi</v>
          </cell>
          <cell r="Q5119" t="str">
            <v>Dsn. Krajan, RT.003/RW.001, Gendoh, Sempu</v>
          </cell>
          <cell r="R5119" t="str">
            <v>Banyuwangi</v>
          </cell>
          <cell r="S5119" t="str">
            <v>H Bwi1</v>
          </cell>
          <cell r="T5119" t="str">
            <v>Hafid</v>
          </cell>
          <cell r="U5119">
            <v>30</v>
          </cell>
        </row>
        <row r="5120">
          <cell r="E5120" t="str">
            <v>B25013792</v>
          </cell>
          <cell r="F5120"/>
          <cell r="G5120">
            <v>500000000</v>
          </cell>
          <cell r="H5120" t="str">
            <v>Faris</v>
          </cell>
          <cell r="I5120" t="str">
            <v>Syahra</v>
          </cell>
          <cell r="J5120"/>
          <cell r="K5120" t="str">
            <v>KU</v>
          </cell>
          <cell r="L5120" t="str">
            <v>MITR09</v>
          </cell>
          <cell r="M5120" t="str">
            <v>Mitra Tani/Eko Susanto</v>
          </cell>
          <cell r="N5120" t="str">
            <v>Eko Susanto</v>
          </cell>
          <cell r="O5120" t="str">
            <v>Dsn. Krajan, RT.003/RW.001, Gendoh, Sempu</v>
          </cell>
          <cell r="P5120" t="str">
            <v>Banyuwangi</v>
          </cell>
          <cell r="Q5120" t="str">
            <v>Dsn. Krajan, RT.003/RW.001, Gendoh, Sempu</v>
          </cell>
          <cell r="R5120" t="str">
            <v>Banyuwangi</v>
          </cell>
          <cell r="S5120" t="str">
            <v>H Bwi1</v>
          </cell>
          <cell r="T5120" t="str">
            <v>Hafid</v>
          </cell>
          <cell r="U5120">
            <v>30</v>
          </cell>
        </row>
        <row r="5121">
          <cell r="E5121" t="str">
            <v>B25013793</v>
          </cell>
          <cell r="F5121"/>
          <cell r="G5121">
            <v>500000000</v>
          </cell>
          <cell r="H5121" t="str">
            <v>Faris</v>
          </cell>
          <cell r="I5121" t="str">
            <v>Syahra</v>
          </cell>
          <cell r="J5121"/>
          <cell r="K5121" t="str">
            <v>KU</v>
          </cell>
          <cell r="L5121" t="str">
            <v>MITR09</v>
          </cell>
          <cell r="M5121" t="str">
            <v>Mitra Tani/Eko Susanto</v>
          </cell>
          <cell r="N5121" t="str">
            <v>Eko Susanto</v>
          </cell>
          <cell r="O5121" t="str">
            <v>Dsn. Krajan, RT.003/RW.001, Gendoh, Sempu</v>
          </cell>
          <cell r="P5121" t="str">
            <v>Banyuwangi</v>
          </cell>
          <cell r="Q5121" t="str">
            <v>Dsn. Krajan, RT.003/RW.001, Gendoh, Sempu</v>
          </cell>
          <cell r="R5121" t="str">
            <v>Banyuwangi</v>
          </cell>
          <cell r="S5121" t="str">
            <v>H Bwi1</v>
          </cell>
          <cell r="T5121" t="str">
            <v>Hafid</v>
          </cell>
          <cell r="U5121">
            <v>30</v>
          </cell>
        </row>
        <row r="5122">
          <cell r="E5122" t="str">
            <v>B25013794</v>
          </cell>
          <cell r="F5122"/>
          <cell r="G5122">
            <v>500000000</v>
          </cell>
          <cell r="H5122" t="str">
            <v>Faris</v>
          </cell>
          <cell r="I5122" t="str">
            <v>Syahra</v>
          </cell>
          <cell r="J5122"/>
          <cell r="K5122" t="str">
            <v>KU</v>
          </cell>
          <cell r="L5122" t="str">
            <v>MITR09</v>
          </cell>
          <cell r="M5122" t="str">
            <v>Mitra Tani/Eko Susanto</v>
          </cell>
          <cell r="N5122" t="str">
            <v>Eko Susanto</v>
          </cell>
          <cell r="O5122" t="str">
            <v>Dsn. Krajan, RT.003/RW.001, Gendoh, Sempu</v>
          </cell>
          <cell r="P5122" t="str">
            <v>Banyuwangi</v>
          </cell>
          <cell r="Q5122" t="str">
            <v>Dsn. Krajan, RT.003/RW.001, Gendoh, Sempu</v>
          </cell>
          <cell r="R5122" t="str">
            <v>Banyuwangi</v>
          </cell>
          <cell r="S5122" t="str">
            <v>H Bwi1</v>
          </cell>
          <cell r="T5122" t="str">
            <v>Hafid</v>
          </cell>
          <cell r="U5122">
            <v>30</v>
          </cell>
        </row>
        <row r="5123">
          <cell r="E5123" t="str">
            <v>D25016317</v>
          </cell>
          <cell r="F5123"/>
          <cell r="G5123">
            <v>500000000</v>
          </cell>
          <cell r="H5123" t="str">
            <v>Faris</v>
          </cell>
          <cell r="I5123" t="str">
            <v>Syahra</v>
          </cell>
          <cell r="J5123"/>
          <cell r="K5123" t="str">
            <v>KU</v>
          </cell>
          <cell r="L5123" t="str">
            <v>MITR09</v>
          </cell>
          <cell r="M5123" t="str">
            <v>Mitra Tani/Eko Susanto</v>
          </cell>
          <cell r="N5123" t="str">
            <v>Eko Susanto</v>
          </cell>
          <cell r="O5123" t="str">
            <v>Dsn. Krajan, RT.003/RW.001, Gendoh, Sempu</v>
          </cell>
          <cell r="P5123" t="str">
            <v>Banyuwangi</v>
          </cell>
          <cell r="Q5123" t="str">
            <v>Dsn. Krajan, RT.003/RW.001, Gendoh, Sempu</v>
          </cell>
          <cell r="R5123" t="str">
            <v>Banyuwangi</v>
          </cell>
          <cell r="S5123" t="str">
            <v>H Bwi1</v>
          </cell>
          <cell r="T5123" t="str">
            <v>Hafid</v>
          </cell>
          <cell r="U5123">
            <v>30</v>
          </cell>
        </row>
        <row r="5124">
          <cell r="E5124" t="str">
            <v>B25009673</v>
          </cell>
          <cell r="F5124"/>
          <cell r="G5124">
            <v>650000000</v>
          </cell>
          <cell r="H5124" t="str">
            <v>Hendra</v>
          </cell>
          <cell r="I5124" t="str">
            <v>Tiya</v>
          </cell>
          <cell r="J5124"/>
          <cell r="K5124" t="str">
            <v>KU</v>
          </cell>
          <cell r="L5124" t="str">
            <v>MITR10</v>
          </cell>
          <cell r="M5124" t="str">
            <v>Mitra Tani/Elsa</v>
          </cell>
          <cell r="N5124" t="str">
            <v>Ronny Boentoro</v>
          </cell>
          <cell r="O5124" t="str">
            <v>Kel. Mongkonai, Mongkonai - Kotamobagu Barat</v>
          </cell>
          <cell r="P5124" t="str">
            <v>Kotamobagu - SULUT</v>
          </cell>
          <cell r="Q5124" t="str">
            <v>Kel. Talete Ling. VII, Kec. Tomohon Tengah</v>
          </cell>
          <cell r="R5124" t="str">
            <v>Manado</v>
          </cell>
          <cell r="S5124" t="str">
            <v>E Luar Pulau2</v>
          </cell>
          <cell r="T5124" t="str">
            <v>Non SE &amp; JSE</v>
          </cell>
          <cell r="U5124">
            <v>45</v>
          </cell>
        </row>
        <row r="5125">
          <cell r="E5125" t="str">
            <v>D25011687</v>
          </cell>
          <cell r="F5125"/>
          <cell r="G5125">
            <v>650000000</v>
          </cell>
          <cell r="H5125" t="str">
            <v>Hendra</v>
          </cell>
          <cell r="I5125" t="str">
            <v>Tiya</v>
          </cell>
          <cell r="J5125"/>
          <cell r="K5125" t="str">
            <v>KU</v>
          </cell>
          <cell r="L5125" t="str">
            <v>MITR10</v>
          </cell>
          <cell r="M5125" t="str">
            <v>Mitra Tani/Elsa</v>
          </cell>
          <cell r="N5125" t="str">
            <v>Ronny Boentoro</v>
          </cell>
          <cell r="O5125" t="str">
            <v>Kel. Mongkonai, Mongkonai - Kotamobagu Barat</v>
          </cell>
          <cell r="P5125" t="str">
            <v>Kotamobagu - SULUT</v>
          </cell>
          <cell r="Q5125" t="str">
            <v>Kel. Talete Ling. VII, Kec. Tomohon Tengah</v>
          </cell>
          <cell r="R5125" t="str">
            <v>Manado</v>
          </cell>
          <cell r="S5125" t="str">
            <v>E Luar Pulau2</v>
          </cell>
          <cell r="T5125" t="str">
            <v>Non SE &amp; JSE</v>
          </cell>
          <cell r="U5125">
            <v>45</v>
          </cell>
        </row>
        <row r="5126">
          <cell r="E5126" t="str">
            <v>B25009867</v>
          </cell>
          <cell r="F5126"/>
          <cell r="G5126">
            <v>650000000</v>
          </cell>
          <cell r="H5126" t="str">
            <v>Hendra</v>
          </cell>
          <cell r="I5126" t="str">
            <v>Tiya</v>
          </cell>
          <cell r="J5126"/>
          <cell r="K5126" t="str">
            <v>KU</v>
          </cell>
          <cell r="L5126" t="str">
            <v>MITR10</v>
          </cell>
          <cell r="M5126" t="str">
            <v>Mitra Tani/Elsa</v>
          </cell>
          <cell r="N5126" t="str">
            <v>Ronny Boentoro</v>
          </cell>
          <cell r="O5126" t="str">
            <v>Kel. Mongkonai, Mongkonai - Kotamobagu Barat</v>
          </cell>
          <cell r="P5126" t="str">
            <v>Kotamobagu - SULUT</v>
          </cell>
          <cell r="Q5126" t="str">
            <v>Kel. Talete Ling. VII, Kec. Tomohon Tengah</v>
          </cell>
          <cell r="R5126" t="str">
            <v>Manado</v>
          </cell>
          <cell r="S5126" t="str">
            <v>E Luar Pulau2</v>
          </cell>
          <cell r="T5126" t="str">
            <v>Non SE &amp; JSE</v>
          </cell>
          <cell r="U5126">
            <v>45</v>
          </cell>
        </row>
        <row r="5127">
          <cell r="E5127" t="str">
            <v>B25009927</v>
          </cell>
          <cell r="F5127"/>
          <cell r="G5127">
            <v>650000000</v>
          </cell>
          <cell r="H5127" t="str">
            <v>Hendra</v>
          </cell>
          <cell r="I5127" t="str">
            <v>Tiya</v>
          </cell>
          <cell r="J5127"/>
          <cell r="K5127" t="str">
            <v>KU</v>
          </cell>
          <cell r="L5127" t="str">
            <v>MITR10</v>
          </cell>
          <cell r="M5127" t="str">
            <v>Mitra Tani/Elsa</v>
          </cell>
          <cell r="N5127" t="str">
            <v>Ronny Boentoro</v>
          </cell>
          <cell r="O5127" t="str">
            <v>Kel. Mongkonai, Mongkonai - Kotamobagu Barat</v>
          </cell>
          <cell r="P5127" t="str">
            <v>Kotamobagu - SULUT</v>
          </cell>
          <cell r="Q5127" t="str">
            <v>Kel. Talete Ling. VII, Kec. Tomohon Tengah</v>
          </cell>
          <cell r="R5127" t="str">
            <v>Manado</v>
          </cell>
          <cell r="S5127" t="str">
            <v>E Luar Pulau2</v>
          </cell>
          <cell r="T5127" t="str">
            <v>Non SE &amp; JSE</v>
          </cell>
          <cell r="U5127">
            <v>45</v>
          </cell>
        </row>
        <row r="5128">
          <cell r="E5128" t="str">
            <v>B25011094</v>
          </cell>
          <cell r="F5128"/>
          <cell r="G5128">
            <v>650000000</v>
          </cell>
          <cell r="H5128" t="str">
            <v>Hendra</v>
          </cell>
          <cell r="I5128" t="str">
            <v>Tiya</v>
          </cell>
          <cell r="J5128"/>
          <cell r="K5128" t="str">
            <v>KU</v>
          </cell>
          <cell r="L5128" t="str">
            <v>MITR10</v>
          </cell>
          <cell r="M5128" t="str">
            <v>Mitra Tani/Elsa</v>
          </cell>
          <cell r="N5128" t="str">
            <v>Ronny Boentoro</v>
          </cell>
          <cell r="O5128" t="str">
            <v>Kel. Mongkonai, Mongkonai - Kotamobagu Barat</v>
          </cell>
          <cell r="P5128" t="str">
            <v>Kotamobagu - SULUT</v>
          </cell>
          <cell r="Q5128" t="str">
            <v>Kel. Talete Ling. VII, Kec. Tomohon Tengah</v>
          </cell>
          <cell r="R5128" t="str">
            <v>Manado</v>
          </cell>
          <cell r="S5128" t="str">
            <v>E Luar Pulau2</v>
          </cell>
          <cell r="T5128" t="str">
            <v>Non SE &amp; JSE</v>
          </cell>
          <cell r="U5128">
            <v>45</v>
          </cell>
        </row>
        <row r="5129">
          <cell r="E5129" t="str">
            <v>B25011109</v>
          </cell>
          <cell r="F5129"/>
          <cell r="G5129">
            <v>650000000</v>
          </cell>
          <cell r="H5129" t="str">
            <v>Hendra</v>
          </cell>
          <cell r="I5129" t="str">
            <v>Tiya</v>
          </cell>
          <cell r="J5129"/>
          <cell r="K5129" t="str">
            <v>KU</v>
          </cell>
          <cell r="L5129" t="str">
            <v>MITR10</v>
          </cell>
          <cell r="M5129" t="str">
            <v>Mitra Tani/Elsa</v>
          </cell>
          <cell r="N5129" t="str">
            <v>Ronny Boentoro</v>
          </cell>
          <cell r="O5129" t="str">
            <v>Kel. Mongkonai, Mongkonai - Kotamobagu Barat</v>
          </cell>
          <cell r="P5129" t="str">
            <v>Kotamobagu - SULUT</v>
          </cell>
          <cell r="Q5129" t="str">
            <v>Kel. Talete Ling. VII, Kec. Tomohon Tengah</v>
          </cell>
          <cell r="R5129" t="str">
            <v>Manado</v>
          </cell>
          <cell r="S5129" t="str">
            <v>E Luar Pulau2</v>
          </cell>
          <cell r="T5129" t="str">
            <v>Non SE &amp; JSE</v>
          </cell>
          <cell r="U5129">
            <v>45</v>
          </cell>
        </row>
        <row r="5130">
          <cell r="E5130" t="str">
            <v>B25011110</v>
          </cell>
          <cell r="F5130"/>
          <cell r="G5130">
            <v>650000000</v>
          </cell>
          <cell r="H5130" t="str">
            <v>Hendra</v>
          </cell>
          <cell r="I5130" t="str">
            <v>Tiya</v>
          </cell>
          <cell r="J5130"/>
          <cell r="K5130" t="str">
            <v>KU</v>
          </cell>
          <cell r="L5130" t="str">
            <v>MITR10</v>
          </cell>
          <cell r="M5130" t="str">
            <v>Mitra Tani/Elsa</v>
          </cell>
          <cell r="N5130" t="str">
            <v>Ronny Boentoro</v>
          </cell>
          <cell r="O5130" t="str">
            <v>Kel. Mongkonai, Mongkonai - Kotamobagu Barat</v>
          </cell>
          <cell r="P5130" t="str">
            <v>Kotamobagu - SULUT</v>
          </cell>
          <cell r="Q5130" t="str">
            <v>Kel. Talete Ling. VII, Kec. Tomohon Tengah</v>
          </cell>
          <cell r="R5130" t="str">
            <v>Manado</v>
          </cell>
          <cell r="S5130" t="str">
            <v>E Luar Pulau2</v>
          </cell>
          <cell r="T5130" t="str">
            <v>Non SE &amp; JSE</v>
          </cell>
          <cell r="U5130">
            <v>45</v>
          </cell>
        </row>
        <row r="5131">
          <cell r="E5131" t="str">
            <v>D25013524</v>
          </cell>
          <cell r="F5131"/>
          <cell r="G5131">
            <v>650000000</v>
          </cell>
          <cell r="H5131" t="str">
            <v>Hendra</v>
          </cell>
          <cell r="I5131" t="str">
            <v>Tiya</v>
          </cell>
          <cell r="J5131"/>
          <cell r="K5131" t="str">
            <v>KU</v>
          </cell>
          <cell r="L5131" t="str">
            <v>MITR10</v>
          </cell>
          <cell r="M5131" t="str">
            <v>Mitra Tani/Elsa</v>
          </cell>
          <cell r="N5131" t="str">
            <v>Ronny Boentoro</v>
          </cell>
          <cell r="O5131" t="str">
            <v>Kel. Mongkonai, Mongkonai - Kotamobagu Barat</v>
          </cell>
          <cell r="P5131" t="str">
            <v>Kotamobagu - SULUT</v>
          </cell>
          <cell r="Q5131" t="str">
            <v>Kel. Talete Ling. VII, Kec. Tomohon Tengah</v>
          </cell>
          <cell r="R5131" t="str">
            <v>Manado</v>
          </cell>
          <cell r="S5131" t="str">
            <v>E Luar Pulau2</v>
          </cell>
          <cell r="T5131" t="str">
            <v>Non SE &amp; JSE</v>
          </cell>
          <cell r="U5131">
            <v>45</v>
          </cell>
        </row>
        <row r="5132">
          <cell r="E5132" t="str">
            <v>D25013525</v>
          </cell>
          <cell r="F5132"/>
          <cell r="G5132">
            <v>650000000</v>
          </cell>
          <cell r="H5132" t="str">
            <v>Hendra</v>
          </cell>
          <cell r="I5132" t="str">
            <v>Tiya</v>
          </cell>
          <cell r="J5132"/>
          <cell r="K5132" t="str">
            <v>KU</v>
          </cell>
          <cell r="L5132" t="str">
            <v>MITR10</v>
          </cell>
          <cell r="M5132" t="str">
            <v>Mitra Tani/Elsa</v>
          </cell>
          <cell r="N5132" t="str">
            <v>Ronny Boentoro</v>
          </cell>
          <cell r="O5132" t="str">
            <v>Kel. Mongkonai, Mongkonai - Kotamobagu Barat</v>
          </cell>
          <cell r="P5132" t="str">
            <v>Kotamobagu - SULUT</v>
          </cell>
          <cell r="Q5132" t="str">
            <v>Kel. Talete Ling. VII, Kec. Tomohon Tengah</v>
          </cell>
          <cell r="R5132" t="str">
            <v>Manado</v>
          </cell>
          <cell r="S5132" t="str">
            <v>E Luar Pulau2</v>
          </cell>
          <cell r="T5132" t="str">
            <v>Non SE &amp; JSE</v>
          </cell>
          <cell r="U5132">
            <v>45</v>
          </cell>
        </row>
        <row r="5133">
          <cell r="E5133" t="str">
            <v>D25013526</v>
          </cell>
          <cell r="F5133"/>
          <cell r="G5133">
            <v>650000000</v>
          </cell>
          <cell r="H5133" t="str">
            <v>Hendra</v>
          </cell>
          <cell r="I5133" t="str">
            <v>Tiya</v>
          </cell>
          <cell r="J5133"/>
          <cell r="K5133" t="str">
            <v>KU</v>
          </cell>
          <cell r="L5133" t="str">
            <v>MITR10</v>
          </cell>
          <cell r="M5133" t="str">
            <v>Mitra Tani/Elsa</v>
          </cell>
          <cell r="N5133" t="str">
            <v>Ronny Boentoro</v>
          </cell>
          <cell r="O5133" t="str">
            <v>Kel. Mongkonai, Mongkonai - Kotamobagu Barat</v>
          </cell>
          <cell r="P5133" t="str">
            <v>Kotamobagu - SULUT</v>
          </cell>
          <cell r="Q5133" t="str">
            <v>Kel. Talete Ling. VII, Kec. Tomohon Tengah</v>
          </cell>
          <cell r="R5133" t="str">
            <v>Manado</v>
          </cell>
          <cell r="S5133" t="str">
            <v>E Luar Pulau2</v>
          </cell>
          <cell r="T5133" t="str">
            <v>Non SE &amp; JSE</v>
          </cell>
          <cell r="U5133">
            <v>45</v>
          </cell>
        </row>
        <row r="5134">
          <cell r="E5134" t="str">
            <v>B25012459</v>
          </cell>
          <cell r="F5134"/>
          <cell r="G5134">
            <v>650000000</v>
          </cell>
          <cell r="H5134" t="str">
            <v>Hendra</v>
          </cell>
          <cell r="I5134" t="str">
            <v>Tiya</v>
          </cell>
          <cell r="J5134"/>
          <cell r="K5134" t="str">
            <v>KU</v>
          </cell>
          <cell r="L5134" t="str">
            <v>MITR10</v>
          </cell>
          <cell r="M5134" t="str">
            <v>Mitra Tani/Elsa</v>
          </cell>
          <cell r="N5134" t="str">
            <v>Ronny Boentoro</v>
          </cell>
          <cell r="O5134" t="str">
            <v>Kel. Mongkonai, Mongkonai - Kotamobagu Barat</v>
          </cell>
          <cell r="P5134" t="str">
            <v>Kotamobagu - SULUT</v>
          </cell>
          <cell r="Q5134" t="str">
            <v>Kel. Talete Ling. VII, Kec. Tomohon Tengah</v>
          </cell>
          <cell r="R5134" t="str">
            <v>Manado</v>
          </cell>
          <cell r="S5134" t="str">
            <v>E Luar Pulau2</v>
          </cell>
          <cell r="T5134" t="str">
            <v>Non SE &amp; JSE</v>
          </cell>
          <cell r="U5134">
            <v>45</v>
          </cell>
        </row>
        <row r="5135">
          <cell r="E5135" t="str">
            <v>B25012525</v>
          </cell>
          <cell r="F5135"/>
          <cell r="G5135">
            <v>650000000</v>
          </cell>
          <cell r="H5135" t="str">
            <v>Hendra</v>
          </cell>
          <cell r="I5135" t="str">
            <v>Tiya</v>
          </cell>
          <cell r="J5135"/>
          <cell r="K5135" t="str">
            <v>KU</v>
          </cell>
          <cell r="L5135" t="str">
            <v>MITR10</v>
          </cell>
          <cell r="M5135" t="str">
            <v>Mitra Tani/Elsa</v>
          </cell>
          <cell r="N5135" t="str">
            <v>Ronny Boentoro</v>
          </cell>
          <cell r="O5135" t="str">
            <v>Kel. Mongkonai, Mongkonai - Kotamobagu Barat</v>
          </cell>
          <cell r="P5135" t="str">
            <v>Kotamobagu - SULUT</v>
          </cell>
          <cell r="Q5135" t="str">
            <v>Kel. Talete Ling. VII, Kec. Tomohon Tengah</v>
          </cell>
          <cell r="R5135" t="str">
            <v>Manado</v>
          </cell>
          <cell r="S5135" t="str">
            <v>E Luar Pulau2</v>
          </cell>
          <cell r="T5135" t="str">
            <v>Non SE &amp; JSE</v>
          </cell>
          <cell r="U5135">
            <v>45</v>
          </cell>
        </row>
        <row r="5136">
          <cell r="E5136" t="str">
            <v>B25012526</v>
          </cell>
          <cell r="F5136"/>
          <cell r="G5136">
            <v>650000000</v>
          </cell>
          <cell r="H5136" t="str">
            <v>Hendra</v>
          </cell>
          <cell r="I5136" t="str">
            <v>Tiya</v>
          </cell>
          <cell r="J5136"/>
          <cell r="K5136" t="str">
            <v>KU</v>
          </cell>
          <cell r="L5136" t="str">
            <v>MITR10</v>
          </cell>
          <cell r="M5136" t="str">
            <v>Mitra Tani/Elsa</v>
          </cell>
          <cell r="N5136" t="str">
            <v>Ronny Boentoro</v>
          </cell>
          <cell r="O5136" t="str">
            <v>Kel. Mongkonai, Mongkonai - Kotamobagu Barat</v>
          </cell>
          <cell r="P5136" t="str">
            <v>Kotamobagu - SULUT</v>
          </cell>
          <cell r="Q5136" t="str">
            <v>Kel. Talete Ling. VII, Kec. Tomohon Tengah</v>
          </cell>
          <cell r="R5136" t="str">
            <v>Manado</v>
          </cell>
          <cell r="S5136" t="str">
            <v>E Luar Pulau2</v>
          </cell>
          <cell r="T5136" t="str">
            <v>Non SE &amp; JSE</v>
          </cell>
          <cell r="U5136">
            <v>45</v>
          </cell>
        </row>
        <row r="5137">
          <cell r="E5137" t="str">
            <v>B25012527</v>
          </cell>
          <cell r="F5137"/>
          <cell r="G5137">
            <v>650000000</v>
          </cell>
          <cell r="H5137" t="str">
            <v>Hendra</v>
          </cell>
          <cell r="I5137" t="str">
            <v>Tiya</v>
          </cell>
          <cell r="J5137"/>
          <cell r="K5137" t="str">
            <v>KU</v>
          </cell>
          <cell r="L5137" t="str">
            <v>MITR10</v>
          </cell>
          <cell r="M5137" t="str">
            <v>Mitra Tani/Elsa</v>
          </cell>
          <cell r="N5137" t="str">
            <v>Ronny Boentoro</v>
          </cell>
          <cell r="O5137" t="str">
            <v>Kel. Mongkonai, Mongkonai - Kotamobagu Barat</v>
          </cell>
          <cell r="P5137" t="str">
            <v>Kotamobagu - SULUT</v>
          </cell>
          <cell r="Q5137" t="str">
            <v>Kel. Talete Ling. VII, Kec. Tomohon Tengah</v>
          </cell>
          <cell r="R5137" t="str">
            <v>Manado</v>
          </cell>
          <cell r="S5137" t="str">
            <v>E Luar Pulau2</v>
          </cell>
          <cell r="T5137" t="str">
            <v>Non SE &amp; JSE</v>
          </cell>
          <cell r="U5137">
            <v>45</v>
          </cell>
        </row>
        <row r="5138">
          <cell r="E5138" t="str">
            <v>B25012528</v>
          </cell>
          <cell r="F5138"/>
          <cell r="G5138">
            <v>650000000</v>
          </cell>
          <cell r="H5138" t="str">
            <v>Hendra</v>
          </cell>
          <cell r="I5138" t="str">
            <v>Tiya</v>
          </cell>
          <cell r="J5138"/>
          <cell r="K5138" t="str">
            <v>KU</v>
          </cell>
          <cell r="L5138" t="str">
            <v>MITR10</v>
          </cell>
          <cell r="M5138" t="str">
            <v>Mitra Tani/Elsa</v>
          </cell>
          <cell r="N5138" t="str">
            <v>Ronny Boentoro</v>
          </cell>
          <cell r="O5138" t="str">
            <v>Kel. Mongkonai, Mongkonai - Kotamobagu Barat</v>
          </cell>
          <cell r="P5138" t="str">
            <v>Kotamobagu - SULUT</v>
          </cell>
          <cell r="Q5138" t="str">
            <v>Kel. Talete Ling. VII, Kec. Tomohon Tengah</v>
          </cell>
          <cell r="R5138" t="str">
            <v>Manado</v>
          </cell>
          <cell r="S5138" t="str">
            <v>E Luar Pulau2</v>
          </cell>
          <cell r="T5138" t="str">
            <v>Non SE &amp; JSE</v>
          </cell>
          <cell r="U5138">
            <v>45</v>
          </cell>
        </row>
        <row r="5139">
          <cell r="E5139" t="str">
            <v>B25012529</v>
          </cell>
          <cell r="F5139"/>
          <cell r="G5139">
            <v>650000000</v>
          </cell>
          <cell r="H5139" t="str">
            <v>Hendra</v>
          </cell>
          <cell r="I5139" t="str">
            <v>Tiya</v>
          </cell>
          <cell r="J5139"/>
          <cell r="K5139" t="str">
            <v>KU</v>
          </cell>
          <cell r="L5139" t="str">
            <v>MITR10</v>
          </cell>
          <cell r="M5139" t="str">
            <v>Mitra Tani/Elsa</v>
          </cell>
          <cell r="N5139" t="str">
            <v>Ronny Boentoro</v>
          </cell>
          <cell r="O5139" t="str">
            <v>Kel. Mongkonai, Mongkonai - Kotamobagu Barat</v>
          </cell>
          <cell r="P5139" t="str">
            <v>Kotamobagu - SULUT</v>
          </cell>
          <cell r="Q5139" t="str">
            <v>Kel. Talete Ling. VII, Kec. Tomohon Tengah</v>
          </cell>
          <cell r="R5139" t="str">
            <v>Manado</v>
          </cell>
          <cell r="S5139" t="str">
            <v>E Luar Pulau2</v>
          </cell>
          <cell r="T5139" t="str">
            <v>Non SE &amp; JSE</v>
          </cell>
          <cell r="U5139">
            <v>45</v>
          </cell>
        </row>
        <row r="5140">
          <cell r="E5140" t="str">
            <v>B25012542</v>
          </cell>
          <cell r="F5140"/>
          <cell r="G5140">
            <v>650000000</v>
          </cell>
          <cell r="H5140" t="str">
            <v>Hendra</v>
          </cell>
          <cell r="I5140" t="str">
            <v>Tiya</v>
          </cell>
          <cell r="J5140"/>
          <cell r="K5140" t="str">
            <v>KU</v>
          </cell>
          <cell r="L5140" t="str">
            <v>MITR10</v>
          </cell>
          <cell r="M5140" t="str">
            <v>Mitra Tani/Elsa</v>
          </cell>
          <cell r="N5140" t="str">
            <v>Ronny Boentoro</v>
          </cell>
          <cell r="O5140" t="str">
            <v>Kel. Mongkonai, Mongkonai - Kotamobagu Barat</v>
          </cell>
          <cell r="P5140" t="str">
            <v>Kotamobagu - SULUT</v>
          </cell>
          <cell r="Q5140" t="str">
            <v>Kel. Talete Ling. VII, Kec. Tomohon Tengah</v>
          </cell>
          <cell r="R5140" t="str">
            <v>Manado</v>
          </cell>
          <cell r="S5140" t="str">
            <v>E Luar Pulau2</v>
          </cell>
          <cell r="T5140" t="str">
            <v>Non SE &amp; JSE</v>
          </cell>
          <cell r="U5140">
            <v>45</v>
          </cell>
        </row>
        <row r="5141">
          <cell r="E5141" t="str">
            <v>T25001340</v>
          </cell>
          <cell r="F5141"/>
          <cell r="G5141">
            <v>40000000</v>
          </cell>
          <cell r="H5141" t="str">
            <v>Reni</v>
          </cell>
          <cell r="I5141" t="str">
            <v>Fira</v>
          </cell>
          <cell r="J5141" t="str">
            <v>New 12/06/23</v>
          </cell>
          <cell r="K5141" t="str">
            <v>KU, Tunai</v>
          </cell>
          <cell r="L5141" t="str">
            <v>MITR74</v>
          </cell>
          <cell r="M5141" t="str">
            <v>Mitra Tani/Hanto</v>
          </cell>
          <cell r="N5141" t="str">
            <v>Suhantono</v>
          </cell>
          <cell r="O5141" t="str">
            <v>Dusun Ngitik RT.012/RW.002, Kel. Tanjungharjo/Kec. Kapas</v>
          </cell>
          <cell r="P5141" t="str">
            <v>Bojonegoro</v>
          </cell>
          <cell r="Q5141" t="str">
            <v>Kel. Tj. Harjo, Kec. Kapas</v>
          </cell>
          <cell r="R5141" t="str">
            <v>Bojonegoro</v>
          </cell>
          <cell r="S5141" t="str">
            <v>F Utara1</v>
          </cell>
          <cell r="T5141" t="str">
            <v>Dian</v>
          </cell>
          <cell r="U5141">
            <v>60</v>
          </cell>
        </row>
        <row r="5142">
          <cell r="E5142" t="str">
            <v>Z25001689</v>
          </cell>
          <cell r="F5142"/>
          <cell r="G5142">
            <v>300000000</v>
          </cell>
          <cell r="H5142" t="str">
            <v>Faris</v>
          </cell>
          <cell r="I5142" t="str">
            <v>Syahra</v>
          </cell>
          <cell r="J5142"/>
          <cell r="K5142" t="str">
            <v>KU</v>
          </cell>
          <cell r="L5142" t="str">
            <v>MITR11</v>
          </cell>
          <cell r="M5142" t="str">
            <v>Mitra Tani/Hariyanto</v>
          </cell>
          <cell r="N5142" t="str">
            <v>Hariyanto, Drs</v>
          </cell>
          <cell r="O5142" t="str">
            <v>Dsn. Sumberejo, RT.01/RW.02 Ds. Kepundungan, Kec. Srono</v>
          </cell>
          <cell r="P5142" t="str">
            <v>Banyuwangi</v>
          </cell>
          <cell r="Q5142" t="str">
            <v>Dsn. Sumberejo, RT.01/RW.02 Ds. Kepundungan, Kec. Srono, Kab. Banyuwangi</v>
          </cell>
          <cell r="R5142" t="str">
            <v>Banyuwangi</v>
          </cell>
          <cell r="S5142" t="str">
            <v>H Bwi2</v>
          </cell>
          <cell r="T5142" t="str">
            <v>Hafid</v>
          </cell>
          <cell r="U5142">
            <v>60</v>
          </cell>
        </row>
        <row r="5143">
          <cell r="E5143" t="str">
            <v>Z25001898</v>
          </cell>
          <cell r="F5143"/>
          <cell r="G5143">
            <v>300000000</v>
          </cell>
          <cell r="H5143" t="str">
            <v>Faris</v>
          </cell>
          <cell r="I5143" t="str">
            <v>Syahra</v>
          </cell>
          <cell r="J5143"/>
          <cell r="K5143" t="str">
            <v>KU</v>
          </cell>
          <cell r="L5143" t="str">
            <v>MITR11</v>
          </cell>
          <cell r="M5143" t="str">
            <v>Mitra Tani/Hariyanto</v>
          </cell>
          <cell r="N5143" t="str">
            <v>Hariyanto, Drs</v>
          </cell>
          <cell r="O5143" t="str">
            <v>Dsn. Sumberejo, RT.01/RW.02 Ds. Kepundungan, Kec. Srono</v>
          </cell>
          <cell r="P5143" t="str">
            <v>Banyuwangi</v>
          </cell>
          <cell r="Q5143" t="str">
            <v>Dsn. Sumberejo, RT.01/RW.02 Ds. Kepundungan, Kec. Srono, Kab. Banyuwangi</v>
          </cell>
          <cell r="R5143" t="str">
            <v>Banyuwangi</v>
          </cell>
          <cell r="S5143" t="str">
            <v>H Bwi2</v>
          </cell>
          <cell r="T5143" t="str">
            <v>Hafid</v>
          </cell>
          <cell r="U5143">
            <v>60</v>
          </cell>
        </row>
        <row r="5144">
          <cell r="E5144" t="str">
            <v>Z25001902</v>
          </cell>
          <cell r="F5144"/>
          <cell r="G5144">
            <v>300000000</v>
          </cell>
          <cell r="H5144" t="str">
            <v>Faris</v>
          </cell>
          <cell r="I5144" t="str">
            <v>Syahra</v>
          </cell>
          <cell r="J5144"/>
          <cell r="K5144" t="str">
            <v>KU</v>
          </cell>
          <cell r="L5144" t="str">
            <v>MITR11</v>
          </cell>
          <cell r="M5144" t="str">
            <v>Mitra Tani/Hariyanto</v>
          </cell>
          <cell r="N5144" t="str">
            <v>Hariyanto, Drs</v>
          </cell>
          <cell r="O5144" t="str">
            <v>Dsn. Sumberejo, RT.01/RW.02 Ds. Kepundungan, Kec. Srono</v>
          </cell>
          <cell r="P5144" t="str">
            <v>Banyuwangi</v>
          </cell>
          <cell r="Q5144" t="str">
            <v>Dsn. Sumberejo, RT.01/RW.02 Ds. Kepundungan, Kec. Srono, Kab. Banyuwangi</v>
          </cell>
          <cell r="R5144" t="str">
            <v>Banyuwangi</v>
          </cell>
          <cell r="S5144" t="str">
            <v>H Bwi2</v>
          </cell>
          <cell r="T5144" t="str">
            <v>Hafid</v>
          </cell>
          <cell r="U5144">
            <v>60</v>
          </cell>
        </row>
        <row r="5145">
          <cell r="E5145" t="str">
            <v>Z25002034</v>
          </cell>
          <cell r="F5145"/>
          <cell r="G5145">
            <v>300000000</v>
          </cell>
          <cell r="H5145" t="str">
            <v>Faris</v>
          </cell>
          <cell r="I5145" t="str">
            <v>Syahra</v>
          </cell>
          <cell r="J5145"/>
          <cell r="K5145" t="str">
            <v>KU</v>
          </cell>
          <cell r="L5145" t="str">
            <v>MITR11</v>
          </cell>
          <cell r="M5145" t="str">
            <v>Mitra Tani/Hariyanto</v>
          </cell>
          <cell r="N5145" t="str">
            <v>Hariyanto, Drs</v>
          </cell>
          <cell r="O5145" t="str">
            <v>Dsn. Sumberejo, RT.01/RW.02 Ds. Kepundungan, Kec. Srono</v>
          </cell>
          <cell r="P5145" t="str">
            <v>Banyuwangi</v>
          </cell>
          <cell r="Q5145" t="str">
            <v>Dsn. Sumberejo, RT.01/RW.02 Ds. Kepundungan, Kec. Srono, Kab. Banyuwangi</v>
          </cell>
          <cell r="R5145" t="str">
            <v>Banyuwangi</v>
          </cell>
          <cell r="S5145" t="str">
            <v>H Bwi2</v>
          </cell>
          <cell r="T5145" t="str">
            <v>Hafid</v>
          </cell>
          <cell r="U5145">
            <v>60</v>
          </cell>
        </row>
        <row r="5146">
          <cell r="E5146" t="str">
            <v>Z250012</v>
          </cell>
          <cell r="F5146"/>
          <cell r="G5146">
            <v>300000000</v>
          </cell>
          <cell r="H5146" t="str">
            <v>Faris</v>
          </cell>
          <cell r="I5146" t="str">
            <v>Syahra</v>
          </cell>
          <cell r="J5146"/>
          <cell r="K5146" t="str">
            <v>KU</v>
          </cell>
          <cell r="L5146" t="str">
            <v>MITR11</v>
          </cell>
          <cell r="M5146" t="str">
            <v>Mitra Tani/Hariyanto</v>
          </cell>
          <cell r="N5146" t="str">
            <v>Hariyanto, Drs</v>
          </cell>
          <cell r="O5146" t="str">
            <v>Dsn. Sumberejo, RT.01/RW.02 Ds. Kepundungan, Kec. Srono</v>
          </cell>
          <cell r="P5146" t="str">
            <v>Banyuwangi</v>
          </cell>
          <cell r="Q5146" t="str">
            <v>Dsn. Sumberejo, RT.01/RW.02 Ds. Kepundungan, Kec. Srono, Kab. Banyuwangi</v>
          </cell>
          <cell r="R5146" t="str">
            <v>Banyuwangi</v>
          </cell>
          <cell r="S5146" t="str">
            <v>H Bwi2</v>
          </cell>
          <cell r="T5146" t="str">
            <v>Hafid</v>
          </cell>
          <cell r="U5146">
            <v>30</v>
          </cell>
        </row>
        <row r="5147">
          <cell r="E5147" t="str">
            <v>Z25002041</v>
          </cell>
          <cell r="F5147"/>
          <cell r="G5147">
            <v>300000000</v>
          </cell>
          <cell r="H5147" t="str">
            <v>Faris</v>
          </cell>
          <cell r="I5147" t="str">
            <v>Syahra</v>
          </cell>
          <cell r="J5147"/>
          <cell r="K5147" t="str">
            <v>KU</v>
          </cell>
          <cell r="L5147" t="str">
            <v>MITR11</v>
          </cell>
          <cell r="M5147" t="str">
            <v>Mitra Tani/Hariyanto</v>
          </cell>
          <cell r="N5147" t="str">
            <v>Hariyanto, Drs</v>
          </cell>
          <cell r="O5147" t="str">
            <v>Dsn. Sumberejo, RT.01/RW.02 Ds. Kepundungan, Kec. Srono</v>
          </cell>
          <cell r="P5147" t="str">
            <v>Banyuwangi</v>
          </cell>
          <cell r="Q5147" t="str">
            <v>Dsn. Sumberejo, RT.01/RW.02 Ds. Kepundungan, Kec. Srono, Kab. Banyuwangi</v>
          </cell>
          <cell r="R5147" t="str">
            <v>Banyuwangi</v>
          </cell>
          <cell r="S5147" t="str">
            <v>H Bwi2</v>
          </cell>
          <cell r="T5147" t="str">
            <v>Hafid</v>
          </cell>
          <cell r="U5147">
            <v>30</v>
          </cell>
        </row>
        <row r="5148">
          <cell r="E5148" t="str">
            <v>Z25002233</v>
          </cell>
          <cell r="F5148"/>
          <cell r="G5148">
            <v>300000000</v>
          </cell>
          <cell r="H5148" t="str">
            <v>Faris</v>
          </cell>
          <cell r="I5148" t="str">
            <v>Syahra</v>
          </cell>
          <cell r="J5148"/>
          <cell r="K5148" t="str">
            <v>KU</v>
          </cell>
          <cell r="L5148" t="str">
            <v>MITR11</v>
          </cell>
          <cell r="M5148" t="str">
            <v>Mitra Tani/Hariyanto</v>
          </cell>
          <cell r="N5148" t="str">
            <v>Hariyanto, Drs</v>
          </cell>
          <cell r="O5148" t="str">
            <v>Dsn. Sumberejo, RT.01/RW.02 Ds. Kepundungan, Kec. Srono</v>
          </cell>
          <cell r="P5148" t="str">
            <v>Banyuwangi</v>
          </cell>
          <cell r="Q5148" t="str">
            <v>Dsn. Sumberejo, RT.01/RW.02 Ds. Kepundungan, Kec. Srono, Kab. Banyuwangi</v>
          </cell>
          <cell r="R5148" t="str">
            <v>Banyuwangi</v>
          </cell>
          <cell r="S5148" t="str">
            <v>H Bwi2</v>
          </cell>
          <cell r="T5148" t="str">
            <v>Hafid</v>
          </cell>
          <cell r="U5148">
            <v>60</v>
          </cell>
        </row>
        <row r="5149">
          <cell r="E5149" t="str">
            <v>Z25002270</v>
          </cell>
          <cell r="F5149"/>
          <cell r="G5149">
            <v>300000000</v>
          </cell>
          <cell r="H5149" t="str">
            <v>Faris</v>
          </cell>
          <cell r="I5149" t="str">
            <v>Syahra</v>
          </cell>
          <cell r="J5149"/>
          <cell r="K5149" t="str">
            <v>KU</v>
          </cell>
          <cell r="L5149" t="str">
            <v>MITR11</v>
          </cell>
          <cell r="M5149" t="str">
            <v>Mitra Tani/Hariyanto</v>
          </cell>
          <cell r="N5149" t="str">
            <v>Hariyanto, Drs</v>
          </cell>
          <cell r="O5149" t="str">
            <v>Dsn. Sumberejo, RT.01/RW.02 Ds. Kepundungan, Kec. Srono</v>
          </cell>
          <cell r="P5149" t="str">
            <v>Banyuwangi</v>
          </cell>
          <cell r="Q5149" t="str">
            <v>Dsn. Sumberejo, RT.01/RW.02 Ds. Kepundungan, Kec. Srono, Kab. Banyuwangi</v>
          </cell>
          <cell r="R5149" t="str">
            <v>Banyuwangi</v>
          </cell>
          <cell r="S5149" t="str">
            <v>H Bwi2</v>
          </cell>
          <cell r="T5149" t="str">
            <v>Hafid</v>
          </cell>
          <cell r="U5149">
            <v>60</v>
          </cell>
        </row>
        <row r="5150">
          <cell r="E5150" t="str">
            <v>Z25002376</v>
          </cell>
          <cell r="F5150"/>
          <cell r="G5150">
            <v>300000000</v>
          </cell>
          <cell r="H5150" t="str">
            <v>Faris</v>
          </cell>
          <cell r="I5150" t="str">
            <v>Syahra</v>
          </cell>
          <cell r="J5150"/>
          <cell r="K5150" t="str">
            <v>KU</v>
          </cell>
          <cell r="L5150" t="str">
            <v>MITR11</v>
          </cell>
          <cell r="M5150" t="str">
            <v>Mitra Tani/Hariyanto</v>
          </cell>
          <cell r="N5150" t="str">
            <v>Hariyanto, Drs</v>
          </cell>
          <cell r="O5150" t="str">
            <v>Dsn. Sumberejo, RT.01/RW.02 Ds. Kepundungan, Kec. Srono</v>
          </cell>
          <cell r="P5150" t="str">
            <v>Banyuwangi</v>
          </cell>
          <cell r="Q5150" t="str">
            <v>Dsn. Sumberejo, RT.01/RW.02 Ds. Kepundungan, Kec. Srono, Kab. Banyuwangi</v>
          </cell>
          <cell r="R5150" t="str">
            <v>Banyuwangi</v>
          </cell>
          <cell r="S5150" t="str">
            <v>H Bwi2</v>
          </cell>
          <cell r="T5150" t="str">
            <v>Hafid</v>
          </cell>
          <cell r="U5150">
            <v>60</v>
          </cell>
        </row>
        <row r="5151">
          <cell r="E5151" t="str">
            <v>Z25002686</v>
          </cell>
          <cell r="F5151"/>
          <cell r="G5151">
            <v>300000000</v>
          </cell>
          <cell r="H5151" t="str">
            <v>Faris</v>
          </cell>
          <cell r="I5151" t="str">
            <v>Syahra</v>
          </cell>
          <cell r="J5151"/>
          <cell r="K5151" t="str">
            <v>KU</v>
          </cell>
          <cell r="L5151" t="str">
            <v>MITR11</v>
          </cell>
          <cell r="M5151" t="str">
            <v>Mitra Tani/Hariyanto</v>
          </cell>
          <cell r="N5151" t="str">
            <v>Hariyanto, Drs</v>
          </cell>
          <cell r="O5151" t="str">
            <v>Dsn. Sumberejo, RT.01/RW.02 Ds. Kepundungan, Kec. Srono</v>
          </cell>
          <cell r="P5151" t="str">
            <v>Banyuwangi</v>
          </cell>
          <cell r="Q5151" t="str">
            <v>Dsn. Sumberejo, RT.01/RW.02 Ds. Kepundungan, Kec. Srono, Kab. Banyuwangi</v>
          </cell>
          <cell r="R5151" t="str">
            <v>Banyuwangi</v>
          </cell>
          <cell r="S5151" t="str">
            <v>H Bwi2</v>
          </cell>
          <cell r="T5151" t="str">
            <v>Hafid</v>
          </cell>
          <cell r="U5151">
            <v>60</v>
          </cell>
        </row>
        <row r="5152">
          <cell r="E5152" t="str">
            <v>Z25002740</v>
          </cell>
          <cell r="F5152"/>
          <cell r="G5152">
            <v>300000000</v>
          </cell>
          <cell r="H5152" t="str">
            <v>Faris</v>
          </cell>
          <cell r="I5152" t="str">
            <v>Syahra</v>
          </cell>
          <cell r="J5152"/>
          <cell r="K5152" t="str">
            <v>KU</v>
          </cell>
          <cell r="L5152" t="str">
            <v>MITR11</v>
          </cell>
          <cell r="M5152" t="str">
            <v>Mitra Tani/Hariyanto</v>
          </cell>
          <cell r="N5152" t="str">
            <v>Hariyanto, Drs</v>
          </cell>
          <cell r="O5152" t="str">
            <v>Dsn. Sumberejo, RT.01/RW.02 Ds. Kepundungan, Kec. Srono</v>
          </cell>
          <cell r="P5152" t="str">
            <v>Banyuwangi</v>
          </cell>
          <cell r="Q5152" t="str">
            <v>Dsn. Sumberejo, RT.01/RW.02 Ds. Kepundungan, Kec. Srono, Kab. Banyuwangi</v>
          </cell>
          <cell r="R5152" t="str">
            <v>Banyuwangi</v>
          </cell>
          <cell r="S5152" t="str">
            <v>H Bwi2</v>
          </cell>
          <cell r="T5152" t="str">
            <v>Hafid</v>
          </cell>
          <cell r="U5152">
            <v>60</v>
          </cell>
        </row>
        <row r="5153">
          <cell r="E5153" t="str">
            <v>D25009407</v>
          </cell>
          <cell r="F5153"/>
          <cell r="G5153">
            <v>200000000</v>
          </cell>
          <cell r="H5153" t="str">
            <v>Faris</v>
          </cell>
          <cell r="I5153" t="str">
            <v>Syahra</v>
          </cell>
          <cell r="J5153"/>
          <cell r="K5153" t="str">
            <v>KU, Tunai</v>
          </cell>
          <cell r="L5153" t="str">
            <v>MITR16</v>
          </cell>
          <cell r="M5153" t="str">
            <v>Mitra Tani/Riska</v>
          </cell>
          <cell r="N5153" t="str">
            <v>Riska Mardianingsih</v>
          </cell>
          <cell r="O5153" t="str">
            <v>Blokagung RT.003/RW.003, Ds. Karangdoro, Kec. Tegalsari</v>
          </cell>
          <cell r="P5153" t="str">
            <v>Banyuwangi</v>
          </cell>
          <cell r="Q5153" t="str">
            <v>Blokagung RT.003/RW.003, Ds. Karangdoro, Kec. Tegalsari</v>
          </cell>
          <cell r="R5153" t="str">
            <v>Banyuwangi</v>
          </cell>
          <cell r="S5153" t="str">
            <v>H Bwi4</v>
          </cell>
          <cell r="T5153" t="str">
            <v>Hafid</v>
          </cell>
          <cell r="U5153">
            <v>60</v>
          </cell>
        </row>
        <row r="5154">
          <cell r="E5154" t="str">
            <v>D25010605</v>
          </cell>
          <cell r="F5154"/>
          <cell r="G5154">
            <v>200000000</v>
          </cell>
          <cell r="H5154" t="str">
            <v>Faris</v>
          </cell>
          <cell r="I5154" t="str">
            <v>Syahra</v>
          </cell>
          <cell r="J5154"/>
          <cell r="K5154" t="str">
            <v>KU, Tunai</v>
          </cell>
          <cell r="L5154" t="str">
            <v>MITR16</v>
          </cell>
          <cell r="M5154" t="str">
            <v>Mitra Tani/Riska</v>
          </cell>
          <cell r="N5154" t="str">
            <v>Riska Mardianingsih</v>
          </cell>
          <cell r="O5154" t="str">
            <v>Blokagung RT.003/RW.003, Ds. Karangdoro, Kec. Tegalsari</v>
          </cell>
          <cell r="P5154" t="str">
            <v>Banyuwangi</v>
          </cell>
          <cell r="Q5154" t="str">
            <v>Blokagung RT.003/RW.003, Ds. Karangdoro, Kec. Tegalsari</v>
          </cell>
          <cell r="R5154" t="str">
            <v>Banyuwangi</v>
          </cell>
          <cell r="S5154" t="str">
            <v>H Bwi4</v>
          </cell>
          <cell r="T5154" t="str">
            <v>Hafid</v>
          </cell>
          <cell r="U5154">
            <v>30</v>
          </cell>
        </row>
        <row r="5155">
          <cell r="E5155" t="str">
            <v>D25010605</v>
          </cell>
          <cell r="F5155"/>
          <cell r="G5155">
            <v>200000000</v>
          </cell>
          <cell r="H5155" t="str">
            <v>Faris</v>
          </cell>
          <cell r="I5155" t="str">
            <v>Syahra</v>
          </cell>
          <cell r="J5155"/>
          <cell r="K5155" t="str">
            <v>KU, Tunai</v>
          </cell>
          <cell r="L5155" t="str">
            <v>MITR16</v>
          </cell>
          <cell r="M5155" t="str">
            <v>Mitra Tani/Riska</v>
          </cell>
          <cell r="N5155" t="str">
            <v>Riska Mardianingsih</v>
          </cell>
          <cell r="O5155" t="str">
            <v>Blokagung RT.003/RW.003, Ds. Karangdoro, Kec. Tegalsari</v>
          </cell>
          <cell r="P5155" t="str">
            <v>Banyuwangi</v>
          </cell>
          <cell r="Q5155" t="str">
            <v>Blokagung RT.003/RW.003, Ds. Karangdoro, Kec. Tegalsari</v>
          </cell>
          <cell r="R5155" t="str">
            <v>Banyuwangi</v>
          </cell>
          <cell r="S5155" t="str">
            <v>H Bwi4</v>
          </cell>
          <cell r="T5155" t="str">
            <v>Hafid</v>
          </cell>
          <cell r="U5155">
            <v>30</v>
          </cell>
        </row>
        <row r="5156">
          <cell r="E5156" t="str">
            <v>B25010097</v>
          </cell>
          <cell r="F5156"/>
          <cell r="G5156">
            <v>200000000</v>
          </cell>
          <cell r="H5156" t="str">
            <v>Faris</v>
          </cell>
          <cell r="I5156" t="str">
            <v>Syahra</v>
          </cell>
          <cell r="J5156"/>
          <cell r="K5156" t="str">
            <v>KU, Tunai</v>
          </cell>
          <cell r="L5156" t="str">
            <v>MITR16</v>
          </cell>
          <cell r="M5156" t="str">
            <v>Mitra Tani/Riska</v>
          </cell>
          <cell r="N5156" t="str">
            <v>Riska Mardianingsih</v>
          </cell>
          <cell r="O5156" t="str">
            <v>Blokagung RT.003/RW.003, Ds. Karangdoro, Kec. Tegalsari</v>
          </cell>
          <cell r="P5156" t="str">
            <v>Banyuwangi</v>
          </cell>
          <cell r="Q5156" t="str">
            <v>Blokagung RT.003/RW.003, Ds. Karangdoro, Kec. Tegalsari</v>
          </cell>
          <cell r="R5156" t="str">
            <v>Banyuwangi</v>
          </cell>
          <cell r="S5156" t="str">
            <v>H Bwi4</v>
          </cell>
          <cell r="T5156" t="str">
            <v>Hafid</v>
          </cell>
          <cell r="U5156">
            <v>30</v>
          </cell>
        </row>
        <row r="5157">
          <cell r="E5157" t="str">
            <v>B25010097</v>
          </cell>
          <cell r="F5157"/>
          <cell r="G5157">
            <v>200000000</v>
          </cell>
          <cell r="H5157" t="str">
            <v>Faris</v>
          </cell>
          <cell r="I5157" t="str">
            <v>Syahra</v>
          </cell>
          <cell r="J5157"/>
          <cell r="K5157" t="str">
            <v>KU, Tunai</v>
          </cell>
          <cell r="L5157" t="str">
            <v>MITR16</v>
          </cell>
          <cell r="M5157" t="str">
            <v>Mitra Tani/Riska</v>
          </cell>
          <cell r="N5157" t="str">
            <v>Riska Mardianingsih</v>
          </cell>
          <cell r="O5157" t="str">
            <v>Blokagung RT.003/RW.003, Ds. Karangdoro, Kec. Tegalsari</v>
          </cell>
          <cell r="P5157" t="str">
            <v>Banyuwangi</v>
          </cell>
          <cell r="Q5157" t="str">
            <v>Blokagung RT.003/RW.003, Ds. Karangdoro, Kec. Tegalsari</v>
          </cell>
          <cell r="R5157" t="str">
            <v>Banyuwangi</v>
          </cell>
          <cell r="S5157" t="str">
            <v>H Bwi4</v>
          </cell>
          <cell r="T5157" t="str">
            <v>Hafid</v>
          </cell>
          <cell r="U5157">
            <v>30</v>
          </cell>
        </row>
        <row r="5158">
          <cell r="E5158" t="str">
            <v>B25010098</v>
          </cell>
          <cell r="F5158"/>
          <cell r="G5158">
            <v>200000000</v>
          </cell>
          <cell r="H5158" t="str">
            <v>Faris</v>
          </cell>
          <cell r="I5158" t="str">
            <v>Syahra</v>
          </cell>
          <cell r="J5158"/>
          <cell r="K5158" t="str">
            <v>KU, Tunai</v>
          </cell>
          <cell r="L5158" t="str">
            <v>MITR16</v>
          </cell>
          <cell r="M5158" t="str">
            <v>Mitra Tani/Riska</v>
          </cell>
          <cell r="N5158" t="str">
            <v>Riska Mardianingsih</v>
          </cell>
          <cell r="O5158" t="str">
            <v>Blokagung RT.003/RW.003, Ds. Karangdoro, Kec. Tegalsari</v>
          </cell>
          <cell r="P5158" t="str">
            <v>Banyuwangi</v>
          </cell>
          <cell r="Q5158" t="str">
            <v>Blokagung RT.003/RW.003, Ds. Karangdoro, Kec. Tegalsari</v>
          </cell>
          <cell r="R5158" t="str">
            <v>Banyuwangi</v>
          </cell>
          <cell r="S5158" t="str">
            <v>H Bwi4</v>
          </cell>
          <cell r="T5158" t="str">
            <v>Hafid</v>
          </cell>
          <cell r="U5158">
            <v>30</v>
          </cell>
        </row>
        <row r="5159">
          <cell r="E5159" t="str">
            <v>B25013216</v>
          </cell>
          <cell r="F5159"/>
          <cell r="G5159">
            <v>200000000</v>
          </cell>
          <cell r="H5159" t="str">
            <v>Faris</v>
          </cell>
          <cell r="I5159" t="str">
            <v>Syahra</v>
          </cell>
          <cell r="J5159"/>
          <cell r="K5159" t="str">
            <v>KU, Tunai</v>
          </cell>
          <cell r="L5159" t="str">
            <v>MITR16</v>
          </cell>
          <cell r="M5159" t="str">
            <v>Mitra Tani/Riska</v>
          </cell>
          <cell r="N5159" t="str">
            <v>Riska Mardianingsih</v>
          </cell>
          <cell r="O5159" t="str">
            <v>Blokagung RT.003/RW.003, Ds. Karangdoro, Kec. Tegalsari</v>
          </cell>
          <cell r="P5159" t="str">
            <v>Banyuwangi</v>
          </cell>
          <cell r="Q5159" t="str">
            <v>Blokagung RT.003/RW.003, Ds. Karangdoro, Kec. Tegalsari</v>
          </cell>
          <cell r="R5159" t="str">
            <v>Banyuwangi</v>
          </cell>
          <cell r="S5159" t="str">
            <v>H Bwi4</v>
          </cell>
          <cell r="T5159" t="str">
            <v>Hafid</v>
          </cell>
          <cell r="U5159">
            <v>0</v>
          </cell>
        </row>
        <row r="5160">
          <cell r="E5160" t="str">
            <v>D25015480</v>
          </cell>
          <cell r="F5160"/>
          <cell r="G5160">
            <v>200000000</v>
          </cell>
          <cell r="H5160" t="str">
            <v>Faris</v>
          </cell>
          <cell r="I5160" t="str">
            <v>Syahra</v>
          </cell>
          <cell r="J5160"/>
          <cell r="K5160" t="str">
            <v>KU, Tunai</v>
          </cell>
          <cell r="L5160" t="str">
            <v>MITR16</v>
          </cell>
          <cell r="M5160" t="str">
            <v>Mitra Tani/Riska</v>
          </cell>
          <cell r="N5160" t="str">
            <v>Riska Mardianingsih</v>
          </cell>
          <cell r="O5160" t="str">
            <v>Blokagung RT.003/RW.003, Ds. Karangdoro, Kec. Tegalsari</v>
          </cell>
          <cell r="P5160" t="str">
            <v>Banyuwangi</v>
          </cell>
          <cell r="Q5160" t="str">
            <v>Blokagung RT.003/RW.003, Ds. Karangdoro, Kec. Tegalsari</v>
          </cell>
          <cell r="R5160" t="str">
            <v>Banyuwangi</v>
          </cell>
          <cell r="S5160" t="str">
            <v>H Bwi4</v>
          </cell>
          <cell r="T5160" t="str">
            <v>Hafid</v>
          </cell>
          <cell r="U5160">
            <v>30</v>
          </cell>
        </row>
        <row r="5161">
          <cell r="E5161" t="str">
            <v>D25015481</v>
          </cell>
          <cell r="F5161"/>
          <cell r="G5161">
            <v>200000000</v>
          </cell>
          <cell r="H5161" t="str">
            <v>Faris</v>
          </cell>
          <cell r="I5161" t="str">
            <v>Syahra</v>
          </cell>
          <cell r="J5161"/>
          <cell r="K5161" t="str">
            <v>KU, Tunai</v>
          </cell>
          <cell r="L5161" t="str">
            <v>MITR16</v>
          </cell>
          <cell r="M5161" t="str">
            <v>Mitra Tani/Riska</v>
          </cell>
          <cell r="N5161" t="str">
            <v>Riska Mardianingsih</v>
          </cell>
          <cell r="O5161" t="str">
            <v>Blokagung RT.003/RW.003, Ds. Karangdoro, Kec. Tegalsari</v>
          </cell>
          <cell r="P5161" t="str">
            <v>Banyuwangi</v>
          </cell>
          <cell r="Q5161" t="str">
            <v>Blokagung RT.003/RW.003, Ds. Karangdoro, Kec. Tegalsari</v>
          </cell>
          <cell r="R5161" t="str">
            <v>Banyuwangi</v>
          </cell>
          <cell r="S5161" t="str">
            <v>H Bwi4</v>
          </cell>
          <cell r="T5161" t="str">
            <v>Hafid</v>
          </cell>
          <cell r="U5161">
            <v>30</v>
          </cell>
        </row>
        <row r="5162">
          <cell r="E5162" t="str">
            <v>D25015510</v>
          </cell>
          <cell r="F5162"/>
          <cell r="G5162">
            <v>200000000</v>
          </cell>
          <cell r="H5162" t="str">
            <v>Faris</v>
          </cell>
          <cell r="I5162" t="str">
            <v>Syahra</v>
          </cell>
          <cell r="J5162"/>
          <cell r="K5162" t="str">
            <v>KU, Tunai</v>
          </cell>
          <cell r="L5162" t="str">
            <v>MITR16</v>
          </cell>
          <cell r="M5162" t="str">
            <v>Mitra Tani/Riska</v>
          </cell>
          <cell r="N5162" t="str">
            <v>Riska Mardianingsih</v>
          </cell>
          <cell r="O5162" t="str">
            <v>Blokagung RT.003/RW.003, Ds. Karangdoro, Kec. Tegalsari</v>
          </cell>
          <cell r="P5162" t="str">
            <v>Banyuwangi</v>
          </cell>
          <cell r="Q5162" t="str">
            <v>Blokagung RT.003/RW.003, Ds. Karangdoro, Kec. Tegalsari</v>
          </cell>
          <cell r="R5162" t="str">
            <v>Banyuwangi</v>
          </cell>
          <cell r="S5162" t="str">
            <v>H Bwi4</v>
          </cell>
          <cell r="T5162" t="str">
            <v>Hafid</v>
          </cell>
          <cell r="U5162">
            <v>30</v>
          </cell>
        </row>
        <row r="5163">
          <cell r="E5163" t="str">
            <v>D25015835</v>
          </cell>
          <cell r="F5163"/>
          <cell r="G5163">
            <v>200000000</v>
          </cell>
          <cell r="H5163" t="str">
            <v>Faris</v>
          </cell>
          <cell r="I5163" t="str">
            <v>Syahra</v>
          </cell>
          <cell r="J5163"/>
          <cell r="K5163" t="str">
            <v>KU, Tunai</v>
          </cell>
          <cell r="L5163" t="str">
            <v>MITR16</v>
          </cell>
          <cell r="M5163" t="str">
            <v>Mitra Tani/Riska</v>
          </cell>
          <cell r="N5163" t="str">
            <v>Riska Mardianingsih</v>
          </cell>
          <cell r="O5163" t="str">
            <v>Blokagung RT.003/RW.003, Ds. Karangdoro, Kec. Tegalsari</v>
          </cell>
          <cell r="P5163" t="str">
            <v>Banyuwangi</v>
          </cell>
          <cell r="Q5163" t="str">
            <v>Blokagung RT.003/RW.003, Ds. Karangdoro, Kec. Tegalsari</v>
          </cell>
          <cell r="R5163" t="str">
            <v>Banyuwangi</v>
          </cell>
          <cell r="S5163" t="str">
            <v>H Bwi4</v>
          </cell>
          <cell r="T5163" t="str">
            <v>Hafid</v>
          </cell>
          <cell r="U5163">
            <v>0</v>
          </cell>
        </row>
        <row r="5164">
          <cell r="E5164" t="str">
            <v>D25015836</v>
          </cell>
          <cell r="F5164"/>
          <cell r="G5164">
            <v>200000000</v>
          </cell>
          <cell r="H5164" t="str">
            <v>Faris</v>
          </cell>
          <cell r="I5164" t="str">
            <v>Syahra</v>
          </cell>
          <cell r="J5164"/>
          <cell r="K5164" t="str">
            <v>KU, Tunai</v>
          </cell>
          <cell r="L5164" t="str">
            <v>MITR16</v>
          </cell>
          <cell r="M5164" t="str">
            <v>Mitra Tani/Riska</v>
          </cell>
          <cell r="N5164" t="str">
            <v>Riska Mardianingsih</v>
          </cell>
          <cell r="O5164" t="str">
            <v>Blokagung RT.003/RW.003, Ds. Karangdoro, Kec. Tegalsari</v>
          </cell>
          <cell r="P5164" t="str">
            <v>Banyuwangi</v>
          </cell>
          <cell r="Q5164" t="str">
            <v>Blokagung RT.003/RW.003, Ds. Karangdoro, Kec. Tegalsari</v>
          </cell>
          <cell r="R5164" t="str">
            <v>Banyuwangi</v>
          </cell>
          <cell r="S5164" t="str">
            <v>H Bwi4</v>
          </cell>
          <cell r="T5164" t="str">
            <v>Hafid</v>
          </cell>
          <cell r="U5164">
            <v>30</v>
          </cell>
        </row>
        <row r="5165">
          <cell r="E5165" t="str">
            <v>D25015837</v>
          </cell>
          <cell r="F5165"/>
          <cell r="G5165">
            <v>200000000</v>
          </cell>
          <cell r="H5165" t="str">
            <v>Faris</v>
          </cell>
          <cell r="I5165" t="str">
            <v>Syahra</v>
          </cell>
          <cell r="J5165"/>
          <cell r="K5165" t="str">
            <v>KU, Tunai</v>
          </cell>
          <cell r="L5165" t="str">
            <v>MITR16</v>
          </cell>
          <cell r="M5165" t="str">
            <v>Mitra Tani/Riska</v>
          </cell>
          <cell r="N5165" t="str">
            <v>Riska Mardianingsih</v>
          </cell>
          <cell r="O5165" t="str">
            <v>Blokagung RT.003/RW.003, Ds. Karangdoro, Kec. Tegalsari</v>
          </cell>
          <cell r="P5165" t="str">
            <v>Banyuwangi</v>
          </cell>
          <cell r="Q5165" t="str">
            <v>Blokagung RT.003/RW.003, Ds. Karangdoro, Kec. Tegalsari</v>
          </cell>
          <cell r="R5165" t="str">
            <v>Banyuwangi</v>
          </cell>
          <cell r="S5165" t="str">
            <v>H Bwi4</v>
          </cell>
          <cell r="T5165" t="str">
            <v>Hafid</v>
          </cell>
          <cell r="U5165">
            <v>30</v>
          </cell>
        </row>
        <row r="5166">
          <cell r="E5166" t="str">
            <v>B25013737</v>
          </cell>
          <cell r="F5166"/>
          <cell r="G5166">
            <v>200000000</v>
          </cell>
          <cell r="H5166" t="str">
            <v>Faris</v>
          </cell>
          <cell r="I5166" t="str">
            <v>Syahra</v>
          </cell>
          <cell r="J5166"/>
          <cell r="K5166" t="str">
            <v>KU, Tunai</v>
          </cell>
          <cell r="L5166" t="str">
            <v>MITR16</v>
          </cell>
          <cell r="M5166" t="str">
            <v>Mitra Tani/Riska</v>
          </cell>
          <cell r="N5166" t="str">
            <v>Riska Mardianingsih</v>
          </cell>
          <cell r="O5166" t="str">
            <v>Blokagung RT.003/RW.003, Ds. Karangdoro, Kec. Tegalsari</v>
          </cell>
          <cell r="P5166" t="str">
            <v>Banyuwangi</v>
          </cell>
          <cell r="Q5166" t="str">
            <v>Blokagung RT.003/RW.003, Ds. Karangdoro, Kec. Tegalsari</v>
          </cell>
          <cell r="R5166" t="str">
            <v>Banyuwangi</v>
          </cell>
          <cell r="S5166" t="str">
            <v>H Bwi4</v>
          </cell>
          <cell r="T5166" t="str">
            <v>Hafid</v>
          </cell>
          <cell r="U5166">
            <v>30</v>
          </cell>
        </row>
        <row r="5167">
          <cell r="E5167" t="str">
            <v>B25013738</v>
          </cell>
          <cell r="F5167"/>
          <cell r="G5167">
            <v>200000000</v>
          </cell>
          <cell r="H5167" t="str">
            <v>Faris</v>
          </cell>
          <cell r="I5167" t="str">
            <v>Syahra</v>
          </cell>
          <cell r="J5167"/>
          <cell r="K5167" t="str">
            <v>KU, Tunai</v>
          </cell>
          <cell r="L5167" t="str">
            <v>MITR16</v>
          </cell>
          <cell r="M5167" t="str">
            <v>Mitra Tani/Riska</v>
          </cell>
          <cell r="N5167" t="str">
            <v>Riska Mardianingsih</v>
          </cell>
          <cell r="O5167" t="str">
            <v>Blokagung RT.003/RW.003, Ds. Karangdoro, Kec. Tegalsari</v>
          </cell>
          <cell r="P5167" t="str">
            <v>Banyuwangi</v>
          </cell>
          <cell r="Q5167" t="str">
            <v>Blokagung RT.003/RW.003, Ds. Karangdoro, Kec. Tegalsari</v>
          </cell>
          <cell r="R5167" t="str">
            <v>Banyuwangi</v>
          </cell>
          <cell r="S5167" t="str">
            <v>H Bwi4</v>
          </cell>
          <cell r="T5167" t="str">
            <v>Hafid</v>
          </cell>
          <cell r="U5167">
            <v>30</v>
          </cell>
        </row>
        <row r="5168">
          <cell r="E5168" t="str">
            <v>D25016055</v>
          </cell>
          <cell r="F5168"/>
          <cell r="G5168">
            <v>200000000</v>
          </cell>
          <cell r="H5168" t="str">
            <v>Faris</v>
          </cell>
          <cell r="I5168" t="str">
            <v>Syahra</v>
          </cell>
          <cell r="J5168"/>
          <cell r="K5168" t="str">
            <v>KU, Tunai</v>
          </cell>
          <cell r="L5168" t="str">
            <v>MITR16</v>
          </cell>
          <cell r="M5168" t="str">
            <v>Mitra Tani/Riska</v>
          </cell>
          <cell r="N5168" t="str">
            <v>Riska Mardianingsih</v>
          </cell>
          <cell r="O5168" t="str">
            <v>Blokagung RT.003/RW.003, Ds. Karangdoro, Kec. Tegalsari</v>
          </cell>
          <cell r="P5168" t="str">
            <v>Banyuwangi</v>
          </cell>
          <cell r="Q5168" t="str">
            <v>Blokagung RT.003/RW.003, Ds. Karangdoro, Kec. Tegalsari</v>
          </cell>
          <cell r="R5168" t="str">
            <v>Banyuwangi</v>
          </cell>
          <cell r="S5168" t="str">
            <v>H Bwi4</v>
          </cell>
          <cell r="T5168" t="str">
            <v>Hafid</v>
          </cell>
          <cell r="U5168">
            <v>30</v>
          </cell>
        </row>
        <row r="5169">
          <cell r="E5169" t="str">
            <v>D25016086</v>
          </cell>
          <cell r="F5169"/>
          <cell r="G5169">
            <v>200000000</v>
          </cell>
          <cell r="H5169" t="str">
            <v>Faris</v>
          </cell>
          <cell r="I5169" t="str">
            <v>Syahra</v>
          </cell>
          <cell r="J5169"/>
          <cell r="K5169" t="str">
            <v>KU, Tunai</v>
          </cell>
          <cell r="L5169" t="str">
            <v>MITR16</v>
          </cell>
          <cell r="M5169" t="str">
            <v>Mitra Tani/Riska</v>
          </cell>
          <cell r="N5169" t="str">
            <v>Riska Mardianingsih</v>
          </cell>
          <cell r="O5169" t="str">
            <v>Blokagung RT.003/RW.003, Ds. Karangdoro, Kec. Tegalsari</v>
          </cell>
          <cell r="P5169" t="str">
            <v>Banyuwangi</v>
          </cell>
          <cell r="Q5169" t="str">
            <v>Blokagung RT.003/RW.003, Ds. Karangdoro, Kec. Tegalsari</v>
          </cell>
          <cell r="R5169" t="str">
            <v>Banyuwangi</v>
          </cell>
          <cell r="S5169" t="str">
            <v>H Bwi4</v>
          </cell>
          <cell r="T5169" t="str">
            <v>Hafid</v>
          </cell>
          <cell r="U5169">
            <v>30</v>
          </cell>
        </row>
        <row r="5170">
          <cell r="E5170" t="str">
            <v>B25013758</v>
          </cell>
          <cell r="F5170"/>
          <cell r="G5170">
            <v>200000000</v>
          </cell>
          <cell r="H5170" t="str">
            <v>Faris</v>
          </cell>
          <cell r="I5170" t="str">
            <v>Syahra</v>
          </cell>
          <cell r="J5170"/>
          <cell r="K5170" t="str">
            <v>KU, Tunai</v>
          </cell>
          <cell r="L5170" t="str">
            <v>MITR16</v>
          </cell>
          <cell r="M5170" t="str">
            <v>Mitra Tani/Riska</v>
          </cell>
          <cell r="N5170" t="str">
            <v>Riska Mardianingsih</v>
          </cell>
          <cell r="O5170" t="str">
            <v>Blokagung RT.003/RW.003, Ds. Karangdoro, Kec. Tegalsari</v>
          </cell>
          <cell r="P5170" t="str">
            <v>Banyuwangi</v>
          </cell>
          <cell r="Q5170" t="str">
            <v>Blokagung RT.003/RW.003, Ds. Karangdoro, Kec. Tegalsari</v>
          </cell>
          <cell r="R5170" t="str">
            <v>Banyuwangi</v>
          </cell>
          <cell r="S5170" t="str">
            <v>H Bwi4</v>
          </cell>
          <cell r="T5170" t="str">
            <v>Hafid</v>
          </cell>
          <cell r="U5170">
            <v>30</v>
          </cell>
        </row>
        <row r="5171">
          <cell r="E5171" t="str">
            <v>D25014848</v>
          </cell>
          <cell r="F5171"/>
          <cell r="G5171">
            <v>100000000</v>
          </cell>
          <cell r="H5171" t="str">
            <v>Reni</v>
          </cell>
          <cell r="I5171" t="str">
            <v>Fira</v>
          </cell>
          <cell r="J5171"/>
          <cell r="K5171" t="str">
            <v>KU, Tunai</v>
          </cell>
          <cell r="L5171" t="str">
            <v>MITR37</v>
          </cell>
          <cell r="M5171" t="str">
            <v>Mitra Tani/Suharto</v>
          </cell>
          <cell r="N5171" t="str">
            <v>Suharto</v>
          </cell>
          <cell r="O5171" t="str">
            <v>Ds. Margo Agung, RT.001/RW.001, Margoagung Sumberrejo</v>
          </cell>
          <cell r="P5171" t="str">
            <v>Bojonegoro</v>
          </cell>
          <cell r="Q5171" t="str">
            <v>Ds. Margo Agung, RT.001/RW.001, Margoagung Sumberrejo</v>
          </cell>
          <cell r="R5171" t="str">
            <v>Bojonegoro</v>
          </cell>
          <cell r="S5171" t="str">
            <v>F Utara1</v>
          </cell>
          <cell r="T5171" t="str">
            <v>Dian</v>
          </cell>
          <cell r="U5171">
            <v>60</v>
          </cell>
        </row>
        <row r="5172">
          <cell r="E5172" t="str">
            <v>D25014878</v>
          </cell>
          <cell r="F5172"/>
          <cell r="G5172">
            <v>35000000</v>
          </cell>
          <cell r="H5172" t="str">
            <v>Ariyani</v>
          </cell>
          <cell r="I5172" t="str">
            <v>Fira</v>
          </cell>
          <cell r="J5172"/>
          <cell r="K5172" t="str">
            <v>KU, Tunai</v>
          </cell>
          <cell r="L5172" t="str">
            <v>MITR38</v>
          </cell>
          <cell r="M5172" t="str">
            <v>Mitra Usaha Tani/Somat</v>
          </cell>
          <cell r="N5172" t="str">
            <v>Abdul Somad, H</v>
          </cell>
          <cell r="O5172" t="str">
            <v>Jl. Krajan, RT.01/RW.04 Karang Anyar, Kraton</v>
          </cell>
          <cell r="P5172" t="str">
            <v>Pasuruan</v>
          </cell>
          <cell r="Q5172" t="str">
            <v>Karang Anyar Kraton</v>
          </cell>
          <cell r="R5172" t="str">
            <v>Pasuruan</v>
          </cell>
          <cell r="S5172" t="str">
            <v>F Utara1</v>
          </cell>
          <cell r="T5172" t="str">
            <v>Tomi</v>
          </cell>
          <cell r="U5172">
            <v>0</v>
          </cell>
        </row>
        <row r="5173">
          <cell r="E5173" t="str">
            <v>D25016105</v>
          </cell>
          <cell r="F5173"/>
          <cell r="G5173">
            <v>10000000</v>
          </cell>
          <cell r="H5173" t="str">
            <v>Reni</v>
          </cell>
          <cell r="I5173" t="str">
            <v>Farida</v>
          </cell>
          <cell r="J5173" t="str">
            <v>New 25/07/24</v>
          </cell>
          <cell r="K5173" t="str">
            <v>CBD</v>
          </cell>
          <cell r="L5173" t="str">
            <v>MITR78</v>
          </cell>
          <cell r="M5173" t="str">
            <v>Mitra Usaha, UD/Supris</v>
          </cell>
          <cell r="N5173" t="str">
            <v>Supris</v>
          </cell>
          <cell r="O5173" t="str">
            <v>Jl. Melati Putih RT.021/RW.002, Kel. Ngembal, Kec. Wajak</v>
          </cell>
          <cell r="P5173" t="str">
            <v>Malang</v>
          </cell>
          <cell r="Q5173" t="str">
            <v>Jl. Raya Wonorejo 24, Kel. Wonorejo, Kec. Poncokusumo</v>
          </cell>
          <cell r="R5173" t="str">
            <v>Malang</v>
          </cell>
          <cell r="S5173" t="str">
            <v>F Utara1</v>
          </cell>
          <cell r="T5173" t="str">
            <v>Tomi</v>
          </cell>
          <cell r="U5173">
            <v>0</v>
          </cell>
        </row>
        <row r="5174">
          <cell r="E5174" t="str">
            <v>D25011446</v>
          </cell>
          <cell r="F5174"/>
          <cell r="G5174">
            <v>100000000</v>
          </cell>
          <cell r="H5174" t="str">
            <v>Reni</v>
          </cell>
          <cell r="I5174" t="str">
            <v>Farida</v>
          </cell>
          <cell r="J5174"/>
          <cell r="K5174" t="str">
            <v>KU, Tunai</v>
          </cell>
          <cell r="L5174" t="str">
            <v>MITR43</v>
          </cell>
          <cell r="M5174" t="str">
            <v>Mitro Tani/Hadiyudin</v>
          </cell>
          <cell r="N5174" t="str">
            <v>Yazid Syaiful Alam</v>
          </cell>
          <cell r="O5174" t="str">
            <v>Jalan Raya Madiun No. 01 RT.001/RW.001, Bagor Kulon, Bagor</v>
          </cell>
          <cell r="P5174" t="str">
            <v>Nganjuk</v>
          </cell>
          <cell r="Q5174" t="str">
            <v>Dsn. Bagor Kulon, RT.001/RW.001 Bagor Kulon, Bagor, Kab. Nganjuk</v>
          </cell>
          <cell r="R5174" t="str">
            <v>Nganjuk</v>
          </cell>
          <cell r="S5174" t="str">
            <v>D Barat2</v>
          </cell>
          <cell r="T5174" t="str">
            <v>Dian</v>
          </cell>
          <cell r="U5174">
            <v>60</v>
          </cell>
        </row>
        <row r="5175">
          <cell r="E5175" t="str">
            <v>D25013828</v>
          </cell>
          <cell r="F5175"/>
          <cell r="G5175">
            <v>100000000</v>
          </cell>
          <cell r="H5175" t="str">
            <v>Reni</v>
          </cell>
          <cell r="I5175" t="str">
            <v>Farida</v>
          </cell>
          <cell r="J5175"/>
          <cell r="K5175" t="str">
            <v>KU, Tunai</v>
          </cell>
          <cell r="L5175" t="str">
            <v>MITR43</v>
          </cell>
          <cell r="M5175" t="str">
            <v>Mitro Tani/Hadiyudin</v>
          </cell>
          <cell r="N5175" t="str">
            <v>Yazid Syaiful Alam</v>
          </cell>
          <cell r="O5175" t="str">
            <v>Jalan Raya Madiun No. 01 RT.001/RW.001, Bagor Kulon, Bagor</v>
          </cell>
          <cell r="P5175" t="str">
            <v>Nganjuk</v>
          </cell>
          <cell r="Q5175" t="str">
            <v>Dsn. Bagor Kulon, RT.001/RW.001 Bagor Kulon, Bagor, Kab. Nganjuk</v>
          </cell>
          <cell r="R5175" t="str">
            <v>Nganjuk</v>
          </cell>
          <cell r="S5175" t="str">
            <v>D Barat2</v>
          </cell>
          <cell r="T5175" t="str">
            <v>Dian</v>
          </cell>
          <cell r="U5175">
            <v>60</v>
          </cell>
        </row>
        <row r="5176">
          <cell r="E5176" t="str">
            <v>D25014155</v>
          </cell>
          <cell r="F5176"/>
          <cell r="G5176">
            <v>100000000</v>
          </cell>
          <cell r="H5176" t="str">
            <v>Reni</v>
          </cell>
          <cell r="I5176" t="str">
            <v>Farida</v>
          </cell>
          <cell r="J5176"/>
          <cell r="K5176" t="str">
            <v>KU, Tunai</v>
          </cell>
          <cell r="L5176" t="str">
            <v>MITR43</v>
          </cell>
          <cell r="M5176" t="str">
            <v>Mitro Tani/Hadiyudin</v>
          </cell>
          <cell r="N5176" t="str">
            <v>Yazid Syaiful Alam</v>
          </cell>
          <cell r="O5176" t="str">
            <v>Jalan Raya Madiun No. 01 RT.001/RW.001, Bagor Kulon, Bagor</v>
          </cell>
          <cell r="P5176" t="str">
            <v>Nganjuk</v>
          </cell>
          <cell r="Q5176" t="str">
            <v>Dsn. Bagor Kulon, RT.001/RW.001 Bagor Kulon, Bagor, Kab. Nganjuk</v>
          </cell>
          <cell r="R5176" t="str">
            <v>Nganjuk</v>
          </cell>
          <cell r="S5176" t="str">
            <v>D Barat2</v>
          </cell>
          <cell r="T5176" t="str">
            <v>Dian</v>
          </cell>
          <cell r="U5176">
            <v>60</v>
          </cell>
        </row>
        <row r="5177">
          <cell r="E5177" t="str">
            <v>D25014944</v>
          </cell>
          <cell r="F5177"/>
          <cell r="G5177">
            <v>5000000</v>
          </cell>
          <cell r="H5177" t="str">
            <v>Faris</v>
          </cell>
          <cell r="I5177" t="str">
            <v>Syahra</v>
          </cell>
          <cell r="J5177" t="str">
            <v>New 25/11/19</v>
          </cell>
          <cell r="K5177" t="str">
            <v>KU, Tunai</v>
          </cell>
          <cell r="L5177" t="str">
            <v>MUGO01</v>
          </cell>
          <cell r="M5177" t="str">
            <v>Moga Barokah, UD</v>
          </cell>
          <cell r="N5177" t="str">
            <v>Ahmat Sujianto</v>
          </cell>
          <cell r="O5177" t="str">
            <v>Dsn. Curah Ketangi Barat, RT.002/RW.003 Kel. Setail, Kec. Genteng</v>
          </cell>
          <cell r="P5177" t="str">
            <v>Banyuwangi</v>
          </cell>
          <cell r="Q5177" t="str">
            <v>Dsn. Curah Ketangi Barat, RT.002/RW.003 Kel. Setail, Kec. Genteng</v>
          </cell>
          <cell r="R5177" t="str">
            <v>Banyuwangi</v>
          </cell>
          <cell r="S5177" t="str">
            <v>H Bwi1</v>
          </cell>
          <cell r="T5177" t="str">
            <v>Hafid</v>
          </cell>
          <cell r="U5177">
            <v>14</v>
          </cell>
        </row>
        <row r="5178">
          <cell r="E5178" t="str">
            <v>T25001487</v>
          </cell>
          <cell r="F5178"/>
          <cell r="G5178">
            <v>5000000</v>
          </cell>
          <cell r="H5178" t="str">
            <v>Faris</v>
          </cell>
          <cell r="I5178" t="str">
            <v>Syahra</v>
          </cell>
          <cell r="J5178" t="str">
            <v>New 25/11/19</v>
          </cell>
          <cell r="K5178" t="str">
            <v>KU, Tunai</v>
          </cell>
          <cell r="L5178" t="str">
            <v>MUGO01</v>
          </cell>
          <cell r="M5178" t="str">
            <v>Moga Barokah, UD</v>
          </cell>
          <cell r="N5178" t="str">
            <v>Ahmat Sujianto</v>
          </cell>
          <cell r="O5178" t="str">
            <v>Dsn. Curah Ketangi Barat, RT.002/RW.003 Kel. Setail, Kec. Genteng</v>
          </cell>
          <cell r="P5178" t="str">
            <v>Banyuwangi</v>
          </cell>
          <cell r="Q5178" t="str">
            <v>Dsn. Curah Ketangi Barat, RT.002/RW.003 Kel. Setail, Kec. Genteng</v>
          </cell>
          <cell r="R5178" t="str">
            <v>Banyuwangi</v>
          </cell>
          <cell r="S5178" t="str">
            <v>H Bwi1</v>
          </cell>
          <cell r="T5178" t="str">
            <v>Hafid</v>
          </cell>
          <cell r="U5178">
            <v>60</v>
          </cell>
        </row>
        <row r="5179">
          <cell r="E5179" t="str">
            <v>T25001056</v>
          </cell>
          <cell r="F5179"/>
          <cell r="G5179">
            <v>100000000</v>
          </cell>
          <cell r="H5179" t="str">
            <v>Yuyun</v>
          </cell>
          <cell r="I5179" t="str">
            <v>Farida</v>
          </cell>
          <cell r="J5179" t="str">
            <v>New 14/07/20</v>
          </cell>
          <cell r="K5179" t="str">
            <v>KU</v>
          </cell>
          <cell r="L5179" t="str">
            <v>MOHA15</v>
          </cell>
          <cell r="M5179" t="str">
            <v>Moga Berkah/Robid</v>
          </cell>
          <cell r="N5179" t="str">
            <v>Mohamad Robid Budi Ismoyo</v>
          </cell>
          <cell r="O5179" t="str">
            <v>Dusun Krajan Wetan, RT.018/RW.003, Kel. Tanjung Rejo, Kec. Wuluhan</v>
          </cell>
          <cell r="P5179" t="str">
            <v>Jember</v>
          </cell>
          <cell r="Q5179" t="str">
            <v>Dusun Krajan Wetan, RT.018/RW.003, Kel. Tanjung Rejo, Kec. Wuluhan</v>
          </cell>
          <cell r="R5179" t="str">
            <v>Jember</v>
          </cell>
          <cell r="S5179" t="str">
            <v>L Kota2</v>
          </cell>
          <cell r="T5179" t="str">
            <v>Wira</v>
          </cell>
          <cell r="U5179">
            <v>60</v>
          </cell>
        </row>
        <row r="5180">
          <cell r="E5180" t="str">
            <v>D25011765</v>
          </cell>
          <cell r="F5180"/>
          <cell r="G5180">
            <v>100000000</v>
          </cell>
          <cell r="H5180" t="str">
            <v>Yuyun</v>
          </cell>
          <cell r="I5180" t="str">
            <v>Farida</v>
          </cell>
          <cell r="J5180" t="str">
            <v>New 14/07/20</v>
          </cell>
          <cell r="K5180" t="str">
            <v>KU</v>
          </cell>
          <cell r="L5180" t="str">
            <v>MOHA15</v>
          </cell>
          <cell r="M5180" t="str">
            <v>Moga Berkah/Robid</v>
          </cell>
          <cell r="N5180" t="str">
            <v>Mohamad Robid Budi Ismoyo</v>
          </cell>
          <cell r="O5180" t="str">
            <v>Dusun Krajan Wetan, RT.018/RW.003, Kel. Tanjung Rejo, Kec. Wuluhan</v>
          </cell>
          <cell r="P5180" t="str">
            <v>Jember</v>
          </cell>
          <cell r="Q5180" t="str">
            <v>Dusun Krajan Wetan, RT.018/RW.003, Kel. Tanjung Rejo, Kec. Wuluhan</v>
          </cell>
          <cell r="R5180" t="str">
            <v>Jember</v>
          </cell>
          <cell r="S5180" t="str">
            <v>L Kota2</v>
          </cell>
          <cell r="T5180" t="str">
            <v>Wira</v>
          </cell>
          <cell r="U5180">
            <v>30</v>
          </cell>
        </row>
        <row r="5181">
          <cell r="E5181" t="str">
            <v>B25010358</v>
          </cell>
          <cell r="F5181"/>
          <cell r="G5181">
            <v>100000000</v>
          </cell>
          <cell r="H5181" t="str">
            <v>Yuyun</v>
          </cell>
          <cell r="I5181" t="str">
            <v>Farida</v>
          </cell>
          <cell r="J5181" t="str">
            <v>New 14/07/20</v>
          </cell>
          <cell r="K5181" t="str">
            <v>KU</v>
          </cell>
          <cell r="L5181" t="str">
            <v>MOHA15</v>
          </cell>
          <cell r="M5181" t="str">
            <v>Moga Berkah/Robid</v>
          </cell>
          <cell r="N5181" t="str">
            <v>Mohamad Robid Budi Ismoyo</v>
          </cell>
          <cell r="O5181" t="str">
            <v>Dusun Krajan Wetan, RT.018/RW.003, Kel. Tanjung Rejo, Kec. Wuluhan</v>
          </cell>
          <cell r="P5181" t="str">
            <v>Jember</v>
          </cell>
          <cell r="Q5181" t="str">
            <v>Dusun Krajan Wetan, RT.018/RW.003, Kel. Tanjung Rejo, Kec. Wuluhan</v>
          </cell>
          <cell r="R5181" t="str">
            <v>Jember</v>
          </cell>
          <cell r="S5181" t="str">
            <v>L Kota2</v>
          </cell>
          <cell r="T5181" t="str">
            <v>Wira</v>
          </cell>
          <cell r="U5181">
            <v>30</v>
          </cell>
        </row>
        <row r="5182">
          <cell r="E5182" t="str">
            <v>B25010358</v>
          </cell>
          <cell r="F5182"/>
          <cell r="G5182">
            <v>100000000</v>
          </cell>
          <cell r="H5182" t="str">
            <v>Yuyun</v>
          </cell>
          <cell r="I5182" t="str">
            <v>Farida</v>
          </cell>
          <cell r="J5182" t="str">
            <v>New 14/07/20</v>
          </cell>
          <cell r="K5182" t="str">
            <v>KU</v>
          </cell>
          <cell r="L5182" t="str">
            <v>MOHA15</v>
          </cell>
          <cell r="M5182" t="str">
            <v>Moga Berkah/Robid</v>
          </cell>
          <cell r="N5182" t="str">
            <v>Mohamad Robid Budi Ismoyo</v>
          </cell>
          <cell r="O5182" t="str">
            <v>Dusun Krajan Wetan, RT.018/RW.003, Kel. Tanjung Rejo, Kec. Wuluhan</v>
          </cell>
          <cell r="P5182" t="str">
            <v>Jember</v>
          </cell>
          <cell r="Q5182" t="str">
            <v>Dusun Krajan Wetan, RT.018/RW.003, Kel. Tanjung Rejo, Kec. Wuluhan</v>
          </cell>
          <cell r="R5182" t="str">
            <v>Jember</v>
          </cell>
          <cell r="S5182" t="str">
            <v>L Kota2</v>
          </cell>
          <cell r="T5182" t="str">
            <v>Wira</v>
          </cell>
          <cell r="U5182">
            <v>30</v>
          </cell>
        </row>
        <row r="5183">
          <cell r="E5183" t="str">
            <v>B25010504</v>
          </cell>
          <cell r="F5183"/>
          <cell r="G5183">
            <v>100000000</v>
          </cell>
          <cell r="H5183" t="str">
            <v>Yuyun</v>
          </cell>
          <cell r="I5183" t="str">
            <v>Farida</v>
          </cell>
          <cell r="J5183" t="str">
            <v>New 14/07/20</v>
          </cell>
          <cell r="K5183" t="str">
            <v>KU</v>
          </cell>
          <cell r="L5183" t="str">
            <v>MOHA15</v>
          </cell>
          <cell r="M5183" t="str">
            <v>Moga Berkah/Robid</v>
          </cell>
          <cell r="N5183" t="str">
            <v>Mohamad Robid Budi Ismoyo</v>
          </cell>
          <cell r="O5183" t="str">
            <v>Dusun Krajan Wetan, RT.018/RW.003, Kel. Tanjung Rejo, Kec. Wuluhan</v>
          </cell>
          <cell r="P5183" t="str">
            <v>Jember</v>
          </cell>
          <cell r="Q5183" t="str">
            <v>Dusun Krajan Wetan, RT.018/RW.003, Kel. Tanjung Rejo, Kec. Wuluhan</v>
          </cell>
          <cell r="R5183" t="str">
            <v>Jember</v>
          </cell>
          <cell r="S5183" t="str">
            <v>L Kota2</v>
          </cell>
          <cell r="T5183" t="str">
            <v>Wira</v>
          </cell>
          <cell r="U5183">
            <v>30</v>
          </cell>
        </row>
        <row r="5184">
          <cell r="E5184" t="str">
            <v>D25012904</v>
          </cell>
          <cell r="F5184"/>
          <cell r="G5184">
            <v>100000000</v>
          </cell>
          <cell r="H5184" t="str">
            <v>Yuyun</v>
          </cell>
          <cell r="I5184" t="str">
            <v>Farida</v>
          </cell>
          <cell r="J5184" t="str">
            <v>New 14/07/20</v>
          </cell>
          <cell r="K5184" t="str">
            <v>KU</v>
          </cell>
          <cell r="L5184" t="str">
            <v>MOHA15</v>
          </cell>
          <cell r="M5184" t="str">
            <v>Moga Berkah/Robid</v>
          </cell>
          <cell r="N5184" t="str">
            <v>Mohamad Robid Budi Ismoyo</v>
          </cell>
          <cell r="O5184" t="str">
            <v>Dusun Krajan Wetan, RT.018/RW.003, Kel. Tanjung Rejo, Kec. Wuluhan</v>
          </cell>
          <cell r="P5184" t="str">
            <v>Jember</v>
          </cell>
          <cell r="Q5184" t="str">
            <v>Dusun Krajan Wetan, RT.018/RW.003, Kel. Tanjung Rejo, Kec. Wuluhan</v>
          </cell>
          <cell r="R5184" t="str">
            <v>Jember</v>
          </cell>
          <cell r="S5184" t="str">
            <v>L Kota2</v>
          </cell>
          <cell r="T5184" t="str">
            <v>Wira</v>
          </cell>
          <cell r="U5184">
            <v>30</v>
          </cell>
        </row>
        <row r="5185">
          <cell r="E5185" t="str">
            <v>D25012905</v>
          </cell>
          <cell r="F5185"/>
          <cell r="G5185">
            <v>100000000</v>
          </cell>
          <cell r="H5185" t="str">
            <v>Yuyun</v>
          </cell>
          <cell r="I5185" t="str">
            <v>Farida</v>
          </cell>
          <cell r="J5185" t="str">
            <v>New 14/07/20</v>
          </cell>
          <cell r="K5185" t="str">
            <v>KU</v>
          </cell>
          <cell r="L5185" t="str">
            <v>MOHA15</v>
          </cell>
          <cell r="M5185" t="str">
            <v>Moga Berkah/Robid</v>
          </cell>
          <cell r="N5185" t="str">
            <v>Mohamad Robid Budi Ismoyo</v>
          </cell>
          <cell r="O5185" t="str">
            <v>Dusun Krajan Wetan, RT.018/RW.003, Kel. Tanjung Rejo, Kec. Wuluhan</v>
          </cell>
          <cell r="P5185" t="str">
            <v>Jember</v>
          </cell>
          <cell r="Q5185" t="str">
            <v>Dusun Krajan Wetan, RT.018/RW.003, Kel. Tanjung Rejo, Kec. Wuluhan</v>
          </cell>
          <cell r="R5185" t="str">
            <v>Jember</v>
          </cell>
          <cell r="S5185" t="str">
            <v>L Kota2</v>
          </cell>
          <cell r="T5185" t="str">
            <v>Wira</v>
          </cell>
          <cell r="U5185">
            <v>30</v>
          </cell>
        </row>
        <row r="5186">
          <cell r="E5186" t="str">
            <v>D25013026</v>
          </cell>
          <cell r="F5186"/>
          <cell r="G5186">
            <v>100000000</v>
          </cell>
          <cell r="H5186" t="str">
            <v>Yuyun</v>
          </cell>
          <cell r="I5186" t="str">
            <v>Farida</v>
          </cell>
          <cell r="J5186" t="str">
            <v>New 14/07/20</v>
          </cell>
          <cell r="K5186" t="str">
            <v>KU</v>
          </cell>
          <cell r="L5186" t="str">
            <v>MOHA15</v>
          </cell>
          <cell r="M5186" t="str">
            <v>Moga Berkah/Robid</v>
          </cell>
          <cell r="N5186" t="str">
            <v>Mohamad Robid Budi Ismoyo</v>
          </cell>
          <cell r="O5186" t="str">
            <v>Dusun Krajan Wetan, RT.018/RW.003, Kel. Tanjung Rejo, Kec. Wuluhan</v>
          </cell>
          <cell r="P5186" t="str">
            <v>Jember</v>
          </cell>
          <cell r="Q5186" t="str">
            <v>Dusun Krajan Wetan, RT.018/RW.003, Kel. Tanjung Rejo, Kec. Wuluhan</v>
          </cell>
          <cell r="R5186" t="str">
            <v>Jember</v>
          </cell>
          <cell r="S5186" t="str">
            <v>L Kota2</v>
          </cell>
          <cell r="T5186" t="str">
            <v>Wira</v>
          </cell>
          <cell r="U5186">
            <v>30</v>
          </cell>
        </row>
        <row r="5187">
          <cell r="E5187" t="str">
            <v>D25013026</v>
          </cell>
          <cell r="F5187"/>
          <cell r="G5187">
            <v>100000000</v>
          </cell>
          <cell r="H5187" t="str">
            <v>Yuyun</v>
          </cell>
          <cell r="I5187" t="str">
            <v>Farida</v>
          </cell>
          <cell r="J5187" t="str">
            <v>New 14/07/20</v>
          </cell>
          <cell r="K5187" t="str">
            <v>KU</v>
          </cell>
          <cell r="L5187" t="str">
            <v>MOHA15</v>
          </cell>
          <cell r="M5187" t="str">
            <v>Moga Berkah/Robid</v>
          </cell>
          <cell r="N5187" t="str">
            <v>Mohamad Robid Budi Ismoyo</v>
          </cell>
          <cell r="O5187" t="str">
            <v>Dusun Krajan Wetan, RT.018/RW.003, Kel. Tanjung Rejo, Kec. Wuluhan</v>
          </cell>
          <cell r="P5187" t="str">
            <v>Jember</v>
          </cell>
          <cell r="Q5187" t="str">
            <v>Dusun Krajan Wetan, RT.018/RW.003, Kel. Tanjung Rejo, Kec. Wuluhan</v>
          </cell>
          <cell r="R5187" t="str">
            <v>Jember</v>
          </cell>
          <cell r="S5187" t="str">
            <v>L Kota2</v>
          </cell>
          <cell r="T5187" t="str">
            <v>Wira</v>
          </cell>
          <cell r="U5187">
            <v>30</v>
          </cell>
        </row>
        <row r="5188">
          <cell r="E5188" t="str">
            <v>D25014336</v>
          </cell>
          <cell r="F5188"/>
          <cell r="G5188">
            <v>100000000</v>
          </cell>
          <cell r="H5188" t="str">
            <v>Yuyun</v>
          </cell>
          <cell r="I5188" t="str">
            <v>Farida</v>
          </cell>
          <cell r="J5188" t="str">
            <v>New 14/07/20</v>
          </cell>
          <cell r="K5188" t="str">
            <v>KU</v>
          </cell>
          <cell r="L5188" t="str">
            <v>MOHA15</v>
          </cell>
          <cell r="M5188" t="str">
            <v>Moga Berkah/Robid</v>
          </cell>
          <cell r="N5188" t="str">
            <v>Mohamad Robid Budi Ismoyo</v>
          </cell>
          <cell r="O5188" t="str">
            <v>Dusun Krajan Wetan, RT.018/RW.003, Kel. Tanjung Rejo, Kec. Wuluhan</v>
          </cell>
          <cell r="P5188" t="str">
            <v>Jember</v>
          </cell>
          <cell r="Q5188" t="str">
            <v>Dusun Krajan Wetan, RT.018/RW.003, Kel. Tanjung Rejo, Kec. Wuluhan</v>
          </cell>
          <cell r="R5188" t="str">
            <v>Jember</v>
          </cell>
          <cell r="S5188" t="str">
            <v>L Kota2</v>
          </cell>
          <cell r="T5188" t="str">
            <v>Wira</v>
          </cell>
          <cell r="U5188">
            <v>30</v>
          </cell>
        </row>
        <row r="5189">
          <cell r="E5189" t="str">
            <v>D25014665</v>
          </cell>
          <cell r="F5189"/>
          <cell r="G5189">
            <v>100000000</v>
          </cell>
          <cell r="H5189" t="str">
            <v>Yuyun</v>
          </cell>
          <cell r="I5189" t="str">
            <v>Farida</v>
          </cell>
          <cell r="J5189" t="str">
            <v>New 14/07/20</v>
          </cell>
          <cell r="K5189" t="str">
            <v>KU</v>
          </cell>
          <cell r="L5189" t="str">
            <v>MOHA15</v>
          </cell>
          <cell r="M5189" t="str">
            <v>Moga Berkah/Robid</v>
          </cell>
          <cell r="N5189" t="str">
            <v>Mohamad Robid Budi Ismoyo</v>
          </cell>
          <cell r="O5189" t="str">
            <v>Dusun Krajan Wetan, RT.018/RW.003, Kel. Tanjung Rejo, Kec. Wuluhan</v>
          </cell>
          <cell r="P5189" t="str">
            <v>Jember</v>
          </cell>
          <cell r="Q5189" t="str">
            <v>Dusun Krajan Wetan, RT.018/RW.003, Kel. Tanjung Rejo, Kec. Wuluhan</v>
          </cell>
          <cell r="R5189" t="str">
            <v>Jember</v>
          </cell>
          <cell r="S5189" t="str">
            <v>L Kota2</v>
          </cell>
          <cell r="T5189" t="str">
            <v>Wira</v>
          </cell>
          <cell r="U5189">
            <v>30</v>
          </cell>
        </row>
        <row r="5190">
          <cell r="E5190" t="str">
            <v>B25012486</v>
          </cell>
          <cell r="F5190"/>
          <cell r="G5190">
            <v>100000000</v>
          </cell>
          <cell r="H5190" t="str">
            <v>Yuyun</v>
          </cell>
          <cell r="I5190" t="str">
            <v>Farida</v>
          </cell>
          <cell r="J5190" t="str">
            <v>New 14/07/20</v>
          </cell>
          <cell r="K5190" t="str">
            <v>KU</v>
          </cell>
          <cell r="L5190" t="str">
            <v>MOHA15</v>
          </cell>
          <cell r="M5190" t="str">
            <v>Moga Berkah/Robid</v>
          </cell>
          <cell r="N5190" t="str">
            <v>Mohamad Robid Budi Ismoyo</v>
          </cell>
          <cell r="O5190" t="str">
            <v>Dusun Krajan Wetan, RT.018/RW.003, Kel. Tanjung Rejo, Kec. Wuluhan</v>
          </cell>
          <cell r="P5190" t="str">
            <v>Jember</v>
          </cell>
          <cell r="Q5190" t="str">
            <v>Dusun Krajan Wetan, RT.018/RW.003, Kel. Tanjung Rejo, Kec. Wuluhan</v>
          </cell>
          <cell r="R5190" t="str">
            <v>Jember</v>
          </cell>
          <cell r="S5190" t="str">
            <v>L Kota2</v>
          </cell>
          <cell r="T5190" t="str">
            <v>Wira</v>
          </cell>
          <cell r="U5190">
            <v>30</v>
          </cell>
        </row>
        <row r="5191">
          <cell r="E5191" t="str">
            <v>B25013968</v>
          </cell>
          <cell r="F5191"/>
          <cell r="G5191">
            <v>100000000</v>
          </cell>
          <cell r="H5191" t="str">
            <v>Yuyun</v>
          </cell>
          <cell r="I5191" t="str">
            <v>Farida</v>
          </cell>
          <cell r="J5191" t="str">
            <v>New 14/07/20</v>
          </cell>
          <cell r="K5191" t="str">
            <v>KU</v>
          </cell>
          <cell r="L5191" t="str">
            <v>MOHA15</v>
          </cell>
          <cell r="M5191" t="str">
            <v>Moga Berkah/Robid</v>
          </cell>
          <cell r="N5191" t="str">
            <v>Mohamad Robid Budi Ismoyo</v>
          </cell>
          <cell r="O5191" t="str">
            <v>Dusun Krajan Wetan, RT.018/RW.003, Kel. Tanjung Rejo, Kec. Wuluhan</v>
          </cell>
          <cell r="P5191" t="str">
            <v>Jember</v>
          </cell>
          <cell r="Q5191" t="str">
            <v>Dusun Krajan Wetan, RT.018/RW.003, Kel. Tanjung Rejo, Kec. Wuluhan</v>
          </cell>
          <cell r="R5191" t="str">
            <v>Jember</v>
          </cell>
          <cell r="S5191" t="str">
            <v>L Kota2</v>
          </cell>
          <cell r="T5191" t="str">
            <v>Wira</v>
          </cell>
          <cell r="U5191">
            <v>30</v>
          </cell>
        </row>
        <row r="5192">
          <cell r="E5192" t="str">
            <v>B25012936</v>
          </cell>
          <cell r="F5192"/>
          <cell r="G5192">
            <v>1000</v>
          </cell>
          <cell r="H5192" t="str">
            <v>Sheila</v>
          </cell>
          <cell r="I5192" t="str">
            <v>Exclusive</v>
          </cell>
          <cell r="J5192" t="str">
            <v>New 09/10/25</v>
          </cell>
          <cell r="K5192" t="str">
            <v>KU</v>
          </cell>
          <cell r="L5192" t="str">
            <v>MOHA53</v>
          </cell>
          <cell r="M5192" t="str">
            <v>Mohammad Candra Prayoga</v>
          </cell>
          <cell r="N5192" t="str">
            <v>Mohammad Candra Prayoga</v>
          </cell>
          <cell r="O5192" t="str">
            <v>Dsn Krajan RT.001/RW.009, Kel. Kedungringin, Kec. Muncar</v>
          </cell>
          <cell r="P5192" t="str">
            <v>Banyuwangi</v>
          </cell>
          <cell r="Q5192" t="str">
            <v>Dsn Krajan RT.001/RW.009, Kel. Kedungringin, Kec. Muncar</v>
          </cell>
          <cell r="R5192" t="str">
            <v>Banyuwangi</v>
          </cell>
          <cell r="S5192" t="str">
            <v>H Bwi2</v>
          </cell>
          <cell r="T5192" t="str">
            <v>Hafid</v>
          </cell>
          <cell r="U5192">
            <v>0</v>
          </cell>
        </row>
        <row r="5193">
          <cell r="E5193" t="str">
            <v>B25012937</v>
          </cell>
          <cell r="F5193"/>
          <cell r="G5193">
            <v>1000</v>
          </cell>
          <cell r="H5193" t="str">
            <v>Sheila</v>
          </cell>
          <cell r="I5193" t="str">
            <v>Exclusive</v>
          </cell>
          <cell r="J5193" t="str">
            <v>New 09/10/25</v>
          </cell>
          <cell r="K5193" t="str">
            <v>KU</v>
          </cell>
          <cell r="L5193" t="str">
            <v>MOHA53</v>
          </cell>
          <cell r="M5193" t="str">
            <v>Mohammad Candra Prayoga</v>
          </cell>
          <cell r="N5193" t="str">
            <v>Mohammad Candra Prayoga</v>
          </cell>
          <cell r="O5193" t="str">
            <v>Dsn Krajan RT.001/RW.009, Kel. Kedungringin, Kec. Muncar</v>
          </cell>
          <cell r="P5193" t="str">
            <v>Banyuwangi</v>
          </cell>
          <cell r="Q5193" t="str">
            <v>Dsn Krajan RT.001/RW.009, Kel. Kedungringin, Kec. Muncar</v>
          </cell>
          <cell r="R5193" t="str">
            <v>Banyuwangi</v>
          </cell>
          <cell r="S5193" t="str">
            <v>H Bwi2</v>
          </cell>
          <cell r="T5193" t="str">
            <v>Hafid</v>
          </cell>
          <cell r="U5193">
            <v>0</v>
          </cell>
        </row>
        <row r="5194">
          <cell r="E5194" t="str">
            <v>B25012823</v>
          </cell>
          <cell r="F5194"/>
          <cell r="G5194">
            <v>1000</v>
          </cell>
          <cell r="H5194" t="str">
            <v>Yuyun</v>
          </cell>
          <cell r="I5194" t="str">
            <v>Farida</v>
          </cell>
          <cell r="J5194" t="str">
            <v>New 06/03/2025</v>
          </cell>
          <cell r="K5194" t="str">
            <v>KU</v>
          </cell>
          <cell r="L5194" t="str">
            <v>MOHA50</v>
          </cell>
          <cell r="M5194" t="str">
            <v>Mohammad Huzaeni/Prima Karya</v>
          </cell>
          <cell r="N5194" t="str">
            <v>Mohammad Huzaeni</v>
          </cell>
          <cell r="O5194" t="str">
            <v>Jalan DR. Soetomo 64 Dusun Gudang Rejo RT.002/RW.002 , Kel. Rambipuji Kec. Rambipuji</v>
          </cell>
          <cell r="P5194" t="str">
            <v>Jember</v>
          </cell>
          <cell r="Q5194" t="str">
            <v>Jalan DR. Soetomo 64 Dusun Gudang Rejo RT.002/RW.002 , Kel. Rambipuji Kec. Rambipuji</v>
          </cell>
          <cell r="R5194" t="str">
            <v>Jember</v>
          </cell>
          <cell r="S5194" t="str">
            <v>L Kota3</v>
          </cell>
          <cell r="T5194" t="str">
            <v>Wira</v>
          </cell>
          <cell r="U5194">
            <v>0</v>
          </cell>
        </row>
        <row r="5195">
          <cell r="E5195" t="str">
            <v>B25013539</v>
          </cell>
          <cell r="F5195"/>
          <cell r="G5195">
            <v>1000</v>
          </cell>
          <cell r="H5195" t="str">
            <v>Yuyun</v>
          </cell>
          <cell r="I5195" t="str">
            <v>Farida</v>
          </cell>
          <cell r="J5195" t="str">
            <v>New 06/03/2025</v>
          </cell>
          <cell r="K5195" t="str">
            <v>KU</v>
          </cell>
          <cell r="L5195" t="str">
            <v>MOHA50</v>
          </cell>
          <cell r="M5195" t="str">
            <v>Mohammad Huzaeni/Prima Karya</v>
          </cell>
          <cell r="N5195" t="str">
            <v>Mohammad Huzaeni</v>
          </cell>
          <cell r="O5195" t="str">
            <v>Jalan DR. Soetomo 64 Dusun Gudang Rejo RT.002/RW.002 , Kel. Rambipuji Kec. Rambipuji</v>
          </cell>
          <cell r="P5195" t="str">
            <v>Jember</v>
          </cell>
          <cell r="Q5195" t="str">
            <v>Jalan DR. Soetomo 64 Dusun Gudang Rejo RT.002/RW.002 , Kel. Rambipuji Kec. Rambipuji</v>
          </cell>
          <cell r="R5195" t="str">
            <v>Jember</v>
          </cell>
          <cell r="S5195" t="str">
            <v>L Kota3</v>
          </cell>
          <cell r="T5195" t="str">
            <v>Wira</v>
          </cell>
          <cell r="U5195">
            <v>0</v>
          </cell>
        </row>
        <row r="5196">
          <cell r="E5196" t="str">
            <v>B25012873</v>
          </cell>
          <cell r="F5196"/>
          <cell r="G5196">
            <v>1000</v>
          </cell>
          <cell r="H5196" t="str">
            <v>Yuyun</v>
          </cell>
          <cell r="I5196" t="str">
            <v>Farida</v>
          </cell>
          <cell r="J5196"/>
          <cell r="K5196" t="str">
            <v>KU</v>
          </cell>
          <cell r="L5196" t="str">
            <v>MOHA24</v>
          </cell>
          <cell r="M5196" t="str">
            <v>Mohammad Muqorobin/Java Carlos</v>
          </cell>
          <cell r="N5196" t="str">
            <v>Mohammad Muqorobin</v>
          </cell>
          <cell r="O5196" t="str">
            <v>Dusun Dukuh RT.002/RW.028, Kel. Dukuh Dempok, Kec. Wuluhan</v>
          </cell>
          <cell r="P5196" t="str">
            <v>Jember</v>
          </cell>
          <cell r="Q5196" t="str">
            <v>Dusun Dukuh RT.002/RW.028, Kel. Dukuh Dempok, Kec. Wuluhan</v>
          </cell>
          <cell r="R5196" t="str">
            <v>Jember</v>
          </cell>
          <cell r="S5196" t="str">
            <v>L Kota2</v>
          </cell>
          <cell r="T5196" t="str">
            <v>Wira</v>
          </cell>
          <cell r="U5196">
            <v>0</v>
          </cell>
        </row>
        <row r="5197">
          <cell r="E5197" t="str">
            <v>B25012873</v>
          </cell>
          <cell r="F5197"/>
          <cell r="G5197">
            <v>1000</v>
          </cell>
          <cell r="H5197" t="str">
            <v>Yuyun</v>
          </cell>
          <cell r="I5197" t="str">
            <v>Farida</v>
          </cell>
          <cell r="J5197"/>
          <cell r="K5197" t="str">
            <v>KU</v>
          </cell>
          <cell r="L5197" t="str">
            <v>MOHA24</v>
          </cell>
          <cell r="M5197" t="str">
            <v>Mohammad Muqorobin/Java Carlos</v>
          </cell>
          <cell r="N5197" t="str">
            <v>Mohammad Muqorobin</v>
          </cell>
          <cell r="O5197" t="str">
            <v>Dusun Dukuh RT.002/RW.028, Kel. Dukuh Dempok, Kec. Wuluhan</v>
          </cell>
          <cell r="P5197" t="str">
            <v>Jember</v>
          </cell>
          <cell r="Q5197" t="str">
            <v>Dusun Dukuh RT.002/RW.028, Kel. Dukuh Dempok, Kec. Wuluhan</v>
          </cell>
          <cell r="R5197" t="str">
            <v>Jember</v>
          </cell>
          <cell r="S5197" t="str">
            <v>L Kota2</v>
          </cell>
          <cell r="T5197" t="str">
            <v>Wira</v>
          </cell>
          <cell r="U5197">
            <v>0</v>
          </cell>
        </row>
        <row r="5198">
          <cell r="E5198" t="str">
            <v>C25000867</v>
          </cell>
          <cell r="F5198"/>
          <cell r="G5198">
            <v>1000</v>
          </cell>
          <cell r="H5198" t="str">
            <v>Yuyun</v>
          </cell>
          <cell r="I5198" t="str">
            <v>Farida</v>
          </cell>
          <cell r="J5198"/>
          <cell r="K5198" t="str">
            <v>KU</v>
          </cell>
          <cell r="L5198" t="str">
            <v>MOHA24</v>
          </cell>
          <cell r="M5198" t="str">
            <v>Mohammad Muqorobin/Java Carlos</v>
          </cell>
          <cell r="N5198" t="str">
            <v>Mohammad Muqorobin</v>
          </cell>
          <cell r="O5198" t="str">
            <v>Dusun Dukuh RT.002/RW.028, Kel. Dukuh Dempok, Kec. Wuluhan</v>
          </cell>
          <cell r="P5198" t="str">
            <v>Jember</v>
          </cell>
          <cell r="Q5198" t="str">
            <v>Dusun Dukuh RT.002/RW.028, Kel. Dukuh Dempok, Kec. Wuluhan</v>
          </cell>
          <cell r="R5198" t="str">
            <v>Jember</v>
          </cell>
          <cell r="S5198" t="str">
            <v>L Kota2</v>
          </cell>
          <cell r="T5198" t="str">
            <v>Wira</v>
          </cell>
          <cell r="U5198">
            <v>0</v>
          </cell>
        </row>
        <row r="5199">
          <cell r="E5199" t="str">
            <v>D25006270</v>
          </cell>
          <cell r="F5199"/>
          <cell r="G5199">
            <v>10000000000</v>
          </cell>
          <cell r="H5199" t="str">
            <v>Reni</v>
          </cell>
          <cell r="I5199" t="str">
            <v>Fira</v>
          </cell>
          <cell r="J5199"/>
          <cell r="K5199" t="str">
            <v>BG, KU</v>
          </cell>
          <cell r="L5199" t="str">
            <v>MOHA01</v>
          </cell>
          <cell r="M5199" t="str">
            <v>Mohan Putra Mandiri</v>
          </cell>
          <cell r="N5199" t="str">
            <v>Mohan Putra Indonesia, PT</v>
          </cell>
          <cell r="O5199" t="str">
            <v>Jl. Bojonegoro - Cepu RT.001/RW.001 Panjunan, Kalitidu, Kab. Bojonegoro</v>
          </cell>
          <cell r="P5199" t="str">
            <v>Bojonegoro</v>
          </cell>
          <cell r="Q5199" t="str">
            <v>Jl. Bojonegoro - Cepu RT.001/RW.001 Panjunan, Kalitidu, Kab. Bojonegoro</v>
          </cell>
          <cell r="R5199" t="str">
            <v>Bojonegoro</v>
          </cell>
          <cell r="S5199" t="str">
            <v>F Utara1</v>
          </cell>
          <cell r="T5199" t="str">
            <v>Dian</v>
          </cell>
          <cell r="U5199">
            <v>216</v>
          </cell>
        </row>
        <row r="5200">
          <cell r="E5200" t="str">
            <v>D25012656</v>
          </cell>
          <cell r="F5200"/>
          <cell r="G5200">
            <v>10000000000</v>
          </cell>
          <cell r="H5200" t="str">
            <v>Reni</v>
          </cell>
          <cell r="I5200" t="str">
            <v>Fira</v>
          </cell>
          <cell r="J5200"/>
          <cell r="K5200" t="str">
            <v>BG, KU</v>
          </cell>
          <cell r="L5200" t="str">
            <v>MOHA01</v>
          </cell>
          <cell r="M5200" t="str">
            <v>Mohan Putra Mandiri</v>
          </cell>
          <cell r="N5200" t="str">
            <v>Mohan Putra Indonesia, PT</v>
          </cell>
          <cell r="O5200" t="str">
            <v>Jl. Bojonegoro - Cepu RT.001/RW.001 Panjunan, Kalitidu, Kab. Bojonegoro</v>
          </cell>
          <cell r="P5200" t="str">
            <v>Bojonegoro</v>
          </cell>
          <cell r="Q5200" t="str">
            <v>Jl. Bojonegoro - Cepu RT.001/RW.001 Panjunan, Kalitidu, Kab. Bojonegoro</v>
          </cell>
          <cell r="R5200" t="str">
            <v>Bojonegoro</v>
          </cell>
          <cell r="S5200" t="str">
            <v>F Utara1</v>
          </cell>
          <cell r="T5200" t="str">
            <v>Dian</v>
          </cell>
          <cell r="U5200">
            <v>30</v>
          </cell>
        </row>
        <row r="5201">
          <cell r="E5201" t="str">
            <v>D25014729</v>
          </cell>
          <cell r="F5201"/>
          <cell r="G5201">
            <v>10000000000</v>
          </cell>
          <cell r="H5201" t="str">
            <v>Reni</v>
          </cell>
          <cell r="I5201" t="str">
            <v>Fira</v>
          </cell>
          <cell r="J5201"/>
          <cell r="K5201" t="str">
            <v>BG, KU</v>
          </cell>
          <cell r="L5201" t="str">
            <v>MOHA01</v>
          </cell>
          <cell r="M5201" t="str">
            <v>Mohan Putra Mandiri</v>
          </cell>
          <cell r="N5201" t="str">
            <v>Mohan Putra Indonesia, PT</v>
          </cell>
          <cell r="O5201" t="str">
            <v>Jl. Bojonegoro - Cepu RT.001/RW.001 Panjunan, Kalitidu, Kab. Bojonegoro</v>
          </cell>
          <cell r="P5201" t="str">
            <v>Bojonegoro</v>
          </cell>
          <cell r="Q5201" t="str">
            <v>Jl. Bojonegoro - Cepu RT.001/RW.001 Panjunan, Kalitidu, Kab. Bojonegoro</v>
          </cell>
          <cell r="R5201" t="str">
            <v>Bojonegoro</v>
          </cell>
          <cell r="S5201" t="str">
            <v>F Utara1</v>
          </cell>
          <cell r="T5201" t="str">
            <v>Dian</v>
          </cell>
          <cell r="U5201">
            <v>0</v>
          </cell>
        </row>
        <row r="5202">
          <cell r="E5202" t="str">
            <v>D25014729</v>
          </cell>
          <cell r="F5202"/>
          <cell r="G5202">
            <v>10000000000</v>
          </cell>
          <cell r="H5202" t="str">
            <v>Reni</v>
          </cell>
          <cell r="I5202" t="str">
            <v>Fira</v>
          </cell>
          <cell r="J5202"/>
          <cell r="K5202" t="str">
            <v>BG, KU</v>
          </cell>
          <cell r="L5202" t="str">
            <v>MOHA01</v>
          </cell>
          <cell r="M5202" t="str">
            <v>Mohan Putra Mandiri</v>
          </cell>
          <cell r="N5202" t="str">
            <v>Mohan Putra Indonesia, PT</v>
          </cell>
          <cell r="O5202" t="str">
            <v>Jl. Bojonegoro - Cepu RT.001/RW.001 Panjunan, Kalitidu, Kab. Bojonegoro</v>
          </cell>
          <cell r="P5202" t="str">
            <v>Bojonegoro</v>
          </cell>
          <cell r="Q5202" t="str">
            <v>Jl. Bojonegoro - Cepu RT.001/RW.001 Panjunan, Kalitidu, Kab. Bojonegoro</v>
          </cell>
          <cell r="R5202" t="str">
            <v>Bojonegoro</v>
          </cell>
          <cell r="S5202" t="str">
            <v>F Utara1</v>
          </cell>
          <cell r="T5202" t="str">
            <v>Dian</v>
          </cell>
          <cell r="U5202">
            <v>0</v>
          </cell>
        </row>
        <row r="5203">
          <cell r="E5203" t="str">
            <v>D25016250</v>
          </cell>
          <cell r="F5203"/>
          <cell r="G5203">
            <v>10000000000</v>
          </cell>
          <cell r="H5203" t="str">
            <v>Reni</v>
          </cell>
          <cell r="I5203" t="str">
            <v>Fira</v>
          </cell>
          <cell r="J5203"/>
          <cell r="K5203" t="str">
            <v>BG, KU</v>
          </cell>
          <cell r="L5203" t="str">
            <v>MOHA01</v>
          </cell>
          <cell r="M5203" t="str">
            <v>Mohan Putra Mandiri</v>
          </cell>
          <cell r="N5203" t="str">
            <v>Mohan Putra Indonesia, PT</v>
          </cell>
          <cell r="O5203" t="str">
            <v>Jl. Bojonegoro - Cepu RT.001/RW.001 Panjunan, Kalitidu, Kab. Bojonegoro</v>
          </cell>
          <cell r="P5203" t="str">
            <v>Bojonegoro</v>
          </cell>
          <cell r="Q5203" t="str">
            <v>Jl. Bojonegoro - Cepu RT.001/RW.001 Panjunan, Kalitidu, Kab. Bojonegoro</v>
          </cell>
          <cell r="R5203" t="str">
            <v>Bojonegoro</v>
          </cell>
          <cell r="S5203" t="str">
            <v>F Utara1</v>
          </cell>
          <cell r="T5203" t="str">
            <v>Dian</v>
          </cell>
          <cell r="U5203">
            <v>0</v>
          </cell>
        </row>
        <row r="5204">
          <cell r="E5204" t="str">
            <v>D25013377</v>
          </cell>
          <cell r="F5204"/>
          <cell r="G5204">
            <v>600000000</v>
          </cell>
          <cell r="H5204" t="str">
            <v>Faris</v>
          </cell>
          <cell r="I5204" t="str">
            <v>Syahra</v>
          </cell>
          <cell r="J5204"/>
          <cell r="K5204" t="str">
            <v>KU</v>
          </cell>
          <cell r="L5204" t="str">
            <v>MUNA01</v>
          </cell>
          <cell r="M5204" t="str">
            <v>Mona Tani</v>
          </cell>
          <cell r="N5204" t="str">
            <v>Kacung Ahmat</v>
          </cell>
          <cell r="O5204" t="str">
            <v>Jl. Raya Banyuwangi KP. Timur RT.001/RW.005, Trigonco, Asembagus</v>
          </cell>
          <cell r="P5204" t="str">
            <v>Situbondo</v>
          </cell>
          <cell r="Q5204" t="str">
            <v>Jl. Raya Banyuwangi KP. Timur RT.001/RW.005, Trigonco, Asembagus</v>
          </cell>
          <cell r="R5204" t="str">
            <v>Situbondo</v>
          </cell>
          <cell r="S5204" t="str">
            <v>H Bwi5</v>
          </cell>
          <cell r="T5204" t="str">
            <v>Wira</v>
          </cell>
          <cell r="U5204">
            <v>30</v>
          </cell>
        </row>
        <row r="5205">
          <cell r="E5205" t="str">
            <v>D25013378</v>
          </cell>
          <cell r="F5205"/>
          <cell r="G5205">
            <v>600000000</v>
          </cell>
          <cell r="H5205" t="str">
            <v>Faris</v>
          </cell>
          <cell r="I5205" t="str">
            <v>Syahra</v>
          </cell>
          <cell r="J5205"/>
          <cell r="K5205" t="str">
            <v>KU</v>
          </cell>
          <cell r="L5205" t="str">
            <v>MUNA01</v>
          </cell>
          <cell r="M5205" t="str">
            <v>Mona Tani</v>
          </cell>
          <cell r="N5205" t="str">
            <v>Kacung Ahmat</v>
          </cell>
          <cell r="O5205" t="str">
            <v>Jl. Raya Banyuwangi KP. Timur RT.001/RW.005, Trigonco, Asembagus</v>
          </cell>
          <cell r="P5205" t="str">
            <v>Situbondo</v>
          </cell>
          <cell r="Q5205" t="str">
            <v>Jl. Raya Banyuwangi KP. Timur RT.001/RW.005, Trigonco, Asembagus</v>
          </cell>
          <cell r="R5205" t="str">
            <v>Situbondo</v>
          </cell>
          <cell r="S5205" t="str">
            <v>H Bwi5</v>
          </cell>
          <cell r="T5205" t="str">
            <v>Wira</v>
          </cell>
          <cell r="U5205">
            <v>30</v>
          </cell>
        </row>
        <row r="5206">
          <cell r="E5206" t="str">
            <v>D25013412</v>
          </cell>
          <cell r="F5206"/>
          <cell r="G5206">
            <v>600000000</v>
          </cell>
          <cell r="H5206" t="str">
            <v>Faris</v>
          </cell>
          <cell r="I5206" t="str">
            <v>Syahra</v>
          </cell>
          <cell r="J5206"/>
          <cell r="K5206" t="str">
            <v>KU</v>
          </cell>
          <cell r="L5206" t="str">
            <v>MUNA01</v>
          </cell>
          <cell r="M5206" t="str">
            <v>Mona Tani</v>
          </cell>
          <cell r="N5206" t="str">
            <v>Kacung Ahmat</v>
          </cell>
          <cell r="O5206" t="str">
            <v>Jl. Raya Banyuwangi KP. Timur RT.001/RW.005, Trigonco, Asembagus</v>
          </cell>
          <cell r="P5206" t="str">
            <v>Situbondo</v>
          </cell>
          <cell r="Q5206" t="str">
            <v>Jl. Raya Banyuwangi KP. Timur RT.001/RW.005, Trigonco, Asembagus</v>
          </cell>
          <cell r="R5206" t="str">
            <v>Situbondo</v>
          </cell>
          <cell r="S5206" t="str">
            <v>H Bwi5</v>
          </cell>
          <cell r="T5206" t="str">
            <v>Wira</v>
          </cell>
          <cell r="U5206">
            <v>30</v>
          </cell>
        </row>
        <row r="5207">
          <cell r="E5207" t="str">
            <v>B25011463</v>
          </cell>
          <cell r="F5207"/>
          <cell r="G5207">
            <v>600000000</v>
          </cell>
          <cell r="H5207" t="str">
            <v>Faris</v>
          </cell>
          <cell r="I5207" t="str">
            <v>Syahra</v>
          </cell>
          <cell r="J5207"/>
          <cell r="K5207" t="str">
            <v>KU</v>
          </cell>
          <cell r="L5207" t="str">
            <v>MUNA01</v>
          </cell>
          <cell r="M5207" t="str">
            <v>Mona Tani</v>
          </cell>
          <cell r="N5207" t="str">
            <v>Kacung Ahmat</v>
          </cell>
          <cell r="O5207" t="str">
            <v>Jl. Raya Banyuwangi KP. Timur RT.001/RW.005, Trigonco, Asembagus</v>
          </cell>
          <cell r="P5207" t="str">
            <v>Situbondo</v>
          </cell>
          <cell r="Q5207" t="str">
            <v>Jl. Raya Banyuwangi KP. Timur RT.001/RW.005, Trigonco, Asembagus</v>
          </cell>
          <cell r="R5207" t="str">
            <v>Situbondo</v>
          </cell>
          <cell r="S5207" t="str">
            <v>H Bwi5</v>
          </cell>
          <cell r="T5207" t="str">
            <v>Wira</v>
          </cell>
          <cell r="U5207">
            <v>30</v>
          </cell>
        </row>
        <row r="5208">
          <cell r="E5208" t="str">
            <v>D25013704</v>
          </cell>
          <cell r="F5208"/>
          <cell r="G5208">
            <v>600000000</v>
          </cell>
          <cell r="H5208" t="str">
            <v>Faris</v>
          </cell>
          <cell r="I5208" t="str">
            <v>Syahra</v>
          </cell>
          <cell r="J5208"/>
          <cell r="K5208" t="str">
            <v>KU</v>
          </cell>
          <cell r="L5208" t="str">
            <v>MUNA01</v>
          </cell>
          <cell r="M5208" t="str">
            <v>Mona Tani</v>
          </cell>
          <cell r="N5208" t="str">
            <v>Kacung Ahmat</v>
          </cell>
          <cell r="O5208" t="str">
            <v>Jl. Raya Banyuwangi KP. Timur RT.001/RW.005, Trigonco, Asembagus</v>
          </cell>
          <cell r="P5208" t="str">
            <v>Situbondo</v>
          </cell>
          <cell r="Q5208" t="str">
            <v>Jl. Raya Banyuwangi KP. Timur RT.001/RW.005, Trigonco, Asembagus</v>
          </cell>
          <cell r="R5208" t="str">
            <v>Situbondo</v>
          </cell>
          <cell r="S5208" t="str">
            <v>H Bwi5</v>
          </cell>
          <cell r="T5208" t="str">
            <v>Wira</v>
          </cell>
          <cell r="U5208">
            <v>30</v>
          </cell>
        </row>
        <row r="5209">
          <cell r="E5209" t="str">
            <v>D25013750</v>
          </cell>
          <cell r="F5209"/>
          <cell r="G5209">
            <v>600000000</v>
          </cell>
          <cell r="H5209" t="str">
            <v>Faris</v>
          </cell>
          <cell r="I5209" t="str">
            <v>Syahra</v>
          </cell>
          <cell r="J5209"/>
          <cell r="K5209" t="str">
            <v>KU</v>
          </cell>
          <cell r="L5209" t="str">
            <v>MUNA01</v>
          </cell>
          <cell r="M5209" t="str">
            <v>Mona Tani</v>
          </cell>
          <cell r="N5209" t="str">
            <v>Kacung Ahmat</v>
          </cell>
          <cell r="O5209" t="str">
            <v>Jl. Raya Banyuwangi KP. Timur RT.001/RW.005, Trigonco, Asembagus</v>
          </cell>
          <cell r="P5209" t="str">
            <v>Situbondo</v>
          </cell>
          <cell r="Q5209" t="str">
            <v>Jl. Raya Banyuwangi KP. Timur RT.001/RW.005, Trigonco, Asembagus</v>
          </cell>
          <cell r="R5209" t="str">
            <v>Situbondo</v>
          </cell>
          <cell r="S5209" t="str">
            <v>H Bwi5</v>
          </cell>
          <cell r="T5209" t="str">
            <v>Wira</v>
          </cell>
          <cell r="U5209">
            <v>30</v>
          </cell>
        </row>
        <row r="5210">
          <cell r="E5210" t="str">
            <v>B25011586</v>
          </cell>
          <cell r="F5210"/>
          <cell r="G5210">
            <v>600000000</v>
          </cell>
          <cell r="H5210" t="str">
            <v>Faris</v>
          </cell>
          <cell r="I5210" t="str">
            <v>Syahra</v>
          </cell>
          <cell r="J5210"/>
          <cell r="K5210" t="str">
            <v>KU</v>
          </cell>
          <cell r="L5210" t="str">
            <v>MUNA01</v>
          </cell>
          <cell r="M5210" t="str">
            <v>Mona Tani</v>
          </cell>
          <cell r="N5210" t="str">
            <v>Kacung Ahmat</v>
          </cell>
          <cell r="O5210" t="str">
            <v>Jl. Raya Banyuwangi KP. Timur RT.001/RW.005, Trigonco, Asembagus</v>
          </cell>
          <cell r="P5210" t="str">
            <v>Situbondo</v>
          </cell>
          <cell r="Q5210" t="str">
            <v>Jl. Raya Banyuwangi KP. Timur RT.001/RW.005, Trigonco, Asembagus</v>
          </cell>
          <cell r="R5210" t="str">
            <v>Situbondo</v>
          </cell>
          <cell r="S5210" t="str">
            <v>H Bwi5</v>
          </cell>
          <cell r="T5210" t="str">
            <v>Wira</v>
          </cell>
          <cell r="U5210">
            <v>60</v>
          </cell>
        </row>
        <row r="5211">
          <cell r="E5211" t="str">
            <v>B25011587</v>
          </cell>
          <cell r="F5211"/>
          <cell r="G5211">
            <v>600000000</v>
          </cell>
          <cell r="H5211" t="str">
            <v>Faris</v>
          </cell>
          <cell r="I5211" t="str">
            <v>Syahra</v>
          </cell>
          <cell r="J5211"/>
          <cell r="K5211" t="str">
            <v>KU</v>
          </cell>
          <cell r="L5211" t="str">
            <v>MUNA01</v>
          </cell>
          <cell r="M5211" t="str">
            <v>Mona Tani</v>
          </cell>
          <cell r="N5211" t="str">
            <v>Kacung Ahmat</v>
          </cell>
          <cell r="O5211" t="str">
            <v>Jl. Raya Banyuwangi KP. Timur RT.001/RW.005, Trigonco, Asembagus</v>
          </cell>
          <cell r="P5211" t="str">
            <v>Situbondo</v>
          </cell>
          <cell r="Q5211" t="str">
            <v>Jl. Raya Banyuwangi KP. Timur RT.001/RW.005, Trigonco, Asembagus</v>
          </cell>
          <cell r="R5211" t="str">
            <v>Situbondo</v>
          </cell>
          <cell r="S5211" t="str">
            <v>H Bwi5</v>
          </cell>
          <cell r="T5211" t="str">
            <v>Wira</v>
          </cell>
          <cell r="U5211">
            <v>60</v>
          </cell>
        </row>
        <row r="5212">
          <cell r="E5212" t="str">
            <v>B25011764</v>
          </cell>
          <cell r="F5212"/>
          <cell r="G5212">
            <v>600000000</v>
          </cell>
          <cell r="H5212" t="str">
            <v>Faris</v>
          </cell>
          <cell r="I5212" t="str">
            <v>Syahra</v>
          </cell>
          <cell r="J5212"/>
          <cell r="K5212" t="str">
            <v>KU</v>
          </cell>
          <cell r="L5212" t="str">
            <v>MUNA01</v>
          </cell>
          <cell r="M5212" t="str">
            <v>Mona Tani</v>
          </cell>
          <cell r="N5212" t="str">
            <v>Kacung Ahmat</v>
          </cell>
          <cell r="O5212" t="str">
            <v>Jl. Raya Banyuwangi KP. Timur RT.001/RW.005, Trigonco, Asembagus</v>
          </cell>
          <cell r="P5212" t="str">
            <v>Situbondo</v>
          </cell>
          <cell r="Q5212" t="str">
            <v>Jl. Raya Banyuwangi KP. Timur RT.001/RW.005, Trigonco, Asembagus</v>
          </cell>
          <cell r="R5212" t="str">
            <v>Situbondo</v>
          </cell>
          <cell r="S5212" t="str">
            <v>H Bwi5</v>
          </cell>
          <cell r="T5212" t="str">
            <v>Wira</v>
          </cell>
          <cell r="U5212">
            <v>30</v>
          </cell>
        </row>
        <row r="5213">
          <cell r="E5213" t="str">
            <v>B25011765</v>
          </cell>
          <cell r="F5213"/>
          <cell r="G5213">
            <v>600000000</v>
          </cell>
          <cell r="H5213" t="str">
            <v>Faris</v>
          </cell>
          <cell r="I5213" t="str">
            <v>Syahra</v>
          </cell>
          <cell r="J5213"/>
          <cell r="K5213" t="str">
            <v>KU</v>
          </cell>
          <cell r="L5213" t="str">
            <v>MUNA01</v>
          </cell>
          <cell r="M5213" t="str">
            <v>Mona Tani</v>
          </cell>
          <cell r="N5213" t="str">
            <v>Kacung Ahmat</v>
          </cell>
          <cell r="O5213" t="str">
            <v>Jl. Raya Banyuwangi KP. Timur RT.001/RW.005, Trigonco, Asembagus</v>
          </cell>
          <cell r="P5213" t="str">
            <v>Situbondo</v>
          </cell>
          <cell r="Q5213" t="str">
            <v>Jl. Raya Banyuwangi KP. Timur RT.001/RW.005, Trigonco, Asembagus</v>
          </cell>
          <cell r="R5213" t="str">
            <v>Situbondo</v>
          </cell>
          <cell r="S5213" t="str">
            <v>H Bwi5</v>
          </cell>
          <cell r="T5213" t="str">
            <v>Wira</v>
          </cell>
          <cell r="U5213">
            <v>30</v>
          </cell>
        </row>
        <row r="5214">
          <cell r="E5214" t="str">
            <v>D25014041</v>
          </cell>
          <cell r="F5214"/>
          <cell r="G5214">
            <v>600000000</v>
          </cell>
          <cell r="H5214" t="str">
            <v>Faris</v>
          </cell>
          <cell r="I5214" t="str">
            <v>Syahra</v>
          </cell>
          <cell r="J5214"/>
          <cell r="K5214" t="str">
            <v>KU</v>
          </cell>
          <cell r="L5214" t="str">
            <v>MUNA01</v>
          </cell>
          <cell r="M5214" t="str">
            <v>Mona Tani</v>
          </cell>
          <cell r="N5214" t="str">
            <v>Kacung Ahmat</v>
          </cell>
          <cell r="O5214" t="str">
            <v>Jl. Raya Banyuwangi KP. Timur RT.001/RW.005, Trigonco, Asembagus</v>
          </cell>
          <cell r="P5214" t="str">
            <v>Situbondo</v>
          </cell>
          <cell r="Q5214" t="str">
            <v>Jl. Raya Banyuwangi KP. Timur RT.001/RW.005, Trigonco, Asembagus</v>
          </cell>
          <cell r="R5214" t="str">
            <v>Situbondo</v>
          </cell>
          <cell r="S5214" t="str">
            <v>H Bwi5</v>
          </cell>
          <cell r="T5214" t="str">
            <v>Wira</v>
          </cell>
          <cell r="U5214">
            <v>30</v>
          </cell>
        </row>
        <row r="5215">
          <cell r="E5215" t="str">
            <v>D25014125</v>
          </cell>
          <cell r="F5215"/>
          <cell r="G5215">
            <v>600000000</v>
          </cell>
          <cell r="H5215" t="str">
            <v>Faris</v>
          </cell>
          <cell r="I5215" t="str">
            <v>Syahra</v>
          </cell>
          <cell r="J5215"/>
          <cell r="K5215" t="str">
            <v>KU</v>
          </cell>
          <cell r="L5215" t="str">
            <v>MUNA01</v>
          </cell>
          <cell r="M5215" t="str">
            <v>Mona Tani</v>
          </cell>
          <cell r="N5215" t="str">
            <v>Kacung Ahmat</v>
          </cell>
          <cell r="O5215" t="str">
            <v>Jl. Raya Banyuwangi KP. Timur RT.001/RW.005, Trigonco, Asembagus</v>
          </cell>
          <cell r="P5215" t="str">
            <v>Situbondo</v>
          </cell>
          <cell r="Q5215" t="str">
            <v>Jl. Raya Banyuwangi KP. Timur RT.001/RW.005, Trigonco, Asembagus</v>
          </cell>
          <cell r="R5215" t="str">
            <v>Situbondo</v>
          </cell>
          <cell r="S5215" t="str">
            <v>H Bwi5</v>
          </cell>
          <cell r="T5215" t="str">
            <v>Wira</v>
          </cell>
          <cell r="U5215">
            <v>30</v>
          </cell>
        </row>
        <row r="5216">
          <cell r="E5216" t="str">
            <v>D25014194</v>
          </cell>
          <cell r="F5216"/>
          <cell r="G5216">
            <v>600000000</v>
          </cell>
          <cell r="H5216" t="str">
            <v>Faris</v>
          </cell>
          <cell r="I5216" t="str">
            <v>Syahra</v>
          </cell>
          <cell r="J5216"/>
          <cell r="K5216" t="str">
            <v>KU</v>
          </cell>
          <cell r="L5216" t="str">
            <v>MUNA01</v>
          </cell>
          <cell r="M5216" t="str">
            <v>Mona Tani</v>
          </cell>
          <cell r="N5216" t="str">
            <v>Kacung Ahmat</v>
          </cell>
          <cell r="O5216" t="str">
            <v>Jl. Raya Banyuwangi KP. Timur RT.001/RW.005, Trigonco, Asembagus</v>
          </cell>
          <cell r="P5216" t="str">
            <v>Situbondo</v>
          </cell>
          <cell r="Q5216" t="str">
            <v>Jl. Raya Banyuwangi KP. Timur RT.001/RW.005, Trigonco, Asembagus</v>
          </cell>
          <cell r="R5216" t="str">
            <v>Situbondo</v>
          </cell>
          <cell r="S5216" t="str">
            <v>H Bwi5</v>
          </cell>
          <cell r="T5216" t="str">
            <v>Wira</v>
          </cell>
          <cell r="U5216">
            <v>30</v>
          </cell>
        </row>
        <row r="5217">
          <cell r="E5217" t="str">
            <v>B25012067</v>
          </cell>
          <cell r="F5217"/>
          <cell r="G5217">
            <v>600000000</v>
          </cell>
          <cell r="H5217" t="str">
            <v>Faris</v>
          </cell>
          <cell r="I5217" t="str">
            <v>Syahra</v>
          </cell>
          <cell r="J5217"/>
          <cell r="K5217" t="str">
            <v>KU</v>
          </cell>
          <cell r="L5217" t="str">
            <v>MUNA01</v>
          </cell>
          <cell r="M5217" t="str">
            <v>Mona Tani</v>
          </cell>
          <cell r="N5217" t="str">
            <v>Kacung Ahmat</v>
          </cell>
          <cell r="O5217" t="str">
            <v>Jl. Raya Banyuwangi KP. Timur RT.001/RW.005, Trigonco, Asembagus</v>
          </cell>
          <cell r="P5217" t="str">
            <v>Situbondo</v>
          </cell>
          <cell r="Q5217" t="str">
            <v>Jl. Raya Banyuwangi KP. Timur RT.001/RW.005, Trigonco, Asembagus</v>
          </cell>
          <cell r="R5217" t="str">
            <v>Situbondo</v>
          </cell>
          <cell r="S5217" t="str">
            <v>H Bwi5</v>
          </cell>
          <cell r="T5217" t="str">
            <v>Wira</v>
          </cell>
          <cell r="U5217">
            <v>30</v>
          </cell>
        </row>
        <row r="5218">
          <cell r="E5218" t="str">
            <v>B25012307</v>
          </cell>
          <cell r="F5218"/>
          <cell r="G5218">
            <v>600000000</v>
          </cell>
          <cell r="H5218" t="str">
            <v>Faris</v>
          </cell>
          <cell r="I5218" t="str">
            <v>Syahra</v>
          </cell>
          <cell r="J5218"/>
          <cell r="K5218" t="str">
            <v>KU</v>
          </cell>
          <cell r="L5218" t="str">
            <v>MUNA01</v>
          </cell>
          <cell r="M5218" t="str">
            <v>Mona Tani</v>
          </cell>
          <cell r="N5218" t="str">
            <v>Kacung Ahmat</v>
          </cell>
          <cell r="O5218" t="str">
            <v>Jl. Raya Banyuwangi KP. Timur RT.001/RW.005, Trigonco, Asembagus</v>
          </cell>
          <cell r="P5218" t="str">
            <v>Situbondo</v>
          </cell>
          <cell r="Q5218" t="str">
            <v>Jl. Raya Banyuwangi KP. Timur RT.001/RW.005, Trigonco, Asembagus</v>
          </cell>
          <cell r="R5218" t="str">
            <v>Situbondo</v>
          </cell>
          <cell r="S5218" t="str">
            <v>H Bwi5</v>
          </cell>
          <cell r="T5218" t="str">
            <v>Wira</v>
          </cell>
          <cell r="U5218">
            <v>30</v>
          </cell>
        </row>
        <row r="5219">
          <cell r="E5219" t="str">
            <v>B25012340</v>
          </cell>
          <cell r="F5219"/>
          <cell r="G5219">
            <v>600000000</v>
          </cell>
          <cell r="H5219" t="str">
            <v>Faris</v>
          </cell>
          <cell r="I5219" t="str">
            <v>Syahra</v>
          </cell>
          <cell r="J5219"/>
          <cell r="K5219" t="str">
            <v>KU</v>
          </cell>
          <cell r="L5219" t="str">
            <v>MUNA01</v>
          </cell>
          <cell r="M5219" t="str">
            <v>Mona Tani</v>
          </cell>
          <cell r="N5219" t="str">
            <v>Kacung Ahmat</v>
          </cell>
          <cell r="O5219" t="str">
            <v>Jl. Raya Banyuwangi KP. Timur RT.001/RW.005, Trigonco, Asembagus</v>
          </cell>
          <cell r="P5219" t="str">
            <v>Situbondo</v>
          </cell>
          <cell r="Q5219" t="str">
            <v>Jl. Raya Banyuwangi KP. Timur RT.001/RW.005, Trigonco, Asembagus</v>
          </cell>
          <cell r="R5219" t="str">
            <v>Situbondo</v>
          </cell>
          <cell r="S5219" t="str">
            <v>H Bwi5</v>
          </cell>
          <cell r="T5219" t="str">
            <v>Wira</v>
          </cell>
          <cell r="U5219">
            <v>30</v>
          </cell>
        </row>
        <row r="5220">
          <cell r="E5220" t="str">
            <v>D25014600</v>
          </cell>
          <cell r="F5220"/>
          <cell r="G5220">
            <v>600000000</v>
          </cell>
          <cell r="H5220" t="str">
            <v>Faris</v>
          </cell>
          <cell r="I5220" t="str">
            <v>Syahra</v>
          </cell>
          <cell r="J5220"/>
          <cell r="K5220" t="str">
            <v>KU</v>
          </cell>
          <cell r="L5220" t="str">
            <v>MUNA01</v>
          </cell>
          <cell r="M5220" t="str">
            <v>Mona Tani</v>
          </cell>
          <cell r="N5220" t="str">
            <v>Kacung Ahmat</v>
          </cell>
          <cell r="O5220" t="str">
            <v>Jl. Raya Banyuwangi KP. Timur RT.001/RW.005, Trigonco, Asembagus</v>
          </cell>
          <cell r="P5220" t="str">
            <v>Situbondo</v>
          </cell>
          <cell r="Q5220" t="str">
            <v>Jl. Raya Banyuwangi KP. Timur RT.001/RW.005, Trigonco, Asembagus</v>
          </cell>
          <cell r="R5220" t="str">
            <v>Situbondo</v>
          </cell>
          <cell r="S5220" t="str">
            <v>H Bwi5</v>
          </cell>
          <cell r="T5220" t="str">
            <v>Wira</v>
          </cell>
          <cell r="U5220">
            <v>30</v>
          </cell>
        </row>
        <row r="5221">
          <cell r="E5221" t="str">
            <v>D25014656</v>
          </cell>
          <cell r="F5221"/>
          <cell r="G5221">
            <v>600000000</v>
          </cell>
          <cell r="H5221" t="str">
            <v>Faris</v>
          </cell>
          <cell r="I5221" t="str">
            <v>Syahra</v>
          </cell>
          <cell r="J5221"/>
          <cell r="K5221" t="str">
            <v>KU</v>
          </cell>
          <cell r="L5221" t="str">
            <v>MUNA01</v>
          </cell>
          <cell r="M5221" t="str">
            <v>Mona Tani</v>
          </cell>
          <cell r="N5221" t="str">
            <v>Kacung Ahmat</v>
          </cell>
          <cell r="O5221" t="str">
            <v>Jl. Raya Banyuwangi KP. Timur RT.001/RW.005, Trigonco, Asembagus</v>
          </cell>
          <cell r="P5221" t="str">
            <v>Situbondo</v>
          </cell>
          <cell r="Q5221" t="str">
            <v>Jl. Raya Banyuwangi KP. Timur RT.001/RW.005, Trigonco, Asembagus</v>
          </cell>
          <cell r="R5221" t="str">
            <v>Situbondo</v>
          </cell>
          <cell r="S5221" t="str">
            <v>H Bwi5</v>
          </cell>
          <cell r="T5221" t="str">
            <v>Wira</v>
          </cell>
          <cell r="U5221">
            <v>30</v>
          </cell>
        </row>
        <row r="5222">
          <cell r="E5222" t="str">
            <v>D25014722</v>
          </cell>
          <cell r="F5222"/>
          <cell r="G5222">
            <v>600000000</v>
          </cell>
          <cell r="H5222" t="str">
            <v>Faris</v>
          </cell>
          <cell r="I5222" t="str">
            <v>Syahra</v>
          </cell>
          <cell r="J5222"/>
          <cell r="K5222" t="str">
            <v>KU</v>
          </cell>
          <cell r="L5222" t="str">
            <v>MUNA01</v>
          </cell>
          <cell r="M5222" t="str">
            <v>Mona Tani</v>
          </cell>
          <cell r="N5222" t="str">
            <v>Kacung Ahmat</v>
          </cell>
          <cell r="O5222" t="str">
            <v>Jl. Raya Banyuwangi KP. Timur RT.001/RW.005, Trigonco, Asembagus</v>
          </cell>
          <cell r="P5222" t="str">
            <v>Situbondo</v>
          </cell>
          <cell r="Q5222" t="str">
            <v>Jl. Raya Banyuwangi KP. Timur RT.001/RW.005, Trigonco, Asembagus</v>
          </cell>
          <cell r="R5222" t="str">
            <v>Situbondo</v>
          </cell>
          <cell r="S5222" t="str">
            <v>H Bwi5</v>
          </cell>
          <cell r="T5222" t="str">
            <v>Wira</v>
          </cell>
          <cell r="U5222">
            <v>30</v>
          </cell>
        </row>
        <row r="5223">
          <cell r="E5223" t="str">
            <v>D25014726</v>
          </cell>
          <cell r="F5223"/>
          <cell r="G5223">
            <v>600000000</v>
          </cell>
          <cell r="H5223" t="str">
            <v>Faris</v>
          </cell>
          <cell r="I5223" t="str">
            <v>Syahra</v>
          </cell>
          <cell r="J5223"/>
          <cell r="K5223" t="str">
            <v>KU</v>
          </cell>
          <cell r="L5223" t="str">
            <v>MUNA01</v>
          </cell>
          <cell r="M5223" t="str">
            <v>Mona Tani</v>
          </cell>
          <cell r="N5223" t="str">
            <v>Kacung Ahmat</v>
          </cell>
          <cell r="O5223" t="str">
            <v>Jl. Raya Banyuwangi KP. Timur RT.001/RW.005, Trigonco, Asembagus</v>
          </cell>
          <cell r="P5223" t="str">
            <v>Situbondo</v>
          </cell>
          <cell r="Q5223" t="str">
            <v>Jl. Raya Banyuwangi KP. Timur RT.001/RW.005, Trigonco, Asembagus</v>
          </cell>
          <cell r="R5223" t="str">
            <v>Situbondo</v>
          </cell>
          <cell r="S5223" t="str">
            <v>H Bwi5</v>
          </cell>
          <cell r="T5223" t="str">
            <v>Wira</v>
          </cell>
          <cell r="U5223">
            <v>30</v>
          </cell>
        </row>
        <row r="5224">
          <cell r="E5224" t="str">
            <v>D25014926</v>
          </cell>
          <cell r="F5224"/>
          <cell r="G5224">
            <v>600000000</v>
          </cell>
          <cell r="H5224" t="str">
            <v>Faris</v>
          </cell>
          <cell r="I5224" t="str">
            <v>Syahra</v>
          </cell>
          <cell r="J5224"/>
          <cell r="K5224" t="str">
            <v>KU</v>
          </cell>
          <cell r="L5224" t="str">
            <v>MUNA01</v>
          </cell>
          <cell r="M5224" t="str">
            <v>Mona Tani</v>
          </cell>
          <cell r="N5224" t="str">
            <v>Kacung Ahmat</v>
          </cell>
          <cell r="O5224" t="str">
            <v>Jl. Raya Banyuwangi KP. Timur RT.001/RW.005, Trigonco, Asembagus</v>
          </cell>
          <cell r="P5224" t="str">
            <v>Situbondo</v>
          </cell>
          <cell r="Q5224" t="str">
            <v>Jl. Raya Banyuwangi KP. Timur RT.001/RW.005, Trigonco, Asembagus</v>
          </cell>
          <cell r="R5224" t="str">
            <v>Situbondo</v>
          </cell>
          <cell r="S5224" t="str">
            <v>H Bwi5</v>
          </cell>
          <cell r="T5224" t="str">
            <v>Wira</v>
          </cell>
          <cell r="U5224">
            <v>30</v>
          </cell>
        </row>
        <row r="5225">
          <cell r="E5225" t="str">
            <v>B25012705</v>
          </cell>
          <cell r="F5225"/>
          <cell r="G5225">
            <v>600000000</v>
          </cell>
          <cell r="H5225" t="str">
            <v>Faris</v>
          </cell>
          <cell r="I5225" t="str">
            <v>Syahra</v>
          </cell>
          <cell r="J5225"/>
          <cell r="K5225" t="str">
            <v>KU</v>
          </cell>
          <cell r="L5225" t="str">
            <v>MUNA01</v>
          </cell>
          <cell r="M5225" t="str">
            <v>Mona Tani</v>
          </cell>
          <cell r="N5225" t="str">
            <v>Kacung Ahmat</v>
          </cell>
          <cell r="O5225" t="str">
            <v>Jl. Raya Banyuwangi KP. Timur RT.001/RW.005, Trigonco, Asembagus</v>
          </cell>
          <cell r="P5225" t="str">
            <v>Situbondo</v>
          </cell>
          <cell r="Q5225" t="str">
            <v>Jl. Raya Banyuwangi KP. Timur RT.001/RW.005, Trigonco, Asembagus</v>
          </cell>
          <cell r="R5225" t="str">
            <v>Situbondo</v>
          </cell>
          <cell r="S5225" t="str">
            <v>H Bwi5</v>
          </cell>
          <cell r="T5225" t="str">
            <v>Wira</v>
          </cell>
          <cell r="U5225">
            <v>30</v>
          </cell>
        </row>
        <row r="5226">
          <cell r="E5226" t="str">
            <v>B25012706</v>
          </cell>
          <cell r="F5226"/>
          <cell r="G5226">
            <v>600000000</v>
          </cell>
          <cell r="H5226" t="str">
            <v>Faris</v>
          </cell>
          <cell r="I5226" t="str">
            <v>Syahra</v>
          </cell>
          <cell r="J5226"/>
          <cell r="K5226" t="str">
            <v>KU</v>
          </cell>
          <cell r="L5226" t="str">
            <v>MUNA01</v>
          </cell>
          <cell r="M5226" t="str">
            <v>Mona Tani</v>
          </cell>
          <cell r="N5226" t="str">
            <v>Kacung Ahmat</v>
          </cell>
          <cell r="O5226" t="str">
            <v>Jl. Raya Banyuwangi KP. Timur RT.001/RW.005, Trigonco, Asembagus</v>
          </cell>
          <cell r="P5226" t="str">
            <v>Situbondo</v>
          </cell>
          <cell r="Q5226" t="str">
            <v>Jl. Raya Banyuwangi KP. Timur RT.001/RW.005, Trigonco, Asembagus</v>
          </cell>
          <cell r="R5226" t="str">
            <v>Situbondo</v>
          </cell>
          <cell r="S5226" t="str">
            <v>H Bwi5</v>
          </cell>
          <cell r="T5226" t="str">
            <v>Wira</v>
          </cell>
          <cell r="U5226">
            <v>30</v>
          </cell>
        </row>
        <row r="5227">
          <cell r="E5227" t="str">
            <v>D25015039</v>
          </cell>
          <cell r="F5227"/>
          <cell r="G5227">
            <v>600000000</v>
          </cell>
          <cell r="H5227" t="str">
            <v>Faris</v>
          </cell>
          <cell r="I5227" t="str">
            <v>Syahra</v>
          </cell>
          <cell r="J5227"/>
          <cell r="K5227" t="str">
            <v>KU</v>
          </cell>
          <cell r="L5227" t="str">
            <v>MUNA01</v>
          </cell>
          <cell r="M5227" t="str">
            <v>Mona Tani</v>
          </cell>
          <cell r="N5227" t="str">
            <v>Kacung Ahmat</v>
          </cell>
          <cell r="O5227" t="str">
            <v>Jl. Raya Banyuwangi KP. Timur RT.001/RW.005, Trigonco, Asembagus</v>
          </cell>
          <cell r="P5227" t="str">
            <v>Situbondo</v>
          </cell>
          <cell r="Q5227" t="str">
            <v>Jl. Raya Banyuwangi KP. Timur RT.001/RW.005, Trigonco, Asembagus</v>
          </cell>
          <cell r="R5227" t="str">
            <v>Situbondo</v>
          </cell>
          <cell r="S5227" t="str">
            <v>H Bwi5</v>
          </cell>
          <cell r="T5227" t="str">
            <v>Wira</v>
          </cell>
          <cell r="U5227">
            <v>30</v>
          </cell>
        </row>
        <row r="5228">
          <cell r="E5228" t="str">
            <v>D25015177</v>
          </cell>
          <cell r="F5228"/>
          <cell r="G5228">
            <v>600000000</v>
          </cell>
          <cell r="H5228" t="str">
            <v>Faris</v>
          </cell>
          <cell r="I5228" t="str">
            <v>Syahra</v>
          </cell>
          <cell r="J5228"/>
          <cell r="K5228" t="str">
            <v>KU</v>
          </cell>
          <cell r="L5228" t="str">
            <v>MUNA01</v>
          </cell>
          <cell r="M5228" t="str">
            <v>Mona Tani</v>
          </cell>
          <cell r="N5228" t="str">
            <v>Kacung Ahmat</v>
          </cell>
          <cell r="O5228" t="str">
            <v>Jl. Raya Banyuwangi KP. Timur RT.001/RW.005, Trigonco, Asembagus</v>
          </cell>
          <cell r="P5228" t="str">
            <v>Situbondo</v>
          </cell>
          <cell r="Q5228" t="str">
            <v>Jl. Raya Banyuwangi KP. Timur RT.001/RW.005, Trigonco, Asembagus</v>
          </cell>
          <cell r="R5228" t="str">
            <v>Situbondo</v>
          </cell>
          <cell r="S5228" t="str">
            <v>H Bwi5</v>
          </cell>
          <cell r="T5228" t="str">
            <v>Wira</v>
          </cell>
          <cell r="U5228">
            <v>30</v>
          </cell>
        </row>
        <row r="5229">
          <cell r="E5229" t="str">
            <v>D25015178</v>
          </cell>
          <cell r="F5229"/>
          <cell r="G5229">
            <v>600000000</v>
          </cell>
          <cell r="H5229" t="str">
            <v>Faris</v>
          </cell>
          <cell r="I5229" t="str">
            <v>Syahra</v>
          </cell>
          <cell r="J5229"/>
          <cell r="K5229" t="str">
            <v>KU</v>
          </cell>
          <cell r="L5229" t="str">
            <v>MUNA01</v>
          </cell>
          <cell r="M5229" t="str">
            <v>Mona Tani</v>
          </cell>
          <cell r="N5229" t="str">
            <v>Kacung Ahmat</v>
          </cell>
          <cell r="O5229" t="str">
            <v>Jl. Raya Banyuwangi KP. Timur RT.001/RW.005, Trigonco, Asembagus</v>
          </cell>
          <cell r="P5229" t="str">
            <v>Situbondo</v>
          </cell>
          <cell r="Q5229" t="str">
            <v>Jl. Raya Banyuwangi KP. Timur RT.001/RW.005, Trigonco, Asembagus</v>
          </cell>
          <cell r="R5229" t="str">
            <v>Situbondo</v>
          </cell>
          <cell r="S5229" t="str">
            <v>H Bwi5</v>
          </cell>
          <cell r="T5229" t="str">
            <v>Wira</v>
          </cell>
          <cell r="U5229">
            <v>30</v>
          </cell>
        </row>
        <row r="5230">
          <cell r="E5230" t="str">
            <v>D25015215</v>
          </cell>
          <cell r="F5230"/>
          <cell r="G5230">
            <v>600000000</v>
          </cell>
          <cell r="H5230" t="str">
            <v>Faris</v>
          </cell>
          <cell r="I5230" t="str">
            <v>Syahra</v>
          </cell>
          <cell r="J5230"/>
          <cell r="K5230" t="str">
            <v>KU</v>
          </cell>
          <cell r="L5230" t="str">
            <v>MUNA01</v>
          </cell>
          <cell r="M5230" t="str">
            <v>Mona Tani</v>
          </cell>
          <cell r="N5230" t="str">
            <v>Kacung Ahmat</v>
          </cell>
          <cell r="O5230" t="str">
            <v>Jl. Raya Banyuwangi KP. Timur RT.001/RW.005, Trigonco, Asembagus</v>
          </cell>
          <cell r="P5230" t="str">
            <v>Situbondo</v>
          </cell>
          <cell r="Q5230" t="str">
            <v>Jl. Raya Banyuwangi KP. Timur RT.001/RW.005, Trigonco, Asembagus</v>
          </cell>
          <cell r="R5230" t="str">
            <v>Situbondo</v>
          </cell>
          <cell r="S5230" t="str">
            <v>H Bwi5</v>
          </cell>
          <cell r="T5230" t="str">
            <v>Wira</v>
          </cell>
          <cell r="U5230">
            <v>30</v>
          </cell>
        </row>
        <row r="5231">
          <cell r="E5231" t="str">
            <v>D25015232</v>
          </cell>
          <cell r="F5231"/>
          <cell r="G5231">
            <v>600000000</v>
          </cell>
          <cell r="H5231" t="str">
            <v>Faris</v>
          </cell>
          <cell r="I5231" t="str">
            <v>Syahra</v>
          </cell>
          <cell r="J5231"/>
          <cell r="K5231" t="str">
            <v>KU</v>
          </cell>
          <cell r="L5231" t="str">
            <v>MUNA01</v>
          </cell>
          <cell r="M5231" t="str">
            <v>Mona Tani</v>
          </cell>
          <cell r="N5231" t="str">
            <v>Kacung Ahmat</v>
          </cell>
          <cell r="O5231" t="str">
            <v>Jl. Raya Banyuwangi KP. Timur RT.001/RW.005, Trigonco, Asembagus</v>
          </cell>
          <cell r="P5231" t="str">
            <v>Situbondo</v>
          </cell>
          <cell r="Q5231" t="str">
            <v>Jl. Raya Banyuwangi KP. Timur RT.001/RW.005, Trigonco, Asembagus</v>
          </cell>
          <cell r="R5231" t="str">
            <v>Situbondo</v>
          </cell>
          <cell r="S5231" t="str">
            <v>H Bwi5</v>
          </cell>
          <cell r="T5231" t="str">
            <v>Wira</v>
          </cell>
          <cell r="U5231">
            <v>30</v>
          </cell>
        </row>
        <row r="5232">
          <cell r="E5232" t="str">
            <v>B25013004</v>
          </cell>
          <cell r="F5232"/>
          <cell r="G5232">
            <v>600000000</v>
          </cell>
          <cell r="H5232" t="str">
            <v>Faris</v>
          </cell>
          <cell r="I5232" t="str">
            <v>Syahra</v>
          </cell>
          <cell r="J5232"/>
          <cell r="K5232" t="str">
            <v>KU</v>
          </cell>
          <cell r="L5232" t="str">
            <v>MUNA01</v>
          </cell>
          <cell r="M5232" t="str">
            <v>Mona Tani</v>
          </cell>
          <cell r="N5232" t="str">
            <v>Kacung Ahmat</v>
          </cell>
          <cell r="O5232" t="str">
            <v>Jl. Raya Banyuwangi KP. Timur RT.001/RW.005, Trigonco, Asembagus</v>
          </cell>
          <cell r="P5232" t="str">
            <v>Situbondo</v>
          </cell>
          <cell r="Q5232" t="str">
            <v>Jl. Raya Banyuwangi KP. Timur RT.001/RW.005, Trigonco, Asembagus</v>
          </cell>
          <cell r="R5232" t="str">
            <v>Situbondo</v>
          </cell>
          <cell r="S5232" t="str">
            <v>H Bwi5</v>
          </cell>
          <cell r="T5232" t="str">
            <v>Wira</v>
          </cell>
          <cell r="U5232">
            <v>30</v>
          </cell>
        </row>
        <row r="5233">
          <cell r="E5233" t="str">
            <v>B25013044</v>
          </cell>
          <cell r="F5233"/>
          <cell r="G5233">
            <v>600000000</v>
          </cell>
          <cell r="H5233" t="str">
            <v>Faris</v>
          </cell>
          <cell r="I5233" t="str">
            <v>Syahra</v>
          </cell>
          <cell r="J5233"/>
          <cell r="K5233" t="str">
            <v>KU</v>
          </cell>
          <cell r="L5233" t="str">
            <v>MUNA01</v>
          </cell>
          <cell r="M5233" t="str">
            <v>Mona Tani</v>
          </cell>
          <cell r="N5233" t="str">
            <v>Kacung Ahmat</v>
          </cell>
          <cell r="O5233" t="str">
            <v>Jl. Raya Banyuwangi KP. Timur RT.001/RW.005, Trigonco, Asembagus</v>
          </cell>
          <cell r="P5233" t="str">
            <v>Situbondo</v>
          </cell>
          <cell r="Q5233" t="str">
            <v>Jl. Raya Banyuwangi KP. Timur RT.001/RW.005, Trigonco, Asembagus</v>
          </cell>
          <cell r="R5233" t="str">
            <v>Situbondo</v>
          </cell>
          <cell r="S5233" t="str">
            <v>H Bwi5</v>
          </cell>
          <cell r="T5233" t="str">
            <v>Wira</v>
          </cell>
          <cell r="U5233">
            <v>30</v>
          </cell>
        </row>
        <row r="5234">
          <cell r="E5234" t="str">
            <v>B25013156</v>
          </cell>
          <cell r="F5234"/>
          <cell r="G5234">
            <v>600000000</v>
          </cell>
          <cell r="H5234" t="str">
            <v>Faris</v>
          </cell>
          <cell r="I5234" t="str">
            <v>Syahra</v>
          </cell>
          <cell r="J5234"/>
          <cell r="K5234" t="str">
            <v>KU</v>
          </cell>
          <cell r="L5234" t="str">
            <v>MUNA01</v>
          </cell>
          <cell r="M5234" t="str">
            <v>Mona Tani</v>
          </cell>
          <cell r="N5234" t="str">
            <v>Kacung Ahmat</v>
          </cell>
          <cell r="O5234" t="str">
            <v>Jl. Raya Banyuwangi KP. Timur RT.001/RW.005, Trigonco, Asembagus</v>
          </cell>
          <cell r="P5234" t="str">
            <v>Situbondo</v>
          </cell>
          <cell r="Q5234" t="str">
            <v>Jl. Raya Banyuwangi KP. Timur RT.001/RW.005, Trigonco, Asembagus</v>
          </cell>
          <cell r="R5234" t="str">
            <v>Situbondo</v>
          </cell>
          <cell r="S5234" t="str">
            <v>H Bwi5</v>
          </cell>
          <cell r="T5234" t="str">
            <v>Wira</v>
          </cell>
          <cell r="U5234">
            <v>30</v>
          </cell>
        </row>
        <row r="5235">
          <cell r="E5235" t="str">
            <v>D25015547</v>
          </cell>
          <cell r="F5235"/>
          <cell r="G5235">
            <v>600000000</v>
          </cell>
          <cell r="H5235" t="str">
            <v>Faris</v>
          </cell>
          <cell r="I5235" t="str">
            <v>Syahra</v>
          </cell>
          <cell r="J5235"/>
          <cell r="K5235" t="str">
            <v>KU</v>
          </cell>
          <cell r="L5235" t="str">
            <v>MUNA01</v>
          </cell>
          <cell r="M5235" t="str">
            <v>Mona Tani</v>
          </cell>
          <cell r="N5235" t="str">
            <v>Kacung Ahmat</v>
          </cell>
          <cell r="O5235" t="str">
            <v>Jl. Raya Banyuwangi KP. Timur RT.001/RW.005, Trigonco, Asembagus</v>
          </cell>
          <cell r="P5235" t="str">
            <v>Situbondo</v>
          </cell>
          <cell r="Q5235" t="str">
            <v>Jl. Raya Banyuwangi KP. Timur RT.001/RW.005, Trigonco, Asembagus</v>
          </cell>
          <cell r="R5235" t="str">
            <v>Situbondo</v>
          </cell>
          <cell r="S5235" t="str">
            <v>H Bwi5</v>
          </cell>
          <cell r="T5235" t="str">
            <v>Wira</v>
          </cell>
          <cell r="U5235">
            <v>30</v>
          </cell>
        </row>
        <row r="5236">
          <cell r="E5236" t="str">
            <v>D25015753</v>
          </cell>
          <cell r="F5236"/>
          <cell r="G5236">
            <v>600000000</v>
          </cell>
          <cell r="H5236" t="str">
            <v>Faris</v>
          </cell>
          <cell r="I5236" t="str">
            <v>Syahra</v>
          </cell>
          <cell r="J5236"/>
          <cell r="K5236" t="str">
            <v>KU</v>
          </cell>
          <cell r="L5236" t="str">
            <v>MUNA01</v>
          </cell>
          <cell r="M5236" t="str">
            <v>Mona Tani</v>
          </cell>
          <cell r="N5236" t="str">
            <v>Kacung Ahmat</v>
          </cell>
          <cell r="O5236" t="str">
            <v>Jl. Raya Banyuwangi KP. Timur RT.001/RW.005, Trigonco, Asembagus</v>
          </cell>
          <cell r="P5236" t="str">
            <v>Situbondo</v>
          </cell>
          <cell r="Q5236" t="str">
            <v>Jl. Raya Banyuwangi KP. Timur RT.001/RW.005, Trigonco, Asembagus</v>
          </cell>
          <cell r="R5236" t="str">
            <v>Situbondo</v>
          </cell>
          <cell r="S5236" t="str">
            <v>H Bwi5</v>
          </cell>
          <cell r="T5236" t="str">
            <v>Wira</v>
          </cell>
          <cell r="U5236">
            <v>30</v>
          </cell>
        </row>
        <row r="5237">
          <cell r="E5237" t="str">
            <v>B25013544</v>
          </cell>
          <cell r="F5237"/>
          <cell r="G5237">
            <v>600000000</v>
          </cell>
          <cell r="H5237" t="str">
            <v>Faris</v>
          </cell>
          <cell r="I5237" t="str">
            <v>Syahra</v>
          </cell>
          <cell r="J5237"/>
          <cell r="K5237" t="str">
            <v>KU</v>
          </cell>
          <cell r="L5237" t="str">
            <v>MUNA01</v>
          </cell>
          <cell r="M5237" t="str">
            <v>Mona Tani</v>
          </cell>
          <cell r="N5237" t="str">
            <v>Kacung Ahmat</v>
          </cell>
          <cell r="O5237" t="str">
            <v>Jl. Raya Banyuwangi KP. Timur RT.001/RW.005, Trigonco, Asembagus</v>
          </cell>
          <cell r="P5237" t="str">
            <v>Situbondo</v>
          </cell>
          <cell r="Q5237" t="str">
            <v>Jl. Raya Banyuwangi KP. Timur RT.001/RW.005, Trigonco, Asembagus</v>
          </cell>
          <cell r="R5237" t="str">
            <v>Situbondo</v>
          </cell>
          <cell r="S5237" t="str">
            <v>H Bwi5</v>
          </cell>
          <cell r="T5237" t="str">
            <v>Wira</v>
          </cell>
          <cell r="U5237">
            <v>30</v>
          </cell>
        </row>
        <row r="5238">
          <cell r="E5238" t="str">
            <v>B25013659</v>
          </cell>
          <cell r="F5238"/>
          <cell r="G5238">
            <v>600000000</v>
          </cell>
          <cell r="H5238" t="str">
            <v>Faris</v>
          </cell>
          <cell r="I5238" t="str">
            <v>Syahra</v>
          </cell>
          <cell r="J5238"/>
          <cell r="K5238" t="str">
            <v>KU</v>
          </cell>
          <cell r="L5238" t="str">
            <v>MUNA01</v>
          </cell>
          <cell r="M5238" t="str">
            <v>Mona Tani</v>
          </cell>
          <cell r="N5238" t="str">
            <v>Kacung Ahmat</v>
          </cell>
          <cell r="O5238" t="str">
            <v>Jl. Raya Banyuwangi KP. Timur RT.001/RW.005, Trigonco, Asembagus</v>
          </cell>
          <cell r="P5238" t="str">
            <v>Situbondo</v>
          </cell>
          <cell r="Q5238" t="str">
            <v>Jl. Raya Banyuwangi KP. Timur RT.001/RW.005, Trigonco, Asembagus</v>
          </cell>
          <cell r="R5238" t="str">
            <v>Situbondo</v>
          </cell>
          <cell r="S5238" t="str">
            <v>H Bwi5</v>
          </cell>
          <cell r="T5238" t="str">
            <v>Wira</v>
          </cell>
          <cell r="U5238">
            <v>30</v>
          </cell>
        </row>
        <row r="5239">
          <cell r="E5239" t="str">
            <v>B25013660</v>
          </cell>
          <cell r="F5239"/>
          <cell r="G5239">
            <v>600000000</v>
          </cell>
          <cell r="H5239" t="str">
            <v>Faris</v>
          </cell>
          <cell r="I5239" t="str">
            <v>Syahra</v>
          </cell>
          <cell r="J5239"/>
          <cell r="K5239" t="str">
            <v>KU</v>
          </cell>
          <cell r="L5239" t="str">
            <v>MUNA01</v>
          </cell>
          <cell r="M5239" t="str">
            <v>Mona Tani</v>
          </cell>
          <cell r="N5239" t="str">
            <v>Kacung Ahmat</v>
          </cell>
          <cell r="O5239" t="str">
            <v>Jl. Raya Banyuwangi KP. Timur RT.001/RW.005, Trigonco, Asembagus</v>
          </cell>
          <cell r="P5239" t="str">
            <v>Situbondo</v>
          </cell>
          <cell r="Q5239" t="str">
            <v>Jl. Raya Banyuwangi KP. Timur RT.001/RW.005, Trigonco, Asembagus</v>
          </cell>
          <cell r="R5239" t="str">
            <v>Situbondo</v>
          </cell>
          <cell r="S5239" t="str">
            <v>H Bwi5</v>
          </cell>
          <cell r="T5239" t="str">
            <v>Wira</v>
          </cell>
          <cell r="U5239">
            <v>30</v>
          </cell>
        </row>
        <row r="5240">
          <cell r="E5240" t="str">
            <v>B25013669</v>
          </cell>
          <cell r="F5240"/>
          <cell r="G5240">
            <v>600000000</v>
          </cell>
          <cell r="H5240" t="str">
            <v>Faris</v>
          </cell>
          <cell r="I5240" t="str">
            <v>Syahra</v>
          </cell>
          <cell r="J5240"/>
          <cell r="K5240" t="str">
            <v>KU</v>
          </cell>
          <cell r="L5240" t="str">
            <v>MUNA01</v>
          </cell>
          <cell r="M5240" t="str">
            <v>Mona Tani</v>
          </cell>
          <cell r="N5240" t="str">
            <v>Kacung Ahmat</v>
          </cell>
          <cell r="O5240" t="str">
            <v>Jl. Raya Banyuwangi KP. Timur RT.001/RW.005, Trigonco, Asembagus</v>
          </cell>
          <cell r="P5240" t="str">
            <v>Situbondo</v>
          </cell>
          <cell r="Q5240" t="str">
            <v>Jl. Raya Banyuwangi KP. Timur RT.001/RW.005, Trigonco, Asembagus</v>
          </cell>
          <cell r="R5240" t="str">
            <v>Situbondo</v>
          </cell>
          <cell r="S5240" t="str">
            <v>H Bwi5</v>
          </cell>
          <cell r="T5240" t="str">
            <v>Wira</v>
          </cell>
          <cell r="U5240">
            <v>30</v>
          </cell>
        </row>
        <row r="5241">
          <cell r="E5241" t="str">
            <v>B25013676</v>
          </cell>
          <cell r="F5241"/>
          <cell r="G5241">
            <v>600000000</v>
          </cell>
          <cell r="H5241" t="str">
            <v>Faris</v>
          </cell>
          <cell r="I5241" t="str">
            <v>Syahra</v>
          </cell>
          <cell r="J5241"/>
          <cell r="K5241" t="str">
            <v>KU</v>
          </cell>
          <cell r="L5241" t="str">
            <v>MUNA01</v>
          </cell>
          <cell r="M5241" t="str">
            <v>Mona Tani</v>
          </cell>
          <cell r="N5241" t="str">
            <v>Kacung Ahmat</v>
          </cell>
          <cell r="O5241" t="str">
            <v>Jl. Raya Banyuwangi KP. Timur RT.001/RW.005, Trigonco, Asembagus</v>
          </cell>
          <cell r="P5241" t="str">
            <v>Situbondo</v>
          </cell>
          <cell r="Q5241" t="str">
            <v>Jl. Raya Banyuwangi KP. Timur RT.001/RW.005, Trigonco, Asembagus</v>
          </cell>
          <cell r="R5241" t="str">
            <v>Situbondo</v>
          </cell>
          <cell r="S5241" t="str">
            <v>H Bwi5</v>
          </cell>
          <cell r="T5241" t="str">
            <v>Wira</v>
          </cell>
          <cell r="U5241">
            <v>30</v>
          </cell>
        </row>
        <row r="5242">
          <cell r="E5242" t="str">
            <v>D25016028</v>
          </cell>
          <cell r="F5242"/>
          <cell r="G5242">
            <v>600000000</v>
          </cell>
          <cell r="H5242" t="str">
            <v>Faris</v>
          </cell>
          <cell r="I5242" t="str">
            <v>Syahra</v>
          </cell>
          <cell r="J5242"/>
          <cell r="K5242" t="str">
            <v>KU</v>
          </cell>
          <cell r="L5242" t="str">
            <v>MUNA01</v>
          </cell>
          <cell r="M5242" t="str">
            <v>Mona Tani</v>
          </cell>
          <cell r="N5242" t="str">
            <v>Kacung Ahmat</v>
          </cell>
          <cell r="O5242" t="str">
            <v>Jl. Raya Banyuwangi KP. Timur RT.001/RW.005, Trigonco, Asembagus</v>
          </cell>
          <cell r="P5242" t="str">
            <v>Situbondo</v>
          </cell>
          <cell r="Q5242" t="str">
            <v>Jl. Raya Banyuwangi KP. Timur RT.001/RW.005, Trigonco, Asembagus</v>
          </cell>
          <cell r="R5242" t="str">
            <v>Situbondo</v>
          </cell>
          <cell r="S5242" t="str">
            <v>H Bwi5</v>
          </cell>
          <cell r="T5242" t="str">
            <v>Wira</v>
          </cell>
          <cell r="U5242">
            <v>0</v>
          </cell>
        </row>
        <row r="5243">
          <cell r="E5243" t="str">
            <v>D25016034</v>
          </cell>
          <cell r="F5243"/>
          <cell r="G5243">
            <v>600000000</v>
          </cell>
          <cell r="H5243" t="str">
            <v>Faris</v>
          </cell>
          <cell r="I5243" t="str">
            <v>Syahra</v>
          </cell>
          <cell r="J5243"/>
          <cell r="K5243" t="str">
            <v>KU</v>
          </cell>
          <cell r="L5243" t="str">
            <v>MUNA01</v>
          </cell>
          <cell r="M5243" t="str">
            <v>Mona Tani</v>
          </cell>
          <cell r="N5243" t="str">
            <v>Kacung Ahmat</v>
          </cell>
          <cell r="O5243" t="str">
            <v>Jl. Raya Banyuwangi KP. Timur RT.001/RW.005, Trigonco, Asembagus</v>
          </cell>
          <cell r="P5243" t="str">
            <v>Situbondo</v>
          </cell>
          <cell r="Q5243" t="str">
            <v>Jl. Raya Banyuwangi KP. Timur RT.001/RW.005, Trigonco, Asembagus</v>
          </cell>
          <cell r="R5243" t="str">
            <v>Situbondo</v>
          </cell>
          <cell r="S5243" t="str">
            <v>H Bwi5</v>
          </cell>
          <cell r="T5243" t="str">
            <v>Wira</v>
          </cell>
          <cell r="U5243">
            <v>30</v>
          </cell>
        </row>
        <row r="5244">
          <cell r="E5244" t="str">
            <v>B25013907</v>
          </cell>
          <cell r="F5244"/>
          <cell r="G5244">
            <v>600000000</v>
          </cell>
          <cell r="H5244" t="str">
            <v>Faris</v>
          </cell>
          <cell r="I5244" t="str">
            <v>Syahra</v>
          </cell>
          <cell r="J5244"/>
          <cell r="K5244" t="str">
            <v>KU</v>
          </cell>
          <cell r="L5244" t="str">
            <v>MUNA01</v>
          </cell>
          <cell r="M5244" t="str">
            <v>Mona Tani</v>
          </cell>
          <cell r="N5244" t="str">
            <v>Kacung Ahmat</v>
          </cell>
          <cell r="O5244" t="str">
            <v>Jl. Raya Banyuwangi KP. Timur RT.001/RW.005, Trigonco, Asembagus</v>
          </cell>
          <cell r="P5244" t="str">
            <v>Situbondo</v>
          </cell>
          <cell r="Q5244" t="str">
            <v>Jl. Raya Banyuwangi KP. Timur RT.001/RW.005, Trigonco, Asembagus</v>
          </cell>
          <cell r="R5244" t="str">
            <v>Situbondo</v>
          </cell>
          <cell r="S5244" t="str">
            <v>H Bwi5</v>
          </cell>
          <cell r="T5244" t="str">
            <v>Wira</v>
          </cell>
          <cell r="U5244">
            <v>30</v>
          </cell>
        </row>
        <row r="5245">
          <cell r="E5245" t="str">
            <v>D25016282</v>
          </cell>
          <cell r="F5245"/>
          <cell r="G5245">
            <v>600000000</v>
          </cell>
          <cell r="H5245" t="str">
            <v>Faris</v>
          </cell>
          <cell r="I5245" t="str">
            <v>Syahra</v>
          </cell>
          <cell r="J5245"/>
          <cell r="K5245" t="str">
            <v>KU</v>
          </cell>
          <cell r="L5245" t="str">
            <v>MUNA01</v>
          </cell>
          <cell r="M5245" t="str">
            <v>Mona Tani</v>
          </cell>
          <cell r="N5245" t="str">
            <v>Kacung Ahmat</v>
          </cell>
          <cell r="O5245" t="str">
            <v>Jl. Raya Banyuwangi KP. Timur RT.001/RW.005, Trigonco, Asembagus</v>
          </cell>
          <cell r="P5245" t="str">
            <v>Situbondo</v>
          </cell>
          <cell r="Q5245" t="str">
            <v>Jl. Raya Banyuwangi KP. Timur RT.001/RW.005, Trigonco, Asembagus</v>
          </cell>
          <cell r="R5245" t="str">
            <v>Situbondo</v>
          </cell>
          <cell r="S5245" t="str">
            <v>H Bwi5</v>
          </cell>
          <cell r="T5245" t="str">
            <v>Wira</v>
          </cell>
          <cell r="U5245">
            <v>0</v>
          </cell>
        </row>
        <row r="5246">
          <cell r="E5246" t="str">
            <v>C25000826</v>
          </cell>
          <cell r="F5246"/>
          <cell r="G5246">
            <v>1000</v>
          </cell>
          <cell r="H5246" t="str">
            <v>Ariyani</v>
          </cell>
          <cell r="I5246" t="str">
            <v>Fira</v>
          </cell>
          <cell r="J5246"/>
          <cell r="K5246" t="str">
            <v>Lobi</v>
          </cell>
          <cell r="L5246" t="str">
            <v>MORO01</v>
          </cell>
          <cell r="M5246" t="str">
            <v>Moro Seneng/Samsul</v>
          </cell>
          <cell r="N5246" t="str">
            <v>Jusek</v>
          </cell>
          <cell r="O5246" t="str">
            <v>Dsn. Gumuk Umo, RT.014/RW.015, Kel. Nogosari, Kec. Rambipuji</v>
          </cell>
          <cell r="P5246" t="str">
            <v>Jember</v>
          </cell>
          <cell r="Q5246" t="str">
            <v>Nogosari</v>
          </cell>
          <cell r="R5246" t="str">
            <v>Jember</v>
          </cell>
          <cell r="S5246" t="str">
            <v>L Kota3</v>
          </cell>
          <cell r="T5246" t="str">
            <v>Wira</v>
          </cell>
          <cell r="U5246">
            <v>0</v>
          </cell>
        </row>
        <row r="5247">
          <cell r="E5247" t="str">
            <v>D25014893</v>
          </cell>
          <cell r="F5247"/>
          <cell r="G5247">
            <v>1000</v>
          </cell>
          <cell r="H5247" t="str">
            <v>Reni</v>
          </cell>
          <cell r="I5247" t="str">
            <v>Farida</v>
          </cell>
          <cell r="J5247" t="str">
            <v>New 16/02/24</v>
          </cell>
          <cell r="K5247" t="str">
            <v>KU</v>
          </cell>
          <cell r="L5247" t="str">
            <v>MUAR03</v>
          </cell>
          <cell r="M5247" t="str">
            <v>Muara Tirtamas, CV/Fenny</v>
          </cell>
          <cell r="N5247" t="str">
            <v>Muara Tirtamas, CV</v>
          </cell>
          <cell r="O5247" t="str">
            <v>Jl. Letjen Suprapto No. 106 R, Jatirejo</v>
          </cell>
          <cell r="P5247" t="str">
            <v>Nganjuk</v>
          </cell>
          <cell r="Q5247" t="str">
            <v>Jl. Letjen Suprapto No. 106 R, Jatirejo</v>
          </cell>
          <cell r="R5247" t="str">
            <v>Nganjuk</v>
          </cell>
          <cell r="S5247" t="str">
            <v>D Barat2</v>
          </cell>
          <cell r="T5247" t="str">
            <v>Dian</v>
          </cell>
          <cell r="U5247">
            <v>0</v>
          </cell>
        </row>
        <row r="5248">
          <cell r="E5248" t="str">
            <v>D25014894</v>
          </cell>
          <cell r="F5248"/>
          <cell r="G5248">
            <v>1000</v>
          </cell>
          <cell r="H5248" t="str">
            <v>Reni</v>
          </cell>
          <cell r="I5248" t="str">
            <v>Farida</v>
          </cell>
          <cell r="J5248" t="str">
            <v>New 16/02/24</v>
          </cell>
          <cell r="K5248" t="str">
            <v>KU</v>
          </cell>
          <cell r="L5248" t="str">
            <v>MUAR03</v>
          </cell>
          <cell r="M5248" t="str">
            <v>Muara Tirtamas, CV/Fenny</v>
          </cell>
          <cell r="N5248" t="str">
            <v>Muara Tirtamas, CV</v>
          </cell>
          <cell r="O5248" t="str">
            <v>Jl. Letjen Suprapto No. 106 R, Jatirejo</v>
          </cell>
          <cell r="P5248" t="str">
            <v>Nganjuk</v>
          </cell>
          <cell r="Q5248" t="str">
            <v>Jl. Letjen Suprapto No. 106 R, Jatirejo</v>
          </cell>
          <cell r="R5248" t="str">
            <v>Nganjuk</v>
          </cell>
          <cell r="S5248" t="str">
            <v>D Barat2</v>
          </cell>
          <cell r="T5248" t="str">
            <v>Dian</v>
          </cell>
          <cell r="U5248">
            <v>0</v>
          </cell>
        </row>
        <row r="5249">
          <cell r="E5249" t="str">
            <v>T25001482</v>
          </cell>
          <cell r="F5249"/>
          <cell r="G5249">
            <v>1000</v>
          </cell>
          <cell r="H5249" t="str">
            <v>Reni</v>
          </cell>
          <cell r="I5249" t="str">
            <v>Farida</v>
          </cell>
          <cell r="J5249" t="str">
            <v>New 16/02/24</v>
          </cell>
          <cell r="K5249" t="str">
            <v>KU</v>
          </cell>
          <cell r="L5249" t="str">
            <v>MUAR03</v>
          </cell>
          <cell r="M5249" t="str">
            <v>Muara Tirtamas, CV/Fenny</v>
          </cell>
          <cell r="N5249" t="str">
            <v>Muara Tirtamas, CV</v>
          </cell>
          <cell r="O5249" t="str">
            <v>Jl. Letjen Suprapto No. 106 R, Jatirejo</v>
          </cell>
          <cell r="P5249" t="str">
            <v>Nganjuk</v>
          </cell>
          <cell r="Q5249" t="str">
            <v>Jl. Letjen Suprapto No. 106 R, Jatirejo</v>
          </cell>
          <cell r="R5249" t="str">
            <v>Nganjuk</v>
          </cell>
          <cell r="S5249" t="str">
            <v>D Barat2</v>
          </cell>
          <cell r="T5249" t="str">
            <v>Dian</v>
          </cell>
          <cell r="U5249">
            <v>60</v>
          </cell>
        </row>
        <row r="5250">
          <cell r="E5250" t="str">
            <v>D25012475</v>
          </cell>
          <cell r="F5250"/>
          <cell r="G5250">
            <v>250000000</v>
          </cell>
          <cell r="H5250" t="str">
            <v>Yuyun</v>
          </cell>
          <cell r="I5250" t="str">
            <v>Farida</v>
          </cell>
          <cell r="J5250"/>
          <cell r="K5250" t="str">
            <v>KU</v>
          </cell>
          <cell r="L5250" t="str">
            <v>MUBA01</v>
          </cell>
          <cell r="M5250" t="str">
            <v>Mubarok, Toko</v>
          </cell>
          <cell r="N5250" t="str">
            <v>Marwiana</v>
          </cell>
          <cell r="O5250" t="str">
            <v>Potok Barat BL, RT.003/RW.003, Sukowono</v>
          </cell>
          <cell r="P5250" t="str">
            <v>Jember</v>
          </cell>
          <cell r="Q5250" t="str">
            <v>Sukowono</v>
          </cell>
          <cell r="R5250" t="str">
            <v>Jember</v>
          </cell>
          <cell r="S5250" t="str">
            <v>N Bdw Stb</v>
          </cell>
          <cell r="T5250" t="str">
            <v>Wira</v>
          </cell>
          <cell r="U5250">
            <v>30</v>
          </cell>
        </row>
        <row r="5251">
          <cell r="E5251" t="str">
            <v>B25011485</v>
          </cell>
          <cell r="F5251"/>
          <cell r="G5251">
            <v>250000000</v>
          </cell>
          <cell r="H5251" t="str">
            <v>Yuyun</v>
          </cell>
          <cell r="I5251" t="str">
            <v>Farida</v>
          </cell>
          <cell r="J5251"/>
          <cell r="K5251" t="str">
            <v>KU</v>
          </cell>
          <cell r="L5251" t="str">
            <v>MUBA01</v>
          </cell>
          <cell r="M5251" t="str">
            <v>Mubarok, Toko</v>
          </cell>
          <cell r="N5251" t="str">
            <v>Marwiana</v>
          </cell>
          <cell r="O5251" t="str">
            <v>Potok Barat BL, RT.003/RW.003, Sukowono</v>
          </cell>
          <cell r="P5251" t="str">
            <v>Jember</v>
          </cell>
          <cell r="Q5251" t="str">
            <v>Sukowono</v>
          </cell>
          <cell r="R5251" t="str">
            <v>Jember</v>
          </cell>
          <cell r="S5251" t="str">
            <v>N Bdw Stb</v>
          </cell>
          <cell r="T5251" t="str">
            <v>Wira</v>
          </cell>
          <cell r="U5251">
            <v>30</v>
          </cell>
        </row>
        <row r="5252">
          <cell r="E5252" t="str">
            <v>B25011486</v>
          </cell>
          <cell r="F5252"/>
          <cell r="G5252">
            <v>250000000</v>
          </cell>
          <cell r="H5252" t="str">
            <v>Yuyun</v>
          </cell>
          <cell r="I5252" t="str">
            <v>Farida</v>
          </cell>
          <cell r="J5252"/>
          <cell r="K5252" t="str">
            <v>KU</v>
          </cell>
          <cell r="L5252" t="str">
            <v>MUBA01</v>
          </cell>
          <cell r="M5252" t="str">
            <v>Mubarok, Toko</v>
          </cell>
          <cell r="N5252" t="str">
            <v>Marwiana</v>
          </cell>
          <cell r="O5252" t="str">
            <v>Potok Barat BL, RT.003/RW.003, Sukowono</v>
          </cell>
          <cell r="P5252" t="str">
            <v>Jember</v>
          </cell>
          <cell r="Q5252" t="str">
            <v>Sukowono</v>
          </cell>
          <cell r="R5252" t="str">
            <v>Jember</v>
          </cell>
          <cell r="S5252" t="str">
            <v>N Bdw Stb</v>
          </cell>
          <cell r="T5252" t="str">
            <v>Wira</v>
          </cell>
          <cell r="U5252">
            <v>30</v>
          </cell>
        </row>
        <row r="5253">
          <cell r="E5253" t="str">
            <v>B25012472</v>
          </cell>
          <cell r="F5253"/>
          <cell r="G5253">
            <v>250000000</v>
          </cell>
          <cell r="H5253" t="str">
            <v>Yuyun</v>
          </cell>
          <cell r="I5253" t="str">
            <v>Farida</v>
          </cell>
          <cell r="J5253"/>
          <cell r="K5253" t="str">
            <v>KU</v>
          </cell>
          <cell r="L5253" t="str">
            <v>MUBA01</v>
          </cell>
          <cell r="M5253" t="str">
            <v>Mubarok, Toko</v>
          </cell>
          <cell r="N5253" t="str">
            <v>Marwiana</v>
          </cell>
          <cell r="O5253" t="str">
            <v>Potok Barat BL, RT.003/RW.003, Sukowono</v>
          </cell>
          <cell r="P5253" t="str">
            <v>Jember</v>
          </cell>
          <cell r="Q5253" t="str">
            <v>Sukowono</v>
          </cell>
          <cell r="R5253" t="str">
            <v>Jember</v>
          </cell>
          <cell r="S5253" t="str">
            <v>N Bdw Stb</v>
          </cell>
          <cell r="T5253" t="str">
            <v>Wira</v>
          </cell>
          <cell r="U5253">
            <v>30</v>
          </cell>
        </row>
        <row r="5254">
          <cell r="E5254" t="str">
            <v>D25015839</v>
          </cell>
          <cell r="F5254"/>
          <cell r="G5254">
            <v>250000000</v>
          </cell>
          <cell r="H5254" t="str">
            <v>Yuyun</v>
          </cell>
          <cell r="I5254" t="str">
            <v>Farida</v>
          </cell>
          <cell r="J5254"/>
          <cell r="K5254" t="str">
            <v>KU</v>
          </cell>
          <cell r="L5254" t="str">
            <v>MUBA01</v>
          </cell>
          <cell r="M5254" t="str">
            <v>Mubarok, Toko</v>
          </cell>
          <cell r="N5254" t="str">
            <v>Marwiana</v>
          </cell>
          <cell r="O5254" t="str">
            <v>Potok Barat BL, RT.003/RW.003, Sukowono</v>
          </cell>
          <cell r="P5254" t="str">
            <v>Jember</v>
          </cell>
          <cell r="Q5254" t="str">
            <v>Sukowono</v>
          </cell>
          <cell r="R5254" t="str">
            <v>Jember</v>
          </cell>
          <cell r="S5254" t="str">
            <v>N Bdw Stb</v>
          </cell>
          <cell r="T5254" t="str">
            <v>Wira</v>
          </cell>
          <cell r="U5254">
            <v>30</v>
          </cell>
        </row>
        <row r="5255">
          <cell r="E5255" t="str">
            <v>D25015840</v>
          </cell>
          <cell r="F5255"/>
          <cell r="G5255">
            <v>250000000</v>
          </cell>
          <cell r="H5255" t="str">
            <v>Yuyun</v>
          </cell>
          <cell r="I5255" t="str">
            <v>Farida</v>
          </cell>
          <cell r="J5255"/>
          <cell r="K5255" t="str">
            <v>KU</v>
          </cell>
          <cell r="L5255" t="str">
            <v>MUBA01</v>
          </cell>
          <cell r="M5255" t="str">
            <v>Mubarok, Toko</v>
          </cell>
          <cell r="N5255" t="str">
            <v>Marwiana</v>
          </cell>
          <cell r="O5255" t="str">
            <v>Potok Barat BL, RT.003/RW.003, Sukowono</v>
          </cell>
          <cell r="P5255" t="str">
            <v>Jember</v>
          </cell>
          <cell r="Q5255" t="str">
            <v>Sukowono</v>
          </cell>
          <cell r="R5255" t="str">
            <v>Jember</v>
          </cell>
          <cell r="S5255" t="str">
            <v>N Bdw Stb</v>
          </cell>
          <cell r="T5255" t="str">
            <v>Wira</v>
          </cell>
          <cell r="U5255">
            <v>30</v>
          </cell>
        </row>
        <row r="5256">
          <cell r="E5256" t="str">
            <v>B25013776</v>
          </cell>
          <cell r="F5256"/>
          <cell r="G5256">
            <v>250000000</v>
          </cell>
          <cell r="H5256" t="str">
            <v>Yuyun</v>
          </cell>
          <cell r="I5256" t="str">
            <v>Farida</v>
          </cell>
          <cell r="J5256"/>
          <cell r="K5256" t="str">
            <v>KU</v>
          </cell>
          <cell r="L5256" t="str">
            <v>MUBA01</v>
          </cell>
          <cell r="M5256" t="str">
            <v>Mubarok, Toko</v>
          </cell>
          <cell r="N5256" t="str">
            <v>Marwiana</v>
          </cell>
          <cell r="O5256" t="str">
            <v>Potok Barat BL, RT.003/RW.003, Sukowono</v>
          </cell>
          <cell r="P5256" t="str">
            <v>Jember</v>
          </cell>
          <cell r="Q5256" t="str">
            <v>Sukowono</v>
          </cell>
          <cell r="R5256" t="str">
            <v>Jember</v>
          </cell>
          <cell r="S5256" t="str">
            <v>N Bdw Stb</v>
          </cell>
          <cell r="T5256" t="str">
            <v>Wira</v>
          </cell>
          <cell r="U5256">
            <v>30</v>
          </cell>
        </row>
        <row r="5257">
          <cell r="E5257" t="str">
            <v>D25016186</v>
          </cell>
          <cell r="F5257"/>
          <cell r="G5257">
            <v>250000000</v>
          </cell>
          <cell r="H5257" t="str">
            <v>Yuyun</v>
          </cell>
          <cell r="I5257" t="str">
            <v>Farida</v>
          </cell>
          <cell r="J5257"/>
          <cell r="K5257" t="str">
            <v>KU</v>
          </cell>
          <cell r="L5257" t="str">
            <v>MUBA01</v>
          </cell>
          <cell r="M5257" t="str">
            <v>Mubarok, Toko</v>
          </cell>
          <cell r="N5257" t="str">
            <v>Marwiana</v>
          </cell>
          <cell r="O5257" t="str">
            <v>Potok Barat BL, RT.003/RW.003, Sukowono</v>
          </cell>
          <cell r="P5257" t="str">
            <v>Jember</v>
          </cell>
          <cell r="Q5257" t="str">
            <v>Sukowono</v>
          </cell>
          <cell r="R5257" t="str">
            <v>Jember</v>
          </cell>
          <cell r="S5257" t="str">
            <v>N Bdw Stb</v>
          </cell>
          <cell r="T5257" t="str">
            <v>Wira</v>
          </cell>
          <cell r="U5257">
            <v>30</v>
          </cell>
        </row>
        <row r="5258">
          <cell r="E5258" t="str">
            <v>Z25002173</v>
          </cell>
          <cell r="F5258"/>
          <cell r="G5258">
            <v>150000000</v>
          </cell>
          <cell r="H5258" t="str">
            <v>Zakia</v>
          </cell>
          <cell r="I5258" t="str">
            <v>Tiya</v>
          </cell>
          <cell r="J5258" t="str">
            <v>New 27/11/20</v>
          </cell>
          <cell r="K5258" t="str">
            <v>KU</v>
          </cell>
          <cell r="L5258" t="str">
            <v>MUGI01</v>
          </cell>
          <cell r="M5258" t="str">
            <v>Mugi Lestari, Kios</v>
          </cell>
          <cell r="N5258" t="str">
            <v>Suyono</v>
          </cell>
          <cell r="O5258" t="str">
            <v>Dusun Jatirejo, RT.001/RW.001, Kel. Pakisrejo, Kec. Tanggung Gunung</v>
          </cell>
          <cell r="P5258" t="str">
            <v>Tulungagung</v>
          </cell>
          <cell r="Q5258" t="str">
            <v>Dusun Jatirejo, RT.001/RW.001, Kel. Pakisrejo, Kec. Tanggung Gunung</v>
          </cell>
          <cell r="R5258" t="str">
            <v>Tulungagung</v>
          </cell>
          <cell r="S5258" t="str">
            <v>D Barat2</v>
          </cell>
          <cell r="T5258" t="str">
            <v>Tomi</v>
          </cell>
          <cell r="U5258">
            <v>30</v>
          </cell>
        </row>
        <row r="5259">
          <cell r="E5259" t="str">
            <v>Z25002505</v>
          </cell>
          <cell r="F5259"/>
          <cell r="G5259">
            <v>150000000</v>
          </cell>
          <cell r="H5259" t="str">
            <v>Zakia</v>
          </cell>
          <cell r="I5259" t="str">
            <v>Tiya</v>
          </cell>
          <cell r="J5259" t="str">
            <v>New 27/11/20</v>
          </cell>
          <cell r="K5259" t="str">
            <v>KU</v>
          </cell>
          <cell r="L5259" t="str">
            <v>MUGI01</v>
          </cell>
          <cell r="M5259" t="str">
            <v>Mugi Lestari, Kios</v>
          </cell>
          <cell r="N5259" t="str">
            <v>Suyono</v>
          </cell>
          <cell r="O5259" t="str">
            <v>Dusun Jatirejo, RT.001/RW.001, Kel. Pakisrejo, Kec. Tanggung Gunung</v>
          </cell>
          <cell r="P5259" t="str">
            <v>Tulungagung</v>
          </cell>
          <cell r="Q5259" t="str">
            <v>Dusun Jatirejo, RT.001/RW.001, Kel. Pakisrejo, Kec. Tanggung Gunung</v>
          </cell>
          <cell r="R5259" t="str">
            <v>Tulungagung</v>
          </cell>
          <cell r="S5259" t="str">
            <v>D Barat2</v>
          </cell>
          <cell r="T5259" t="str">
            <v>Tomi</v>
          </cell>
          <cell r="U5259">
            <v>30</v>
          </cell>
        </row>
        <row r="5260">
          <cell r="E5260" t="str">
            <v>Z25002581</v>
          </cell>
          <cell r="F5260"/>
          <cell r="G5260">
            <v>150000000</v>
          </cell>
          <cell r="H5260" t="str">
            <v>Zakia</v>
          </cell>
          <cell r="I5260" t="str">
            <v>Tiya</v>
          </cell>
          <cell r="J5260" t="str">
            <v>New 27/11/20</v>
          </cell>
          <cell r="K5260" t="str">
            <v>KU</v>
          </cell>
          <cell r="L5260" t="str">
            <v>MUGI01</v>
          </cell>
          <cell r="M5260" t="str">
            <v>Mugi Lestari, Kios</v>
          </cell>
          <cell r="N5260" t="str">
            <v>Suyono</v>
          </cell>
          <cell r="O5260" t="str">
            <v>Dusun Jatirejo, RT.001/RW.001, Kel. Pakisrejo, Kec. Tanggung Gunung</v>
          </cell>
          <cell r="P5260" t="str">
            <v>Tulungagung</v>
          </cell>
          <cell r="Q5260" t="str">
            <v>Dusun Jatirejo, RT.001/RW.001, Kel. Pakisrejo, Kec. Tanggung Gunung</v>
          </cell>
          <cell r="R5260" t="str">
            <v>Tulungagung</v>
          </cell>
          <cell r="S5260" t="str">
            <v>D Barat2</v>
          </cell>
          <cell r="T5260" t="str">
            <v>Tomi</v>
          </cell>
          <cell r="U5260">
            <v>30</v>
          </cell>
        </row>
        <row r="5261">
          <cell r="E5261" t="str">
            <v>N25000026</v>
          </cell>
          <cell r="F5261"/>
          <cell r="G5261">
            <v>1000</v>
          </cell>
          <cell r="H5261" t="str">
            <v>Hendra</v>
          </cell>
          <cell r="I5261" t="str">
            <v>Tiya</v>
          </cell>
          <cell r="J5261" t="str">
            <v>New 24/05/25</v>
          </cell>
          <cell r="K5261" t="str">
            <v>CBD</v>
          </cell>
          <cell r="L5261" t="str">
            <v>MUHA87</v>
          </cell>
          <cell r="M5261" t="str">
            <v>Muhammad Saleh</v>
          </cell>
          <cell r="N5261" t="str">
            <v>Muhammad Saleh</v>
          </cell>
          <cell r="O5261" t="str">
            <v>Dusun Fo'o Peda RT.005/RW.003 , Kel. Ntoke Kec. Wera</v>
          </cell>
          <cell r="P5261" t="str">
            <v>Bima</v>
          </cell>
          <cell r="Q5261" t="str">
            <v>Dusun Fo'o Peda RT.005/RW.003 , Kel. Ntoke Kec. Wera</v>
          </cell>
          <cell r="R5261" t="str">
            <v>Bima</v>
          </cell>
          <cell r="S5261" t="str">
            <v>E Luar Pulau2</v>
          </cell>
          <cell r="T5261" t="str">
            <v>Muhlisin</v>
          </cell>
          <cell r="U5261">
            <v>45</v>
          </cell>
        </row>
        <row r="5262">
          <cell r="E5262" t="str">
            <v>B25008969</v>
          </cell>
          <cell r="F5262"/>
          <cell r="G5262">
            <v>350000000</v>
          </cell>
          <cell r="H5262" t="str">
            <v>Faris</v>
          </cell>
          <cell r="I5262" t="str">
            <v>Syahra</v>
          </cell>
          <cell r="J5262"/>
          <cell r="K5262" t="str">
            <v>KU</v>
          </cell>
          <cell r="L5262" t="str">
            <v>MUJA01</v>
          </cell>
          <cell r="M5262" t="str">
            <v>Mujahidin Delapan, UD</v>
          </cell>
          <cell r="N5262" t="str">
            <v>Abdul Muntholib</v>
          </cell>
          <cell r="O5262" t="str">
            <v>Dambuntung, RT.004/RW.001, Kel. Kedungasri, Kec. Tegaldlimo</v>
          </cell>
          <cell r="P5262" t="str">
            <v>Banyuwangi</v>
          </cell>
          <cell r="Q5262" t="str">
            <v>Timur Pasar Dam Buntung Kedung Asri</v>
          </cell>
          <cell r="R5262" t="str">
            <v>Banyuwangi</v>
          </cell>
          <cell r="S5262" t="str">
            <v>H Bwi3</v>
          </cell>
          <cell r="T5262" t="str">
            <v>Hafid</v>
          </cell>
          <cell r="U5262">
            <v>30</v>
          </cell>
        </row>
        <row r="5263">
          <cell r="E5263" t="str">
            <v>B25008970</v>
          </cell>
          <cell r="F5263"/>
          <cell r="G5263">
            <v>350000000</v>
          </cell>
          <cell r="H5263" t="str">
            <v>Faris</v>
          </cell>
          <cell r="I5263" t="str">
            <v>Syahra</v>
          </cell>
          <cell r="J5263"/>
          <cell r="K5263" t="str">
            <v>KU</v>
          </cell>
          <cell r="L5263" t="str">
            <v>MUJA01</v>
          </cell>
          <cell r="M5263" t="str">
            <v>Mujahidin Delapan, UD</v>
          </cell>
          <cell r="N5263" t="str">
            <v>Abdul Muntholib</v>
          </cell>
          <cell r="O5263" t="str">
            <v>Dambuntung, RT.004/RW.001, Kel. Kedungasri, Kec. Tegaldlimo</v>
          </cell>
          <cell r="P5263" t="str">
            <v>Banyuwangi</v>
          </cell>
          <cell r="Q5263" t="str">
            <v>Timur Pasar Dam Buntung Kedung Asri</v>
          </cell>
          <cell r="R5263" t="str">
            <v>Banyuwangi</v>
          </cell>
          <cell r="S5263" t="str">
            <v>H Bwi3</v>
          </cell>
          <cell r="T5263" t="str">
            <v>Hafid</v>
          </cell>
          <cell r="U5263">
            <v>60</v>
          </cell>
        </row>
        <row r="5264">
          <cell r="E5264" t="str">
            <v>D25011161</v>
          </cell>
          <cell r="F5264"/>
          <cell r="G5264">
            <v>350000000</v>
          </cell>
          <cell r="H5264" t="str">
            <v>Faris</v>
          </cell>
          <cell r="I5264" t="str">
            <v>Syahra</v>
          </cell>
          <cell r="J5264"/>
          <cell r="K5264" t="str">
            <v>KU</v>
          </cell>
          <cell r="L5264" t="str">
            <v>MUJA01</v>
          </cell>
          <cell r="M5264" t="str">
            <v>Mujahidin Delapan, UD</v>
          </cell>
          <cell r="N5264" t="str">
            <v>Abdul Muntholib</v>
          </cell>
          <cell r="O5264" t="str">
            <v>Dambuntung, RT.004/RW.001, Kel. Kedungasri, Kec. Tegaldlimo</v>
          </cell>
          <cell r="P5264" t="str">
            <v>Banyuwangi</v>
          </cell>
          <cell r="Q5264" t="str">
            <v>Timur Pasar Dam Buntung Kedung Asri</v>
          </cell>
          <cell r="R5264" t="str">
            <v>Banyuwangi</v>
          </cell>
          <cell r="S5264" t="str">
            <v>H Bwi3</v>
          </cell>
          <cell r="T5264" t="str">
            <v>Hafid</v>
          </cell>
          <cell r="U5264">
            <v>30</v>
          </cell>
        </row>
        <row r="5265">
          <cell r="E5265" t="str">
            <v>B25009519</v>
          </cell>
          <cell r="F5265"/>
          <cell r="G5265">
            <v>350000000</v>
          </cell>
          <cell r="H5265" t="str">
            <v>Faris</v>
          </cell>
          <cell r="I5265" t="str">
            <v>Syahra</v>
          </cell>
          <cell r="J5265"/>
          <cell r="K5265" t="str">
            <v>KU</v>
          </cell>
          <cell r="L5265" t="str">
            <v>MUJA01</v>
          </cell>
          <cell r="M5265" t="str">
            <v>Mujahidin Delapan, UD</v>
          </cell>
          <cell r="N5265" t="str">
            <v>Abdul Muntholib</v>
          </cell>
          <cell r="O5265" t="str">
            <v>Dambuntung, RT.004/RW.001, Kel. Kedungasri, Kec. Tegaldlimo</v>
          </cell>
          <cell r="P5265" t="str">
            <v>Banyuwangi</v>
          </cell>
          <cell r="Q5265" t="str">
            <v>Timur Pasar Dam Buntung Kedung Asri</v>
          </cell>
          <cell r="R5265" t="str">
            <v>Banyuwangi</v>
          </cell>
          <cell r="S5265" t="str">
            <v>H Bwi3</v>
          </cell>
          <cell r="T5265" t="str">
            <v>Hafid</v>
          </cell>
          <cell r="U5265">
            <v>30</v>
          </cell>
        </row>
        <row r="5266">
          <cell r="E5266" t="str">
            <v>T25001186</v>
          </cell>
          <cell r="F5266"/>
          <cell r="G5266">
            <v>350000000</v>
          </cell>
          <cell r="H5266" t="str">
            <v>Faris</v>
          </cell>
          <cell r="I5266" t="str">
            <v>Syahra</v>
          </cell>
          <cell r="J5266"/>
          <cell r="K5266" t="str">
            <v>KU</v>
          </cell>
          <cell r="L5266" t="str">
            <v>MUJA01</v>
          </cell>
          <cell r="M5266" t="str">
            <v>Mujahidin Delapan, UD</v>
          </cell>
          <cell r="N5266" t="str">
            <v>Abdul Muntholib</v>
          </cell>
          <cell r="O5266" t="str">
            <v>Dambuntung, RT.004/RW.001, Kel. Kedungasri, Kec. Tegaldlimo</v>
          </cell>
          <cell r="P5266" t="str">
            <v>Banyuwangi</v>
          </cell>
          <cell r="Q5266" t="str">
            <v>Timur Pasar Dam Buntung Kedung Asri</v>
          </cell>
          <cell r="R5266" t="str">
            <v>Banyuwangi</v>
          </cell>
          <cell r="S5266" t="str">
            <v>H Bwi3</v>
          </cell>
          <cell r="T5266" t="str">
            <v>Hafid</v>
          </cell>
          <cell r="U5266">
            <v>60</v>
          </cell>
        </row>
        <row r="5267">
          <cell r="E5267" t="str">
            <v>B25009638</v>
          </cell>
          <cell r="F5267"/>
          <cell r="G5267">
            <v>350000000</v>
          </cell>
          <cell r="H5267" t="str">
            <v>Faris</v>
          </cell>
          <cell r="I5267" t="str">
            <v>Syahra</v>
          </cell>
          <cell r="J5267"/>
          <cell r="K5267" t="str">
            <v>KU</v>
          </cell>
          <cell r="L5267" t="str">
            <v>MUJA01</v>
          </cell>
          <cell r="M5267" t="str">
            <v>Mujahidin Delapan, UD</v>
          </cell>
          <cell r="N5267" t="str">
            <v>Abdul Muntholib</v>
          </cell>
          <cell r="O5267" t="str">
            <v>Dambuntung, RT.004/RW.001, Kel. Kedungasri, Kec. Tegaldlimo</v>
          </cell>
          <cell r="P5267" t="str">
            <v>Banyuwangi</v>
          </cell>
          <cell r="Q5267" t="str">
            <v>Timur Pasar Dam Buntung Kedung Asri</v>
          </cell>
          <cell r="R5267" t="str">
            <v>Banyuwangi</v>
          </cell>
          <cell r="S5267" t="str">
            <v>H Bwi3</v>
          </cell>
          <cell r="T5267" t="str">
            <v>Hafid</v>
          </cell>
          <cell r="U5267">
            <v>60</v>
          </cell>
        </row>
        <row r="5268">
          <cell r="E5268">
            <v>250040</v>
          </cell>
          <cell r="F5268"/>
          <cell r="G5268">
            <v>350000000</v>
          </cell>
          <cell r="H5268" t="str">
            <v>Faris</v>
          </cell>
          <cell r="I5268" t="str">
            <v>Syahra</v>
          </cell>
          <cell r="J5268"/>
          <cell r="K5268" t="str">
            <v>KU</v>
          </cell>
          <cell r="L5268" t="str">
            <v>MUJA01</v>
          </cell>
          <cell r="M5268" t="str">
            <v>Mujahidin Delapan, UD</v>
          </cell>
          <cell r="N5268" t="str">
            <v>Abdul Muntholib</v>
          </cell>
          <cell r="O5268" t="str">
            <v>Dambuntung, RT.004/RW.001, Kel. Kedungasri, Kec. Tegaldlimo</v>
          </cell>
          <cell r="P5268" t="str">
            <v>Banyuwangi</v>
          </cell>
          <cell r="Q5268" t="str">
            <v>Timur Pasar Dam Buntung Kedung Asri</v>
          </cell>
          <cell r="R5268" t="str">
            <v>Banyuwangi</v>
          </cell>
          <cell r="S5268" t="str">
            <v>H Bwi3</v>
          </cell>
          <cell r="T5268" t="str">
            <v>Hafid</v>
          </cell>
          <cell r="U5268">
            <v>60</v>
          </cell>
        </row>
        <row r="5269">
          <cell r="E5269" t="str">
            <v>B25009821</v>
          </cell>
          <cell r="F5269"/>
          <cell r="G5269">
            <v>350000000</v>
          </cell>
          <cell r="H5269" t="str">
            <v>Faris</v>
          </cell>
          <cell r="I5269" t="str">
            <v>Syahra</v>
          </cell>
          <cell r="J5269"/>
          <cell r="K5269" t="str">
            <v>KU</v>
          </cell>
          <cell r="L5269" t="str">
            <v>MUJA01</v>
          </cell>
          <cell r="M5269" t="str">
            <v>Mujahidin Delapan, UD</v>
          </cell>
          <cell r="N5269" t="str">
            <v>Abdul Muntholib</v>
          </cell>
          <cell r="O5269" t="str">
            <v>Dambuntung, RT.004/RW.001, Kel. Kedungasri, Kec. Tegaldlimo</v>
          </cell>
          <cell r="P5269" t="str">
            <v>Banyuwangi</v>
          </cell>
          <cell r="Q5269" t="str">
            <v>Timur Pasar Dam Buntung Kedung Asri</v>
          </cell>
          <cell r="R5269" t="str">
            <v>Banyuwangi</v>
          </cell>
          <cell r="S5269" t="str">
            <v>H Bwi3</v>
          </cell>
          <cell r="T5269" t="str">
            <v>Hafid</v>
          </cell>
          <cell r="U5269">
            <v>60</v>
          </cell>
        </row>
        <row r="5270">
          <cell r="E5270" t="str">
            <v>D25012021</v>
          </cell>
          <cell r="F5270"/>
          <cell r="G5270">
            <v>350000000</v>
          </cell>
          <cell r="H5270" t="str">
            <v>Faris</v>
          </cell>
          <cell r="I5270" t="str">
            <v>Syahra</v>
          </cell>
          <cell r="J5270"/>
          <cell r="K5270" t="str">
            <v>KU</v>
          </cell>
          <cell r="L5270" t="str">
            <v>MUJA01</v>
          </cell>
          <cell r="M5270" t="str">
            <v>Mujahidin Delapan, UD</v>
          </cell>
          <cell r="N5270" t="str">
            <v>Abdul Muntholib</v>
          </cell>
          <cell r="O5270" t="str">
            <v>Dambuntung, RT.004/RW.001, Kel. Kedungasri, Kec. Tegaldlimo</v>
          </cell>
          <cell r="P5270" t="str">
            <v>Banyuwangi</v>
          </cell>
          <cell r="Q5270" t="str">
            <v>Timur Pasar Dam Buntung Kedung Asri</v>
          </cell>
          <cell r="R5270" t="str">
            <v>Banyuwangi</v>
          </cell>
          <cell r="S5270" t="str">
            <v>H Bwi3</v>
          </cell>
          <cell r="T5270" t="str">
            <v>Hafid</v>
          </cell>
          <cell r="U5270">
            <v>60</v>
          </cell>
        </row>
        <row r="5271">
          <cell r="E5271" t="str">
            <v>D25012056</v>
          </cell>
          <cell r="F5271"/>
          <cell r="G5271">
            <v>350000000</v>
          </cell>
          <cell r="H5271" t="str">
            <v>Faris</v>
          </cell>
          <cell r="I5271" t="str">
            <v>Syahra</v>
          </cell>
          <cell r="J5271"/>
          <cell r="K5271" t="str">
            <v>KU</v>
          </cell>
          <cell r="L5271" t="str">
            <v>MUJA01</v>
          </cell>
          <cell r="M5271" t="str">
            <v>Mujahidin Delapan, UD</v>
          </cell>
          <cell r="N5271" t="str">
            <v>Abdul Muntholib</v>
          </cell>
          <cell r="O5271" t="str">
            <v>Dambuntung, RT.004/RW.001, Kel. Kedungasri, Kec. Tegaldlimo</v>
          </cell>
          <cell r="P5271" t="str">
            <v>Banyuwangi</v>
          </cell>
          <cell r="Q5271" t="str">
            <v>Timur Pasar Dam Buntung Kedung Asri</v>
          </cell>
          <cell r="R5271" t="str">
            <v>Banyuwangi</v>
          </cell>
          <cell r="S5271" t="str">
            <v>H Bwi3</v>
          </cell>
          <cell r="T5271" t="str">
            <v>Hafid</v>
          </cell>
          <cell r="U5271">
            <v>30</v>
          </cell>
        </row>
        <row r="5272">
          <cell r="E5272" t="str">
            <v>D25012057</v>
          </cell>
          <cell r="F5272"/>
          <cell r="G5272">
            <v>350000000</v>
          </cell>
          <cell r="H5272" t="str">
            <v>Faris</v>
          </cell>
          <cell r="I5272" t="str">
            <v>Syahra</v>
          </cell>
          <cell r="J5272"/>
          <cell r="K5272" t="str">
            <v>KU</v>
          </cell>
          <cell r="L5272" t="str">
            <v>MUJA01</v>
          </cell>
          <cell r="M5272" t="str">
            <v>Mujahidin Delapan, UD</v>
          </cell>
          <cell r="N5272" t="str">
            <v>Abdul Muntholib</v>
          </cell>
          <cell r="O5272" t="str">
            <v>Dambuntung, RT.004/RW.001, Kel. Kedungasri, Kec. Tegaldlimo</v>
          </cell>
          <cell r="P5272" t="str">
            <v>Banyuwangi</v>
          </cell>
          <cell r="Q5272" t="str">
            <v>Timur Pasar Dam Buntung Kedung Asri</v>
          </cell>
          <cell r="R5272" t="str">
            <v>Banyuwangi</v>
          </cell>
          <cell r="S5272" t="str">
            <v>H Bwi3</v>
          </cell>
          <cell r="T5272" t="str">
            <v>Hafid</v>
          </cell>
          <cell r="U5272">
            <v>60</v>
          </cell>
        </row>
        <row r="5273">
          <cell r="E5273" t="str">
            <v>B25010542</v>
          </cell>
          <cell r="F5273"/>
          <cell r="G5273">
            <v>350000000</v>
          </cell>
          <cell r="H5273" t="str">
            <v>Faris</v>
          </cell>
          <cell r="I5273" t="str">
            <v>Syahra</v>
          </cell>
          <cell r="J5273"/>
          <cell r="K5273" t="str">
            <v>KU</v>
          </cell>
          <cell r="L5273" t="str">
            <v>MUJA01</v>
          </cell>
          <cell r="M5273" t="str">
            <v>Mujahidin Delapan, UD</v>
          </cell>
          <cell r="N5273" t="str">
            <v>Abdul Muntholib</v>
          </cell>
          <cell r="O5273" t="str">
            <v>Dambuntung, RT.004/RW.001, Kel. Kedungasri, Kec. Tegaldlimo</v>
          </cell>
          <cell r="P5273" t="str">
            <v>Banyuwangi</v>
          </cell>
          <cell r="Q5273" t="str">
            <v>Timur Pasar Dam Buntung Kedung Asri</v>
          </cell>
          <cell r="R5273" t="str">
            <v>Banyuwangi</v>
          </cell>
          <cell r="S5273" t="str">
            <v>H Bwi3</v>
          </cell>
          <cell r="T5273" t="str">
            <v>Hafid</v>
          </cell>
          <cell r="U5273">
            <v>60</v>
          </cell>
        </row>
        <row r="5274">
          <cell r="E5274" t="str">
            <v>B25010753</v>
          </cell>
          <cell r="F5274"/>
          <cell r="G5274">
            <v>350000000</v>
          </cell>
          <cell r="H5274" t="str">
            <v>Faris</v>
          </cell>
          <cell r="I5274" t="str">
            <v>Syahra</v>
          </cell>
          <cell r="J5274"/>
          <cell r="K5274" t="str">
            <v>KU</v>
          </cell>
          <cell r="L5274" t="str">
            <v>MUJA01</v>
          </cell>
          <cell r="M5274" t="str">
            <v>Mujahidin Delapan, UD</v>
          </cell>
          <cell r="N5274" t="str">
            <v>Abdul Muntholib</v>
          </cell>
          <cell r="O5274" t="str">
            <v>Dambuntung, RT.004/RW.001, Kel. Kedungasri, Kec. Tegaldlimo</v>
          </cell>
          <cell r="P5274" t="str">
            <v>Banyuwangi</v>
          </cell>
          <cell r="Q5274" t="str">
            <v>Timur Pasar Dam Buntung Kedung Asri</v>
          </cell>
          <cell r="R5274" t="str">
            <v>Banyuwangi</v>
          </cell>
          <cell r="S5274" t="str">
            <v>H Bwi3</v>
          </cell>
          <cell r="T5274" t="str">
            <v>Hafid</v>
          </cell>
          <cell r="U5274">
            <v>30</v>
          </cell>
        </row>
        <row r="5275">
          <cell r="E5275">
            <v>250068</v>
          </cell>
          <cell r="F5275"/>
          <cell r="G5275">
            <v>350000000</v>
          </cell>
          <cell r="H5275" t="str">
            <v>Faris</v>
          </cell>
          <cell r="I5275" t="str">
            <v>Syahra</v>
          </cell>
          <cell r="J5275"/>
          <cell r="K5275" t="str">
            <v>KU</v>
          </cell>
          <cell r="L5275" t="str">
            <v>MUJA01</v>
          </cell>
          <cell r="M5275" t="str">
            <v>Mujahidin Delapan, UD</v>
          </cell>
          <cell r="N5275" t="str">
            <v>Abdul Muntholib</v>
          </cell>
          <cell r="O5275" t="str">
            <v>Dambuntung, RT.004/RW.001, Kel. Kedungasri, Kec. Tegaldlimo</v>
          </cell>
          <cell r="P5275" t="str">
            <v>Banyuwangi</v>
          </cell>
          <cell r="Q5275" t="str">
            <v>Timur Pasar Dam Buntung Kedung Asri</v>
          </cell>
          <cell r="R5275" t="str">
            <v>Banyuwangi</v>
          </cell>
          <cell r="S5275" t="str">
            <v>H Bwi3</v>
          </cell>
          <cell r="T5275" t="str">
            <v>Hafid</v>
          </cell>
          <cell r="U5275">
            <v>30</v>
          </cell>
        </row>
        <row r="5276">
          <cell r="E5276" t="str">
            <v>B25010772</v>
          </cell>
          <cell r="F5276"/>
          <cell r="G5276">
            <v>350000000</v>
          </cell>
          <cell r="H5276" t="str">
            <v>Faris</v>
          </cell>
          <cell r="I5276" t="str">
            <v>Syahra</v>
          </cell>
          <cell r="J5276"/>
          <cell r="K5276" t="str">
            <v>KU</v>
          </cell>
          <cell r="L5276" t="str">
            <v>MUJA01</v>
          </cell>
          <cell r="M5276" t="str">
            <v>Mujahidin Delapan, UD</v>
          </cell>
          <cell r="N5276" t="str">
            <v>Abdul Muntholib</v>
          </cell>
          <cell r="O5276" t="str">
            <v>Dambuntung, RT.004/RW.001, Kel. Kedungasri, Kec. Tegaldlimo</v>
          </cell>
          <cell r="P5276" t="str">
            <v>Banyuwangi</v>
          </cell>
          <cell r="Q5276" t="str">
            <v>Timur Pasar Dam Buntung Kedung Asri</v>
          </cell>
          <cell r="R5276" t="str">
            <v>Banyuwangi</v>
          </cell>
          <cell r="S5276" t="str">
            <v>H Bwi3</v>
          </cell>
          <cell r="T5276" t="str">
            <v>Hafid</v>
          </cell>
          <cell r="U5276">
            <v>30</v>
          </cell>
        </row>
        <row r="5277">
          <cell r="E5277" t="str">
            <v>D25013208</v>
          </cell>
          <cell r="F5277"/>
          <cell r="G5277">
            <v>350000000</v>
          </cell>
          <cell r="H5277" t="str">
            <v>Faris</v>
          </cell>
          <cell r="I5277" t="str">
            <v>Syahra</v>
          </cell>
          <cell r="J5277"/>
          <cell r="K5277" t="str">
            <v>KU</v>
          </cell>
          <cell r="L5277" t="str">
            <v>MUJA01</v>
          </cell>
          <cell r="M5277" t="str">
            <v>Mujahidin Delapan, UD</v>
          </cell>
          <cell r="N5277" t="str">
            <v>Abdul Muntholib</v>
          </cell>
          <cell r="O5277" t="str">
            <v>Dambuntung, RT.004/RW.001, Kel. Kedungasri, Kec. Tegaldlimo</v>
          </cell>
          <cell r="P5277" t="str">
            <v>Banyuwangi</v>
          </cell>
          <cell r="Q5277" t="str">
            <v>Timur Pasar Dam Buntung Kedung Asri</v>
          </cell>
          <cell r="R5277" t="str">
            <v>Banyuwangi</v>
          </cell>
          <cell r="S5277" t="str">
            <v>H Bwi3</v>
          </cell>
          <cell r="T5277" t="str">
            <v>Hafid</v>
          </cell>
          <cell r="U5277">
            <v>30</v>
          </cell>
        </row>
        <row r="5278">
          <cell r="E5278" t="str">
            <v>B25011063</v>
          </cell>
          <cell r="F5278"/>
          <cell r="G5278">
            <v>350000000</v>
          </cell>
          <cell r="H5278" t="str">
            <v>Faris</v>
          </cell>
          <cell r="I5278" t="str">
            <v>Syahra</v>
          </cell>
          <cell r="J5278"/>
          <cell r="K5278" t="str">
            <v>KU</v>
          </cell>
          <cell r="L5278" t="str">
            <v>MUJA01</v>
          </cell>
          <cell r="M5278" t="str">
            <v>Mujahidin Delapan, UD</v>
          </cell>
          <cell r="N5278" t="str">
            <v>Abdul Muntholib</v>
          </cell>
          <cell r="O5278" t="str">
            <v>Dambuntung, RT.004/RW.001, Kel. Kedungasri, Kec. Tegaldlimo</v>
          </cell>
          <cell r="P5278" t="str">
            <v>Banyuwangi</v>
          </cell>
          <cell r="Q5278" t="str">
            <v>Timur Pasar Dam Buntung Kedung Asri</v>
          </cell>
          <cell r="R5278" t="str">
            <v>Banyuwangi</v>
          </cell>
          <cell r="S5278" t="str">
            <v>H Bwi3</v>
          </cell>
          <cell r="T5278" t="str">
            <v>Hafid</v>
          </cell>
          <cell r="U5278">
            <v>30</v>
          </cell>
        </row>
        <row r="5279">
          <cell r="E5279" t="str">
            <v>B25011064</v>
          </cell>
          <cell r="F5279"/>
          <cell r="G5279">
            <v>350000000</v>
          </cell>
          <cell r="H5279" t="str">
            <v>Faris</v>
          </cell>
          <cell r="I5279" t="str">
            <v>Syahra</v>
          </cell>
          <cell r="J5279"/>
          <cell r="K5279" t="str">
            <v>KU</v>
          </cell>
          <cell r="L5279" t="str">
            <v>MUJA01</v>
          </cell>
          <cell r="M5279" t="str">
            <v>Mujahidin Delapan, UD</v>
          </cell>
          <cell r="N5279" t="str">
            <v>Abdul Muntholib</v>
          </cell>
          <cell r="O5279" t="str">
            <v>Dambuntung, RT.004/RW.001, Kel. Kedungasri, Kec. Tegaldlimo</v>
          </cell>
          <cell r="P5279" t="str">
            <v>Banyuwangi</v>
          </cell>
          <cell r="Q5279" t="str">
            <v>Timur Pasar Dam Buntung Kedung Asri</v>
          </cell>
          <cell r="R5279" t="str">
            <v>Banyuwangi</v>
          </cell>
          <cell r="S5279" t="str">
            <v>H Bwi3</v>
          </cell>
          <cell r="T5279" t="str">
            <v>Hafid</v>
          </cell>
          <cell r="U5279">
            <v>30</v>
          </cell>
        </row>
        <row r="5280">
          <cell r="E5280" t="str">
            <v>B25011065</v>
          </cell>
          <cell r="F5280"/>
          <cell r="G5280">
            <v>350000000</v>
          </cell>
          <cell r="H5280" t="str">
            <v>Faris</v>
          </cell>
          <cell r="I5280" t="str">
            <v>Syahra</v>
          </cell>
          <cell r="J5280"/>
          <cell r="K5280" t="str">
            <v>KU</v>
          </cell>
          <cell r="L5280" t="str">
            <v>MUJA01</v>
          </cell>
          <cell r="M5280" t="str">
            <v>Mujahidin Delapan, UD</v>
          </cell>
          <cell r="N5280" t="str">
            <v>Abdul Muntholib</v>
          </cell>
          <cell r="O5280" t="str">
            <v>Dambuntung, RT.004/RW.001, Kel. Kedungasri, Kec. Tegaldlimo</v>
          </cell>
          <cell r="P5280" t="str">
            <v>Banyuwangi</v>
          </cell>
          <cell r="Q5280" t="str">
            <v>Timur Pasar Dam Buntung Kedung Asri</v>
          </cell>
          <cell r="R5280" t="str">
            <v>Banyuwangi</v>
          </cell>
          <cell r="S5280" t="str">
            <v>H Bwi3</v>
          </cell>
          <cell r="T5280" t="str">
            <v>Hafid</v>
          </cell>
          <cell r="U5280">
            <v>30</v>
          </cell>
        </row>
        <row r="5281">
          <cell r="E5281">
            <v>250096</v>
          </cell>
          <cell r="F5281"/>
          <cell r="G5281">
            <v>350000000</v>
          </cell>
          <cell r="H5281" t="str">
            <v>Faris</v>
          </cell>
          <cell r="I5281" t="str">
            <v>Syahra</v>
          </cell>
          <cell r="J5281"/>
          <cell r="K5281" t="str">
            <v>KU</v>
          </cell>
          <cell r="L5281" t="str">
            <v>MUJA01</v>
          </cell>
          <cell r="M5281" t="str">
            <v>Mujahidin Delapan, UD</v>
          </cell>
          <cell r="N5281" t="str">
            <v>Abdul Muntholib</v>
          </cell>
          <cell r="O5281" t="str">
            <v>Dambuntung, RT.004/RW.001, Kel. Kedungasri, Kec. Tegaldlimo</v>
          </cell>
          <cell r="P5281" t="str">
            <v>Banyuwangi</v>
          </cell>
          <cell r="Q5281" t="str">
            <v>Timur Pasar Dam Buntung Kedung Asri</v>
          </cell>
          <cell r="R5281" t="str">
            <v>Banyuwangi</v>
          </cell>
          <cell r="S5281" t="str">
            <v>H Bwi3</v>
          </cell>
          <cell r="T5281" t="str">
            <v>Hafid</v>
          </cell>
          <cell r="U5281">
            <v>30</v>
          </cell>
        </row>
        <row r="5282">
          <cell r="E5282" t="str">
            <v>B25011500</v>
          </cell>
          <cell r="F5282"/>
          <cell r="G5282">
            <v>350000000</v>
          </cell>
          <cell r="H5282" t="str">
            <v>Faris</v>
          </cell>
          <cell r="I5282" t="str">
            <v>Syahra</v>
          </cell>
          <cell r="J5282"/>
          <cell r="K5282" t="str">
            <v>KU</v>
          </cell>
          <cell r="L5282" t="str">
            <v>MUJA01</v>
          </cell>
          <cell r="M5282" t="str">
            <v>Mujahidin Delapan, UD</v>
          </cell>
          <cell r="N5282" t="str">
            <v>Abdul Muntholib</v>
          </cell>
          <cell r="O5282" t="str">
            <v>Dambuntung, RT.004/RW.001, Kel. Kedungasri, Kec. Tegaldlimo</v>
          </cell>
          <cell r="P5282" t="str">
            <v>Banyuwangi</v>
          </cell>
          <cell r="Q5282" t="str">
            <v>Timur Pasar Dam Buntung Kedung Asri</v>
          </cell>
          <cell r="R5282" t="str">
            <v>Banyuwangi</v>
          </cell>
          <cell r="S5282" t="str">
            <v>H Bwi3</v>
          </cell>
          <cell r="T5282" t="str">
            <v>Hafid</v>
          </cell>
          <cell r="U5282">
            <v>30</v>
          </cell>
        </row>
        <row r="5283">
          <cell r="E5283" t="str">
            <v>B25011502</v>
          </cell>
          <cell r="F5283"/>
          <cell r="G5283">
            <v>350000000</v>
          </cell>
          <cell r="H5283" t="str">
            <v>Faris</v>
          </cell>
          <cell r="I5283" t="str">
            <v>Syahra</v>
          </cell>
          <cell r="J5283"/>
          <cell r="K5283" t="str">
            <v>KU</v>
          </cell>
          <cell r="L5283" t="str">
            <v>MUJA01</v>
          </cell>
          <cell r="M5283" t="str">
            <v>Mujahidin Delapan, UD</v>
          </cell>
          <cell r="N5283" t="str">
            <v>Abdul Muntholib</v>
          </cell>
          <cell r="O5283" t="str">
            <v>Dambuntung, RT.004/RW.001, Kel. Kedungasri, Kec. Tegaldlimo</v>
          </cell>
          <cell r="P5283" t="str">
            <v>Banyuwangi</v>
          </cell>
          <cell r="Q5283" t="str">
            <v>Timur Pasar Dam Buntung Kedung Asri</v>
          </cell>
          <cell r="R5283" t="str">
            <v>Banyuwangi</v>
          </cell>
          <cell r="S5283" t="str">
            <v>H Bwi3</v>
          </cell>
          <cell r="T5283" t="str">
            <v>Hafid</v>
          </cell>
          <cell r="U5283">
            <v>60</v>
          </cell>
        </row>
        <row r="5284">
          <cell r="E5284" t="str">
            <v>B25011640</v>
          </cell>
          <cell r="F5284"/>
          <cell r="G5284">
            <v>350000000</v>
          </cell>
          <cell r="H5284" t="str">
            <v>Faris</v>
          </cell>
          <cell r="I5284" t="str">
            <v>Syahra</v>
          </cell>
          <cell r="J5284"/>
          <cell r="K5284" t="str">
            <v>KU</v>
          </cell>
          <cell r="L5284" t="str">
            <v>MUJA01</v>
          </cell>
          <cell r="M5284" t="str">
            <v>Mujahidin Delapan, UD</v>
          </cell>
          <cell r="N5284" t="str">
            <v>Abdul Muntholib</v>
          </cell>
          <cell r="O5284" t="str">
            <v>Dambuntung, RT.004/RW.001, Kel. Kedungasri, Kec. Tegaldlimo</v>
          </cell>
          <cell r="P5284" t="str">
            <v>Banyuwangi</v>
          </cell>
          <cell r="Q5284" t="str">
            <v>Timur Pasar Dam Buntung Kedung Asri</v>
          </cell>
          <cell r="R5284" t="str">
            <v>Banyuwangi</v>
          </cell>
          <cell r="S5284" t="str">
            <v>H Bwi3</v>
          </cell>
          <cell r="T5284" t="str">
            <v>Hafid</v>
          </cell>
          <cell r="U5284">
            <v>30</v>
          </cell>
        </row>
        <row r="5285">
          <cell r="E5285" t="str">
            <v>B25011641</v>
          </cell>
          <cell r="F5285"/>
          <cell r="G5285">
            <v>350000000</v>
          </cell>
          <cell r="H5285" t="str">
            <v>Faris</v>
          </cell>
          <cell r="I5285" t="str">
            <v>Syahra</v>
          </cell>
          <cell r="J5285"/>
          <cell r="K5285" t="str">
            <v>KU</v>
          </cell>
          <cell r="L5285" t="str">
            <v>MUJA01</v>
          </cell>
          <cell r="M5285" t="str">
            <v>Mujahidin Delapan, UD</v>
          </cell>
          <cell r="N5285" t="str">
            <v>Abdul Muntholib</v>
          </cell>
          <cell r="O5285" t="str">
            <v>Dambuntung, RT.004/RW.001, Kel. Kedungasri, Kec. Tegaldlimo</v>
          </cell>
          <cell r="P5285" t="str">
            <v>Banyuwangi</v>
          </cell>
          <cell r="Q5285" t="str">
            <v>Timur Pasar Dam Buntung Kedung Asri</v>
          </cell>
          <cell r="R5285" t="str">
            <v>Banyuwangi</v>
          </cell>
          <cell r="S5285" t="str">
            <v>H Bwi3</v>
          </cell>
          <cell r="T5285" t="str">
            <v>Hafid</v>
          </cell>
          <cell r="U5285">
            <v>30</v>
          </cell>
        </row>
        <row r="5286">
          <cell r="E5286" t="str">
            <v>D25013883</v>
          </cell>
          <cell r="F5286"/>
          <cell r="G5286">
            <v>350000000</v>
          </cell>
          <cell r="H5286" t="str">
            <v>Faris</v>
          </cell>
          <cell r="I5286" t="str">
            <v>Syahra</v>
          </cell>
          <cell r="J5286"/>
          <cell r="K5286" t="str">
            <v>KU</v>
          </cell>
          <cell r="L5286" t="str">
            <v>MUJA01</v>
          </cell>
          <cell r="M5286" t="str">
            <v>Mujahidin Delapan, UD</v>
          </cell>
          <cell r="N5286" t="str">
            <v>Abdul Muntholib</v>
          </cell>
          <cell r="O5286" t="str">
            <v>Dambuntung, RT.004/RW.001, Kel. Kedungasri, Kec. Tegaldlimo</v>
          </cell>
          <cell r="P5286" t="str">
            <v>Banyuwangi</v>
          </cell>
          <cell r="Q5286" t="str">
            <v>Timur Pasar Dam Buntung Kedung Asri</v>
          </cell>
          <cell r="R5286" t="str">
            <v>Banyuwangi</v>
          </cell>
          <cell r="S5286" t="str">
            <v>H Bwi3</v>
          </cell>
          <cell r="T5286" t="str">
            <v>Hafid</v>
          </cell>
          <cell r="U5286">
            <v>30</v>
          </cell>
        </row>
        <row r="5287">
          <cell r="E5287" t="str">
            <v>B25011730</v>
          </cell>
          <cell r="F5287"/>
          <cell r="G5287">
            <v>350000000</v>
          </cell>
          <cell r="H5287" t="str">
            <v>Faris</v>
          </cell>
          <cell r="I5287" t="str">
            <v>Syahra</v>
          </cell>
          <cell r="J5287"/>
          <cell r="K5287" t="str">
            <v>KU</v>
          </cell>
          <cell r="L5287" t="str">
            <v>MUJA01</v>
          </cell>
          <cell r="M5287" t="str">
            <v>Mujahidin Delapan, UD</v>
          </cell>
          <cell r="N5287" t="str">
            <v>Abdul Muntholib</v>
          </cell>
          <cell r="O5287" t="str">
            <v>Dambuntung, RT.004/RW.001, Kel. Kedungasri, Kec. Tegaldlimo</v>
          </cell>
          <cell r="P5287" t="str">
            <v>Banyuwangi</v>
          </cell>
          <cell r="Q5287" t="str">
            <v>Timur Pasar Dam Buntung Kedung Asri</v>
          </cell>
          <cell r="R5287" t="str">
            <v>Banyuwangi</v>
          </cell>
          <cell r="S5287" t="str">
            <v>H Bwi3</v>
          </cell>
          <cell r="T5287" t="str">
            <v>Hafid</v>
          </cell>
          <cell r="U5287">
            <v>30</v>
          </cell>
        </row>
        <row r="5288">
          <cell r="E5288" t="str">
            <v>B25011991</v>
          </cell>
          <cell r="F5288"/>
          <cell r="G5288">
            <v>350000000</v>
          </cell>
          <cell r="H5288" t="str">
            <v>Faris</v>
          </cell>
          <cell r="I5288" t="str">
            <v>Syahra</v>
          </cell>
          <cell r="J5288"/>
          <cell r="K5288" t="str">
            <v>KU</v>
          </cell>
          <cell r="L5288" t="str">
            <v>MUJA01</v>
          </cell>
          <cell r="M5288" t="str">
            <v>Mujahidin Delapan, UD</v>
          </cell>
          <cell r="N5288" t="str">
            <v>Abdul Muntholib</v>
          </cell>
          <cell r="O5288" t="str">
            <v>Dambuntung, RT.004/RW.001, Kel. Kedungasri, Kec. Tegaldlimo</v>
          </cell>
          <cell r="P5288" t="str">
            <v>Banyuwangi</v>
          </cell>
          <cell r="Q5288" t="str">
            <v>Timur Pasar Dam Buntung Kedung Asri</v>
          </cell>
          <cell r="R5288" t="str">
            <v>Banyuwangi</v>
          </cell>
          <cell r="S5288" t="str">
            <v>H Bwi3</v>
          </cell>
          <cell r="T5288" t="str">
            <v>Hafid</v>
          </cell>
          <cell r="U5288">
            <v>60</v>
          </cell>
        </row>
        <row r="5289">
          <cell r="E5289" t="str">
            <v>B25011992</v>
          </cell>
          <cell r="F5289"/>
          <cell r="G5289">
            <v>350000000</v>
          </cell>
          <cell r="H5289" t="str">
            <v>Faris</v>
          </cell>
          <cell r="I5289" t="str">
            <v>Syahra</v>
          </cell>
          <cell r="J5289"/>
          <cell r="K5289" t="str">
            <v>KU</v>
          </cell>
          <cell r="L5289" t="str">
            <v>MUJA01</v>
          </cell>
          <cell r="M5289" t="str">
            <v>Mujahidin Delapan, UD</v>
          </cell>
          <cell r="N5289" t="str">
            <v>Abdul Muntholib</v>
          </cell>
          <cell r="O5289" t="str">
            <v>Dambuntung, RT.004/RW.001, Kel. Kedungasri, Kec. Tegaldlimo</v>
          </cell>
          <cell r="P5289" t="str">
            <v>Banyuwangi</v>
          </cell>
          <cell r="Q5289" t="str">
            <v>Timur Pasar Dam Buntung Kedung Asri</v>
          </cell>
          <cell r="R5289" t="str">
            <v>Banyuwangi</v>
          </cell>
          <cell r="S5289" t="str">
            <v>H Bwi3</v>
          </cell>
          <cell r="T5289" t="str">
            <v>Hafid</v>
          </cell>
          <cell r="U5289">
            <v>30</v>
          </cell>
        </row>
        <row r="5290">
          <cell r="E5290" t="str">
            <v>B25011993</v>
          </cell>
          <cell r="F5290"/>
          <cell r="G5290">
            <v>350000000</v>
          </cell>
          <cell r="H5290" t="str">
            <v>Faris</v>
          </cell>
          <cell r="I5290" t="str">
            <v>Syahra</v>
          </cell>
          <cell r="J5290"/>
          <cell r="K5290" t="str">
            <v>KU</v>
          </cell>
          <cell r="L5290" t="str">
            <v>MUJA01</v>
          </cell>
          <cell r="M5290" t="str">
            <v>Mujahidin Delapan, UD</v>
          </cell>
          <cell r="N5290" t="str">
            <v>Abdul Muntholib</v>
          </cell>
          <cell r="O5290" t="str">
            <v>Dambuntung, RT.004/RW.001, Kel. Kedungasri, Kec. Tegaldlimo</v>
          </cell>
          <cell r="P5290" t="str">
            <v>Banyuwangi</v>
          </cell>
          <cell r="Q5290" t="str">
            <v>Timur Pasar Dam Buntung Kedung Asri</v>
          </cell>
          <cell r="R5290" t="str">
            <v>Banyuwangi</v>
          </cell>
          <cell r="S5290" t="str">
            <v>H Bwi3</v>
          </cell>
          <cell r="T5290" t="str">
            <v>Hafid</v>
          </cell>
          <cell r="U5290">
            <v>30</v>
          </cell>
        </row>
        <row r="5291">
          <cell r="E5291" t="str">
            <v>B25011994</v>
          </cell>
          <cell r="F5291"/>
          <cell r="G5291">
            <v>350000000</v>
          </cell>
          <cell r="H5291" t="str">
            <v>Faris</v>
          </cell>
          <cell r="I5291" t="str">
            <v>Syahra</v>
          </cell>
          <cell r="J5291"/>
          <cell r="K5291" t="str">
            <v>KU</v>
          </cell>
          <cell r="L5291" t="str">
            <v>MUJA01</v>
          </cell>
          <cell r="M5291" t="str">
            <v>Mujahidin Delapan, UD</v>
          </cell>
          <cell r="N5291" t="str">
            <v>Abdul Muntholib</v>
          </cell>
          <cell r="O5291" t="str">
            <v>Dambuntung, RT.004/RW.001, Kel. Kedungasri, Kec. Tegaldlimo</v>
          </cell>
          <cell r="P5291" t="str">
            <v>Banyuwangi</v>
          </cell>
          <cell r="Q5291" t="str">
            <v>Timur Pasar Dam Buntung Kedung Asri</v>
          </cell>
          <cell r="R5291" t="str">
            <v>Banyuwangi</v>
          </cell>
          <cell r="S5291" t="str">
            <v>H Bwi3</v>
          </cell>
          <cell r="T5291" t="str">
            <v>Hafid</v>
          </cell>
          <cell r="U5291">
            <v>30</v>
          </cell>
        </row>
        <row r="5292">
          <cell r="E5292" t="str">
            <v>B25012404</v>
          </cell>
          <cell r="F5292"/>
          <cell r="G5292">
            <v>350000000</v>
          </cell>
          <cell r="H5292" t="str">
            <v>Faris</v>
          </cell>
          <cell r="I5292" t="str">
            <v>Syahra</v>
          </cell>
          <cell r="J5292"/>
          <cell r="K5292" t="str">
            <v>KU</v>
          </cell>
          <cell r="L5292" t="str">
            <v>MUJA01</v>
          </cell>
          <cell r="M5292" t="str">
            <v>Mujahidin Delapan, UD</v>
          </cell>
          <cell r="N5292" t="str">
            <v>Abdul Muntholib</v>
          </cell>
          <cell r="O5292" t="str">
            <v>Dambuntung, RT.004/RW.001, Kel. Kedungasri, Kec. Tegaldlimo</v>
          </cell>
          <cell r="P5292" t="str">
            <v>Banyuwangi</v>
          </cell>
          <cell r="Q5292" t="str">
            <v>Timur Pasar Dam Buntung Kedung Asri</v>
          </cell>
          <cell r="R5292" t="str">
            <v>Banyuwangi</v>
          </cell>
          <cell r="S5292" t="str">
            <v>H Bwi3</v>
          </cell>
          <cell r="T5292" t="str">
            <v>Hafid</v>
          </cell>
          <cell r="U5292">
            <v>0</v>
          </cell>
        </row>
        <row r="5293">
          <cell r="E5293" t="str">
            <v>B25012405</v>
          </cell>
          <cell r="F5293"/>
          <cell r="G5293">
            <v>350000000</v>
          </cell>
          <cell r="H5293" t="str">
            <v>Faris</v>
          </cell>
          <cell r="I5293" t="str">
            <v>Syahra</v>
          </cell>
          <cell r="J5293"/>
          <cell r="K5293" t="str">
            <v>KU</v>
          </cell>
          <cell r="L5293" t="str">
            <v>MUJA01</v>
          </cell>
          <cell r="M5293" t="str">
            <v>Mujahidin Delapan, UD</v>
          </cell>
          <cell r="N5293" t="str">
            <v>Abdul Muntholib</v>
          </cell>
          <cell r="O5293" t="str">
            <v>Dambuntung, RT.004/RW.001, Kel. Kedungasri, Kec. Tegaldlimo</v>
          </cell>
          <cell r="P5293" t="str">
            <v>Banyuwangi</v>
          </cell>
          <cell r="Q5293" t="str">
            <v>Timur Pasar Dam Buntung Kedung Asri</v>
          </cell>
          <cell r="R5293" t="str">
            <v>Banyuwangi</v>
          </cell>
          <cell r="S5293" t="str">
            <v>H Bwi3</v>
          </cell>
          <cell r="T5293" t="str">
            <v>Hafid</v>
          </cell>
          <cell r="U5293">
            <v>60</v>
          </cell>
        </row>
        <row r="5294">
          <cell r="E5294" t="str">
            <v>B25012828</v>
          </cell>
          <cell r="F5294"/>
          <cell r="G5294">
            <v>350000000</v>
          </cell>
          <cell r="H5294" t="str">
            <v>Faris</v>
          </cell>
          <cell r="I5294" t="str">
            <v>Syahra</v>
          </cell>
          <cell r="J5294"/>
          <cell r="K5294" t="str">
            <v>KU</v>
          </cell>
          <cell r="L5294" t="str">
            <v>MUJA01</v>
          </cell>
          <cell r="M5294" t="str">
            <v>Mujahidin Delapan, UD</v>
          </cell>
          <cell r="N5294" t="str">
            <v>Abdul Muntholib</v>
          </cell>
          <cell r="O5294" t="str">
            <v>Dambuntung, RT.004/RW.001, Kel. Kedungasri, Kec. Tegaldlimo</v>
          </cell>
          <cell r="P5294" t="str">
            <v>Banyuwangi</v>
          </cell>
          <cell r="Q5294" t="str">
            <v>Timur Pasar Dam Buntung Kedung Asri</v>
          </cell>
          <cell r="R5294" t="str">
            <v>Banyuwangi</v>
          </cell>
          <cell r="S5294" t="str">
            <v>H Bwi3</v>
          </cell>
          <cell r="T5294" t="str">
            <v>Hafid</v>
          </cell>
          <cell r="U5294">
            <v>30</v>
          </cell>
        </row>
        <row r="5295">
          <cell r="E5295" t="str">
            <v>B25013019</v>
          </cell>
          <cell r="F5295"/>
          <cell r="G5295">
            <v>350000000</v>
          </cell>
          <cell r="H5295" t="str">
            <v>Faris</v>
          </cell>
          <cell r="I5295" t="str">
            <v>Syahra</v>
          </cell>
          <cell r="J5295"/>
          <cell r="K5295" t="str">
            <v>KU</v>
          </cell>
          <cell r="L5295" t="str">
            <v>MUJA01</v>
          </cell>
          <cell r="M5295" t="str">
            <v>Mujahidin Delapan, UD</v>
          </cell>
          <cell r="N5295" t="str">
            <v>Abdul Muntholib</v>
          </cell>
          <cell r="O5295" t="str">
            <v>Dambuntung, RT.004/RW.001, Kel. Kedungasri, Kec. Tegaldlimo</v>
          </cell>
          <cell r="P5295" t="str">
            <v>Banyuwangi</v>
          </cell>
          <cell r="Q5295" t="str">
            <v>Timur Pasar Dam Buntung Kedung Asri</v>
          </cell>
          <cell r="R5295" t="str">
            <v>Banyuwangi</v>
          </cell>
          <cell r="S5295" t="str">
            <v>H Bwi3</v>
          </cell>
          <cell r="T5295" t="str">
            <v>Hafid</v>
          </cell>
          <cell r="U5295">
            <v>30</v>
          </cell>
        </row>
        <row r="5296">
          <cell r="E5296" t="str">
            <v>B25013094</v>
          </cell>
          <cell r="F5296"/>
          <cell r="G5296">
            <v>350000000</v>
          </cell>
          <cell r="H5296" t="str">
            <v>Faris</v>
          </cell>
          <cell r="I5296" t="str">
            <v>Syahra</v>
          </cell>
          <cell r="J5296"/>
          <cell r="K5296" t="str">
            <v>KU</v>
          </cell>
          <cell r="L5296" t="str">
            <v>MUJA01</v>
          </cell>
          <cell r="M5296" t="str">
            <v>Mujahidin Delapan, UD</v>
          </cell>
          <cell r="N5296" t="str">
            <v>Abdul Muntholib</v>
          </cell>
          <cell r="O5296" t="str">
            <v>Dambuntung, RT.004/RW.001, Kel. Kedungasri, Kec. Tegaldlimo</v>
          </cell>
          <cell r="P5296" t="str">
            <v>Banyuwangi</v>
          </cell>
          <cell r="Q5296" t="str">
            <v>Timur Pasar Dam Buntung Kedung Asri</v>
          </cell>
          <cell r="R5296" t="str">
            <v>Banyuwangi</v>
          </cell>
          <cell r="S5296" t="str">
            <v>H Bwi3</v>
          </cell>
          <cell r="T5296" t="str">
            <v>Hafid</v>
          </cell>
          <cell r="U5296">
            <v>30</v>
          </cell>
        </row>
        <row r="5297">
          <cell r="E5297" t="str">
            <v>B25013095</v>
          </cell>
          <cell r="F5297"/>
          <cell r="G5297">
            <v>350000000</v>
          </cell>
          <cell r="H5297" t="str">
            <v>Faris</v>
          </cell>
          <cell r="I5297" t="str">
            <v>Syahra</v>
          </cell>
          <cell r="J5297"/>
          <cell r="K5297" t="str">
            <v>KU</v>
          </cell>
          <cell r="L5297" t="str">
            <v>MUJA01</v>
          </cell>
          <cell r="M5297" t="str">
            <v>Mujahidin Delapan, UD</v>
          </cell>
          <cell r="N5297" t="str">
            <v>Abdul Muntholib</v>
          </cell>
          <cell r="O5297" t="str">
            <v>Dambuntung, RT.004/RW.001, Kel. Kedungasri, Kec. Tegaldlimo</v>
          </cell>
          <cell r="P5297" t="str">
            <v>Banyuwangi</v>
          </cell>
          <cell r="Q5297" t="str">
            <v>Timur Pasar Dam Buntung Kedung Asri</v>
          </cell>
          <cell r="R5297" t="str">
            <v>Banyuwangi</v>
          </cell>
          <cell r="S5297" t="str">
            <v>H Bwi3</v>
          </cell>
          <cell r="T5297" t="str">
            <v>Hafid</v>
          </cell>
          <cell r="U5297">
            <v>30</v>
          </cell>
        </row>
        <row r="5298">
          <cell r="E5298" t="str">
            <v>B25013264</v>
          </cell>
          <cell r="F5298"/>
          <cell r="G5298">
            <v>350000000</v>
          </cell>
          <cell r="H5298" t="str">
            <v>Faris</v>
          </cell>
          <cell r="I5298" t="str">
            <v>Syahra</v>
          </cell>
          <cell r="J5298"/>
          <cell r="K5298" t="str">
            <v>KU</v>
          </cell>
          <cell r="L5298" t="str">
            <v>MUJA01</v>
          </cell>
          <cell r="M5298" t="str">
            <v>Mujahidin Delapan, UD</v>
          </cell>
          <cell r="N5298" t="str">
            <v>Abdul Muntholib</v>
          </cell>
          <cell r="O5298" t="str">
            <v>Dambuntung, RT.004/RW.001, Kel. Kedungasri, Kec. Tegaldlimo</v>
          </cell>
          <cell r="P5298" t="str">
            <v>Banyuwangi</v>
          </cell>
          <cell r="Q5298" t="str">
            <v>Timur Pasar Dam Buntung Kedung Asri</v>
          </cell>
          <cell r="R5298" t="str">
            <v>Banyuwangi</v>
          </cell>
          <cell r="S5298" t="str">
            <v>H Bwi3</v>
          </cell>
          <cell r="T5298" t="str">
            <v>Hafid</v>
          </cell>
          <cell r="U5298">
            <v>30</v>
          </cell>
        </row>
        <row r="5299">
          <cell r="E5299" t="str">
            <v>B25013425</v>
          </cell>
          <cell r="F5299"/>
          <cell r="G5299">
            <v>350000000</v>
          </cell>
          <cell r="H5299" t="str">
            <v>Faris</v>
          </cell>
          <cell r="I5299" t="str">
            <v>Syahra</v>
          </cell>
          <cell r="J5299"/>
          <cell r="K5299" t="str">
            <v>KU</v>
          </cell>
          <cell r="L5299" t="str">
            <v>MUJA01</v>
          </cell>
          <cell r="M5299" t="str">
            <v>Mujahidin Delapan, UD</v>
          </cell>
          <cell r="N5299" t="str">
            <v>Abdul Muntholib</v>
          </cell>
          <cell r="O5299" t="str">
            <v>Dambuntung, RT.004/RW.001, Kel. Kedungasri, Kec. Tegaldlimo</v>
          </cell>
          <cell r="P5299" t="str">
            <v>Banyuwangi</v>
          </cell>
          <cell r="Q5299" t="str">
            <v>Timur Pasar Dam Buntung Kedung Asri</v>
          </cell>
          <cell r="R5299" t="str">
            <v>Banyuwangi</v>
          </cell>
          <cell r="S5299" t="str">
            <v>H Bwi3</v>
          </cell>
          <cell r="T5299" t="str">
            <v>Hafid</v>
          </cell>
          <cell r="U5299">
            <v>30</v>
          </cell>
        </row>
        <row r="5300">
          <cell r="E5300" t="str">
            <v>B25013428</v>
          </cell>
          <cell r="F5300"/>
          <cell r="G5300">
            <v>350000000</v>
          </cell>
          <cell r="H5300" t="str">
            <v>Faris</v>
          </cell>
          <cell r="I5300" t="str">
            <v>Syahra</v>
          </cell>
          <cell r="J5300"/>
          <cell r="K5300" t="str">
            <v>KU</v>
          </cell>
          <cell r="L5300" t="str">
            <v>MUJA01</v>
          </cell>
          <cell r="M5300" t="str">
            <v>Mujahidin Delapan, UD</v>
          </cell>
          <cell r="N5300" t="str">
            <v>Abdul Muntholib</v>
          </cell>
          <cell r="O5300" t="str">
            <v>Dambuntung, RT.004/RW.001, Kel. Kedungasri, Kec. Tegaldlimo</v>
          </cell>
          <cell r="P5300" t="str">
            <v>Banyuwangi</v>
          </cell>
          <cell r="Q5300" t="str">
            <v>Timur Pasar Dam Buntung Kedung Asri</v>
          </cell>
          <cell r="R5300" t="str">
            <v>Banyuwangi</v>
          </cell>
          <cell r="S5300" t="str">
            <v>H Bwi3</v>
          </cell>
          <cell r="T5300" t="str">
            <v>Hafid</v>
          </cell>
          <cell r="U5300">
            <v>30</v>
          </cell>
        </row>
        <row r="5301">
          <cell r="E5301" t="str">
            <v>D25015673</v>
          </cell>
          <cell r="F5301"/>
          <cell r="G5301">
            <v>350000000</v>
          </cell>
          <cell r="H5301" t="str">
            <v>Faris</v>
          </cell>
          <cell r="I5301" t="str">
            <v>Syahra</v>
          </cell>
          <cell r="J5301"/>
          <cell r="K5301" t="str">
            <v>KU</v>
          </cell>
          <cell r="L5301" t="str">
            <v>MUJA01</v>
          </cell>
          <cell r="M5301" t="str">
            <v>Mujahidin Delapan, UD</v>
          </cell>
          <cell r="N5301" t="str">
            <v>Abdul Muntholib</v>
          </cell>
          <cell r="O5301" t="str">
            <v>Dambuntung, RT.004/RW.001, Kel. Kedungasri, Kec. Tegaldlimo</v>
          </cell>
          <cell r="P5301" t="str">
            <v>Banyuwangi</v>
          </cell>
          <cell r="Q5301" t="str">
            <v>Timur Pasar Dam Buntung Kedung Asri</v>
          </cell>
          <cell r="R5301" t="str">
            <v>Banyuwangi</v>
          </cell>
          <cell r="S5301" t="str">
            <v>H Bwi3</v>
          </cell>
          <cell r="T5301" t="str">
            <v>Hafid</v>
          </cell>
          <cell r="U5301">
            <v>0</v>
          </cell>
        </row>
        <row r="5302">
          <cell r="E5302" t="str">
            <v>B25013454</v>
          </cell>
          <cell r="F5302"/>
          <cell r="G5302">
            <v>350000000</v>
          </cell>
          <cell r="H5302" t="str">
            <v>Faris</v>
          </cell>
          <cell r="I5302" t="str">
            <v>Syahra</v>
          </cell>
          <cell r="J5302"/>
          <cell r="K5302" t="str">
            <v>KU</v>
          </cell>
          <cell r="L5302" t="str">
            <v>MUJA01</v>
          </cell>
          <cell r="M5302" t="str">
            <v>Mujahidin Delapan, UD</v>
          </cell>
          <cell r="N5302" t="str">
            <v>Abdul Muntholib</v>
          </cell>
          <cell r="O5302" t="str">
            <v>Dambuntung, RT.004/RW.001, Kel. Kedungasri, Kec. Tegaldlimo</v>
          </cell>
          <cell r="P5302" t="str">
            <v>Banyuwangi</v>
          </cell>
          <cell r="Q5302" t="str">
            <v>Timur Pasar Dam Buntung Kedung Asri</v>
          </cell>
          <cell r="R5302" t="str">
            <v>Banyuwangi</v>
          </cell>
          <cell r="S5302" t="str">
            <v>H Bwi3</v>
          </cell>
          <cell r="T5302" t="str">
            <v>Hafid</v>
          </cell>
          <cell r="U5302">
            <v>30</v>
          </cell>
        </row>
        <row r="5303">
          <cell r="E5303" t="str">
            <v>D25015709</v>
          </cell>
          <cell r="F5303"/>
          <cell r="G5303">
            <v>350000000</v>
          </cell>
          <cell r="H5303" t="str">
            <v>Faris</v>
          </cell>
          <cell r="I5303" t="str">
            <v>Syahra</v>
          </cell>
          <cell r="J5303"/>
          <cell r="K5303" t="str">
            <v>KU</v>
          </cell>
          <cell r="L5303" t="str">
            <v>MUJA01</v>
          </cell>
          <cell r="M5303" t="str">
            <v>Mujahidin Delapan, UD</v>
          </cell>
          <cell r="N5303" t="str">
            <v>Abdul Muntholib</v>
          </cell>
          <cell r="O5303" t="str">
            <v>Dambuntung, RT.004/RW.001, Kel. Kedungasri, Kec. Tegaldlimo</v>
          </cell>
          <cell r="P5303" t="str">
            <v>Banyuwangi</v>
          </cell>
          <cell r="Q5303" t="str">
            <v>Timur Pasar Dam Buntung Kedung Asri</v>
          </cell>
          <cell r="R5303" t="str">
            <v>Banyuwangi</v>
          </cell>
          <cell r="S5303" t="str">
            <v>H Bwi3</v>
          </cell>
          <cell r="T5303" t="str">
            <v>Hafid</v>
          </cell>
          <cell r="U5303">
            <v>60</v>
          </cell>
        </row>
        <row r="5304">
          <cell r="E5304" t="str">
            <v>B25013874</v>
          </cell>
          <cell r="F5304"/>
          <cell r="G5304">
            <v>350000000</v>
          </cell>
          <cell r="H5304" t="str">
            <v>Faris</v>
          </cell>
          <cell r="I5304" t="str">
            <v>Syahra</v>
          </cell>
          <cell r="J5304"/>
          <cell r="K5304" t="str">
            <v>KU</v>
          </cell>
          <cell r="L5304" t="str">
            <v>MUJA01</v>
          </cell>
          <cell r="M5304" t="str">
            <v>Mujahidin Delapan, UD</v>
          </cell>
          <cell r="N5304" t="str">
            <v>Abdul Muntholib</v>
          </cell>
          <cell r="O5304" t="str">
            <v>Dambuntung, RT.004/RW.001, Kel. Kedungasri, Kec. Tegaldlimo</v>
          </cell>
          <cell r="P5304" t="str">
            <v>Banyuwangi</v>
          </cell>
          <cell r="Q5304" t="str">
            <v>Timur Pasar Dam Buntung Kedung Asri</v>
          </cell>
          <cell r="R5304" t="str">
            <v>Banyuwangi</v>
          </cell>
          <cell r="S5304" t="str">
            <v>H Bwi3</v>
          </cell>
          <cell r="T5304" t="str">
            <v>Hafid</v>
          </cell>
          <cell r="U5304">
            <v>30</v>
          </cell>
        </row>
        <row r="5305">
          <cell r="E5305" t="str">
            <v>D25016195</v>
          </cell>
          <cell r="F5305"/>
          <cell r="G5305">
            <v>350000000</v>
          </cell>
          <cell r="H5305" t="str">
            <v>Faris</v>
          </cell>
          <cell r="I5305" t="str">
            <v>Syahra</v>
          </cell>
          <cell r="J5305"/>
          <cell r="K5305" t="str">
            <v>KU</v>
          </cell>
          <cell r="L5305" t="str">
            <v>MUJA01</v>
          </cell>
          <cell r="M5305" t="str">
            <v>Mujahidin Delapan, UD</v>
          </cell>
          <cell r="N5305" t="str">
            <v>Abdul Muntholib</v>
          </cell>
          <cell r="O5305" t="str">
            <v>Dambuntung, RT.004/RW.001, Kel. Kedungasri, Kec. Tegaldlimo</v>
          </cell>
          <cell r="P5305" t="str">
            <v>Banyuwangi</v>
          </cell>
          <cell r="Q5305" t="str">
            <v>Timur Pasar Dam Buntung Kedung Asri</v>
          </cell>
          <cell r="R5305" t="str">
            <v>Banyuwangi</v>
          </cell>
          <cell r="S5305" t="str">
            <v>H Bwi3</v>
          </cell>
          <cell r="T5305" t="str">
            <v>Hafid</v>
          </cell>
          <cell r="U5305">
            <v>30</v>
          </cell>
        </row>
        <row r="5306">
          <cell r="E5306" t="str">
            <v>B25011708</v>
          </cell>
          <cell r="F5306"/>
          <cell r="G5306">
            <v>30000000</v>
          </cell>
          <cell r="H5306" t="str">
            <v>Zakia</v>
          </cell>
          <cell r="I5306" t="str">
            <v>Tiya</v>
          </cell>
          <cell r="J5306" t="str">
            <v>New 10/12/21</v>
          </cell>
          <cell r="K5306" t="str">
            <v>KU</v>
          </cell>
          <cell r="L5306" t="str">
            <v>MUJU01</v>
          </cell>
          <cell r="M5306" t="str">
            <v>Mujur Jaya Agro</v>
          </cell>
          <cell r="N5306" t="str">
            <v>Sumawanto Edi Nugroho</v>
          </cell>
          <cell r="O5306" t="str">
            <v>Jl. Irawan No.15 RT.002/RW.016 Kel. Gedangsewu, Kec. Pare</v>
          </cell>
          <cell r="P5306" t="str">
            <v>Kediri</v>
          </cell>
          <cell r="Q5306" t="str">
            <v>Parerejo, Gedangsewu Pare</v>
          </cell>
          <cell r="R5306" t="str">
            <v>Kediri</v>
          </cell>
          <cell r="S5306" t="str">
            <v>D Barat1</v>
          </cell>
          <cell r="T5306" t="str">
            <v>Tomi</v>
          </cell>
          <cell r="U5306">
            <v>30</v>
          </cell>
        </row>
        <row r="5307">
          <cell r="E5307" t="str">
            <v>D25015135</v>
          </cell>
          <cell r="F5307"/>
          <cell r="G5307">
            <v>30000000</v>
          </cell>
          <cell r="H5307" t="str">
            <v>Zakia</v>
          </cell>
          <cell r="I5307" t="str">
            <v>Tiya</v>
          </cell>
          <cell r="J5307" t="str">
            <v>New 10/12/21</v>
          </cell>
          <cell r="K5307" t="str">
            <v>KU</v>
          </cell>
          <cell r="L5307" t="str">
            <v>MUJU01</v>
          </cell>
          <cell r="M5307" t="str">
            <v>Mujur Jaya Agro</v>
          </cell>
          <cell r="N5307" t="str">
            <v>Sumawanto Edi Nugroho</v>
          </cell>
          <cell r="O5307" t="str">
            <v>Jl. Irawan No.15 RT.002/RW.016 Kel. Gedangsewu, Kec. Pare</v>
          </cell>
          <cell r="P5307" t="str">
            <v>Kediri</v>
          </cell>
          <cell r="Q5307" t="str">
            <v>Parerejo, Gedangsewu Pare</v>
          </cell>
          <cell r="R5307" t="str">
            <v>Kediri</v>
          </cell>
          <cell r="S5307" t="str">
            <v>D Barat1</v>
          </cell>
          <cell r="T5307" t="str">
            <v>Tomi</v>
          </cell>
          <cell r="U5307">
            <v>30</v>
          </cell>
        </row>
        <row r="5308">
          <cell r="E5308" t="str">
            <v>D25015153</v>
          </cell>
          <cell r="F5308"/>
          <cell r="G5308">
            <v>30000000</v>
          </cell>
          <cell r="H5308" t="str">
            <v>Zakia</v>
          </cell>
          <cell r="I5308" t="str">
            <v>Tiya</v>
          </cell>
          <cell r="J5308" t="str">
            <v>New 10/12/21</v>
          </cell>
          <cell r="K5308" t="str">
            <v>KU</v>
          </cell>
          <cell r="L5308" t="str">
            <v>MUJU01</v>
          </cell>
          <cell r="M5308" t="str">
            <v>Mujur Jaya Agro</v>
          </cell>
          <cell r="N5308" t="str">
            <v>Sumawanto Edi Nugroho</v>
          </cell>
          <cell r="O5308" t="str">
            <v>Jl. Irawan No.15 RT.002/RW.016 Kel. Gedangsewu, Kec. Pare</v>
          </cell>
          <cell r="P5308" t="str">
            <v>Kediri</v>
          </cell>
          <cell r="Q5308" t="str">
            <v>Parerejo, Gedangsewu Pare</v>
          </cell>
          <cell r="R5308" t="str">
            <v>Kediri</v>
          </cell>
          <cell r="S5308" t="str">
            <v>D Barat1</v>
          </cell>
          <cell r="T5308" t="str">
            <v>Tomi</v>
          </cell>
          <cell r="U5308">
            <v>30</v>
          </cell>
        </row>
        <row r="5309">
          <cell r="E5309" t="str">
            <v>D25011957</v>
          </cell>
          <cell r="F5309"/>
          <cell r="G5309">
            <v>800000000</v>
          </cell>
          <cell r="H5309" t="str">
            <v>Hendra</v>
          </cell>
          <cell r="I5309" t="str">
            <v>Tiya</v>
          </cell>
          <cell r="J5309"/>
          <cell r="K5309" t="str">
            <v>KU</v>
          </cell>
          <cell r="L5309" t="str">
            <v>MULI02</v>
          </cell>
          <cell r="M5309" t="str">
            <v>Mulia Jaya/Sugianto</v>
          </cell>
          <cell r="N5309" t="str">
            <v>Berkah Utama, CV</v>
          </cell>
          <cell r="O5309" t="str">
            <v>Jl. Soekarno Hatta No. RT.012/RW.004 Kel. Paruga, Kec. Rasanae Barat</v>
          </cell>
          <cell r="P5309" t="str">
            <v>Bima - NTB</v>
          </cell>
          <cell r="Q5309" t="str">
            <v>Jl. Hasanudin No. 5 Kampung Barat RT. 12/4</v>
          </cell>
          <cell r="R5309" t="str">
            <v>Bima</v>
          </cell>
          <cell r="S5309" t="str">
            <v>E Luar Pulau2</v>
          </cell>
          <cell r="T5309" t="str">
            <v>Muhlisin</v>
          </cell>
          <cell r="U5309">
            <v>45</v>
          </cell>
        </row>
        <row r="5310">
          <cell r="E5310" t="str">
            <v>D25014646</v>
          </cell>
          <cell r="F5310"/>
          <cell r="G5310">
            <v>800000000</v>
          </cell>
          <cell r="H5310" t="str">
            <v>Hendra</v>
          </cell>
          <cell r="I5310" t="str">
            <v>Tiya</v>
          </cell>
          <cell r="J5310"/>
          <cell r="K5310" t="str">
            <v>KU</v>
          </cell>
          <cell r="L5310" t="str">
            <v>MULI02</v>
          </cell>
          <cell r="M5310" t="str">
            <v>Mulia Jaya/Sugianto</v>
          </cell>
          <cell r="N5310" t="str">
            <v>Berkah Utama, CV</v>
          </cell>
          <cell r="O5310" t="str">
            <v>Jl. Soekarno Hatta No. RT.012/RW.004 Kel. Paruga, Kec. Rasanae Barat</v>
          </cell>
          <cell r="P5310" t="str">
            <v>Bima - NTB</v>
          </cell>
          <cell r="Q5310" t="str">
            <v>Jl. Hasanudin No. 5 Kampung Barat RT. 12/4</v>
          </cell>
          <cell r="R5310" t="str">
            <v>Bima</v>
          </cell>
          <cell r="S5310" t="str">
            <v>E Luar Pulau2</v>
          </cell>
          <cell r="T5310" t="str">
            <v>Muhlisin</v>
          </cell>
          <cell r="U5310">
            <v>15</v>
          </cell>
        </row>
        <row r="5311">
          <cell r="E5311" t="str">
            <v>D25013254</v>
          </cell>
          <cell r="F5311"/>
          <cell r="G5311">
            <v>500000000</v>
          </cell>
          <cell r="H5311" t="str">
            <v>Zakia</v>
          </cell>
          <cell r="I5311" t="str">
            <v>Tiya</v>
          </cell>
          <cell r="J5311"/>
          <cell r="K5311" t="str">
            <v>KU</v>
          </cell>
          <cell r="L5311" t="str">
            <v>MULU01</v>
          </cell>
          <cell r="M5311" t="str">
            <v>Mulur, UD</v>
          </cell>
          <cell r="N5311" t="str">
            <v>Mulur Agropreneur, CV</v>
          </cell>
          <cell r="O5311" t="str">
            <v>Jl. Pehkulon 107, RT.003/RW.001 Pehkulon, Papar, Kab. Kediri</v>
          </cell>
          <cell r="P5311" t="str">
            <v>Kediri</v>
          </cell>
          <cell r="Q5311" t="str">
            <v>Jl. Pehkulon 107, RT.003/RW.001 Pehkulon, Papar, Kab. Kediri</v>
          </cell>
          <cell r="R5311" t="str">
            <v>Kediri</v>
          </cell>
          <cell r="S5311" t="str">
            <v>D Barat2</v>
          </cell>
          <cell r="T5311" t="str">
            <v>Tomi</v>
          </cell>
          <cell r="U5311">
            <v>30</v>
          </cell>
        </row>
        <row r="5312">
          <cell r="E5312" t="str">
            <v>D25013335</v>
          </cell>
          <cell r="F5312"/>
          <cell r="G5312">
            <v>500000000</v>
          </cell>
          <cell r="H5312" t="str">
            <v>Zakia</v>
          </cell>
          <cell r="I5312" t="str">
            <v>Tiya</v>
          </cell>
          <cell r="J5312"/>
          <cell r="K5312" t="str">
            <v>KU</v>
          </cell>
          <cell r="L5312" t="str">
            <v>MULU01</v>
          </cell>
          <cell r="M5312" t="str">
            <v>Mulur, UD</v>
          </cell>
          <cell r="N5312" t="str">
            <v>Mulur Agropreneur, CV</v>
          </cell>
          <cell r="O5312" t="str">
            <v>Jl. Pehkulon 107, RT.003/RW.001 Pehkulon, Papar, Kab. Kediri</v>
          </cell>
          <cell r="P5312" t="str">
            <v>Kediri</v>
          </cell>
          <cell r="Q5312" t="str">
            <v>Jl. Pehkulon 107, RT.003/RW.001 Pehkulon, Papar, Kab. Kediri</v>
          </cell>
          <cell r="R5312" t="str">
            <v>Kediri</v>
          </cell>
          <cell r="S5312" t="str">
            <v>D Barat2</v>
          </cell>
          <cell r="T5312" t="str">
            <v>Tomi</v>
          </cell>
          <cell r="U5312">
            <v>30</v>
          </cell>
        </row>
        <row r="5313">
          <cell r="E5313" t="str">
            <v>D25013336</v>
          </cell>
          <cell r="F5313"/>
          <cell r="G5313">
            <v>500000000</v>
          </cell>
          <cell r="H5313" t="str">
            <v>Zakia</v>
          </cell>
          <cell r="I5313" t="str">
            <v>Tiya</v>
          </cell>
          <cell r="J5313"/>
          <cell r="K5313" t="str">
            <v>KU</v>
          </cell>
          <cell r="L5313" t="str">
            <v>MULU01</v>
          </cell>
          <cell r="M5313" t="str">
            <v>Mulur, UD</v>
          </cell>
          <cell r="N5313" t="str">
            <v>Mulur Agropreneur, CV</v>
          </cell>
          <cell r="O5313" t="str">
            <v>Jl. Pehkulon 107, RT.003/RW.001 Pehkulon, Papar, Kab. Kediri</v>
          </cell>
          <cell r="P5313" t="str">
            <v>Kediri</v>
          </cell>
          <cell r="Q5313" t="str">
            <v>Jl. Pehkulon 107, RT.003/RW.001 Pehkulon, Papar, Kab. Kediri</v>
          </cell>
          <cell r="R5313" t="str">
            <v>Kediri</v>
          </cell>
          <cell r="S5313" t="str">
            <v>D Barat2</v>
          </cell>
          <cell r="T5313" t="str">
            <v>Tomi</v>
          </cell>
          <cell r="U5313">
            <v>30</v>
          </cell>
        </row>
        <row r="5314">
          <cell r="E5314" t="str">
            <v>B25011211</v>
          </cell>
          <cell r="F5314"/>
          <cell r="G5314">
            <v>500000000</v>
          </cell>
          <cell r="H5314" t="str">
            <v>Zakia</v>
          </cell>
          <cell r="I5314" t="str">
            <v>Tiya</v>
          </cell>
          <cell r="J5314"/>
          <cell r="K5314" t="str">
            <v>KU</v>
          </cell>
          <cell r="L5314" t="str">
            <v>MULU01</v>
          </cell>
          <cell r="M5314" t="str">
            <v>Mulur, UD</v>
          </cell>
          <cell r="N5314" t="str">
            <v>Mulur Agropreneur, CV</v>
          </cell>
          <cell r="O5314" t="str">
            <v>Jl. Pehkulon 107, RT.003/RW.001 Pehkulon, Papar, Kab. Kediri</v>
          </cell>
          <cell r="P5314" t="str">
            <v>Kediri</v>
          </cell>
          <cell r="Q5314" t="str">
            <v>Jl. Pehkulon 107, RT.003/RW.001 Pehkulon, Papar, Kab. Kediri</v>
          </cell>
          <cell r="R5314" t="str">
            <v>Kediri</v>
          </cell>
          <cell r="S5314" t="str">
            <v>D Barat2</v>
          </cell>
          <cell r="T5314" t="str">
            <v>Tomi</v>
          </cell>
          <cell r="U5314">
            <v>30</v>
          </cell>
        </row>
        <row r="5315">
          <cell r="E5315" t="str">
            <v>T25001346</v>
          </cell>
          <cell r="F5315"/>
          <cell r="G5315">
            <v>500000000</v>
          </cell>
          <cell r="H5315" t="str">
            <v>Zakia</v>
          </cell>
          <cell r="I5315" t="str">
            <v>Tiya</v>
          </cell>
          <cell r="J5315"/>
          <cell r="K5315" t="str">
            <v>KU</v>
          </cell>
          <cell r="L5315" t="str">
            <v>MULU01</v>
          </cell>
          <cell r="M5315" t="str">
            <v>Mulur, UD</v>
          </cell>
          <cell r="N5315" t="str">
            <v>Mulur Agropreneur, CV</v>
          </cell>
          <cell r="O5315" t="str">
            <v>Jl. Pehkulon 107, RT.003/RW.001 Pehkulon, Papar, Kab. Kediri</v>
          </cell>
          <cell r="P5315" t="str">
            <v>Kediri</v>
          </cell>
          <cell r="Q5315" t="str">
            <v>Jl. Pehkulon 107, RT.003/RW.001 Pehkulon, Papar, Kab. Kediri</v>
          </cell>
          <cell r="R5315" t="str">
            <v>Kediri</v>
          </cell>
          <cell r="S5315" t="str">
            <v>D Barat2</v>
          </cell>
          <cell r="T5315" t="str">
            <v>Tomi</v>
          </cell>
          <cell r="U5315">
            <v>60</v>
          </cell>
        </row>
        <row r="5316">
          <cell r="E5316" t="str">
            <v>D25013629</v>
          </cell>
          <cell r="F5316"/>
          <cell r="G5316">
            <v>500000000</v>
          </cell>
          <cell r="H5316" t="str">
            <v>Zakia</v>
          </cell>
          <cell r="I5316" t="str">
            <v>Tiya</v>
          </cell>
          <cell r="J5316"/>
          <cell r="K5316" t="str">
            <v>KU</v>
          </cell>
          <cell r="L5316" t="str">
            <v>MULU01</v>
          </cell>
          <cell r="M5316" t="str">
            <v>Mulur, UD</v>
          </cell>
          <cell r="N5316" t="str">
            <v>Mulur Agropreneur, CV</v>
          </cell>
          <cell r="O5316" t="str">
            <v>Jl. Pehkulon 107, RT.003/RW.001 Pehkulon, Papar, Kab. Kediri</v>
          </cell>
          <cell r="P5316" t="str">
            <v>Kediri</v>
          </cell>
          <cell r="Q5316" t="str">
            <v>Jl. Pehkulon 107, RT.003/RW.001 Pehkulon, Papar, Kab. Kediri</v>
          </cell>
          <cell r="R5316" t="str">
            <v>Kediri</v>
          </cell>
          <cell r="S5316" t="str">
            <v>D Barat2</v>
          </cell>
          <cell r="T5316" t="str">
            <v>Tomi</v>
          </cell>
          <cell r="U5316">
            <v>30</v>
          </cell>
        </row>
        <row r="5317">
          <cell r="E5317" t="str">
            <v>B25011479</v>
          </cell>
          <cell r="F5317"/>
          <cell r="G5317">
            <v>500000000</v>
          </cell>
          <cell r="H5317" t="str">
            <v>Zakia</v>
          </cell>
          <cell r="I5317" t="str">
            <v>Tiya</v>
          </cell>
          <cell r="J5317"/>
          <cell r="K5317" t="str">
            <v>KU</v>
          </cell>
          <cell r="L5317" t="str">
            <v>MULU01</v>
          </cell>
          <cell r="M5317" t="str">
            <v>Mulur, UD</v>
          </cell>
          <cell r="N5317" t="str">
            <v>Mulur Agropreneur, CV</v>
          </cell>
          <cell r="O5317" t="str">
            <v>Jl. Pehkulon 107, RT.003/RW.001 Pehkulon, Papar, Kab. Kediri</v>
          </cell>
          <cell r="P5317" t="str">
            <v>Kediri</v>
          </cell>
          <cell r="Q5317" t="str">
            <v>Jl. Pehkulon 107, RT.003/RW.001 Pehkulon, Papar, Kab. Kediri</v>
          </cell>
          <cell r="R5317" t="str">
            <v>Kediri</v>
          </cell>
          <cell r="S5317" t="str">
            <v>D Barat2</v>
          </cell>
          <cell r="T5317" t="str">
            <v>Tomi</v>
          </cell>
          <cell r="U5317">
            <v>30</v>
          </cell>
        </row>
        <row r="5318">
          <cell r="E5318" t="str">
            <v>D25013734</v>
          </cell>
          <cell r="F5318"/>
          <cell r="G5318">
            <v>500000000</v>
          </cell>
          <cell r="H5318" t="str">
            <v>Zakia</v>
          </cell>
          <cell r="I5318" t="str">
            <v>Tiya</v>
          </cell>
          <cell r="J5318"/>
          <cell r="K5318" t="str">
            <v>KU</v>
          </cell>
          <cell r="L5318" t="str">
            <v>MULU01</v>
          </cell>
          <cell r="M5318" t="str">
            <v>Mulur, UD</v>
          </cell>
          <cell r="N5318" t="str">
            <v>Mulur Agropreneur, CV</v>
          </cell>
          <cell r="O5318" t="str">
            <v>Jl. Pehkulon 107, RT.003/RW.001 Pehkulon, Papar, Kab. Kediri</v>
          </cell>
          <cell r="P5318" t="str">
            <v>Kediri</v>
          </cell>
          <cell r="Q5318" t="str">
            <v>Jl. Pehkulon 107, RT.003/RW.001 Pehkulon, Papar, Kab. Kediri</v>
          </cell>
          <cell r="R5318" t="str">
            <v>Kediri</v>
          </cell>
          <cell r="S5318" t="str">
            <v>D Barat2</v>
          </cell>
          <cell r="T5318" t="str">
            <v>Tomi</v>
          </cell>
          <cell r="U5318">
            <v>30</v>
          </cell>
        </row>
        <row r="5319">
          <cell r="E5319" t="str">
            <v>D25013735</v>
          </cell>
          <cell r="F5319"/>
          <cell r="G5319">
            <v>500000000</v>
          </cell>
          <cell r="H5319" t="str">
            <v>Zakia</v>
          </cell>
          <cell r="I5319" t="str">
            <v>Tiya</v>
          </cell>
          <cell r="J5319"/>
          <cell r="K5319" t="str">
            <v>KU</v>
          </cell>
          <cell r="L5319" t="str">
            <v>MULU01</v>
          </cell>
          <cell r="M5319" t="str">
            <v>Mulur, UD</v>
          </cell>
          <cell r="N5319" t="str">
            <v>Mulur Agropreneur, CV</v>
          </cell>
          <cell r="O5319" t="str">
            <v>Jl. Pehkulon 107, RT.003/RW.001 Pehkulon, Papar, Kab. Kediri</v>
          </cell>
          <cell r="P5319" t="str">
            <v>Kediri</v>
          </cell>
          <cell r="Q5319" t="str">
            <v>Jl. Pehkulon 107, RT.003/RW.001 Pehkulon, Papar, Kab. Kediri</v>
          </cell>
          <cell r="R5319" t="str">
            <v>Kediri</v>
          </cell>
          <cell r="S5319" t="str">
            <v>D Barat2</v>
          </cell>
          <cell r="T5319" t="str">
            <v>Tomi</v>
          </cell>
          <cell r="U5319">
            <v>30</v>
          </cell>
        </row>
        <row r="5320">
          <cell r="E5320" t="str">
            <v>D25013803</v>
          </cell>
          <cell r="F5320"/>
          <cell r="G5320">
            <v>500000000</v>
          </cell>
          <cell r="H5320" t="str">
            <v>Zakia</v>
          </cell>
          <cell r="I5320" t="str">
            <v>Tiya</v>
          </cell>
          <cell r="J5320"/>
          <cell r="K5320" t="str">
            <v>KU</v>
          </cell>
          <cell r="L5320" t="str">
            <v>MULU01</v>
          </cell>
          <cell r="M5320" t="str">
            <v>Mulur, UD</v>
          </cell>
          <cell r="N5320" t="str">
            <v>Mulur Agropreneur, CV</v>
          </cell>
          <cell r="O5320" t="str">
            <v>Jl. Pehkulon 107, RT.003/RW.001 Pehkulon, Papar, Kab. Kediri</v>
          </cell>
          <cell r="P5320" t="str">
            <v>Kediri</v>
          </cell>
          <cell r="Q5320" t="str">
            <v>Jl. Pehkulon 107, RT.003/RW.001 Pehkulon, Papar, Kab. Kediri</v>
          </cell>
          <cell r="R5320" t="str">
            <v>Kediri</v>
          </cell>
          <cell r="S5320" t="str">
            <v>D Barat2</v>
          </cell>
          <cell r="T5320" t="str">
            <v>Tomi</v>
          </cell>
          <cell r="U5320">
            <v>30</v>
          </cell>
        </row>
        <row r="5321">
          <cell r="E5321" t="str">
            <v>D25013898</v>
          </cell>
          <cell r="F5321"/>
          <cell r="G5321">
            <v>500000000</v>
          </cell>
          <cell r="H5321" t="str">
            <v>Zakia</v>
          </cell>
          <cell r="I5321" t="str">
            <v>Tiya</v>
          </cell>
          <cell r="J5321"/>
          <cell r="K5321" t="str">
            <v>KU</v>
          </cell>
          <cell r="L5321" t="str">
            <v>MULU01</v>
          </cell>
          <cell r="M5321" t="str">
            <v>Mulur, UD</v>
          </cell>
          <cell r="N5321" t="str">
            <v>Mulur Agropreneur, CV</v>
          </cell>
          <cell r="O5321" t="str">
            <v>Jl. Pehkulon 107, RT.003/RW.001 Pehkulon, Papar, Kab. Kediri</v>
          </cell>
          <cell r="P5321" t="str">
            <v>Kediri</v>
          </cell>
          <cell r="Q5321" t="str">
            <v>Jl. Pehkulon 107, RT.003/RW.001 Pehkulon, Papar, Kab. Kediri</v>
          </cell>
          <cell r="R5321" t="str">
            <v>Kediri</v>
          </cell>
          <cell r="S5321" t="str">
            <v>D Barat2</v>
          </cell>
          <cell r="T5321" t="str">
            <v>Tomi</v>
          </cell>
          <cell r="U5321">
            <v>30</v>
          </cell>
        </row>
        <row r="5322">
          <cell r="E5322" t="str">
            <v>D25013899</v>
          </cell>
          <cell r="F5322"/>
          <cell r="G5322">
            <v>500000000</v>
          </cell>
          <cell r="H5322" t="str">
            <v>Zakia</v>
          </cell>
          <cell r="I5322" t="str">
            <v>Tiya</v>
          </cell>
          <cell r="J5322"/>
          <cell r="K5322" t="str">
            <v>KU</v>
          </cell>
          <cell r="L5322" t="str">
            <v>MULU01</v>
          </cell>
          <cell r="M5322" t="str">
            <v>Mulur, UD</v>
          </cell>
          <cell r="N5322" t="str">
            <v>Mulur Agropreneur, CV</v>
          </cell>
          <cell r="O5322" t="str">
            <v>Jl. Pehkulon 107, RT.003/RW.001 Pehkulon, Papar, Kab. Kediri</v>
          </cell>
          <cell r="P5322" t="str">
            <v>Kediri</v>
          </cell>
          <cell r="Q5322" t="str">
            <v>Jl. Pehkulon 107, RT.003/RW.001 Pehkulon, Papar, Kab. Kediri</v>
          </cell>
          <cell r="R5322" t="str">
            <v>Kediri</v>
          </cell>
          <cell r="S5322" t="str">
            <v>D Barat2</v>
          </cell>
          <cell r="T5322" t="str">
            <v>Tomi</v>
          </cell>
          <cell r="U5322">
            <v>30</v>
          </cell>
        </row>
        <row r="5323">
          <cell r="E5323" t="str">
            <v>D25013958</v>
          </cell>
          <cell r="F5323"/>
          <cell r="G5323">
            <v>500000000</v>
          </cell>
          <cell r="H5323" t="str">
            <v>Zakia</v>
          </cell>
          <cell r="I5323" t="str">
            <v>Tiya</v>
          </cell>
          <cell r="J5323"/>
          <cell r="K5323" t="str">
            <v>KU</v>
          </cell>
          <cell r="L5323" t="str">
            <v>MULU01</v>
          </cell>
          <cell r="M5323" t="str">
            <v>Mulur, UD</v>
          </cell>
          <cell r="N5323" t="str">
            <v>Mulur Agropreneur, CV</v>
          </cell>
          <cell r="O5323" t="str">
            <v>Jl. Pehkulon 107, RT.003/RW.001 Pehkulon, Papar, Kab. Kediri</v>
          </cell>
          <cell r="P5323" t="str">
            <v>Kediri</v>
          </cell>
          <cell r="Q5323" t="str">
            <v>Jl. Pehkulon 107, RT.003/RW.001 Pehkulon, Papar, Kab. Kediri</v>
          </cell>
          <cell r="R5323" t="str">
            <v>Kediri</v>
          </cell>
          <cell r="S5323" t="str">
            <v>D Barat2</v>
          </cell>
          <cell r="T5323" t="str">
            <v>Tomi</v>
          </cell>
          <cell r="U5323">
            <v>30</v>
          </cell>
        </row>
        <row r="5324">
          <cell r="E5324" t="str">
            <v>D25013958</v>
          </cell>
          <cell r="F5324"/>
          <cell r="G5324">
            <v>500000000</v>
          </cell>
          <cell r="H5324" t="str">
            <v>Zakia</v>
          </cell>
          <cell r="I5324" t="str">
            <v>Tiya</v>
          </cell>
          <cell r="J5324"/>
          <cell r="K5324" t="str">
            <v>KU</v>
          </cell>
          <cell r="L5324" t="str">
            <v>MULU01</v>
          </cell>
          <cell r="M5324" t="str">
            <v>Mulur, UD</v>
          </cell>
          <cell r="N5324" t="str">
            <v>Mulur Agropreneur, CV</v>
          </cell>
          <cell r="O5324" t="str">
            <v>Jl. Pehkulon 107, RT.003/RW.001 Pehkulon, Papar, Kab. Kediri</v>
          </cell>
          <cell r="P5324" t="str">
            <v>Kediri</v>
          </cell>
          <cell r="Q5324" t="str">
            <v>Jl. Pehkulon 107, RT.003/RW.001 Pehkulon, Papar, Kab. Kediri</v>
          </cell>
          <cell r="R5324" t="str">
            <v>Kediri</v>
          </cell>
          <cell r="S5324" t="str">
            <v>D Barat2</v>
          </cell>
          <cell r="T5324" t="str">
            <v>Tomi</v>
          </cell>
          <cell r="U5324">
            <v>30</v>
          </cell>
        </row>
        <row r="5325">
          <cell r="E5325" t="str">
            <v>D25013985</v>
          </cell>
          <cell r="F5325"/>
          <cell r="G5325">
            <v>500000000</v>
          </cell>
          <cell r="H5325" t="str">
            <v>Zakia</v>
          </cell>
          <cell r="I5325" t="str">
            <v>Tiya</v>
          </cell>
          <cell r="J5325"/>
          <cell r="K5325" t="str">
            <v>KU</v>
          </cell>
          <cell r="L5325" t="str">
            <v>MULU01</v>
          </cell>
          <cell r="M5325" t="str">
            <v>Mulur, UD</v>
          </cell>
          <cell r="N5325" t="str">
            <v>Mulur Agropreneur, CV</v>
          </cell>
          <cell r="O5325" t="str">
            <v>Jl. Pehkulon 107, RT.003/RW.001 Pehkulon, Papar, Kab. Kediri</v>
          </cell>
          <cell r="P5325" t="str">
            <v>Kediri</v>
          </cell>
          <cell r="Q5325" t="str">
            <v>Jl. Pehkulon 107, RT.003/RW.001 Pehkulon, Papar, Kab. Kediri</v>
          </cell>
          <cell r="R5325" t="str">
            <v>Kediri</v>
          </cell>
          <cell r="S5325" t="str">
            <v>D Barat2</v>
          </cell>
          <cell r="T5325" t="str">
            <v>Tomi</v>
          </cell>
          <cell r="U5325">
            <v>30</v>
          </cell>
        </row>
        <row r="5326">
          <cell r="E5326" t="str">
            <v>D25014103</v>
          </cell>
          <cell r="F5326"/>
          <cell r="G5326">
            <v>500000000</v>
          </cell>
          <cell r="H5326" t="str">
            <v>Zakia</v>
          </cell>
          <cell r="I5326" t="str">
            <v>Tiya</v>
          </cell>
          <cell r="J5326"/>
          <cell r="K5326" t="str">
            <v>KU</v>
          </cell>
          <cell r="L5326" t="str">
            <v>MULU01</v>
          </cell>
          <cell r="M5326" t="str">
            <v>Mulur, UD</v>
          </cell>
          <cell r="N5326" t="str">
            <v>Mulur Agropreneur, CV</v>
          </cell>
          <cell r="O5326" t="str">
            <v>Jl. Pehkulon 107, RT.003/RW.001 Pehkulon, Papar, Kab. Kediri</v>
          </cell>
          <cell r="P5326" t="str">
            <v>Kediri</v>
          </cell>
          <cell r="Q5326" t="str">
            <v>Jl. Pehkulon 107, RT.003/RW.001 Pehkulon, Papar, Kab. Kediri</v>
          </cell>
          <cell r="R5326" t="str">
            <v>Kediri</v>
          </cell>
          <cell r="S5326" t="str">
            <v>D Barat2</v>
          </cell>
          <cell r="T5326" t="str">
            <v>Tomi</v>
          </cell>
          <cell r="U5326">
            <v>30</v>
          </cell>
        </row>
        <row r="5327">
          <cell r="E5327" t="str">
            <v>D25014199</v>
          </cell>
          <cell r="F5327"/>
          <cell r="G5327">
            <v>500000000</v>
          </cell>
          <cell r="H5327" t="str">
            <v>Zakia</v>
          </cell>
          <cell r="I5327" t="str">
            <v>Tiya</v>
          </cell>
          <cell r="J5327"/>
          <cell r="K5327" t="str">
            <v>KU</v>
          </cell>
          <cell r="L5327" t="str">
            <v>MULU01</v>
          </cell>
          <cell r="M5327" t="str">
            <v>Mulur, UD</v>
          </cell>
          <cell r="N5327" t="str">
            <v>Mulur Agropreneur, CV</v>
          </cell>
          <cell r="O5327" t="str">
            <v>Jl. Pehkulon 107, RT.003/RW.001 Pehkulon, Papar, Kab. Kediri</v>
          </cell>
          <cell r="P5327" t="str">
            <v>Kediri</v>
          </cell>
          <cell r="Q5327" t="str">
            <v>Jl. Pehkulon 107, RT.003/RW.001 Pehkulon, Papar, Kab. Kediri</v>
          </cell>
          <cell r="R5327" t="str">
            <v>Kediri</v>
          </cell>
          <cell r="S5327" t="str">
            <v>D Barat2</v>
          </cell>
          <cell r="T5327" t="str">
            <v>Tomi</v>
          </cell>
          <cell r="U5327">
            <v>30</v>
          </cell>
        </row>
        <row r="5328">
          <cell r="E5328" t="str">
            <v>D25014200</v>
          </cell>
          <cell r="F5328"/>
          <cell r="G5328">
            <v>500000000</v>
          </cell>
          <cell r="H5328" t="str">
            <v>Zakia</v>
          </cell>
          <cell r="I5328" t="str">
            <v>Tiya</v>
          </cell>
          <cell r="J5328"/>
          <cell r="K5328" t="str">
            <v>KU</v>
          </cell>
          <cell r="L5328" t="str">
            <v>MULU01</v>
          </cell>
          <cell r="M5328" t="str">
            <v>Mulur, UD</v>
          </cell>
          <cell r="N5328" t="str">
            <v>Mulur Agropreneur, CV</v>
          </cell>
          <cell r="O5328" t="str">
            <v>Jl. Pehkulon 107, RT.003/RW.001 Pehkulon, Papar, Kab. Kediri</v>
          </cell>
          <cell r="P5328" t="str">
            <v>Kediri</v>
          </cell>
          <cell r="Q5328" t="str">
            <v>Jl. Pehkulon 107, RT.003/RW.001 Pehkulon, Papar, Kab. Kediri</v>
          </cell>
          <cell r="R5328" t="str">
            <v>Kediri</v>
          </cell>
          <cell r="S5328" t="str">
            <v>D Barat2</v>
          </cell>
          <cell r="T5328" t="str">
            <v>Tomi</v>
          </cell>
          <cell r="U5328">
            <v>30</v>
          </cell>
        </row>
        <row r="5329">
          <cell r="E5329" t="str">
            <v>D25014200</v>
          </cell>
          <cell r="F5329"/>
          <cell r="G5329">
            <v>500000000</v>
          </cell>
          <cell r="H5329" t="str">
            <v>Zakia</v>
          </cell>
          <cell r="I5329" t="str">
            <v>Tiya</v>
          </cell>
          <cell r="J5329"/>
          <cell r="K5329" t="str">
            <v>KU</v>
          </cell>
          <cell r="L5329" t="str">
            <v>MULU01</v>
          </cell>
          <cell r="M5329" t="str">
            <v>Mulur, UD</v>
          </cell>
          <cell r="N5329" t="str">
            <v>Mulur Agropreneur, CV</v>
          </cell>
          <cell r="O5329" t="str">
            <v>Jl. Pehkulon 107, RT.003/RW.001 Pehkulon, Papar, Kab. Kediri</v>
          </cell>
          <cell r="P5329" t="str">
            <v>Kediri</v>
          </cell>
          <cell r="Q5329" t="str">
            <v>Jl. Pehkulon 107, RT.003/RW.001 Pehkulon, Papar, Kab. Kediri</v>
          </cell>
          <cell r="R5329" t="str">
            <v>Kediri</v>
          </cell>
          <cell r="S5329" t="str">
            <v>D Barat2</v>
          </cell>
          <cell r="T5329" t="str">
            <v>Tomi</v>
          </cell>
          <cell r="U5329">
            <v>30</v>
          </cell>
        </row>
        <row r="5330">
          <cell r="E5330" t="str">
            <v>D25014288</v>
          </cell>
          <cell r="F5330"/>
          <cell r="G5330">
            <v>500000000</v>
          </cell>
          <cell r="H5330" t="str">
            <v>Zakia</v>
          </cell>
          <cell r="I5330" t="str">
            <v>Tiya</v>
          </cell>
          <cell r="J5330"/>
          <cell r="K5330" t="str">
            <v>KU</v>
          </cell>
          <cell r="L5330" t="str">
            <v>MULU01</v>
          </cell>
          <cell r="M5330" t="str">
            <v>Mulur, UD</v>
          </cell>
          <cell r="N5330" t="str">
            <v>Mulur Agropreneur, CV</v>
          </cell>
          <cell r="O5330" t="str">
            <v>Jl. Pehkulon 107, RT.003/RW.001 Pehkulon, Papar, Kab. Kediri</v>
          </cell>
          <cell r="P5330" t="str">
            <v>Kediri</v>
          </cell>
          <cell r="Q5330" t="str">
            <v>Jl. Pehkulon 107, RT.003/RW.001 Pehkulon, Papar, Kab. Kediri</v>
          </cell>
          <cell r="R5330" t="str">
            <v>Kediri</v>
          </cell>
          <cell r="S5330" t="str">
            <v>D Barat2</v>
          </cell>
          <cell r="T5330" t="str">
            <v>Tomi</v>
          </cell>
          <cell r="U5330">
            <v>30</v>
          </cell>
        </row>
        <row r="5331">
          <cell r="E5331" t="str">
            <v>D25014288</v>
          </cell>
          <cell r="F5331"/>
          <cell r="G5331">
            <v>500000000</v>
          </cell>
          <cell r="H5331" t="str">
            <v>Zakia</v>
          </cell>
          <cell r="I5331" t="str">
            <v>Tiya</v>
          </cell>
          <cell r="J5331"/>
          <cell r="K5331" t="str">
            <v>KU</v>
          </cell>
          <cell r="L5331" t="str">
            <v>MULU01</v>
          </cell>
          <cell r="M5331" t="str">
            <v>Mulur, UD</v>
          </cell>
          <cell r="N5331" t="str">
            <v>Mulur Agropreneur, CV</v>
          </cell>
          <cell r="O5331" t="str">
            <v>Jl. Pehkulon 107, RT.003/RW.001 Pehkulon, Papar, Kab. Kediri</v>
          </cell>
          <cell r="P5331" t="str">
            <v>Kediri</v>
          </cell>
          <cell r="Q5331" t="str">
            <v>Jl. Pehkulon 107, RT.003/RW.001 Pehkulon, Papar, Kab. Kediri</v>
          </cell>
          <cell r="R5331" t="str">
            <v>Kediri</v>
          </cell>
          <cell r="S5331" t="str">
            <v>D Barat2</v>
          </cell>
          <cell r="T5331" t="str">
            <v>Tomi</v>
          </cell>
          <cell r="U5331">
            <v>30</v>
          </cell>
        </row>
        <row r="5332">
          <cell r="E5332" t="str">
            <v>D25014376</v>
          </cell>
          <cell r="F5332"/>
          <cell r="G5332">
            <v>500000000</v>
          </cell>
          <cell r="H5332" t="str">
            <v>Zakia</v>
          </cell>
          <cell r="I5332" t="str">
            <v>Tiya</v>
          </cell>
          <cell r="J5332"/>
          <cell r="K5332" t="str">
            <v>KU</v>
          </cell>
          <cell r="L5332" t="str">
            <v>MULU01</v>
          </cell>
          <cell r="M5332" t="str">
            <v>Mulur, UD</v>
          </cell>
          <cell r="N5332" t="str">
            <v>Mulur Agropreneur, CV</v>
          </cell>
          <cell r="O5332" t="str">
            <v>Jl. Pehkulon 107, RT.003/RW.001 Pehkulon, Papar, Kab. Kediri</v>
          </cell>
          <cell r="P5332" t="str">
            <v>Kediri</v>
          </cell>
          <cell r="Q5332" t="str">
            <v>Jl. Pehkulon 107, RT.003/RW.001 Pehkulon, Papar, Kab. Kediri</v>
          </cell>
          <cell r="R5332" t="str">
            <v>Kediri</v>
          </cell>
          <cell r="S5332" t="str">
            <v>D Barat2</v>
          </cell>
          <cell r="T5332" t="str">
            <v>Tomi</v>
          </cell>
          <cell r="U5332">
            <v>30</v>
          </cell>
        </row>
        <row r="5333">
          <cell r="E5333" t="str">
            <v>D25014439</v>
          </cell>
          <cell r="F5333"/>
          <cell r="G5333">
            <v>500000000</v>
          </cell>
          <cell r="H5333" t="str">
            <v>Zakia</v>
          </cell>
          <cell r="I5333" t="str">
            <v>Tiya</v>
          </cell>
          <cell r="J5333"/>
          <cell r="K5333" t="str">
            <v>KU</v>
          </cell>
          <cell r="L5333" t="str">
            <v>MULU01</v>
          </cell>
          <cell r="M5333" t="str">
            <v>Mulur, UD</v>
          </cell>
          <cell r="N5333" t="str">
            <v>Mulur Agropreneur, CV</v>
          </cell>
          <cell r="O5333" t="str">
            <v>Jl. Pehkulon 107, RT.003/RW.001 Pehkulon, Papar, Kab. Kediri</v>
          </cell>
          <cell r="P5333" t="str">
            <v>Kediri</v>
          </cell>
          <cell r="Q5333" t="str">
            <v>Jl. Pehkulon 107, RT.003/RW.001 Pehkulon, Papar, Kab. Kediri</v>
          </cell>
          <cell r="R5333" t="str">
            <v>Kediri</v>
          </cell>
          <cell r="S5333" t="str">
            <v>D Barat2</v>
          </cell>
          <cell r="T5333" t="str">
            <v>Tomi</v>
          </cell>
          <cell r="U5333">
            <v>30</v>
          </cell>
        </row>
        <row r="5334">
          <cell r="E5334" t="str">
            <v>D25014439</v>
          </cell>
          <cell r="F5334"/>
          <cell r="G5334">
            <v>500000000</v>
          </cell>
          <cell r="H5334" t="str">
            <v>Zakia</v>
          </cell>
          <cell r="I5334" t="str">
            <v>Tiya</v>
          </cell>
          <cell r="J5334"/>
          <cell r="K5334" t="str">
            <v>KU</v>
          </cell>
          <cell r="L5334" t="str">
            <v>MULU01</v>
          </cell>
          <cell r="M5334" t="str">
            <v>Mulur, UD</v>
          </cell>
          <cell r="N5334" t="str">
            <v>Mulur Agropreneur, CV</v>
          </cell>
          <cell r="O5334" t="str">
            <v>Jl. Pehkulon 107, RT.003/RW.001 Pehkulon, Papar, Kab. Kediri</v>
          </cell>
          <cell r="P5334" t="str">
            <v>Kediri</v>
          </cell>
          <cell r="Q5334" t="str">
            <v>Jl. Pehkulon 107, RT.003/RW.001 Pehkulon, Papar, Kab. Kediri</v>
          </cell>
          <cell r="R5334" t="str">
            <v>Kediri</v>
          </cell>
          <cell r="S5334" t="str">
            <v>D Barat2</v>
          </cell>
          <cell r="T5334" t="str">
            <v>Tomi</v>
          </cell>
          <cell r="U5334">
            <v>30</v>
          </cell>
        </row>
        <row r="5335">
          <cell r="E5335" t="str">
            <v>D25014506</v>
          </cell>
          <cell r="F5335"/>
          <cell r="G5335">
            <v>500000000</v>
          </cell>
          <cell r="H5335" t="str">
            <v>Zakia</v>
          </cell>
          <cell r="I5335" t="str">
            <v>Tiya</v>
          </cell>
          <cell r="J5335"/>
          <cell r="K5335" t="str">
            <v>KU</v>
          </cell>
          <cell r="L5335" t="str">
            <v>MULU01</v>
          </cell>
          <cell r="M5335" t="str">
            <v>Mulur, UD</v>
          </cell>
          <cell r="N5335" t="str">
            <v>Mulur Agropreneur, CV</v>
          </cell>
          <cell r="O5335" t="str">
            <v>Jl. Pehkulon 107, RT.003/RW.001 Pehkulon, Papar, Kab. Kediri</v>
          </cell>
          <cell r="P5335" t="str">
            <v>Kediri</v>
          </cell>
          <cell r="Q5335" t="str">
            <v>Jl. Pehkulon 107, RT.003/RW.001 Pehkulon, Papar, Kab. Kediri</v>
          </cell>
          <cell r="R5335" t="str">
            <v>Kediri</v>
          </cell>
          <cell r="S5335" t="str">
            <v>D Barat2</v>
          </cell>
          <cell r="T5335" t="str">
            <v>Tomi</v>
          </cell>
          <cell r="U5335">
            <v>30</v>
          </cell>
        </row>
        <row r="5336">
          <cell r="E5336" t="str">
            <v>B25012316</v>
          </cell>
          <cell r="F5336"/>
          <cell r="G5336">
            <v>500000000</v>
          </cell>
          <cell r="H5336" t="str">
            <v>Zakia</v>
          </cell>
          <cell r="I5336" t="str">
            <v>Tiya</v>
          </cell>
          <cell r="J5336"/>
          <cell r="K5336" t="str">
            <v>KU</v>
          </cell>
          <cell r="L5336" t="str">
            <v>MULU01</v>
          </cell>
          <cell r="M5336" t="str">
            <v>Mulur, UD</v>
          </cell>
          <cell r="N5336" t="str">
            <v>Mulur Agropreneur, CV</v>
          </cell>
          <cell r="O5336" t="str">
            <v>Jl. Pehkulon 107, RT.003/RW.001 Pehkulon, Papar, Kab. Kediri</v>
          </cell>
          <cell r="P5336" t="str">
            <v>Kediri</v>
          </cell>
          <cell r="Q5336" t="str">
            <v>Jl. Pehkulon 107, RT.003/RW.001 Pehkulon, Papar, Kab. Kediri</v>
          </cell>
          <cell r="R5336" t="str">
            <v>Kediri</v>
          </cell>
          <cell r="S5336" t="str">
            <v>D Barat2</v>
          </cell>
          <cell r="T5336" t="str">
            <v>Tomi</v>
          </cell>
          <cell r="U5336">
            <v>30</v>
          </cell>
        </row>
        <row r="5337">
          <cell r="E5337" t="str">
            <v>D25014620</v>
          </cell>
          <cell r="F5337"/>
          <cell r="G5337">
            <v>500000000</v>
          </cell>
          <cell r="H5337" t="str">
            <v>Zakia</v>
          </cell>
          <cell r="I5337" t="str">
            <v>Tiya</v>
          </cell>
          <cell r="J5337"/>
          <cell r="K5337" t="str">
            <v>KU</v>
          </cell>
          <cell r="L5337" t="str">
            <v>MULU01</v>
          </cell>
          <cell r="M5337" t="str">
            <v>Mulur, UD</v>
          </cell>
          <cell r="N5337" t="str">
            <v>Mulur Agropreneur, CV</v>
          </cell>
          <cell r="O5337" t="str">
            <v>Jl. Pehkulon 107, RT.003/RW.001 Pehkulon, Papar, Kab. Kediri</v>
          </cell>
          <cell r="P5337" t="str">
            <v>Kediri</v>
          </cell>
          <cell r="Q5337" t="str">
            <v>Jl. Pehkulon 107, RT.003/RW.001 Pehkulon, Papar, Kab. Kediri</v>
          </cell>
          <cell r="R5337" t="str">
            <v>Kediri</v>
          </cell>
          <cell r="S5337" t="str">
            <v>D Barat2</v>
          </cell>
          <cell r="T5337" t="str">
            <v>Tomi</v>
          </cell>
          <cell r="U5337">
            <v>30</v>
          </cell>
        </row>
        <row r="5338">
          <cell r="E5338" t="str">
            <v>B25012392</v>
          </cell>
          <cell r="F5338"/>
          <cell r="G5338">
            <v>500000000</v>
          </cell>
          <cell r="H5338" t="str">
            <v>Zakia</v>
          </cell>
          <cell r="I5338" t="str">
            <v>Tiya</v>
          </cell>
          <cell r="J5338"/>
          <cell r="K5338" t="str">
            <v>KU</v>
          </cell>
          <cell r="L5338" t="str">
            <v>MULU01</v>
          </cell>
          <cell r="M5338" t="str">
            <v>Mulur, UD</v>
          </cell>
          <cell r="N5338" t="str">
            <v>Mulur Agropreneur, CV</v>
          </cell>
          <cell r="O5338" t="str">
            <v>Jl. Pehkulon 107, RT.003/RW.001 Pehkulon, Papar, Kab. Kediri</v>
          </cell>
          <cell r="P5338" t="str">
            <v>Kediri</v>
          </cell>
          <cell r="Q5338" t="str">
            <v>Jl. Pehkulon 107, RT.003/RW.001 Pehkulon, Papar, Kab. Kediri</v>
          </cell>
          <cell r="R5338" t="str">
            <v>Kediri</v>
          </cell>
          <cell r="S5338" t="str">
            <v>D Barat2</v>
          </cell>
          <cell r="T5338" t="str">
            <v>Tomi</v>
          </cell>
          <cell r="U5338">
            <v>30</v>
          </cell>
        </row>
        <row r="5339">
          <cell r="E5339" t="str">
            <v>D25014633</v>
          </cell>
          <cell r="F5339"/>
          <cell r="G5339">
            <v>500000000</v>
          </cell>
          <cell r="H5339" t="str">
            <v>Zakia</v>
          </cell>
          <cell r="I5339" t="str">
            <v>Tiya</v>
          </cell>
          <cell r="J5339"/>
          <cell r="K5339" t="str">
            <v>KU</v>
          </cell>
          <cell r="L5339" t="str">
            <v>MULU01</v>
          </cell>
          <cell r="M5339" t="str">
            <v>Mulur, UD</v>
          </cell>
          <cell r="N5339" t="str">
            <v>Mulur Agropreneur, CV</v>
          </cell>
          <cell r="O5339" t="str">
            <v>Jl. Pehkulon 107, RT.003/RW.001 Pehkulon, Papar, Kab. Kediri</v>
          </cell>
          <cell r="P5339" t="str">
            <v>Kediri</v>
          </cell>
          <cell r="Q5339" t="str">
            <v>Jl. Pehkulon 107, RT.003/RW.001 Pehkulon, Papar, Kab. Kediri</v>
          </cell>
          <cell r="R5339" t="str">
            <v>Kediri</v>
          </cell>
          <cell r="S5339" t="str">
            <v>D Barat2</v>
          </cell>
          <cell r="T5339" t="str">
            <v>Tomi</v>
          </cell>
          <cell r="U5339">
            <v>30</v>
          </cell>
        </row>
        <row r="5340">
          <cell r="E5340" t="str">
            <v>D25014745</v>
          </cell>
          <cell r="F5340"/>
          <cell r="G5340">
            <v>500000000</v>
          </cell>
          <cell r="H5340" t="str">
            <v>Zakia</v>
          </cell>
          <cell r="I5340" t="str">
            <v>Tiya</v>
          </cell>
          <cell r="J5340"/>
          <cell r="K5340" t="str">
            <v>KU</v>
          </cell>
          <cell r="L5340" t="str">
            <v>MULU01</v>
          </cell>
          <cell r="M5340" t="str">
            <v>Mulur, UD</v>
          </cell>
          <cell r="N5340" t="str">
            <v>Mulur Agropreneur, CV</v>
          </cell>
          <cell r="O5340" t="str">
            <v>Jl. Pehkulon 107, RT.003/RW.001 Pehkulon, Papar, Kab. Kediri</v>
          </cell>
          <cell r="P5340" t="str">
            <v>Kediri</v>
          </cell>
          <cell r="Q5340" t="str">
            <v>Jl. Pehkulon 107, RT.003/RW.001 Pehkulon, Papar, Kab. Kediri</v>
          </cell>
          <cell r="R5340" t="str">
            <v>Kediri</v>
          </cell>
          <cell r="S5340" t="str">
            <v>D Barat2</v>
          </cell>
          <cell r="T5340" t="str">
            <v>Tomi</v>
          </cell>
          <cell r="U5340">
            <v>30</v>
          </cell>
        </row>
        <row r="5341">
          <cell r="E5341" t="str">
            <v>B25012532</v>
          </cell>
          <cell r="F5341"/>
          <cell r="G5341">
            <v>500000000</v>
          </cell>
          <cell r="H5341" t="str">
            <v>Zakia</v>
          </cell>
          <cell r="I5341" t="str">
            <v>Tiya</v>
          </cell>
          <cell r="J5341"/>
          <cell r="K5341" t="str">
            <v>KU</v>
          </cell>
          <cell r="L5341" t="str">
            <v>MULU01</v>
          </cell>
          <cell r="M5341" t="str">
            <v>Mulur, UD</v>
          </cell>
          <cell r="N5341" t="str">
            <v>Mulur Agropreneur, CV</v>
          </cell>
          <cell r="O5341" t="str">
            <v>Jl. Pehkulon 107, RT.003/RW.001 Pehkulon, Papar, Kab. Kediri</v>
          </cell>
          <cell r="P5341" t="str">
            <v>Kediri</v>
          </cell>
          <cell r="Q5341" t="str">
            <v>Jl. Pehkulon 107, RT.003/RW.001 Pehkulon, Papar, Kab. Kediri</v>
          </cell>
          <cell r="R5341" t="str">
            <v>Kediri</v>
          </cell>
          <cell r="S5341" t="str">
            <v>D Barat2</v>
          </cell>
          <cell r="T5341" t="str">
            <v>Tomi</v>
          </cell>
          <cell r="U5341">
            <v>30</v>
          </cell>
        </row>
        <row r="5342">
          <cell r="E5342" t="str">
            <v>D25014842</v>
          </cell>
          <cell r="F5342"/>
          <cell r="G5342">
            <v>500000000</v>
          </cell>
          <cell r="H5342" t="str">
            <v>Zakia</v>
          </cell>
          <cell r="I5342" t="str">
            <v>Tiya</v>
          </cell>
          <cell r="J5342"/>
          <cell r="K5342" t="str">
            <v>KU</v>
          </cell>
          <cell r="L5342" t="str">
            <v>MULU01</v>
          </cell>
          <cell r="M5342" t="str">
            <v>Mulur, UD</v>
          </cell>
          <cell r="N5342" t="str">
            <v>Mulur Agropreneur, CV</v>
          </cell>
          <cell r="O5342" t="str">
            <v>Jl. Pehkulon 107, RT.003/RW.001 Pehkulon, Papar, Kab. Kediri</v>
          </cell>
          <cell r="P5342" t="str">
            <v>Kediri</v>
          </cell>
          <cell r="Q5342" t="str">
            <v>Jl. Pehkulon 107, RT.003/RW.001 Pehkulon, Papar, Kab. Kediri</v>
          </cell>
          <cell r="R5342" t="str">
            <v>Kediri</v>
          </cell>
          <cell r="S5342" t="str">
            <v>D Barat2</v>
          </cell>
          <cell r="T5342" t="str">
            <v>Tomi</v>
          </cell>
          <cell r="U5342">
            <v>30</v>
          </cell>
        </row>
        <row r="5343">
          <cell r="E5343" t="str">
            <v>D25014867</v>
          </cell>
          <cell r="F5343"/>
          <cell r="G5343">
            <v>500000000</v>
          </cell>
          <cell r="H5343" t="str">
            <v>Zakia</v>
          </cell>
          <cell r="I5343" t="str">
            <v>Tiya</v>
          </cell>
          <cell r="J5343"/>
          <cell r="K5343" t="str">
            <v>KU</v>
          </cell>
          <cell r="L5343" t="str">
            <v>MULU01</v>
          </cell>
          <cell r="M5343" t="str">
            <v>Mulur, UD</v>
          </cell>
          <cell r="N5343" t="str">
            <v>Mulur Agropreneur, CV</v>
          </cell>
          <cell r="O5343" t="str">
            <v>Jl. Pehkulon 107, RT.003/RW.001 Pehkulon, Papar, Kab. Kediri</v>
          </cell>
          <cell r="P5343" t="str">
            <v>Kediri</v>
          </cell>
          <cell r="Q5343" t="str">
            <v>Jl. Pehkulon 107, RT.003/RW.001 Pehkulon, Papar, Kab. Kediri</v>
          </cell>
          <cell r="R5343" t="str">
            <v>Kediri</v>
          </cell>
          <cell r="S5343" t="str">
            <v>D Barat2</v>
          </cell>
          <cell r="T5343" t="str">
            <v>Tomi</v>
          </cell>
          <cell r="U5343">
            <v>30</v>
          </cell>
        </row>
        <row r="5344">
          <cell r="E5344" t="str">
            <v>D25015103</v>
          </cell>
          <cell r="F5344"/>
          <cell r="G5344">
            <v>500000000</v>
          </cell>
          <cell r="H5344" t="str">
            <v>Zakia</v>
          </cell>
          <cell r="I5344" t="str">
            <v>Tiya</v>
          </cell>
          <cell r="J5344"/>
          <cell r="K5344" t="str">
            <v>KU</v>
          </cell>
          <cell r="L5344" t="str">
            <v>MULU01</v>
          </cell>
          <cell r="M5344" t="str">
            <v>Mulur, UD</v>
          </cell>
          <cell r="N5344" t="str">
            <v>Mulur Agropreneur, CV</v>
          </cell>
          <cell r="O5344" t="str">
            <v>Jl. Pehkulon 107, RT.003/RW.001 Pehkulon, Papar, Kab. Kediri</v>
          </cell>
          <cell r="P5344" t="str">
            <v>Kediri</v>
          </cell>
          <cell r="Q5344" t="str">
            <v>Jl. Pehkulon 107, RT.003/RW.001 Pehkulon, Papar, Kab. Kediri</v>
          </cell>
          <cell r="R5344" t="str">
            <v>Kediri</v>
          </cell>
          <cell r="S5344" t="str">
            <v>D Barat2</v>
          </cell>
          <cell r="T5344" t="str">
            <v>Tomi</v>
          </cell>
          <cell r="U5344">
            <v>30</v>
          </cell>
        </row>
        <row r="5345">
          <cell r="E5345" t="str">
            <v>B25013062</v>
          </cell>
          <cell r="F5345"/>
          <cell r="G5345">
            <v>500000000</v>
          </cell>
          <cell r="H5345" t="str">
            <v>Zakia</v>
          </cell>
          <cell r="I5345" t="str">
            <v>Tiya</v>
          </cell>
          <cell r="J5345"/>
          <cell r="K5345" t="str">
            <v>KU</v>
          </cell>
          <cell r="L5345" t="str">
            <v>MULU01</v>
          </cell>
          <cell r="M5345" t="str">
            <v>Mulur, UD</v>
          </cell>
          <cell r="N5345" t="str">
            <v>Mulur Agropreneur, CV</v>
          </cell>
          <cell r="O5345" t="str">
            <v>Jl. Pehkulon 107, RT.003/RW.001 Pehkulon, Papar, Kab. Kediri</v>
          </cell>
          <cell r="P5345" t="str">
            <v>Kediri</v>
          </cell>
          <cell r="Q5345" t="str">
            <v>Jl. Pehkulon 107, RT.003/RW.001 Pehkulon, Papar, Kab. Kediri</v>
          </cell>
          <cell r="R5345" t="str">
            <v>Kediri</v>
          </cell>
          <cell r="S5345" t="str">
            <v>D Barat2</v>
          </cell>
          <cell r="T5345" t="str">
            <v>Tomi</v>
          </cell>
          <cell r="U5345">
            <v>30</v>
          </cell>
        </row>
        <row r="5346">
          <cell r="E5346" t="str">
            <v>B25013146</v>
          </cell>
          <cell r="F5346"/>
          <cell r="G5346">
            <v>500000000</v>
          </cell>
          <cell r="H5346" t="str">
            <v>Zakia</v>
          </cell>
          <cell r="I5346" t="str">
            <v>Tiya</v>
          </cell>
          <cell r="J5346"/>
          <cell r="K5346" t="str">
            <v>KU</v>
          </cell>
          <cell r="L5346" t="str">
            <v>MULU01</v>
          </cell>
          <cell r="M5346" t="str">
            <v>Mulur, UD</v>
          </cell>
          <cell r="N5346" t="str">
            <v>Mulur Agropreneur, CV</v>
          </cell>
          <cell r="O5346" t="str">
            <v>Jl. Pehkulon 107, RT.003/RW.001 Pehkulon, Papar, Kab. Kediri</v>
          </cell>
          <cell r="P5346" t="str">
            <v>Kediri</v>
          </cell>
          <cell r="Q5346" t="str">
            <v>Jl. Pehkulon 107, RT.003/RW.001 Pehkulon, Papar, Kab. Kediri</v>
          </cell>
          <cell r="R5346" t="str">
            <v>Kediri</v>
          </cell>
          <cell r="S5346" t="str">
            <v>D Barat2</v>
          </cell>
          <cell r="T5346" t="str">
            <v>Tomi</v>
          </cell>
          <cell r="U5346">
            <v>30</v>
          </cell>
        </row>
        <row r="5347">
          <cell r="E5347" t="str">
            <v>B25013200</v>
          </cell>
          <cell r="F5347"/>
          <cell r="G5347">
            <v>500000000</v>
          </cell>
          <cell r="H5347" t="str">
            <v>Zakia</v>
          </cell>
          <cell r="I5347" t="str">
            <v>Tiya</v>
          </cell>
          <cell r="J5347"/>
          <cell r="K5347" t="str">
            <v>KU</v>
          </cell>
          <cell r="L5347" t="str">
            <v>MULU01</v>
          </cell>
          <cell r="M5347" t="str">
            <v>Mulur, UD</v>
          </cell>
          <cell r="N5347" t="str">
            <v>Mulur Agropreneur, CV</v>
          </cell>
          <cell r="O5347" t="str">
            <v>Jl. Pehkulon 107, RT.003/RW.001 Pehkulon, Papar, Kab. Kediri</v>
          </cell>
          <cell r="P5347" t="str">
            <v>Kediri</v>
          </cell>
          <cell r="Q5347" t="str">
            <v>Jl. Pehkulon 107, RT.003/RW.001 Pehkulon, Papar, Kab. Kediri</v>
          </cell>
          <cell r="R5347" t="str">
            <v>Kediri</v>
          </cell>
          <cell r="S5347" t="str">
            <v>D Barat2</v>
          </cell>
          <cell r="T5347" t="str">
            <v>Tomi</v>
          </cell>
          <cell r="U5347">
            <v>30</v>
          </cell>
        </row>
        <row r="5348">
          <cell r="E5348" t="str">
            <v>B25013283</v>
          </cell>
          <cell r="F5348"/>
          <cell r="G5348">
            <v>500000000</v>
          </cell>
          <cell r="H5348" t="str">
            <v>Zakia</v>
          </cell>
          <cell r="I5348" t="str">
            <v>Tiya</v>
          </cell>
          <cell r="J5348"/>
          <cell r="K5348" t="str">
            <v>KU</v>
          </cell>
          <cell r="L5348" t="str">
            <v>MULU01</v>
          </cell>
          <cell r="M5348" t="str">
            <v>Mulur, UD</v>
          </cell>
          <cell r="N5348" t="str">
            <v>Mulur Agropreneur, CV</v>
          </cell>
          <cell r="O5348" t="str">
            <v>Jl. Pehkulon 107, RT.003/RW.001 Pehkulon, Papar, Kab. Kediri</v>
          </cell>
          <cell r="P5348" t="str">
            <v>Kediri</v>
          </cell>
          <cell r="Q5348" t="str">
            <v>Jl. Pehkulon 107, RT.003/RW.001 Pehkulon, Papar, Kab. Kediri</v>
          </cell>
          <cell r="R5348" t="str">
            <v>Kediri</v>
          </cell>
          <cell r="S5348" t="str">
            <v>D Barat2</v>
          </cell>
          <cell r="T5348" t="str">
            <v>Tomi</v>
          </cell>
          <cell r="U5348">
            <v>30</v>
          </cell>
        </row>
        <row r="5349">
          <cell r="E5349" t="str">
            <v>D25015527</v>
          </cell>
          <cell r="F5349"/>
          <cell r="G5349">
            <v>500000000</v>
          </cell>
          <cell r="H5349" t="str">
            <v>Zakia</v>
          </cell>
          <cell r="I5349" t="str">
            <v>Tiya</v>
          </cell>
          <cell r="J5349"/>
          <cell r="K5349" t="str">
            <v>KU</v>
          </cell>
          <cell r="L5349" t="str">
            <v>MULU01</v>
          </cell>
          <cell r="M5349" t="str">
            <v>Mulur, UD</v>
          </cell>
          <cell r="N5349" t="str">
            <v>Mulur Agropreneur, CV</v>
          </cell>
          <cell r="O5349" t="str">
            <v>Jl. Pehkulon 107, RT.003/RW.001 Pehkulon, Papar, Kab. Kediri</v>
          </cell>
          <cell r="P5349" t="str">
            <v>Kediri</v>
          </cell>
          <cell r="Q5349" t="str">
            <v>Jl. Pehkulon 107, RT.003/RW.001 Pehkulon, Papar, Kab. Kediri</v>
          </cell>
          <cell r="R5349" t="str">
            <v>Kediri</v>
          </cell>
          <cell r="S5349" t="str">
            <v>D Barat2</v>
          </cell>
          <cell r="T5349" t="str">
            <v>Tomi</v>
          </cell>
          <cell r="U5349">
            <v>30</v>
          </cell>
        </row>
        <row r="5350">
          <cell r="E5350" t="str">
            <v>D25015545</v>
          </cell>
          <cell r="F5350"/>
          <cell r="G5350">
            <v>500000000</v>
          </cell>
          <cell r="H5350" t="str">
            <v>Zakia</v>
          </cell>
          <cell r="I5350" t="str">
            <v>Tiya</v>
          </cell>
          <cell r="J5350"/>
          <cell r="K5350" t="str">
            <v>KU</v>
          </cell>
          <cell r="L5350" t="str">
            <v>MULU01</v>
          </cell>
          <cell r="M5350" t="str">
            <v>Mulur, UD</v>
          </cell>
          <cell r="N5350" t="str">
            <v>Mulur Agropreneur, CV</v>
          </cell>
          <cell r="O5350" t="str">
            <v>Jl. Pehkulon 107, RT.003/RW.001 Pehkulon, Papar, Kab. Kediri</v>
          </cell>
          <cell r="P5350" t="str">
            <v>Kediri</v>
          </cell>
          <cell r="Q5350" t="str">
            <v>Jl. Pehkulon 107, RT.003/RW.001 Pehkulon, Papar, Kab. Kediri</v>
          </cell>
          <cell r="R5350" t="str">
            <v>Kediri</v>
          </cell>
          <cell r="S5350" t="str">
            <v>D Barat2</v>
          </cell>
          <cell r="T5350" t="str">
            <v>Tomi</v>
          </cell>
          <cell r="U5350">
            <v>30</v>
          </cell>
        </row>
        <row r="5351">
          <cell r="E5351" t="str">
            <v>D25015751</v>
          </cell>
          <cell r="F5351"/>
          <cell r="G5351">
            <v>500000000</v>
          </cell>
          <cell r="H5351" t="str">
            <v>Zakia</v>
          </cell>
          <cell r="I5351" t="str">
            <v>Tiya</v>
          </cell>
          <cell r="J5351"/>
          <cell r="K5351" t="str">
            <v>KU</v>
          </cell>
          <cell r="L5351" t="str">
            <v>MULU01</v>
          </cell>
          <cell r="M5351" t="str">
            <v>Mulur, UD</v>
          </cell>
          <cell r="N5351" t="str">
            <v>Mulur Agropreneur, CV</v>
          </cell>
          <cell r="O5351" t="str">
            <v>Jl. Pehkulon 107, RT.003/RW.001 Pehkulon, Papar, Kab. Kediri</v>
          </cell>
          <cell r="P5351" t="str">
            <v>Kediri</v>
          </cell>
          <cell r="Q5351" t="str">
            <v>Jl. Pehkulon 107, RT.003/RW.001 Pehkulon, Papar, Kab. Kediri</v>
          </cell>
          <cell r="R5351" t="str">
            <v>Kediri</v>
          </cell>
          <cell r="S5351" t="str">
            <v>D Barat2</v>
          </cell>
          <cell r="T5351" t="str">
            <v>Tomi</v>
          </cell>
          <cell r="U5351">
            <v>30</v>
          </cell>
        </row>
        <row r="5352">
          <cell r="E5352" t="str">
            <v>B25013541</v>
          </cell>
          <cell r="F5352"/>
          <cell r="G5352">
            <v>500000000</v>
          </cell>
          <cell r="H5352" t="str">
            <v>Zakia</v>
          </cell>
          <cell r="I5352" t="str">
            <v>Tiya</v>
          </cell>
          <cell r="J5352"/>
          <cell r="K5352" t="str">
            <v>KU</v>
          </cell>
          <cell r="L5352" t="str">
            <v>MULU01</v>
          </cell>
          <cell r="M5352" t="str">
            <v>Mulur, UD</v>
          </cell>
          <cell r="N5352" t="str">
            <v>Mulur Agropreneur, CV</v>
          </cell>
          <cell r="O5352" t="str">
            <v>Jl. Pehkulon 107, RT.003/RW.001 Pehkulon, Papar, Kab. Kediri</v>
          </cell>
          <cell r="P5352" t="str">
            <v>Kediri</v>
          </cell>
          <cell r="Q5352" t="str">
            <v>Jl. Pehkulon 107, RT.003/RW.001 Pehkulon, Papar, Kab. Kediri</v>
          </cell>
          <cell r="R5352" t="str">
            <v>Kediri</v>
          </cell>
          <cell r="S5352" t="str">
            <v>D Barat2</v>
          </cell>
          <cell r="T5352" t="str">
            <v>Tomi</v>
          </cell>
          <cell r="U5352">
            <v>30</v>
          </cell>
        </row>
        <row r="5353">
          <cell r="E5353" t="str">
            <v>B25013572</v>
          </cell>
          <cell r="F5353"/>
          <cell r="G5353">
            <v>500000000</v>
          </cell>
          <cell r="H5353" t="str">
            <v>Zakia</v>
          </cell>
          <cell r="I5353" t="str">
            <v>Tiya</v>
          </cell>
          <cell r="J5353"/>
          <cell r="K5353" t="str">
            <v>KU</v>
          </cell>
          <cell r="L5353" t="str">
            <v>MULU01</v>
          </cell>
          <cell r="M5353" t="str">
            <v>Mulur, UD</v>
          </cell>
          <cell r="N5353" t="str">
            <v>Mulur Agropreneur, CV</v>
          </cell>
          <cell r="O5353" t="str">
            <v>Jl. Pehkulon 107, RT.003/RW.001 Pehkulon, Papar, Kab. Kediri</v>
          </cell>
          <cell r="P5353" t="str">
            <v>Kediri</v>
          </cell>
          <cell r="Q5353" t="str">
            <v>Jl. Pehkulon 107, RT.003/RW.001 Pehkulon, Papar, Kab. Kediri</v>
          </cell>
          <cell r="R5353" t="str">
            <v>Kediri</v>
          </cell>
          <cell r="S5353" t="str">
            <v>D Barat2</v>
          </cell>
          <cell r="T5353" t="str">
            <v>Tomi</v>
          </cell>
          <cell r="U5353">
            <v>30</v>
          </cell>
        </row>
        <row r="5354">
          <cell r="E5354" t="str">
            <v>B25013573</v>
          </cell>
          <cell r="F5354"/>
          <cell r="G5354">
            <v>500000000</v>
          </cell>
          <cell r="H5354" t="str">
            <v>Zakia</v>
          </cell>
          <cell r="I5354" t="str">
            <v>Tiya</v>
          </cell>
          <cell r="J5354"/>
          <cell r="K5354" t="str">
            <v>KU</v>
          </cell>
          <cell r="L5354" t="str">
            <v>MULU01</v>
          </cell>
          <cell r="M5354" t="str">
            <v>Mulur, UD</v>
          </cell>
          <cell r="N5354" t="str">
            <v>Mulur Agropreneur, CV</v>
          </cell>
          <cell r="O5354" t="str">
            <v>Jl. Pehkulon 107, RT.003/RW.001 Pehkulon, Papar, Kab. Kediri</v>
          </cell>
          <cell r="P5354" t="str">
            <v>Kediri</v>
          </cell>
          <cell r="Q5354" t="str">
            <v>Jl. Pehkulon 107, RT.003/RW.001 Pehkulon, Papar, Kab. Kediri</v>
          </cell>
          <cell r="R5354" t="str">
            <v>Kediri</v>
          </cell>
          <cell r="S5354" t="str">
            <v>D Barat2</v>
          </cell>
          <cell r="T5354" t="str">
            <v>Tomi</v>
          </cell>
          <cell r="U5354">
            <v>30</v>
          </cell>
        </row>
        <row r="5355">
          <cell r="E5355" t="str">
            <v>D25015833</v>
          </cell>
          <cell r="F5355"/>
          <cell r="G5355">
            <v>500000000</v>
          </cell>
          <cell r="H5355" t="str">
            <v>Zakia</v>
          </cell>
          <cell r="I5355" t="str">
            <v>Tiya</v>
          </cell>
          <cell r="J5355"/>
          <cell r="K5355" t="str">
            <v>KU</v>
          </cell>
          <cell r="L5355" t="str">
            <v>MULU01</v>
          </cell>
          <cell r="M5355" t="str">
            <v>Mulur, UD</v>
          </cell>
          <cell r="N5355" t="str">
            <v>Mulur Agropreneur, CV</v>
          </cell>
          <cell r="O5355" t="str">
            <v>Jl. Pehkulon 107, RT.003/RW.001 Pehkulon, Papar, Kab. Kediri</v>
          </cell>
          <cell r="P5355" t="str">
            <v>Kediri</v>
          </cell>
          <cell r="Q5355" t="str">
            <v>Jl. Pehkulon 107, RT.003/RW.001 Pehkulon, Papar, Kab. Kediri</v>
          </cell>
          <cell r="R5355" t="str">
            <v>Kediri</v>
          </cell>
          <cell r="S5355" t="str">
            <v>D Barat2</v>
          </cell>
          <cell r="T5355" t="str">
            <v>Tomi</v>
          </cell>
          <cell r="U5355">
            <v>30</v>
          </cell>
        </row>
        <row r="5356">
          <cell r="E5356" t="str">
            <v>D25015875</v>
          </cell>
          <cell r="F5356"/>
          <cell r="G5356">
            <v>500000000</v>
          </cell>
          <cell r="H5356" t="str">
            <v>Zakia</v>
          </cell>
          <cell r="I5356" t="str">
            <v>Tiya</v>
          </cell>
          <cell r="J5356"/>
          <cell r="K5356" t="str">
            <v>KU</v>
          </cell>
          <cell r="L5356" t="str">
            <v>MULU01</v>
          </cell>
          <cell r="M5356" t="str">
            <v>Mulur, UD</v>
          </cell>
          <cell r="N5356" t="str">
            <v>Mulur Agropreneur, CV</v>
          </cell>
          <cell r="O5356" t="str">
            <v>Jl. Pehkulon 107, RT.003/RW.001 Pehkulon, Papar, Kab. Kediri</v>
          </cell>
          <cell r="P5356" t="str">
            <v>Kediri</v>
          </cell>
          <cell r="Q5356" t="str">
            <v>Jl. Pehkulon 107, RT.003/RW.001 Pehkulon, Papar, Kab. Kediri</v>
          </cell>
          <cell r="R5356" t="str">
            <v>Kediri</v>
          </cell>
          <cell r="S5356" t="str">
            <v>D Barat2</v>
          </cell>
          <cell r="T5356" t="str">
            <v>Tomi</v>
          </cell>
          <cell r="U5356">
            <v>30</v>
          </cell>
        </row>
        <row r="5357">
          <cell r="E5357" t="str">
            <v>B25014078</v>
          </cell>
          <cell r="F5357"/>
          <cell r="G5357">
            <v>500000000</v>
          </cell>
          <cell r="H5357" t="str">
            <v>Zakia</v>
          </cell>
          <cell r="I5357" t="str">
            <v>Tiya</v>
          </cell>
          <cell r="J5357"/>
          <cell r="K5357" t="str">
            <v>KU</v>
          </cell>
          <cell r="L5357" t="str">
            <v>MULU01</v>
          </cell>
          <cell r="M5357" t="str">
            <v>Mulur, UD</v>
          </cell>
          <cell r="N5357" t="str">
            <v>Mulur Agropreneur, CV</v>
          </cell>
          <cell r="O5357" t="str">
            <v>Jl. Pehkulon 107, RT.003/RW.001 Pehkulon, Papar, Kab. Kediri</v>
          </cell>
          <cell r="P5357" t="str">
            <v>Kediri</v>
          </cell>
          <cell r="Q5357" t="str">
            <v>Jl. Pehkulon 107, RT.003/RW.001 Pehkulon, Papar, Kab. Kediri</v>
          </cell>
          <cell r="R5357" t="str">
            <v>Kediri</v>
          </cell>
          <cell r="S5357" t="str">
            <v>D Barat2</v>
          </cell>
          <cell r="T5357" t="str">
            <v>Tomi</v>
          </cell>
          <cell r="U5357">
            <v>30</v>
          </cell>
        </row>
        <row r="5358">
          <cell r="E5358" t="str">
            <v>D25011634</v>
          </cell>
          <cell r="F5358"/>
          <cell r="G5358">
            <v>10000000</v>
          </cell>
          <cell r="H5358" t="str">
            <v>Faris</v>
          </cell>
          <cell r="I5358" t="str">
            <v>Syahra</v>
          </cell>
          <cell r="J5358"/>
          <cell r="K5358" t="str">
            <v>KU</v>
          </cell>
          <cell r="L5358" t="str">
            <v>MULY24</v>
          </cell>
          <cell r="M5358" t="str">
            <v>Mulya Lestari, UD/Umi</v>
          </cell>
          <cell r="N5358" t="str">
            <v>Umi Sofia</v>
          </cell>
          <cell r="O5358" t="str">
            <v>Dsn Krajan, RT.003/RW.001, Kel. Padang, Kec. Singojuruh</v>
          </cell>
          <cell r="P5358" t="str">
            <v>Banyuwangi</v>
          </cell>
          <cell r="Q5358" t="str">
            <v>Dsn Krajan, RT.003/RW.001, Kel. Padang, Kec. Singojuruh</v>
          </cell>
          <cell r="R5358" t="str">
            <v>Banyuwangi</v>
          </cell>
          <cell r="S5358" t="str">
            <v>H Bwi1</v>
          </cell>
          <cell r="T5358" t="str">
            <v>Hafid</v>
          </cell>
          <cell r="U5358">
            <v>30</v>
          </cell>
        </row>
        <row r="5359">
          <cell r="E5359" t="str">
            <v>D25013692</v>
          </cell>
          <cell r="F5359"/>
          <cell r="G5359">
            <v>10000000</v>
          </cell>
          <cell r="H5359" t="str">
            <v>Faris</v>
          </cell>
          <cell r="I5359" t="str">
            <v>Syahra</v>
          </cell>
          <cell r="J5359"/>
          <cell r="K5359" t="str">
            <v>KU</v>
          </cell>
          <cell r="L5359" t="str">
            <v>MULY24</v>
          </cell>
          <cell r="M5359" t="str">
            <v>Mulya Lestari, UD/Umi</v>
          </cell>
          <cell r="N5359" t="str">
            <v>Umi Sofia</v>
          </cell>
          <cell r="O5359" t="str">
            <v>Dsn Krajan, RT.003/RW.001, Kel. Padang, Kec. Singojuruh</v>
          </cell>
          <cell r="P5359" t="str">
            <v>Banyuwangi</v>
          </cell>
          <cell r="Q5359" t="str">
            <v>Dsn Krajan, RT.003/RW.001, Kel. Padang, Kec. Singojuruh</v>
          </cell>
          <cell r="R5359" t="str">
            <v>Banyuwangi</v>
          </cell>
          <cell r="S5359" t="str">
            <v>H Bwi1</v>
          </cell>
          <cell r="T5359" t="str">
            <v>Hafid</v>
          </cell>
          <cell r="U5359">
            <v>30</v>
          </cell>
        </row>
        <row r="5360">
          <cell r="E5360" t="str">
            <v>B25011034</v>
          </cell>
          <cell r="F5360"/>
          <cell r="G5360">
            <v>100000000</v>
          </cell>
          <cell r="H5360" t="str">
            <v>Zakia</v>
          </cell>
          <cell r="I5360" t="str">
            <v>Tiya</v>
          </cell>
          <cell r="J5360" t="str">
            <v>New 21/02/20</v>
          </cell>
          <cell r="K5360" t="str">
            <v>KU, Tunai</v>
          </cell>
          <cell r="L5360" t="str">
            <v>MULY16</v>
          </cell>
          <cell r="M5360" t="str">
            <v>Mulya Tani/Sahrul</v>
          </cell>
          <cell r="N5360" t="str">
            <v>Muhammad Sahrul Irawan</v>
          </cell>
          <cell r="O5360" t="str">
            <v>Dsn. Kamogan RT.001/RW.007 Kel. Kolomayan, Kec. Wonodadi</v>
          </cell>
          <cell r="P5360" t="str">
            <v>Blitar</v>
          </cell>
          <cell r="Q5360" t="str">
            <v>Dsn. Kamogan RT.001/RW.007 Kel. Kolomayan, Kec. Wonodadi</v>
          </cell>
          <cell r="R5360" t="str">
            <v>Blitar</v>
          </cell>
          <cell r="S5360" t="str">
            <v>D Barat2</v>
          </cell>
          <cell r="T5360" t="str">
            <v>Tomi</v>
          </cell>
          <cell r="U5360">
            <v>30</v>
          </cell>
        </row>
        <row r="5361">
          <cell r="E5361" t="str">
            <v>B25011521</v>
          </cell>
          <cell r="F5361"/>
          <cell r="G5361">
            <v>100000000</v>
          </cell>
          <cell r="H5361" t="str">
            <v>Zakia</v>
          </cell>
          <cell r="I5361" t="str">
            <v>Tiya</v>
          </cell>
          <cell r="J5361" t="str">
            <v>New 21/02/20</v>
          </cell>
          <cell r="K5361" t="str">
            <v>KU, Tunai</v>
          </cell>
          <cell r="L5361" t="str">
            <v>MULY16</v>
          </cell>
          <cell r="M5361" t="str">
            <v>Mulya Tani/Sahrul</v>
          </cell>
          <cell r="N5361" t="str">
            <v>Muhammad Sahrul Irawan</v>
          </cell>
          <cell r="O5361" t="str">
            <v>Dsn. Kamogan RT.001/RW.007 Kel. Kolomayan, Kec. Wonodadi</v>
          </cell>
          <cell r="P5361" t="str">
            <v>Blitar</v>
          </cell>
          <cell r="Q5361" t="str">
            <v>Dsn. Kamogan RT.001/RW.007 Kel. Kolomayan, Kec. Wonodadi</v>
          </cell>
          <cell r="R5361" t="str">
            <v>Blitar</v>
          </cell>
          <cell r="S5361" t="str">
            <v>D Barat2</v>
          </cell>
          <cell r="T5361" t="str">
            <v>Tomi</v>
          </cell>
          <cell r="U5361">
            <v>60</v>
          </cell>
        </row>
        <row r="5362">
          <cell r="E5362" t="str">
            <v>B25011522</v>
          </cell>
          <cell r="F5362"/>
          <cell r="G5362">
            <v>100000000</v>
          </cell>
          <cell r="H5362" t="str">
            <v>Zakia</v>
          </cell>
          <cell r="I5362" t="str">
            <v>Tiya</v>
          </cell>
          <cell r="J5362" t="str">
            <v>New 21/02/20</v>
          </cell>
          <cell r="K5362" t="str">
            <v>KU, Tunai</v>
          </cell>
          <cell r="L5362" t="str">
            <v>MULY16</v>
          </cell>
          <cell r="M5362" t="str">
            <v>Mulya Tani/Sahrul</v>
          </cell>
          <cell r="N5362" t="str">
            <v>Muhammad Sahrul Irawan</v>
          </cell>
          <cell r="O5362" t="str">
            <v>Dsn. Kamogan RT.001/RW.007 Kel. Kolomayan, Kec. Wonodadi</v>
          </cell>
          <cell r="P5362" t="str">
            <v>Blitar</v>
          </cell>
          <cell r="Q5362" t="str">
            <v>Dsn. Kamogan RT.001/RW.007 Kel. Kolomayan, Kec. Wonodadi</v>
          </cell>
          <cell r="R5362" t="str">
            <v>Blitar</v>
          </cell>
          <cell r="S5362" t="str">
            <v>D Barat2</v>
          </cell>
          <cell r="T5362" t="str">
            <v>Tomi</v>
          </cell>
          <cell r="U5362">
            <v>30</v>
          </cell>
        </row>
        <row r="5363">
          <cell r="E5363" t="str">
            <v>D25013729</v>
          </cell>
          <cell r="F5363"/>
          <cell r="G5363">
            <v>100000000</v>
          </cell>
          <cell r="H5363" t="str">
            <v>Zakia</v>
          </cell>
          <cell r="I5363" t="str">
            <v>Tiya</v>
          </cell>
          <cell r="J5363" t="str">
            <v>New 21/02/20</v>
          </cell>
          <cell r="K5363" t="str">
            <v>KU, Tunai</v>
          </cell>
          <cell r="L5363" t="str">
            <v>MULY16</v>
          </cell>
          <cell r="M5363" t="str">
            <v>Mulya Tani/Sahrul</v>
          </cell>
          <cell r="N5363" t="str">
            <v>Muhammad Sahrul Irawan</v>
          </cell>
          <cell r="O5363" t="str">
            <v>Dsn. Kamogan RT.001/RW.007 Kel. Kolomayan, Kec. Wonodadi</v>
          </cell>
          <cell r="P5363" t="str">
            <v>Blitar</v>
          </cell>
          <cell r="Q5363" t="str">
            <v>Dsn. Kamogan RT.001/RW.007 Kel. Kolomayan, Kec. Wonodadi</v>
          </cell>
          <cell r="R5363" t="str">
            <v>Blitar</v>
          </cell>
          <cell r="S5363" t="str">
            <v>D Barat2</v>
          </cell>
          <cell r="T5363" t="str">
            <v>Tomi</v>
          </cell>
          <cell r="U5363">
            <v>30</v>
          </cell>
        </row>
        <row r="5364">
          <cell r="E5364" t="str">
            <v>D25014794</v>
          </cell>
          <cell r="F5364"/>
          <cell r="G5364">
            <v>100000000</v>
          </cell>
          <cell r="H5364" t="str">
            <v>Zakia</v>
          </cell>
          <cell r="I5364" t="str">
            <v>Tiya</v>
          </cell>
          <cell r="J5364" t="str">
            <v>New 21/02/20</v>
          </cell>
          <cell r="K5364" t="str">
            <v>KU, Tunai</v>
          </cell>
          <cell r="L5364" t="str">
            <v>MULY16</v>
          </cell>
          <cell r="M5364" t="str">
            <v>Mulya Tani/Sahrul</v>
          </cell>
          <cell r="N5364" t="str">
            <v>Muhammad Sahrul Irawan</v>
          </cell>
          <cell r="O5364" t="str">
            <v>Dsn. Kamogan RT.001/RW.007 Kel. Kolomayan, Kec. Wonodadi</v>
          </cell>
          <cell r="P5364" t="str">
            <v>Blitar</v>
          </cell>
          <cell r="Q5364" t="str">
            <v>Dsn. Kamogan RT.001/RW.007 Kel. Kolomayan, Kec. Wonodadi</v>
          </cell>
          <cell r="R5364" t="str">
            <v>Blitar</v>
          </cell>
          <cell r="S5364" t="str">
            <v>D Barat2</v>
          </cell>
          <cell r="T5364" t="str">
            <v>Tomi</v>
          </cell>
          <cell r="U5364">
            <v>30</v>
          </cell>
        </row>
        <row r="5365">
          <cell r="E5365" t="str">
            <v>D25015956</v>
          </cell>
          <cell r="F5365"/>
          <cell r="G5365">
            <v>100000000</v>
          </cell>
          <cell r="H5365" t="str">
            <v>Zakia</v>
          </cell>
          <cell r="I5365" t="str">
            <v>Tiya</v>
          </cell>
          <cell r="J5365" t="str">
            <v>New 21/02/20</v>
          </cell>
          <cell r="K5365" t="str">
            <v>KU, Tunai</v>
          </cell>
          <cell r="L5365" t="str">
            <v>MULY16</v>
          </cell>
          <cell r="M5365" t="str">
            <v>Mulya Tani/Sahrul</v>
          </cell>
          <cell r="N5365" t="str">
            <v>Muhammad Sahrul Irawan</v>
          </cell>
          <cell r="O5365" t="str">
            <v>Dsn. Kamogan RT.001/RW.007 Kel. Kolomayan, Kec. Wonodadi</v>
          </cell>
          <cell r="P5365" t="str">
            <v>Blitar</v>
          </cell>
          <cell r="Q5365" t="str">
            <v>Dsn. Kamogan RT.001/RW.007 Kel. Kolomayan, Kec. Wonodadi</v>
          </cell>
          <cell r="R5365" t="str">
            <v>Blitar</v>
          </cell>
          <cell r="S5365" t="str">
            <v>D Barat2</v>
          </cell>
          <cell r="T5365" t="str">
            <v>Tomi</v>
          </cell>
          <cell r="U5365">
            <v>0</v>
          </cell>
        </row>
        <row r="5366">
          <cell r="E5366" t="str">
            <v>T25001580</v>
          </cell>
          <cell r="F5366"/>
          <cell r="G5366">
            <v>100000000</v>
          </cell>
          <cell r="H5366" t="str">
            <v>Zakia</v>
          </cell>
          <cell r="I5366" t="str">
            <v>Tiya</v>
          </cell>
          <cell r="J5366" t="str">
            <v>New 21/02/20</v>
          </cell>
          <cell r="K5366" t="str">
            <v>KU, Tunai</v>
          </cell>
          <cell r="L5366" t="str">
            <v>MULY16</v>
          </cell>
          <cell r="M5366" t="str">
            <v>Mulya Tani/Sahrul</v>
          </cell>
          <cell r="N5366" t="str">
            <v>Muhammad Sahrul Irawan</v>
          </cell>
          <cell r="O5366" t="str">
            <v>Dsn. Kamogan RT.001/RW.007 Kel. Kolomayan, Kec. Wonodadi</v>
          </cell>
          <cell r="P5366" t="str">
            <v>Blitar</v>
          </cell>
          <cell r="Q5366" t="str">
            <v>Dsn. Kamogan RT.001/RW.007 Kel. Kolomayan, Kec. Wonodadi</v>
          </cell>
          <cell r="R5366" t="str">
            <v>Blitar</v>
          </cell>
          <cell r="S5366" t="str">
            <v>D Barat2</v>
          </cell>
          <cell r="T5366" t="str">
            <v>Tomi</v>
          </cell>
          <cell r="U5366">
            <v>60</v>
          </cell>
        </row>
        <row r="5367">
          <cell r="E5367" t="str">
            <v>B25010558</v>
          </cell>
          <cell r="F5367"/>
          <cell r="G5367">
            <v>10000000</v>
          </cell>
          <cell r="H5367" t="str">
            <v>Reni</v>
          </cell>
          <cell r="I5367" t="str">
            <v>Fira</v>
          </cell>
          <cell r="J5367" t="str">
            <v>New 07/08/20</v>
          </cell>
          <cell r="K5367" t="str">
            <v>KU, Tunai</v>
          </cell>
          <cell r="L5367" t="str">
            <v>MULY18</v>
          </cell>
          <cell r="M5367" t="str">
            <v>Mulya Tani/Slamet</v>
          </cell>
          <cell r="N5367" t="str">
            <v>Slamet Prihantono</v>
          </cell>
          <cell r="O5367" t="str">
            <v>Dusun Sedeng, RT.001/RW.001, Kel. Sedeng, Kec. Kanor</v>
          </cell>
          <cell r="P5367" t="str">
            <v>Bojonegoro</v>
          </cell>
          <cell r="Q5367" t="str">
            <v>Tambahrejo, Kec. Kanor</v>
          </cell>
          <cell r="R5367" t="str">
            <v>Bojonegoro</v>
          </cell>
          <cell r="S5367" t="str">
            <v>F Utara1</v>
          </cell>
          <cell r="T5367" t="str">
            <v>Dian</v>
          </cell>
          <cell r="U5367">
            <v>60</v>
          </cell>
        </row>
        <row r="5368">
          <cell r="E5368" t="str">
            <v>B25014062</v>
          </cell>
          <cell r="F5368"/>
          <cell r="G5368">
            <v>10000000</v>
          </cell>
          <cell r="H5368" t="str">
            <v>Reni</v>
          </cell>
          <cell r="I5368" t="str">
            <v>Fira</v>
          </cell>
          <cell r="J5368" t="str">
            <v>New 07/08/20</v>
          </cell>
          <cell r="K5368" t="str">
            <v>KU, Tunai</v>
          </cell>
          <cell r="L5368" t="str">
            <v>MULY18</v>
          </cell>
          <cell r="M5368" t="str">
            <v>Mulya Tani/Slamet</v>
          </cell>
          <cell r="N5368" t="str">
            <v>Slamet Prihantono</v>
          </cell>
          <cell r="O5368" t="str">
            <v>Dusun Sedeng, RT.001/RW.001, Kel. Sedeng, Kec. Kanor</v>
          </cell>
          <cell r="P5368" t="str">
            <v>Bojonegoro</v>
          </cell>
          <cell r="Q5368" t="str">
            <v>Tambahrejo, Kec. Kanor</v>
          </cell>
          <cell r="R5368" t="str">
            <v>Bojonegoro</v>
          </cell>
          <cell r="S5368" t="str">
            <v>F Utara1</v>
          </cell>
          <cell r="T5368" t="str">
            <v>Dian</v>
          </cell>
          <cell r="U5368">
            <v>60</v>
          </cell>
        </row>
        <row r="5369">
          <cell r="E5369" t="str">
            <v>C25000825</v>
          </cell>
          <cell r="F5369"/>
          <cell r="G5369">
            <v>1000</v>
          </cell>
          <cell r="H5369" t="str">
            <v>Yuyun</v>
          </cell>
          <cell r="I5369" t="str">
            <v>Syahra</v>
          </cell>
          <cell r="J5369" t="str">
            <v>New 10/10/24</v>
          </cell>
          <cell r="K5369" t="str">
            <v>KU</v>
          </cell>
          <cell r="L5369" t="str">
            <v>MULY27</v>
          </cell>
          <cell r="M5369" t="str">
            <v>Mulyadi/Kenso</v>
          </cell>
          <cell r="N5369" t="str">
            <v>Mulyadi Ihwan</v>
          </cell>
          <cell r="O5369" t="str">
            <v>Jl. Talang Keramat Perumahan Griya Mulya Blok B No. 12 RT.003/RW.001, Kel. Kenten, Kec. Talang Kelapa, Kab. Banyuasin</v>
          </cell>
          <cell r="P5369" t="str">
            <v>Sumatera Selatan</v>
          </cell>
          <cell r="Q5369" t="str">
            <v>Jl. Talang Keramat Perumahan Griya Mulya Blok B No. 12 RT.003/RW.001, Kel. Kenten, Kec. Talang Kelapa, Kab. Banyuasin</v>
          </cell>
          <cell r="R5369" t="str">
            <v>Sumatera Selatan</v>
          </cell>
          <cell r="S5369" t="str">
            <v>B Agronomis</v>
          </cell>
          <cell r="T5369" t="str">
            <v>Non SE &amp; JSE</v>
          </cell>
          <cell r="U5369">
            <v>0</v>
          </cell>
        </row>
        <row r="5370">
          <cell r="E5370" t="str">
            <v>D25007493</v>
          </cell>
          <cell r="F5370"/>
          <cell r="G5370">
            <v>3350000000</v>
          </cell>
          <cell r="H5370" t="str">
            <v>Faris</v>
          </cell>
          <cell r="I5370" t="str">
            <v>Syahra</v>
          </cell>
          <cell r="J5370"/>
          <cell r="K5370" t="str">
            <v>KU</v>
          </cell>
          <cell r="L5370" t="str">
            <v>MULY07</v>
          </cell>
          <cell r="M5370" t="str">
            <v>Mulyo Tani/Danang</v>
          </cell>
          <cell r="N5370" t="str">
            <v>Danang Widyanto</v>
          </cell>
          <cell r="O5370" t="str">
            <v>Dsn. Mulyoasri, RT.08/RW.02, Sumbermulyo, Pesanggaran</v>
          </cell>
          <cell r="P5370" t="str">
            <v>Banyuwangi</v>
          </cell>
          <cell r="Q5370" t="str">
            <v>Dsn. Mulyoasri, RT.08/RW.02, Sumbermulyo, Pesanggaran</v>
          </cell>
          <cell r="R5370" t="str">
            <v>Banyuwangi</v>
          </cell>
          <cell r="S5370" t="str">
            <v>H Bwi4</v>
          </cell>
          <cell r="T5370" t="str">
            <v>Hafid</v>
          </cell>
          <cell r="U5370">
            <v>90</v>
          </cell>
        </row>
        <row r="5371">
          <cell r="E5371" t="str">
            <v>D25007493</v>
          </cell>
          <cell r="F5371"/>
          <cell r="G5371">
            <v>3350000000</v>
          </cell>
          <cell r="H5371" t="str">
            <v>Faris</v>
          </cell>
          <cell r="I5371" t="str">
            <v>Syahra</v>
          </cell>
          <cell r="J5371"/>
          <cell r="K5371" t="str">
            <v>KU</v>
          </cell>
          <cell r="L5371" t="str">
            <v>MULY07</v>
          </cell>
          <cell r="M5371" t="str">
            <v>Mulyo Tani/Danang</v>
          </cell>
          <cell r="N5371" t="str">
            <v>Danang Widyanto</v>
          </cell>
          <cell r="O5371" t="str">
            <v>Dsn. Mulyoasri, RT.08/RW.02, Sumbermulyo, Pesanggaran</v>
          </cell>
          <cell r="P5371" t="str">
            <v>Banyuwangi</v>
          </cell>
          <cell r="Q5371" t="str">
            <v>Dsn. Mulyoasri, RT.08/RW.02, Sumbermulyo, Pesanggaran</v>
          </cell>
          <cell r="R5371" t="str">
            <v>Banyuwangi</v>
          </cell>
          <cell r="S5371" t="str">
            <v>H Bwi4</v>
          </cell>
          <cell r="T5371" t="str">
            <v>Hafid</v>
          </cell>
          <cell r="U5371">
            <v>90</v>
          </cell>
        </row>
        <row r="5372">
          <cell r="E5372" t="str">
            <v>D25007493</v>
          </cell>
          <cell r="F5372"/>
          <cell r="G5372">
            <v>3350000000</v>
          </cell>
          <cell r="H5372" t="str">
            <v>Faris</v>
          </cell>
          <cell r="I5372" t="str">
            <v>Syahra</v>
          </cell>
          <cell r="J5372"/>
          <cell r="K5372" t="str">
            <v>KU</v>
          </cell>
          <cell r="L5372" t="str">
            <v>MULY07</v>
          </cell>
          <cell r="M5372" t="str">
            <v>Mulyo Tani/Danang</v>
          </cell>
          <cell r="N5372" t="str">
            <v>Danang Widyanto</v>
          </cell>
          <cell r="O5372" t="str">
            <v>Dsn. Mulyoasri, RT.08/RW.02, Sumbermulyo, Pesanggaran</v>
          </cell>
          <cell r="P5372" t="str">
            <v>Banyuwangi</v>
          </cell>
          <cell r="Q5372" t="str">
            <v>Dsn. Mulyoasri, RT.08/RW.02, Sumbermulyo, Pesanggaran</v>
          </cell>
          <cell r="R5372" t="str">
            <v>Banyuwangi</v>
          </cell>
          <cell r="S5372" t="str">
            <v>H Bwi4</v>
          </cell>
          <cell r="T5372" t="str">
            <v>Hafid</v>
          </cell>
          <cell r="U5372">
            <v>90</v>
          </cell>
        </row>
        <row r="5373">
          <cell r="E5373" t="str">
            <v>D25007493</v>
          </cell>
          <cell r="F5373"/>
          <cell r="G5373">
            <v>3350000000</v>
          </cell>
          <cell r="H5373" t="str">
            <v>Faris</v>
          </cell>
          <cell r="I5373" t="str">
            <v>Syahra</v>
          </cell>
          <cell r="J5373"/>
          <cell r="K5373" t="str">
            <v>KU</v>
          </cell>
          <cell r="L5373" t="str">
            <v>MULY07</v>
          </cell>
          <cell r="M5373" t="str">
            <v>Mulyo Tani/Danang</v>
          </cell>
          <cell r="N5373" t="str">
            <v>Danang Widyanto</v>
          </cell>
          <cell r="O5373" t="str">
            <v>Dsn. Mulyoasri, RT.08/RW.02, Sumbermulyo, Pesanggaran</v>
          </cell>
          <cell r="P5373" t="str">
            <v>Banyuwangi</v>
          </cell>
          <cell r="Q5373" t="str">
            <v>Dsn. Mulyoasri, RT.08/RW.02, Sumbermulyo, Pesanggaran</v>
          </cell>
          <cell r="R5373" t="str">
            <v>Banyuwangi</v>
          </cell>
          <cell r="S5373" t="str">
            <v>H Bwi4</v>
          </cell>
          <cell r="T5373" t="str">
            <v>Hafid</v>
          </cell>
          <cell r="U5373">
            <v>90</v>
          </cell>
        </row>
        <row r="5374">
          <cell r="E5374" t="str">
            <v>B25006917</v>
          </cell>
          <cell r="F5374"/>
          <cell r="G5374">
            <v>3350000000</v>
          </cell>
          <cell r="H5374" t="str">
            <v>Faris</v>
          </cell>
          <cell r="I5374" t="str">
            <v>Syahra</v>
          </cell>
          <cell r="J5374"/>
          <cell r="K5374" t="str">
            <v>KU</v>
          </cell>
          <cell r="L5374" t="str">
            <v>MULY07</v>
          </cell>
          <cell r="M5374" t="str">
            <v>Mulyo Tani/Danang</v>
          </cell>
          <cell r="N5374" t="str">
            <v>Danang Widyanto</v>
          </cell>
          <cell r="O5374" t="str">
            <v>Dsn. Mulyoasri, RT.08/RW.02, Sumbermulyo, Pesanggaran</v>
          </cell>
          <cell r="P5374" t="str">
            <v>Banyuwangi</v>
          </cell>
          <cell r="Q5374" t="str">
            <v>Dsn. Mulyoasri, RT.08/RW.02, Sumbermulyo, Pesanggaran</v>
          </cell>
          <cell r="R5374" t="str">
            <v>Banyuwangi</v>
          </cell>
          <cell r="S5374" t="str">
            <v>H Bwi4</v>
          </cell>
          <cell r="T5374" t="str">
            <v>Hafid</v>
          </cell>
          <cell r="U5374">
            <v>60</v>
          </cell>
        </row>
        <row r="5375">
          <cell r="E5375" t="str">
            <v>B25007038</v>
          </cell>
          <cell r="F5375"/>
          <cell r="G5375">
            <v>3350000000</v>
          </cell>
          <cell r="H5375" t="str">
            <v>Faris</v>
          </cell>
          <cell r="I5375" t="str">
            <v>Syahra</v>
          </cell>
          <cell r="J5375"/>
          <cell r="K5375" t="str">
            <v>KU</v>
          </cell>
          <cell r="L5375" t="str">
            <v>MULY07</v>
          </cell>
          <cell r="M5375" t="str">
            <v>Mulyo Tani/Danang</v>
          </cell>
          <cell r="N5375" t="str">
            <v>Danang Widyanto</v>
          </cell>
          <cell r="O5375" t="str">
            <v>Dsn. Mulyoasri, RT.08/RW.02, Sumbermulyo, Pesanggaran</v>
          </cell>
          <cell r="P5375" t="str">
            <v>Banyuwangi</v>
          </cell>
          <cell r="Q5375" t="str">
            <v>Dsn. Mulyoasri, RT.08/RW.02, Sumbermulyo, Pesanggaran</v>
          </cell>
          <cell r="R5375" t="str">
            <v>Banyuwangi</v>
          </cell>
          <cell r="S5375" t="str">
            <v>H Bwi4</v>
          </cell>
          <cell r="T5375" t="str">
            <v>Hafid</v>
          </cell>
          <cell r="U5375">
            <v>60</v>
          </cell>
        </row>
        <row r="5376">
          <cell r="E5376" t="str">
            <v>B25007038</v>
          </cell>
          <cell r="F5376"/>
          <cell r="G5376">
            <v>3350000000</v>
          </cell>
          <cell r="H5376" t="str">
            <v>Faris</v>
          </cell>
          <cell r="I5376" t="str">
            <v>Syahra</v>
          </cell>
          <cell r="J5376"/>
          <cell r="K5376" t="str">
            <v>KU</v>
          </cell>
          <cell r="L5376" t="str">
            <v>MULY07</v>
          </cell>
          <cell r="M5376" t="str">
            <v>Mulyo Tani/Danang</v>
          </cell>
          <cell r="N5376" t="str">
            <v>Danang Widyanto</v>
          </cell>
          <cell r="O5376" t="str">
            <v>Dsn. Mulyoasri, RT.08/RW.02, Sumbermulyo, Pesanggaran</v>
          </cell>
          <cell r="P5376" t="str">
            <v>Banyuwangi</v>
          </cell>
          <cell r="Q5376" t="str">
            <v>Dsn. Mulyoasri, RT.08/RW.02, Sumbermulyo, Pesanggaran</v>
          </cell>
          <cell r="R5376" t="str">
            <v>Banyuwangi</v>
          </cell>
          <cell r="S5376" t="str">
            <v>H Bwi4</v>
          </cell>
          <cell r="T5376" t="str">
            <v>Hafid</v>
          </cell>
          <cell r="U5376">
            <v>60</v>
          </cell>
        </row>
        <row r="5377">
          <cell r="E5377" t="str">
            <v>T25000937k</v>
          </cell>
          <cell r="F5377"/>
          <cell r="G5377">
            <v>3350000000</v>
          </cell>
          <cell r="H5377" t="str">
            <v>Faris</v>
          </cell>
          <cell r="I5377" t="str">
            <v>Syahra</v>
          </cell>
          <cell r="J5377"/>
          <cell r="K5377" t="str">
            <v>KU</v>
          </cell>
          <cell r="L5377" t="str">
            <v>MULY07</v>
          </cell>
          <cell r="M5377" t="str">
            <v>Mulyo Tani/Danang</v>
          </cell>
          <cell r="N5377" t="str">
            <v>Danang Widyanto</v>
          </cell>
          <cell r="O5377" t="str">
            <v>Dsn. Mulyoasri, RT.08/RW.02, Sumbermulyo, Pesanggaran</v>
          </cell>
          <cell r="P5377" t="str">
            <v>Banyuwangi</v>
          </cell>
          <cell r="Q5377" t="str">
            <v>Dsn. Mulyoasri, RT.08/RW.02, Sumbermulyo, Pesanggaran</v>
          </cell>
          <cell r="R5377" t="str">
            <v>Banyuwangi</v>
          </cell>
          <cell r="S5377" t="str">
            <v>H Bwi4</v>
          </cell>
          <cell r="T5377" t="str">
            <v>Hafid</v>
          </cell>
          <cell r="U5377">
            <v>120</v>
          </cell>
        </row>
        <row r="5378">
          <cell r="E5378" t="str">
            <v>D25009867</v>
          </cell>
          <cell r="F5378"/>
          <cell r="G5378">
            <v>3350000000</v>
          </cell>
          <cell r="H5378" t="str">
            <v>Faris</v>
          </cell>
          <cell r="I5378" t="str">
            <v>Syahra</v>
          </cell>
          <cell r="J5378"/>
          <cell r="K5378" t="str">
            <v>KU</v>
          </cell>
          <cell r="L5378" t="str">
            <v>MULY07</v>
          </cell>
          <cell r="M5378" t="str">
            <v>Mulyo Tani/Danang</v>
          </cell>
          <cell r="N5378" t="str">
            <v>Danang Widyanto</v>
          </cell>
          <cell r="O5378" t="str">
            <v>Dsn. Mulyoasri, RT.08/RW.02, Sumbermulyo, Pesanggaran</v>
          </cell>
          <cell r="P5378" t="str">
            <v>Banyuwangi</v>
          </cell>
          <cell r="Q5378" t="str">
            <v>Dsn. Mulyoasri, RT.08/RW.02, Sumbermulyo, Pesanggaran</v>
          </cell>
          <cell r="R5378" t="str">
            <v>Banyuwangi</v>
          </cell>
          <cell r="S5378" t="str">
            <v>H Bwi4</v>
          </cell>
          <cell r="T5378" t="str">
            <v>Hafid</v>
          </cell>
          <cell r="U5378">
            <v>90</v>
          </cell>
        </row>
        <row r="5379">
          <cell r="E5379" t="str">
            <v>D25009873</v>
          </cell>
          <cell r="F5379"/>
          <cell r="G5379">
            <v>3350000000</v>
          </cell>
          <cell r="H5379" t="str">
            <v>Faris</v>
          </cell>
          <cell r="I5379" t="str">
            <v>Syahra</v>
          </cell>
          <cell r="J5379"/>
          <cell r="K5379" t="str">
            <v>KU</v>
          </cell>
          <cell r="L5379" t="str">
            <v>MULY07</v>
          </cell>
          <cell r="M5379" t="str">
            <v>Mulyo Tani/Danang</v>
          </cell>
          <cell r="N5379" t="str">
            <v>Danang Widyanto</v>
          </cell>
          <cell r="O5379" t="str">
            <v>Dsn. Mulyoasri, RT.08/RW.02, Sumbermulyo, Pesanggaran</v>
          </cell>
          <cell r="P5379" t="str">
            <v>Banyuwangi</v>
          </cell>
          <cell r="Q5379" t="str">
            <v>Dsn. Mulyoasri, RT.08/RW.02, Sumbermulyo, Pesanggaran</v>
          </cell>
          <cell r="R5379" t="str">
            <v>Banyuwangi</v>
          </cell>
          <cell r="S5379" t="str">
            <v>H Bwi4</v>
          </cell>
          <cell r="T5379" t="str">
            <v>Hafid</v>
          </cell>
          <cell r="U5379">
            <v>60</v>
          </cell>
        </row>
        <row r="5380">
          <cell r="E5380" t="str">
            <v>D25009873</v>
          </cell>
          <cell r="F5380"/>
          <cell r="G5380">
            <v>3350000000</v>
          </cell>
          <cell r="H5380" t="str">
            <v>Faris</v>
          </cell>
          <cell r="I5380" t="str">
            <v>Syahra</v>
          </cell>
          <cell r="J5380"/>
          <cell r="K5380" t="str">
            <v>KU</v>
          </cell>
          <cell r="L5380" t="str">
            <v>MULY07</v>
          </cell>
          <cell r="M5380" t="str">
            <v>Mulyo Tani/Danang</v>
          </cell>
          <cell r="N5380" t="str">
            <v>Danang Widyanto</v>
          </cell>
          <cell r="O5380" t="str">
            <v>Dsn. Mulyoasri, RT.08/RW.02, Sumbermulyo, Pesanggaran</v>
          </cell>
          <cell r="P5380" t="str">
            <v>Banyuwangi</v>
          </cell>
          <cell r="Q5380" t="str">
            <v>Dsn. Mulyoasri, RT.08/RW.02, Sumbermulyo, Pesanggaran</v>
          </cell>
          <cell r="R5380" t="str">
            <v>Banyuwangi</v>
          </cell>
          <cell r="S5380" t="str">
            <v>H Bwi4</v>
          </cell>
          <cell r="T5380" t="str">
            <v>Hafid</v>
          </cell>
          <cell r="U5380">
            <v>60</v>
          </cell>
        </row>
        <row r="5381">
          <cell r="E5381" t="str">
            <v>D25009873</v>
          </cell>
          <cell r="F5381"/>
          <cell r="G5381">
            <v>3350000000</v>
          </cell>
          <cell r="H5381" t="str">
            <v>Faris</v>
          </cell>
          <cell r="I5381" t="str">
            <v>Syahra</v>
          </cell>
          <cell r="J5381"/>
          <cell r="K5381" t="str">
            <v>KU</v>
          </cell>
          <cell r="L5381" t="str">
            <v>MULY07</v>
          </cell>
          <cell r="M5381" t="str">
            <v>Mulyo Tani/Danang</v>
          </cell>
          <cell r="N5381" t="str">
            <v>Danang Widyanto</v>
          </cell>
          <cell r="O5381" t="str">
            <v>Dsn. Mulyoasri, RT.08/RW.02, Sumbermulyo, Pesanggaran</v>
          </cell>
          <cell r="P5381" t="str">
            <v>Banyuwangi</v>
          </cell>
          <cell r="Q5381" t="str">
            <v>Dsn. Mulyoasri, RT.08/RW.02, Sumbermulyo, Pesanggaran</v>
          </cell>
          <cell r="R5381" t="str">
            <v>Banyuwangi</v>
          </cell>
          <cell r="S5381" t="str">
            <v>H Bwi4</v>
          </cell>
          <cell r="T5381" t="str">
            <v>Hafid</v>
          </cell>
          <cell r="U5381">
            <v>60</v>
          </cell>
        </row>
        <row r="5382">
          <cell r="E5382" t="str">
            <v>D25009874</v>
          </cell>
          <cell r="F5382"/>
          <cell r="G5382">
            <v>3350000000</v>
          </cell>
          <cell r="H5382" t="str">
            <v>Faris</v>
          </cell>
          <cell r="I5382" t="str">
            <v>Syahra</v>
          </cell>
          <cell r="J5382"/>
          <cell r="K5382" t="str">
            <v>KU</v>
          </cell>
          <cell r="L5382" t="str">
            <v>MULY07</v>
          </cell>
          <cell r="M5382" t="str">
            <v>Mulyo Tani/Danang</v>
          </cell>
          <cell r="N5382" t="str">
            <v>Danang Widyanto</v>
          </cell>
          <cell r="O5382" t="str">
            <v>Dsn. Mulyoasri, RT.08/RW.02, Sumbermulyo, Pesanggaran</v>
          </cell>
          <cell r="P5382" t="str">
            <v>Banyuwangi</v>
          </cell>
          <cell r="Q5382" t="str">
            <v>Dsn. Mulyoasri, RT.08/RW.02, Sumbermulyo, Pesanggaran</v>
          </cell>
          <cell r="R5382" t="str">
            <v>Banyuwangi</v>
          </cell>
          <cell r="S5382" t="str">
            <v>H Bwi4</v>
          </cell>
          <cell r="T5382" t="str">
            <v>Hafid</v>
          </cell>
          <cell r="U5382">
            <v>60</v>
          </cell>
        </row>
        <row r="5383">
          <cell r="E5383" t="str">
            <v>D25010577</v>
          </cell>
          <cell r="F5383"/>
          <cell r="G5383">
            <v>3350000000</v>
          </cell>
          <cell r="H5383" t="str">
            <v>Faris</v>
          </cell>
          <cell r="I5383" t="str">
            <v>Syahra</v>
          </cell>
          <cell r="J5383"/>
          <cell r="K5383" t="str">
            <v>KU</v>
          </cell>
          <cell r="L5383" t="str">
            <v>MULY07</v>
          </cell>
          <cell r="M5383" t="str">
            <v>Mulyo Tani/Danang</v>
          </cell>
          <cell r="N5383" t="str">
            <v>Danang Widyanto</v>
          </cell>
          <cell r="O5383" t="str">
            <v>Dsn. Mulyoasri, RT.08/RW.02, Sumbermulyo, Pesanggaran</v>
          </cell>
          <cell r="P5383" t="str">
            <v>Banyuwangi</v>
          </cell>
          <cell r="Q5383" t="str">
            <v>Dsn. Mulyoasri, RT.08/RW.02, Sumbermulyo, Pesanggaran</v>
          </cell>
          <cell r="R5383" t="str">
            <v>Banyuwangi</v>
          </cell>
          <cell r="S5383" t="str">
            <v>H Bwi4</v>
          </cell>
          <cell r="T5383" t="str">
            <v>Hafid</v>
          </cell>
          <cell r="U5383">
            <v>60</v>
          </cell>
        </row>
        <row r="5384">
          <cell r="E5384" t="str">
            <v>D25010578</v>
          </cell>
          <cell r="F5384"/>
          <cell r="G5384">
            <v>3350000000</v>
          </cell>
          <cell r="H5384" t="str">
            <v>Faris</v>
          </cell>
          <cell r="I5384" t="str">
            <v>Syahra</v>
          </cell>
          <cell r="J5384"/>
          <cell r="K5384" t="str">
            <v>KU</v>
          </cell>
          <cell r="L5384" t="str">
            <v>MULY07</v>
          </cell>
          <cell r="M5384" t="str">
            <v>Mulyo Tani/Danang</v>
          </cell>
          <cell r="N5384" t="str">
            <v>Danang Widyanto</v>
          </cell>
          <cell r="O5384" t="str">
            <v>Dsn. Mulyoasri, RT.08/RW.02, Sumbermulyo, Pesanggaran</v>
          </cell>
          <cell r="P5384" t="str">
            <v>Banyuwangi</v>
          </cell>
          <cell r="Q5384" t="str">
            <v>Dsn. Mulyoasri, RT.08/RW.02, Sumbermulyo, Pesanggaran</v>
          </cell>
          <cell r="R5384" t="str">
            <v>Banyuwangi</v>
          </cell>
          <cell r="S5384" t="str">
            <v>H Bwi4</v>
          </cell>
          <cell r="T5384" t="str">
            <v>Hafid</v>
          </cell>
          <cell r="U5384">
            <v>60</v>
          </cell>
        </row>
        <row r="5385">
          <cell r="E5385" t="str">
            <v>D25010579</v>
          </cell>
          <cell r="F5385"/>
          <cell r="G5385">
            <v>3350000000</v>
          </cell>
          <cell r="H5385" t="str">
            <v>Faris</v>
          </cell>
          <cell r="I5385" t="str">
            <v>Syahra</v>
          </cell>
          <cell r="J5385"/>
          <cell r="K5385" t="str">
            <v>KU</v>
          </cell>
          <cell r="L5385" t="str">
            <v>MULY07</v>
          </cell>
          <cell r="M5385" t="str">
            <v>Mulyo Tani/Danang</v>
          </cell>
          <cell r="N5385" t="str">
            <v>Danang Widyanto</v>
          </cell>
          <cell r="O5385" t="str">
            <v>Dsn. Mulyoasri, RT.08/RW.02, Sumbermulyo, Pesanggaran</v>
          </cell>
          <cell r="P5385" t="str">
            <v>Banyuwangi</v>
          </cell>
          <cell r="Q5385" t="str">
            <v>Dsn. Mulyoasri, RT.08/RW.02, Sumbermulyo, Pesanggaran</v>
          </cell>
          <cell r="R5385" t="str">
            <v>Banyuwangi</v>
          </cell>
          <cell r="S5385" t="str">
            <v>H Bwi4</v>
          </cell>
          <cell r="T5385" t="str">
            <v>Hafid</v>
          </cell>
          <cell r="U5385">
            <v>60</v>
          </cell>
        </row>
        <row r="5386">
          <cell r="E5386" t="str">
            <v>D25010621</v>
          </cell>
          <cell r="F5386"/>
          <cell r="G5386">
            <v>3350000000</v>
          </cell>
          <cell r="H5386" t="str">
            <v>Faris</v>
          </cell>
          <cell r="I5386" t="str">
            <v>Syahra</v>
          </cell>
          <cell r="J5386"/>
          <cell r="K5386" t="str">
            <v>KU</v>
          </cell>
          <cell r="L5386" t="str">
            <v>MULY07</v>
          </cell>
          <cell r="M5386" t="str">
            <v>Mulyo Tani/Danang</v>
          </cell>
          <cell r="N5386" t="str">
            <v>Danang Widyanto</v>
          </cell>
          <cell r="O5386" t="str">
            <v>Dsn. Mulyoasri, RT.08/RW.02, Sumbermulyo, Pesanggaran</v>
          </cell>
          <cell r="P5386" t="str">
            <v>Banyuwangi</v>
          </cell>
          <cell r="Q5386" t="str">
            <v>Dsn. Mulyoasri, RT.08/RW.02, Sumbermulyo, Pesanggaran</v>
          </cell>
          <cell r="R5386" t="str">
            <v>Banyuwangi</v>
          </cell>
          <cell r="S5386" t="str">
            <v>H Bwi4</v>
          </cell>
          <cell r="T5386" t="str">
            <v>Hafid</v>
          </cell>
          <cell r="U5386">
            <v>60</v>
          </cell>
        </row>
        <row r="5387">
          <cell r="E5387" t="str">
            <v>B25009082</v>
          </cell>
          <cell r="F5387"/>
          <cell r="G5387">
            <v>3350000000</v>
          </cell>
          <cell r="H5387" t="str">
            <v>Faris</v>
          </cell>
          <cell r="I5387" t="str">
            <v>Syahra</v>
          </cell>
          <cell r="J5387"/>
          <cell r="K5387" t="str">
            <v>KU</v>
          </cell>
          <cell r="L5387" t="str">
            <v>MULY07</v>
          </cell>
          <cell r="M5387" t="str">
            <v>Mulyo Tani/Danang</v>
          </cell>
          <cell r="N5387" t="str">
            <v>Danang Widyanto</v>
          </cell>
          <cell r="O5387" t="str">
            <v>Dsn. Mulyoasri, RT.08/RW.02, Sumbermulyo, Pesanggaran</v>
          </cell>
          <cell r="P5387" t="str">
            <v>Banyuwangi</v>
          </cell>
          <cell r="Q5387" t="str">
            <v>Dsn. Mulyoasri, RT.08/RW.02, Sumbermulyo, Pesanggaran</v>
          </cell>
          <cell r="R5387" t="str">
            <v>Banyuwangi</v>
          </cell>
          <cell r="S5387" t="str">
            <v>H Bwi4</v>
          </cell>
          <cell r="T5387" t="str">
            <v>Hafid</v>
          </cell>
          <cell r="U5387">
            <v>30</v>
          </cell>
        </row>
        <row r="5388">
          <cell r="E5388" t="str">
            <v>B25009083</v>
          </cell>
          <cell r="F5388"/>
          <cell r="G5388">
            <v>3350000000</v>
          </cell>
          <cell r="H5388" t="str">
            <v>Faris</v>
          </cell>
          <cell r="I5388" t="str">
            <v>Syahra</v>
          </cell>
          <cell r="J5388"/>
          <cell r="K5388" t="str">
            <v>KU</v>
          </cell>
          <cell r="L5388" t="str">
            <v>MULY07</v>
          </cell>
          <cell r="M5388" t="str">
            <v>Mulyo Tani/Danang</v>
          </cell>
          <cell r="N5388" t="str">
            <v>Danang Widyanto</v>
          </cell>
          <cell r="O5388" t="str">
            <v>Dsn. Mulyoasri, RT.08/RW.02, Sumbermulyo, Pesanggaran</v>
          </cell>
          <cell r="P5388" t="str">
            <v>Banyuwangi</v>
          </cell>
          <cell r="Q5388" t="str">
            <v>Dsn. Mulyoasri, RT.08/RW.02, Sumbermulyo, Pesanggaran</v>
          </cell>
          <cell r="R5388" t="str">
            <v>Banyuwangi</v>
          </cell>
          <cell r="S5388" t="str">
            <v>H Bwi4</v>
          </cell>
          <cell r="T5388" t="str">
            <v>Hafid</v>
          </cell>
          <cell r="U5388">
            <v>60</v>
          </cell>
        </row>
        <row r="5389">
          <cell r="E5389" t="str">
            <v>D25011045</v>
          </cell>
          <cell r="F5389"/>
          <cell r="G5389">
            <v>3350000000</v>
          </cell>
          <cell r="H5389" t="str">
            <v>Faris</v>
          </cell>
          <cell r="I5389" t="str">
            <v>Syahra</v>
          </cell>
          <cell r="J5389"/>
          <cell r="K5389" t="str">
            <v>KU</v>
          </cell>
          <cell r="L5389" t="str">
            <v>MULY07</v>
          </cell>
          <cell r="M5389" t="str">
            <v>Mulyo Tani/Danang</v>
          </cell>
          <cell r="N5389" t="str">
            <v>Danang Widyanto</v>
          </cell>
          <cell r="O5389" t="str">
            <v>Dsn. Mulyoasri, RT.08/RW.02, Sumbermulyo, Pesanggaran</v>
          </cell>
          <cell r="P5389" t="str">
            <v>Banyuwangi</v>
          </cell>
          <cell r="Q5389" t="str">
            <v>Dsn. Mulyoasri, RT.08/RW.02, Sumbermulyo, Pesanggaran</v>
          </cell>
          <cell r="R5389" t="str">
            <v>Banyuwangi</v>
          </cell>
          <cell r="S5389" t="str">
            <v>H Bwi4</v>
          </cell>
          <cell r="T5389" t="str">
            <v>Hafid</v>
          </cell>
          <cell r="U5389">
            <v>60</v>
          </cell>
        </row>
        <row r="5390">
          <cell r="E5390" t="str">
            <v>D25011054</v>
          </cell>
          <cell r="F5390"/>
          <cell r="G5390">
            <v>3350000000</v>
          </cell>
          <cell r="H5390" t="str">
            <v>Faris</v>
          </cell>
          <cell r="I5390" t="str">
            <v>Syahra</v>
          </cell>
          <cell r="J5390"/>
          <cell r="K5390" t="str">
            <v>KU</v>
          </cell>
          <cell r="L5390" t="str">
            <v>MULY07</v>
          </cell>
          <cell r="M5390" t="str">
            <v>Mulyo Tani/Danang</v>
          </cell>
          <cell r="N5390" t="str">
            <v>Danang Widyanto</v>
          </cell>
          <cell r="O5390" t="str">
            <v>Dsn. Mulyoasri, RT.08/RW.02, Sumbermulyo, Pesanggaran</v>
          </cell>
          <cell r="P5390" t="str">
            <v>Banyuwangi</v>
          </cell>
          <cell r="Q5390" t="str">
            <v>Dsn. Mulyoasri, RT.08/RW.02, Sumbermulyo, Pesanggaran</v>
          </cell>
          <cell r="R5390" t="str">
            <v>Banyuwangi</v>
          </cell>
          <cell r="S5390" t="str">
            <v>H Bwi4</v>
          </cell>
          <cell r="T5390" t="str">
            <v>Hafid</v>
          </cell>
          <cell r="U5390">
            <v>30</v>
          </cell>
        </row>
        <row r="5391">
          <cell r="E5391" t="str">
            <v>B25009446</v>
          </cell>
          <cell r="F5391"/>
          <cell r="G5391">
            <v>3350000000</v>
          </cell>
          <cell r="H5391" t="str">
            <v>Faris</v>
          </cell>
          <cell r="I5391" t="str">
            <v>Syahra</v>
          </cell>
          <cell r="J5391"/>
          <cell r="K5391" t="str">
            <v>KU</v>
          </cell>
          <cell r="L5391" t="str">
            <v>MULY07</v>
          </cell>
          <cell r="M5391" t="str">
            <v>Mulyo Tani/Danang</v>
          </cell>
          <cell r="N5391" t="str">
            <v>Danang Widyanto</v>
          </cell>
          <cell r="O5391" t="str">
            <v>Dsn. Mulyoasri, RT.08/RW.02, Sumbermulyo, Pesanggaran</v>
          </cell>
          <cell r="P5391" t="str">
            <v>Banyuwangi</v>
          </cell>
          <cell r="Q5391" t="str">
            <v>Dsn. Mulyoasri, RT.08/RW.02, Sumbermulyo, Pesanggaran</v>
          </cell>
          <cell r="R5391" t="str">
            <v>Banyuwangi</v>
          </cell>
          <cell r="S5391" t="str">
            <v>H Bwi4</v>
          </cell>
          <cell r="T5391" t="str">
            <v>Hafid</v>
          </cell>
          <cell r="U5391">
            <v>60</v>
          </cell>
        </row>
        <row r="5392">
          <cell r="E5392" t="str">
            <v>B25009454</v>
          </cell>
          <cell r="F5392"/>
          <cell r="G5392">
            <v>3350000000</v>
          </cell>
          <cell r="H5392" t="str">
            <v>Faris</v>
          </cell>
          <cell r="I5392" t="str">
            <v>Syahra</v>
          </cell>
          <cell r="J5392"/>
          <cell r="K5392" t="str">
            <v>KU</v>
          </cell>
          <cell r="L5392" t="str">
            <v>MULY07</v>
          </cell>
          <cell r="M5392" t="str">
            <v>Mulyo Tani/Danang</v>
          </cell>
          <cell r="N5392" t="str">
            <v>Danang Widyanto</v>
          </cell>
          <cell r="O5392" t="str">
            <v>Dsn. Mulyoasri, RT.08/RW.02, Sumbermulyo, Pesanggaran</v>
          </cell>
          <cell r="P5392" t="str">
            <v>Banyuwangi</v>
          </cell>
          <cell r="Q5392" t="str">
            <v>Dsn. Mulyoasri, RT.08/RW.02, Sumbermulyo, Pesanggaran</v>
          </cell>
          <cell r="R5392" t="str">
            <v>Banyuwangi</v>
          </cell>
          <cell r="S5392" t="str">
            <v>H Bwi4</v>
          </cell>
          <cell r="T5392" t="str">
            <v>Hafid</v>
          </cell>
          <cell r="U5392">
            <v>30</v>
          </cell>
        </row>
        <row r="5393">
          <cell r="E5393" t="str">
            <v>B25009456</v>
          </cell>
          <cell r="F5393"/>
          <cell r="G5393">
            <v>3350000000</v>
          </cell>
          <cell r="H5393" t="str">
            <v>Faris</v>
          </cell>
          <cell r="I5393" t="str">
            <v>Syahra</v>
          </cell>
          <cell r="J5393"/>
          <cell r="K5393" t="str">
            <v>KU</v>
          </cell>
          <cell r="L5393" t="str">
            <v>MULY07</v>
          </cell>
          <cell r="M5393" t="str">
            <v>Mulyo Tani/Danang</v>
          </cell>
          <cell r="N5393" t="str">
            <v>Danang Widyanto</v>
          </cell>
          <cell r="O5393" t="str">
            <v>Dsn. Mulyoasri, RT.08/RW.02, Sumbermulyo, Pesanggaran</v>
          </cell>
          <cell r="P5393" t="str">
            <v>Banyuwangi</v>
          </cell>
          <cell r="Q5393" t="str">
            <v>Dsn. Mulyoasri, RT.08/RW.02, Sumbermulyo, Pesanggaran</v>
          </cell>
          <cell r="R5393" t="str">
            <v>Banyuwangi</v>
          </cell>
          <cell r="S5393" t="str">
            <v>H Bwi4</v>
          </cell>
          <cell r="T5393" t="str">
            <v>Hafid</v>
          </cell>
          <cell r="U5393">
            <v>30</v>
          </cell>
        </row>
        <row r="5394">
          <cell r="E5394" t="str">
            <v>D25011389</v>
          </cell>
          <cell r="F5394"/>
          <cell r="G5394">
            <v>3350000000</v>
          </cell>
          <cell r="H5394" t="str">
            <v>Faris</v>
          </cell>
          <cell r="I5394" t="str">
            <v>Syahra</v>
          </cell>
          <cell r="J5394"/>
          <cell r="K5394" t="str">
            <v>KU</v>
          </cell>
          <cell r="L5394" t="str">
            <v>MULY07</v>
          </cell>
          <cell r="M5394" t="str">
            <v>Mulyo Tani/Danang</v>
          </cell>
          <cell r="N5394" t="str">
            <v>Danang Widyanto</v>
          </cell>
          <cell r="O5394" t="str">
            <v>Dsn. Mulyoasri, RT.08/RW.02, Sumbermulyo, Pesanggaran</v>
          </cell>
          <cell r="P5394" t="str">
            <v>Banyuwangi</v>
          </cell>
          <cell r="Q5394" t="str">
            <v>Dsn. Mulyoasri, RT.08/RW.02, Sumbermulyo, Pesanggaran</v>
          </cell>
          <cell r="R5394" t="str">
            <v>Banyuwangi</v>
          </cell>
          <cell r="S5394" t="str">
            <v>H Bwi4</v>
          </cell>
          <cell r="T5394" t="str">
            <v>Hafid</v>
          </cell>
          <cell r="U5394">
            <v>30</v>
          </cell>
        </row>
        <row r="5395">
          <cell r="E5395" t="str">
            <v>B25009711</v>
          </cell>
          <cell r="F5395"/>
          <cell r="G5395">
            <v>3350000000</v>
          </cell>
          <cell r="H5395" t="str">
            <v>Faris</v>
          </cell>
          <cell r="I5395" t="str">
            <v>Syahra</v>
          </cell>
          <cell r="J5395"/>
          <cell r="K5395" t="str">
            <v>KU</v>
          </cell>
          <cell r="L5395" t="str">
            <v>MULY07</v>
          </cell>
          <cell r="M5395" t="str">
            <v>Mulyo Tani/Danang</v>
          </cell>
          <cell r="N5395" t="str">
            <v>Danang Widyanto</v>
          </cell>
          <cell r="O5395" t="str">
            <v>Dsn. Mulyoasri, RT.08/RW.02, Sumbermulyo, Pesanggaran</v>
          </cell>
          <cell r="P5395" t="str">
            <v>Banyuwangi</v>
          </cell>
          <cell r="Q5395" t="str">
            <v>Dsn. Mulyoasri, RT.08/RW.02, Sumbermulyo, Pesanggaran</v>
          </cell>
          <cell r="R5395" t="str">
            <v>Banyuwangi</v>
          </cell>
          <cell r="S5395" t="str">
            <v>H Bwi4</v>
          </cell>
          <cell r="T5395" t="str">
            <v>Hafid</v>
          </cell>
          <cell r="U5395">
            <v>60</v>
          </cell>
        </row>
        <row r="5396">
          <cell r="E5396" t="str">
            <v>D25011662</v>
          </cell>
          <cell r="F5396"/>
          <cell r="G5396">
            <v>3350000000</v>
          </cell>
          <cell r="H5396" t="str">
            <v>Faris</v>
          </cell>
          <cell r="I5396" t="str">
            <v>Syahra</v>
          </cell>
          <cell r="J5396"/>
          <cell r="K5396" t="str">
            <v>KU</v>
          </cell>
          <cell r="L5396" t="str">
            <v>MULY07</v>
          </cell>
          <cell r="M5396" t="str">
            <v>Mulyo Tani/Danang</v>
          </cell>
          <cell r="N5396" t="str">
            <v>Danang Widyanto</v>
          </cell>
          <cell r="O5396" t="str">
            <v>Dsn. Mulyoasri, RT.08/RW.02, Sumbermulyo, Pesanggaran</v>
          </cell>
          <cell r="P5396" t="str">
            <v>Banyuwangi</v>
          </cell>
          <cell r="Q5396" t="str">
            <v>Dsn. Mulyoasri, RT.08/RW.02, Sumbermulyo, Pesanggaran</v>
          </cell>
          <cell r="R5396" t="str">
            <v>Banyuwangi</v>
          </cell>
          <cell r="S5396" t="str">
            <v>H Bwi4</v>
          </cell>
          <cell r="T5396" t="str">
            <v>Hafid</v>
          </cell>
          <cell r="U5396">
            <v>30</v>
          </cell>
        </row>
        <row r="5397">
          <cell r="E5397" t="str">
            <v>D25011662</v>
          </cell>
          <cell r="F5397"/>
          <cell r="G5397">
            <v>3350000000</v>
          </cell>
          <cell r="H5397" t="str">
            <v>Faris</v>
          </cell>
          <cell r="I5397" t="str">
            <v>Syahra</v>
          </cell>
          <cell r="J5397"/>
          <cell r="K5397" t="str">
            <v>KU</v>
          </cell>
          <cell r="L5397" t="str">
            <v>MULY07</v>
          </cell>
          <cell r="M5397" t="str">
            <v>Mulyo Tani/Danang</v>
          </cell>
          <cell r="N5397" t="str">
            <v>Danang Widyanto</v>
          </cell>
          <cell r="O5397" t="str">
            <v>Dsn. Mulyoasri, RT.08/RW.02, Sumbermulyo, Pesanggaran</v>
          </cell>
          <cell r="P5397" t="str">
            <v>Banyuwangi</v>
          </cell>
          <cell r="Q5397" t="str">
            <v>Dsn. Mulyoasri, RT.08/RW.02, Sumbermulyo, Pesanggaran</v>
          </cell>
          <cell r="R5397" t="str">
            <v>Banyuwangi</v>
          </cell>
          <cell r="S5397" t="str">
            <v>H Bwi4</v>
          </cell>
          <cell r="T5397" t="str">
            <v>Hafid</v>
          </cell>
          <cell r="U5397">
            <v>30</v>
          </cell>
        </row>
        <row r="5398">
          <cell r="E5398" t="str">
            <v>D25011684</v>
          </cell>
          <cell r="F5398"/>
          <cell r="G5398">
            <v>3350000000</v>
          </cell>
          <cell r="H5398" t="str">
            <v>Faris</v>
          </cell>
          <cell r="I5398" t="str">
            <v>Syahra</v>
          </cell>
          <cell r="J5398"/>
          <cell r="K5398" t="str">
            <v>KU</v>
          </cell>
          <cell r="L5398" t="str">
            <v>MULY07</v>
          </cell>
          <cell r="M5398" t="str">
            <v>Mulyo Tani/Danang</v>
          </cell>
          <cell r="N5398" t="str">
            <v>Danang Widyanto</v>
          </cell>
          <cell r="O5398" t="str">
            <v>Dsn. Mulyoasri, RT.08/RW.02, Sumbermulyo, Pesanggaran</v>
          </cell>
          <cell r="P5398" t="str">
            <v>Banyuwangi</v>
          </cell>
          <cell r="Q5398" t="str">
            <v>Dsn. Mulyoasri, RT.08/RW.02, Sumbermulyo, Pesanggaran</v>
          </cell>
          <cell r="R5398" t="str">
            <v>Banyuwangi</v>
          </cell>
          <cell r="S5398" t="str">
            <v>H Bwi4</v>
          </cell>
          <cell r="T5398" t="str">
            <v>Hafid</v>
          </cell>
          <cell r="U5398">
            <v>30</v>
          </cell>
        </row>
        <row r="5399">
          <cell r="E5399" t="str">
            <v>D25011995</v>
          </cell>
          <cell r="F5399"/>
          <cell r="G5399">
            <v>3350000000</v>
          </cell>
          <cell r="H5399" t="str">
            <v>Faris</v>
          </cell>
          <cell r="I5399" t="str">
            <v>Syahra</v>
          </cell>
          <cell r="J5399"/>
          <cell r="K5399" t="str">
            <v>KU</v>
          </cell>
          <cell r="L5399" t="str">
            <v>MULY07</v>
          </cell>
          <cell r="M5399" t="str">
            <v>Mulyo Tani/Danang</v>
          </cell>
          <cell r="N5399" t="str">
            <v>Danang Widyanto</v>
          </cell>
          <cell r="O5399" t="str">
            <v>Dsn. Mulyoasri, RT.08/RW.02, Sumbermulyo, Pesanggaran</v>
          </cell>
          <cell r="P5399" t="str">
            <v>Banyuwangi</v>
          </cell>
          <cell r="Q5399" t="str">
            <v>Dsn. Mulyoasri, RT.08/RW.02, Sumbermulyo, Pesanggaran</v>
          </cell>
          <cell r="R5399" t="str">
            <v>Banyuwangi</v>
          </cell>
          <cell r="S5399" t="str">
            <v>H Bwi4</v>
          </cell>
          <cell r="T5399" t="str">
            <v>Hafid</v>
          </cell>
          <cell r="U5399">
            <v>60</v>
          </cell>
        </row>
        <row r="5400">
          <cell r="E5400" t="str">
            <v>D25012051</v>
          </cell>
          <cell r="F5400"/>
          <cell r="G5400">
            <v>3350000000</v>
          </cell>
          <cell r="H5400" t="str">
            <v>Faris</v>
          </cell>
          <cell r="I5400" t="str">
            <v>Syahra</v>
          </cell>
          <cell r="J5400"/>
          <cell r="K5400" t="str">
            <v>KU</v>
          </cell>
          <cell r="L5400" t="str">
            <v>MULY07</v>
          </cell>
          <cell r="M5400" t="str">
            <v>Mulyo Tani/Danang</v>
          </cell>
          <cell r="N5400" t="str">
            <v>Danang Widyanto</v>
          </cell>
          <cell r="O5400" t="str">
            <v>Dsn. Mulyoasri, RT.08/RW.02, Sumbermulyo, Pesanggaran</v>
          </cell>
          <cell r="P5400" t="str">
            <v>Banyuwangi</v>
          </cell>
          <cell r="Q5400" t="str">
            <v>Dsn. Mulyoasri, RT.08/RW.02, Sumbermulyo, Pesanggaran</v>
          </cell>
          <cell r="R5400" t="str">
            <v>Banyuwangi</v>
          </cell>
          <cell r="S5400" t="str">
            <v>H Bwi4</v>
          </cell>
          <cell r="T5400" t="str">
            <v>Hafid</v>
          </cell>
          <cell r="U5400">
            <v>60</v>
          </cell>
        </row>
        <row r="5401">
          <cell r="E5401" t="str">
            <v>B25010417</v>
          </cell>
          <cell r="F5401"/>
          <cell r="G5401">
            <v>3350000000</v>
          </cell>
          <cell r="H5401" t="str">
            <v>Faris</v>
          </cell>
          <cell r="I5401" t="str">
            <v>Syahra</v>
          </cell>
          <cell r="J5401"/>
          <cell r="K5401" t="str">
            <v>KU</v>
          </cell>
          <cell r="L5401" t="str">
            <v>MULY07</v>
          </cell>
          <cell r="M5401" t="str">
            <v>Mulyo Tani/Danang</v>
          </cell>
          <cell r="N5401" t="str">
            <v>Danang Widyanto</v>
          </cell>
          <cell r="O5401" t="str">
            <v>Dsn. Mulyoasri, RT.08/RW.02, Sumbermulyo, Pesanggaran</v>
          </cell>
          <cell r="P5401" t="str">
            <v>Banyuwangi</v>
          </cell>
          <cell r="Q5401" t="str">
            <v>Dsn. Mulyoasri, RT.08/RW.02, Sumbermulyo, Pesanggaran</v>
          </cell>
          <cell r="R5401" t="str">
            <v>Banyuwangi</v>
          </cell>
          <cell r="S5401" t="str">
            <v>H Bwi4</v>
          </cell>
          <cell r="T5401" t="str">
            <v>Hafid</v>
          </cell>
          <cell r="U5401">
            <v>30</v>
          </cell>
        </row>
        <row r="5402">
          <cell r="E5402" t="str">
            <v>D25012374</v>
          </cell>
          <cell r="F5402"/>
          <cell r="G5402">
            <v>3350000000</v>
          </cell>
          <cell r="H5402" t="str">
            <v>Faris</v>
          </cell>
          <cell r="I5402" t="str">
            <v>Syahra</v>
          </cell>
          <cell r="J5402"/>
          <cell r="K5402" t="str">
            <v>KU</v>
          </cell>
          <cell r="L5402" t="str">
            <v>MULY07</v>
          </cell>
          <cell r="M5402" t="str">
            <v>Mulyo Tani/Danang</v>
          </cell>
          <cell r="N5402" t="str">
            <v>Danang Widyanto</v>
          </cell>
          <cell r="O5402" t="str">
            <v>Dsn. Mulyoasri, RT.08/RW.02, Sumbermulyo, Pesanggaran</v>
          </cell>
          <cell r="P5402" t="str">
            <v>Banyuwangi</v>
          </cell>
          <cell r="Q5402" t="str">
            <v>Dsn. Mulyoasri, RT.08/RW.02, Sumbermulyo, Pesanggaran</v>
          </cell>
          <cell r="R5402" t="str">
            <v>Banyuwangi</v>
          </cell>
          <cell r="S5402" t="str">
            <v>H Bwi4</v>
          </cell>
          <cell r="T5402" t="str">
            <v>Hafid</v>
          </cell>
          <cell r="U5402">
            <v>60</v>
          </cell>
        </row>
        <row r="5403">
          <cell r="E5403" t="str">
            <v>D25012428</v>
          </cell>
          <cell r="F5403"/>
          <cell r="G5403">
            <v>3350000000</v>
          </cell>
          <cell r="H5403" t="str">
            <v>Faris</v>
          </cell>
          <cell r="I5403" t="str">
            <v>Syahra</v>
          </cell>
          <cell r="J5403"/>
          <cell r="K5403" t="str">
            <v>KU</v>
          </cell>
          <cell r="L5403" t="str">
            <v>MULY07</v>
          </cell>
          <cell r="M5403" t="str">
            <v>Mulyo Tani/Danang</v>
          </cell>
          <cell r="N5403" t="str">
            <v>Danang Widyanto</v>
          </cell>
          <cell r="O5403" t="str">
            <v>Dsn. Mulyoasri, RT.08/RW.02, Sumbermulyo, Pesanggaran</v>
          </cell>
          <cell r="P5403" t="str">
            <v>Banyuwangi</v>
          </cell>
          <cell r="Q5403" t="str">
            <v>Dsn. Mulyoasri, RT.08/RW.02, Sumbermulyo, Pesanggaran</v>
          </cell>
          <cell r="R5403" t="str">
            <v>Banyuwangi</v>
          </cell>
          <cell r="S5403" t="str">
            <v>H Bwi4</v>
          </cell>
          <cell r="T5403" t="str">
            <v>Hafid</v>
          </cell>
          <cell r="U5403">
            <v>60</v>
          </cell>
        </row>
        <row r="5404">
          <cell r="E5404" t="str">
            <v>D25012429</v>
          </cell>
          <cell r="F5404"/>
          <cell r="G5404">
            <v>3350000000</v>
          </cell>
          <cell r="H5404" t="str">
            <v>Faris</v>
          </cell>
          <cell r="I5404" t="str">
            <v>Syahra</v>
          </cell>
          <cell r="J5404"/>
          <cell r="K5404" t="str">
            <v>KU</v>
          </cell>
          <cell r="L5404" t="str">
            <v>MULY07</v>
          </cell>
          <cell r="M5404" t="str">
            <v>Mulyo Tani/Danang</v>
          </cell>
          <cell r="N5404" t="str">
            <v>Danang Widyanto</v>
          </cell>
          <cell r="O5404" t="str">
            <v>Dsn. Mulyoasri, RT.08/RW.02, Sumbermulyo, Pesanggaran</v>
          </cell>
          <cell r="P5404" t="str">
            <v>Banyuwangi</v>
          </cell>
          <cell r="Q5404" t="str">
            <v>Dsn. Mulyoasri, RT.08/RW.02, Sumbermulyo, Pesanggaran</v>
          </cell>
          <cell r="R5404" t="str">
            <v>Banyuwangi</v>
          </cell>
          <cell r="S5404" t="str">
            <v>H Bwi4</v>
          </cell>
          <cell r="T5404" t="str">
            <v>Hafid</v>
          </cell>
          <cell r="U5404">
            <v>30</v>
          </cell>
        </row>
        <row r="5405">
          <cell r="E5405" t="str">
            <v>D25012484</v>
          </cell>
          <cell r="F5405"/>
          <cell r="G5405">
            <v>3350000000</v>
          </cell>
          <cell r="H5405" t="str">
            <v>Faris</v>
          </cell>
          <cell r="I5405" t="str">
            <v>Syahra</v>
          </cell>
          <cell r="J5405"/>
          <cell r="K5405" t="str">
            <v>KU</v>
          </cell>
          <cell r="L5405" t="str">
            <v>MULY07</v>
          </cell>
          <cell r="M5405" t="str">
            <v>Mulyo Tani/Danang</v>
          </cell>
          <cell r="N5405" t="str">
            <v>Danang Widyanto</v>
          </cell>
          <cell r="O5405" t="str">
            <v>Dsn. Mulyoasri, RT.08/RW.02, Sumbermulyo, Pesanggaran</v>
          </cell>
          <cell r="P5405" t="str">
            <v>Banyuwangi</v>
          </cell>
          <cell r="Q5405" t="str">
            <v>Dsn. Mulyoasri, RT.08/RW.02, Sumbermulyo, Pesanggaran</v>
          </cell>
          <cell r="R5405" t="str">
            <v>Banyuwangi</v>
          </cell>
          <cell r="S5405" t="str">
            <v>H Bwi4</v>
          </cell>
          <cell r="T5405" t="str">
            <v>Hafid</v>
          </cell>
          <cell r="U5405">
            <v>30</v>
          </cell>
        </row>
        <row r="5406">
          <cell r="E5406" t="str">
            <v>D25012508</v>
          </cell>
          <cell r="F5406"/>
          <cell r="G5406">
            <v>3350000000</v>
          </cell>
          <cell r="H5406" t="str">
            <v>Faris</v>
          </cell>
          <cell r="I5406" t="str">
            <v>Syahra</v>
          </cell>
          <cell r="J5406"/>
          <cell r="K5406" t="str">
            <v>KU</v>
          </cell>
          <cell r="L5406" t="str">
            <v>MULY07</v>
          </cell>
          <cell r="M5406" t="str">
            <v>Mulyo Tani/Danang</v>
          </cell>
          <cell r="N5406" t="str">
            <v>Danang Widyanto</v>
          </cell>
          <cell r="O5406" t="str">
            <v>Dsn. Mulyoasri, RT.08/RW.02, Sumbermulyo, Pesanggaran</v>
          </cell>
          <cell r="P5406" t="str">
            <v>Banyuwangi</v>
          </cell>
          <cell r="Q5406" t="str">
            <v>Dsn. Mulyoasri, RT.08/RW.02, Sumbermulyo, Pesanggaran</v>
          </cell>
          <cell r="R5406" t="str">
            <v>Banyuwangi</v>
          </cell>
          <cell r="S5406" t="str">
            <v>H Bwi4</v>
          </cell>
          <cell r="T5406" t="str">
            <v>Hafid</v>
          </cell>
          <cell r="U5406">
            <v>30</v>
          </cell>
        </row>
        <row r="5407">
          <cell r="E5407" t="str">
            <v>B25011872</v>
          </cell>
          <cell r="F5407"/>
          <cell r="G5407">
            <v>3350000000</v>
          </cell>
          <cell r="H5407" t="str">
            <v>Faris</v>
          </cell>
          <cell r="I5407" t="str">
            <v>Syahra</v>
          </cell>
          <cell r="J5407"/>
          <cell r="K5407" t="str">
            <v>KU</v>
          </cell>
          <cell r="L5407" t="str">
            <v>MULY07</v>
          </cell>
          <cell r="M5407" t="str">
            <v>Mulyo Tani/Danang</v>
          </cell>
          <cell r="N5407" t="str">
            <v>Danang Widyanto</v>
          </cell>
          <cell r="O5407" t="str">
            <v>Dsn. Mulyoasri, RT.08/RW.02, Sumbermulyo, Pesanggaran</v>
          </cell>
          <cell r="P5407" t="str">
            <v>Banyuwangi</v>
          </cell>
          <cell r="Q5407" t="str">
            <v>Dsn. Mulyoasri, RT.08/RW.02, Sumbermulyo, Pesanggaran</v>
          </cell>
          <cell r="R5407" t="str">
            <v>Banyuwangi</v>
          </cell>
          <cell r="S5407" t="str">
            <v>H Bwi4</v>
          </cell>
          <cell r="T5407" t="str">
            <v>Hafid</v>
          </cell>
          <cell r="U5407">
            <v>60</v>
          </cell>
        </row>
        <row r="5408">
          <cell r="E5408" t="str">
            <v>B25011873</v>
          </cell>
          <cell r="F5408"/>
          <cell r="G5408">
            <v>3350000000</v>
          </cell>
          <cell r="H5408" t="str">
            <v>Faris</v>
          </cell>
          <cell r="I5408" t="str">
            <v>Syahra</v>
          </cell>
          <cell r="J5408"/>
          <cell r="K5408" t="str">
            <v>KU</v>
          </cell>
          <cell r="L5408" t="str">
            <v>MULY07</v>
          </cell>
          <cell r="M5408" t="str">
            <v>Mulyo Tani/Danang</v>
          </cell>
          <cell r="N5408" t="str">
            <v>Danang Widyanto</v>
          </cell>
          <cell r="O5408" t="str">
            <v>Dsn. Mulyoasri, RT.08/RW.02, Sumbermulyo, Pesanggaran</v>
          </cell>
          <cell r="P5408" t="str">
            <v>Banyuwangi</v>
          </cell>
          <cell r="Q5408" t="str">
            <v>Dsn. Mulyoasri, RT.08/RW.02, Sumbermulyo, Pesanggaran</v>
          </cell>
          <cell r="R5408" t="str">
            <v>Banyuwangi</v>
          </cell>
          <cell r="S5408" t="str">
            <v>H Bwi4</v>
          </cell>
          <cell r="T5408" t="str">
            <v>Hafid</v>
          </cell>
          <cell r="U5408">
            <v>60</v>
          </cell>
        </row>
        <row r="5409">
          <cell r="E5409" t="str">
            <v>B25011874</v>
          </cell>
          <cell r="F5409"/>
          <cell r="G5409">
            <v>3350000000</v>
          </cell>
          <cell r="H5409" t="str">
            <v>Faris</v>
          </cell>
          <cell r="I5409" t="str">
            <v>Syahra</v>
          </cell>
          <cell r="J5409"/>
          <cell r="K5409" t="str">
            <v>KU</v>
          </cell>
          <cell r="L5409" t="str">
            <v>MULY07</v>
          </cell>
          <cell r="M5409" t="str">
            <v>Mulyo Tani/Danang</v>
          </cell>
          <cell r="N5409" t="str">
            <v>Danang Widyanto</v>
          </cell>
          <cell r="O5409" t="str">
            <v>Dsn. Mulyoasri, RT.08/RW.02, Sumbermulyo, Pesanggaran</v>
          </cell>
          <cell r="P5409" t="str">
            <v>Banyuwangi</v>
          </cell>
          <cell r="Q5409" t="str">
            <v>Dsn. Mulyoasri, RT.08/RW.02, Sumbermulyo, Pesanggaran</v>
          </cell>
          <cell r="R5409" t="str">
            <v>Banyuwangi</v>
          </cell>
          <cell r="S5409" t="str">
            <v>H Bwi4</v>
          </cell>
          <cell r="T5409" t="str">
            <v>Hafid</v>
          </cell>
          <cell r="U5409">
            <v>60</v>
          </cell>
        </row>
        <row r="5410">
          <cell r="E5410" t="str">
            <v>B25011925</v>
          </cell>
          <cell r="F5410"/>
          <cell r="G5410">
            <v>3350000000</v>
          </cell>
          <cell r="H5410" t="str">
            <v>Faris</v>
          </cell>
          <cell r="I5410" t="str">
            <v>Syahra</v>
          </cell>
          <cell r="J5410"/>
          <cell r="K5410" t="str">
            <v>KU</v>
          </cell>
          <cell r="L5410" t="str">
            <v>MULY07</v>
          </cell>
          <cell r="M5410" t="str">
            <v>Mulyo Tani/Danang</v>
          </cell>
          <cell r="N5410" t="str">
            <v>Danang Widyanto</v>
          </cell>
          <cell r="O5410" t="str">
            <v>Dsn. Mulyoasri, RT.08/RW.02, Sumbermulyo, Pesanggaran</v>
          </cell>
          <cell r="P5410" t="str">
            <v>Banyuwangi</v>
          </cell>
          <cell r="Q5410" t="str">
            <v>Dsn. Mulyoasri, RT.08/RW.02, Sumbermulyo, Pesanggaran</v>
          </cell>
          <cell r="R5410" t="str">
            <v>Banyuwangi</v>
          </cell>
          <cell r="S5410" t="str">
            <v>H Bwi4</v>
          </cell>
          <cell r="T5410" t="str">
            <v>Hafid</v>
          </cell>
          <cell r="U5410">
            <v>30</v>
          </cell>
        </row>
        <row r="5411">
          <cell r="E5411" t="str">
            <v>B25011952</v>
          </cell>
          <cell r="F5411"/>
          <cell r="G5411">
            <v>3350000000</v>
          </cell>
          <cell r="H5411" t="str">
            <v>Faris</v>
          </cell>
          <cell r="I5411" t="str">
            <v>Syahra</v>
          </cell>
          <cell r="J5411"/>
          <cell r="K5411" t="str">
            <v>KU</v>
          </cell>
          <cell r="L5411" t="str">
            <v>MULY07</v>
          </cell>
          <cell r="M5411" t="str">
            <v>Mulyo Tani/Danang</v>
          </cell>
          <cell r="N5411" t="str">
            <v>Danang Widyanto</v>
          </cell>
          <cell r="O5411" t="str">
            <v>Dsn. Mulyoasri, RT.08/RW.02, Sumbermulyo, Pesanggaran</v>
          </cell>
          <cell r="P5411" t="str">
            <v>Banyuwangi</v>
          </cell>
          <cell r="Q5411" t="str">
            <v>Dsn. Mulyoasri, RT.08/RW.02, Sumbermulyo, Pesanggaran</v>
          </cell>
          <cell r="R5411" t="str">
            <v>Banyuwangi</v>
          </cell>
          <cell r="S5411" t="str">
            <v>H Bwi4</v>
          </cell>
          <cell r="T5411" t="str">
            <v>Hafid</v>
          </cell>
          <cell r="U5411">
            <v>30</v>
          </cell>
        </row>
        <row r="5412">
          <cell r="E5412" t="str">
            <v>B25011978</v>
          </cell>
          <cell r="F5412"/>
          <cell r="G5412">
            <v>3350000000</v>
          </cell>
          <cell r="H5412" t="str">
            <v>Faris</v>
          </cell>
          <cell r="I5412" t="str">
            <v>Syahra</v>
          </cell>
          <cell r="J5412"/>
          <cell r="K5412" t="str">
            <v>KU</v>
          </cell>
          <cell r="L5412" t="str">
            <v>MULY07</v>
          </cell>
          <cell r="M5412" t="str">
            <v>Mulyo Tani/Danang</v>
          </cell>
          <cell r="N5412" t="str">
            <v>Danang Widyanto</v>
          </cell>
          <cell r="O5412" t="str">
            <v>Dsn. Mulyoasri, RT.08/RW.02, Sumbermulyo, Pesanggaran</v>
          </cell>
          <cell r="P5412" t="str">
            <v>Banyuwangi</v>
          </cell>
          <cell r="Q5412" t="str">
            <v>Dsn. Mulyoasri, RT.08/RW.02, Sumbermulyo, Pesanggaran</v>
          </cell>
          <cell r="R5412" t="str">
            <v>Banyuwangi</v>
          </cell>
          <cell r="S5412" t="str">
            <v>H Bwi4</v>
          </cell>
          <cell r="T5412" t="str">
            <v>Hafid</v>
          </cell>
          <cell r="U5412">
            <v>30</v>
          </cell>
        </row>
        <row r="5413">
          <cell r="E5413" t="str">
            <v>B25011979</v>
          </cell>
          <cell r="F5413"/>
          <cell r="G5413">
            <v>3350000000</v>
          </cell>
          <cell r="H5413" t="str">
            <v>Faris</v>
          </cell>
          <cell r="I5413" t="str">
            <v>Syahra</v>
          </cell>
          <cell r="J5413"/>
          <cell r="K5413" t="str">
            <v>KU</v>
          </cell>
          <cell r="L5413" t="str">
            <v>MULY07</v>
          </cell>
          <cell r="M5413" t="str">
            <v>Mulyo Tani/Danang</v>
          </cell>
          <cell r="N5413" t="str">
            <v>Danang Widyanto</v>
          </cell>
          <cell r="O5413" t="str">
            <v>Dsn. Mulyoasri, RT.08/RW.02, Sumbermulyo, Pesanggaran</v>
          </cell>
          <cell r="P5413" t="str">
            <v>Banyuwangi</v>
          </cell>
          <cell r="Q5413" t="str">
            <v>Dsn. Mulyoasri, RT.08/RW.02, Sumbermulyo, Pesanggaran</v>
          </cell>
          <cell r="R5413" t="str">
            <v>Banyuwangi</v>
          </cell>
          <cell r="S5413" t="str">
            <v>H Bwi4</v>
          </cell>
          <cell r="T5413" t="str">
            <v>Hafid</v>
          </cell>
          <cell r="U5413">
            <v>30</v>
          </cell>
        </row>
        <row r="5414">
          <cell r="E5414" t="str">
            <v>D25014174</v>
          </cell>
          <cell r="F5414"/>
          <cell r="G5414">
            <v>3350000000</v>
          </cell>
          <cell r="H5414" t="str">
            <v>Faris</v>
          </cell>
          <cell r="I5414" t="str">
            <v>Syahra</v>
          </cell>
          <cell r="J5414"/>
          <cell r="K5414" t="str">
            <v>KU</v>
          </cell>
          <cell r="L5414" t="str">
            <v>MULY07</v>
          </cell>
          <cell r="M5414" t="str">
            <v>Mulyo Tani/Danang</v>
          </cell>
          <cell r="N5414" t="str">
            <v>Danang Widyanto</v>
          </cell>
          <cell r="O5414" t="str">
            <v>Dsn. Mulyoasri, RT.08/RW.02, Sumbermulyo, Pesanggaran</v>
          </cell>
          <cell r="P5414" t="str">
            <v>Banyuwangi</v>
          </cell>
          <cell r="Q5414" t="str">
            <v>Dsn. Mulyoasri, RT.08/RW.02, Sumbermulyo, Pesanggaran</v>
          </cell>
          <cell r="R5414" t="str">
            <v>Banyuwangi</v>
          </cell>
          <cell r="S5414" t="str">
            <v>H Bwi4</v>
          </cell>
          <cell r="T5414" t="str">
            <v>Hafid</v>
          </cell>
          <cell r="U5414">
            <v>30</v>
          </cell>
        </row>
        <row r="5415">
          <cell r="E5415" t="str">
            <v>D25014175</v>
          </cell>
          <cell r="F5415"/>
          <cell r="G5415">
            <v>3350000000</v>
          </cell>
          <cell r="H5415" t="str">
            <v>Faris</v>
          </cell>
          <cell r="I5415" t="str">
            <v>Syahra</v>
          </cell>
          <cell r="J5415"/>
          <cell r="K5415" t="str">
            <v>KU</v>
          </cell>
          <cell r="L5415" t="str">
            <v>MULY07</v>
          </cell>
          <cell r="M5415" t="str">
            <v>Mulyo Tani/Danang</v>
          </cell>
          <cell r="N5415" t="str">
            <v>Danang Widyanto</v>
          </cell>
          <cell r="O5415" t="str">
            <v>Dsn. Mulyoasri, RT.08/RW.02, Sumbermulyo, Pesanggaran</v>
          </cell>
          <cell r="P5415" t="str">
            <v>Banyuwangi</v>
          </cell>
          <cell r="Q5415" t="str">
            <v>Dsn. Mulyoasri, RT.08/RW.02, Sumbermulyo, Pesanggaran</v>
          </cell>
          <cell r="R5415" t="str">
            <v>Banyuwangi</v>
          </cell>
          <cell r="S5415" t="str">
            <v>H Bwi4</v>
          </cell>
          <cell r="T5415" t="str">
            <v>Hafid</v>
          </cell>
          <cell r="U5415">
            <v>90</v>
          </cell>
        </row>
        <row r="5416">
          <cell r="E5416" t="str">
            <v>T25001407</v>
          </cell>
          <cell r="F5416"/>
          <cell r="G5416">
            <v>3350000000</v>
          </cell>
          <cell r="H5416" t="str">
            <v>Faris</v>
          </cell>
          <cell r="I5416" t="str">
            <v>Syahra</v>
          </cell>
          <cell r="J5416"/>
          <cell r="K5416" t="str">
            <v>KU</v>
          </cell>
          <cell r="L5416" t="str">
            <v>MULY07</v>
          </cell>
          <cell r="M5416" t="str">
            <v>Mulyo Tani/Danang</v>
          </cell>
          <cell r="N5416" t="str">
            <v>Danang Widyanto</v>
          </cell>
          <cell r="O5416" t="str">
            <v>Dsn. Mulyoasri, RT.08/RW.02, Sumbermulyo, Pesanggaran</v>
          </cell>
          <cell r="P5416" t="str">
            <v>Banyuwangi</v>
          </cell>
          <cell r="Q5416" t="str">
            <v>Dsn. Mulyoasri, RT.08/RW.02, Sumbermulyo, Pesanggaran</v>
          </cell>
          <cell r="R5416" t="str">
            <v>Banyuwangi</v>
          </cell>
          <cell r="S5416" t="str">
            <v>H Bwi4</v>
          </cell>
          <cell r="T5416" t="str">
            <v>Hafid</v>
          </cell>
          <cell r="U5416">
            <v>60</v>
          </cell>
        </row>
        <row r="5417">
          <cell r="E5417" t="str">
            <v>B25012167</v>
          </cell>
          <cell r="F5417"/>
          <cell r="G5417">
            <v>3350000000</v>
          </cell>
          <cell r="H5417" t="str">
            <v>Faris</v>
          </cell>
          <cell r="I5417" t="str">
            <v>Syahra</v>
          </cell>
          <cell r="J5417"/>
          <cell r="K5417" t="str">
            <v>KU</v>
          </cell>
          <cell r="L5417" t="str">
            <v>MULY07</v>
          </cell>
          <cell r="M5417" t="str">
            <v>Mulyo Tani/Danang</v>
          </cell>
          <cell r="N5417" t="str">
            <v>Danang Widyanto</v>
          </cell>
          <cell r="O5417" t="str">
            <v>Dsn. Mulyoasri, RT.08/RW.02, Sumbermulyo, Pesanggaran</v>
          </cell>
          <cell r="P5417" t="str">
            <v>Banyuwangi</v>
          </cell>
          <cell r="Q5417" t="str">
            <v>Dsn. Mulyoasri, RT.08/RW.02, Sumbermulyo, Pesanggaran</v>
          </cell>
          <cell r="R5417" t="str">
            <v>Banyuwangi</v>
          </cell>
          <cell r="S5417" t="str">
            <v>H Bwi4</v>
          </cell>
          <cell r="T5417" t="str">
            <v>Hafid</v>
          </cell>
          <cell r="U5417">
            <v>30</v>
          </cell>
        </row>
        <row r="5418">
          <cell r="E5418" t="str">
            <v>B25012186</v>
          </cell>
          <cell r="F5418"/>
          <cell r="G5418">
            <v>3350000000</v>
          </cell>
          <cell r="H5418" t="str">
            <v>Faris</v>
          </cell>
          <cell r="I5418" t="str">
            <v>Syahra</v>
          </cell>
          <cell r="J5418"/>
          <cell r="K5418" t="str">
            <v>KU</v>
          </cell>
          <cell r="L5418" t="str">
            <v>MULY07</v>
          </cell>
          <cell r="M5418" t="str">
            <v>Mulyo Tani/Danang</v>
          </cell>
          <cell r="N5418" t="str">
            <v>Danang Widyanto</v>
          </cell>
          <cell r="O5418" t="str">
            <v>Dsn. Mulyoasri, RT.08/RW.02, Sumbermulyo, Pesanggaran</v>
          </cell>
          <cell r="P5418" t="str">
            <v>Banyuwangi</v>
          </cell>
          <cell r="Q5418" t="str">
            <v>Dsn. Mulyoasri, RT.08/RW.02, Sumbermulyo, Pesanggaran</v>
          </cell>
          <cell r="R5418" t="str">
            <v>Banyuwangi</v>
          </cell>
          <cell r="S5418" t="str">
            <v>H Bwi4</v>
          </cell>
          <cell r="T5418" t="str">
            <v>Hafid</v>
          </cell>
          <cell r="U5418">
            <v>0</v>
          </cell>
        </row>
        <row r="5419">
          <cell r="E5419" t="str">
            <v>B25012353</v>
          </cell>
          <cell r="F5419"/>
          <cell r="G5419">
            <v>3350000000</v>
          </cell>
          <cell r="H5419" t="str">
            <v>Faris</v>
          </cell>
          <cell r="I5419" t="str">
            <v>Syahra</v>
          </cell>
          <cell r="J5419"/>
          <cell r="K5419" t="str">
            <v>KU</v>
          </cell>
          <cell r="L5419" t="str">
            <v>MULY07</v>
          </cell>
          <cell r="M5419" t="str">
            <v>Mulyo Tani/Danang</v>
          </cell>
          <cell r="N5419" t="str">
            <v>Danang Widyanto</v>
          </cell>
          <cell r="O5419" t="str">
            <v>Dsn. Mulyoasri, RT.08/RW.02, Sumbermulyo, Pesanggaran</v>
          </cell>
          <cell r="P5419" t="str">
            <v>Banyuwangi</v>
          </cell>
          <cell r="Q5419" t="str">
            <v>Dsn. Mulyoasri, RT.08/RW.02, Sumbermulyo, Pesanggaran</v>
          </cell>
          <cell r="R5419" t="str">
            <v>Banyuwangi</v>
          </cell>
          <cell r="S5419" t="str">
            <v>H Bwi4</v>
          </cell>
          <cell r="T5419" t="str">
            <v>Hafid</v>
          </cell>
          <cell r="U5419">
            <v>30</v>
          </cell>
        </row>
        <row r="5420">
          <cell r="E5420" t="str">
            <v>D25014622</v>
          </cell>
          <cell r="F5420"/>
          <cell r="G5420">
            <v>3350000000</v>
          </cell>
          <cell r="H5420" t="str">
            <v>Faris</v>
          </cell>
          <cell r="I5420" t="str">
            <v>Syahra</v>
          </cell>
          <cell r="J5420"/>
          <cell r="K5420" t="str">
            <v>KU</v>
          </cell>
          <cell r="L5420" t="str">
            <v>MULY07</v>
          </cell>
          <cell r="M5420" t="str">
            <v>Mulyo Tani/Danang</v>
          </cell>
          <cell r="N5420" t="str">
            <v>Danang Widyanto</v>
          </cell>
          <cell r="O5420" t="str">
            <v>Dsn. Mulyoasri, RT.08/RW.02, Sumbermulyo, Pesanggaran</v>
          </cell>
          <cell r="P5420" t="str">
            <v>Banyuwangi</v>
          </cell>
          <cell r="Q5420" t="str">
            <v>Dsn. Mulyoasri, RT.08/RW.02, Sumbermulyo, Pesanggaran</v>
          </cell>
          <cell r="R5420" t="str">
            <v>Banyuwangi</v>
          </cell>
          <cell r="S5420" t="str">
            <v>H Bwi4</v>
          </cell>
          <cell r="T5420" t="str">
            <v>Hafid</v>
          </cell>
          <cell r="U5420">
            <v>30</v>
          </cell>
        </row>
        <row r="5421">
          <cell r="E5421" t="str">
            <v>D25014623</v>
          </cell>
          <cell r="F5421"/>
          <cell r="G5421">
            <v>3350000000</v>
          </cell>
          <cell r="H5421" t="str">
            <v>Faris</v>
          </cell>
          <cell r="I5421" t="str">
            <v>Syahra</v>
          </cell>
          <cell r="J5421"/>
          <cell r="K5421" t="str">
            <v>KU</v>
          </cell>
          <cell r="L5421" t="str">
            <v>MULY07</v>
          </cell>
          <cell r="M5421" t="str">
            <v>Mulyo Tani/Danang</v>
          </cell>
          <cell r="N5421" t="str">
            <v>Danang Widyanto</v>
          </cell>
          <cell r="O5421" t="str">
            <v>Dsn. Mulyoasri, RT.08/RW.02, Sumbermulyo, Pesanggaran</v>
          </cell>
          <cell r="P5421" t="str">
            <v>Banyuwangi</v>
          </cell>
          <cell r="Q5421" t="str">
            <v>Dsn. Mulyoasri, RT.08/RW.02, Sumbermulyo, Pesanggaran</v>
          </cell>
          <cell r="R5421" t="str">
            <v>Banyuwangi</v>
          </cell>
          <cell r="S5421" t="str">
            <v>H Bwi4</v>
          </cell>
          <cell r="T5421" t="str">
            <v>Hafid</v>
          </cell>
          <cell r="U5421">
            <v>30</v>
          </cell>
        </row>
        <row r="5422">
          <cell r="E5422" t="str">
            <v>D25014624</v>
          </cell>
          <cell r="F5422"/>
          <cell r="G5422">
            <v>3350000000</v>
          </cell>
          <cell r="H5422" t="str">
            <v>Faris</v>
          </cell>
          <cell r="I5422" t="str">
            <v>Syahra</v>
          </cell>
          <cell r="J5422"/>
          <cell r="K5422" t="str">
            <v>KU</v>
          </cell>
          <cell r="L5422" t="str">
            <v>MULY07</v>
          </cell>
          <cell r="M5422" t="str">
            <v>Mulyo Tani/Danang</v>
          </cell>
          <cell r="N5422" t="str">
            <v>Danang Widyanto</v>
          </cell>
          <cell r="O5422" t="str">
            <v>Dsn. Mulyoasri, RT.08/RW.02, Sumbermulyo, Pesanggaran</v>
          </cell>
          <cell r="P5422" t="str">
            <v>Banyuwangi</v>
          </cell>
          <cell r="Q5422" t="str">
            <v>Dsn. Mulyoasri, RT.08/RW.02, Sumbermulyo, Pesanggaran</v>
          </cell>
          <cell r="R5422" t="str">
            <v>Banyuwangi</v>
          </cell>
          <cell r="S5422" t="str">
            <v>H Bwi4</v>
          </cell>
          <cell r="T5422" t="str">
            <v>Hafid</v>
          </cell>
          <cell r="U5422">
            <v>30</v>
          </cell>
        </row>
        <row r="5423">
          <cell r="E5423" t="str">
            <v>D25014625</v>
          </cell>
          <cell r="F5423"/>
          <cell r="G5423">
            <v>3350000000</v>
          </cell>
          <cell r="H5423" t="str">
            <v>Faris</v>
          </cell>
          <cell r="I5423" t="str">
            <v>Syahra</v>
          </cell>
          <cell r="J5423"/>
          <cell r="K5423" t="str">
            <v>KU</v>
          </cell>
          <cell r="L5423" t="str">
            <v>MULY07</v>
          </cell>
          <cell r="M5423" t="str">
            <v>Mulyo Tani/Danang</v>
          </cell>
          <cell r="N5423" t="str">
            <v>Danang Widyanto</v>
          </cell>
          <cell r="O5423" t="str">
            <v>Dsn. Mulyoasri, RT.08/RW.02, Sumbermulyo, Pesanggaran</v>
          </cell>
          <cell r="P5423" t="str">
            <v>Banyuwangi</v>
          </cell>
          <cell r="Q5423" t="str">
            <v>Dsn. Mulyoasri, RT.08/RW.02, Sumbermulyo, Pesanggaran</v>
          </cell>
          <cell r="R5423" t="str">
            <v>Banyuwangi</v>
          </cell>
          <cell r="S5423" t="str">
            <v>H Bwi4</v>
          </cell>
          <cell r="T5423" t="str">
            <v>Hafid</v>
          </cell>
          <cell r="U5423">
            <v>90</v>
          </cell>
        </row>
        <row r="5424">
          <cell r="E5424" t="str">
            <v>D25014628</v>
          </cell>
          <cell r="F5424"/>
          <cell r="G5424">
            <v>3350000000</v>
          </cell>
          <cell r="H5424" t="str">
            <v>Faris</v>
          </cell>
          <cell r="I5424" t="str">
            <v>Syahra</v>
          </cell>
          <cell r="J5424"/>
          <cell r="K5424" t="str">
            <v>KU</v>
          </cell>
          <cell r="L5424" t="str">
            <v>MULY07</v>
          </cell>
          <cell r="M5424" t="str">
            <v>Mulyo Tani/Danang</v>
          </cell>
          <cell r="N5424" t="str">
            <v>Danang Widyanto</v>
          </cell>
          <cell r="O5424" t="str">
            <v>Dsn. Mulyoasri, RT.08/RW.02, Sumbermulyo, Pesanggaran</v>
          </cell>
          <cell r="P5424" t="str">
            <v>Banyuwangi</v>
          </cell>
          <cell r="Q5424" t="str">
            <v>Dsn. Mulyoasri, RT.08/RW.02, Sumbermulyo, Pesanggaran</v>
          </cell>
          <cell r="R5424" t="str">
            <v>Banyuwangi</v>
          </cell>
          <cell r="S5424" t="str">
            <v>H Bwi4</v>
          </cell>
          <cell r="T5424" t="str">
            <v>Hafid</v>
          </cell>
          <cell r="U5424">
            <v>60</v>
          </cell>
        </row>
        <row r="5425">
          <cell r="E5425" t="str">
            <v>B25012425</v>
          </cell>
          <cell r="F5425"/>
          <cell r="G5425">
            <v>3350000000</v>
          </cell>
          <cell r="H5425" t="str">
            <v>Faris</v>
          </cell>
          <cell r="I5425" t="str">
            <v>Syahra</v>
          </cell>
          <cell r="J5425"/>
          <cell r="K5425" t="str">
            <v>KU</v>
          </cell>
          <cell r="L5425" t="str">
            <v>MULY07</v>
          </cell>
          <cell r="M5425" t="str">
            <v>Mulyo Tani/Danang</v>
          </cell>
          <cell r="N5425" t="str">
            <v>Danang Widyanto</v>
          </cell>
          <cell r="O5425" t="str">
            <v>Dsn. Mulyoasri, RT.08/RW.02, Sumbermulyo, Pesanggaran</v>
          </cell>
          <cell r="P5425" t="str">
            <v>Banyuwangi</v>
          </cell>
          <cell r="Q5425" t="str">
            <v>Dsn. Mulyoasri, RT.08/RW.02, Sumbermulyo, Pesanggaran</v>
          </cell>
          <cell r="R5425" t="str">
            <v>Banyuwangi</v>
          </cell>
          <cell r="S5425" t="str">
            <v>H Bwi4</v>
          </cell>
          <cell r="T5425" t="str">
            <v>Hafid</v>
          </cell>
          <cell r="U5425">
            <v>30</v>
          </cell>
        </row>
        <row r="5426">
          <cell r="E5426" t="str">
            <v>D25014838</v>
          </cell>
          <cell r="F5426"/>
          <cell r="G5426">
            <v>3350000000</v>
          </cell>
          <cell r="H5426" t="str">
            <v>Faris</v>
          </cell>
          <cell r="I5426" t="str">
            <v>Syahra</v>
          </cell>
          <cell r="J5426"/>
          <cell r="K5426" t="str">
            <v>KU</v>
          </cell>
          <cell r="L5426" t="str">
            <v>MULY07</v>
          </cell>
          <cell r="M5426" t="str">
            <v>Mulyo Tani/Danang</v>
          </cell>
          <cell r="N5426" t="str">
            <v>Danang Widyanto</v>
          </cell>
          <cell r="O5426" t="str">
            <v>Dsn. Mulyoasri, RT.08/RW.02, Sumbermulyo, Pesanggaran</v>
          </cell>
          <cell r="P5426" t="str">
            <v>Banyuwangi</v>
          </cell>
          <cell r="Q5426" t="str">
            <v>Dsn. Mulyoasri, RT.08/RW.02, Sumbermulyo, Pesanggaran</v>
          </cell>
          <cell r="R5426" t="str">
            <v>Banyuwangi</v>
          </cell>
          <cell r="S5426" t="str">
            <v>H Bwi4</v>
          </cell>
          <cell r="T5426" t="str">
            <v>Hafid</v>
          </cell>
          <cell r="U5426">
            <v>60</v>
          </cell>
        </row>
        <row r="5427">
          <cell r="E5427" t="str">
            <v>D25014839</v>
          </cell>
          <cell r="F5427"/>
          <cell r="G5427">
            <v>3350000000</v>
          </cell>
          <cell r="H5427" t="str">
            <v>Faris</v>
          </cell>
          <cell r="I5427" t="str">
            <v>Syahra</v>
          </cell>
          <cell r="J5427"/>
          <cell r="K5427" t="str">
            <v>KU</v>
          </cell>
          <cell r="L5427" t="str">
            <v>MULY07</v>
          </cell>
          <cell r="M5427" t="str">
            <v>Mulyo Tani/Danang</v>
          </cell>
          <cell r="N5427" t="str">
            <v>Danang Widyanto</v>
          </cell>
          <cell r="O5427" t="str">
            <v>Dsn. Mulyoasri, RT.08/RW.02, Sumbermulyo, Pesanggaran</v>
          </cell>
          <cell r="P5427" t="str">
            <v>Banyuwangi</v>
          </cell>
          <cell r="Q5427" t="str">
            <v>Dsn. Mulyoasri, RT.08/RW.02, Sumbermulyo, Pesanggaran</v>
          </cell>
          <cell r="R5427" t="str">
            <v>Banyuwangi</v>
          </cell>
          <cell r="S5427" t="str">
            <v>H Bwi4</v>
          </cell>
          <cell r="T5427" t="str">
            <v>Hafid</v>
          </cell>
          <cell r="U5427">
            <v>60</v>
          </cell>
        </row>
        <row r="5428">
          <cell r="E5428" t="str">
            <v>B25012638</v>
          </cell>
          <cell r="F5428"/>
          <cell r="G5428">
            <v>3350000000</v>
          </cell>
          <cell r="H5428" t="str">
            <v>Faris</v>
          </cell>
          <cell r="I5428" t="str">
            <v>Syahra</v>
          </cell>
          <cell r="J5428"/>
          <cell r="K5428" t="str">
            <v>KU</v>
          </cell>
          <cell r="L5428" t="str">
            <v>MULY07</v>
          </cell>
          <cell r="M5428" t="str">
            <v>Mulyo Tani/Danang</v>
          </cell>
          <cell r="N5428" t="str">
            <v>Danang Widyanto</v>
          </cell>
          <cell r="O5428" t="str">
            <v>Dsn. Mulyoasri, RT.08/RW.02, Sumbermulyo, Pesanggaran</v>
          </cell>
          <cell r="P5428" t="str">
            <v>Banyuwangi</v>
          </cell>
          <cell r="Q5428" t="str">
            <v>Dsn. Mulyoasri, RT.08/RW.02, Sumbermulyo, Pesanggaran</v>
          </cell>
          <cell r="R5428" t="str">
            <v>Banyuwangi</v>
          </cell>
          <cell r="S5428" t="str">
            <v>H Bwi4</v>
          </cell>
          <cell r="T5428" t="str">
            <v>Hafid</v>
          </cell>
          <cell r="U5428">
            <v>30</v>
          </cell>
        </row>
        <row r="5429">
          <cell r="E5429" t="str">
            <v>B25013235</v>
          </cell>
          <cell r="F5429"/>
          <cell r="G5429">
            <v>3350000000</v>
          </cell>
          <cell r="H5429" t="str">
            <v>Faris</v>
          </cell>
          <cell r="I5429" t="str">
            <v>Syahra</v>
          </cell>
          <cell r="J5429"/>
          <cell r="K5429" t="str">
            <v>KU</v>
          </cell>
          <cell r="L5429" t="str">
            <v>MULY07</v>
          </cell>
          <cell r="M5429" t="str">
            <v>Mulyo Tani/Danang</v>
          </cell>
          <cell r="N5429" t="str">
            <v>Danang Widyanto</v>
          </cell>
          <cell r="O5429" t="str">
            <v>Dsn. Mulyoasri, RT.08/RW.02, Sumbermulyo, Pesanggaran</v>
          </cell>
          <cell r="P5429" t="str">
            <v>Banyuwangi</v>
          </cell>
          <cell r="Q5429" t="str">
            <v>Dsn. Mulyoasri, RT.08/RW.02, Sumbermulyo, Pesanggaran</v>
          </cell>
          <cell r="R5429" t="str">
            <v>Banyuwangi</v>
          </cell>
          <cell r="S5429" t="str">
            <v>H Bwi4</v>
          </cell>
          <cell r="T5429" t="str">
            <v>Hafid</v>
          </cell>
          <cell r="U5429">
            <v>60</v>
          </cell>
        </row>
        <row r="5430">
          <cell r="E5430" t="str">
            <v>B25013346</v>
          </cell>
          <cell r="F5430"/>
          <cell r="G5430">
            <v>3350000000</v>
          </cell>
          <cell r="H5430" t="str">
            <v>Faris</v>
          </cell>
          <cell r="I5430" t="str">
            <v>Syahra</v>
          </cell>
          <cell r="J5430"/>
          <cell r="K5430" t="str">
            <v>KU</v>
          </cell>
          <cell r="L5430" t="str">
            <v>MULY07</v>
          </cell>
          <cell r="M5430" t="str">
            <v>Mulyo Tani/Danang</v>
          </cell>
          <cell r="N5430" t="str">
            <v>Danang Widyanto</v>
          </cell>
          <cell r="O5430" t="str">
            <v>Dsn. Mulyoasri, RT.08/RW.02, Sumbermulyo, Pesanggaran</v>
          </cell>
          <cell r="P5430" t="str">
            <v>Banyuwangi</v>
          </cell>
          <cell r="Q5430" t="str">
            <v>Dsn. Mulyoasri, RT.08/RW.02, Sumbermulyo, Pesanggaran</v>
          </cell>
          <cell r="R5430" t="str">
            <v>Banyuwangi</v>
          </cell>
          <cell r="S5430" t="str">
            <v>H Bwi4</v>
          </cell>
          <cell r="T5430" t="str">
            <v>Hafid</v>
          </cell>
          <cell r="U5430">
            <v>30</v>
          </cell>
        </row>
        <row r="5431">
          <cell r="E5431" t="str">
            <v>D25015831</v>
          </cell>
          <cell r="F5431"/>
          <cell r="G5431">
            <v>3350000000</v>
          </cell>
          <cell r="H5431" t="str">
            <v>Faris</v>
          </cell>
          <cell r="I5431" t="str">
            <v>Syahra</v>
          </cell>
          <cell r="J5431"/>
          <cell r="K5431" t="str">
            <v>KU</v>
          </cell>
          <cell r="L5431" t="str">
            <v>MULY07</v>
          </cell>
          <cell r="M5431" t="str">
            <v>Mulyo Tani/Danang</v>
          </cell>
          <cell r="N5431" t="str">
            <v>Danang Widyanto</v>
          </cell>
          <cell r="O5431" t="str">
            <v>Dsn. Mulyoasri, RT.08/RW.02, Sumbermulyo, Pesanggaran</v>
          </cell>
          <cell r="P5431" t="str">
            <v>Banyuwangi</v>
          </cell>
          <cell r="Q5431" t="str">
            <v>Dsn. Mulyoasri, RT.08/RW.02, Sumbermulyo, Pesanggaran</v>
          </cell>
          <cell r="R5431" t="str">
            <v>Banyuwangi</v>
          </cell>
          <cell r="S5431" t="str">
            <v>H Bwi4</v>
          </cell>
          <cell r="T5431" t="str">
            <v>Hafid</v>
          </cell>
          <cell r="U5431">
            <v>60</v>
          </cell>
        </row>
        <row r="5432">
          <cell r="E5432" t="str">
            <v>B25013688</v>
          </cell>
          <cell r="F5432"/>
          <cell r="G5432">
            <v>3350000000</v>
          </cell>
          <cell r="H5432" t="str">
            <v>Faris</v>
          </cell>
          <cell r="I5432" t="str">
            <v>Syahra</v>
          </cell>
          <cell r="J5432"/>
          <cell r="K5432" t="str">
            <v>KU</v>
          </cell>
          <cell r="L5432" t="str">
            <v>MULY07</v>
          </cell>
          <cell r="M5432" t="str">
            <v>Mulyo Tani/Danang</v>
          </cell>
          <cell r="N5432" t="str">
            <v>Danang Widyanto</v>
          </cell>
          <cell r="O5432" t="str">
            <v>Dsn. Mulyoasri, RT.08/RW.02, Sumbermulyo, Pesanggaran</v>
          </cell>
          <cell r="P5432" t="str">
            <v>Banyuwangi</v>
          </cell>
          <cell r="Q5432" t="str">
            <v>Dsn. Mulyoasri, RT.08/RW.02, Sumbermulyo, Pesanggaran</v>
          </cell>
          <cell r="R5432" t="str">
            <v>Banyuwangi</v>
          </cell>
          <cell r="S5432" t="str">
            <v>H Bwi4</v>
          </cell>
          <cell r="T5432" t="str">
            <v>Hafid</v>
          </cell>
          <cell r="U5432">
            <v>30</v>
          </cell>
        </row>
        <row r="5433">
          <cell r="E5433" t="str">
            <v>B25013772</v>
          </cell>
          <cell r="F5433"/>
          <cell r="G5433">
            <v>3350000000</v>
          </cell>
          <cell r="H5433" t="str">
            <v>Faris</v>
          </cell>
          <cell r="I5433" t="str">
            <v>Syahra</v>
          </cell>
          <cell r="J5433"/>
          <cell r="K5433" t="str">
            <v>KU</v>
          </cell>
          <cell r="L5433" t="str">
            <v>MULY07</v>
          </cell>
          <cell r="M5433" t="str">
            <v>Mulyo Tani/Danang</v>
          </cell>
          <cell r="N5433" t="str">
            <v>Danang Widyanto</v>
          </cell>
          <cell r="O5433" t="str">
            <v>Dsn. Mulyoasri, RT.08/RW.02, Sumbermulyo, Pesanggaran</v>
          </cell>
          <cell r="P5433" t="str">
            <v>Banyuwangi</v>
          </cell>
          <cell r="Q5433" t="str">
            <v>Dsn. Mulyoasri, RT.08/RW.02, Sumbermulyo, Pesanggaran</v>
          </cell>
          <cell r="R5433" t="str">
            <v>Banyuwangi</v>
          </cell>
          <cell r="S5433" t="str">
            <v>H Bwi4</v>
          </cell>
          <cell r="T5433" t="str">
            <v>Hafid</v>
          </cell>
          <cell r="U5433">
            <v>0</v>
          </cell>
        </row>
        <row r="5434">
          <cell r="E5434" t="str">
            <v>B25013773</v>
          </cell>
          <cell r="F5434"/>
          <cell r="G5434">
            <v>3350000000</v>
          </cell>
          <cell r="H5434" t="str">
            <v>Faris</v>
          </cell>
          <cell r="I5434" t="str">
            <v>Syahra</v>
          </cell>
          <cell r="J5434"/>
          <cell r="K5434" t="str">
            <v>KU</v>
          </cell>
          <cell r="L5434" t="str">
            <v>MULY07</v>
          </cell>
          <cell r="M5434" t="str">
            <v>Mulyo Tani/Danang</v>
          </cell>
          <cell r="N5434" t="str">
            <v>Danang Widyanto</v>
          </cell>
          <cell r="O5434" t="str">
            <v>Dsn. Mulyoasri, RT.08/RW.02, Sumbermulyo, Pesanggaran</v>
          </cell>
          <cell r="P5434" t="str">
            <v>Banyuwangi</v>
          </cell>
          <cell r="Q5434" t="str">
            <v>Dsn. Mulyoasri, RT.08/RW.02, Sumbermulyo, Pesanggaran</v>
          </cell>
          <cell r="R5434" t="str">
            <v>Banyuwangi</v>
          </cell>
          <cell r="S5434" t="str">
            <v>H Bwi4</v>
          </cell>
          <cell r="T5434" t="str">
            <v>Hafid</v>
          </cell>
          <cell r="U5434">
            <v>30</v>
          </cell>
        </row>
        <row r="5435">
          <cell r="E5435">
            <v>250150</v>
          </cell>
          <cell r="F5435"/>
          <cell r="G5435">
            <v>3350000000</v>
          </cell>
          <cell r="H5435" t="str">
            <v>Faris</v>
          </cell>
          <cell r="I5435" t="str">
            <v>Syahra</v>
          </cell>
          <cell r="J5435"/>
          <cell r="K5435" t="str">
            <v>KU</v>
          </cell>
          <cell r="L5435" t="str">
            <v>MULY07</v>
          </cell>
          <cell r="M5435" t="str">
            <v>Mulyo Tani/Danang</v>
          </cell>
          <cell r="N5435" t="str">
            <v>Danang Widyanto</v>
          </cell>
          <cell r="O5435" t="str">
            <v>Dsn. Mulyoasri, RT.08/RW.02, Sumbermulyo, Pesanggaran</v>
          </cell>
          <cell r="P5435" t="str">
            <v>Banyuwangi</v>
          </cell>
          <cell r="Q5435" t="str">
            <v>Dsn. Mulyoasri, RT.08/RW.02, Sumbermulyo, Pesanggaran</v>
          </cell>
          <cell r="R5435" t="str">
            <v>Banyuwangi</v>
          </cell>
          <cell r="S5435" t="str">
            <v>H Bwi4</v>
          </cell>
          <cell r="T5435" t="str">
            <v>Hafid</v>
          </cell>
          <cell r="U5435">
            <v>30</v>
          </cell>
        </row>
        <row r="5436">
          <cell r="E5436" t="str">
            <v>B25013878</v>
          </cell>
          <cell r="F5436"/>
          <cell r="G5436">
            <v>3350000000</v>
          </cell>
          <cell r="H5436" t="str">
            <v>Faris</v>
          </cell>
          <cell r="I5436" t="str">
            <v>Syahra</v>
          </cell>
          <cell r="J5436"/>
          <cell r="K5436" t="str">
            <v>KU</v>
          </cell>
          <cell r="L5436" t="str">
            <v>MULY07</v>
          </cell>
          <cell r="M5436" t="str">
            <v>Mulyo Tani/Danang</v>
          </cell>
          <cell r="N5436" t="str">
            <v>Danang Widyanto</v>
          </cell>
          <cell r="O5436" t="str">
            <v>Dsn. Mulyoasri, RT.08/RW.02, Sumbermulyo, Pesanggaran</v>
          </cell>
          <cell r="P5436" t="str">
            <v>Banyuwangi</v>
          </cell>
          <cell r="Q5436" t="str">
            <v>Dsn. Mulyoasri, RT.08/RW.02, Sumbermulyo, Pesanggaran</v>
          </cell>
          <cell r="R5436" t="str">
            <v>Banyuwangi</v>
          </cell>
          <cell r="S5436" t="str">
            <v>H Bwi4</v>
          </cell>
          <cell r="T5436" t="str">
            <v>Hafid</v>
          </cell>
          <cell r="U5436">
            <v>30</v>
          </cell>
        </row>
        <row r="5437">
          <cell r="E5437" t="str">
            <v>B25013879</v>
          </cell>
          <cell r="F5437"/>
          <cell r="G5437">
            <v>3350000000</v>
          </cell>
          <cell r="H5437" t="str">
            <v>Faris</v>
          </cell>
          <cell r="I5437" t="str">
            <v>Syahra</v>
          </cell>
          <cell r="J5437"/>
          <cell r="K5437" t="str">
            <v>KU</v>
          </cell>
          <cell r="L5437" t="str">
            <v>MULY07</v>
          </cell>
          <cell r="M5437" t="str">
            <v>Mulyo Tani/Danang</v>
          </cell>
          <cell r="N5437" t="str">
            <v>Danang Widyanto</v>
          </cell>
          <cell r="O5437" t="str">
            <v>Dsn. Mulyoasri, RT.08/RW.02, Sumbermulyo, Pesanggaran</v>
          </cell>
          <cell r="P5437" t="str">
            <v>Banyuwangi</v>
          </cell>
          <cell r="Q5437" t="str">
            <v>Dsn. Mulyoasri, RT.08/RW.02, Sumbermulyo, Pesanggaran</v>
          </cell>
          <cell r="R5437" t="str">
            <v>Banyuwangi</v>
          </cell>
          <cell r="S5437" t="str">
            <v>H Bwi4</v>
          </cell>
          <cell r="T5437" t="str">
            <v>Hafid</v>
          </cell>
          <cell r="U5437">
            <v>60</v>
          </cell>
        </row>
        <row r="5438">
          <cell r="E5438" t="str">
            <v>B25013995</v>
          </cell>
          <cell r="F5438"/>
          <cell r="G5438">
            <v>3350000000</v>
          </cell>
          <cell r="H5438" t="str">
            <v>Faris</v>
          </cell>
          <cell r="I5438" t="str">
            <v>Syahra</v>
          </cell>
          <cell r="J5438"/>
          <cell r="K5438" t="str">
            <v>KU</v>
          </cell>
          <cell r="L5438" t="str">
            <v>MULY07</v>
          </cell>
          <cell r="M5438" t="str">
            <v>Mulyo Tani/Danang</v>
          </cell>
          <cell r="N5438" t="str">
            <v>Danang Widyanto</v>
          </cell>
          <cell r="O5438" t="str">
            <v>Dsn. Mulyoasri, RT.08/RW.02, Sumbermulyo, Pesanggaran</v>
          </cell>
          <cell r="P5438" t="str">
            <v>Banyuwangi</v>
          </cell>
          <cell r="Q5438" t="str">
            <v>Dsn. Mulyoasri, RT.08/RW.02, Sumbermulyo, Pesanggaran</v>
          </cell>
          <cell r="R5438" t="str">
            <v>Banyuwangi</v>
          </cell>
          <cell r="S5438" t="str">
            <v>H Bwi4</v>
          </cell>
          <cell r="T5438" t="str">
            <v>Hafid</v>
          </cell>
          <cell r="U5438">
            <v>60</v>
          </cell>
        </row>
        <row r="5439">
          <cell r="E5439" t="str">
            <v>B25014084</v>
          </cell>
          <cell r="F5439"/>
          <cell r="G5439">
            <v>3350000000</v>
          </cell>
          <cell r="H5439" t="str">
            <v>Faris</v>
          </cell>
          <cell r="I5439" t="str">
            <v>Syahra</v>
          </cell>
          <cell r="J5439"/>
          <cell r="K5439" t="str">
            <v>KU</v>
          </cell>
          <cell r="L5439" t="str">
            <v>MULY07</v>
          </cell>
          <cell r="M5439" t="str">
            <v>Mulyo Tani/Danang</v>
          </cell>
          <cell r="N5439" t="str">
            <v>Danang Widyanto</v>
          </cell>
          <cell r="O5439" t="str">
            <v>Dsn. Mulyoasri, RT.08/RW.02, Sumbermulyo, Pesanggaran</v>
          </cell>
          <cell r="P5439" t="str">
            <v>Banyuwangi</v>
          </cell>
          <cell r="Q5439" t="str">
            <v>Dsn. Mulyoasri, RT.08/RW.02, Sumbermulyo, Pesanggaran</v>
          </cell>
          <cell r="R5439" t="str">
            <v>Banyuwangi</v>
          </cell>
          <cell r="S5439" t="str">
            <v>H Bwi4</v>
          </cell>
          <cell r="T5439" t="str">
            <v>Hafid</v>
          </cell>
          <cell r="U5439">
            <v>60</v>
          </cell>
        </row>
        <row r="5440">
          <cell r="E5440" t="str">
            <v>D25016374</v>
          </cell>
          <cell r="F5440"/>
          <cell r="G5440">
            <v>3350000000</v>
          </cell>
          <cell r="H5440" t="str">
            <v>Faris</v>
          </cell>
          <cell r="I5440" t="str">
            <v>Syahra</v>
          </cell>
          <cell r="J5440"/>
          <cell r="K5440" t="str">
            <v>KU</v>
          </cell>
          <cell r="L5440" t="str">
            <v>MULY07</v>
          </cell>
          <cell r="M5440" t="str">
            <v>Mulyo Tani/Danang</v>
          </cell>
          <cell r="N5440" t="str">
            <v>Danang Widyanto</v>
          </cell>
          <cell r="O5440" t="str">
            <v>Dsn. Mulyoasri, RT.08/RW.02, Sumbermulyo, Pesanggaran</v>
          </cell>
          <cell r="P5440" t="str">
            <v>Banyuwangi</v>
          </cell>
          <cell r="Q5440" t="str">
            <v>Dsn. Mulyoasri, RT.08/RW.02, Sumbermulyo, Pesanggaran</v>
          </cell>
          <cell r="R5440" t="str">
            <v>Banyuwangi</v>
          </cell>
          <cell r="S5440" t="str">
            <v>H Bwi4</v>
          </cell>
          <cell r="T5440" t="str">
            <v>Hafid</v>
          </cell>
          <cell r="U5440">
            <v>30</v>
          </cell>
        </row>
        <row r="5441">
          <cell r="E5441" t="str">
            <v>D25016375</v>
          </cell>
          <cell r="F5441"/>
          <cell r="G5441">
            <v>3350000000</v>
          </cell>
          <cell r="H5441" t="str">
            <v>Faris</v>
          </cell>
          <cell r="I5441" t="str">
            <v>Syahra</v>
          </cell>
          <cell r="J5441"/>
          <cell r="K5441" t="str">
            <v>KU</v>
          </cell>
          <cell r="L5441" t="str">
            <v>MULY07</v>
          </cell>
          <cell r="M5441" t="str">
            <v>Mulyo Tani/Danang</v>
          </cell>
          <cell r="N5441" t="str">
            <v>Danang Widyanto</v>
          </cell>
          <cell r="O5441" t="str">
            <v>Dsn. Mulyoasri, RT.08/RW.02, Sumbermulyo, Pesanggaran</v>
          </cell>
          <cell r="P5441" t="str">
            <v>Banyuwangi</v>
          </cell>
          <cell r="Q5441" t="str">
            <v>Dsn. Mulyoasri, RT.08/RW.02, Sumbermulyo, Pesanggaran</v>
          </cell>
          <cell r="R5441" t="str">
            <v>Banyuwangi</v>
          </cell>
          <cell r="S5441" t="str">
            <v>H Bwi4</v>
          </cell>
          <cell r="T5441" t="str">
            <v>Hafid</v>
          </cell>
          <cell r="U5441">
            <v>0</v>
          </cell>
        </row>
        <row r="5442">
          <cell r="E5442" t="str">
            <v>B25013289</v>
          </cell>
          <cell r="F5442"/>
          <cell r="G5442">
            <v>1000</v>
          </cell>
          <cell r="H5442" t="str">
            <v>Zakia</v>
          </cell>
          <cell r="I5442" t="str">
            <v>Tiya</v>
          </cell>
          <cell r="J5442" t="str">
            <v>New 03/12/24</v>
          </cell>
          <cell r="K5442" t="str">
            <v>COD</v>
          </cell>
          <cell r="L5442" t="str">
            <v>MURA04</v>
          </cell>
          <cell r="M5442" t="str">
            <v>Murah Rizki/Khoridatul</v>
          </cell>
          <cell r="N5442" t="str">
            <v>Khoridatul Fitria</v>
          </cell>
          <cell r="O5442" t="str">
            <v>Dsn. Gendis RT.003/RW.001, Kel. Purwotengah, Kec. Papar</v>
          </cell>
          <cell r="P5442" t="str">
            <v>Kediri</v>
          </cell>
          <cell r="Q5442" t="str">
            <v>Ngampel, Kec. Papar</v>
          </cell>
          <cell r="R5442" t="str">
            <v>Kediri</v>
          </cell>
          <cell r="S5442" t="str">
            <v>D Barat2</v>
          </cell>
          <cell r="T5442" t="str">
            <v>Tomi</v>
          </cell>
          <cell r="U5442">
            <v>0</v>
          </cell>
        </row>
        <row r="5443">
          <cell r="E5443" t="str">
            <v>B25013390</v>
          </cell>
          <cell r="F5443"/>
          <cell r="G5443">
            <v>1000</v>
          </cell>
          <cell r="H5443" t="str">
            <v>Zakia</v>
          </cell>
          <cell r="I5443" t="str">
            <v>Tiya</v>
          </cell>
          <cell r="J5443" t="str">
            <v>New 03/12/24</v>
          </cell>
          <cell r="K5443" t="str">
            <v>COD</v>
          </cell>
          <cell r="L5443" t="str">
            <v>MURA04</v>
          </cell>
          <cell r="M5443" t="str">
            <v>Murah Rizki/Khoridatul</v>
          </cell>
          <cell r="N5443" t="str">
            <v>Khoridatul Fitria</v>
          </cell>
          <cell r="O5443" t="str">
            <v>Dsn. Gendis RT.003/RW.001, Kel. Purwotengah, Kec. Papar</v>
          </cell>
          <cell r="P5443" t="str">
            <v>Kediri</v>
          </cell>
          <cell r="Q5443" t="str">
            <v>Ngampel, Kec. Papar</v>
          </cell>
          <cell r="R5443" t="str">
            <v>Kediri</v>
          </cell>
          <cell r="S5443" t="str">
            <v>D Barat2</v>
          </cell>
          <cell r="T5443" t="str">
            <v>Tomi</v>
          </cell>
          <cell r="U5443">
            <v>0</v>
          </cell>
        </row>
        <row r="5444">
          <cell r="E5444" t="str">
            <v>B25013446</v>
          </cell>
          <cell r="F5444"/>
          <cell r="G5444">
            <v>1000</v>
          </cell>
          <cell r="H5444" t="str">
            <v>Zakia</v>
          </cell>
          <cell r="I5444" t="str">
            <v>Tiya</v>
          </cell>
          <cell r="J5444" t="str">
            <v>New 03/12/24</v>
          </cell>
          <cell r="K5444" t="str">
            <v>COD</v>
          </cell>
          <cell r="L5444" t="str">
            <v>MURA04</v>
          </cell>
          <cell r="M5444" t="str">
            <v>Murah Rizki/Khoridatul</v>
          </cell>
          <cell r="N5444" t="str">
            <v>Khoridatul Fitria</v>
          </cell>
          <cell r="O5444" t="str">
            <v>Dsn. Gendis RT.003/RW.001, Kel. Purwotengah, Kec. Papar</v>
          </cell>
          <cell r="P5444" t="str">
            <v>Kediri</v>
          </cell>
          <cell r="Q5444" t="str">
            <v>Ngampel, Kec. Papar</v>
          </cell>
          <cell r="R5444" t="str">
            <v>Kediri</v>
          </cell>
          <cell r="S5444" t="str">
            <v>D Barat2</v>
          </cell>
          <cell r="T5444" t="str">
            <v>Tomi</v>
          </cell>
          <cell r="U5444">
            <v>0</v>
          </cell>
        </row>
        <row r="5445">
          <cell r="E5445" t="str">
            <v>D25015733</v>
          </cell>
          <cell r="F5445"/>
          <cell r="G5445">
            <v>1000</v>
          </cell>
          <cell r="H5445" t="str">
            <v>Zakia</v>
          </cell>
          <cell r="I5445" t="str">
            <v>Tiya</v>
          </cell>
          <cell r="J5445" t="str">
            <v>New 03/12/24</v>
          </cell>
          <cell r="K5445" t="str">
            <v>COD</v>
          </cell>
          <cell r="L5445" t="str">
            <v>MURA04</v>
          </cell>
          <cell r="M5445" t="str">
            <v>Murah Rizki/Khoridatul</v>
          </cell>
          <cell r="N5445" t="str">
            <v>Khoridatul Fitria</v>
          </cell>
          <cell r="O5445" t="str">
            <v>Dsn. Gendis RT.003/RW.001, Kel. Purwotengah, Kec. Papar</v>
          </cell>
          <cell r="P5445" t="str">
            <v>Kediri</v>
          </cell>
          <cell r="Q5445" t="str">
            <v>Ngampel, Kec. Papar</v>
          </cell>
          <cell r="R5445" t="str">
            <v>Kediri</v>
          </cell>
          <cell r="S5445" t="str">
            <v>D Barat2</v>
          </cell>
          <cell r="T5445" t="str">
            <v>Tomi</v>
          </cell>
          <cell r="U5445">
            <v>0</v>
          </cell>
        </row>
        <row r="5446">
          <cell r="E5446" t="str">
            <v>D25016194</v>
          </cell>
          <cell r="F5446"/>
          <cell r="G5446">
            <v>1000</v>
          </cell>
          <cell r="H5446" t="str">
            <v>Zakia</v>
          </cell>
          <cell r="I5446" t="str">
            <v>Tiya</v>
          </cell>
          <cell r="J5446" t="str">
            <v>New 03/12/24</v>
          </cell>
          <cell r="K5446" t="str">
            <v>COD</v>
          </cell>
          <cell r="L5446" t="str">
            <v>MURA04</v>
          </cell>
          <cell r="M5446" t="str">
            <v>Murah Rizki/Khoridatul</v>
          </cell>
          <cell r="N5446" t="str">
            <v>Khoridatul Fitria</v>
          </cell>
          <cell r="O5446" t="str">
            <v>Dsn. Gendis RT.003/RW.001, Kel. Purwotengah, Kec. Papar</v>
          </cell>
          <cell r="P5446" t="str">
            <v>Kediri</v>
          </cell>
          <cell r="Q5446" t="str">
            <v>Ngampel, Kec. Papar</v>
          </cell>
          <cell r="R5446" t="str">
            <v>Kediri</v>
          </cell>
          <cell r="S5446" t="str">
            <v>D Barat2</v>
          </cell>
          <cell r="T5446" t="str">
            <v>Tomi</v>
          </cell>
          <cell r="U5446">
            <v>0</v>
          </cell>
        </row>
        <row r="5447">
          <cell r="E5447" t="str">
            <v>D25015778</v>
          </cell>
          <cell r="F5447"/>
          <cell r="G5447">
            <v>1000</v>
          </cell>
          <cell r="H5447" t="str">
            <v>Zakia</v>
          </cell>
          <cell r="I5447" t="str">
            <v>Tiya</v>
          </cell>
          <cell r="J5447"/>
          <cell r="K5447" t="str">
            <v>KU</v>
          </cell>
          <cell r="L5447" t="str">
            <v>MURN03</v>
          </cell>
          <cell r="M5447" t="str">
            <v>Murni, UD</v>
          </cell>
          <cell r="N5447" t="str">
            <v>Ahmad Romsi</v>
          </cell>
          <cell r="O5447" t="str">
            <v>Dsn. Dedder, RT.004/RW.002 Cangkreng, Lenteng, Kab. Sumenep</v>
          </cell>
          <cell r="P5447" t="str">
            <v>Sumenep</v>
          </cell>
          <cell r="Q5447" t="str">
            <v>Dsn. Dedder, RT.004/RW.002 Cangkreng, Lenteng, Kab. Sumenep</v>
          </cell>
          <cell r="R5447" t="str">
            <v>Sumenep</v>
          </cell>
          <cell r="S5447" t="str">
            <v>M Madura</v>
          </cell>
          <cell r="T5447" t="str">
            <v>Tomi</v>
          </cell>
          <cell r="U5447">
            <v>0</v>
          </cell>
        </row>
        <row r="5448">
          <cell r="E5448" t="str">
            <v>D25015779</v>
          </cell>
          <cell r="F5448"/>
          <cell r="G5448">
            <v>1000</v>
          </cell>
          <cell r="H5448" t="str">
            <v>Zakia</v>
          </cell>
          <cell r="I5448" t="str">
            <v>Tiya</v>
          </cell>
          <cell r="J5448"/>
          <cell r="K5448" t="str">
            <v>KU</v>
          </cell>
          <cell r="L5448" t="str">
            <v>MURN03</v>
          </cell>
          <cell r="M5448" t="str">
            <v>Murni, UD</v>
          </cell>
          <cell r="N5448" t="str">
            <v>Ahmad Romsi</v>
          </cell>
          <cell r="O5448" t="str">
            <v>Dsn. Dedder, RT.004/RW.002 Cangkreng, Lenteng, Kab. Sumenep</v>
          </cell>
          <cell r="P5448" t="str">
            <v>Sumenep</v>
          </cell>
          <cell r="Q5448" t="str">
            <v>Dsn. Dedder, RT.004/RW.002 Cangkreng, Lenteng, Kab. Sumenep</v>
          </cell>
          <cell r="R5448" t="str">
            <v>Sumenep</v>
          </cell>
          <cell r="S5448" t="str">
            <v>M Madura</v>
          </cell>
          <cell r="T5448" t="str">
            <v>Tomi</v>
          </cell>
          <cell r="U5448">
            <v>0</v>
          </cell>
        </row>
        <row r="5449">
          <cell r="E5449" t="str">
            <v>D25016106</v>
          </cell>
          <cell r="F5449"/>
          <cell r="G5449">
            <v>1000</v>
          </cell>
          <cell r="H5449" t="str">
            <v>Zakia</v>
          </cell>
          <cell r="I5449" t="str">
            <v>Tiya</v>
          </cell>
          <cell r="J5449"/>
          <cell r="K5449" t="str">
            <v>KU</v>
          </cell>
          <cell r="L5449" t="str">
            <v>MURN03</v>
          </cell>
          <cell r="M5449" t="str">
            <v>Murni, UD</v>
          </cell>
          <cell r="N5449" t="str">
            <v>Ahmad Romsi</v>
          </cell>
          <cell r="O5449" t="str">
            <v>Dsn. Dedder, RT.004/RW.002 Cangkreng, Lenteng, Kab. Sumenep</v>
          </cell>
          <cell r="P5449" t="str">
            <v>Sumenep</v>
          </cell>
          <cell r="Q5449" t="str">
            <v>Dsn. Dedder, RT.004/RW.002 Cangkreng, Lenteng, Kab. Sumenep</v>
          </cell>
          <cell r="R5449" t="str">
            <v>Sumenep</v>
          </cell>
          <cell r="S5449" t="str">
            <v>M Madura</v>
          </cell>
          <cell r="T5449" t="str">
            <v>Tomi</v>
          </cell>
          <cell r="U5449">
            <v>0</v>
          </cell>
        </row>
        <row r="5450">
          <cell r="E5450" t="str">
            <v>D25016272</v>
          </cell>
          <cell r="F5450"/>
          <cell r="G5450">
            <v>1000</v>
          </cell>
          <cell r="H5450" t="str">
            <v>Zakia</v>
          </cell>
          <cell r="I5450" t="str">
            <v>Tiya</v>
          </cell>
          <cell r="J5450"/>
          <cell r="K5450" t="str">
            <v>KU</v>
          </cell>
          <cell r="L5450" t="str">
            <v>MURN03</v>
          </cell>
          <cell r="M5450" t="str">
            <v>Murni, UD</v>
          </cell>
          <cell r="N5450" t="str">
            <v>Ahmad Romsi</v>
          </cell>
          <cell r="O5450" t="str">
            <v>Dsn. Dedder, RT.004/RW.002 Cangkreng, Lenteng, Kab. Sumenep</v>
          </cell>
          <cell r="P5450" t="str">
            <v>Sumenep</v>
          </cell>
          <cell r="Q5450" t="str">
            <v>Dsn. Dedder, RT.004/RW.002 Cangkreng, Lenteng, Kab. Sumenep</v>
          </cell>
          <cell r="R5450" t="str">
            <v>Sumenep</v>
          </cell>
          <cell r="S5450" t="str">
            <v>M Madura</v>
          </cell>
          <cell r="T5450" t="str">
            <v>Tomi</v>
          </cell>
          <cell r="U5450">
            <v>0</v>
          </cell>
        </row>
        <row r="5451">
          <cell r="E5451" t="str">
            <v>D25011863</v>
          </cell>
          <cell r="F5451"/>
          <cell r="G5451">
            <v>30000000</v>
          </cell>
          <cell r="H5451" t="str">
            <v>Faris</v>
          </cell>
          <cell r="I5451" t="str">
            <v>Syahra</v>
          </cell>
          <cell r="J5451" t="str">
            <v>New 10/05/21</v>
          </cell>
          <cell r="K5451" t="str">
            <v>KU</v>
          </cell>
          <cell r="L5451" t="str">
            <v>MUST05</v>
          </cell>
          <cell r="M5451" t="str">
            <v>Mustakim Tani/Mustakim</v>
          </cell>
          <cell r="N5451" t="str">
            <v>Mustakim</v>
          </cell>
          <cell r="O5451" t="str">
            <v>Dusun Setembel RT.005/RW.002Kel. Gambiran, Kec. Gambiran</v>
          </cell>
          <cell r="P5451" t="str">
            <v>Banyuwangi</v>
          </cell>
          <cell r="Q5451" t="str">
            <v>Dusun Setembel RT.005/RW.002Kel. Gambiran, Kec. Gambiran</v>
          </cell>
          <cell r="R5451" t="str">
            <v>Banyuwangi</v>
          </cell>
          <cell r="S5451" t="str">
            <v>H Bwi3</v>
          </cell>
          <cell r="T5451" t="str">
            <v>Hafid</v>
          </cell>
          <cell r="U5451">
            <v>60</v>
          </cell>
        </row>
        <row r="5452">
          <cell r="E5452" t="str">
            <v>D25011863</v>
          </cell>
          <cell r="F5452"/>
          <cell r="G5452">
            <v>30000000</v>
          </cell>
          <cell r="H5452" t="str">
            <v>Faris</v>
          </cell>
          <cell r="I5452" t="str">
            <v>Syahra</v>
          </cell>
          <cell r="J5452" t="str">
            <v>New 10/05/21</v>
          </cell>
          <cell r="K5452" t="str">
            <v>KU</v>
          </cell>
          <cell r="L5452" t="str">
            <v>MUST05</v>
          </cell>
          <cell r="M5452" t="str">
            <v>Mustakim Tani/Mustakim</v>
          </cell>
          <cell r="N5452" t="str">
            <v>Mustakim</v>
          </cell>
          <cell r="O5452" t="str">
            <v>Dusun Setembel RT.005/RW.002Kel. Gambiran, Kec. Gambiran</v>
          </cell>
          <cell r="P5452" t="str">
            <v>Banyuwangi</v>
          </cell>
          <cell r="Q5452" t="str">
            <v>Dusun Setembel RT.005/RW.002Kel. Gambiran, Kec. Gambiran</v>
          </cell>
          <cell r="R5452" t="str">
            <v>Banyuwangi</v>
          </cell>
          <cell r="S5452" t="str">
            <v>H Bwi3</v>
          </cell>
          <cell r="T5452" t="str">
            <v>Hafid</v>
          </cell>
          <cell r="U5452">
            <v>60</v>
          </cell>
        </row>
        <row r="5453">
          <cell r="E5453" t="str">
            <v>D25011893</v>
          </cell>
          <cell r="F5453"/>
          <cell r="G5453">
            <v>30000000</v>
          </cell>
          <cell r="H5453" t="str">
            <v>Faris</v>
          </cell>
          <cell r="I5453" t="str">
            <v>Syahra</v>
          </cell>
          <cell r="J5453" t="str">
            <v>New 10/05/21</v>
          </cell>
          <cell r="K5453" t="str">
            <v>KU</v>
          </cell>
          <cell r="L5453" t="str">
            <v>MUST05</v>
          </cell>
          <cell r="M5453" t="str">
            <v>Mustakim Tani/Mustakim</v>
          </cell>
          <cell r="N5453" t="str">
            <v>Mustakim</v>
          </cell>
          <cell r="O5453" t="str">
            <v>Dusun Setembel RT.005/RW.002Kel. Gambiran, Kec. Gambiran</v>
          </cell>
          <cell r="P5453" t="str">
            <v>Banyuwangi</v>
          </cell>
          <cell r="Q5453" t="str">
            <v>Dusun Setembel RT.005/RW.002Kel. Gambiran, Kec. Gambiran</v>
          </cell>
          <cell r="R5453" t="str">
            <v>Banyuwangi</v>
          </cell>
          <cell r="S5453" t="str">
            <v>H Bwi3</v>
          </cell>
          <cell r="T5453" t="str">
            <v>Hafid</v>
          </cell>
          <cell r="U5453">
            <v>60</v>
          </cell>
        </row>
        <row r="5454">
          <cell r="E5454" t="str">
            <v>D25013695</v>
          </cell>
          <cell r="F5454"/>
          <cell r="G5454">
            <v>30000000</v>
          </cell>
          <cell r="H5454" t="str">
            <v>Faris</v>
          </cell>
          <cell r="I5454" t="str">
            <v>Syahra</v>
          </cell>
          <cell r="J5454" t="str">
            <v>New 10/05/21</v>
          </cell>
          <cell r="K5454" t="str">
            <v>KU</v>
          </cell>
          <cell r="L5454" t="str">
            <v>MUST05</v>
          </cell>
          <cell r="M5454" t="str">
            <v>Mustakim Tani/Mustakim</v>
          </cell>
          <cell r="N5454" t="str">
            <v>Mustakim</v>
          </cell>
          <cell r="O5454" t="str">
            <v>Dusun Setembel RT.005/RW.002Kel. Gambiran, Kec. Gambiran</v>
          </cell>
          <cell r="P5454" t="str">
            <v>Banyuwangi</v>
          </cell>
          <cell r="Q5454" t="str">
            <v>Dusun Setembel RT.005/RW.002Kel. Gambiran, Kec. Gambiran</v>
          </cell>
          <cell r="R5454" t="str">
            <v>Banyuwangi</v>
          </cell>
          <cell r="S5454" t="str">
            <v>H Bwi3</v>
          </cell>
          <cell r="T5454" t="str">
            <v>Hafid</v>
          </cell>
          <cell r="U5454">
            <v>30</v>
          </cell>
        </row>
        <row r="5455">
          <cell r="E5455" t="str">
            <v>D25014303</v>
          </cell>
          <cell r="F5455"/>
          <cell r="G5455">
            <v>30000000</v>
          </cell>
          <cell r="H5455" t="str">
            <v>Faris</v>
          </cell>
          <cell r="I5455" t="str">
            <v>Syahra</v>
          </cell>
          <cell r="J5455" t="str">
            <v>New 10/05/21</v>
          </cell>
          <cell r="K5455" t="str">
            <v>KU</v>
          </cell>
          <cell r="L5455" t="str">
            <v>MUST05</v>
          </cell>
          <cell r="M5455" t="str">
            <v>Mustakim Tani/Mustakim</v>
          </cell>
          <cell r="N5455" t="str">
            <v>Mustakim</v>
          </cell>
          <cell r="O5455" t="str">
            <v>Dusun Setembel RT.005/RW.002Kel. Gambiran, Kec. Gambiran</v>
          </cell>
          <cell r="P5455" t="str">
            <v>Banyuwangi</v>
          </cell>
          <cell r="Q5455" t="str">
            <v>Dusun Setembel RT.005/RW.002Kel. Gambiran, Kec. Gambiran</v>
          </cell>
          <cell r="R5455" t="str">
            <v>Banyuwangi</v>
          </cell>
          <cell r="S5455" t="str">
            <v>H Bwi3</v>
          </cell>
          <cell r="T5455" t="str">
            <v>Hafid</v>
          </cell>
          <cell r="U5455">
            <v>30</v>
          </cell>
        </row>
        <row r="5456">
          <cell r="E5456" t="str">
            <v>D25014826</v>
          </cell>
          <cell r="F5456"/>
          <cell r="G5456">
            <v>30000000</v>
          </cell>
          <cell r="H5456" t="str">
            <v>Faris</v>
          </cell>
          <cell r="I5456" t="str">
            <v>Syahra</v>
          </cell>
          <cell r="J5456" t="str">
            <v>New 10/05/21</v>
          </cell>
          <cell r="K5456" t="str">
            <v>KU</v>
          </cell>
          <cell r="L5456" t="str">
            <v>MUST05</v>
          </cell>
          <cell r="M5456" t="str">
            <v>Mustakim Tani/Mustakim</v>
          </cell>
          <cell r="N5456" t="str">
            <v>Mustakim</v>
          </cell>
          <cell r="O5456" t="str">
            <v>Dusun Setembel RT.005/RW.002Kel. Gambiran, Kec. Gambiran</v>
          </cell>
          <cell r="P5456" t="str">
            <v>Banyuwangi</v>
          </cell>
          <cell r="Q5456" t="str">
            <v>Dusun Setembel RT.005/RW.002Kel. Gambiran, Kec. Gambiran</v>
          </cell>
          <cell r="R5456" t="str">
            <v>Banyuwangi</v>
          </cell>
          <cell r="S5456" t="str">
            <v>H Bwi3</v>
          </cell>
          <cell r="T5456" t="str">
            <v>Hafid</v>
          </cell>
          <cell r="U5456">
            <v>30</v>
          </cell>
        </row>
        <row r="5457">
          <cell r="E5457" t="str">
            <v>D25014827</v>
          </cell>
          <cell r="F5457"/>
          <cell r="G5457">
            <v>30000000</v>
          </cell>
          <cell r="H5457" t="str">
            <v>Faris</v>
          </cell>
          <cell r="I5457" t="str">
            <v>Syahra</v>
          </cell>
          <cell r="J5457" t="str">
            <v>New 10/05/21</v>
          </cell>
          <cell r="K5457" t="str">
            <v>KU</v>
          </cell>
          <cell r="L5457" t="str">
            <v>MUST05</v>
          </cell>
          <cell r="M5457" t="str">
            <v>Mustakim Tani/Mustakim</v>
          </cell>
          <cell r="N5457" t="str">
            <v>Mustakim</v>
          </cell>
          <cell r="O5457" t="str">
            <v>Dusun Setembel RT.005/RW.002Kel. Gambiran, Kec. Gambiran</v>
          </cell>
          <cell r="P5457" t="str">
            <v>Banyuwangi</v>
          </cell>
          <cell r="Q5457" t="str">
            <v>Dusun Setembel RT.005/RW.002Kel. Gambiran, Kec. Gambiran</v>
          </cell>
          <cell r="R5457" t="str">
            <v>Banyuwangi</v>
          </cell>
          <cell r="S5457" t="str">
            <v>H Bwi3</v>
          </cell>
          <cell r="T5457" t="str">
            <v>Hafid</v>
          </cell>
          <cell r="U5457">
            <v>30</v>
          </cell>
        </row>
        <row r="5458">
          <cell r="E5458" t="str">
            <v>B25013921</v>
          </cell>
          <cell r="F5458"/>
          <cell r="G5458">
            <v>30000000</v>
          </cell>
          <cell r="H5458" t="str">
            <v>Faris</v>
          </cell>
          <cell r="I5458" t="str">
            <v>Syahra</v>
          </cell>
          <cell r="J5458" t="str">
            <v>New 10/05/21</v>
          </cell>
          <cell r="K5458" t="str">
            <v>KU</v>
          </cell>
          <cell r="L5458" t="str">
            <v>MUST05</v>
          </cell>
          <cell r="M5458" t="str">
            <v>Mustakim Tani/Mustakim</v>
          </cell>
          <cell r="N5458" t="str">
            <v>Mustakim</v>
          </cell>
          <cell r="O5458" t="str">
            <v>Dusun Setembel RT.005/RW.002Kel. Gambiran, Kec. Gambiran</v>
          </cell>
          <cell r="P5458" t="str">
            <v>Banyuwangi</v>
          </cell>
          <cell r="Q5458" t="str">
            <v>Dusun Setembel RT.005/RW.002Kel. Gambiran, Kec. Gambiran</v>
          </cell>
          <cell r="R5458" t="str">
            <v>Banyuwangi</v>
          </cell>
          <cell r="S5458" t="str">
            <v>H Bwi3</v>
          </cell>
          <cell r="T5458" t="str">
            <v>Hafid</v>
          </cell>
          <cell r="U5458">
            <v>30</v>
          </cell>
        </row>
        <row r="5459">
          <cell r="E5459" t="str">
            <v>T25001518</v>
          </cell>
          <cell r="F5459"/>
          <cell r="G5459">
            <v>150000000</v>
          </cell>
          <cell r="H5459" t="str">
            <v>Reni</v>
          </cell>
          <cell r="I5459" t="str">
            <v>Farida</v>
          </cell>
          <cell r="J5459"/>
          <cell r="K5459" t="str">
            <v>KU</v>
          </cell>
          <cell r="L5459" t="str">
            <v>MUST03</v>
          </cell>
          <cell r="M5459" t="str">
            <v>Mustika Tani/Sujarwo</v>
          </cell>
          <cell r="N5459" t="str">
            <v>Sudjarwo</v>
          </cell>
          <cell r="O5459" t="str">
            <v>Dukuh Krajan, RT.001/RW.001, Maguwan Sambit</v>
          </cell>
          <cell r="P5459" t="str">
            <v>Ponorogo</v>
          </cell>
          <cell r="Q5459" t="str">
            <v>Dukuh Krajan, RT.001/RW.001, Maguwan Sambit</v>
          </cell>
          <cell r="R5459" t="str">
            <v>Ponorogo</v>
          </cell>
          <cell r="S5459" t="str">
            <v>D Barat2</v>
          </cell>
          <cell r="T5459" t="str">
            <v>Dian</v>
          </cell>
          <cell r="U5459">
            <v>60</v>
          </cell>
        </row>
        <row r="5460">
          <cell r="E5460" t="str">
            <v>D25015289</v>
          </cell>
          <cell r="F5460"/>
          <cell r="G5460">
            <v>150000000</v>
          </cell>
          <cell r="H5460" t="str">
            <v>Reni</v>
          </cell>
          <cell r="I5460" t="str">
            <v>Farida</v>
          </cell>
          <cell r="J5460"/>
          <cell r="K5460" t="str">
            <v>KU</v>
          </cell>
          <cell r="L5460" t="str">
            <v>MUST03</v>
          </cell>
          <cell r="M5460" t="str">
            <v>Mustika Tani/Sujarwo</v>
          </cell>
          <cell r="N5460" t="str">
            <v>Sudjarwo</v>
          </cell>
          <cell r="O5460" t="str">
            <v>Dukuh Krajan, RT.001/RW.001, Maguwan Sambit</v>
          </cell>
          <cell r="P5460" t="str">
            <v>Ponorogo</v>
          </cell>
          <cell r="Q5460" t="str">
            <v>Dukuh Krajan, RT.001/RW.001, Maguwan Sambit</v>
          </cell>
          <cell r="R5460" t="str">
            <v>Ponorogo</v>
          </cell>
          <cell r="S5460" t="str">
            <v>D Barat2</v>
          </cell>
          <cell r="T5460" t="str">
            <v>Dian</v>
          </cell>
          <cell r="U5460">
            <v>0</v>
          </cell>
        </row>
        <row r="5461">
          <cell r="E5461" t="str">
            <v>D25015789</v>
          </cell>
          <cell r="F5461"/>
          <cell r="G5461">
            <v>150000000</v>
          </cell>
          <cell r="H5461" t="str">
            <v>Reni</v>
          </cell>
          <cell r="I5461" t="str">
            <v>Farida</v>
          </cell>
          <cell r="J5461"/>
          <cell r="K5461" t="str">
            <v>KU</v>
          </cell>
          <cell r="L5461" t="str">
            <v>MUST03</v>
          </cell>
          <cell r="M5461" t="str">
            <v>Mustika Tani/Sujarwo</v>
          </cell>
          <cell r="N5461" t="str">
            <v>Sudjarwo</v>
          </cell>
          <cell r="O5461" t="str">
            <v>Dukuh Krajan, RT.001/RW.001, Maguwan Sambit</v>
          </cell>
          <cell r="P5461" t="str">
            <v>Ponorogo</v>
          </cell>
          <cell r="Q5461" t="str">
            <v>Dukuh Krajan, RT.001/RW.001, Maguwan Sambit</v>
          </cell>
          <cell r="R5461" t="str">
            <v>Ponorogo</v>
          </cell>
          <cell r="S5461" t="str">
            <v>D Barat2</v>
          </cell>
          <cell r="T5461" t="str">
            <v>Dian</v>
          </cell>
          <cell r="U5461">
            <v>60</v>
          </cell>
        </row>
        <row r="5462">
          <cell r="E5462" t="str">
            <v>T25001569</v>
          </cell>
          <cell r="F5462"/>
          <cell r="G5462">
            <v>150000000</v>
          </cell>
          <cell r="H5462" t="str">
            <v>Reni</v>
          </cell>
          <cell r="I5462" t="str">
            <v>Farida</v>
          </cell>
          <cell r="J5462"/>
          <cell r="K5462" t="str">
            <v>KU</v>
          </cell>
          <cell r="L5462" t="str">
            <v>MUST03</v>
          </cell>
          <cell r="M5462" t="str">
            <v>Mustika Tani/Sujarwo</v>
          </cell>
          <cell r="N5462" t="str">
            <v>Sudjarwo</v>
          </cell>
          <cell r="O5462" t="str">
            <v>Dukuh Krajan, RT.001/RW.001, Maguwan Sambit</v>
          </cell>
          <cell r="P5462" t="str">
            <v>Ponorogo</v>
          </cell>
          <cell r="Q5462" t="str">
            <v>Dukuh Krajan, RT.001/RW.001, Maguwan Sambit</v>
          </cell>
          <cell r="R5462" t="str">
            <v>Ponorogo</v>
          </cell>
          <cell r="S5462" t="str">
            <v>D Barat2</v>
          </cell>
          <cell r="T5462" t="str">
            <v>Dian</v>
          </cell>
          <cell r="U5462">
            <v>60</v>
          </cell>
        </row>
        <row r="5463">
          <cell r="E5463" t="str">
            <v>T25001575</v>
          </cell>
          <cell r="F5463"/>
          <cell r="G5463">
            <v>150000000</v>
          </cell>
          <cell r="H5463" t="str">
            <v>Reni</v>
          </cell>
          <cell r="I5463" t="str">
            <v>Farida</v>
          </cell>
          <cell r="J5463"/>
          <cell r="K5463" t="str">
            <v>KU</v>
          </cell>
          <cell r="L5463" t="str">
            <v>MUST03</v>
          </cell>
          <cell r="M5463" t="str">
            <v>Mustika Tani/Sujarwo</v>
          </cell>
          <cell r="N5463" t="str">
            <v>Sudjarwo</v>
          </cell>
          <cell r="O5463" t="str">
            <v>Dukuh Krajan, RT.001/RW.001, Maguwan Sambit</v>
          </cell>
          <cell r="P5463" t="str">
            <v>Ponorogo</v>
          </cell>
          <cell r="Q5463" t="str">
            <v>Dukuh Krajan, RT.001/RW.001, Maguwan Sambit</v>
          </cell>
          <cell r="R5463" t="str">
            <v>Ponorogo</v>
          </cell>
          <cell r="S5463" t="str">
            <v>D Barat2</v>
          </cell>
          <cell r="T5463" t="str">
            <v>Dian</v>
          </cell>
          <cell r="U5463">
            <v>60</v>
          </cell>
        </row>
        <row r="5464">
          <cell r="E5464" t="str">
            <v>Z25001975</v>
          </cell>
          <cell r="F5464"/>
          <cell r="G5464">
            <v>1500000000</v>
          </cell>
          <cell r="H5464" t="str">
            <v>Faris</v>
          </cell>
          <cell r="I5464" t="str">
            <v>Syahra</v>
          </cell>
          <cell r="J5464"/>
          <cell r="K5464" t="str">
            <v>KU</v>
          </cell>
          <cell r="L5464" t="str">
            <v>MUTI01</v>
          </cell>
          <cell r="M5464" t="str">
            <v>Mutiara Tani, UD/Abdur Rahman</v>
          </cell>
          <cell r="N5464" t="str">
            <v>Abd. Rahman</v>
          </cell>
          <cell r="O5464" t="str">
            <v>Jln. Wongsorejo RT.01 RW.02 Ds Wongsorejo Kec. Wongsorejo Kab. Banyuwangi</v>
          </cell>
          <cell r="P5464" t="str">
            <v>Banyuwangi</v>
          </cell>
          <cell r="Q5464" t="str">
            <v>Jl. Raya Wongsorejo</v>
          </cell>
          <cell r="R5464" t="str">
            <v>Banyuwangi</v>
          </cell>
          <cell r="S5464" t="str">
            <v>H Bwi5</v>
          </cell>
          <cell r="T5464" t="str">
            <v>Hafid</v>
          </cell>
          <cell r="U5464">
            <v>30</v>
          </cell>
        </row>
        <row r="5465">
          <cell r="E5465" t="str">
            <v>Z250010</v>
          </cell>
          <cell r="F5465"/>
          <cell r="G5465">
            <v>1500000000</v>
          </cell>
          <cell r="H5465" t="str">
            <v>Faris</v>
          </cell>
          <cell r="I5465" t="str">
            <v>Syahra</v>
          </cell>
          <cell r="J5465"/>
          <cell r="K5465" t="str">
            <v>KU</v>
          </cell>
          <cell r="L5465" t="str">
            <v>MUTI01</v>
          </cell>
          <cell r="M5465" t="str">
            <v>Mutiara Tani, UD/Abdur Rahman</v>
          </cell>
          <cell r="N5465" t="str">
            <v>Abd. Rahman</v>
          </cell>
          <cell r="O5465" t="str">
            <v>Jln. Wongsorejo RT.01 RW.02 Ds Wongsorejo Kec. Wongsorejo Kab. Banyuwangi</v>
          </cell>
          <cell r="P5465" t="str">
            <v>Banyuwangi</v>
          </cell>
          <cell r="Q5465" t="str">
            <v>Jl. Raya Wongsorejo</v>
          </cell>
          <cell r="R5465" t="str">
            <v>Banyuwangi</v>
          </cell>
          <cell r="S5465" t="str">
            <v>H Bwi5</v>
          </cell>
          <cell r="T5465" t="str">
            <v>Hafid</v>
          </cell>
          <cell r="U5465">
            <v>30</v>
          </cell>
        </row>
        <row r="5466">
          <cell r="E5466" t="str">
            <v>Z25002019</v>
          </cell>
          <cell r="F5466"/>
          <cell r="G5466">
            <v>1500000000</v>
          </cell>
          <cell r="H5466" t="str">
            <v>Faris</v>
          </cell>
          <cell r="I5466" t="str">
            <v>Syahra</v>
          </cell>
          <cell r="J5466"/>
          <cell r="K5466" t="str">
            <v>KU</v>
          </cell>
          <cell r="L5466" t="str">
            <v>MUTI01</v>
          </cell>
          <cell r="M5466" t="str">
            <v>Mutiara Tani, UD/Abdur Rahman</v>
          </cell>
          <cell r="N5466" t="str">
            <v>Abd. Rahman</v>
          </cell>
          <cell r="O5466" t="str">
            <v>Jln. Wongsorejo RT.01 RW.02 Ds Wongsorejo Kec. Wongsorejo Kab. Banyuwangi</v>
          </cell>
          <cell r="P5466" t="str">
            <v>Banyuwangi</v>
          </cell>
          <cell r="Q5466" t="str">
            <v>Jl. Raya Wongsorejo</v>
          </cell>
          <cell r="R5466" t="str">
            <v>Banyuwangi</v>
          </cell>
          <cell r="S5466" t="str">
            <v>H Bwi5</v>
          </cell>
          <cell r="T5466" t="str">
            <v>Hafid</v>
          </cell>
          <cell r="U5466">
            <v>30</v>
          </cell>
        </row>
        <row r="5467">
          <cell r="E5467" t="str">
            <v>Z25002028</v>
          </cell>
          <cell r="F5467"/>
          <cell r="G5467">
            <v>1500000000</v>
          </cell>
          <cell r="H5467" t="str">
            <v>Faris</v>
          </cell>
          <cell r="I5467" t="str">
            <v>Syahra</v>
          </cell>
          <cell r="J5467"/>
          <cell r="K5467" t="str">
            <v>KU</v>
          </cell>
          <cell r="L5467" t="str">
            <v>MUTI01</v>
          </cell>
          <cell r="M5467" t="str">
            <v>Mutiara Tani, UD/Abdur Rahman</v>
          </cell>
          <cell r="N5467" t="str">
            <v>Abd. Rahman</v>
          </cell>
          <cell r="O5467" t="str">
            <v>Jln. Wongsorejo RT.01 RW.02 Ds Wongsorejo Kec. Wongsorejo Kab. Banyuwangi</v>
          </cell>
          <cell r="P5467" t="str">
            <v>Banyuwangi</v>
          </cell>
          <cell r="Q5467" t="str">
            <v>Jl. Raya Wongsorejo</v>
          </cell>
          <cell r="R5467" t="str">
            <v>Banyuwangi</v>
          </cell>
          <cell r="S5467" t="str">
            <v>H Bwi5</v>
          </cell>
          <cell r="T5467" t="str">
            <v>Hafid</v>
          </cell>
          <cell r="U5467">
            <v>60</v>
          </cell>
        </row>
        <row r="5468">
          <cell r="E5468" t="str">
            <v>Z25002032</v>
          </cell>
          <cell r="F5468"/>
          <cell r="G5468">
            <v>1500000000</v>
          </cell>
          <cell r="H5468" t="str">
            <v>Faris</v>
          </cell>
          <cell r="I5468" t="str">
            <v>Syahra</v>
          </cell>
          <cell r="J5468"/>
          <cell r="K5468" t="str">
            <v>KU</v>
          </cell>
          <cell r="L5468" t="str">
            <v>MUTI01</v>
          </cell>
          <cell r="M5468" t="str">
            <v>Mutiara Tani, UD/Abdur Rahman</v>
          </cell>
          <cell r="N5468" t="str">
            <v>Abd. Rahman</v>
          </cell>
          <cell r="O5468" t="str">
            <v>Jln. Wongsorejo RT.01 RW.02 Ds Wongsorejo Kec. Wongsorejo Kab. Banyuwangi</v>
          </cell>
          <cell r="P5468" t="str">
            <v>Banyuwangi</v>
          </cell>
          <cell r="Q5468" t="str">
            <v>Jl. Raya Wongsorejo</v>
          </cell>
          <cell r="R5468" t="str">
            <v>Banyuwangi</v>
          </cell>
          <cell r="S5468" t="str">
            <v>H Bwi5</v>
          </cell>
          <cell r="T5468" t="str">
            <v>Hafid</v>
          </cell>
          <cell r="U5468">
            <v>60</v>
          </cell>
        </row>
        <row r="5469">
          <cell r="E5469" t="str">
            <v>Z25002113</v>
          </cell>
          <cell r="F5469"/>
          <cell r="G5469">
            <v>1500000000</v>
          </cell>
          <cell r="H5469" t="str">
            <v>Faris</v>
          </cell>
          <cell r="I5469" t="str">
            <v>Syahra</v>
          </cell>
          <cell r="J5469"/>
          <cell r="K5469" t="str">
            <v>KU</v>
          </cell>
          <cell r="L5469" t="str">
            <v>MUTI01</v>
          </cell>
          <cell r="M5469" t="str">
            <v>Mutiara Tani, UD/Abdur Rahman</v>
          </cell>
          <cell r="N5469" t="str">
            <v>Abd. Rahman</v>
          </cell>
          <cell r="O5469" t="str">
            <v>Jln. Wongsorejo RT.01 RW.02 Ds Wongsorejo Kec. Wongsorejo Kab. Banyuwangi</v>
          </cell>
          <cell r="P5469" t="str">
            <v>Banyuwangi</v>
          </cell>
          <cell r="Q5469" t="str">
            <v>Jl. Raya Wongsorejo</v>
          </cell>
          <cell r="R5469" t="str">
            <v>Banyuwangi</v>
          </cell>
          <cell r="S5469" t="str">
            <v>H Bwi5</v>
          </cell>
          <cell r="T5469" t="str">
            <v>Hafid</v>
          </cell>
          <cell r="U5469">
            <v>30</v>
          </cell>
        </row>
        <row r="5470">
          <cell r="E5470" t="str">
            <v>Z25002132</v>
          </cell>
          <cell r="F5470"/>
          <cell r="G5470">
            <v>1500000000</v>
          </cell>
          <cell r="H5470" t="str">
            <v>Faris</v>
          </cell>
          <cell r="I5470" t="str">
            <v>Syahra</v>
          </cell>
          <cell r="J5470"/>
          <cell r="K5470" t="str">
            <v>KU</v>
          </cell>
          <cell r="L5470" t="str">
            <v>MUTI01</v>
          </cell>
          <cell r="M5470" t="str">
            <v>Mutiara Tani, UD/Abdur Rahman</v>
          </cell>
          <cell r="N5470" t="str">
            <v>Abd. Rahman</v>
          </cell>
          <cell r="O5470" t="str">
            <v>Jln. Wongsorejo RT.01 RW.02 Ds Wongsorejo Kec. Wongsorejo Kab. Banyuwangi</v>
          </cell>
          <cell r="P5470" t="str">
            <v>Banyuwangi</v>
          </cell>
          <cell r="Q5470" t="str">
            <v>Jl. Raya Wongsorejo</v>
          </cell>
          <cell r="R5470" t="str">
            <v>Banyuwangi</v>
          </cell>
          <cell r="S5470" t="str">
            <v>H Bwi5</v>
          </cell>
          <cell r="T5470" t="str">
            <v>Hafid</v>
          </cell>
          <cell r="U5470">
            <v>30</v>
          </cell>
        </row>
        <row r="5471">
          <cell r="E5471" t="str">
            <v>Z25002133</v>
          </cell>
          <cell r="F5471"/>
          <cell r="G5471">
            <v>1500000000</v>
          </cell>
          <cell r="H5471" t="str">
            <v>Faris</v>
          </cell>
          <cell r="I5471" t="str">
            <v>Syahra</v>
          </cell>
          <cell r="J5471"/>
          <cell r="K5471" t="str">
            <v>KU</v>
          </cell>
          <cell r="L5471" t="str">
            <v>MUTI01</v>
          </cell>
          <cell r="M5471" t="str">
            <v>Mutiara Tani, UD/Abdur Rahman</v>
          </cell>
          <cell r="N5471" t="str">
            <v>Abd. Rahman</v>
          </cell>
          <cell r="O5471" t="str">
            <v>Jln. Wongsorejo RT.01 RW.02 Ds Wongsorejo Kec. Wongsorejo Kab. Banyuwangi</v>
          </cell>
          <cell r="P5471" t="str">
            <v>Banyuwangi</v>
          </cell>
          <cell r="Q5471" t="str">
            <v>Jl. Raya Wongsorejo</v>
          </cell>
          <cell r="R5471" t="str">
            <v>Banyuwangi</v>
          </cell>
          <cell r="S5471" t="str">
            <v>H Bwi5</v>
          </cell>
          <cell r="T5471" t="str">
            <v>Hafid</v>
          </cell>
          <cell r="U5471">
            <v>30</v>
          </cell>
        </row>
        <row r="5472">
          <cell r="E5472" t="str">
            <v>Z25002134</v>
          </cell>
          <cell r="F5472"/>
          <cell r="G5472">
            <v>1500000000</v>
          </cell>
          <cell r="H5472" t="str">
            <v>Faris</v>
          </cell>
          <cell r="I5472" t="str">
            <v>Syahra</v>
          </cell>
          <cell r="J5472"/>
          <cell r="K5472" t="str">
            <v>KU</v>
          </cell>
          <cell r="L5472" t="str">
            <v>MUTI01</v>
          </cell>
          <cell r="M5472" t="str">
            <v>Mutiara Tani, UD/Abdur Rahman</v>
          </cell>
          <cell r="N5472" t="str">
            <v>Abd. Rahman</v>
          </cell>
          <cell r="O5472" t="str">
            <v>Jln. Wongsorejo RT.01 RW.02 Ds Wongsorejo Kec. Wongsorejo Kab. Banyuwangi</v>
          </cell>
          <cell r="P5472" t="str">
            <v>Banyuwangi</v>
          </cell>
          <cell r="Q5472" t="str">
            <v>Jl. Raya Wongsorejo</v>
          </cell>
          <cell r="R5472" t="str">
            <v>Banyuwangi</v>
          </cell>
          <cell r="S5472" t="str">
            <v>H Bwi5</v>
          </cell>
          <cell r="T5472" t="str">
            <v>Hafid</v>
          </cell>
          <cell r="U5472">
            <v>30</v>
          </cell>
        </row>
        <row r="5473">
          <cell r="E5473" t="str">
            <v>T25001312</v>
          </cell>
          <cell r="F5473"/>
          <cell r="G5473">
            <v>1500000000</v>
          </cell>
          <cell r="H5473" t="str">
            <v>Faris</v>
          </cell>
          <cell r="I5473" t="str">
            <v>Syahra</v>
          </cell>
          <cell r="J5473"/>
          <cell r="K5473" t="str">
            <v>KU</v>
          </cell>
          <cell r="L5473" t="str">
            <v>MUTI01</v>
          </cell>
          <cell r="M5473" t="str">
            <v>Mutiara Tani, UD/Abdur Rahman</v>
          </cell>
          <cell r="N5473" t="str">
            <v>Abd. Rahman</v>
          </cell>
          <cell r="O5473" t="str">
            <v>Jln. Wongsorejo RT.01 RW.02 Ds Wongsorejo Kec. Wongsorejo Kab. Banyuwangi</v>
          </cell>
          <cell r="P5473" t="str">
            <v>Banyuwangi</v>
          </cell>
          <cell r="Q5473" t="str">
            <v>Jl. Raya Wongsorejo</v>
          </cell>
          <cell r="R5473" t="str">
            <v>Banyuwangi</v>
          </cell>
          <cell r="S5473" t="str">
            <v>H Bwi5</v>
          </cell>
          <cell r="T5473" t="str">
            <v>Hafid</v>
          </cell>
          <cell r="U5473">
            <v>60</v>
          </cell>
        </row>
        <row r="5474">
          <cell r="E5474" t="str">
            <v>Z25002144</v>
          </cell>
          <cell r="F5474"/>
          <cell r="G5474">
            <v>1500000000</v>
          </cell>
          <cell r="H5474" t="str">
            <v>Faris</v>
          </cell>
          <cell r="I5474" t="str">
            <v>Syahra</v>
          </cell>
          <cell r="J5474"/>
          <cell r="K5474" t="str">
            <v>KU</v>
          </cell>
          <cell r="L5474" t="str">
            <v>MUTI01</v>
          </cell>
          <cell r="M5474" t="str">
            <v>Mutiara Tani, UD/Abdur Rahman</v>
          </cell>
          <cell r="N5474" t="str">
            <v>Abd. Rahman</v>
          </cell>
          <cell r="O5474" t="str">
            <v>Jln. Wongsorejo RT.01 RW.02 Ds Wongsorejo Kec. Wongsorejo Kab. Banyuwangi</v>
          </cell>
          <cell r="P5474" t="str">
            <v>Banyuwangi</v>
          </cell>
          <cell r="Q5474" t="str">
            <v>Jl. Raya Wongsorejo</v>
          </cell>
          <cell r="R5474" t="str">
            <v>Banyuwangi</v>
          </cell>
          <cell r="S5474" t="str">
            <v>H Bwi5</v>
          </cell>
          <cell r="T5474" t="str">
            <v>Hafid</v>
          </cell>
          <cell r="U5474">
            <v>30</v>
          </cell>
        </row>
        <row r="5475">
          <cell r="E5475" t="str">
            <v>Z25002397</v>
          </cell>
          <cell r="F5475"/>
          <cell r="G5475">
            <v>1500000000</v>
          </cell>
          <cell r="H5475" t="str">
            <v>Faris</v>
          </cell>
          <cell r="I5475" t="str">
            <v>Syahra</v>
          </cell>
          <cell r="J5475"/>
          <cell r="K5475" t="str">
            <v>KU</v>
          </cell>
          <cell r="L5475" t="str">
            <v>MUTI01</v>
          </cell>
          <cell r="M5475" t="str">
            <v>Mutiara Tani, UD/Abdur Rahman</v>
          </cell>
          <cell r="N5475" t="str">
            <v>Abd. Rahman</v>
          </cell>
          <cell r="O5475" t="str">
            <v>Jln. Wongsorejo RT.01 RW.02 Ds Wongsorejo Kec. Wongsorejo Kab. Banyuwangi</v>
          </cell>
          <cell r="P5475" t="str">
            <v>Banyuwangi</v>
          </cell>
          <cell r="Q5475" t="str">
            <v>Jl. Raya Wongsorejo</v>
          </cell>
          <cell r="R5475" t="str">
            <v>Banyuwangi</v>
          </cell>
          <cell r="S5475" t="str">
            <v>H Bwi5</v>
          </cell>
          <cell r="T5475" t="str">
            <v>Hafid</v>
          </cell>
          <cell r="U5475">
            <v>30</v>
          </cell>
        </row>
        <row r="5476">
          <cell r="E5476" t="str">
            <v>Z25002480</v>
          </cell>
          <cell r="F5476"/>
          <cell r="G5476">
            <v>1500000000</v>
          </cell>
          <cell r="H5476" t="str">
            <v>Faris</v>
          </cell>
          <cell r="I5476" t="str">
            <v>Syahra</v>
          </cell>
          <cell r="J5476"/>
          <cell r="K5476" t="str">
            <v>KU</v>
          </cell>
          <cell r="L5476" t="str">
            <v>MUTI01</v>
          </cell>
          <cell r="M5476" t="str">
            <v>Mutiara Tani, UD/Abdur Rahman</v>
          </cell>
          <cell r="N5476" t="str">
            <v>Abd. Rahman</v>
          </cell>
          <cell r="O5476" t="str">
            <v>Jln. Wongsorejo RT.01 RW.02 Ds Wongsorejo Kec. Wongsorejo Kab. Banyuwangi</v>
          </cell>
          <cell r="P5476" t="str">
            <v>Banyuwangi</v>
          </cell>
          <cell r="Q5476" t="str">
            <v>Jl. Raya Wongsorejo</v>
          </cell>
          <cell r="R5476" t="str">
            <v>Banyuwangi</v>
          </cell>
          <cell r="S5476" t="str">
            <v>H Bwi5</v>
          </cell>
          <cell r="T5476" t="str">
            <v>Hafid</v>
          </cell>
          <cell r="U5476">
            <v>0</v>
          </cell>
        </row>
        <row r="5477">
          <cell r="E5477" t="str">
            <v>Z25002481</v>
          </cell>
          <cell r="F5477"/>
          <cell r="G5477">
            <v>1500000000</v>
          </cell>
          <cell r="H5477" t="str">
            <v>Faris</v>
          </cell>
          <cell r="I5477" t="str">
            <v>Syahra</v>
          </cell>
          <cell r="J5477"/>
          <cell r="K5477" t="str">
            <v>KU</v>
          </cell>
          <cell r="L5477" t="str">
            <v>MUTI01</v>
          </cell>
          <cell r="M5477" t="str">
            <v>Mutiara Tani, UD/Abdur Rahman</v>
          </cell>
          <cell r="N5477" t="str">
            <v>Abd. Rahman</v>
          </cell>
          <cell r="O5477" t="str">
            <v>Jln. Wongsorejo RT.01 RW.02 Ds Wongsorejo Kec. Wongsorejo Kab. Banyuwangi</v>
          </cell>
          <cell r="P5477" t="str">
            <v>Banyuwangi</v>
          </cell>
          <cell r="Q5477" t="str">
            <v>Jl. Raya Wongsorejo</v>
          </cell>
          <cell r="R5477" t="str">
            <v>Banyuwangi</v>
          </cell>
          <cell r="S5477" t="str">
            <v>H Bwi5</v>
          </cell>
          <cell r="T5477" t="str">
            <v>Hafid</v>
          </cell>
          <cell r="U5477">
            <v>0</v>
          </cell>
        </row>
        <row r="5478">
          <cell r="E5478" t="str">
            <v>Z25002489</v>
          </cell>
          <cell r="F5478"/>
          <cell r="G5478">
            <v>1500000000</v>
          </cell>
          <cell r="H5478" t="str">
            <v>Faris</v>
          </cell>
          <cell r="I5478" t="str">
            <v>Syahra</v>
          </cell>
          <cell r="J5478"/>
          <cell r="K5478" t="str">
            <v>KU</v>
          </cell>
          <cell r="L5478" t="str">
            <v>MUTI01</v>
          </cell>
          <cell r="M5478" t="str">
            <v>Mutiara Tani, UD/Abdur Rahman</v>
          </cell>
          <cell r="N5478" t="str">
            <v>Abd. Rahman</v>
          </cell>
          <cell r="O5478" t="str">
            <v>Jln. Wongsorejo RT.01 RW.02 Ds Wongsorejo Kec. Wongsorejo Kab. Banyuwangi</v>
          </cell>
          <cell r="P5478" t="str">
            <v>Banyuwangi</v>
          </cell>
          <cell r="Q5478" t="str">
            <v>Jl. Raya Wongsorejo</v>
          </cell>
          <cell r="R5478" t="str">
            <v>Banyuwangi</v>
          </cell>
          <cell r="S5478" t="str">
            <v>H Bwi5</v>
          </cell>
          <cell r="T5478" t="str">
            <v>Hafid</v>
          </cell>
          <cell r="U5478">
            <v>0</v>
          </cell>
        </row>
        <row r="5479">
          <cell r="E5479" t="str">
            <v>Z25002489</v>
          </cell>
          <cell r="F5479"/>
          <cell r="G5479">
            <v>1500000000</v>
          </cell>
          <cell r="H5479" t="str">
            <v>Faris</v>
          </cell>
          <cell r="I5479" t="str">
            <v>Syahra</v>
          </cell>
          <cell r="J5479"/>
          <cell r="K5479" t="str">
            <v>KU</v>
          </cell>
          <cell r="L5479" t="str">
            <v>MUTI01</v>
          </cell>
          <cell r="M5479" t="str">
            <v>Mutiara Tani, UD/Abdur Rahman</v>
          </cell>
          <cell r="N5479" t="str">
            <v>Abd. Rahman</v>
          </cell>
          <cell r="O5479" t="str">
            <v>Jln. Wongsorejo RT.01 RW.02 Ds Wongsorejo Kec. Wongsorejo Kab. Banyuwangi</v>
          </cell>
          <cell r="P5479" t="str">
            <v>Banyuwangi</v>
          </cell>
          <cell r="Q5479" t="str">
            <v>Jl. Raya Wongsorejo</v>
          </cell>
          <cell r="R5479" t="str">
            <v>Banyuwangi</v>
          </cell>
          <cell r="S5479" t="str">
            <v>H Bwi5</v>
          </cell>
          <cell r="T5479" t="str">
            <v>Hafid</v>
          </cell>
          <cell r="U5479">
            <v>0</v>
          </cell>
        </row>
        <row r="5480">
          <cell r="E5480" t="str">
            <v>Z25002489</v>
          </cell>
          <cell r="F5480"/>
          <cell r="G5480">
            <v>1500000000</v>
          </cell>
          <cell r="H5480" t="str">
            <v>Faris</v>
          </cell>
          <cell r="I5480" t="str">
            <v>Syahra</v>
          </cell>
          <cell r="J5480"/>
          <cell r="K5480" t="str">
            <v>KU</v>
          </cell>
          <cell r="L5480" t="str">
            <v>MUTI01</v>
          </cell>
          <cell r="M5480" t="str">
            <v>Mutiara Tani, UD/Abdur Rahman</v>
          </cell>
          <cell r="N5480" t="str">
            <v>Abd. Rahman</v>
          </cell>
          <cell r="O5480" t="str">
            <v>Jln. Wongsorejo RT.01 RW.02 Ds Wongsorejo Kec. Wongsorejo Kab. Banyuwangi</v>
          </cell>
          <cell r="P5480" t="str">
            <v>Banyuwangi</v>
          </cell>
          <cell r="Q5480" t="str">
            <v>Jl. Raya Wongsorejo</v>
          </cell>
          <cell r="R5480" t="str">
            <v>Banyuwangi</v>
          </cell>
          <cell r="S5480" t="str">
            <v>H Bwi5</v>
          </cell>
          <cell r="T5480" t="str">
            <v>Hafid</v>
          </cell>
          <cell r="U5480">
            <v>0</v>
          </cell>
        </row>
        <row r="5481">
          <cell r="E5481" t="str">
            <v>Z25002490</v>
          </cell>
          <cell r="F5481"/>
          <cell r="G5481">
            <v>1500000000</v>
          </cell>
          <cell r="H5481" t="str">
            <v>Faris</v>
          </cell>
          <cell r="I5481" t="str">
            <v>Syahra</v>
          </cell>
          <cell r="J5481"/>
          <cell r="K5481" t="str">
            <v>KU</v>
          </cell>
          <cell r="L5481" t="str">
            <v>MUTI01</v>
          </cell>
          <cell r="M5481" t="str">
            <v>Mutiara Tani, UD/Abdur Rahman</v>
          </cell>
          <cell r="N5481" t="str">
            <v>Abd. Rahman</v>
          </cell>
          <cell r="O5481" t="str">
            <v>Jln. Wongsorejo RT.01 RW.02 Ds Wongsorejo Kec. Wongsorejo Kab. Banyuwangi</v>
          </cell>
          <cell r="P5481" t="str">
            <v>Banyuwangi</v>
          </cell>
          <cell r="Q5481" t="str">
            <v>Jl. Raya Wongsorejo</v>
          </cell>
          <cell r="R5481" t="str">
            <v>Banyuwangi</v>
          </cell>
          <cell r="S5481" t="str">
            <v>H Bwi5</v>
          </cell>
          <cell r="T5481" t="str">
            <v>Hafid</v>
          </cell>
          <cell r="U5481">
            <v>0</v>
          </cell>
        </row>
        <row r="5482">
          <cell r="E5482" t="str">
            <v>Z25002490</v>
          </cell>
          <cell r="F5482"/>
          <cell r="G5482">
            <v>1500000000</v>
          </cell>
          <cell r="H5482" t="str">
            <v>Faris</v>
          </cell>
          <cell r="I5482" t="str">
            <v>Syahra</v>
          </cell>
          <cell r="J5482"/>
          <cell r="K5482" t="str">
            <v>KU</v>
          </cell>
          <cell r="L5482" t="str">
            <v>MUTI01</v>
          </cell>
          <cell r="M5482" t="str">
            <v>Mutiara Tani, UD/Abdur Rahman</v>
          </cell>
          <cell r="N5482" t="str">
            <v>Abd. Rahman</v>
          </cell>
          <cell r="O5482" t="str">
            <v>Jln. Wongsorejo RT.01 RW.02 Ds Wongsorejo Kec. Wongsorejo Kab. Banyuwangi</v>
          </cell>
          <cell r="P5482" t="str">
            <v>Banyuwangi</v>
          </cell>
          <cell r="Q5482" t="str">
            <v>Jl. Raya Wongsorejo</v>
          </cell>
          <cell r="R5482" t="str">
            <v>Banyuwangi</v>
          </cell>
          <cell r="S5482" t="str">
            <v>H Bwi5</v>
          </cell>
          <cell r="T5482" t="str">
            <v>Hafid</v>
          </cell>
          <cell r="U5482">
            <v>0</v>
          </cell>
        </row>
        <row r="5483">
          <cell r="E5483" t="str">
            <v>Z25002491</v>
          </cell>
          <cell r="F5483"/>
          <cell r="G5483">
            <v>1500000000</v>
          </cell>
          <cell r="H5483" t="str">
            <v>Faris</v>
          </cell>
          <cell r="I5483" t="str">
            <v>Syahra</v>
          </cell>
          <cell r="J5483"/>
          <cell r="K5483" t="str">
            <v>KU</v>
          </cell>
          <cell r="L5483" t="str">
            <v>MUTI01</v>
          </cell>
          <cell r="M5483" t="str">
            <v>Mutiara Tani, UD/Abdur Rahman</v>
          </cell>
          <cell r="N5483" t="str">
            <v>Abd. Rahman</v>
          </cell>
          <cell r="O5483" t="str">
            <v>Jln. Wongsorejo RT.01 RW.02 Ds Wongsorejo Kec. Wongsorejo Kab. Banyuwangi</v>
          </cell>
          <cell r="P5483" t="str">
            <v>Banyuwangi</v>
          </cell>
          <cell r="Q5483" t="str">
            <v>Jl. Raya Wongsorejo</v>
          </cell>
          <cell r="R5483" t="str">
            <v>Banyuwangi</v>
          </cell>
          <cell r="S5483" t="str">
            <v>H Bwi5</v>
          </cell>
          <cell r="T5483" t="str">
            <v>Hafid</v>
          </cell>
          <cell r="U5483">
            <v>0</v>
          </cell>
        </row>
        <row r="5484">
          <cell r="E5484" t="str">
            <v>Z25002491</v>
          </cell>
          <cell r="F5484"/>
          <cell r="G5484">
            <v>1500000000</v>
          </cell>
          <cell r="H5484" t="str">
            <v>Faris</v>
          </cell>
          <cell r="I5484" t="str">
            <v>Syahra</v>
          </cell>
          <cell r="J5484"/>
          <cell r="K5484" t="str">
            <v>KU</v>
          </cell>
          <cell r="L5484" t="str">
            <v>MUTI01</v>
          </cell>
          <cell r="M5484" t="str">
            <v>Mutiara Tani, UD/Abdur Rahman</v>
          </cell>
          <cell r="N5484" t="str">
            <v>Abd. Rahman</v>
          </cell>
          <cell r="O5484" t="str">
            <v>Jln. Wongsorejo RT.01 RW.02 Ds Wongsorejo Kec. Wongsorejo Kab. Banyuwangi</v>
          </cell>
          <cell r="P5484" t="str">
            <v>Banyuwangi</v>
          </cell>
          <cell r="Q5484" t="str">
            <v>Jl. Raya Wongsorejo</v>
          </cell>
          <cell r="R5484" t="str">
            <v>Banyuwangi</v>
          </cell>
          <cell r="S5484" t="str">
            <v>H Bwi5</v>
          </cell>
          <cell r="T5484" t="str">
            <v>Hafid</v>
          </cell>
          <cell r="U5484">
            <v>0</v>
          </cell>
        </row>
        <row r="5485">
          <cell r="E5485" t="str">
            <v>Z25002496</v>
          </cell>
          <cell r="F5485"/>
          <cell r="G5485">
            <v>1500000000</v>
          </cell>
          <cell r="H5485" t="str">
            <v>Faris</v>
          </cell>
          <cell r="I5485" t="str">
            <v>Syahra</v>
          </cell>
          <cell r="J5485"/>
          <cell r="K5485" t="str">
            <v>KU</v>
          </cell>
          <cell r="L5485" t="str">
            <v>MUTI01</v>
          </cell>
          <cell r="M5485" t="str">
            <v>Mutiara Tani, UD/Abdur Rahman</v>
          </cell>
          <cell r="N5485" t="str">
            <v>Abd. Rahman</v>
          </cell>
          <cell r="O5485" t="str">
            <v>Jln. Wongsorejo RT.01 RW.02 Ds Wongsorejo Kec. Wongsorejo Kab. Banyuwangi</v>
          </cell>
          <cell r="P5485" t="str">
            <v>Banyuwangi</v>
          </cell>
          <cell r="Q5485" t="str">
            <v>Jl. Raya Wongsorejo</v>
          </cell>
          <cell r="R5485" t="str">
            <v>Banyuwangi</v>
          </cell>
          <cell r="S5485" t="str">
            <v>H Bwi5</v>
          </cell>
          <cell r="T5485" t="str">
            <v>Hafid</v>
          </cell>
          <cell r="U5485">
            <v>0</v>
          </cell>
        </row>
        <row r="5486">
          <cell r="E5486" t="str">
            <v>Z25002496</v>
          </cell>
          <cell r="F5486"/>
          <cell r="G5486">
            <v>1500000000</v>
          </cell>
          <cell r="H5486" t="str">
            <v>Faris</v>
          </cell>
          <cell r="I5486" t="str">
            <v>Syahra</v>
          </cell>
          <cell r="J5486"/>
          <cell r="K5486" t="str">
            <v>KU</v>
          </cell>
          <cell r="L5486" t="str">
            <v>MUTI01</v>
          </cell>
          <cell r="M5486" t="str">
            <v>Mutiara Tani, UD/Abdur Rahman</v>
          </cell>
          <cell r="N5486" t="str">
            <v>Abd. Rahman</v>
          </cell>
          <cell r="O5486" t="str">
            <v>Jln. Wongsorejo RT.01 RW.02 Ds Wongsorejo Kec. Wongsorejo Kab. Banyuwangi</v>
          </cell>
          <cell r="P5486" t="str">
            <v>Banyuwangi</v>
          </cell>
          <cell r="Q5486" t="str">
            <v>Jl. Raya Wongsorejo</v>
          </cell>
          <cell r="R5486" t="str">
            <v>Banyuwangi</v>
          </cell>
          <cell r="S5486" t="str">
            <v>H Bwi5</v>
          </cell>
          <cell r="T5486" t="str">
            <v>Hafid</v>
          </cell>
          <cell r="U5486">
            <v>0</v>
          </cell>
        </row>
        <row r="5487">
          <cell r="E5487" t="str">
            <v>Z25002544</v>
          </cell>
          <cell r="F5487"/>
          <cell r="G5487">
            <v>1500000000</v>
          </cell>
          <cell r="H5487" t="str">
            <v>Faris</v>
          </cell>
          <cell r="I5487" t="str">
            <v>Syahra</v>
          </cell>
          <cell r="J5487"/>
          <cell r="K5487" t="str">
            <v>KU</v>
          </cell>
          <cell r="L5487" t="str">
            <v>MUTI01</v>
          </cell>
          <cell r="M5487" t="str">
            <v>Mutiara Tani, UD/Abdur Rahman</v>
          </cell>
          <cell r="N5487" t="str">
            <v>Abd. Rahman</v>
          </cell>
          <cell r="O5487" t="str">
            <v>Jln. Wongsorejo RT.01 RW.02 Ds Wongsorejo Kec. Wongsorejo Kab. Banyuwangi</v>
          </cell>
          <cell r="P5487" t="str">
            <v>Banyuwangi</v>
          </cell>
          <cell r="Q5487" t="str">
            <v>Jl. Raya Wongsorejo</v>
          </cell>
          <cell r="R5487" t="str">
            <v>Banyuwangi</v>
          </cell>
          <cell r="S5487" t="str">
            <v>H Bwi5</v>
          </cell>
          <cell r="T5487" t="str">
            <v>Hafid</v>
          </cell>
          <cell r="U5487">
            <v>0</v>
          </cell>
        </row>
        <row r="5488">
          <cell r="E5488" t="str">
            <v>Z25002545</v>
          </cell>
          <cell r="F5488"/>
          <cell r="G5488">
            <v>1500000000</v>
          </cell>
          <cell r="H5488" t="str">
            <v>Faris</v>
          </cell>
          <cell r="I5488" t="str">
            <v>Syahra</v>
          </cell>
          <cell r="J5488"/>
          <cell r="K5488" t="str">
            <v>KU</v>
          </cell>
          <cell r="L5488" t="str">
            <v>MUTI01</v>
          </cell>
          <cell r="M5488" t="str">
            <v>Mutiara Tani, UD/Abdur Rahman</v>
          </cell>
          <cell r="N5488" t="str">
            <v>Abd. Rahman</v>
          </cell>
          <cell r="O5488" t="str">
            <v>Jln. Wongsorejo RT.01 RW.02 Ds Wongsorejo Kec. Wongsorejo Kab. Banyuwangi</v>
          </cell>
          <cell r="P5488" t="str">
            <v>Banyuwangi</v>
          </cell>
          <cell r="Q5488" t="str">
            <v>Jl. Raya Wongsorejo</v>
          </cell>
          <cell r="R5488" t="str">
            <v>Banyuwangi</v>
          </cell>
          <cell r="S5488" t="str">
            <v>H Bwi5</v>
          </cell>
          <cell r="T5488" t="str">
            <v>Hafid</v>
          </cell>
          <cell r="U5488">
            <v>0</v>
          </cell>
        </row>
        <row r="5489">
          <cell r="E5489" t="str">
            <v>Z25002597</v>
          </cell>
          <cell r="F5489"/>
          <cell r="G5489">
            <v>1500000000</v>
          </cell>
          <cell r="H5489" t="str">
            <v>Faris</v>
          </cell>
          <cell r="I5489" t="str">
            <v>Syahra</v>
          </cell>
          <cell r="J5489"/>
          <cell r="K5489" t="str">
            <v>KU</v>
          </cell>
          <cell r="L5489" t="str">
            <v>MUTI01</v>
          </cell>
          <cell r="M5489" t="str">
            <v>Mutiara Tani, UD/Abdur Rahman</v>
          </cell>
          <cell r="N5489" t="str">
            <v>Abd. Rahman</v>
          </cell>
          <cell r="O5489" t="str">
            <v>Jln. Wongsorejo RT.01 RW.02 Ds Wongsorejo Kec. Wongsorejo Kab. Banyuwangi</v>
          </cell>
          <cell r="P5489" t="str">
            <v>Banyuwangi</v>
          </cell>
          <cell r="Q5489" t="str">
            <v>Jl. Raya Wongsorejo</v>
          </cell>
          <cell r="R5489" t="str">
            <v>Banyuwangi</v>
          </cell>
          <cell r="S5489" t="str">
            <v>H Bwi5</v>
          </cell>
          <cell r="T5489" t="str">
            <v>Hafid</v>
          </cell>
          <cell r="U5489">
            <v>30</v>
          </cell>
        </row>
        <row r="5490">
          <cell r="E5490" t="str">
            <v>Z25002598</v>
          </cell>
          <cell r="F5490"/>
          <cell r="G5490">
            <v>1500000000</v>
          </cell>
          <cell r="H5490" t="str">
            <v>Faris</v>
          </cell>
          <cell r="I5490" t="str">
            <v>Syahra</v>
          </cell>
          <cell r="J5490"/>
          <cell r="K5490" t="str">
            <v>KU</v>
          </cell>
          <cell r="L5490" t="str">
            <v>MUTI01</v>
          </cell>
          <cell r="M5490" t="str">
            <v>Mutiara Tani, UD/Abdur Rahman</v>
          </cell>
          <cell r="N5490" t="str">
            <v>Abd. Rahman</v>
          </cell>
          <cell r="O5490" t="str">
            <v>Jln. Wongsorejo RT.01 RW.02 Ds Wongsorejo Kec. Wongsorejo Kab. Banyuwangi</v>
          </cell>
          <cell r="P5490" t="str">
            <v>Banyuwangi</v>
          </cell>
          <cell r="Q5490" t="str">
            <v>Jl. Raya Wongsorejo</v>
          </cell>
          <cell r="R5490" t="str">
            <v>Banyuwangi</v>
          </cell>
          <cell r="S5490" t="str">
            <v>H Bwi5</v>
          </cell>
          <cell r="T5490" t="str">
            <v>Hafid</v>
          </cell>
          <cell r="U5490">
            <v>30</v>
          </cell>
        </row>
        <row r="5491">
          <cell r="E5491" t="str">
            <v>Z25002599</v>
          </cell>
          <cell r="F5491"/>
          <cell r="G5491">
            <v>1500000000</v>
          </cell>
          <cell r="H5491" t="str">
            <v>Faris</v>
          </cell>
          <cell r="I5491" t="str">
            <v>Syahra</v>
          </cell>
          <cell r="J5491"/>
          <cell r="K5491" t="str">
            <v>KU</v>
          </cell>
          <cell r="L5491" t="str">
            <v>MUTI01</v>
          </cell>
          <cell r="M5491" t="str">
            <v>Mutiara Tani, UD/Abdur Rahman</v>
          </cell>
          <cell r="N5491" t="str">
            <v>Abd. Rahman</v>
          </cell>
          <cell r="O5491" t="str">
            <v>Jln. Wongsorejo RT.01 RW.02 Ds Wongsorejo Kec. Wongsorejo Kab. Banyuwangi</v>
          </cell>
          <cell r="P5491" t="str">
            <v>Banyuwangi</v>
          </cell>
          <cell r="Q5491" t="str">
            <v>Jl. Raya Wongsorejo</v>
          </cell>
          <cell r="R5491" t="str">
            <v>Banyuwangi</v>
          </cell>
          <cell r="S5491" t="str">
            <v>H Bwi5</v>
          </cell>
          <cell r="T5491" t="str">
            <v>Hafid</v>
          </cell>
          <cell r="U5491">
            <v>30</v>
          </cell>
        </row>
        <row r="5492">
          <cell r="E5492" t="str">
            <v>Z25002637</v>
          </cell>
          <cell r="F5492"/>
          <cell r="G5492">
            <v>1500000000</v>
          </cell>
          <cell r="H5492" t="str">
            <v>Faris</v>
          </cell>
          <cell r="I5492" t="str">
            <v>Syahra</v>
          </cell>
          <cell r="J5492"/>
          <cell r="K5492" t="str">
            <v>KU</v>
          </cell>
          <cell r="L5492" t="str">
            <v>MUTI01</v>
          </cell>
          <cell r="M5492" t="str">
            <v>Mutiara Tani, UD/Abdur Rahman</v>
          </cell>
          <cell r="N5492" t="str">
            <v>Abd. Rahman</v>
          </cell>
          <cell r="O5492" t="str">
            <v>Jln. Wongsorejo RT.01 RW.02 Ds Wongsorejo Kec. Wongsorejo Kab. Banyuwangi</v>
          </cell>
          <cell r="P5492" t="str">
            <v>Banyuwangi</v>
          </cell>
          <cell r="Q5492" t="str">
            <v>Jl. Raya Wongsorejo</v>
          </cell>
          <cell r="R5492" t="str">
            <v>Banyuwangi</v>
          </cell>
          <cell r="S5492" t="str">
            <v>H Bwi5</v>
          </cell>
          <cell r="T5492" t="str">
            <v>Hafid</v>
          </cell>
          <cell r="U5492">
            <v>0</v>
          </cell>
        </row>
        <row r="5493">
          <cell r="E5493" t="str">
            <v>Z25002637</v>
          </cell>
          <cell r="F5493"/>
          <cell r="G5493">
            <v>1500000000</v>
          </cell>
          <cell r="H5493" t="str">
            <v>Faris</v>
          </cell>
          <cell r="I5493" t="str">
            <v>Syahra</v>
          </cell>
          <cell r="J5493"/>
          <cell r="K5493" t="str">
            <v>KU</v>
          </cell>
          <cell r="L5493" t="str">
            <v>MUTI01</v>
          </cell>
          <cell r="M5493" t="str">
            <v>Mutiara Tani, UD/Abdur Rahman</v>
          </cell>
          <cell r="N5493" t="str">
            <v>Abd. Rahman</v>
          </cell>
          <cell r="O5493" t="str">
            <v>Jln. Wongsorejo RT.01 RW.02 Ds Wongsorejo Kec. Wongsorejo Kab. Banyuwangi</v>
          </cell>
          <cell r="P5493" t="str">
            <v>Banyuwangi</v>
          </cell>
          <cell r="Q5493" t="str">
            <v>Jl. Raya Wongsorejo</v>
          </cell>
          <cell r="R5493" t="str">
            <v>Banyuwangi</v>
          </cell>
          <cell r="S5493" t="str">
            <v>H Bwi5</v>
          </cell>
          <cell r="T5493" t="str">
            <v>Hafid</v>
          </cell>
          <cell r="U5493">
            <v>0</v>
          </cell>
        </row>
        <row r="5494">
          <cell r="E5494" t="str">
            <v>Z25002714</v>
          </cell>
          <cell r="F5494"/>
          <cell r="G5494">
            <v>1500000000</v>
          </cell>
          <cell r="H5494" t="str">
            <v>Faris</v>
          </cell>
          <cell r="I5494" t="str">
            <v>Syahra</v>
          </cell>
          <cell r="J5494"/>
          <cell r="K5494" t="str">
            <v>KU</v>
          </cell>
          <cell r="L5494" t="str">
            <v>MUTI01</v>
          </cell>
          <cell r="M5494" t="str">
            <v>Mutiara Tani, UD/Abdur Rahman</v>
          </cell>
          <cell r="N5494" t="str">
            <v>Abd. Rahman</v>
          </cell>
          <cell r="O5494" t="str">
            <v>Jln. Wongsorejo RT.01 RW.02 Ds Wongsorejo Kec. Wongsorejo Kab. Banyuwangi</v>
          </cell>
          <cell r="P5494" t="str">
            <v>Banyuwangi</v>
          </cell>
          <cell r="Q5494" t="str">
            <v>Jl. Raya Wongsorejo</v>
          </cell>
          <cell r="R5494" t="str">
            <v>Banyuwangi</v>
          </cell>
          <cell r="S5494" t="str">
            <v>H Bwi5</v>
          </cell>
          <cell r="T5494" t="str">
            <v>Hafid</v>
          </cell>
          <cell r="U5494">
            <v>0</v>
          </cell>
        </row>
        <row r="5495">
          <cell r="E5495" t="str">
            <v>Z25002720</v>
          </cell>
          <cell r="F5495"/>
          <cell r="G5495">
            <v>1500000000</v>
          </cell>
          <cell r="H5495" t="str">
            <v>Faris</v>
          </cell>
          <cell r="I5495" t="str">
            <v>Syahra</v>
          </cell>
          <cell r="J5495"/>
          <cell r="K5495" t="str">
            <v>KU</v>
          </cell>
          <cell r="L5495" t="str">
            <v>MUTI01</v>
          </cell>
          <cell r="M5495" t="str">
            <v>Mutiara Tani, UD/Abdur Rahman</v>
          </cell>
          <cell r="N5495" t="str">
            <v>Abd. Rahman</v>
          </cell>
          <cell r="O5495" t="str">
            <v>Jln. Wongsorejo RT.01 RW.02 Ds Wongsorejo Kec. Wongsorejo Kab. Banyuwangi</v>
          </cell>
          <cell r="P5495" t="str">
            <v>Banyuwangi</v>
          </cell>
          <cell r="Q5495" t="str">
            <v>Jl. Raya Wongsorejo</v>
          </cell>
          <cell r="R5495" t="str">
            <v>Banyuwangi</v>
          </cell>
          <cell r="S5495" t="str">
            <v>H Bwi5</v>
          </cell>
          <cell r="T5495" t="str">
            <v>Hafid</v>
          </cell>
          <cell r="U5495">
            <v>0</v>
          </cell>
        </row>
        <row r="5496">
          <cell r="E5496" t="str">
            <v>Z25002746</v>
          </cell>
          <cell r="F5496"/>
          <cell r="G5496">
            <v>1500000000</v>
          </cell>
          <cell r="H5496" t="str">
            <v>Faris</v>
          </cell>
          <cell r="I5496" t="str">
            <v>Syahra</v>
          </cell>
          <cell r="J5496"/>
          <cell r="K5496" t="str">
            <v>KU</v>
          </cell>
          <cell r="L5496" t="str">
            <v>MUTI01</v>
          </cell>
          <cell r="M5496" t="str">
            <v>Mutiara Tani, UD/Abdur Rahman</v>
          </cell>
          <cell r="N5496" t="str">
            <v>Abd. Rahman</v>
          </cell>
          <cell r="O5496" t="str">
            <v>Jln. Wongsorejo RT.01 RW.02 Ds Wongsorejo Kec. Wongsorejo Kab. Banyuwangi</v>
          </cell>
          <cell r="P5496" t="str">
            <v>Banyuwangi</v>
          </cell>
          <cell r="Q5496" t="str">
            <v>Jl. Raya Wongsorejo</v>
          </cell>
          <cell r="R5496" t="str">
            <v>Banyuwangi</v>
          </cell>
          <cell r="S5496" t="str">
            <v>H Bwi5</v>
          </cell>
          <cell r="T5496" t="str">
            <v>Hafid</v>
          </cell>
          <cell r="U5496">
            <v>0</v>
          </cell>
        </row>
        <row r="5497">
          <cell r="E5497" t="str">
            <v>T25001587</v>
          </cell>
          <cell r="F5497"/>
          <cell r="G5497">
            <v>1500000000</v>
          </cell>
          <cell r="H5497" t="str">
            <v>Faris</v>
          </cell>
          <cell r="I5497" t="str">
            <v>Syahra</v>
          </cell>
          <cell r="J5497"/>
          <cell r="K5497" t="str">
            <v>KU</v>
          </cell>
          <cell r="L5497" t="str">
            <v>MUTI01</v>
          </cell>
          <cell r="M5497" t="str">
            <v>Mutiara Tani, UD/Abdur Rahman</v>
          </cell>
          <cell r="N5497" t="str">
            <v>Abd. Rahman</v>
          </cell>
          <cell r="O5497" t="str">
            <v>Jln. Wongsorejo RT.01 RW.02 Ds Wongsorejo Kec. Wongsorejo Kab. Banyuwangi</v>
          </cell>
          <cell r="P5497" t="str">
            <v>Banyuwangi</v>
          </cell>
          <cell r="Q5497" t="str">
            <v>Jl. Raya Wongsorejo</v>
          </cell>
          <cell r="R5497" t="str">
            <v>Banyuwangi</v>
          </cell>
          <cell r="S5497" t="str">
            <v>H Bwi5</v>
          </cell>
          <cell r="T5497" t="str">
            <v>Hafid</v>
          </cell>
          <cell r="U5497">
            <v>60</v>
          </cell>
        </row>
        <row r="5498">
          <cell r="E5498" t="str">
            <v>Z25002762</v>
          </cell>
          <cell r="F5498"/>
          <cell r="G5498">
            <v>1500000000</v>
          </cell>
          <cell r="H5498" t="str">
            <v>Faris</v>
          </cell>
          <cell r="I5498" t="str">
            <v>Syahra</v>
          </cell>
          <cell r="J5498"/>
          <cell r="K5498" t="str">
            <v>KU</v>
          </cell>
          <cell r="L5498" t="str">
            <v>MUTI01</v>
          </cell>
          <cell r="M5498" t="str">
            <v>Mutiara Tani, UD/Abdur Rahman</v>
          </cell>
          <cell r="N5498" t="str">
            <v>Abd. Rahman</v>
          </cell>
          <cell r="O5498" t="str">
            <v>Jln. Wongsorejo RT.01 RW.02 Ds Wongsorejo Kec. Wongsorejo Kab. Banyuwangi</v>
          </cell>
          <cell r="P5498" t="str">
            <v>Banyuwangi</v>
          </cell>
          <cell r="Q5498" t="str">
            <v>Jl. Raya Wongsorejo</v>
          </cell>
          <cell r="R5498" t="str">
            <v>Banyuwangi</v>
          </cell>
          <cell r="S5498" t="str">
            <v>H Bwi5</v>
          </cell>
          <cell r="T5498" t="str">
            <v>Hafid</v>
          </cell>
          <cell r="U5498">
            <v>60</v>
          </cell>
        </row>
        <row r="5499">
          <cell r="E5499" t="str">
            <v>Z25002766</v>
          </cell>
          <cell r="F5499"/>
          <cell r="G5499">
            <v>1500000000</v>
          </cell>
          <cell r="H5499" t="str">
            <v>Faris</v>
          </cell>
          <cell r="I5499" t="str">
            <v>Syahra</v>
          </cell>
          <cell r="J5499"/>
          <cell r="K5499" t="str">
            <v>KU</v>
          </cell>
          <cell r="L5499" t="str">
            <v>MUTI01</v>
          </cell>
          <cell r="M5499" t="str">
            <v>Mutiara Tani, UD/Abdur Rahman</v>
          </cell>
          <cell r="N5499" t="str">
            <v>Abd. Rahman</v>
          </cell>
          <cell r="O5499" t="str">
            <v>Jln. Wongsorejo RT.01 RW.02 Ds Wongsorejo Kec. Wongsorejo Kab. Banyuwangi</v>
          </cell>
          <cell r="P5499" t="str">
            <v>Banyuwangi</v>
          </cell>
          <cell r="Q5499" t="str">
            <v>Jl. Raya Wongsorejo</v>
          </cell>
          <cell r="R5499" t="str">
            <v>Banyuwangi</v>
          </cell>
          <cell r="S5499" t="str">
            <v>H Bwi5</v>
          </cell>
          <cell r="T5499" t="str">
            <v>Hafid</v>
          </cell>
          <cell r="U5499">
            <v>60</v>
          </cell>
        </row>
        <row r="5500">
          <cell r="E5500" t="str">
            <v>Z25002777</v>
          </cell>
          <cell r="F5500"/>
          <cell r="G5500">
            <v>1500000000</v>
          </cell>
          <cell r="H5500" t="str">
            <v>Faris</v>
          </cell>
          <cell r="I5500" t="str">
            <v>Syahra</v>
          </cell>
          <cell r="J5500"/>
          <cell r="K5500" t="str">
            <v>KU</v>
          </cell>
          <cell r="L5500" t="str">
            <v>MUTI01</v>
          </cell>
          <cell r="M5500" t="str">
            <v>Mutiara Tani, UD/Abdur Rahman</v>
          </cell>
          <cell r="N5500" t="str">
            <v>Abd. Rahman</v>
          </cell>
          <cell r="O5500" t="str">
            <v>Jln. Wongsorejo RT.01 RW.02 Ds Wongsorejo Kec. Wongsorejo Kab. Banyuwangi</v>
          </cell>
          <cell r="P5500" t="str">
            <v>Banyuwangi</v>
          </cell>
          <cell r="Q5500" t="str">
            <v>Jl. Raya Wongsorejo</v>
          </cell>
          <cell r="R5500" t="str">
            <v>Banyuwangi</v>
          </cell>
          <cell r="S5500" t="str">
            <v>H Bwi5</v>
          </cell>
          <cell r="T5500" t="str">
            <v>Hafid</v>
          </cell>
          <cell r="U5500">
            <v>0</v>
          </cell>
        </row>
        <row r="5501">
          <cell r="E5501" t="str">
            <v>Z25002778</v>
          </cell>
          <cell r="F5501"/>
          <cell r="G5501">
            <v>1500000000</v>
          </cell>
          <cell r="H5501" t="str">
            <v>Faris</v>
          </cell>
          <cell r="I5501" t="str">
            <v>Syahra</v>
          </cell>
          <cell r="J5501"/>
          <cell r="K5501" t="str">
            <v>KU</v>
          </cell>
          <cell r="L5501" t="str">
            <v>MUTI01</v>
          </cell>
          <cell r="M5501" t="str">
            <v>Mutiara Tani, UD/Abdur Rahman</v>
          </cell>
          <cell r="N5501" t="str">
            <v>Abd. Rahman</v>
          </cell>
          <cell r="O5501" t="str">
            <v>Jln. Wongsorejo RT.01 RW.02 Ds Wongsorejo Kec. Wongsorejo Kab. Banyuwangi</v>
          </cell>
          <cell r="P5501" t="str">
            <v>Banyuwangi</v>
          </cell>
          <cell r="Q5501" t="str">
            <v>Jl. Raya Wongsorejo</v>
          </cell>
          <cell r="R5501" t="str">
            <v>Banyuwangi</v>
          </cell>
          <cell r="S5501" t="str">
            <v>H Bwi5</v>
          </cell>
          <cell r="T5501" t="str">
            <v>Hafid</v>
          </cell>
          <cell r="U5501">
            <v>30</v>
          </cell>
        </row>
        <row r="5502">
          <cell r="E5502" t="str">
            <v>Z25002779</v>
          </cell>
          <cell r="F5502"/>
          <cell r="G5502">
            <v>1500000000</v>
          </cell>
          <cell r="H5502" t="str">
            <v>Faris</v>
          </cell>
          <cell r="I5502" t="str">
            <v>Syahra</v>
          </cell>
          <cell r="J5502"/>
          <cell r="K5502" t="str">
            <v>KU</v>
          </cell>
          <cell r="L5502" t="str">
            <v>MUTI01</v>
          </cell>
          <cell r="M5502" t="str">
            <v>Mutiara Tani, UD/Abdur Rahman</v>
          </cell>
          <cell r="N5502" t="str">
            <v>Abd. Rahman</v>
          </cell>
          <cell r="O5502" t="str">
            <v>Jln. Wongsorejo RT.01 RW.02 Ds Wongsorejo Kec. Wongsorejo Kab. Banyuwangi</v>
          </cell>
          <cell r="P5502" t="str">
            <v>Banyuwangi</v>
          </cell>
          <cell r="Q5502" t="str">
            <v>Jl. Raya Wongsorejo</v>
          </cell>
          <cell r="R5502" t="str">
            <v>Banyuwangi</v>
          </cell>
          <cell r="S5502" t="str">
            <v>H Bwi5</v>
          </cell>
          <cell r="T5502" t="str">
            <v>Hafid</v>
          </cell>
          <cell r="U5502">
            <v>30</v>
          </cell>
        </row>
        <row r="5503">
          <cell r="E5503" t="str">
            <v>Z25002780</v>
          </cell>
          <cell r="F5503"/>
          <cell r="G5503">
            <v>1500000000</v>
          </cell>
          <cell r="H5503" t="str">
            <v>Faris</v>
          </cell>
          <cell r="I5503" t="str">
            <v>Syahra</v>
          </cell>
          <cell r="J5503"/>
          <cell r="K5503" t="str">
            <v>KU</v>
          </cell>
          <cell r="L5503" t="str">
            <v>MUTI01</v>
          </cell>
          <cell r="M5503" t="str">
            <v>Mutiara Tani, UD/Abdur Rahman</v>
          </cell>
          <cell r="N5503" t="str">
            <v>Abd. Rahman</v>
          </cell>
          <cell r="O5503" t="str">
            <v>Jln. Wongsorejo RT.01 RW.02 Ds Wongsorejo Kec. Wongsorejo Kab. Banyuwangi</v>
          </cell>
          <cell r="P5503" t="str">
            <v>Banyuwangi</v>
          </cell>
          <cell r="Q5503" t="str">
            <v>Jl. Raya Wongsorejo</v>
          </cell>
          <cell r="R5503" t="str">
            <v>Banyuwangi</v>
          </cell>
          <cell r="S5503" t="str">
            <v>H Bwi5</v>
          </cell>
          <cell r="T5503" t="str">
            <v>Hafid</v>
          </cell>
          <cell r="U5503">
            <v>30</v>
          </cell>
        </row>
        <row r="5504">
          <cell r="E5504" t="str">
            <v>Z250042</v>
          </cell>
          <cell r="F5504"/>
          <cell r="G5504">
            <v>1500000000</v>
          </cell>
          <cell r="H5504" t="str">
            <v>Faris</v>
          </cell>
          <cell r="I5504" t="str">
            <v>Syahra</v>
          </cell>
          <cell r="J5504"/>
          <cell r="K5504" t="str">
            <v>KU</v>
          </cell>
          <cell r="L5504" t="str">
            <v>MUTI01</v>
          </cell>
          <cell r="M5504" t="str">
            <v>Mutiara Tani, UD/Abdur Rahman</v>
          </cell>
          <cell r="N5504" t="str">
            <v>Abd. Rahman</v>
          </cell>
          <cell r="O5504" t="str">
            <v>Jln. Wongsorejo RT.01 RW.02 Ds Wongsorejo Kec. Wongsorejo Kab. Banyuwangi</v>
          </cell>
          <cell r="P5504" t="str">
            <v>Banyuwangi</v>
          </cell>
          <cell r="Q5504" t="str">
            <v>Jl. Raya Wongsorejo</v>
          </cell>
          <cell r="R5504" t="str">
            <v>Banyuwangi</v>
          </cell>
          <cell r="S5504" t="str">
            <v>H Bwi5</v>
          </cell>
          <cell r="T5504" t="str">
            <v>Hafid</v>
          </cell>
          <cell r="U5504">
            <v>30</v>
          </cell>
        </row>
        <row r="5505">
          <cell r="E5505" t="str">
            <v>Z25002808</v>
          </cell>
          <cell r="F5505"/>
          <cell r="G5505">
            <v>1500000000</v>
          </cell>
          <cell r="H5505" t="str">
            <v>Faris</v>
          </cell>
          <cell r="I5505" t="str">
            <v>Syahra</v>
          </cell>
          <cell r="J5505"/>
          <cell r="K5505" t="str">
            <v>KU</v>
          </cell>
          <cell r="L5505" t="str">
            <v>MUTI01</v>
          </cell>
          <cell r="M5505" t="str">
            <v>Mutiara Tani, UD/Abdur Rahman</v>
          </cell>
          <cell r="N5505" t="str">
            <v>Abd. Rahman</v>
          </cell>
          <cell r="O5505" t="str">
            <v>Jln. Wongsorejo RT.01 RW.02 Ds Wongsorejo Kec. Wongsorejo Kab. Banyuwangi</v>
          </cell>
          <cell r="P5505" t="str">
            <v>Banyuwangi</v>
          </cell>
          <cell r="Q5505" t="str">
            <v>Jl. Raya Wongsorejo</v>
          </cell>
          <cell r="R5505" t="str">
            <v>Banyuwangi</v>
          </cell>
          <cell r="S5505" t="str">
            <v>H Bwi5</v>
          </cell>
          <cell r="T5505" t="str">
            <v>Hafid</v>
          </cell>
          <cell r="U5505">
            <v>30</v>
          </cell>
        </row>
        <row r="5506">
          <cell r="E5506" t="str">
            <v>Z25002815</v>
          </cell>
          <cell r="F5506"/>
          <cell r="G5506">
            <v>1500000000</v>
          </cell>
          <cell r="H5506" t="str">
            <v>Faris</v>
          </cell>
          <cell r="I5506" t="str">
            <v>Syahra</v>
          </cell>
          <cell r="J5506"/>
          <cell r="K5506" t="str">
            <v>KU</v>
          </cell>
          <cell r="L5506" t="str">
            <v>MUTI01</v>
          </cell>
          <cell r="M5506" t="str">
            <v>Mutiara Tani, UD/Abdur Rahman</v>
          </cell>
          <cell r="N5506" t="str">
            <v>Abd. Rahman</v>
          </cell>
          <cell r="O5506" t="str">
            <v>Jln. Wongsorejo RT.01 RW.02 Ds Wongsorejo Kec. Wongsorejo Kab. Banyuwangi</v>
          </cell>
          <cell r="P5506" t="str">
            <v>Banyuwangi</v>
          </cell>
          <cell r="Q5506" t="str">
            <v>Jl. Raya Wongsorejo</v>
          </cell>
          <cell r="R5506" t="str">
            <v>Banyuwangi</v>
          </cell>
          <cell r="S5506" t="str">
            <v>H Bwi5</v>
          </cell>
          <cell r="T5506" t="str">
            <v>Hafid</v>
          </cell>
          <cell r="U5506">
            <v>30</v>
          </cell>
        </row>
        <row r="5507">
          <cell r="E5507" t="str">
            <v>D25015338</v>
          </cell>
          <cell r="F5507"/>
          <cell r="G5507">
            <v>1000</v>
          </cell>
          <cell r="H5507" t="str">
            <v>Zakia</v>
          </cell>
          <cell r="I5507" t="str">
            <v>Tiya</v>
          </cell>
          <cell r="J5507" t="str">
            <v>New 29/05/24</v>
          </cell>
          <cell r="K5507" t="str">
            <v>CBD</v>
          </cell>
          <cell r="L5507" t="str">
            <v>MUTI13</v>
          </cell>
          <cell r="M5507" t="str">
            <v>Mutiara Tani/Chriztal</v>
          </cell>
          <cell r="N5507" t="str">
            <v>Chriztal Trofi Duafiarta</v>
          </cell>
          <cell r="O5507" t="str">
            <v>Ploso Timur 8/27 RT.007/RW.009, Kel. Ploso, Kec. Tambak Sari</v>
          </cell>
          <cell r="P5507" t="str">
            <v>Surabaya</v>
          </cell>
          <cell r="Q5507" t="str">
            <v>Jl. Puncak, Kel. Sumber Pancer, Kec. Kepung</v>
          </cell>
          <cell r="R5507" t="str">
            <v>Kediri</v>
          </cell>
          <cell r="S5507" t="str">
            <v>D Barat1</v>
          </cell>
          <cell r="T5507" t="str">
            <v>Tomi</v>
          </cell>
          <cell r="U5507">
            <v>0</v>
          </cell>
        </row>
        <row r="5508">
          <cell r="E5508" t="str">
            <v>D25015339</v>
          </cell>
          <cell r="F5508"/>
          <cell r="G5508">
            <v>1000</v>
          </cell>
          <cell r="H5508" t="str">
            <v>Zakia</v>
          </cell>
          <cell r="I5508" t="str">
            <v>Tiya</v>
          </cell>
          <cell r="J5508" t="str">
            <v>New 29/05/24</v>
          </cell>
          <cell r="K5508" t="str">
            <v>CBD</v>
          </cell>
          <cell r="L5508" t="str">
            <v>MUTI13</v>
          </cell>
          <cell r="M5508" t="str">
            <v>Mutiara Tani/Chriztal</v>
          </cell>
          <cell r="N5508" t="str">
            <v>Chriztal Trofi Duafiarta</v>
          </cell>
          <cell r="O5508" t="str">
            <v>Ploso Timur 8/27 RT.007/RW.009, Kel. Ploso, Kec. Tambak Sari</v>
          </cell>
          <cell r="P5508" t="str">
            <v>Surabaya</v>
          </cell>
          <cell r="Q5508" t="str">
            <v>Jl. Puncak, Kel. Sumber Pancer, Kec. Kepung</v>
          </cell>
          <cell r="R5508" t="str">
            <v>Kediri</v>
          </cell>
          <cell r="S5508" t="str">
            <v>D Barat1</v>
          </cell>
          <cell r="T5508" t="str">
            <v>Tomi</v>
          </cell>
          <cell r="U5508">
            <v>0</v>
          </cell>
        </row>
        <row r="5509">
          <cell r="E5509" t="str">
            <v>D25012919</v>
          </cell>
          <cell r="F5509"/>
          <cell r="G5509">
            <v>1000000000</v>
          </cell>
          <cell r="H5509" t="str">
            <v>Zakia</v>
          </cell>
          <cell r="I5509" t="str">
            <v>Tiya</v>
          </cell>
          <cell r="J5509"/>
          <cell r="K5509" t="str">
            <v>KU</v>
          </cell>
          <cell r="L5509" t="str">
            <v>MUTI02</v>
          </cell>
          <cell r="M5509" t="str">
            <v>Mutiara Tani/Susilo</v>
          </cell>
          <cell r="N5509" t="str">
            <v>Adi Susilo</v>
          </cell>
          <cell r="O5509" t="str">
            <v>Jl. Brantas Ds. Sumberkembar, RT.00/RW.00 Kel. Sumber Kembar, Kec. Binangun</v>
          </cell>
          <cell r="P5509" t="str">
            <v>Blitar</v>
          </cell>
          <cell r="Q5509" t="str">
            <v>Pertigaan Kedungbulus, Sumberkembar</v>
          </cell>
          <cell r="R5509" t="str">
            <v>Blitar</v>
          </cell>
          <cell r="S5509" t="str">
            <v>D Barat2</v>
          </cell>
          <cell r="T5509" t="str">
            <v>Tomi</v>
          </cell>
          <cell r="U5509">
            <v>30</v>
          </cell>
        </row>
        <row r="5510">
          <cell r="E5510" t="str">
            <v>D25013324</v>
          </cell>
          <cell r="F5510"/>
          <cell r="G5510">
            <v>1000000000</v>
          </cell>
          <cell r="H5510" t="str">
            <v>Zakia</v>
          </cell>
          <cell r="I5510" t="str">
            <v>Tiya</v>
          </cell>
          <cell r="J5510"/>
          <cell r="K5510" t="str">
            <v>KU</v>
          </cell>
          <cell r="L5510" t="str">
            <v>MUTI02</v>
          </cell>
          <cell r="M5510" t="str">
            <v>Mutiara Tani/Susilo</v>
          </cell>
          <cell r="N5510" t="str">
            <v>Adi Susilo</v>
          </cell>
          <cell r="O5510" t="str">
            <v>Jl. Brantas Ds. Sumberkembar, RT.00/RW.00 Kel. Sumber Kembar, Kec. Binangun</v>
          </cell>
          <cell r="P5510" t="str">
            <v>Blitar</v>
          </cell>
          <cell r="Q5510" t="str">
            <v>Pertigaan Kedungbulus, Sumberkembar</v>
          </cell>
          <cell r="R5510" t="str">
            <v>Blitar</v>
          </cell>
          <cell r="S5510" t="str">
            <v>D Barat2</v>
          </cell>
          <cell r="T5510" t="str">
            <v>Tomi</v>
          </cell>
          <cell r="U5510">
            <v>30</v>
          </cell>
        </row>
        <row r="5511">
          <cell r="E5511" t="str">
            <v>D25013900</v>
          </cell>
          <cell r="F5511"/>
          <cell r="G5511">
            <v>1000000000</v>
          </cell>
          <cell r="H5511" t="str">
            <v>Zakia</v>
          </cell>
          <cell r="I5511" t="str">
            <v>Tiya</v>
          </cell>
          <cell r="J5511"/>
          <cell r="K5511" t="str">
            <v>KU</v>
          </cell>
          <cell r="L5511" t="str">
            <v>MUTI02</v>
          </cell>
          <cell r="M5511" t="str">
            <v>Mutiara Tani/Susilo</v>
          </cell>
          <cell r="N5511" t="str">
            <v>Adi Susilo</v>
          </cell>
          <cell r="O5511" t="str">
            <v>Jl. Brantas Ds. Sumberkembar, RT.00/RW.00 Kel. Sumber Kembar, Kec. Binangun</v>
          </cell>
          <cell r="P5511" t="str">
            <v>Blitar</v>
          </cell>
          <cell r="Q5511" t="str">
            <v>Pertigaan Kedungbulus, Sumberkembar</v>
          </cell>
          <cell r="R5511" t="str">
            <v>Blitar</v>
          </cell>
          <cell r="S5511" t="str">
            <v>D Barat2</v>
          </cell>
          <cell r="T5511" t="str">
            <v>Tomi</v>
          </cell>
          <cell r="U5511">
            <v>30</v>
          </cell>
        </row>
        <row r="5512">
          <cell r="E5512" t="str">
            <v>D25013901</v>
          </cell>
          <cell r="F5512"/>
          <cell r="G5512">
            <v>1000000000</v>
          </cell>
          <cell r="H5512" t="str">
            <v>Zakia</v>
          </cell>
          <cell r="I5512" t="str">
            <v>Tiya</v>
          </cell>
          <cell r="J5512"/>
          <cell r="K5512" t="str">
            <v>KU</v>
          </cell>
          <cell r="L5512" t="str">
            <v>MUTI02</v>
          </cell>
          <cell r="M5512" t="str">
            <v>Mutiara Tani/Susilo</v>
          </cell>
          <cell r="N5512" t="str">
            <v>Adi Susilo</v>
          </cell>
          <cell r="O5512" t="str">
            <v>Jl. Brantas Ds. Sumberkembar, RT.00/RW.00 Kel. Sumber Kembar, Kec. Binangun</v>
          </cell>
          <cell r="P5512" t="str">
            <v>Blitar</v>
          </cell>
          <cell r="Q5512" t="str">
            <v>Pertigaan Kedungbulus, Sumberkembar</v>
          </cell>
          <cell r="R5512" t="str">
            <v>Blitar</v>
          </cell>
          <cell r="S5512" t="str">
            <v>D Barat2</v>
          </cell>
          <cell r="T5512" t="str">
            <v>Tomi</v>
          </cell>
          <cell r="U5512">
            <v>30</v>
          </cell>
        </row>
        <row r="5513">
          <cell r="E5513" t="str">
            <v>D25013901</v>
          </cell>
          <cell r="F5513"/>
          <cell r="G5513">
            <v>1000000000</v>
          </cell>
          <cell r="H5513" t="str">
            <v>Zakia</v>
          </cell>
          <cell r="I5513" t="str">
            <v>Tiya</v>
          </cell>
          <cell r="J5513"/>
          <cell r="K5513" t="str">
            <v>KU</v>
          </cell>
          <cell r="L5513" t="str">
            <v>MUTI02</v>
          </cell>
          <cell r="M5513" t="str">
            <v>Mutiara Tani/Susilo</v>
          </cell>
          <cell r="N5513" t="str">
            <v>Adi Susilo</v>
          </cell>
          <cell r="O5513" t="str">
            <v>Jl. Brantas Ds. Sumberkembar, RT.00/RW.00 Kel. Sumber Kembar, Kec. Binangun</v>
          </cell>
          <cell r="P5513" t="str">
            <v>Blitar</v>
          </cell>
          <cell r="Q5513" t="str">
            <v>Pertigaan Kedungbulus, Sumberkembar</v>
          </cell>
          <cell r="R5513" t="str">
            <v>Blitar</v>
          </cell>
          <cell r="S5513" t="str">
            <v>D Barat2</v>
          </cell>
          <cell r="T5513" t="str">
            <v>Tomi</v>
          </cell>
          <cell r="U5513">
            <v>30</v>
          </cell>
        </row>
        <row r="5514">
          <cell r="E5514" t="str">
            <v>D25013912</v>
          </cell>
          <cell r="F5514"/>
          <cell r="G5514">
            <v>1000000000</v>
          </cell>
          <cell r="H5514" t="str">
            <v>Zakia</v>
          </cell>
          <cell r="I5514" t="str">
            <v>Tiya</v>
          </cell>
          <cell r="J5514"/>
          <cell r="K5514" t="str">
            <v>KU</v>
          </cell>
          <cell r="L5514" t="str">
            <v>MUTI02</v>
          </cell>
          <cell r="M5514" t="str">
            <v>Mutiara Tani/Susilo</v>
          </cell>
          <cell r="N5514" t="str">
            <v>Adi Susilo</v>
          </cell>
          <cell r="O5514" t="str">
            <v>Jl. Brantas Ds. Sumberkembar, RT.00/RW.00 Kel. Sumber Kembar, Kec. Binangun</v>
          </cell>
          <cell r="P5514" t="str">
            <v>Blitar</v>
          </cell>
          <cell r="Q5514" t="str">
            <v>Pertigaan Kedungbulus, Sumberkembar</v>
          </cell>
          <cell r="R5514" t="str">
            <v>Blitar</v>
          </cell>
          <cell r="S5514" t="str">
            <v>D Barat2</v>
          </cell>
          <cell r="T5514" t="str">
            <v>Tomi</v>
          </cell>
          <cell r="U5514">
            <v>30</v>
          </cell>
        </row>
        <row r="5515">
          <cell r="E5515" t="str">
            <v>D25013947</v>
          </cell>
          <cell r="F5515"/>
          <cell r="G5515">
            <v>1000000000</v>
          </cell>
          <cell r="H5515" t="str">
            <v>Zakia</v>
          </cell>
          <cell r="I5515" t="str">
            <v>Tiya</v>
          </cell>
          <cell r="J5515"/>
          <cell r="K5515" t="str">
            <v>KU</v>
          </cell>
          <cell r="L5515" t="str">
            <v>MUTI02</v>
          </cell>
          <cell r="M5515" t="str">
            <v>Mutiara Tani/Susilo</v>
          </cell>
          <cell r="N5515" t="str">
            <v>Adi Susilo</v>
          </cell>
          <cell r="O5515" t="str">
            <v>Jl. Brantas Ds. Sumberkembar, RT.00/RW.00 Kel. Sumber Kembar, Kec. Binangun</v>
          </cell>
          <cell r="P5515" t="str">
            <v>Blitar</v>
          </cell>
          <cell r="Q5515" t="str">
            <v>Pertigaan Kedungbulus, Sumberkembar</v>
          </cell>
          <cell r="R5515" t="str">
            <v>Blitar</v>
          </cell>
          <cell r="S5515" t="str">
            <v>D Barat2</v>
          </cell>
          <cell r="T5515" t="str">
            <v>Tomi</v>
          </cell>
          <cell r="U5515">
            <v>30</v>
          </cell>
        </row>
        <row r="5516">
          <cell r="E5516" t="str">
            <v>D25013948</v>
          </cell>
          <cell r="F5516"/>
          <cell r="G5516">
            <v>1000000000</v>
          </cell>
          <cell r="H5516" t="str">
            <v>Zakia</v>
          </cell>
          <cell r="I5516" t="str">
            <v>Tiya</v>
          </cell>
          <cell r="J5516"/>
          <cell r="K5516" t="str">
            <v>KU</v>
          </cell>
          <cell r="L5516" t="str">
            <v>MUTI02</v>
          </cell>
          <cell r="M5516" t="str">
            <v>Mutiara Tani/Susilo</v>
          </cell>
          <cell r="N5516" t="str">
            <v>Adi Susilo</v>
          </cell>
          <cell r="O5516" t="str">
            <v>Jl. Brantas Ds. Sumberkembar, RT.00/RW.00 Kel. Sumber Kembar, Kec. Binangun</v>
          </cell>
          <cell r="P5516" t="str">
            <v>Blitar</v>
          </cell>
          <cell r="Q5516" t="str">
            <v>Pertigaan Kedungbulus, Sumberkembar</v>
          </cell>
          <cell r="R5516" t="str">
            <v>Blitar</v>
          </cell>
          <cell r="S5516" t="str">
            <v>D Barat2</v>
          </cell>
          <cell r="T5516" t="str">
            <v>Tomi</v>
          </cell>
          <cell r="U5516">
            <v>30</v>
          </cell>
        </row>
        <row r="5517">
          <cell r="E5517" t="str">
            <v>D25014036</v>
          </cell>
          <cell r="F5517"/>
          <cell r="G5517">
            <v>1000000000</v>
          </cell>
          <cell r="H5517" t="str">
            <v>Zakia</v>
          </cell>
          <cell r="I5517" t="str">
            <v>Tiya</v>
          </cell>
          <cell r="J5517"/>
          <cell r="K5517" t="str">
            <v>KU</v>
          </cell>
          <cell r="L5517" t="str">
            <v>MUTI02</v>
          </cell>
          <cell r="M5517" t="str">
            <v>Mutiara Tani/Susilo</v>
          </cell>
          <cell r="N5517" t="str">
            <v>Adi Susilo</v>
          </cell>
          <cell r="O5517" t="str">
            <v>Jl. Brantas Ds. Sumberkembar, RT.00/RW.00 Kel. Sumber Kembar, Kec. Binangun</v>
          </cell>
          <cell r="P5517" t="str">
            <v>Blitar</v>
          </cell>
          <cell r="Q5517" t="str">
            <v>Pertigaan Kedungbulus, Sumberkembar</v>
          </cell>
          <cell r="R5517" t="str">
            <v>Blitar</v>
          </cell>
          <cell r="S5517" t="str">
            <v>D Barat2</v>
          </cell>
          <cell r="T5517" t="str">
            <v>Tomi</v>
          </cell>
          <cell r="U5517">
            <v>30</v>
          </cell>
        </row>
        <row r="5518">
          <cell r="E5518" t="str">
            <v>D25014748</v>
          </cell>
          <cell r="F5518"/>
          <cell r="G5518">
            <v>1000000000</v>
          </cell>
          <cell r="H5518" t="str">
            <v>Zakia</v>
          </cell>
          <cell r="I5518" t="str">
            <v>Tiya</v>
          </cell>
          <cell r="J5518"/>
          <cell r="K5518" t="str">
            <v>KU</v>
          </cell>
          <cell r="L5518" t="str">
            <v>MUTI02</v>
          </cell>
          <cell r="M5518" t="str">
            <v>Mutiara Tani/Susilo</v>
          </cell>
          <cell r="N5518" t="str">
            <v>Adi Susilo</v>
          </cell>
          <cell r="O5518" t="str">
            <v>Jl. Brantas Ds. Sumberkembar, RT.00/RW.00 Kel. Sumber Kembar, Kec. Binangun</v>
          </cell>
          <cell r="P5518" t="str">
            <v>Blitar</v>
          </cell>
          <cell r="Q5518" t="str">
            <v>Pertigaan Kedungbulus, Sumberkembar</v>
          </cell>
          <cell r="R5518" t="str">
            <v>Blitar</v>
          </cell>
          <cell r="S5518" t="str">
            <v>D Barat2</v>
          </cell>
          <cell r="T5518" t="str">
            <v>Tomi</v>
          </cell>
          <cell r="U5518">
            <v>30</v>
          </cell>
        </row>
        <row r="5519">
          <cell r="E5519" t="str">
            <v>D25014844</v>
          </cell>
          <cell r="F5519"/>
          <cell r="G5519">
            <v>1000000000</v>
          </cell>
          <cell r="H5519" t="str">
            <v>Zakia</v>
          </cell>
          <cell r="I5519" t="str">
            <v>Tiya</v>
          </cell>
          <cell r="J5519"/>
          <cell r="K5519" t="str">
            <v>KU</v>
          </cell>
          <cell r="L5519" t="str">
            <v>MUTI02</v>
          </cell>
          <cell r="M5519" t="str">
            <v>Mutiara Tani/Susilo</v>
          </cell>
          <cell r="N5519" t="str">
            <v>Adi Susilo</v>
          </cell>
          <cell r="O5519" t="str">
            <v>Jl. Brantas Ds. Sumberkembar, RT.00/RW.00 Kel. Sumber Kembar, Kec. Binangun</v>
          </cell>
          <cell r="P5519" t="str">
            <v>Blitar</v>
          </cell>
          <cell r="Q5519" t="str">
            <v>Pertigaan Kedungbulus, Sumberkembar</v>
          </cell>
          <cell r="R5519" t="str">
            <v>Blitar</v>
          </cell>
          <cell r="S5519" t="str">
            <v>D Barat2</v>
          </cell>
          <cell r="T5519" t="str">
            <v>Tomi</v>
          </cell>
          <cell r="U5519">
            <v>30</v>
          </cell>
        </row>
        <row r="5520">
          <cell r="E5520" t="str">
            <v>D25014845</v>
          </cell>
          <cell r="F5520"/>
          <cell r="G5520">
            <v>1000000000</v>
          </cell>
          <cell r="H5520" t="str">
            <v>Zakia</v>
          </cell>
          <cell r="I5520" t="str">
            <v>Tiya</v>
          </cell>
          <cell r="J5520"/>
          <cell r="K5520" t="str">
            <v>KU</v>
          </cell>
          <cell r="L5520" t="str">
            <v>MUTI02</v>
          </cell>
          <cell r="M5520" t="str">
            <v>Mutiara Tani/Susilo</v>
          </cell>
          <cell r="N5520" t="str">
            <v>Adi Susilo</v>
          </cell>
          <cell r="O5520" t="str">
            <v>Jl. Brantas Ds. Sumberkembar, RT.00/RW.00 Kel. Sumber Kembar, Kec. Binangun</v>
          </cell>
          <cell r="P5520" t="str">
            <v>Blitar</v>
          </cell>
          <cell r="Q5520" t="str">
            <v>Pertigaan Kedungbulus, Sumberkembar</v>
          </cell>
          <cell r="R5520" t="str">
            <v>Blitar</v>
          </cell>
          <cell r="S5520" t="str">
            <v>D Barat2</v>
          </cell>
          <cell r="T5520" t="str">
            <v>Tomi</v>
          </cell>
          <cell r="U5520">
            <v>30</v>
          </cell>
        </row>
        <row r="5521">
          <cell r="E5521" t="str">
            <v>D25014860</v>
          </cell>
          <cell r="F5521"/>
          <cell r="G5521">
            <v>1000000000</v>
          </cell>
          <cell r="H5521" t="str">
            <v>Zakia</v>
          </cell>
          <cell r="I5521" t="str">
            <v>Tiya</v>
          </cell>
          <cell r="J5521"/>
          <cell r="K5521" t="str">
            <v>KU</v>
          </cell>
          <cell r="L5521" t="str">
            <v>MUTI02</v>
          </cell>
          <cell r="M5521" t="str">
            <v>Mutiara Tani/Susilo</v>
          </cell>
          <cell r="N5521" t="str">
            <v>Adi Susilo</v>
          </cell>
          <cell r="O5521" t="str">
            <v>Jl. Brantas Ds. Sumberkembar, RT.00/RW.00 Kel. Sumber Kembar, Kec. Binangun</v>
          </cell>
          <cell r="P5521" t="str">
            <v>Blitar</v>
          </cell>
          <cell r="Q5521" t="str">
            <v>Pertigaan Kedungbulus, Sumberkembar</v>
          </cell>
          <cell r="R5521" t="str">
            <v>Blitar</v>
          </cell>
          <cell r="S5521" t="str">
            <v>D Barat2</v>
          </cell>
          <cell r="T5521" t="str">
            <v>Tomi</v>
          </cell>
          <cell r="U5521">
            <v>30</v>
          </cell>
        </row>
        <row r="5522">
          <cell r="E5522" t="str">
            <v>B25012729</v>
          </cell>
          <cell r="F5522"/>
          <cell r="G5522">
            <v>1000000000</v>
          </cell>
          <cell r="H5522" t="str">
            <v>Zakia</v>
          </cell>
          <cell r="I5522" t="str">
            <v>Tiya</v>
          </cell>
          <cell r="J5522"/>
          <cell r="K5522" t="str">
            <v>KU</v>
          </cell>
          <cell r="L5522" t="str">
            <v>MUTI02</v>
          </cell>
          <cell r="M5522" t="str">
            <v>Mutiara Tani/Susilo</v>
          </cell>
          <cell r="N5522" t="str">
            <v>Adi Susilo</v>
          </cell>
          <cell r="O5522" t="str">
            <v>Jl. Brantas Ds. Sumberkembar, RT.00/RW.00 Kel. Sumber Kembar, Kec. Binangun</v>
          </cell>
          <cell r="P5522" t="str">
            <v>Blitar</v>
          </cell>
          <cell r="Q5522" t="str">
            <v>Pertigaan Kedungbulus, Sumberkembar</v>
          </cell>
          <cell r="R5522" t="str">
            <v>Blitar</v>
          </cell>
          <cell r="S5522" t="str">
            <v>D Barat2</v>
          </cell>
          <cell r="T5522" t="str">
            <v>Tomi</v>
          </cell>
          <cell r="U5522">
            <v>30</v>
          </cell>
        </row>
        <row r="5523">
          <cell r="E5523" t="str">
            <v>D25015138</v>
          </cell>
          <cell r="F5523"/>
          <cell r="G5523">
            <v>1000000000</v>
          </cell>
          <cell r="H5523" t="str">
            <v>Zakia</v>
          </cell>
          <cell r="I5523" t="str">
            <v>Tiya</v>
          </cell>
          <cell r="J5523"/>
          <cell r="K5523" t="str">
            <v>KU</v>
          </cell>
          <cell r="L5523" t="str">
            <v>MUTI02</v>
          </cell>
          <cell r="M5523" t="str">
            <v>Mutiara Tani/Susilo</v>
          </cell>
          <cell r="N5523" t="str">
            <v>Adi Susilo</v>
          </cell>
          <cell r="O5523" t="str">
            <v>Jl. Brantas Ds. Sumberkembar, RT.00/RW.00 Kel. Sumber Kembar, Kec. Binangun</v>
          </cell>
          <cell r="P5523" t="str">
            <v>Blitar</v>
          </cell>
          <cell r="Q5523" t="str">
            <v>Pertigaan Kedungbulus, Sumberkembar</v>
          </cell>
          <cell r="R5523" t="str">
            <v>Blitar</v>
          </cell>
          <cell r="S5523" t="str">
            <v>D Barat2</v>
          </cell>
          <cell r="T5523" t="str">
            <v>Tomi</v>
          </cell>
          <cell r="U5523">
            <v>30</v>
          </cell>
        </row>
        <row r="5524">
          <cell r="E5524" t="str">
            <v>D25015202</v>
          </cell>
          <cell r="F5524"/>
          <cell r="G5524">
            <v>1000000000</v>
          </cell>
          <cell r="H5524" t="str">
            <v>Zakia</v>
          </cell>
          <cell r="I5524" t="str">
            <v>Tiya</v>
          </cell>
          <cell r="J5524"/>
          <cell r="K5524" t="str">
            <v>KU</v>
          </cell>
          <cell r="L5524" t="str">
            <v>MUTI02</v>
          </cell>
          <cell r="M5524" t="str">
            <v>Mutiara Tani/Susilo</v>
          </cell>
          <cell r="N5524" t="str">
            <v>Adi Susilo</v>
          </cell>
          <cell r="O5524" t="str">
            <v>Jl. Brantas Ds. Sumberkembar, RT.00/RW.00 Kel. Sumber Kembar, Kec. Binangun</v>
          </cell>
          <cell r="P5524" t="str">
            <v>Blitar</v>
          </cell>
          <cell r="Q5524" t="str">
            <v>Pertigaan Kedungbulus, Sumberkembar</v>
          </cell>
          <cell r="R5524" t="str">
            <v>Blitar</v>
          </cell>
          <cell r="S5524" t="str">
            <v>D Barat2</v>
          </cell>
          <cell r="T5524" t="str">
            <v>Tomi</v>
          </cell>
          <cell r="U5524">
            <v>30</v>
          </cell>
        </row>
        <row r="5525">
          <cell r="E5525" t="str">
            <v>T25001529</v>
          </cell>
          <cell r="F5525"/>
          <cell r="G5525">
            <v>1000000000</v>
          </cell>
          <cell r="H5525" t="str">
            <v>Zakia</v>
          </cell>
          <cell r="I5525" t="str">
            <v>Tiya</v>
          </cell>
          <cell r="J5525"/>
          <cell r="K5525" t="str">
            <v>KU</v>
          </cell>
          <cell r="L5525" t="str">
            <v>MUTI02</v>
          </cell>
          <cell r="M5525" t="str">
            <v>Mutiara Tani/Susilo</v>
          </cell>
          <cell r="N5525" t="str">
            <v>Adi Susilo</v>
          </cell>
          <cell r="O5525" t="str">
            <v>Jl. Brantas Ds. Sumberkembar, RT.00/RW.00 Kel. Sumber Kembar, Kec. Binangun</v>
          </cell>
          <cell r="P5525" t="str">
            <v>Blitar</v>
          </cell>
          <cell r="Q5525" t="str">
            <v>Pertigaan Kedungbulus, Sumberkembar</v>
          </cell>
          <cell r="R5525" t="str">
            <v>Blitar</v>
          </cell>
          <cell r="S5525" t="str">
            <v>D Barat2</v>
          </cell>
          <cell r="T5525" t="str">
            <v>Tomi</v>
          </cell>
          <cell r="U5525">
            <v>60</v>
          </cell>
        </row>
        <row r="5526">
          <cell r="E5526" t="str">
            <v>D25015591</v>
          </cell>
          <cell r="F5526"/>
          <cell r="G5526">
            <v>1000000000</v>
          </cell>
          <cell r="H5526" t="str">
            <v>Zakia</v>
          </cell>
          <cell r="I5526" t="str">
            <v>Tiya</v>
          </cell>
          <cell r="J5526"/>
          <cell r="K5526" t="str">
            <v>KU</v>
          </cell>
          <cell r="L5526" t="str">
            <v>MUTI02</v>
          </cell>
          <cell r="M5526" t="str">
            <v>Mutiara Tani/Susilo</v>
          </cell>
          <cell r="N5526" t="str">
            <v>Adi Susilo</v>
          </cell>
          <cell r="O5526" t="str">
            <v>Jl. Brantas Ds. Sumberkembar, RT.00/RW.00 Kel. Sumber Kembar, Kec. Binangun</v>
          </cell>
          <cell r="P5526" t="str">
            <v>Blitar</v>
          </cell>
          <cell r="Q5526" t="str">
            <v>Pertigaan Kedungbulus, Sumberkembar</v>
          </cell>
          <cell r="R5526" t="str">
            <v>Blitar</v>
          </cell>
          <cell r="S5526" t="str">
            <v>D Barat2</v>
          </cell>
          <cell r="T5526" t="str">
            <v>Tomi</v>
          </cell>
          <cell r="U5526">
            <v>30</v>
          </cell>
        </row>
        <row r="5527">
          <cell r="E5527" t="str">
            <v>D25016061</v>
          </cell>
          <cell r="F5527"/>
          <cell r="G5527">
            <v>1000000000</v>
          </cell>
          <cell r="H5527" t="str">
            <v>Zakia</v>
          </cell>
          <cell r="I5527" t="str">
            <v>Tiya</v>
          </cell>
          <cell r="J5527"/>
          <cell r="K5527" t="str">
            <v>KU</v>
          </cell>
          <cell r="L5527" t="str">
            <v>MUTI02</v>
          </cell>
          <cell r="M5527" t="str">
            <v>Mutiara Tani/Susilo</v>
          </cell>
          <cell r="N5527" t="str">
            <v>Adi Susilo</v>
          </cell>
          <cell r="O5527" t="str">
            <v>Jl. Brantas Ds. Sumberkembar, RT.00/RW.00 Kel. Sumber Kembar, Kec. Binangun</v>
          </cell>
          <cell r="P5527" t="str">
            <v>Blitar</v>
          </cell>
          <cell r="Q5527" t="str">
            <v>Pertigaan Kedungbulus, Sumberkembar</v>
          </cell>
          <cell r="R5527" t="str">
            <v>Blitar</v>
          </cell>
          <cell r="S5527" t="str">
            <v>D Barat2</v>
          </cell>
          <cell r="T5527" t="str">
            <v>Tomi</v>
          </cell>
          <cell r="U5527">
            <v>30</v>
          </cell>
        </row>
        <row r="5528">
          <cell r="E5528" t="str">
            <v>B25013755</v>
          </cell>
          <cell r="F5528"/>
          <cell r="G5528">
            <v>1000000000</v>
          </cell>
          <cell r="H5528" t="str">
            <v>Zakia</v>
          </cell>
          <cell r="I5528" t="str">
            <v>Tiya</v>
          </cell>
          <cell r="J5528"/>
          <cell r="K5528" t="str">
            <v>KU</v>
          </cell>
          <cell r="L5528" t="str">
            <v>MUTI02</v>
          </cell>
          <cell r="M5528" t="str">
            <v>Mutiara Tani/Susilo</v>
          </cell>
          <cell r="N5528" t="str">
            <v>Adi Susilo</v>
          </cell>
          <cell r="O5528" t="str">
            <v>Jl. Brantas Ds. Sumberkembar, RT.00/RW.00 Kel. Sumber Kembar, Kec. Binangun</v>
          </cell>
          <cell r="P5528" t="str">
            <v>Blitar</v>
          </cell>
          <cell r="Q5528" t="str">
            <v>Pertigaan Kedungbulus, Sumberkembar</v>
          </cell>
          <cell r="R5528" t="str">
            <v>Blitar</v>
          </cell>
          <cell r="S5528" t="str">
            <v>D Barat2</v>
          </cell>
          <cell r="T5528" t="str">
            <v>Tomi</v>
          </cell>
          <cell r="U5528">
            <v>30</v>
          </cell>
        </row>
        <row r="5529">
          <cell r="E5529" t="str">
            <v>D25016154</v>
          </cell>
          <cell r="F5529"/>
          <cell r="G5529">
            <v>1000000000</v>
          </cell>
          <cell r="H5529" t="str">
            <v>Zakia</v>
          </cell>
          <cell r="I5529" t="str">
            <v>Tiya</v>
          </cell>
          <cell r="J5529"/>
          <cell r="K5529" t="str">
            <v>KU</v>
          </cell>
          <cell r="L5529" t="str">
            <v>MUTI02</v>
          </cell>
          <cell r="M5529" t="str">
            <v>Mutiara Tani/Susilo</v>
          </cell>
          <cell r="N5529" t="str">
            <v>Adi Susilo</v>
          </cell>
          <cell r="O5529" t="str">
            <v>Jl. Brantas Ds. Sumberkembar, RT.00/RW.00 Kel. Sumber Kembar, Kec. Binangun</v>
          </cell>
          <cell r="P5529" t="str">
            <v>Blitar</v>
          </cell>
          <cell r="Q5529" t="str">
            <v>Pertigaan Kedungbulus, Sumberkembar</v>
          </cell>
          <cell r="R5529" t="str">
            <v>Blitar</v>
          </cell>
          <cell r="S5529" t="str">
            <v>D Barat2</v>
          </cell>
          <cell r="T5529" t="str">
            <v>Tomi</v>
          </cell>
          <cell r="U5529">
            <v>30</v>
          </cell>
        </row>
        <row r="5530">
          <cell r="E5530" t="str">
            <v>D25016366</v>
          </cell>
          <cell r="F5530"/>
          <cell r="G5530">
            <v>1000000000</v>
          </cell>
          <cell r="H5530" t="str">
            <v>Zakia</v>
          </cell>
          <cell r="I5530" t="str">
            <v>Tiya</v>
          </cell>
          <cell r="J5530"/>
          <cell r="K5530" t="str">
            <v>KU</v>
          </cell>
          <cell r="L5530" t="str">
            <v>MUTI02</v>
          </cell>
          <cell r="M5530" t="str">
            <v>Mutiara Tani/Susilo</v>
          </cell>
          <cell r="N5530" t="str">
            <v>Adi Susilo</v>
          </cell>
          <cell r="O5530" t="str">
            <v>Jl. Brantas Ds. Sumberkembar, RT.00/RW.00 Kel. Sumber Kembar, Kec. Binangun</v>
          </cell>
          <cell r="P5530" t="str">
            <v>Blitar</v>
          </cell>
          <cell r="Q5530" t="str">
            <v>Pertigaan Kedungbulus, Sumberkembar</v>
          </cell>
          <cell r="R5530" t="str">
            <v>Blitar</v>
          </cell>
          <cell r="S5530" t="str">
            <v>D Barat2</v>
          </cell>
          <cell r="T5530" t="str">
            <v>Tomi</v>
          </cell>
          <cell r="U5530">
            <v>30</v>
          </cell>
        </row>
        <row r="5531">
          <cell r="E5531" t="str">
            <v>D25015011</v>
          </cell>
          <cell r="F5531"/>
          <cell r="G5531">
            <v>450000000</v>
          </cell>
          <cell r="H5531" t="str">
            <v>Hendra</v>
          </cell>
          <cell r="I5531" t="str">
            <v>Tiya</v>
          </cell>
          <cell r="J5531"/>
          <cell r="K5531" t="str">
            <v>KU</v>
          </cell>
          <cell r="L5531" t="str">
            <v>MUYA01</v>
          </cell>
          <cell r="M5531" t="str">
            <v>Muyatin</v>
          </cell>
          <cell r="N5531" t="str">
            <v>Muyatin</v>
          </cell>
          <cell r="O5531" t="str">
            <v>Jl. Kopi No.299, Prafi Mulia Prafi Kab. Manokwari</v>
          </cell>
          <cell r="P5531" t="str">
            <v>Papua Barat</v>
          </cell>
          <cell r="Q5531" t="str">
            <v>Jl. Kopi No.299, Prafi Mulia Prafi Kab. Manokwari</v>
          </cell>
          <cell r="R5531" t="str">
            <v>Papua Barat</v>
          </cell>
          <cell r="S5531" t="str">
            <v>E Luar Pulau2</v>
          </cell>
          <cell r="T5531" t="str">
            <v>Non SE &amp; JSE</v>
          </cell>
          <cell r="U5531">
            <v>15</v>
          </cell>
        </row>
        <row r="5532">
          <cell r="E5532" t="str">
            <v>D25015028</v>
          </cell>
          <cell r="F5532"/>
          <cell r="G5532">
            <v>450000000</v>
          </cell>
          <cell r="H5532" t="str">
            <v>Hendra</v>
          </cell>
          <cell r="I5532" t="str">
            <v>Tiya</v>
          </cell>
          <cell r="J5532"/>
          <cell r="K5532" t="str">
            <v>KU</v>
          </cell>
          <cell r="L5532" t="str">
            <v>MUYA01</v>
          </cell>
          <cell r="M5532" t="str">
            <v>Muyatin</v>
          </cell>
          <cell r="N5532" t="str">
            <v>Muyatin</v>
          </cell>
          <cell r="O5532" t="str">
            <v>Jl. Kopi No.299, Prafi Mulia Prafi Kab. Manokwari</v>
          </cell>
          <cell r="P5532" t="str">
            <v>Papua Barat</v>
          </cell>
          <cell r="Q5532" t="str">
            <v>Jl. Kopi No.299, Prafi Mulia Prafi Kab. Manokwari</v>
          </cell>
          <cell r="R5532" t="str">
            <v>Papua Barat</v>
          </cell>
          <cell r="S5532" t="str">
            <v>E Luar Pulau2</v>
          </cell>
          <cell r="T5532" t="str">
            <v>Non SE &amp; JSE</v>
          </cell>
          <cell r="U5532">
            <v>45</v>
          </cell>
        </row>
        <row r="5533">
          <cell r="E5533" t="str">
            <v>D25015088</v>
          </cell>
          <cell r="F5533"/>
          <cell r="G5533">
            <v>450000000</v>
          </cell>
          <cell r="H5533" t="str">
            <v>Hendra</v>
          </cell>
          <cell r="I5533" t="str">
            <v>Tiya</v>
          </cell>
          <cell r="J5533"/>
          <cell r="K5533" t="str">
            <v>KU</v>
          </cell>
          <cell r="L5533" t="str">
            <v>MUYA01</v>
          </cell>
          <cell r="M5533" t="str">
            <v>Muyatin</v>
          </cell>
          <cell r="N5533" t="str">
            <v>Muyatin</v>
          </cell>
          <cell r="O5533" t="str">
            <v>Jl. Kopi No.299, Prafi Mulia Prafi Kab. Manokwari</v>
          </cell>
          <cell r="P5533" t="str">
            <v>Papua Barat</v>
          </cell>
          <cell r="Q5533" t="str">
            <v>Jl. Kopi No.299, Prafi Mulia Prafi Kab. Manokwari</v>
          </cell>
          <cell r="R5533" t="str">
            <v>Papua Barat</v>
          </cell>
          <cell r="S5533" t="str">
            <v>E Luar Pulau2</v>
          </cell>
          <cell r="T5533" t="str">
            <v>Non SE &amp; JSE</v>
          </cell>
          <cell r="U5533">
            <v>15</v>
          </cell>
        </row>
        <row r="5534">
          <cell r="E5534" t="str">
            <v>D25015094</v>
          </cell>
          <cell r="F5534"/>
          <cell r="G5534">
            <v>450000000</v>
          </cell>
          <cell r="H5534" t="str">
            <v>Hendra</v>
          </cell>
          <cell r="I5534" t="str">
            <v>Tiya</v>
          </cell>
          <cell r="J5534"/>
          <cell r="K5534" t="str">
            <v>KU</v>
          </cell>
          <cell r="L5534" t="str">
            <v>MUYA01</v>
          </cell>
          <cell r="M5534" t="str">
            <v>Muyatin</v>
          </cell>
          <cell r="N5534" t="str">
            <v>Muyatin</v>
          </cell>
          <cell r="O5534" t="str">
            <v>Jl. Kopi No.299, Prafi Mulia Prafi Kab. Manokwari</v>
          </cell>
          <cell r="P5534" t="str">
            <v>Papua Barat</v>
          </cell>
          <cell r="Q5534" t="str">
            <v>Jl. Kopi No.299, Prafi Mulia Prafi Kab. Manokwari</v>
          </cell>
          <cell r="R5534" t="str">
            <v>Papua Barat</v>
          </cell>
          <cell r="S5534" t="str">
            <v>E Luar Pulau2</v>
          </cell>
          <cell r="T5534" t="str">
            <v>Non SE &amp; JSE</v>
          </cell>
          <cell r="U5534">
            <v>15</v>
          </cell>
        </row>
        <row r="5535">
          <cell r="E5535" t="str">
            <v>D25015405</v>
          </cell>
          <cell r="F5535"/>
          <cell r="G5535">
            <v>450000000</v>
          </cell>
          <cell r="H5535" t="str">
            <v>Hendra</v>
          </cell>
          <cell r="I5535" t="str">
            <v>Tiya</v>
          </cell>
          <cell r="J5535"/>
          <cell r="K5535" t="str">
            <v>KU</v>
          </cell>
          <cell r="L5535" t="str">
            <v>MUYA01</v>
          </cell>
          <cell r="M5535" t="str">
            <v>Muyatin</v>
          </cell>
          <cell r="N5535" t="str">
            <v>Muyatin</v>
          </cell>
          <cell r="O5535" t="str">
            <v>Jl. Kopi No.299, Prafi Mulia Prafi Kab. Manokwari</v>
          </cell>
          <cell r="P5535" t="str">
            <v>Papua Barat</v>
          </cell>
          <cell r="Q5535" t="str">
            <v>Jl. Kopi No.299, Prafi Mulia Prafi Kab. Manokwari</v>
          </cell>
          <cell r="R5535" t="str">
            <v>Papua Barat</v>
          </cell>
          <cell r="S5535" t="str">
            <v>E Luar Pulau2</v>
          </cell>
          <cell r="T5535" t="str">
            <v>Non SE &amp; JSE</v>
          </cell>
          <cell r="U5535">
            <v>15</v>
          </cell>
        </row>
        <row r="5536">
          <cell r="E5536" t="str">
            <v>B25013180</v>
          </cell>
          <cell r="F5536"/>
          <cell r="G5536">
            <v>450000000</v>
          </cell>
          <cell r="H5536" t="str">
            <v>Hendra</v>
          </cell>
          <cell r="I5536" t="str">
            <v>Tiya</v>
          </cell>
          <cell r="J5536"/>
          <cell r="K5536" t="str">
            <v>KU</v>
          </cell>
          <cell r="L5536" t="str">
            <v>MUYA01</v>
          </cell>
          <cell r="M5536" t="str">
            <v>Muyatin</v>
          </cell>
          <cell r="N5536" t="str">
            <v>Muyatin</v>
          </cell>
          <cell r="O5536" t="str">
            <v>Jl. Kopi No.299, Prafi Mulia Prafi Kab. Manokwari</v>
          </cell>
          <cell r="P5536" t="str">
            <v>Papua Barat</v>
          </cell>
          <cell r="Q5536" t="str">
            <v>Jl. Kopi No.299, Prafi Mulia Prafi Kab. Manokwari</v>
          </cell>
          <cell r="R5536" t="str">
            <v>Papua Barat</v>
          </cell>
          <cell r="S5536" t="str">
            <v>E Luar Pulau2</v>
          </cell>
          <cell r="T5536" t="str">
            <v>Non SE &amp; JSE</v>
          </cell>
          <cell r="U5536">
            <v>15</v>
          </cell>
        </row>
        <row r="5537">
          <cell r="E5537" t="str">
            <v>D25015504</v>
          </cell>
          <cell r="F5537"/>
          <cell r="G5537">
            <v>450000000</v>
          </cell>
          <cell r="H5537" t="str">
            <v>Hendra</v>
          </cell>
          <cell r="I5537" t="str">
            <v>Tiya</v>
          </cell>
          <cell r="J5537"/>
          <cell r="K5537" t="str">
            <v>KU</v>
          </cell>
          <cell r="L5537" t="str">
            <v>MUYA01</v>
          </cell>
          <cell r="M5537" t="str">
            <v>Muyatin</v>
          </cell>
          <cell r="N5537" t="str">
            <v>Muyatin</v>
          </cell>
          <cell r="O5537" t="str">
            <v>Jl. Kopi No.299, Prafi Mulia Prafi Kab. Manokwari</v>
          </cell>
          <cell r="P5537" t="str">
            <v>Papua Barat</v>
          </cell>
          <cell r="Q5537" t="str">
            <v>Jl. Kopi No.299, Prafi Mulia Prafi Kab. Manokwari</v>
          </cell>
          <cell r="R5537" t="str">
            <v>Papua Barat</v>
          </cell>
          <cell r="S5537" t="str">
            <v>E Luar Pulau2</v>
          </cell>
          <cell r="T5537" t="str">
            <v>Non SE &amp; JSE</v>
          </cell>
          <cell r="U5537">
            <v>15</v>
          </cell>
        </row>
        <row r="5538">
          <cell r="E5538" t="str">
            <v>B25013403</v>
          </cell>
          <cell r="F5538"/>
          <cell r="G5538">
            <v>450000000</v>
          </cell>
          <cell r="H5538" t="str">
            <v>Hendra</v>
          </cell>
          <cell r="I5538" t="str">
            <v>Tiya</v>
          </cell>
          <cell r="J5538"/>
          <cell r="K5538" t="str">
            <v>KU</v>
          </cell>
          <cell r="L5538" t="str">
            <v>MUYA01</v>
          </cell>
          <cell r="M5538" t="str">
            <v>Muyatin</v>
          </cell>
          <cell r="N5538" t="str">
            <v>Muyatin</v>
          </cell>
          <cell r="O5538" t="str">
            <v>Jl. Kopi No.299, Prafi Mulia Prafi Kab. Manokwari</v>
          </cell>
          <cell r="P5538" t="str">
            <v>Papua Barat</v>
          </cell>
          <cell r="Q5538" t="str">
            <v>Jl. Kopi No.299, Prafi Mulia Prafi Kab. Manokwari</v>
          </cell>
          <cell r="R5538" t="str">
            <v>Papua Barat</v>
          </cell>
          <cell r="S5538" t="str">
            <v>E Luar Pulau2</v>
          </cell>
          <cell r="T5538" t="str">
            <v>Non SE &amp; JSE</v>
          </cell>
          <cell r="U5538">
            <v>15</v>
          </cell>
        </row>
        <row r="5539">
          <cell r="E5539" t="str">
            <v>D25015693</v>
          </cell>
          <cell r="F5539"/>
          <cell r="G5539">
            <v>450000000</v>
          </cell>
          <cell r="H5539" t="str">
            <v>Hendra</v>
          </cell>
          <cell r="I5539" t="str">
            <v>Tiya</v>
          </cell>
          <cell r="J5539"/>
          <cell r="K5539" t="str">
            <v>KU</v>
          </cell>
          <cell r="L5539" t="str">
            <v>MUYA01</v>
          </cell>
          <cell r="M5539" t="str">
            <v>Muyatin</v>
          </cell>
          <cell r="N5539" t="str">
            <v>Muyatin</v>
          </cell>
          <cell r="O5539" t="str">
            <v>Jl. Kopi No.299, Prafi Mulia Prafi Kab. Manokwari</v>
          </cell>
          <cell r="P5539" t="str">
            <v>Papua Barat</v>
          </cell>
          <cell r="Q5539" t="str">
            <v>Jl. Kopi No.299, Prafi Mulia Prafi Kab. Manokwari</v>
          </cell>
          <cell r="R5539" t="str">
            <v>Papua Barat</v>
          </cell>
          <cell r="S5539" t="str">
            <v>E Luar Pulau2</v>
          </cell>
          <cell r="T5539" t="str">
            <v>Non SE &amp; JSE</v>
          </cell>
          <cell r="U5539">
            <v>15</v>
          </cell>
        </row>
        <row r="5540">
          <cell r="E5540" t="str">
            <v>D25016107</v>
          </cell>
          <cell r="F5540"/>
          <cell r="G5540">
            <v>450000000</v>
          </cell>
          <cell r="H5540" t="str">
            <v>Hendra</v>
          </cell>
          <cell r="I5540" t="str">
            <v>Tiya</v>
          </cell>
          <cell r="J5540"/>
          <cell r="K5540" t="str">
            <v>KU</v>
          </cell>
          <cell r="L5540" t="str">
            <v>MUYA01</v>
          </cell>
          <cell r="M5540" t="str">
            <v>Muyatin</v>
          </cell>
          <cell r="N5540" t="str">
            <v>Muyatin</v>
          </cell>
          <cell r="O5540" t="str">
            <v>Jl. Kopi No.299, Prafi Mulia Prafi Kab. Manokwari</v>
          </cell>
          <cell r="P5540" t="str">
            <v>Papua Barat</v>
          </cell>
          <cell r="Q5540" t="str">
            <v>Jl. Kopi No.299, Prafi Mulia Prafi Kab. Manokwari</v>
          </cell>
          <cell r="R5540" t="str">
            <v>Papua Barat</v>
          </cell>
          <cell r="S5540" t="str">
            <v>E Luar Pulau2</v>
          </cell>
          <cell r="T5540" t="str">
            <v>Non SE &amp; JSE</v>
          </cell>
          <cell r="U5540">
            <v>15</v>
          </cell>
        </row>
        <row r="5541">
          <cell r="E5541" t="str">
            <v>D25016146</v>
          </cell>
          <cell r="F5541"/>
          <cell r="G5541">
            <v>450000000</v>
          </cell>
          <cell r="H5541" t="str">
            <v>Hendra</v>
          </cell>
          <cell r="I5541" t="str">
            <v>Tiya</v>
          </cell>
          <cell r="J5541"/>
          <cell r="K5541" t="str">
            <v>KU</v>
          </cell>
          <cell r="L5541" t="str">
            <v>MUYA01</v>
          </cell>
          <cell r="M5541" t="str">
            <v>Muyatin</v>
          </cell>
          <cell r="N5541" t="str">
            <v>Muyatin</v>
          </cell>
          <cell r="O5541" t="str">
            <v>Jl. Kopi No.299, Prafi Mulia Prafi Kab. Manokwari</v>
          </cell>
          <cell r="P5541" t="str">
            <v>Papua Barat</v>
          </cell>
          <cell r="Q5541" t="str">
            <v>Jl. Kopi No.299, Prafi Mulia Prafi Kab. Manokwari</v>
          </cell>
          <cell r="R5541" t="str">
            <v>Papua Barat</v>
          </cell>
          <cell r="S5541" t="str">
            <v>E Luar Pulau2</v>
          </cell>
          <cell r="T5541" t="str">
            <v>Non SE &amp; JSE</v>
          </cell>
          <cell r="U5541">
            <v>15</v>
          </cell>
        </row>
        <row r="5542">
          <cell r="E5542" t="str">
            <v>D25016176</v>
          </cell>
          <cell r="F5542"/>
          <cell r="G5542">
            <v>450000000</v>
          </cell>
          <cell r="H5542" t="str">
            <v>Hendra</v>
          </cell>
          <cell r="I5542" t="str">
            <v>Tiya</v>
          </cell>
          <cell r="J5542"/>
          <cell r="K5542" t="str">
            <v>KU</v>
          </cell>
          <cell r="L5542" t="str">
            <v>MUYA01</v>
          </cell>
          <cell r="M5542" t="str">
            <v>Muyatin</v>
          </cell>
          <cell r="N5542" t="str">
            <v>Muyatin</v>
          </cell>
          <cell r="O5542" t="str">
            <v>Jl. Kopi No.299, Prafi Mulia Prafi Kab. Manokwari</v>
          </cell>
          <cell r="P5542" t="str">
            <v>Papua Barat</v>
          </cell>
          <cell r="Q5542" t="str">
            <v>Jl. Kopi No.299, Prafi Mulia Prafi Kab. Manokwari</v>
          </cell>
          <cell r="R5542" t="str">
            <v>Papua Barat</v>
          </cell>
          <cell r="S5542" t="str">
            <v>E Luar Pulau2</v>
          </cell>
          <cell r="T5542" t="str">
            <v>Non SE &amp; JSE</v>
          </cell>
          <cell r="U5542">
            <v>15</v>
          </cell>
        </row>
        <row r="5543">
          <cell r="E5543" t="str">
            <v>B25005726</v>
          </cell>
          <cell r="F5543"/>
          <cell r="G5543">
            <v>200000000</v>
          </cell>
          <cell r="H5543" t="str">
            <v>Zakia</v>
          </cell>
          <cell r="I5543" t="str">
            <v>Tiya</v>
          </cell>
          <cell r="J5543"/>
          <cell r="K5543" t="str">
            <v>KU</v>
          </cell>
          <cell r="L5543" t="str">
            <v>NADI01</v>
          </cell>
          <cell r="M5543" t="str">
            <v>Nadi, CV</v>
          </cell>
          <cell r="N5543" t="str">
            <v>Ni Nyoman Widastri</v>
          </cell>
          <cell r="O5543" t="str">
            <v>Dusun Tihingan Desa Tihingan, Kec. Banjarangkan</v>
          </cell>
          <cell r="P5543" t="str">
            <v>Bali</v>
          </cell>
          <cell r="Q5543" t="str">
            <v>Klungkung</v>
          </cell>
          <cell r="R5543" t="str">
            <v>Bali</v>
          </cell>
          <cell r="S5543" t="str">
            <v>S Bali3</v>
          </cell>
          <cell r="T5543" t="str">
            <v>Wira</v>
          </cell>
          <cell r="U5543">
            <v>30</v>
          </cell>
        </row>
        <row r="5544">
          <cell r="E5544" t="str">
            <v>B25005755</v>
          </cell>
          <cell r="F5544"/>
          <cell r="G5544">
            <v>200000000</v>
          </cell>
          <cell r="H5544" t="str">
            <v>Zakia</v>
          </cell>
          <cell r="I5544" t="str">
            <v>Tiya</v>
          </cell>
          <cell r="J5544"/>
          <cell r="K5544" t="str">
            <v>KU</v>
          </cell>
          <cell r="L5544" t="str">
            <v>NADI01</v>
          </cell>
          <cell r="M5544" t="str">
            <v>Nadi, CV</v>
          </cell>
          <cell r="N5544" t="str">
            <v>Ni Nyoman Widastri</v>
          </cell>
          <cell r="O5544" t="str">
            <v>Dusun Tihingan Desa Tihingan, Kec. Banjarangkan</v>
          </cell>
          <cell r="P5544" t="str">
            <v>Bali</v>
          </cell>
          <cell r="Q5544" t="str">
            <v>Klungkung</v>
          </cell>
          <cell r="R5544" t="str">
            <v>Bali</v>
          </cell>
          <cell r="S5544" t="str">
            <v>S Bali3</v>
          </cell>
          <cell r="T5544" t="str">
            <v>Wira</v>
          </cell>
          <cell r="U5544">
            <v>30</v>
          </cell>
        </row>
        <row r="5545">
          <cell r="E5545" t="str">
            <v>D25007848</v>
          </cell>
          <cell r="F5545"/>
          <cell r="G5545">
            <v>200000000</v>
          </cell>
          <cell r="H5545" t="str">
            <v>Zakia</v>
          </cell>
          <cell r="I5545" t="str">
            <v>Tiya</v>
          </cell>
          <cell r="J5545"/>
          <cell r="K5545" t="str">
            <v>KU</v>
          </cell>
          <cell r="L5545" t="str">
            <v>NADI01</v>
          </cell>
          <cell r="M5545" t="str">
            <v>Nadi, CV</v>
          </cell>
          <cell r="N5545" t="str">
            <v>Ni Nyoman Widastri</v>
          </cell>
          <cell r="O5545" t="str">
            <v>Dusun Tihingan Desa Tihingan, Kec. Banjarangkan</v>
          </cell>
          <cell r="P5545" t="str">
            <v>Bali</v>
          </cell>
          <cell r="Q5545" t="str">
            <v>Klungkung</v>
          </cell>
          <cell r="R5545" t="str">
            <v>Bali</v>
          </cell>
          <cell r="S5545" t="str">
            <v>S Bali3</v>
          </cell>
          <cell r="T5545" t="str">
            <v>Wira</v>
          </cell>
          <cell r="U5545">
            <v>30</v>
          </cell>
        </row>
        <row r="5546">
          <cell r="E5546" t="str">
            <v>B25013100</v>
          </cell>
          <cell r="F5546"/>
          <cell r="G5546">
            <v>1000</v>
          </cell>
          <cell r="H5546" t="str">
            <v>Reni</v>
          </cell>
          <cell r="I5546" t="str">
            <v>Fira</v>
          </cell>
          <cell r="J5546" t="str">
            <v>New 13/10/25</v>
          </cell>
          <cell r="K5546" t="str">
            <v>KU</v>
          </cell>
          <cell r="L5546" t="str">
            <v>NAJM02</v>
          </cell>
          <cell r="M5546" t="str">
            <v>Najma/Hariyono</v>
          </cell>
          <cell r="N5546" t="str">
            <v>Hariyono</v>
          </cell>
          <cell r="O5546" t="str">
            <v>Dusun Malingmati RT.022/RW.006, Kel. Malingmati, Kec. Tambakrejo</v>
          </cell>
          <cell r="P5546" t="str">
            <v>Bojonegoro</v>
          </cell>
          <cell r="Q5546" t="str">
            <v>Dusun Malingmati RT.022/RW.006, Kel. Malingmati, Kec. Tambakrejo</v>
          </cell>
          <cell r="R5546" t="str">
            <v>Bojonegoro</v>
          </cell>
          <cell r="S5546" t="str">
            <v>F Utara1</v>
          </cell>
          <cell r="T5546" t="str">
            <v>Dian</v>
          </cell>
          <cell r="U5546">
            <v>0</v>
          </cell>
        </row>
        <row r="5547">
          <cell r="E5547" t="str">
            <v>D25011331</v>
          </cell>
          <cell r="F5547"/>
          <cell r="G5547">
            <v>5000000000</v>
          </cell>
          <cell r="H5547" t="str">
            <v>Zakia</v>
          </cell>
          <cell r="I5547" t="str">
            <v>Tiya</v>
          </cell>
          <cell r="J5547" t="str">
            <v>New 07/06/24</v>
          </cell>
          <cell r="K5547" t="str">
            <v>KU</v>
          </cell>
          <cell r="L5547" t="str">
            <v>NAMI02</v>
          </cell>
          <cell r="M5547" t="str">
            <v>Namisev Agro Solusi Indonesia, CV</v>
          </cell>
          <cell r="N5547" t="str">
            <v>Namisev Agro Solusi Indonesia, CV</v>
          </cell>
          <cell r="O5547" t="str">
            <v>Jl Tentara Pelajar No. 889 RT.000/RW.000, Sijeruk, Kendal</v>
          </cell>
          <cell r="P5547" t="str">
            <v>Kendal</v>
          </cell>
          <cell r="Q5547" t="str">
            <v>Jl Tentara Pelajar No. 889 RT.000/RW.000, Sijeruk, Kendal</v>
          </cell>
          <cell r="R5547" t="str">
            <v>Kendal</v>
          </cell>
          <cell r="S5547" t="str">
            <v>I Jabar Jateng</v>
          </cell>
          <cell r="T5547" t="str">
            <v>Non SE &amp; JSE</v>
          </cell>
          <cell r="U5547">
            <v>90</v>
          </cell>
        </row>
        <row r="5548">
          <cell r="E5548" t="str">
            <v>D25011469</v>
          </cell>
          <cell r="F5548"/>
          <cell r="G5548">
            <v>5000000000</v>
          </cell>
          <cell r="H5548" t="str">
            <v>Zakia</v>
          </cell>
          <cell r="I5548" t="str">
            <v>Tiya</v>
          </cell>
          <cell r="J5548" t="str">
            <v>New 07/06/24</v>
          </cell>
          <cell r="K5548" t="str">
            <v>KU</v>
          </cell>
          <cell r="L5548" t="str">
            <v>NAMI02</v>
          </cell>
          <cell r="M5548" t="str">
            <v>Namisev Agro Solusi Indonesia, CV</v>
          </cell>
          <cell r="N5548" t="str">
            <v>Namisev Agro Solusi Indonesia, CV</v>
          </cell>
          <cell r="O5548" t="str">
            <v>Jl Tentara Pelajar No. 889 RT.000/RW.000, Sijeruk, Kendal</v>
          </cell>
          <cell r="P5548" t="str">
            <v>Kendal</v>
          </cell>
          <cell r="Q5548" t="str">
            <v>Jl Tentara Pelajar No. 889 RT.000/RW.000, Sijeruk, Kendal</v>
          </cell>
          <cell r="R5548" t="str">
            <v>Kendal</v>
          </cell>
          <cell r="S5548" t="str">
            <v>I Jabar Jateng</v>
          </cell>
          <cell r="T5548" t="str">
            <v>Non SE &amp; JSE</v>
          </cell>
          <cell r="U5548">
            <v>90</v>
          </cell>
        </row>
        <row r="5549">
          <cell r="E5549" t="str">
            <v>D25013127</v>
          </cell>
          <cell r="F5549"/>
          <cell r="G5549">
            <v>5000000000</v>
          </cell>
          <cell r="H5549" t="str">
            <v>Zakia</v>
          </cell>
          <cell r="I5549" t="str">
            <v>Tiya</v>
          </cell>
          <cell r="J5549" t="str">
            <v>New 07/06/24</v>
          </cell>
          <cell r="K5549" t="str">
            <v>KU</v>
          </cell>
          <cell r="L5549" t="str">
            <v>NAMI02</v>
          </cell>
          <cell r="M5549" t="str">
            <v>Namisev Agro Solusi Indonesia, CV</v>
          </cell>
          <cell r="N5549" t="str">
            <v>Namisev Agro Solusi Indonesia, CV</v>
          </cell>
          <cell r="O5549" t="str">
            <v>Jl Tentara Pelajar No. 889 RT.000/RW.000, Sijeruk, Kendal</v>
          </cell>
          <cell r="P5549" t="str">
            <v>Kendal</v>
          </cell>
          <cell r="Q5549" t="str">
            <v>Jl Tentara Pelajar No. 889 RT.000/RW.000, Sijeruk, Kendal</v>
          </cell>
          <cell r="R5549" t="str">
            <v>Kendal</v>
          </cell>
          <cell r="S5549" t="str">
            <v>I Jabar Jateng</v>
          </cell>
          <cell r="T5549" t="str">
            <v>Non SE &amp; JSE</v>
          </cell>
          <cell r="U5549">
            <v>90</v>
          </cell>
        </row>
        <row r="5550">
          <cell r="E5550" t="str">
            <v>D25013128</v>
          </cell>
          <cell r="F5550"/>
          <cell r="G5550">
            <v>5000000000</v>
          </cell>
          <cell r="H5550" t="str">
            <v>Zakia</v>
          </cell>
          <cell r="I5550" t="str">
            <v>Tiya</v>
          </cell>
          <cell r="J5550" t="str">
            <v>New 07/06/24</v>
          </cell>
          <cell r="K5550" t="str">
            <v>KU</v>
          </cell>
          <cell r="L5550" t="str">
            <v>NAMI02</v>
          </cell>
          <cell r="M5550" t="str">
            <v>Namisev Agro Solusi Indonesia, CV</v>
          </cell>
          <cell r="N5550" t="str">
            <v>Namisev Agro Solusi Indonesia, CV</v>
          </cell>
          <cell r="O5550" t="str">
            <v>Jl Tentara Pelajar No. 889 RT.000/RW.000, Sijeruk, Kendal</v>
          </cell>
          <cell r="P5550" t="str">
            <v>Kendal</v>
          </cell>
          <cell r="Q5550" t="str">
            <v>Jl Tentara Pelajar No. 889 RT.000/RW.000, Sijeruk, Kendal</v>
          </cell>
          <cell r="R5550" t="str">
            <v>Kendal</v>
          </cell>
          <cell r="S5550" t="str">
            <v>I Jabar Jateng</v>
          </cell>
          <cell r="T5550" t="str">
            <v>Non SE &amp; JSE</v>
          </cell>
          <cell r="U5550">
            <v>90</v>
          </cell>
        </row>
        <row r="5551">
          <cell r="E5551" t="str">
            <v>B25011149</v>
          </cell>
          <cell r="F5551"/>
          <cell r="G5551">
            <v>5000000000</v>
          </cell>
          <cell r="H5551" t="str">
            <v>Zakia</v>
          </cell>
          <cell r="I5551" t="str">
            <v>Tiya</v>
          </cell>
          <cell r="J5551" t="str">
            <v>New 07/06/24</v>
          </cell>
          <cell r="K5551" t="str">
            <v>KU</v>
          </cell>
          <cell r="L5551" t="str">
            <v>NAMI02</v>
          </cell>
          <cell r="M5551" t="str">
            <v>Namisev Agro Solusi Indonesia, CV</v>
          </cell>
          <cell r="N5551" t="str">
            <v>Namisev Agro Solusi Indonesia, CV</v>
          </cell>
          <cell r="O5551" t="str">
            <v>Jl Tentara Pelajar No. 889 RT.000/RW.000, Sijeruk, Kendal</v>
          </cell>
          <cell r="P5551" t="str">
            <v>Kendal</v>
          </cell>
          <cell r="Q5551" t="str">
            <v>Jl Tentara Pelajar No. 889 RT.000/RW.000, Sijeruk, Kendal</v>
          </cell>
          <cell r="R5551" t="str">
            <v>Kendal</v>
          </cell>
          <cell r="S5551" t="str">
            <v>I Jabar Jateng</v>
          </cell>
          <cell r="T5551" t="str">
            <v>Non SE &amp; JSE</v>
          </cell>
          <cell r="U5551">
            <v>90</v>
          </cell>
        </row>
        <row r="5552">
          <cell r="E5552" t="str">
            <v>B25011151</v>
          </cell>
          <cell r="F5552"/>
          <cell r="G5552">
            <v>5000000000</v>
          </cell>
          <cell r="H5552" t="str">
            <v>Zakia</v>
          </cell>
          <cell r="I5552" t="str">
            <v>Tiya</v>
          </cell>
          <cell r="J5552" t="str">
            <v>New 07/06/24</v>
          </cell>
          <cell r="K5552" t="str">
            <v>KU</v>
          </cell>
          <cell r="L5552" t="str">
            <v>NAMI02</v>
          </cell>
          <cell r="M5552" t="str">
            <v>Namisev Agro Solusi Indonesia, CV</v>
          </cell>
          <cell r="N5552" t="str">
            <v>Namisev Agro Solusi Indonesia, CV</v>
          </cell>
          <cell r="O5552" t="str">
            <v>Jl Tentara Pelajar No. 889 RT.000/RW.000, Sijeruk, Kendal</v>
          </cell>
          <cell r="P5552" t="str">
            <v>Kendal</v>
          </cell>
          <cell r="Q5552" t="str">
            <v>Jl Tentara Pelajar No. 889 RT.000/RW.000, Sijeruk, Kendal</v>
          </cell>
          <cell r="R5552" t="str">
            <v>Kendal</v>
          </cell>
          <cell r="S5552" t="str">
            <v>I Jabar Jateng</v>
          </cell>
          <cell r="T5552" t="str">
            <v>Non SE &amp; JSE</v>
          </cell>
          <cell r="U5552">
            <v>90</v>
          </cell>
        </row>
        <row r="5553">
          <cell r="E5553" t="str">
            <v>D25013656</v>
          </cell>
          <cell r="F5553"/>
          <cell r="G5553">
            <v>5000000000</v>
          </cell>
          <cell r="H5553" t="str">
            <v>Zakia</v>
          </cell>
          <cell r="I5553" t="str">
            <v>Tiya</v>
          </cell>
          <cell r="J5553" t="str">
            <v>New 07/06/24</v>
          </cell>
          <cell r="K5553" t="str">
            <v>KU</v>
          </cell>
          <cell r="L5553" t="str">
            <v>NAMI02</v>
          </cell>
          <cell r="M5553" t="str">
            <v>Namisev Agro Solusi Indonesia, CV</v>
          </cell>
          <cell r="N5553" t="str">
            <v>Namisev Agro Solusi Indonesia, CV</v>
          </cell>
          <cell r="O5553" t="str">
            <v>Jl Tentara Pelajar No. 889 RT.000/RW.000, Sijeruk, Kendal</v>
          </cell>
          <cell r="P5553" t="str">
            <v>Kendal</v>
          </cell>
          <cell r="Q5553" t="str">
            <v>Jl Tentara Pelajar No. 889 RT.000/RW.000, Sijeruk, Kendal</v>
          </cell>
          <cell r="R5553" t="str">
            <v>Kendal</v>
          </cell>
          <cell r="S5553" t="str">
            <v>I Jabar Jateng</v>
          </cell>
          <cell r="T5553" t="str">
            <v>Non SE &amp; JSE</v>
          </cell>
          <cell r="U5553">
            <v>90</v>
          </cell>
        </row>
        <row r="5554">
          <cell r="E5554" t="str">
            <v>D25010333</v>
          </cell>
          <cell r="F5554"/>
          <cell r="G5554">
            <v>60000000</v>
          </cell>
          <cell r="H5554" t="str">
            <v>Reni</v>
          </cell>
          <cell r="I5554" t="str">
            <v>Farida</v>
          </cell>
          <cell r="J5554"/>
          <cell r="K5554" t="str">
            <v>KU</v>
          </cell>
          <cell r="L5554" t="str">
            <v>NAYU01</v>
          </cell>
          <cell r="M5554" t="str">
            <v>Nayunda/Edi</v>
          </cell>
          <cell r="N5554" t="str">
            <v>Edi Handoko</v>
          </cell>
          <cell r="O5554" t="str">
            <v>Dsn. Gundu, RT.02/RW.02, Sumber Gondo Bujiaji</v>
          </cell>
          <cell r="P5554" t="str">
            <v>Batu</v>
          </cell>
          <cell r="Q5554" t="str">
            <v>Dsn. Gundu, RT.02/RW.02, Sumber Gondo Bujiaji</v>
          </cell>
          <cell r="R5554" t="str">
            <v>Batu</v>
          </cell>
          <cell r="S5554" t="str">
            <v>F Utara1</v>
          </cell>
          <cell r="T5554" t="str">
            <v>Tomi</v>
          </cell>
          <cell r="U5554">
            <v>60</v>
          </cell>
        </row>
        <row r="5555">
          <cell r="E5555" t="str">
            <v>B25009175</v>
          </cell>
          <cell r="F5555"/>
          <cell r="G5555">
            <v>60000000</v>
          </cell>
          <cell r="H5555" t="str">
            <v>Reni</v>
          </cell>
          <cell r="I5555" t="str">
            <v>Farida</v>
          </cell>
          <cell r="J5555"/>
          <cell r="K5555" t="str">
            <v>KU</v>
          </cell>
          <cell r="L5555" t="str">
            <v>NAYU01</v>
          </cell>
          <cell r="M5555" t="str">
            <v>Nayunda/Edi</v>
          </cell>
          <cell r="N5555" t="str">
            <v>Edi Handoko</v>
          </cell>
          <cell r="O5555" t="str">
            <v>Dsn. Gundu, RT.02/RW.02, Sumber Gondo Bujiaji</v>
          </cell>
          <cell r="P5555" t="str">
            <v>Batu</v>
          </cell>
          <cell r="Q5555" t="str">
            <v>Dsn. Gundu, RT.02/RW.02, Sumber Gondo Bujiaji</v>
          </cell>
          <cell r="R5555" t="str">
            <v>Batu</v>
          </cell>
          <cell r="S5555" t="str">
            <v>F Utara1</v>
          </cell>
          <cell r="T5555" t="str">
            <v>Tomi</v>
          </cell>
          <cell r="U5555">
            <v>60</v>
          </cell>
        </row>
        <row r="5556">
          <cell r="E5556" t="str">
            <v>B25009175</v>
          </cell>
          <cell r="F5556"/>
          <cell r="G5556">
            <v>60000000</v>
          </cell>
          <cell r="H5556" t="str">
            <v>Reni</v>
          </cell>
          <cell r="I5556" t="str">
            <v>Farida</v>
          </cell>
          <cell r="J5556"/>
          <cell r="K5556" t="str">
            <v>KU</v>
          </cell>
          <cell r="L5556" t="str">
            <v>NAYU01</v>
          </cell>
          <cell r="M5556" t="str">
            <v>Nayunda/Edi</v>
          </cell>
          <cell r="N5556" t="str">
            <v>Edi Handoko</v>
          </cell>
          <cell r="O5556" t="str">
            <v>Dsn. Gundu, RT.02/RW.02, Sumber Gondo Bujiaji</v>
          </cell>
          <cell r="P5556" t="str">
            <v>Batu</v>
          </cell>
          <cell r="Q5556" t="str">
            <v>Dsn. Gundu, RT.02/RW.02, Sumber Gondo Bujiaji</v>
          </cell>
          <cell r="R5556" t="str">
            <v>Batu</v>
          </cell>
          <cell r="S5556" t="str">
            <v>F Utara1</v>
          </cell>
          <cell r="T5556" t="str">
            <v>Tomi</v>
          </cell>
          <cell r="U5556">
            <v>60</v>
          </cell>
        </row>
        <row r="5557">
          <cell r="E5557" t="str">
            <v>T25001160</v>
          </cell>
          <cell r="F5557"/>
          <cell r="G5557">
            <v>60000000</v>
          </cell>
          <cell r="H5557" t="str">
            <v>Reni</v>
          </cell>
          <cell r="I5557" t="str">
            <v>Farida</v>
          </cell>
          <cell r="J5557"/>
          <cell r="K5557" t="str">
            <v>KU</v>
          </cell>
          <cell r="L5557" t="str">
            <v>NAYU01</v>
          </cell>
          <cell r="M5557" t="str">
            <v>Nayunda/Edi</v>
          </cell>
          <cell r="N5557" t="str">
            <v>Edi Handoko</v>
          </cell>
          <cell r="O5557" t="str">
            <v>Dsn. Gundu, RT.02/RW.02, Sumber Gondo Bujiaji</v>
          </cell>
          <cell r="P5557" t="str">
            <v>Batu</v>
          </cell>
          <cell r="Q5557" t="str">
            <v>Dsn. Gundu, RT.02/RW.02, Sumber Gondo Bujiaji</v>
          </cell>
          <cell r="R5557" t="str">
            <v>Batu</v>
          </cell>
          <cell r="S5557" t="str">
            <v>F Utara1</v>
          </cell>
          <cell r="T5557" t="str">
            <v>Tomi</v>
          </cell>
          <cell r="U5557">
            <v>60</v>
          </cell>
        </row>
        <row r="5558">
          <cell r="E5558" t="str">
            <v>B25009697</v>
          </cell>
          <cell r="F5558"/>
          <cell r="G5558">
            <v>60000000</v>
          </cell>
          <cell r="H5558" t="str">
            <v>Reni</v>
          </cell>
          <cell r="I5558" t="str">
            <v>Farida</v>
          </cell>
          <cell r="J5558"/>
          <cell r="K5558" t="str">
            <v>KU</v>
          </cell>
          <cell r="L5558" t="str">
            <v>NAYU01</v>
          </cell>
          <cell r="M5558" t="str">
            <v>Nayunda/Edi</v>
          </cell>
          <cell r="N5558" t="str">
            <v>Edi Handoko</v>
          </cell>
          <cell r="O5558" t="str">
            <v>Dsn. Gundu, RT.02/RW.02, Sumber Gondo Bujiaji</v>
          </cell>
          <cell r="P5558" t="str">
            <v>Batu</v>
          </cell>
          <cell r="Q5558" t="str">
            <v>Dsn. Gundu, RT.02/RW.02, Sumber Gondo Bujiaji</v>
          </cell>
          <cell r="R5558" t="str">
            <v>Batu</v>
          </cell>
          <cell r="S5558" t="str">
            <v>F Utara1</v>
          </cell>
          <cell r="T5558" t="str">
            <v>Tomi</v>
          </cell>
          <cell r="U5558">
            <v>60</v>
          </cell>
        </row>
        <row r="5559">
          <cell r="E5559" t="str">
            <v>B25009897</v>
          </cell>
          <cell r="F5559"/>
          <cell r="G5559">
            <v>60000000</v>
          </cell>
          <cell r="H5559" t="str">
            <v>Reni</v>
          </cell>
          <cell r="I5559" t="str">
            <v>Farida</v>
          </cell>
          <cell r="J5559"/>
          <cell r="K5559" t="str">
            <v>KU</v>
          </cell>
          <cell r="L5559" t="str">
            <v>NAYU01</v>
          </cell>
          <cell r="M5559" t="str">
            <v>Nayunda/Edi</v>
          </cell>
          <cell r="N5559" t="str">
            <v>Edi Handoko</v>
          </cell>
          <cell r="O5559" t="str">
            <v>Dsn. Gundu, RT.02/RW.02, Sumber Gondo Bujiaji</v>
          </cell>
          <cell r="P5559" t="str">
            <v>Batu</v>
          </cell>
          <cell r="Q5559" t="str">
            <v>Dsn. Gundu, RT.02/RW.02, Sumber Gondo Bujiaji</v>
          </cell>
          <cell r="R5559" t="str">
            <v>Batu</v>
          </cell>
          <cell r="S5559" t="str">
            <v>F Utara1</v>
          </cell>
          <cell r="T5559" t="str">
            <v>Tomi</v>
          </cell>
          <cell r="U5559">
            <v>60</v>
          </cell>
        </row>
        <row r="5560">
          <cell r="E5560" t="str">
            <v>B25011213</v>
          </cell>
          <cell r="F5560"/>
          <cell r="G5560">
            <v>60000000</v>
          </cell>
          <cell r="H5560" t="str">
            <v>Reni</v>
          </cell>
          <cell r="I5560" t="str">
            <v>Farida</v>
          </cell>
          <cell r="J5560"/>
          <cell r="K5560" t="str">
            <v>KU</v>
          </cell>
          <cell r="L5560" t="str">
            <v>NAYU01</v>
          </cell>
          <cell r="M5560" t="str">
            <v>Nayunda/Edi</v>
          </cell>
          <cell r="N5560" t="str">
            <v>Edi Handoko</v>
          </cell>
          <cell r="O5560" t="str">
            <v>Dsn. Gundu, RT.02/RW.02, Sumber Gondo Bujiaji</v>
          </cell>
          <cell r="P5560" t="str">
            <v>Batu</v>
          </cell>
          <cell r="Q5560" t="str">
            <v>Dsn. Gundu, RT.02/RW.02, Sumber Gondo Bujiaji</v>
          </cell>
          <cell r="R5560" t="str">
            <v>Batu</v>
          </cell>
          <cell r="S5560" t="str">
            <v>F Utara1</v>
          </cell>
          <cell r="T5560" t="str">
            <v>Tomi</v>
          </cell>
          <cell r="U5560">
            <v>60</v>
          </cell>
        </row>
        <row r="5561">
          <cell r="E5561" t="str">
            <v>T25001348</v>
          </cell>
          <cell r="F5561"/>
          <cell r="G5561">
            <v>60000000</v>
          </cell>
          <cell r="H5561" t="str">
            <v>Reni</v>
          </cell>
          <cell r="I5561" t="str">
            <v>Farida</v>
          </cell>
          <cell r="J5561"/>
          <cell r="K5561" t="str">
            <v>KU</v>
          </cell>
          <cell r="L5561" t="str">
            <v>NAYU01</v>
          </cell>
          <cell r="M5561" t="str">
            <v>Nayunda/Edi</v>
          </cell>
          <cell r="N5561" t="str">
            <v>Edi Handoko</v>
          </cell>
          <cell r="O5561" t="str">
            <v>Dsn. Gundu, RT.02/RW.02, Sumber Gondo Bujiaji</v>
          </cell>
          <cell r="P5561" t="str">
            <v>Batu</v>
          </cell>
          <cell r="Q5561" t="str">
            <v>Dsn. Gundu, RT.02/RW.02, Sumber Gondo Bujiaji</v>
          </cell>
          <cell r="R5561" t="str">
            <v>Batu</v>
          </cell>
          <cell r="S5561" t="str">
            <v>F Utara1</v>
          </cell>
          <cell r="T5561" t="str">
            <v>Tomi</v>
          </cell>
          <cell r="U5561">
            <v>60</v>
          </cell>
        </row>
        <row r="5562">
          <cell r="E5562" t="str">
            <v>D25015546</v>
          </cell>
          <cell r="F5562"/>
          <cell r="G5562">
            <v>60000000</v>
          </cell>
          <cell r="H5562" t="str">
            <v>Reni</v>
          </cell>
          <cell r="I5562" t="str">
            <v>Farida</v>
          </cell>
          <cell r="J5562"/>
          <cell r="K5562" t="str">
            <v>KU</v>
          </cell>
          <cell r="L5562" t="str">
            <v>NAYU01</v>
          </cell>
          <cell r="M5562" t="str">
            <v>Nayunda/Edi</v>
          </cell>
          <cell r="N5562" t="str">
            <v>Edi Handoko</v>
          </cell>
          <cell r="O5562" t="str">
            <v>Dsn. Gundu, RT.02/RW.02, Sumber Gondo Bujiaji</v>
          </cell>
          <cell r="P5562" t="str">
            <v>Batu</v>
          </cell>
          <cell r="Q5562" t="str">
            <v>Dsn. Gundu, RT.02/RW.02, Sumber Gondo Bujiaji</v>
          </cell>
          <cell r="R5562" t="str">
            <v>Batu</v>
          </cell>
          <cell r="S5562" t="str">
            <v>F Utara1</v>
          </cell>
          <cell r="T5562" t="str">
            <v>Tomi</v>
          </cell>
          <cell r="U5562">
            <v>60</v>
          </cell>
        </row>
        <row r="5563">
          <cell r="E5563" t="str">
            <v>T25001555</v>
          </cell>
          <cell r="F5563"/>
          <cell r="G5563">
            <v>60000000</v>
          </cell>
          <cell r="H5563" t="str">
            <v>Reni</v>
          </cell>
          <cell r="I5563" t="str">
            <v>Farida</v>
          </cell>
          <cell r="J5563"/>
          <cell r="K5563" t="str">
            <v>KU</v>
          </cell>
          <cell r="L5563" t="str">
            <v>NAYU01</v>
          </cell>
          <cell r="M5563" t="str">
            <v>Nayunda/Edi</v>
          </cell>
          <cell r="N5563" t="str">
            <v>Edi Handoko</v>
          </cell>
          <cell r="O5563" t="str">
            <v>Dsn. Gundu, RT.02/RW.02, Sumber Gondo Bujiaji</v>
          </cell>
          <cell r="P5563" t="str">
            <v>Batu</v>
          </cell>
          <cell r="Q5563" t="str">
            <v>Dsn. Gundu, RT.02/RW.02, Sumber Gondo Bujiaji</v>
          </cell>
          <cell r="R5563" t="str">
            <v>Batu</v>
          </cell>
          <cell r="S5563" t="str">
            <v>F Utara1</v>
          </cell>
          <cell r="T5563" t="str">
            <v>Tomi</v>
          </cell>
          <cell r="U5563">
            <v>60</v>
          </cell>
        </row>
        <row r="5564">
          <cell r="E5564" t="str">
            <v>B25013806</v>
          </cell>
          <cell r="F5564"/>
          <cell r="G5564">
            <v>10000000</v>
          </cell>
          <cell r="H5564" t="str">
            <v>Yuyun</v>
          </cell>
          <cell r="I5564" t="str">
            <v>Farida</v>
          </cell>
          <cell r="J5564"/>
          <cell r="K5564" t="str">
            <v>Lobi</v>
          </cell>
          <cell r="L5564" t="str">
            <v>NNAL01</v>
          </cell>
          <cell r="M5564" t="str">
            <v>NN Ali Moertopo</v>
          </cell>
          <cell r="N5564" t="str">
            <v>Ali Moertopo</v>
          </cell>
          <cell r="O5564" t="str">
            <v>Jember</v>
          </cell>
          <cell r="P5564" t="str">
            <v>Jember</v>
          </cell>
          <cell r="Q5564" t="str">
            <v>Jember</v>
          </cell>
          <cell r="R5564" t="str">
            <v>Jember</v>
          </cell>
          <cell r="S5564" t="str">
            <v>L Kota1</v>
          </cell>
          <cell r="T5564" t="str">
            <v>Wira</v>
          </cell>
          <cell r="U5564">
            <v>0</v>
          </cell>
        </row>
        <row r="5565">
          <cell r="E5565" t="str">
            <v>A25001951</v>
          </cell>
          <cell r="F5565"/>
          <cell r="G5565">
            <v>10000000</v>
          </cell>
          <cell r="H5565" t="str">
            <v>Yuyun</v>
          </cell>
          <cell r="I5565" t="str">
            <v>Farida</v>
          </cell>
          <cell r="J5565"/>
          <cell r="K5565" t="str">
            <v>Lobi</v>
          </cell>
          <cell r="L5565" t="str">
            <v>NNAM01</v>
          </cell>
          <cell r="M5565" t="str">
            <v>NN Amirul</v>
          </cell>
          <cell r="N5565" t="str">
            <v>Amirul</v>
          </cell>
          <cell r="O5565" t="str">
            <v>Jember</v>
          </cell>
          <cell r="P5565" t="str">
            <v>Jember</v>
          </cell>
          <cell r="Q5565" t="str">
            <v>Jember</v>
          </cell>
          <cell r="R5565" t="str">
            <v>Jember</v>
          </cell>
          <cell r="S5565" t="str">
            <v>L Kota1</v>
          </cell>
          <cell r="T5565" t="str">
            <v>Wira</v>
          </cell>
          <cell r="U5565">
            <v>0</v>
          </cell>
        </row>
        <row r="5566">
          <cell r="E5566" t="str">
            <v>A25001977</v>
          </cell>
          <cell r="F5566"/>
          <cell r="G5566">
            <v>10000000</v>
          </cell>
          <cell r="H5566" t="str">
            <v>Yuyun</v>
          </cell>
          <cell r="I5566" t="str">
            <v>Farida</v>
          </cell>
          <cell r="J5566"/>
          <cell r="K5566" t="str">
            <v>Lobi</v>
          </cell>
          <cell r="L5566" t="str">
            <v>NNAM01</v>
          </cell>
          <cell r="M5566" t="str">
            <v>NN Amirul</v>
          </cell>
          <cell r="N5566" t="str">
            <v>Amirul</v>
          </cell>
          <cell r="O5566" t="str">
            <v>Jember</v>
          </cell>
          <cell r="P5566" t="str">
            <v>Jember</v>
          </cell>
          <cell r="Q5566" t="str">
            <v>Jember</v>
          </cell>
          <cell r="R5566" t="str">
            <v>Jember</v>
          </cell>
          <cell r="S5566" t="str">
            <v>L Kota1</v>
          </cell>
          <cell r="T5566" t="str">
            <v>Wira</v>
          </cell>
          <cell r="U5566">
            <v>0</v>
          </cell>
        </row>
        <row r="5567">
          <cell r="E5567" t="str">
            <v>A25001995</v>
          </cell>
          <cell r="F5567"/>
          <cell r="G5567">
            <v>10000000</v>
          </cell>
          <cell r="H5567" t="str">
            <v>Yuyun</v>
          </cell>
          <cell r="I5567" t="str">
            <v>Farida</v>
          </cell>
          <cell r="J5567"/>
          <cell r="K5567" t="str">
            <v>Lobi</v>
          </cell>
          <cell r="L5567" t="str">
            <v>NNAM01</v>
          </cell>
          <cell r="M5567" t="str">
            <v>NN Amirul</v>
          </cell>
          <cell r="N5567" t="str">
            <v>Amirul</v>
          </cell>
          <cell r="O5567" t="str">
            <v>Jember</v>
          </cell>
          <cell r="P5567" t="str">
            <v>Jember</v>
          </cell>
          <cell r="Q5567" t="str">
            <v>Jember</v>
          </cell>
          <cell r="R5567" t="str">
            <v>Jember</v>
          </cell>
          <cell r="S5567" t="str">
            <v>L Kota1</v>
          </cell>
          <cell r="T5567" t="str">
            <v>Wira</v>
          </cell>
          <cell r="U5567">
            <v>0</v>
          </cell>
        </row>
        <row r="5568">
          <cell r="E5568" t="str">
            <v>C25000830</v>
          </cell>
          <cell r="F5568"/>
          <cell r="G5568">
            <v>10000000</v>
          </cell>
          <cell r="H5568" t="str">
            <v>Yuyun</v>
          </cell>
          <cell r="I5568" t="str">
            <v>Farida</v>
          </cell>
          <cell r="J5568"/>
          <cell r="K5568" t="str">
            <v>Lobi</v>
          </cell>
          <cell r="L5568" t="str">
            <v>NNAM01</v>
          </cell>
          <cell r="M5568" t="str">
            <v>NN Amirul</v>
          </cell>
          <cell r="N5568" t="str">
            <v>Amirul</v>
          </cell>
          <cell r="O5568" t="str">
            <v>Jember</v>
          </cell>
          <cell r="P5568" t="str">
            <v>Jember</v>
          </cell>
          <cell r="Q5568" t="str">
            <v>Jember</v>
          </cell>
          <cell r="R5568" t="str">
            <v>Jember</v>
          </cell>
          <cell r="S5568" t="str">
            <v>L Kota1</v>
          </cell>
          <cell r="T5568" t="str">
            <v>Wira</v>
          </cell>
          <cell r="U5568">
            <v>0</v>
          </cell>
        </row>
        <row r="5569">
          <cell r="E5569" t="str">
            <v>C25000856</v>
          </cell>
          <cell r="F5569"/>
          <cell r="G5569">
            <v>10000000</v>
          </cell>
          <cell r="H5569" t="str">
            <v>Yuyun</v>
          </cell>
          <cell r="I5569" t="str">
            <v>Farida</v>
          </cell>
          <cell r="J5569"/>
          <cell r="K5569" t="str">
            <v>Lobi</v>
          </cell>
          <cell r="L5569" t="str">
            <v>NNAM01</v>
          </cell>
          <cell r="M5569" t="str">
            <v>NN Amirul</v>
          </cell>
          <cell r="N5569" t="str">
            <v>Amirul</v>
          </cell>
          <cell r="O5569" t="str">
            <v>Jember</v>
          </cell>
          <cell r="P5569" t="str">
            <v>Jember</v>
          </cell>
          <cell r="Q5569" t="str">
            <v>Jember</v>
          </cell>
          <cell r="R5569" t="str">
            <v>Jember</v>
          </cell>
          <cell r="S5569" t="str">
            <v>L Kota1</v>
          </cell>
          <cell r="T5569" t="str">
            <v>Wira</v>
          </cell>
          <cell r="U5569">
            <v>0</v>
          </cell>
        </row>
        <row r="5570">
          <cell r="E5570" t="str">
            <v>C25000809</v>
          </cell>
          <cell r="F5570"/>
          <cell r="G5570">
            <v>10000000</v>
          </cell>
          <cell r="H5570" t="str">
            <v>Yuyun</v>
          </cell>
          <cell r="I5570" t="str">
            <v>Farida</v>
          </cell>
          <cell r="J5570"/>
          <cell r="K5570" t="str">
            <v>Lobi</v>
          </cell>
          <cell r="L5570" t="str">
            <v>NNAS01</v>
          </cell>
          <cell r="M5570" t="str">
            <v>NN Asida</v>
          </cell>
          <cell r="N5570" t="str">
            <v>Asida</v>
          </cell>
          <cell r="O5570" t="str">
            <v>Jember</v>
          </cell>
          <cell r="P5570" t="str">
            <v>Jember</v>
          </cell>
          <cell r="Q5570" t="str">
            <v>Jember</v>
          </cell>
          <cell r="R5570" t="str">
            <v>Jember</v>
          </cell>
          <cell r="S5570" t="str">
            <v>L Kota1</v>
          </cell>
          <cell r="T5570" t="str">
            <v>Wira</v>
          </cell>
          <cell r="U5570">
            <v>0</v>
          </cell>
        </row>
        <row r="5571">
          <cell r="E5571" t="str">
            <v>A25001996</v>
          </cell>
          <cell r="F5571"/>
          <cell r="G5571">
            <v>10000000</v>
          </cell>
          <cell r="H5571" t="str">
            <v>Yuyun</v>
          </cell>
          <cell r="I5571" t="str">
            <v>Farida</v>
          </cell>
          <cell r="J5571"/>
          <cell r="K5571" t="str">
            <v>Lobi</v>
          </cell>
          <cell r="L5571" t="str">
            <v>NNAS01</v>
          </cell>
          <cell r="M5571" t="str">
            <v>NN Asida</v>
          </cell>
          <cell r="N5571" t="str">
            <v>Asida</v>
          </cell>
          <cell r="O5571" t="str">
            <v>Jember</v>
          </cell>
          <cell r="P5571" t="str">
            <v>Jember</v>
          </cell>
          <cell r="Q5571" t="str">
            <v>Jember</v>
          </cell>
          <cell r="R5571" t="str">
            <v>Jember</v>
          </cell>
          <cell r="S5571" t="str">
            <v>L Kota1</v>
          </cell>
          <cell r="T5571" t="str">
            <v>Wira</v>
          </cell>
          <cell r="U5571">
            <v>0</v>
          </cell>
        </row>
        <row r="5572">
          <cell r="E5572" t="str">
            <v>D25015474</v>
          </cell>
          <cell r="F5572"/>
          <cell r="G5572">
            <v>10000000</v>
          </cell>
          <cell r="H5572" t="str">
            <v>Yuyun</v>
          </cell>
          <cell r="I5572" t="str">
            <v>Farida</v>
          </cell>
          <cell r="J5572"/>
          <cell r="K5572" t="str">
            <v>Lobi</v>
          </cell>
          <cell r="L5572" t="str">
            <v>NNAS01</v>
          </cell>
          <cell r="M5572" t="str">
            <v>NN Asida</v>
          </cell>
          <cell r="N5572" t="str">
            <v>Asida</v>
          </cell>
          <cell r="O5572" t="str">
            <v>Jember</v>
          </cell>
          <cell r="P5572" t="str">
            <v>Jember</v>
          </cell>
          <cell r="Q5572" t="str">
            <v>Jember</v>
          </cell>
          <cell r="R5572" t="str">
            <v>Jember</v>
          </cell>
          <cell r="S5572" t="str">
            <v>L Kota1</v>
          </cell>
          <cell r="T5572" t="str">
            <v>Wira</v>
          </cell>
          <cell r="U5572">
            <v>0</v>
          </cell>
        </row>
        <row r="5573">
          <cell r="E5573" t="str">
            <v>C25000843</v>
          </cell>
          <cell r="F5573"/>
          <cell r="G5573">
            <v>10000000</v>
          </cell>
          <cell r="H5573" t="str">
            <v>Yuyun</v>
          </cell>
          <cell r="I5573" t="str">
            <v>Farida</v>
          </cell>
          <cell r="J5573"/>
          <cell r="K5573" t="str">
            <v>Lobi</v>
          </cell>
          <cell r="L5573" t="str">
            <v>NNAS01</v>
          </cell>
          <cell r="M5573" t="str">
            <v>NN Asida</v>
          </cell>
          <cell r="N5573" t="str">
            <v>Asida</v>
          </cell>
          <cell r="O5573" t="str">
            <v>Jember</v>
          </cell>
          <cell r="P5573" t="str">
            <v>Jember</v>
          </cell>
          <cell r="Q5573" t="str">
            <v>Jember</v>
          </cell>
          <cell r="R5573" t="str">
            <v>Jember</v>
          </cell>
          <cell r="S5573" t="str">
            <v>L Kota1</v>
          </cell>
          <cell r="T5573" t="str">
            <v>Wira</v>
          </cell>
          <cell r="U5573">
            <v>0</v>
          </cell>
        </row>
        <row r="5574">
          <cell r="E5574" t="str">
            <v>C25000864</v>
          </cell>
          <cell r="F5574"/>
          <cell r="G5574">
            <v>10000000</v>
          </cell>
          <cell r="H5574" t="str">
            <v>Yuyun</v>
          </cell>
          <cell r="I5574" t="str">
            <v>Farida</v>
          </cell>
          <cell r="J5574"/>
          <cell r="K5574" t="str">
            <v>Lobi</v>
          </cell>
          <cell r="L5574" t="str">
            <v>NNAS01</v>
          </cell>
          <cell r="M5574" t="str">
            <v>NN Asida</v>
          </cell>
          <cell r="N5574" t="str">
            <v>Asida</v>
          </cell>
          <cell r="O5574" t="str">
            <v>Jember</v>
          </cell>
          <cell r="P5574" t="str">
            <v>Jember</v>
          </cell>
          <cell r="Q5574" t="str">
            <v>Jember</v>
          </cell>
          <cell r="R5574" t="str">
            <v>Jember</v>
          </cell>
          <cell r="S5574" t="str">
            <v>L Kota1</v>
          </cell>
          <cell r="T5574" t="str">
            <v>Wira</v>
          </cell>
          <cell r="U5574">
            <v>0</v>
          </cell>
        </row>
        <row r="5575">
          <cell r="E5575" t="str">
            <v>C25000899</v>
          </cell>
          <cell r="F5575"/>
          <cell r="G5575">
            <v>10000000</v>
          </cell>
          <cell r="H5575" t="str">
            <v>Yuyun</v>
          </cell>
          <cell r="I5575" t="str">
            <v>Farida</v>
          </cell>
          <cell r="J5575"/>
          <cell r="K5575" t="str">
            <v>Lobi</v>
          </cell>
          <cell r="L5575" t="str">
            <v>NNAS01</v>
          </cell>
          <cell r="M5575" t="str">
            <v>NN Asida</v>
          </cell>
          <cell r="N5575" t="str">
            <v>Asida</v>
          </cell>
          <cell r="O5575" t="str">
            <v>Jember</v>
          </cell>
          <cell r="P5575" t="str">
            <v>Jember</v>
          </cell>
          <cell r="Q5575" t="str">
            <v>Jember</v>
          </cell>
          <cell r="R5575" t="str">
            <v>Jember</v>
          </cell>
          <cell r="S5575" t="str">
            <v>L Kota1</v>
          </cell>
          <cell r="T5575" t="str">
            <v>Wira</v>
          </cell>
          <cell r="U5575">
            <v>0</v>
          </cell>
        </row>
        <row r="5576">
          <cell r="E5576" t="str">
            <v>C25000815</v>
          </cell>
          <cell r="F5576"/>
          <cell r="G5576">
            <v>10000000</v>
          </cell>
          <cell r="H5576" t="str">
            <v>Yuyun</v>
          </cell>
          <cell r="I5576" t="str">
            <v>Farida</v>
          </cell>
          <cell r="J5576"/>
          <cell r="K5576" t="str">
            <v>Lobi</v>
          </cell>
          <cell r="L5576" t="str">
            <v>NNAS02</v>
          </cell>
          <cell r="M5576" t="str">
            <v>NN Asparin</v>
          </cell>
          <cell r="N5576" t="str">
            <v>Asparin</v>
          </cell>
          <cell r="O5576" t="str">
            <v>Jember</v>
          </cell>
          <cell r="P5576" t="str">
            <v>Jember</v>
          </cell>
          <cell r="Q5576" t="str">
            <v>Jember</v>
          </cell>
          <cell r="R5576" t="str">
            <v>Jember</v>
          </cell>
          <cell r="S5576" t="str">
            <v>L Kota1</v>
          </cell>
          <cell r="T5576" t="str">
            <v>Wira</v>
          </cell>
          <cell r="U5576">
            <v>0</v>
          </cell>
        </row>
        <row r="5577">
          <cell r="E5577" t="str">
            <v>A25001997</v>
          </cell>
          <cell r="F5577"/>
          <cell r="G5577">
            <v>10000000</v>
          </cell>
          <cell r="H5577" t="str">
            <v>Yuyun</v>
          </cell>
          <cell r="I5577" t="str">
            <v>Farida</v>
          </cell>
          <cell r="J5577"/>
          <cell r="K5577" t="str">
            <v>Lobi</v>
          </cell>
          <cell r="L5577" t="str">
            <v>NNAS02</v>
          </cell>
          <cell r="M5577" t="str">
            <v>NN Asparin</v>
          </cell>
          <cell r="N5577" t="str">
            <v>Asparin</v>
          </cell>
          <cell r="O5577" t="str">
            <v>Jember</v>
          </cell>
          <cell r="P5577" t="str">
            <v>Jember</v>
          </cell>
          <cell r="Q5577" t="str">
            <v>Jember</v>
          </cell>
          <cell r="R5577" t="str">
            <v>Jember</v>
          </cell>
          <cell r="S5577" t="str">
            <v>L Kota1</v>
          </cell>
          <cell r="T5577" t="str">
            <v>Wira</v>
          </cell>
          <cell r="U5577">
            <v>0</v>
          </cell>
        </row>
        <row r="5578">
          <cell r="E5578" t="str">
            <v>A25002024</v>
          </cell>
          <cell r="F5578"/>
          <cell r="G5578">
            <v>10000000</v>
          </cell>
          <cell r="H5578" t="str">
            <v>Yuyun</v>
          </cell>
          <cell r="I5578" t="str">
            <v>Farida</v>
          </cell>
          <cell r="J5578"/>
          <cell r="K5578" t="str">
            <v>Lobi</v>
          </cell>
          <cell r="L5578" t="str">
            <v>NNAS02</v>
          </cell>
          <cell r="M5578" t="str">
            <v>NN Asparin</v>
          </cell>
          <cell r="N5578" t="str">
            <v>Asparin</v>
          </cell>
          <cell r="O5578" t="str">
            <v>Jember</v>
          </cell>
          <cell r="P5578" t="str">
            <v>Jember</v>
          </cell>
          <cell r="Q5578" t="str">
            <v>Jember</v>
          </cell>
          <cell r="R5578" t="str">
            <v>Jember</v>
          </cell>
          <cell r="S5578" t="str">
            <v>L Kota1</v>
          </cell>
          <cell r="T5578" t="str">
            <v>Wira</v>
          </cell>
          <cell r="U5578">
            <v>0</v>
          </cell>
        </row>
        <row r="5579">
          <cell r="E5579" t="str">
            <v>C25000870</v>
          </cell>
          <cell r="F5579"/>
          <cell r="G5579">
            <v>10000000</v>
          </cell>
          <cell r="H5579" t="str">
            <v>Yuyun</v>
          </cell>
          <cell r="I5579" t="str">
            <v>Farida</v>
          </cell>
          <cell r="J5579"/>
          <cell r="K5579" t="str">
            <v>Lobi</v>
          </cell>
          <cell r="L5579" t="str">
            <v>NNAS02</v>
          </cell>
          <cell r="M5579" t="str">
            <v>NN Asparin</v>
          </cell>
          <cell r="N5579" t="str">
            <v>Asparin</v>
          </cell>
          <cell r="O5579" t="str">
            <v>Jember</v>
          </cell>
          <cell r="P5579" t="str">
            <v>Jember</v>
          </cell>
          <cell r="Q5579" t="str">
            <v>Jember</v>
          </cell>
          <cell r="R5579" t="str">
            <v>Jember</v>
          </cell>
          <cell r="S5579" t="str">
            <v>L Kota1</v>
          </cell>
          <cell r="T5579" t="str">
            <v>Wira</v>
          </cell>
          <cell r="U5579">
            <v>0</v>
          </cell>
        </row>
        <row r="5580">
          <cell r="E5580" t="str">
            <v>C25000808</v>
          </cell>
          <cell r="F5580"/>
          <cell r="G5580">
            <v>10000000</v>
          </cell>
          <cell r="H5580" t="str">
            <v>Yuyun</v>
          </cell>
          <cell r="I5580" t="str">
            <v>Farida</v>
          </cell>
          <cell r="J5580"/>
          <cell r="K5580" t="str">
            <v>Lobi</v>
          </cell>
          <cell r="L5580" t="str">
            <v>NNBA01</v>
          </cell>
          <cell r="M5580" t="str">
            <v>NN Bahrawi</v>
          </cell>
          <cell r="N5580" t="str">
            <v>Bahrawi</v>
          </cell>
          <cell r="O5580" t="str">
            <v>Jember</v>
          </cell>
          <cell r="P5580" t="str">
            <v>Jember</v>
          </cell>
          <cell r="Q5580" t="str">
            <v>Jember</v>
          </cell>
          <cell r="R5580" t="str">
            <v>Jember</v>
          </cell>
          <cell r="S5580" t="str">
            <v>L Kota1</v>
          </cell>
          <cell r="T5580" t="str">
            <v>Wira</v>
          </cell>
          <cell r="U5580">
            <v>0</v>
          </cell>
        </row>
        <row r="5581">
          <cell r="E5581" t="str">
            <v>C25000850</v>
          </cell>
          <cell r="F5581"/>
          <cell r="G5581">
            <v>10000000</v>
          </cell>
          <cell r="H5581" t="str">
            <v>Yuyun</v>
          </cell>
          <cell r="I5581" t="str">
            <v>Farida</v>
          </cell>
          <cell r="J5581"/>
          <cell r="K5581" t="str">
            <v>Lobi</v>
          </cell>
          <cell r="L5581" t="str">
            <v>NNBA01</v>
          </cell>
          <cell r="M5581" t="str">
            <v>NN Bahrawi</v>
          </cell>
          <cell r="N5581" t="str">
            <v>Bahrawi</v>
          </cell>
          <cell r="O5581" t="str">
            <v>Jember</v>
          </cell>
          <cell r="P5581" t="str">
            <v>Jember</v>
          </cell>
          <cell r="Q5581" t="str">
            <v>Jember</v>
          </cell>
          <cell r="R5581" t="str">
            <v>Jember</v>
          </cell>
          <cell r="S5581" t="str">
            <v>L Kota1</v>
          </cell>
          <cell r="T5581" t="str">
            <v>Wira</v>
          </cell>
          <cell r="U5581">
            <v>0</v>
          </cell>
        </row>
        <row r="5582">
          <cell r="E5582" t="str">
            <v>C25000861</v>
          </cell>
          <cell r="F5582"/>
          <cell r="G5582">
            <v>10000000</v>
          </cell>
          <cell r="H5582" t="str">
            <v>Yuyun</v>
          </cell>
          <cell r="I5582" t="str">
            <v>Farida</v>
          </cell>
          <cell r="J5582"/>
          <cell r="K5582" t="str">
            <v>Lobi</v>
          </cell>
          <cell r="L5582" t="str">
            <v>NNBA01</v>
          </cell>
          <cell r="M5582" t="str">
            <v>NN Bahrawi</v>
          </cell>
          <cell r="N5582" t="str">
            <v>Bahrawi</v>
          </cell>
          <cell r="O5582" t="str">
            <v>Jember</v>
          </cell>
          <cell r="P5582" t="str">
            <v>Jember</v>
          </cell>
          <cell r="Q5582" t="str">
            <v>Jember</v>
          </cell>
          <cell r="R5582" t="str">
            <v>Jember</v>
          </cell>
          <cell r="S5582" t="str">
            <v>L Kota1</v>
          </cell>
          <cell r="T5582" t="str">
            <v>Wira</v>
          </cell>
          <cell r="U5582">
            <v>0</v>
          </cell>
        </row>
        <row r="5583">
          <cell r="E5583" t="str">
            <v>C25000847</v>
          </cell>
          <cell r="F5583"/>
          <cell r="G5583">
            <v>10000000</v>
          </cell>
          <cell r="H5583" t="str">
            <v>Yuyun</v>
          </cell>
          <cell r="I5583" t="str">
            <v>Farida</v>
          </cell>
          <cell r="J5583"/>
          <cell r="K5583" t="str">
            <v>Lobi</v>
          </cell>
          <cell r="L5583" t="str">
            <v>NNBA02</v>
          </cell>
          <cell r="M5583" t="str">
            <v>NN Bahrul</v>
          </cell>
          <cell r="N5583" t="str">
            <v>Bahrul</v>
          </cell>
          <cell r="O5583" t="str">
            <v>Jember</v>
          </cell>
          <cell r="P5583" t="str">
            <v>Jember</v>
          </cell>
          <cell r="Q5583" t="str">
            <v>Jember</v>
          </cell>
          <cell r="R5583" t="str">
            <v>Jember</v>
          </cell>
          <cell r="S5583" t="str">
            <v>L Kota1</v>
          </cell>
          <cell r="T5583" t="str">
            <v>Wira</v>
          </cell>
          <cell r="U5583">
            <v>0</v>
          </cell>
        </row>
        <row r="5584">
          <cell r="E5584" t="str">
            <v>C25000874</v>
          </cell>
          <cell r="F5584"/>
          <cell r="G5584">
            <v>10000000</v>
          </cell>
          <cell r="H5584" t="str">
            <v>Yuyun</v>
          </cell>
          <cell r="I5584" t="str">
            <v>Farida</v>
          </cell>
          <cell r="J5584"/>
          <cell r="K5584" t="str">
            <v>Lobi</v>
          </cell>
          <cell r="L5584" t="str">
            <v>NNBA02</v>
          </cell>
          <cell r="M5584" t="str">
            <v>NN Bahrul</v>
          </cell>
          <cell r="N5584" t="str">
            <v>Bahrul</v>
          </cell>
          <cell r="O5584" t="str">
            <v>Jember</v>
          </cell>
          <cell r="P5584" t="str">
            <v>Jember</v>
          </cell>
          <cell r="Q5584" t="str">
            <v>Jember</v>
          </cell>
          <cell r="R5584" t="str">
            <v>Jember</v>
          </cell>
          <cell r="S5584" t="str">
            <v>L Kota1</v>
          </cell>
          <cell r="T5584" t="str">
            <v>Wira</v>
          </cell>
          <cell r="U5584">
            <v>0</v>
          </cell>
        </row>
        <row r="5585">
          <cell r="E5585" t="str">
            <v>C25000886</v>
          </cell>
          <cell r="F5585"/>
          <cell r="G5585">
            <v>10000000</v>
          </cell>
          <cell r="H5585" t="str">
            <v>Yuyun</v>
          </cell>
          <cell r="I5585" t="str">
            <v>Farida</v>
          </cell>
          <cell r="J5585"/>
          <cell r="K5585" t="str">
            <v>Lobi</v>
          </cell>
          <cell r="L5585" t="str">
            <v>NNBA02</v>
          </cell>
          <cell r="M5585" t="str">
            <v>NN Bahrul</v>
          </cell>
          <cell r="N5585" t="str">
            <v>Bahrul</v>
          </cell>
          <cell r="O5585" t="str">
            <v>Jember</v>
          </cell>
          <cell r="P5585" t="str">
            <v>Jember</v>
          </cell>
          <cell r="Q5585" t="str">
            <v>Jember</v>
          </cell>
          <cell r="R5585" t="str">
            <v>Jember</v>
          </cell>
          <cell r="S5585" t="str">
            <v>L Kota1</v>
          </cell>
          <cell r="T5585" t="str">
            <v>Wira</v>
          </cell>
          <cell r="U5585">
            <v>0</v>
          </cell>
        </row>
        <row r="5586">
          <cell r="E5586" t="str">
            <v>C25000804</v>
          </cell>
          <cell r="F5586"/>
          <cell r="G5586">
            <v>10000000</v>
          </cell>
          <cell r="H5586" t="str">
            <v>Yuyun</v>
          </cell>
          <cell r="I5586" t="str">
            <v>Farida</v>
          </cell>
          <cell r="J5586"/>
          <cell r="K5586" t="str">
            <v>Lobi</v>
          </cell>
          <cell r="L5586" t="str">
            <v>NNBI01</v>
          </cell>
          <cell r="M5586" t="str">
            <v>NN Biyanto</v>
          </cell>
          <cell r="N5586" t="str">
            <v>Biyanto</v>
          </cell>
          <cell r="O5586" t="str">
            <v>Jember</v>
          </cell>
          <cell r="P5586" t="str">
            <v>Jember</v>
          </cell>
          <cell r="Q5586" t="str">
            <v>Jember</v>
          </cell>
          <cell r="R5586" t="str">
            <v>Jember</v>
          </cell>
          <cell r="S5586" t="str">
            <v>L Kota1</v>
          </cell>
          <cell r="T5586" t="str">
            <v>Wira</v>
          </cell>
          <cell r="U5586">
            <v>0</v>
          </cell>
        </row>
        <row r="5587">
          <cell r="E5587" t="str">
            <v>C25000812</v>
          </cell>
          <cell r="F5587"/>
          <cell r="G5587">
            <v>10000000</v>
          </cell>
          <cell r="H5587" t="str">
            <v>Yuyun</v>
          </cell>
          <cell r="I5587" t="str">
            <v>Farida</v>
          </cell>
          <cell r="J5587"/>
          <cell r="K5587" t="str">
            <v>Lobi</v>
          </cell>
          <cell r="L5587" t="str">
            <v>NNBI01</v>
          </cell>
          <cell r="M5587" t="str">
            <v>NN Biyanto</v>
          </cell>
          <cell r="N5587" t="str">
            <v>Biyanto</v>
          </cell>
          <cell r="O5587" t="str">
            <v>Jember</v>
          </cell>
          <cell r="P5587" t="str">
            <v>Jember</v>
          </cell>
          <cell r="Q5587" t="str">
            <v>Jember</v>
          </cell>
          <cell r="R5587" t="str">
            <v>Jember</v>
          </cell>
          <cell r="S5587" t="str">
            <v>L Kota1</v>
          </cell>
          <cell r="T5587" t="str">
            <v>Wira</v>
          </cell>
          <cell r="U5587">
            <v>0</v>
          </cell>
        </row>
        <row r="5588">
          <cell r="E5588" t="str">
            <v>C25000832</v>
          </cell>
          <cell r="F5588"/>
          <cell r="G5588">
            <v>10000000</v>
          </cell>
          <cell r="H5588" t="str">
            <v>Yuyun</v>
          </cell>
          <cell r="I5588" t="str">
            <v>Farida</v>
          </cell>
          <cell r="J5588"/>
          <cell r="K5588" t="str">
            <v>Lobi</v>
          </cell>
          <cell r="L5588" t="str">
            <v>NNBI01</v>
          </cell>
          <cell r="M5588" t="str">
            <v>NN Biyanto</v>
          </cell>
          <cell r="N5588" t="str">
            <v>Biyanto</v>
          </cell>
          <cell r="O5588" t="str">
            <v>Jember</v>
          </cell>
          <cell r="P5588" t="str">
            <v>Jember</v>
          </cell>
          <cell r="Q5588" t="str">
            <v>Jember</v>
          </cell>
          <cell r="R5588" t="str">
            <v>Jember</v>
          </cell>
          <cell r="S5588" t="str">
            <v>L Kota1</v>
          </cell>
          <cell r="T5588" t="str">
            <v>Wira</v>
          </cell>
          <cell r="U5588">
            <v>0</v>
          </cell>
        </row>
        <row r="5589">
          <cell r="E5589" t="str">
            <v>C25000891</v>
          </cell>
          <cell r="F5589"/>
          <cell r="G5589">
            <v>10000000</v>
          </cell>
          <cell r="H5589" t="str">
            <v>Yuyun</v>
          </cell>
          <cell r="I5589" t="str">
            <v>Farida</v>
          </cell>
          <cell r="J5589"/>
          <cell r="K5589" t="str">
            <v>Lobi</v>
          </cell>
          <cell r="L5589" t="str">
            <v>NNBI01</v>
          </cell>
          <cell r="M5589" t="str">
            <v>NN Biyanto</v>
          </cell>
          <cell r="N5589" t="str">
            <v>Biyanto</v>
          </cell>
          <cell r="O5589" t="str">
            <v>Jember</v>
          </cell>
          <cell r="P5589" t="str">
            <v>Jember</v>
          </cell>
          <cell r="Q5589" t="str">
            <v>Jember</v>
          </cell>
          <cell r="R5589" t="str">
            <v>Jember</v>
          </cell>
          <cell r="S5589" t="str">
            <v>L Kota1</v>
          </cell>
          <cell r="T5589" t="str">
            <v>Wira</v>
          </cell>
          <cell r="U5589">
            <v>0</v>
          </cell>
        </row>
        <row r="5590">
          <cell r="E5590" t="str">
            <v>C25000800</v>
          </cell>
          <cell r="F5590"/>
          <cell r="G5590">
            <v>10000000</v>
          </cell>
          <cell r="H5590" t="str">
            <v>Yuyun</v>
          </cell>
          <cell r="I5590" t="str">
            <v>Farida</v>
          </cell>
          <cell r="J5590"/>
          <cell r="K5590" t="str">
            <v>Lobi</v>
          </cell>
          <cell r="L5590" t="str">
            <v>NNBR01</v>
          </cell>
          <cell r="M5590" t="str">
            <v>NN Brodin</v>
          </cell>
          <cell r="N5590" t="str">
            <v>Brodin</v>
          </cell>
          <cell r="O5590" t="str">
            <v>Jember</v>
          </cell>
          <cell r="P5590" t="str">
            <v>Jember</v>
          </cell>
          <cell r="Q5590" t="str">
            <v>Jember</v>
          </cell>
          <cell r="R5590" t="str">
            <v>Jember</v>
          </cell>
          <cell r="S5590" t="str">
            <v>L Kota1</v>
          </cell>
          <cell r="T5590" t="str">
            <v>Wira</v>
          </cell>
          <cell r="U5590">
            <v>0</v>
          </cell>
        </row>
        <row r="5591">
          <cell r="E5591" t="str">
            <v>C25000903</v>
          </cell>
          <cell r="F5591"/>
          <cell r="G5591">
            <v>10000000</v>
          </cell>
          <cell r="H5591" t="str">
            <v>Yuyun</v>
          </cell>
          <cell r="I5591" t="str">
            <v>Farida</v>
          </cell>
          <cell r="J5591"/>
          <cell r="K5591" t="str">
            <v>Lobi</v>
          </cell>
          <cell r="L5591" t="str">
            <v>NNBR01</v>
          </cell>
          <cell r="M5591" t="str">
            <v>NN Brodin</v>
          </cell>
          <cell r="N5591" t="str">
            <v>Brodin</v>
          </cell>
          <cell r="O5591" t="str">
            <v>Jember</v>
          </cell>
          <cell r="P5591" t="str">
            <v>Jember</v>
          </cell>
          <cell r="Q5591" t="str">
            <v>Jember</v>
          </cell>
          <cell r="R5591" t="str">
            <v>Jember</v>
          </cell>
          <cell r="S5591" t="str">
            <v>L Kota1</v>
          </cell>
          <cell r="T5591" t="str">
            <v>Wira</v>
          </cell>
          <cell r="U5591">
            <v>0</v>
          </cell>
        </row>
        <row r="5592">
          <cell r="E5592" t="str">
            <v>C25000791</v>
          </cell>
          <cell r="F5592"/>
          <cell r="G5592">
            <v>10000000</v>
          </cell>
          <cell r="H5592" t="str">
            <v>Yuyun</v>
          </cell>
          <cell r="I5592" t="str">
            <v>Farida</v>
          </cell>
          <cell r="J5592"/>
          <cell r="K5592" t="str">
            <v>Lobi</v>
          </cell>
          <cell r="L5592" t="str">
            <v>NNBU01</v>
          </cell>
          <cell r="M5592" t="str">
            <v>NN Budarman</v>
          </cell>
          <cell r="N5592" t="str">
            <v>Budarman</v>
          </cell>
          <cell r="O5592" t="str">
            <v>Jember</v>
          </cell>
          <cell r="P5592" t="str">
            <v>Jember</v>
          </cell>
          <cell r="Q5592" t="str">
            <v>Jember</v>
          </cell>
          <cell r="R5592" t="str">
            <v>Jember</v>
          </cell>
          <cell r="S5592" t="str">
            <v>L Kota1</v>
          </cell>
          <cell r="T5592" t="str">
            <v>Wira</v>
          </cell>
          <cell r="U5592">
            <v>0</v>
          </cell>
        </row>
        <row r="5593">
          <cell r="E5593" t="str">
            <v>C25000816</v>
          </cell>
          <cell r="F5593"/>
          <cell r="G5593">
            <v>10000000</v>
          </cell>
          <cell r="H5593" t="str">
            <v>Yuyun</v>
          </cell>
          <cell r="I5593" t="str">
            <v>Farida</v>
          </cell>
          <cell r="J5593"/>
          <cell r="K5593" t="str">
            <v>Lobi</v>
          </cell>
          <cell r="L5593" t="str">
            <v>NNBU01</v>
          </cell>
          <cell r="M5593" t="str">
            <v>NN Budarman</v>
          </cell>
          <cell r="N5593" t="str">
            <v>Budarman</v>
          </cell>
          <cell r="O5593" t="str">
            <v>Jember</v>
          </cell>
          <cell r="P5593" t="str">
            <v>Jember</v>
          </cell>
          <cell r="Q5593" t="str">
            <v>Jember</v>
          </cell>
          <cell r="R5593" t="str">
            <v>Jember</v>
          </cell>
          <cell r="S5593" t="str">
            <v>L Kota1</v>
          </cell>
          <cell r="T5593" t="str">
            <v>Wira</v>
          </cell>
          <cell r="U5593">
            <v>0</v>
          </cell>
        </row>
        <row r="5594">
          <cell r="E5594" t="str">
            <v>C25000869</v>
          </cell>
          <cell r="F5594"/>
          <cell r="G5594">
            <v>10000000</v>
          </cell>
          <cell r="H5594" t="str">
            <v>Yuyun</v>
          </cell>
          <cell r="I5594" t="str">
            <v>Farida</v>
          </cell>
          <cell r="J5594"/>
          <cell r="K5594" t="str">
            <v>Lobi</v>
          </cell>
          <cell r="L5594" t="str">
            <v>NNBU01</v>
          </cell>
          <cell r="M5594" t="str">
            <v>NN Budarman</v>
          </cell>
          <cell r="N5594" t="str">
            <v>Budarman</v>
          </cell>
          <cell r="O5594" t="str">
            <v>Jember</v>
          </cell>
          <cell r="P5594" t="str">
            <v>Jember</v>
          </cell>
          <cell r="Q5594" t="str">
            <v>Jember</v>
          </cell>
          <cell r="R5594" t="str">
            <v>Jember</v>
          </cell>
          <cell r="S5594" t="str">
            <v>L Kota1</v>
          </cell>
          <cell r="T5594" t="str">
            <v>Wira</v>
          </cell>
          <cell r="U5594">
            <v>0</v>
          </cell>
        </row>
        <row r="5595">
          <cell r="E5595" t="str">
            <v>C25000827</v>
          </cell>
          <cell r="F5595"/>
          <cell r="G5595">
            <v>10000000</v>
          </cell>
          <cell r="H5595" t="str">
            <v>Yuyun</v>
          </cell>
          <cell r="I5595" t="str">
            <v>Farida</v>
          </cell>
          <cell r="J5595"/>
          <cell r="K5595" t="str">
            <v>Lobi</v>
          </cell>
          <cell r="L5595" t="str">
            <v>NNDA01</v>
          </cell>
          <cell r="M5595" t="str">
            <v>NN Dadang</v>
          </cell>
          <cell r="N5595" t="str">
            <v>Dadang</v>
          </cell>
          <cell r="O5595" t="str">
            <v>Jember</v>
          </cell>
          <cell r="P5595" t="str">
            <v>Jember</v>
          </cell>
          <cell r="Q5595" t="str">
            <v>Jember</v>
          </cell>
          <cell r="R5595" t="str">
            <v>Jember</v>
          </cell>
          <cell r="S5595" t="str">
            <v>L Kota1</v>
          </cell>
          <cell r="T5595" t="str">
            <v>Wira</v>
          </cell>
          <cell r="U5595">
            <v>0</v>
          </cell>
        </row>
        <row r="5596">
          <cell r="E5596" t="str">
            <v>C25000828</v>
          </cell>
          <cell r="F5596"/>
          <cell r="G5596">
            <v>10000000</v>
          </cell>
          <cell r="H5596" t="str">
            <v>Yuyun</v>
          </cell>
          <cell r="I5596" t="str">
            <v>Farida</v>
          </cell>
          <cell r="J5596"/>
          <cell r="K5596" t="str">
            <v>Lobi</v>
          </cell>
          <cell r="L5596" t="str">
            <v>NNDA01</v>
          </cell>
          <cell r="M5596" t="str">
            <v>NN Dadang</v>
          </cell>
          <cell r="N5596" t="str">
            <v>Dadang</v>
          </cell>
          <cell r="O5596" t="str">
            <v>Jember</v>
          </cell>
          <cell r="P5596" t="str">
            <v>Jember</v>
          </cell>
          <cell r="Q5596" t="str">
            <v>Jember</v>
          </cell>
          <cell r="R5596" t="str">
            <v>Jember</v>
          </cell>
          <cell r="S5596" t="str">
            <v>L Kota1</v>
          </cell>
          <cell r="T5596" t="str">
            <v>Wira</v>
          </cell>
          <cell r="U5596">
            <v>0</v>
          </cell>
        </row>
        <row r="5597">
          <cell r="E5597" t="str">
            <v>C25000868</v>
          </cell>
          <cell r="F5597"/>
          <cell r="G5597">
            <v>10000000</v>
          </cell>
          <cell r="H5597" t="str">
            <v>Yuyun</v>
          </cell>
          <cell r="I5597" t="str">
            <v>Farida</v>
          </cell>
          <cell r="J5597"/>
          <cell r="K5597" t="str">
            <v>Lobi</v>
          </cell>
          <cell r="L5597" t="str">
            <v>NNDA01</v>
          </cell>
          <cell r="M5597" t="str">
            <v>NN Dadang</v>
          </cell>
          <cell r="N5597" t="str">
            <v>Dadang</v>
          </cell>
          <cell r="O5597" t="str">
            <v>Jember</v>
          </cell>
          <cell r="P5597" t="str">
            <v>Jember</v>
          </cell>
          <cell r="Q5597" t="str">
            <v>Jember</v>
          </cell>
          <cell r="R5597" t="str">
            <v>Jember</v>
          </cell>
          <cell r="S5597" t="str">
            <v>L Kota1</v>
          </cell>
          <cell r="T5597" t="str">
            <v>Wira</v>
          </cell>
          <cell r="U5597">
            <v>0</v>
          </cell>
        </row>
        <row r="5598">
          <cell r="E5598" t="str">
            <v>C25000892</v>
          </cell>
          <cell r="F5598"/>
          <cell r="G5598">
            <v>10000000</v>
          </cell>
          <cell r="H5598" t="str">
            <v>Yuyun</v>
          </cell>
          <cell r="I5598" t="str">
            <v>Farida</v>
          </cell>
          <cell r="J5598"/>
          <cell r="K5598" t="str">
            <v>Lobi</v>
          </cell>
          <cell r="L5598" t="str">
            <v>NNDA01</v>
          </cell>
          <cell r="M5598" t="str">
            <v>NN Dadang</v>
          </cell>
          <cell r="N5598" t="str">
            <v>Dadang</v>
          </cell>
          <cell r="O5598" t="str">
            <v>Jember</v>
          </cell>
          <cell r="P5598" t="str">
            <v>Jember</v>
          </cell>
          <cell r="Q5598" t="str">
            <v>Jember</v>
          </cell>
          <cell r="R5598" t="str">
            <v>Jember</v>
          </cell>
          <cell r="S5598" t="str">
            <v>L Kota1</v>
          </cell>
          <cell r="T5598" t="str">
            <v>Wira</v>
          </cell>
          <cell r="U5598">
            <v>0</v>
          </cell>
        </row>
        <row r="5599">
          <cell r="E5599" t="str">
            <v>C25000905</v>
          </cell>
          <cell r="F5599"/>
          <cell r="G5599">
            <v>10000000</v>
          </cell>
          <cell r="H5599" t="str">
            <v>Yuyun</v>
          </cell>
          <cell r="I5599" t="str">
            <v>Farida</v>
          </cell>
          <cell r="J5599"/>
          <cell r="K5599" t="str">
            <v>Lobi</v>
          </cell>
          <cell r="L5599" t="str">
            <v>NNDA01</v>
          </cell>
          <cell r="M5599" t="str">
            <v>NN Dadang</v>
          </cell>
          <cell r="N5599" t="str">
            <v>Dadang</v>
          </cell>
          <cell r="O5599" t="str">
            <v>Jember</v>
          </cell>
          <cell r="P5599" t="str">
            <v>Jember</v>
          </cell>
          <cell r="Q5599" t="str">
            <v>Jember</v>
          </cell>
          <cell r="R5599" t="str">
            <v>Jember</v>
          </cell>
          <cell r="S5599" t="str">
            <v>L Kota1</v>
          </cell>
          <cell r="T5599" t="str">
            <v>Wira</v>
          </cell>
          <cell r="U5599">
            <v>0</v>
          </cell>
        </row>
        <row r="5600">
          <cell r="E5600" t="str">
            <v>C25000913</v>
          </cell>
          <cell r="F5600"/>
          <cell r="G5600">
            <v>10000000</v>
          </cell>
          <cell r="H5600" t="str">
            <v>Yuyun</v>
          </cell>
          <cell r="I5600" t="str">
            <v>Farida</v>
          </cell>
          <cell r="J5600"/>
          <cell r="K5600" t="str">
            <v>Lobi</v>
          </cell>
          <cell r="L5600" t="str">
            <v>NNDA01</v>
          </cell>
          <cell r="M5600" t="str">
            <v>NN Dadang</v>
          </cell>
          <cell r="N5600" t="str">
            <v>Dadang</v>
          </cell>
          <cell r="O5600" t="str">
            <v>Jember</v>
          </cell>
          <cell r="P5600" t="str">
            <v>Jember</v>
          </cell>
          <cell r="Q5600" t="str">
            <v>Jember</v>
          </cell>
          <cell r="R5600" t="str">
            <v>Jember</v>
          </cell>
          <cell r="S5600" t="str">
            <v>L Kota1</v>
          </cell>
          <cell r="T5600" t="str">
            <v>Wira</v>
          </cell>
          <cell r="U5600">
            <v>0</v>
          </cell>
        </row>
        <row r="5601">
          <cell r="E5601" t="str">
            <v>C25000803</v>
          </cell>
          <cell r="F5601"/>
          <cell r="G5601">
            <v>10000000</v>
          </cell>
          <cell r="H5601" t="str">
            <v>Yuyun</v>
          </cell>
          <cell r="I5601" t="str">
            <v>Farida</v>
          </cell>
          <cell r="J5601"/>
          <cell r="K5601" t="str">
            <v>Lobi</v>
          </cell>
          <cell r="L5601" t="str">
            <v>NNDA02</v>
          </cell>
          <cell r="M5601" t="str">
            <v>NN Darmanto</v>
          </cell>
          <cell r="N5601" t="str">
            <v>Darmanto</v>
          </cell>
          <cell r="O5601" t="str">
            <v>Jember</v>
          </cell>
          <cell r="P5601" t="str">
            <v>Jember</v>
          </cell>
          <cell r="Q5601" t="str">
            <v>Jember</v>
          </cell>
          <cell r="R5601" t="str">
            <v>Jember</v>
          </cell>
          <cell r="S5601" t="str">
            <v>L Kota1</v>
          </cell>
          <cell r="T5601" t="str">
            <v>Wira</v>
          </cell>
          <cell r="U5601">
            <v>0</v>
          </cell>
        </row>
        <row r="5602">
          <cell r="E5602" t="str">
            <v>D25015041</v>
          </cell>
          <cell r="F5602"/>
          <cell r="G5602">
            <v>10000000</v>
          </cell>
          <cell r="H5602" t="str">
            <v>Yuyun</v>
          </cell>
          <cell r="I5602" t="str">
            <v>Farida</v>
          </cell>
          <cell r="J5602"/>
          <cell r="K5602" t="str">
            <v>Lobi</v>
          </cell>
          <cell r="L5602" t="str">
            <v>NNDA02</v>
          </cell>
          <cell r="M5602" t="str">
            <v>NN Darmanto</v>
          </cell>
          <cell r="N5602" t="str">
            <v>Darmanto</v>
          </cell>
          <cell r="O5602" t="str">
            <v>Jember</v>
          </cell>
          <cell r="P5602" t="str">
            <v>Jember</v>
          </cell>
          <cell r="Q5602" t="str">
            <v>Jember</v>
          </cell>
          <cell r="R5602" t="str">
            <v>Jember</v>
          </cell>
          <cell r="S5602" t="str">
            <v>L Kota1</v>
          </cell>
          <cell r="T5602" t="str">
            <v>Wira</v>
          </cell>
          <cell r="U5602">
            <v>0</v>
          </cell>
        </row>
        <row r="5603">
          <cell r="E5603" t="str">
            <v>D25015171</v>
          </cell>
          <cell r="F5603"/>
          <cell r="G5603">
            <v>10000000</v>
          </cell>
          <cell r="H5603" t="str">
            <v>Yuyun</v>
          </cell>
          <cell r="I5603" t="str">
            <v>Farida</v>
          </cell>
          <cell r="J5603"/>
          <cell r="K5603" t="str">
            <v>Lobi</v>
          </cell>
          <cell r="L5603" t="str">
            <v>NNDA02</v>
          </cell>
          <cell r="M5603" t="str">
            <v>NN Darmanto</v>
          </cell>
          <cell r="N5603" t="str">
            <v>Darmanto</v>
          </cell>
          <cell r="O5603" t="str">
            <v>Jember</v>
          </cell>
          <cell r="P5603" t="str">
            <v>Jember</v>
          </cell>
          <cell r="Q5603" t="str">
            <v>Jember</v>
          </cell>
          <cell r="R5603" t="str">
            <v>Jember</v>
          </cell>
          <cell r="S5603" t="str">
            <v>L Kota1</v>
          </cell>
          <cell r="T5603" t="str">
            <v>Wira</v>
          </cell>
          <cell r="U5603">
            <v>0</v>
          </cell>
        </row>
        <row r="5604">
          <cell r="E5604" t="str">
            <v>C25000839</v>
          </cell>
          <cell r="F5604"/>
          <cell r="G5604">
            <v>10000000</v>
          </cell>
          <cell r="H5604" t="str">
            <v>Yuyun</v>
          </cell>
          <cell r="I5604" t="str">
            <v>Farida</v>
          </cell>
          <cell r="J5604"/>
          <cell r="K5604" t="str">
            <v>Lobi</v>
          </cell>
          <cell r="L5604" t="str">
            <v>NNDA02</v>
          </cell>
          <cell r="M5604" t="str">
            <v>NN Darmanto</v>
          </cell>
          <cell r="N5604" t="str">
            <v>Darmanto</v>
          </cell>
          <cell r="O5604" t="str">
            <v>Jember</v>
          </cell>
          <cell r="P5604" t="str">
            <v>Jember</v>
          </cell>
          <cell r="Q5604" t="str">
            <v>Jember</v>
          </cell>
          <cell r="R5604" t="str">
            <v>Jember</v>
          </cell>
          <cell r="S5604" t="str">
            <v>L Kota1</v>
          </cell>
          <cell r="T5604" t="str">
            <v>Wira</v>
          </cell>
          <cell r="U5604">
            <v>0</v>
          </cell>
        </row>
        <row r="5605">
          <cell r="E5605" t="str">
            <v>C25000880</v>
          </cell>
          <cell r="F5605"/>
          <cell r="G5605">
            <v>10000000</v>
          </cell>
          <cell r="H5605" t="str">
            <v>Yuyun</v>
          </cell>
          <cell r="I5605" t="str">
            <v>Farida</v>
          </cell>
          <cell r="J5605"/>
          <cell r="K5605" t="str">
            <v>Lobi</v>
          </cell>
          <cell r="L5605" t="str">
            <v>NNDA02</v>
          </cell>
          <cell r="M5605" t="str">
            <v>NN Darmanto</v>
          </cell>
          <cell r="N5605" t="str">
            <v>Darmanto</v>
          </cell>
          <cell r="O5605" t="str">
            <v>Jember</v>
          </cell>
          <cell r="P5605" t="str">
            <v>Jember</v>
          </cell>
          <cell r="Q5605" t="str">
            <v>Jember</v>
          </cell>
          <cell r="R5605" t="str">
            <v>Jember</v>
          </cell>
          <cell r="S5605" t="str">
            <v>L Kota1</v>
          </cell>
          <cell r="T5605" t="str">
            <v>Wira</v>
          </cell>
          <cell r="U5605">
            <v>0</v>
          </cell>
        </row>
        <row r="5606">
          <cell r="E5606" t="str">
            <v>C25000896</v>
          </cell>
          <cell r="F5606"/>
          <cell r="G5606">
            <v>10000000</v>
          </cell>
          <cell r="H5606" t="str">
            <v>Yuyun</v>
          </cell>
          <cell r="I5606" t="str">
            <v>Farida</v>
          </cell>
          <cell r="J5606"/>
          <cell r="K5606" t="str">
            <v>Lobi</v>
          </cell>
          <cell r="L5606" t="str">
            <v>NNDA02</v>
          </cell>
          <cell r="M5606" t="str">
            <v>NN Darmanto</v>
          </cell>
          <cell r="N5606" t="str">
            <v>Darmanto</v>
          </cell>
          <cell r="O5606" t="str">
            <v>Jember</v>
          </cell>
          <cell r="P5606" t="str">
            <v>Jember</v>
          </cell>
          <cell r="Q5606" t="str">
            <v>Jember</v>
          </cell>
          <cell r="R5606" t="str">
            <v>Jember</v>
          </cell>
          <cell r="S5606" t="str">
            <v>L Kota1</v>
          </cell>
          <cell r="T5606" t="str">
            <v>Wira</v>
          </cell>
          <cell r="U5606">
            <v>0</v>
          </cell>
        </row>
        <row r="5607">
          <cell r="E5607" t="str">
            <v>C25000801</v>
          </cell>
          <cell r="F5607"/>
          <cell r="G5607">
            <v>10000000</v>
          </cell>
          <cell r="H5607" t="str">
            <v>Yuyun</v>
          </cell>
          <cell r="I5607" t="str">
            <v>Farida</v>
          </cell>
          <cell r="J5607"/>
          <cell r="K5607" t="str">
            <v>Lobi</v>
          </cell>
          <cell r="L5607" t="str">
            <v>NNEM01</v>
          </cell>
          <cell r="M5607" t="str">
            <v>NN Ernan</v>
          </cell>
          <cell r="N5607" t="str">
            <v>Ernan</v>
          </cell>
          <cell r="O5607" t="str">
            <v>Jember</v>
          </cell>
          <cell r="P5607" t="str">
            <v>Jember</v>
          </cell>
          <cell r="Q5607" t="str">
            <v>Jember</v>
          </cell>
          <cell r="R5607" t="str">
            <v>Jember</v>
          </cell>
          <cell r="S5607" t="str">
            <v>L Kota1</v>
          </cell>
          <cell r="T5607" t="str">
            <v>Wira</v>
          </cell>
          <cell r="U5607">
            <v>0</v>
          </cell>
        </row>
        <row r="5608">
          <cell r="E5608" t="str">
            <v>C25000811</v>
          </cell>
          <cell r="F5608"/>
          <cell r="G5608">
            <v>10000000</v>
          </cell>
          <cell r="H5608" t="str">
            <v>Yuyun</v>
          </cell>
          <cell r="I5608" t="str">
            <v>Farida</v>
          </cell>
          <cell r="J5608"/>
          <cell r="K5608" t="str">
            <v>Lobi</v>
          </cell>
          <cell r="L5608" t="str">
            <v>NNEM01</v>
          </cell>
          <cell r="M5608" t="str">
            <v>NN Ernan</v>
          </cell>
          <cell r="N5608" t="str">
            <v>Ernan</v>
          </cell>
          <cell r="O5608" t="str">
            <v>Jember</v>
          </cell>
          <cell r="P5608" t="str">
            <v>Jember</v>
          </cell>
          <cell r="Q5608" t="str">
            <v>Jember</v>
          </cell>
          <cell r="R5608" t="str">
            <v>Jember</v>
          </cell>
          <cell r="S5608" t="str">
            <v>L Kota1</v>
          </cell>
          <cell r="T5608" t="str">
            <v>Wira</v>
          </cell>
          <cell r="U5608">
            <v>0</v>
          </cell>
        </row>
        <row r="5609">
          <cell r="E5609" t="str">
            <v>C25000821</v>
          </cell>
          <cell r="F5609"/>
          <cell r="G5609">
            <v>10000000</v>
          </cell>
          <cell r="H5609" t="str">
            <v>Yuyun</v>
          </cell>
          <cell r="I5609" t="str">
            <v>Farida</v>
          </cell>
          <cell r="J5609"/>
          <cell r="K5609" t="str">
            <v>Lobi</v>
          </cell>
          <cell r="L5609" t="str">
            <v>NNEM01</v>
          </cell>
          <cell r="M5609" t="str">
            <v>NN Ernan</v>
          </cell>
          <cell r="N5609" t="str">
            <v>Ernan</v>
          </cell>
          <cell r="O5609" t="str">
            <v>Jember</v>
          </cell>
          <cell r="P5609" t="str">
            <v>Jember</v>
          </cell>
          <cell r="Q5609" t="str">
            <v>Jember</v>
          </cell>
          <cell r="R5609" t="str">
            <v>Jember</v>
          </cell>
          <cell r="S5609" t="str">
            <v>L Kota1</v>
          </cell>
          <cell r="T5609" t="str">
            <v>Wira</v>
          </cell>
          <cell r="U5609">
            <v>0</v>
          </cell>
        </row>
        <row r="5610">
          <cell r="E5610" t="str">
            <v>C25000824</v>
          </cell>
          <cell r="F5610"/>
          <cell r="G5610">
            <v>10000000</v>
          </cell>
          <cell r="H5610" t="str">
            <v>Yuyun</v>
          </cell>
          <cell r="I5610" t="str">
            <v>Farida</v>
          </cell>
          <cell r="J5610"/>
          <cell r="K5610" t="str">
            <v>Lobi</v>
          </cell>
          <cell r="L5610" t="str">
            <v>NNEM01</v>
          </cell>
          <cell r="M5610" t="str">
            <v>NN Ernan</v>
          </cell>
          <cell r="N5610" t="str">
            <v>Ernan</v>
          </cell>
          <cell r="O5610" t="str">
            <v>Jember</v>
          </cell>
          <cell r="P5610" t="str">
            <v>Jember</v>
          </cell>
          <cell r="Q5610" t="str">
            <v>Jember</v>
          </cell>
          <cell r="R5610" t="str">
            <v>Jember</v>
          </cell>
          <cell r="S5610" t="str">
            <v>L Kota1</v>
          </cell>
          <cell r="T5610" t="str">
            <v>Wira</v>
          </cell>
          <cell r="U5610">
            <v>0</v>
          </cell>
        </row>
        <row r="5611">
          <cell r="E5611" t="str">
            <v>C25000844</v>
          </cell>
          <cell r="F5611"/>
          <cell r="G5611">
            <v>10000000</v>
          </cell>
          <cell r="H5611" t="str">
            <v>Yuyun</v>
          </cell>
          <cell r="I5611" t="str">
            <v>Farida</v>
          </cell>
          <cell r="J5611"/>
          <cell r="K5611" t="str">
            <v>Lobi</v>
          </cell>
          <cell r="L5611" t="str">
            <v>NNEM01</v>
          </cell>
          <cell r="M5611" t="str">
            <v>NN Ernan</v>
          </cell>
          <cell r="N5611" t="str">
            <v>Ernan</v>
          </cell>
          <cell r="O5611" t="str">
            <v>Jember</v>
          </cell>
          <cell r="P5611" t="str">
            <v>Jember</v>
          </cell>
          <cell r="Q5611" t="str">
            <v>Jember</v>
          </cell>
          <cell r="R5611" t="str">
            <v>Jember</v>
          </cell>
          <cell r="S5611" t="str">
            <v>L Kota1</v>
          </cell>
          <cell r="T5611" t="str">
            <v>Wira</v>
          </cell>
          <cell r="U5611">
            <v>0</v>
          </cell>
        </row>
        <row r="5612">
          <cell r="E5612" t="str">
            <v>C25000852</v>
          </cell>
          <cell r="F5612"/>
          <cell r="G5612">
            <v>10000000</v>
          </cell>
          <cell r="H5612" t="str">
            <v>Yuyun</v>
          </cell>
          <cell r="I5612" t="str">
            <v>Farida</v>
          </cell>
          <cell r="J5612"/>
          <cell r="K5612" t="str">
            <v>Lobi</v>
          </cell>
          <cell r="L5612" t="str">
            <v>NNEM01</v>
          </cell>
          <cell r="M5612" t="str">
            <v>NN Ernan</v>
          </cell>
          <cell r="N5612" t="str">
            <v>Ernan</v>
          </cell>
          <cell r="O5612" t="str">
            <v>Jember</v>
          </cell>
          <cell r="P5612" t="str">
            <v>Jember</v>
          </cell>
          <cell r="Q5612" t="str">
            <v>Jember</v>
          </cell>
          <cell r="R5612" t="str">
            <v>Jember</v>
          </cell>
          <cell r="S5612" t="str">
            <v>L Kota1</v>
          </cell>
          <cell r="T5612" t="str">
            <v>Wira</v>
          </cell>
          <cell r="U5612">
            <v>0</v>
          </cell>
        </row>
        <row r="5613">
          <cell r="E5613" t="str">
            <v>C25000911</v>
          </cell>
          <cell r="F5613"/>
          <cell r="G5613">
            <v>10000000</v>
          </cell>
          <cell r="H5613" t="str">
            <v>Yuyun</v>
          </cell>
          <cell r="I5613" t="str">
            <v>Farida</v>
          </cell>
          <cell r="J5613"/>
          <cell r="K5613" t="str">
            <v>Lobi</v>
          </cell>
          <cell r="L5613" t="str">
            <v>NNEM01</v>
          </cell>
          <cell r="M5613" t="str">
            <v>NN Ernan</v>
          </cell>
          <cell r="N5613" t="str">
            <v>Ernan</v>
          </cell>
          <cell r="O5613" t="str">
            <v>Jember</v>
          </cell>
          <cell r="P5613" t="str">
            <v>Jember</v>
          </cell>
          <cell r="Q5613" t="str">
            <v>Jember</v>
          </cell>
          <cell r="R5613" t="str">
            <v>Jember</v>
          </cell>
          <cell r="S5613" t="str">
            <v>L Kota1</v>
          </cell>
          <cell r="T5613" t="str">
            <v>Wira</v>
          </cell>
          <cell r="U5613">
            <v>0</v>
          </cell>
        </row>
        <row r="5614">
          <cell r="E5614" t="str">
            <v>C25000841</v>
          </cell>
          <cell r="F5614"/>
          <cell r="G5614">
            <v>10000000</v>
          </cell>
          <cell r="H5614" t="str">
            <v>Yuyun</v>
          </cell>
          <cell r="I5614" t="str">
            <v>Farida</v>
          </cell>
          <cell r="J5614"/>
          <cell r="K5614" t="str">
            <v>Lobi</v>
          </cell>
          <cell r="L5614" t="str">
            <v>NNFA01</v>
          </cell>
          <cell r="M5614" t="str">
            <v>NN Fajariman</v>
          </cell>
          <cell r="N5614" t="str">
            <v>Fajariman</v>
          </cell>
          <cell r="O5614" t="str">
            <v>Jember</v>
          </cell>
          <cell r="P5614" t="str">
            <v>Jember</v>
          </cell>
          <cell r="Q5614" t="str">
            <v>Jember</v>
          </cell>
          <cell r="R5614" t="str">
            <v>Jember</v>
          </cell>
          <cell r="S5614" t="str">
            <v>L Kota1</v>
          </cell>
          <cell r="T5614" t="str">
            <v>Wira</v>
          </cell>
          <cell r="U5614">
            <v>0</v>
          </cell>
        </row>
        <row r="5615">
          <cell r="E5615" t="str">
            <v>C25000789</v>
          </cell>
          <cell r="F5615"/>
          <cell r="G5615">
            <v>10000000</v>
          </cell>
          <cell r="H5615" t="str">
            <v>Yuyun</v>
          </cell>
          <cell r="I5615" t="str">
            <v>Farida</v>
          </cell>
          <cell r="J5615"/>
          <cell r="K5615" t="str">
            <v>Lobi</v>
          </cell>
          <cell r="L5615" t="str">
            <v>NNFI01</v>
          </cell>
          <cell r="M5615" t="str">
            <v>NN Firman</v>
          </cell>
          <cell r="N5615" t="str">
            <v>Firman</v>
          </cell>
          <cell r="O5615" t="str">
            <v>Jember</v>
          </cell>
          <cell r="P5615" t="str">
            <v>Jember</v>
          </cell>
          <cell r="Q5615" t="str">
            <v>Jember</v>
          </cell>
          <cell r="R5615" t="str">
            <v>Jember</v>
          </cell>
          <cell r="S5615" t="str">
            <v>L Kota1</v>
          </cell>
          <cell r="T5615" t="str">
            <v>Wira</v>
          </cell>
          <cell r="U5615">
            <v>0</v>
          </cell>
        </row>
        <row r="5616">
          <cell r="E5616" t="str">
            <v>C25000823</v>
          </cell>
          <cell r="F5616"/>
          <cell r="G5616">
            <v>10000000</v>
          </cell>
          <cell r="H5616" t="str">
            <v>Yuyun</v>
          </cell>
          <cell r="I5616" t="str">
            <v>Farida</v>
          </cell>
          <cell r="J5616"/>
          <cell r="K5616" t="str">
            <v>Lobi</v>
          </cell>
          <cell r="L5616" t="str">
            <v>NNFI01</v>
          </cell>
          <cell r="M5616" t="str">
            <v>NN Firman</v>
          </cell>
          <cell r="N5616" t="str">
            <v>Firman</v>
          </cell>
          <cell r="O5616" t="str">
            <v>Jember</v>
          </cell>
          <cell r="P5616" t="str">
            <v>Jember</v>
          </cell>
          <cell r="Q5616" t="str">
            <v>Jember</v>
          </cell>
          <cell r="R5616" t="str">
            <v>Jember</v>
          </cell>
          <cell r="S5616" t="str">
            <v>L Kota1</v>
          </cell>
          <cell r="T5616" t="str">
            <v>Wira</v>
          </cell>
          <cell r="U5616">
            <v>0</v>
          </cell>
        </row>
        <row r="5617">
          <cell r="E5617" t="str">
            <v>C25000848</v>
          </cell>
          <cell r="F5617"/>
          <cell r="G5617">
            <v>10000000</v>
          </cell>
          <cell r="H5617" t="str">
            <v>Yuyun</v>
          </cell>
          <cell r="I5617" t="str">
            <v>Farida</v>
          </cell>
          <cell r="J5617"/>
          <cell r="K5617" t="str">
            <v>Lobi</v>
          </cell>
          <cell r="L5617" t="str">
            <v>NNFI01</v>
          </cell>
          <cell r="M5617" t="str">
            <v>NN Firman</v>
          </cell>
          <cell r="N5617" t="str">
            <v>Firman</v>
          </cell>
          <cell r="O5617" t="str">
            <v>Jember</v>
          </cell>
          <cell r="P5617" t="str">
            <v>Jember</v>
          </cell>
          <cell r="Q5617" t="str">
            <v>Jember</v>
          </cell>
          <cell r="R5617" t="str">
            <v>Jember</v>
          </cell>
          <cell r="S5617" t="str">
            <v>L Kota1</v>
          </cell>
          <cell r="T5617" t="str">
            <v>Wira</v>
          </cell>
          <cell r="U5617">
            <v>0</v>
          </cell>
        </row>
        <row r="5618">
          <cell r="E5618" t="str">
            <v>C25000897</v>
          </cell>
          <cell r="F5618"/>
          <cell r="G5618">
            <v>10000000</v>
          </cell>
          <cell r="H5618" t="str">
            <v>Yuyun</v>
          </cell>
          <cell r="I5618" t="str">
            <v>Farida</v>
          </cell>
          <cell r="J5618"/>
          <cell r="K5618" t="str">
            <v>Lobi</v>
          </cell>
          <cell r="L5618" t="str">
            <v>NNFI01</v>
          </cell>
          <cell r="M5618" t="str">
            <v>NN Firman</v>
          </cell>
          <cell r="N5618" t="str">
            <v>Firman</v>
          </cell>
          <cell r="O5618" t="str">
            <v>Jember</v>
          </cell>
          <cell r="P5618" t="str">
            <v>Jember</v>
          </cell>
          <cell r="Q5618" t="str">
            <v>Jember</v>
          </cell>
          <cell r="R5618" t="str">
            <v>Jember</v>
          </cell>
          <cell r="S5618" t="str">
            <v>L Kota1</v>
          </cell>
          <cell r="T5618" t="str">
            <v>Wira</v>
          </cell>
          <cell r="U5618">
            <v>0</v>
          </cell>
        </row>
        <row r="5619">
          <cell r="E5619" t="str">
            <v>C25000807</v>
          </cell>
          <cell r="F5619"/>
          <cell r="G5619">
            <v>10000000</v>
          </cell>
          <cell r="H5619" t="str">
            <v>Yuyun</v>
          </cell>
          <cell r="I5619" t="str">
            <v>Farida</v>
          </cell>
          <cell r="J5619"/>
          <cell r="K5619" t="str">
            <v>Lobi</v>
          </cell>
          <cell r="L5619" t="str">
            <v>NNHE01</v>
          </cell>
          <cell r="M5619" t="str">
            <v>NN Hendarso</v>
          </cell>
          <cell r="N5619" t="str">
            <v>Hendarso</v>
          </cell>
          <cell r="O5619" t="str">
            <v>Jember</v>
          </cell>
          <cell r="P5619" t="str">
            <v>Jember</v>
          </cell>
          <cell r="Q5619" t="str">
            <v>Jember</v>
          </cell>
          <cell r="R5619" t="str">
            <v>Jember</v>
          </cell>
          <cell r="S5619" t="str">
            <v>L Kota1</v>
          </cell>
          <cell r="T5619" t="str">
            <v>Wira</v>
          </cell>
          <cell r="U5619">
            <v>0</v>
          </cell>
        </row>
        <row r="5620">
          <cell r="E5620" t="str">
            <v>C25000842</v>
          </cell>
          <cell r="F5620"/>
          <cell r="G5620">
            <v>10000000</v>
          </cell>
          <cell r="H5620" t="str">
            <v>Yuyun</v>
          </cell>
          <cell r="I5620" t="str">
            <v>Farida</v>
          </cell>
          <cell r="J5620"/>
          <cell r="K5620" t="str">
            <v>Lobi</v>
          </cell>
          <cell r="L5620" t="str">
            <v>NNHE01</v>
          </cell>
          <cell r="M5620" t="str">
            <v>NN Hendarso</v>
          </cell>
          <cell r="N5620" t="str">
            <v>Hendarso</v>
          </cell>
          <cell r="O5620" t="str">
            <v>Jember</v>
          </cell>
          <cell r="P5620" t="str">
            <v>Jember</v>
          </cell>
          <cell r="Q5620" t="str">
            <v>Jember</v>
          </cell>
          <cell r="R5620" t="str">
            <v>Jember</v>
          </cell>
          <cell r="S5620" t="str">
            <v>L Kota1</v>
          </cell>
          <cell r="T5620" t="str">
            <v>Wira</v>
          </cell>
          <cell r="U5620">
            <v>0</v>
          </cell>
        </row>
        <row r="5621">
          <cell r="E5621" t="str">
            <v>C25000887</v>
          </cell>
          <cell r="F5621"/>
          <cell r="G5621">
            <v>10000000</v>
          </cell>
          <cell r="H5621" t="str">
            <v>Yuyun</v>
          </cell>
          <cell r="I5621" t="str">
            <v>Farida</v>
          </cell>
          <cell r="J5621"/>
          <cell r="K5621" t="str">
            <v>Lobi</v>
          </cell>
          <cell r="L5621" t="str">
            <v>NNHE01</v>
          </cell>
          <cell r="M5621" t="str">
            <v>NN Hendarso</v>
          </cell>
          <cell r="N5621" t="str">
            <v>Hendarso</v>
          </cell>
          <cell r="O5621" t="str">
            <v>Jember</v>
          </cell>
          <cell r="P5621" t="str">
            <v>Jember</v>
          </cell>
          <cell r="Q5621" t="str">
            <v>Jember</v>
          </cell>
          <cell r="R5621" t="str">
            <v>Jember</v>
          </cell>
          <cell r="S5621" t="str">
            <v>L Kota1</v>
          </cell>
          <cell r="T5621" t="str">
            <v>Wira</v>
          </cell>
          <cell r="U5621">
            <v>0</v>
          </cell>
        </row>
        <row r="5622">
          <cell r="E5622" t="str">
            <v>C25000818</v>
          </cell>
          <cell r="F5622"/>
          <cell r="G5622">
            <v>10000000</v>
          </cell>
          <cell r="H5622" t="str">
            <v>Yuyun</v>
          </cell>
          <cell r="I5622" t="str">
            <v>Farida</v>
          </cell>
          <cell r="J5622"/>
          <cell r="K5622" t="str">
            <v>Lobi</v>
          </cell>
          <cell r="L5622" t="str">
            <v>NNJA01</v>
          </cell>
          <cell r="M5622" t="str">
            <v>NN Jainul</v>
          </cell>
          <cell r="N5622" t="str">
            <v>Jainul</v>
          </cell>
          <cell r="O5622" t="str">
            <v>Jember</v>
          </cell>
          <cell r="P5622" t="str">
            <v>Jember</v>
          </cell>
          <cell r="Q5622" t="str">
            <v>Jember</v>
          </cell>
          <cell r="R5622" t="str">
            <v>Jember</v>
          </cell>
          <cell r="S5622" t="str">
            <v>L Kota1</v>
          </cell>
          <cell r="T5622" t="str">
            <v>Wira</v>
          </cell>
          <cell r="U5622">
            <v>0</v>
          </cell>
        </row>
        <row r="5623">
          <cell r="E5623" t="str">
            <v>C25000871</v>
          </cell>
          <cell r="F5623"/>
          <cell r="G5623">
            <v>10000000</v>
          </cell>
          <cell r="H5623" t="str">
            <v>Yuyun</v>
          </cell>
          <cell r="I5623" t="str">
            <v>Farida</v>
          </cell>
          <cell r="J5623"/>
          <cell r="K5623" t="str">
            <v>Lobi</v>
          </cell>
          <cell r="L5623" t="str">
            <v>NNJA01</v>
          </cell>
          <cell r="M5623" t="str">
            <v>NN Jainul</v>
          </cell>
          <cell r="N5623" t="str">
            <v>Jainul</v>
          </cell>
          <cell r="O5623" t="str">
            <v>Jember</v>
          </cell>
          <cell r="P5623" t="str">
            <v>Jember</v>
          </cell>
          <cell r="Q5623" t="str">
            <v>Jember</v>
          </cell>
          <cell r="R5623" t="str">
            <v>Jember</v>
          </cell>
          <cell r="S5623" t="str">
            <v>L Kota1</v>
          </cell>
          <cell r="T5623" t="str">
            <v>Wira</v>
          </cell>
          <cell r="U5623">
            <v>0</v>
          </cell>
        </row>
        <row r="5624">
          <cell r="E5624" t="str">
            <v>C25000914</v>
          </cell>
          <cell r="F5624"/>
          <cell r="G5624">
            <v>10000000</v>
          </cell>
          <cell r="H5624" t="str">
            <v>Yuyun</v>
          </cell>
          <cell r="I5624" t="str">
            <v>Farida</v>
          </cell>
          <cell r="J5624"/>
          <cell r="K5624" t="str">
            <v>Lobi</v>
          </cell>
          <cell r="L5624" t="str">
            <v>NNJA01</v>
          </cell>
          <cell r="M5624" t="str">
            <v>NN Jainul</v>
          </cell>
          <cell r="N5624" t="str">
            <v>Jainul</v>
          </cell>
          <cell r="O5624" t="str">
            <v>Jember</v>
          </cell>
          <cell r="P5624" t="str">
            <v>Jember</v>
          </cell>
          <cell r="Q5624" t="str">
            <v>Jember</v>
          </cell>
          <cell r="R5624" t="str">
            <v>Jember</v>
          </cell>
          <cell r="S5624" t="str">
            <v>L Kota1</v>
          </cell>
          <cell r="T5624" t="str">
            <v>Wira</v>
          </cell>
          <cell r="U5624">
            <v>0</v>
          </cell>
        </row>
        <row r="5625">
          <cell r="E5625" t="str">
            <v>C25000819</v>
          </cell>
          <cell r="F5625"/>
          <cell r="G5625">
            <v>10000000</v>
          </cell>
          <cell r="H5625" t="str">
            <v>Yuyun</v>
          </cell>
          <cell r="I5625" t="str">
            <v>Farida</v>
          </cell>
          <cell r="J5625"/>
          <cell r="K5625" t="str">
            <v>Lobi</v>
          </cell>
          <cell r="L5625" t="str">
            <v>NNMA03</v>
          </cell>
          <cell r="M5625" t="str">
            <v>NN Marjuki</v>
          </cell>
          <cell r="N5625" t="str">
            <v>Marjuki</v>
          </cell>
          <cell r="O5625" t="str">
            <v>Jember</v>
          </cell>
          <cell r="P5625" t="str">
            <v>Jember</v>
          </cell>
          <cell r="Q5625" t="str">
            <v>Jember</v>
          </cell>
          <cell r="R5625" t="str">
            <v>Jember</v>
          </cell>
          <cell r="S5625" t="str">
            <v>L Kota1</v>
          </cell>
          <cell r="T5625" t="str">
            <v>Wira</v>
          </cell>
          <cell r="U5625">
            <v>0</v>
          </cell>
        </row>
        <row r="5626">
          <cell r="E5626" t="str">
            <v>C25000819</v>
          </cell>
          <cell r="F5626"/>
          <cell r="G5626">
            <v>10000000</v>
          </cell>
          <cell r="H5626" t="str">
            <v>Yuyun</v>
          </cell>
          <cell r="I5626" t="str">
            <v>Farida</v>
          </cell>
          <cell r="J5626"/>
          <cell r="K5626" t="str">
            <v>Lobi</v>
          </cell>
          <cell r="L5626" t="str">
            <v>NNMA03</v>
          </cell>
          <cell r="M5626" t="str">
            <v>NN Marjuki</v>
          </cell>
          <cell r="N5626" t="str">
            <v>Marjuki</v>
          </cell>
          <cell r="O5626" t="str">
            <v>Jember</v>
          </cell>
          <cell r="P5626" t="str">
            <v>Jember</v>
          </cell>
          <cell r="Q5626" t="str">
            <v>Jember</v>
          </cell>
          <cell r="R5626" t="str">
            <v>Jember</v>
          </cell>
          <cell r="S5626" t="str">
            <v>L Kota1</v>
          </cell>
          <cell r="T5626" t="str">
            <v>Wira</v>
          </cell>
          <cell r="U5626">
            <v>0</v>
          </cell>
        </row>
        <row r="5627">
          <cell r="E5627" t="str">
            <v>C25000835</v>
          </cell>
          <cell r="F5627"/>
          <cell r="G5627">
            <v>10000000</v>
          </cell>
          <cell r="H5627" t="str">
            <v>Yuyun</v>
          </cell>
          <cell r="I5627" t="str">
            <v>Farida</v>
          </cell>
          <cell r="J5627"/>
          <cell r="K5627" t="str">
            <v>Lobi</v>
          </cell>
          <cell r="L5627" t="str">
            <v>NNMA03</v>
          </cell>
          <cell r="M5627" t="str">
            <v>NN Marjuki</v>
          </cell>
          <cell r="N5627" t="str">
            <v>Marjuki</v>
          </cell>
          <cell r="O5627" t="str">
            <v>Jember</v>
          </cell>
          <cell r="P5627" t="str">
            <v>Jember</v>
          </cell>
          <cell r="Q5627" t="str">
            <v>Jember</v>
          </cell>
          <cell r="R5627" t="str">
            <v>Jember</v>
          </cell>
          <cell r="S5627" t="str">
            <v>L Kota1</v>
          </cell>
          <cell r="T5627" t="str">
            <v>Wira</v>
          </cell>
          <cell r="U5627">
            <v>0</v>
          </cell>
        </row>
        <row r="5628">
          <cell r="E5628" t="str">
            <v>B25013383</v>
          </cell>
          <cell r="F5628"/>
          <cell r="G5628">
            <v>10000000</v>
          </cell>
          <cell r="H5628" t="str">
            <v>Yuyun</v>
          </cell>
          <cell r="I5628" t="str">
            <v>Farida</v>
          </cell>
          <cell r="J5628"/>
          <cell r="K5628" t="str">
            <v>Lobi</v>
          </cell>
          <cell r="L5628" t="str">
            <v>NNMA03</v>
          </cell>
          <cell r="M5628" t="str">
            <v>NN Marjuki</v>
          </cell>
          <cell r="N5628" t="str">
            <v>Marjuki</v>
          </cell>
          <cell r="O5628" t="str">
            <v>Jember</v>
          </cell>
          <cell r="P5628" t="str">
            <v>Jember</v>
          </cell>
          <cell r="Q5628" t="str">
            <v>Jember</v>
          </cell>
          <cell r="R5628" t="str">
            <v>Jember</v>
          </cell>
          <cell r="S5628" t="str">
            <v>L Kota1</v>
          </cell>
          <cell r="T5628" t="str">
            <v>Wira</v>
          </cell>
          <cell r="U5628">
            <v>30</v>
          </cell>
        </row>
        <row r="5629">
          <cell r="E5629" t="str">
            <v>C25000885</v>
          </cell>
          <cell r="F5629"/>
          <cell r="G5629">
            <v>10000000</v>
          </cell>
          <cell r="H5629" t="str">
            <v>Yuyun</v>
          </cell>
          <cell r="I5629" t="str">
            <v>Farida</v>
          </cell>
          <cell r="J5629"/>
          <cell r="K5629" t="str">
            <v>Lobi</v>
          </cell>
          <cell r="L5629" t="str">
            <v>NNMA03</v>
          </cell>
          <cell r="M5629" t="str">
            <v>NN Marjuki</v>
          </cell>
          <cell r="N5629" t="str">
            <v>Marjuki</v>
          </cell>
          <cell r="O5629" t="str">
            <v>Jember</v>
          </cell>
          <cell r="P5629" t="str">
            <v>Jember</v>
          </cell>
          <cell r="Q5629" t="str">
            <v>Jember</v>
          </cell>
          <cell r="R5629" t="str">
            <v>Jember</v>
          </cell>
          <cell r="S5629" t="str">
            <v>L Kota1</v>
          </cell>
          <cell r="T5629" t="str">
            <v>Wira</v>
          </cell>
          <cell r="U5629">
            <v>0</v>
          </cell>
        </row>
        <row r="5630">
          <cell r="E5630" t="str">
            <v>C25000792</v>
          </cell>
          <cell r="F5630"/>
          <cell r="G5630">
            <v>10000000</v>
          </cell>
          <cell r="H5630" t="str">
            <v>Yuyun</v>
          </cell>
          <cell r="I5630" t="str">
            <v>Farida</v>
          </cell>
          <cell r="J5630"/>
          <cell r="K5630" t="str">
            <v>Lobi</v>
          </cell>
          <cell r="L5630" t="str">
            <v>NNNA02</v>
          </cell>
          <cell r="M5630" t="str">
            <v>NN Nanik</v>
          </cell>
          <cell r="N5630" t="str">
            <v>Nanik</v>
          </cell>
          <cell r="O5630" t="str">
            <v>Jember</v>
          </cell>
          <cell r="P5630" t="str">
            <v>Jember</v>
          </cell>
          <cell r="Q5630" t="str">
            <v>Jember</v>
          </cell>
          <cell r="R5630" t="str">
            <v>Jember</v>
          </cell>
          <cell r="S5630" t="str">
            <v>L Kota1</v>
          </cell>
          <cell r="T5630" t="str">
            <v>Wira</v>
          </cell>
          <cell r="U5630">
            <v>0</v>
          </cell>
        </row>
        <row r="5631">
          <cell r="E5631" t="str">
            <v>C25000822</v>
          </cell>
          <cell r="F5631"/>
          <cell r="G5631">
            <v>10000000</v>
          </cell>
          <cell r="H5631" t="str">
            <v>Yuyun</v>
          </cell>
          <cell r="I5631" t="str">
            <v>Farida</v>
          </cell>
          <cell r="J5631"/>
          <cell r="K5631" t="str">
            <v>Lobi</v>
          </cell>
          <cell r="L5631" t="str">
            <v>NNNA02</v>
          </cell>
          <cell r="M5631" t="str">
            <v>NN Nanik</v>
          </cell>
          <cell r="N5631" t="str">
            <v>Nanik</v>
          </cell>
          <cell r="O5631" t="str">
            <v>Jember</v>
          </cell>
          <cell r="P5631" t="str">
            <v>Jember</v>
          </cell>
          <cell r="Q5631" t="str">
            <v>Jember</v>
          </cell>
          <cell r="R5631" t="str">
            <v>Jember</v>
          </cell>
          <cell r="S5631" t="str">
            <v>L Kota1</v>
          </cell>
          <cell r="T5631" t="str">
            <v>Wira</v>
          </cell>
          <cell r="U5631">
            <v>0</v>
          </cell>
        </row>
        <row r="5632">
          <cell r="E5632" t="str">
            <v>M25000122</v>
          </cell>
          <cell r="F5632"/>
          <cell r="G5632">
            <v>10000000</v>
          </cell>
          <cell r="H5632" t="str">
            <v>Yuyun</v>
          </cell>
          <cell r="I5632" t="str">
            <v>Farida</v>
          </cell>
          <cell r="J5632"/>
          <cell r="K5632" t="str">
            <v>Lobi</v>
          </cell>
          <cell r="L5632" t="str">
            <v>NNNA02</v>
          </cell>
          <cell r="M5632" t="str">
            <v>NN Nanik</v>
          </cell>
          <cell r="N5632" t="str">
            <v>Nanik</v>
          </cell>
          <cell r="O5632" t="str">
            <v>Jember</v>
          </cell>
          <cell r="P5632" t="str">
            <v>Jember</v>
          </cell>
          <cell r="Q5632" t="str">
            <v>Jember</v>
          </cell>
          <cell r="R5632" t="str">
            <v>Jember</v>
          </cell>
          <cell r="S5632" t="str">
            <v>L Kota1</v>
          </cell>
          <cell r="T5632" t="str">
            <v>Wira</v>
          </cell>
          <cell r="U5632">
            <v>0</v>
          </cell>
        </row>
        <row r="5633">
          <cell r="E5633" t="str">
            <v>C25000900</v>
          </cell>
          <cell r="F5633"/>
          <cell r="G5633">
            <v>10000000</v>
          </cell>
          <cell r="H5633" t="str">
            <v>Yuyun</v>
          </cell>
          <cell r="I5633" t="str">
            <v>Farida</v>
          </cell>
          <cell r="J5633"/>
          <cell r="K5633" t="str">
            <v>Lobi</v>
          </cell>
          <cell r="L5633" t="str">
            <v>NNNA02</v>
          </cell>
          <cell r="M5633" t="str">
            <v>NN Nanik</v>
          </cell>
          <cell r="N5633" t="str">
            <v>Nanik</v>
          </cell>
          <cell r="O5633" t="str">
            <v>Jember</v>
          </cell>
          <cell r="P5633" t="str">
            <v>Jember</v>
          </cell>
          <cell r="Q5633" t="str">
            <v>Jember</v>
          </cell>
          <cell r="R5633" t="str">
            <v>Jember</v>
          </cell>
          <cell r="S5633" t="str">
            <v>L Kota1</v>
          </cell>
          <cell r="T5633" t="str">
            <v>Wira</v>
          </cell>
          <cell r="U5633">
            <v>0</v>
          </cell>
        </row>
        <row r="5634">
          <cell r="E5634" t="str">
            <v>C25000837</v>
          </cell>
          <cell r="F5634"/>
          <cell r="G5634">
            <v>10000000</v>
          </cell>
          <cell r="H5634" t="str">
            <v>Yuyun</v>
          </cell>
          <cell r="I5634" t="str">
            <v>Farida</v>
          </cell>
          <cell r="J5634"/>
          <cell r="K5634" t="str">
            <v>Lobi</v>
          </cell>
          <cell r="L5634" t="str">
            <v>NNNA03</v>
          </cell>
          <cell r="M5634" t="str">
            <v>NN Naning</v>
          </cell>
          <cell r="N5634" t="str">
            <v>Naning</v>
          </cell>
          <cell r="O5634" t="str">
            <v>Jember</v>
          </cell>
          <cell r="P5634" t="str">
            <v>Jember</v>
          </cell>
          <cell r="Q5634" t="str">
            <v>Jember</v>
          </cell>
          <cell r="R5634" t="str">
            <v>Jember</v>
          </cell>
          <cell r="S5634" t="str">
            <v>L Kota1</v>
          </cell>
          <cell r="T5634" t="str">
            <v>Wira</v>
          </cell>
          <cell r="U5634">
            <v>0</v>
          </cell>
        </row>
        <row r="5635">
          <cell r="E5635" t="str">
            <v>C25000855</v>
          </cell>
          <cell r="F5635"/>
          <cell r="G5635">
            <v>10000000</v>
          </cell>
          <cell r="H5635" t="str">
            <v>Yuyun</v>
          </cell>
          <cell r="I5635" t="str">
            <v>Farida</v>
          </cell>
          <cell r="J5635"/>
          <cell r="K5635" t="str">
            <v>Lobi</v>
          </cell>
          <cell r="L5635" t="str">
            <v>NNNA03</v>
          </cell>
          <cell r="M5635" t="str">
            <v>NN Naning</v>
          </cell>
          <cell r="N5635" t="str">
            <v>Naning</v>
          </cell>
          <cell r="O5635" t="str">
            <v>Jember</v>
          </cell>
          <cell r="P5635" t="str">
            <v>Jember</v>
          </cell>
          <cell r="Q5635" t="str">
            <v>Jember</v>
          </cell>
          <cell r="R5635" t="str">
            <v>Jember</v>
          </cell>
          <cell r="S5635" t="str">
            <v>L Kota1</v>
          </cell>
          <cell r="T5635" t="str">
            <v>Wira</v>
          </cell>
          <cell r="U5635">
            <v>0</v>
          </cell>
        </row>
        <row r="5636">
          <cell r="E5636" t="str">
            <v>C25000916</v>
          </cell>
          <cell r="F5636"/>
          <cell r="G5636">
            <v>10000000</v>
          </cell>
          <cell r="H5636" t="str">
            <v>Yuyun</v>
          </cell>
          <cell r="I5636" t="str">
            <v>Farida</v>
          </cell>
          <cell r="J5636"/>
          <cell r="K5636" t="str">
            <v>Lobi</v>
          </cell>
          <cell r="L5636" t="str">
            <v>NNNA03</v>
          </cell>
          <cell r="M5636" t="str">
            <v>NN Naning</v>
          </cell>
          <cell r="N5636" t="str">
            <v>Naning</v>
          </cell>
          <cell r="O5636" t="str">
            <v>Jember</v>
          </cell>
          <cell r="P5636" t="str">
            <v>Jember</v>
          </cell>
          <cell r="Q5636" t="str">
            <v>Jember</v>
          </cell>
          <cell r="R5636" t="str">
            <v>Jember</v>
          </cell>
          <cell r="S5636" t="str">
            <v>L Kota1</v>
          </cell>
          <cell r="T5636" t="str">
            <v>Wira</v>
          </cell>
          <cell r="U5636">
            <v>0</v>
          </cell>
        </row>
        <row r="5637">
          <cell r="E5637" t="str">
            <v>C25000805</v>
          </cell>
          <cell r="F5637"/>
          <cell r="G5637">
            <v>10000000</v>
          </cell>
          <cell r="H5637" t="str">
            <v>Yuyun</v>
          </cell>
          <cell r="I5637" t="str">
            <v>Farida</v>
          </cell>
          <cell r="J5637"/>
          <cell r="K5637" t="str">
            <v>Lobi</v>
          </cell>
          <cell r="L5637" t="str">
            <v>NNSI01</v>
          </cell>
          <cell r="M5637" t="str">
            <v>NN Siden</v>
          </cell>
          <cell r="N5637" t="str">
            <v>Siden</v>
          </cell>
          <cell r="O5637" t="str">
            <v>Jember</v>
          </cell>
          <cell r="P5637" t="str">
            <v>Jember</v>
          </cell>
          <cell r="Q5637" t="str">
            <v>Jember</v>
          </cell>
          <cell r="R5637" t="str">
            <v>Jember</v>
          </cell>
          <cell r="S5637" t="str">
            <v>L Kota1</v>
          </cell>
          <cell r="T5637" t="str">
            <v>Wira</v>
          </cell>
          <cell r="U5637">
            <v>0</v>
          </cell>
        </row>
        <row r="5638">
          <cell r="E5638" t="str">
            <v>C25000793</v>
          </cell>
          <cell r="F5638"/>
          <cell r="G5638">
            <v>10000000</v>
          </cell>
          <cell r="H5638" t="str">
            <v>Yuyun</v>
          </cell>
          <cell r="I5638" t="str">
            <v>Farida</v>
          </cell>
          <cell r="J5638"/>
          <cell r="K5638" t="str">
            <v>Lobi</v>
          </cell>
          <cell r="L5638" t="str">
            <v>NNSU01</v>
          </cell>
          <cell r="M5638" t="str">
            <v>NN Supangat</v>
          </cell>
          <cell r="N5638" t="str">
            <v>Supangat</v>
          </cell>
          <cell r="O5638" t="str">
            <v>Jember</v>
          </cell>
          <cell r="P5638" t="str">
            <v>Jember</v>
          </cell>
          <cell r="Q5638" t="str">
            <v>Jember</v>
          </cell>
          <cell r="R5638" t="str">
            <v>Jember</v>
          </cell>
          <cell r="S5638" t="str">
            <v>L Kota1</v>
          </cell>
          <cell r="T5638" t="str">
            <v>Wira</v>
          </cell>
          <cell r="U5638">
            <v>0</v>
          </cell>
        </row>
        <row r="5639">
          <cell r="E5639" t="str">
            <v>C25000814</v>
          </cell>
          <cell r="F5639"/>
          <cell r="G5639">
            <v>10000000</v>
          </cell>
          <cell r="H5639" t="str">
            <v>Yuyun</v>
          </cell>
          <cell r="I5639" t="str">
            <v>Farida</v>
          </cell>
          <cell r="J5639"/>
          <cell r="K5639" t="str">
            <v>Lobi</v>
          </cell>
          <cell r="L5639" t="str">
            <v>NNSU01</v>
          </cell>
          <cell r="M5639" t="str">
            <v>NN Supangat</v>
          </cell>
          <cell r="N5639" t="str">
            <v>Supangat</v>
          </cell>
          <cell r="O5639" t="str">
            <v>Jember</v>
          </cell>
          <cell r="P5639" t="str">
            <v>Jember</v>
          </cell>
          <cell r="Q5639" t="str">
            <v>Jember</v>
          </cell>
          <cell r="R5639" t="str">
            <v>Jember</v>
          </cell>
          <cell r="S5639" t="str">
            <v>L Kota1</v>
          </cell>
          <cell r="T5639" t="str">
            <v>Wira</v>
          </cell>
          <cell r="U5639">
            <v>0</v>
          </cell>
        </row>
        <row r="5640">
          <cell r="E5640" t="str">
            <v>A25002025</v>
          </cell>
          <cell r="F5640"/>
          <cell r="G5640">
            <v>10000000</v>
          </cell>
          <cell r="H5640" t="str">
            <v>Yuyun</v>
          </cell>
          <cell r="I5640" t="str">
            <v>Farida</v>
          </cell>
          <cell r="J5640"/>
          <cell r="K5640" t="str">
            <v>Lobi</v>
          </cell>
          <cell r="L5640" t="str">
            <v>NNSU01</v>
          </cell>
          <cell r="M5640" t="str">
            <v>NN Supangat</v>
          </cell>
          <cell r="N5640" t="str">
            <v>Supangat</v>
          </cell>
          <cell r="O5640" t="str">
            <v>Jember</v>
          </cell>
          <cell r="P5640" t="str">
            <v>Jember</v>
          </cell>
          <cell r="Q5640" t="str">
            <v>Jember</v>
          </cell>
          <cell r="R5640" t="str">
            <v>Jember</v>
          </cell>
          <cell r="S5640" t="str">
            <v>L Kota1</v>
          </cell>
          <cell r="T5640" t="str">
            <v>Wira</v>
          </cell>
          <cell r="U5640">
            <v>0</v>
          </cell>
        </row>
        <row r="5641">
          <cell r="E5641" t="str">
            <v>C25000860</v>
          </cell>
          <cell r="F5641"/>
          <cell r="G5641">
            <v>10000000</v>
          </cell>
          <cell r="H5641" t="str">
            <v>Yuyun</v>
          </cell>
          <cell r="I5641" t="str">
            <v>Farida</v>
          </cell>
          <cell r="J5641"/>
          <cell r="K5641" t="str">
            <v>Lobi</v>
          </cell>
          <cell r="L5641" t="str">
            <v>NNSU01</v>
          </cell>
          <cell r="M5641" t="str">
            <v>NN Supangat</v>
          </cell>
          <cell r="N5641" t="str">
            <v>Supangat</v>
          </cell>
          <cell r="O5641" t="str">
            <v>Jember</v>
          </cell>
          <cell r="P5641" t="str">
            <v>Jember</v>
          </cell>
          <cell r="Q5641" t="str">
            <v>Jember</v>
          </cell>
          <cell r="R5641" t="str">
            <v>Jember</v>
          </cell>
          <cell r="S5641" t="str">
            <v>L Kota1</v>
          </cell>
          <cell r="T5641" t="str">
            <v>Wira</v>
          </cell>
          <cell r="U5641">
            <v>0</v>
          </cell>
        </row>
        <row r="5642">
          <cell r="E5642" t="str">
            <v>C25000898</v>
          </cell>
          <cell r="F5642"/>
          <cell r="G5642">
            <v>10000000</v>
          </cell>
          <cell r="H5642" t="str">
            <v>Yuyun</v>
          </cell>
          <cell r="I5642" t="str">
            <v>Farida</v>
          </cell>
          <cell r="J5642"/>
          <cell r="K5642" t="str">
            <v>Lobi</v>
          </cell>
          <cell r="L5642" t="str">
            <v>NNSU01</v>
          </cell>
          <cell r="M5642" t="str">
            <v>NN Supangat</v>
          </cell>
          <cell r="N5642" t="str">
            <v>Supangat</v>
          </cell>
          <cell r="O5642" t="str">
            <v>Jember</v>
          </cell>
          <cell r="P5642" t="str">
            <v>Jember</v>
          </cell>
          <cell r="Q5642" t="str">
            <v>Jember</v>
          </cell>
          <cell r="R5642" t="str">
            <v>Jember</v>
          </cell>
          <cell r="S5642" t="str">
            <v>L Kota1</v>
          </cell>
          <cell r="T5642" t="str">
            <v>Wira</v>
          </cell>
          <cell r="U5642">
            <v>0</v>
          </cell>
        </row>
        <row r="5643">
          <cell r="E5643" t="str">
            <v>C25000846</v>
          </cell>
          <cell r="F5643"/>
          <cell r="G5643">
            <v>10000000</v>
          </cell>
          <cell r="H5643" t="str">
            <v>Yuyun</v>
          </cell>
          <cell r="I5643" t="str">
            <v>Farida</v>
          </cell>
          <cell r="J5643"/>
          <cell r="K5643" t="str">
            <v>Lobi</v>
          </cell>
          <cell r="L5643" t="str">
            <v>NNTA01</v>
          </cell>
          <cell r="M5643" t="str">
            <v>NN Taqin</v>
          </cell>
          <cell r="N5643" t="str">
            <v>Taqin</v>
          </cell>
          <cell r="O5643" t="str">
            <v>Jember</v>
          </cell>
          <cell r="P5643" t="str">
            <v>Jember</v>
          </cell>
          <cell r="Q5643" t="str">
            <v>Jember</v>
          </cell>
          <cell r="R5643" t="str">
            <v>Jember</v>
          </cell>
          <cell r="S5643" t="str">
            <v>L Kota1</v>
          </cell>
          <cell r="T5643" t="str">
            <v>Wira</v>
          </cell>
          <cell r="U5643">
            <v>0</v>
          </cell>
        </row>
        <row r="5644">
          <cell r="E5644" t="str">
            <v>A25002056</v>
          </cell>
          <cell r="F5644"/>
          <cell r="G5644">
            <v>10000000</v>
          </cell>
          <cell r="H5644" t="str">
            <v>Yuyun</v>
          </cell>
          <cell r="I5644" t="str">
            <v>Farida</v>
          </cell>
          <cell r="J5644"/>
          <cell r="K5644" t="str">
            <v>Lobi</v>
          </cell>
          <cell r="L5644" t="str">
            <v>NNTA01</v>
          </cell>
          <cell r="M5644" t="str">
            <v>NN Taqin</v>
          </cell>
          <cell r="N5644" t="str">
            <v>Taqin</v>
          </cell>
          <cell r="O5644" t="str">
            <v>Jember</v>
          </cell>
          <cell r="P5644" t="str">
            <v>Jember</v>
          </cell>
          <cell r="Q5644" t="str">
            <v>Jember</v>
          </cell>
          <cell r="R5644" t="str">
            <v>Jember</v>
          </cell>
          <cell r="S5644" t="str">
            <v>L Kota1</v>
          </cell>
          <cell r="T5644" t="str">
            <v>Wira</v>
          </cell>
          <cell r="U5644">
            <v>0</v>
          </cell>
        </row>
        <row r="5645">
          <cell r="E5645" t="str">
            <v>C25000888</v>
          </cell>
          <cell r="F5645"/>
          <cell r="G5645">
            <v>10000000</v>
          </cell>
          <cell r="H5645" t="str">
            <v>Yuyun</v>
          </cell>
          <cell r="I5645" t="str">
            <v>Farida</v>
          </cell>
          <cell r="J5645"/>
          <cell r="K5645" t="str">
            <v>Lobi</v>
          </cell>
          <cell r="L5645" t="str">
            <v>NNTA01</v>
          </cell>
          <cell r="M5645" t="str">
            <v>NN Taqin</v>
          </cell>
          <cell r="N5645" t="str">
            <v>Taqin</v>
          </cell>
          <cell r="O5645" t="str">
            <v>Jember</v>
          </cell>
          <cell r="P5645" t="str">
            <v>Jember</v>
          </cell>
          <cell r="Q5645" t="str">
            <v>Jember</v>
          </cell>
          <cell r="R5645" t="str">
            <v>Jember</v>
          </cell>
          <cell r="S5645" t="str">
            <v>L Kota1</v>
          </cell>
          <cell r="T5645" t="str">
            <v>Wira</v>
          </cell>
          <cell r="U5645">
            <v>0</v>
          </cell>
        </row>
        <row r="5646">
          <cell r="E5646" t="str">
            <v>C25000795</v>
          </cell>
          <cell r="F5646"/>
          <cell r="G5646">
            <v>10000000</v>
          </cell>
          <cell r="H5646" t="str">
            <v>Yuyun</v>
          </cell>
          <cell r="I5646" t="str">
            <v>Farida</v>
          </cell>
          <cell r="J5646"/>
          <cell r="K5646" t="str">
            <v>Lobi</v>
          </cell>
          <cell r="L5646" t="str">
            <v>NNTA02</v>
          </cell>
          <cell r="M5646" t="str">
            <v>NN Tarjiman</v>
          </cell>
          <cell r="N5646" t="str">
            <v>Tarjiman</v>
          </cell>
          <cell r="O5646" t="str">
            <v>Jember</v>
          </cell>
          <cell r="P5646" t="str">
            <v>Jember</v>
          </cell>
          <cell r="Q5646" t="str">
            <v>Jember</v>
          </cell>
          <cell r="R5646" t="str">
            <v>Jember</v>
          </cell>
          <cell r="S5646" t="str">
            <v>L Kota1</v>
          </cell>
          <cell r="T5646" t="str">
            <v>Wira</v>
          </cell>
          <cell r="U5646">
            <v>0</v>
          </cell>
        </row>
        <row r="5647">
          <cell r="E5647" t="str">
            <v>C25000810</v>
          </cell>
          <cell r="F5647"/>
          <cell r="G5647">
            <v>10000000</v>
          </cell>
          <cell r="H5647" t="str">
            <v>Yuyun</v>
          </cell>
          <cell r="I5647" t="str">
            <v>Farida</v>
          </cell>
          <cell r="J5647"/>
          <cell r="K5647" t="str">
            <v>Lobi</v>
          </cell>
          <cell r="L5647" t="str">
            <v>NNTA02</v>
          </cell>
          <cell r="M5647" t="str">
            <v>NN Tarjiman</v>
          </cell>
          <cell r="N5647" t="str">
            <v>Tarjiman</v>
          </cell>
          <cell r="O5647" t="str">
            <v>Jember</v>
          </cell>
          <cell r="P5647" t="str">
            <v>Jember</v>
          </cell>
          <cell r="Q5647" t="str">
            <v>Jember</v>
          </cell>
          <cell r="R5647" t="str">
            <v>Jember</v>
          </cell>
          <cell r="S5647" t="str">
            <v>L Kota1</v>
          </cell>
          <cell r="T5647" t="str">
            <v>Wira</v>
          </cell>
          <cell r="U5647">
            <v>0</v>
          </cell>
        </row>
        <row r="5648">
          <cell r="E5648" t="str">
            <v>A25002055</v>
          </cell>
          <cell r="F5648"/>
          <cell r="G5648">
            <v>10000000</v>
          </cell>
          <cell r="H5648" t="str">
            <v>Yuyun</v>
          </cell>
          <cell r="I5648" t="str">
            <v>Farida</v>
          </cell>
          <cell r="J5648"/>
          <cell r="K5648" t="str">
            <v>Lobi</v>
          </cell>
          <cell r="L5648" t="str">
            <v>NNWI01</v>
          </cell>
          <cell r="M5648" t="str">
            <v>NN Winarni</v>
          </cell>
          <cell r="N5648" t="str">
            <v>Winarni</v>
          </cell>
          <cell r="O5648" t="str">
            <v>Jember</v>
          </cell>
          <cell r="P5648" t="str">
            <v>Jember</v>
          </cell>
          <cell r="Q5648" t="str">
            <v>Jember</v>
          </cell>
          <cell r="R5648" t="str">
            <v>Jember</v>
          </cell>
          <cell r="S5648" t="str">
            <v>L Kota1</v>
          </cell>
          <cell r="T5648" t="str">
            <v>Wira</v>
          </cell>
          <cell r="U5648">
            <v>0</v>
          </cell>
        </row>
        <row r="5649">
          <cell r="E5649" t="str">
            <v>B25012935</v>
          </cell>
          <cell r="F5649"/>
          <cell r="G5649">
            <v>10000000</v>
          </cell>
          <cell r="H5649" t="str">
            <v>Yuyun</v>
          </cell>
          <cell r="I5649" t="str">
            <v>Farida</v>
          </cell>
          <cell r="J5649"/>
          <cell r="K5649" t="str">
            <v>Lobi</v>
          </cell>
          <cell r="L5649" t="str">
            <v>NNWI02</v>
          </cell>
          <cell r="M5649" t="str">
            <v>NN Winarno</v>
          </cell>
          <cell r="N5649" t="str">
            <v>Winarno</v>
          </cell>
          <cell r="O5649" t="str">
            <v>Jember</v>
          </cell>
          <cell r="P5649" t="str">
            <v>Jember</v>
          </cell>
          <cell r="Q5649" t="str">
            <v>Jember</v>
          </cell>
          <cell r="R5649" t="str">
            <v>Jember</v>
          </cell>
          <cell r="S5649" t="str">
            <v>L Kota1</v>
          </cell>
          <cell r="T5649" t="str">
            <v>Wira</v>
          </cell>
          <cell r="U5649">
            <v>0</v>
          </cell>
        </row>
        <row r="5650">
          <cell r="E5650" t="str">
            <v>C25000890</v>
          </cell>
          <cell r="F5650"/>
          <cell r="G5650">
            <v>10000000</v>
          </cell>
          <cell r="H5650" t="str">
            <v>Yuyun</v>
          </cell>
          <cell r="I5650" t="str">
            <v>Farida</v>
          </cell>
          <cell r="J5650"/>
          <cell r="K5650" t="str">
            <v>Lobi</v>
          </cell>
          <cell r="L5650" t="str">
            <v>NNWI02</v>
          </cell>
          <cell r="M5650" t="str">
            <v>NN Winarno</v>
          </cell>
          <cell r="N5650" t="str">
            <v>Winarno</v>
          </cell>
          <cell r="O5650" t="str">
            <v>Jember</v>
          </cell>
          <cell r="P5650" t="str">
            <v>Jember</v>
          </cell>
          <cell r="Q5650" t="str">
            <v>Jember</v>
          </cell>
          <cell r="R5650" t="str">
            <v>Jember</v>
          </cell>
          <cell r="S5650" t="str">
            <v>L Kota1</v>
          </cell>
          <cell r="T5650" t="str">
            <v>Wira</v>
          </cell>
          <cell r="U5650">
            <v>0</v>
          </cell>
        </row>
        <row r="5651">
          <cell r="E5651" t="str">
            <v>C25000790</v>
          </cell>
          <cell r="F5651"/>
          <cell r="G5651">
            <v>10000000</v>
          </cell>
          <cell r="H5651" t="str">
            <v>Yuyun</v>
          </cell>
          <cell r="I5651" t="str">
            <v>Farida</v>
          </cell>
          <cell r="J5651"/>
          <cell r="K5651" t="str">
            <v>Lobi</v>
          </cell>
          <cell r="L5651" t="str">
            <v>NNWI03</v>
          </cell>
          <cell r="M5651" t="str">
            <v>NN Wisnu</v>
          </cell>
          <cell r="N5651" t="str">
            <v>Wisnu</v>
          </cell>
          <cell r="O5651" t="str">
            <v>Jember</v>
          </cell>
          <cell r="P5651" t="str">
            <v>Jember</v>
          </cell>
          <cell r="Q5651" t="str">
            <v>Jember</v>
          </cell>
          <cell r="R5651" t="str">
            <v>Jember</v>
          </cell>
          <cell r="S5651" t="str">
            <v>L Kota1</v>
          </cell>
          <cell r="T5651" t="str">
            <v>Wira</v>
          </cell>
          <cell r="U5651">
            <v>0</v>
          </cell>
        </row>
        <row r="5652">
          <cell r="E5652" t="str">
            <v>A25002054</v>
          </cell>
          <cell r="F5652"/>
          <cell r="G5652">
            <v>10000000</v>
          </cell>
          <cell r="H5652" t="str">
            <v>Yuyun</v>
          </cell>
          <cell r="I5652" t="str">
            <v>Farida</v>
          </cell>
          <cell r="J5652"/>
          <cell r="K5652" t="str">
            <v>Lobi</v>
          </cell>
          <cell r="L5652" t="str">
            <v>NNWI03</v>
          </cell>
          <cell r="M5652" t="str">
            <v>NN Wisnu</v>
          </cell>
          <cell r="N5652" t="str">
            <v>Wisnu</v>
          </cell>
          <cell r="O5652" t="str">
            <v>Jember</v>
          </cell>
          <cell r="P5652" t="str">
            <v>Jember</v>
          </cell>
          <cell r="Q5652" t="str">
            <v>Jember</v>
          </cell>
          <cell r="R5652" t="str">
            <v>Jember</v>
          </cell>
          <cell r="S5652" t="str">
            <v>L Kota1</v>
          </cell>
          <cell r="T5652" t="str">
            <v>Wira</v>
          </cell>
          <cell r="U5652">
            <v>0</v>
          </cell>
        </row>
        <row r="5653">
          <cell r="E5653" t="str">
            <v>D25016286</v>
          </cell>
          <cell r="F5653"/>
          <cell r="G5653">
            <v>10000000</v>
          </cell>
          <cell r="H5653" t="str">
            <v>Yuyun</v>
          </cell>
          <cell r="I5653" t="str">
            <v>Farida</v>
          </cell>
          <cell r="J5653"/>
          <cell r="K5653" t="str">
            <v>Lobi</v>
          </cell>
          <cell r="L5653" t="str">
            <v>NNWI03</v>
          </cell>
          <cell r="M5653" t="str">
            <v>NN Wisnu</v>
          </cell>
          <cell r="N5653" t="str">
            <v>Wisnu</v>
          </cell>
          <cell r="O5653" t="str">
            <v>Jember</v>
          </cell>
          <cell r="P5653" t="str">
            <v>Jember</v>
          </cell>
          <cell r="Q5653" t="str">
            <v>Jember</v>
          </cell>
          <cell r="R5653" t="str">
            <v>Jember</v>
          </cell>
          <cell r="S5653" t="str">
            <v>L Kota1</v>
          </cell>
          <cell r="T5653" t="str">
            <v>Wira</v>
          </cell>
          <cell r="U5653">
            <v>0</v>
          </cell>
        </row>
        <row r="5654">
          <cell r="E5654" t="str">
            <v>B25012743</v>
          </cell>
          <cell r="F5654"/>
          <cell r="G5654">
            <v>10000000</v>
          </cell>
          <cell r="H5654" t="str">
            <v>Yuyun</v>
          </cell>
          <cell r="I5654" t="str">
            <v>Farida</v>
          </cell>
          <cell r="J5654"/>
          <cell r="K5654" t="str">
            <v>Lobi</v>
          </cell>
          <cell r="L5654" t="str">
            <v>NNWI04</v>
          </cell>
          <cell r="M5654" t="str">
            <v>NN Wiyatmoko</v>
          </cell>
          <cell r="N5654" t="str">
            <v>Wiyatmoko</v>
          </cell>
          <cell r="O5654" t="str">
            <v>Jember</v>
          </cell>
          <cell r="P5654" t="str">
            <v>Jember</v>
          </cell>
          <cell r="Q5654" t="str">
            <v>Jember</v>
          </cell>
          <cell r="R5654" t="str">
            <v>Jember</v>
          </cell>
          <cell r="S5654" t="str">
            <v>L Kota1</v>
          </cell>
          <cell r="T5654" t="str">
            <v>Wira</v>
          </cell>
          <cell r="U5654">
            <v>0</v>
          </cell>
        </row>
        <row r="5655">
          <cell r="E5655" t="str">
            <v>C25000829</v>
          </cell>
          <cell r="F5655"/>
          <cell r="G5655">
            <v>10000000</v>
          </cell>
          <cell r="H5655" t="str">
            <v>Yuyun</v>
          </cell>
          <cell r="I5655" t="str">
            <v>Farida</v>
          </cell>
          <cell r="J5655"/>
          <cell r="K5655" t="str">
            <v>Lobi</v>
          </cell>
          <cell r="L5655" t="str">
            <v>NNWI04</v>
          </cell>
          <cell r="M5655" t="str">
            <v>NN Wiyatmoko</v>
          </cell>
          <cell r="N5655" t="str">
            <v>Wiyatmoko</v>
          </cell>
          <cell r="O5655" t="str">
            <v>Jember</v>
          </cell>
          <cell r="P5655" t="str">
            <v>Jember</v>
          </cell>
          <cell r="Q5655" t="str">
            <v>Jember</v>
          </cell>
          <cell r="R5655" t="str">
            <v>Jember</v>
          </cell>
          <cell r="S5655" t="str">
            <v>L Kota1</v>
          </cell>
          <cell r="T5655" t="str">
            <v>Wira</v>
          </cell>
          <cell r="U5655">
            <v>0</v>
          </cell>
        </row>
        <row r="5656">
          <cell r="E5656" t="str">
            <v>C25000854</v>
          </cell>
          <cell r="F5656"/>
          <cell r="G5656">
            <v>10000000</v>
          </cell>
          <cell r="H5656" t="str">
            <v>Yuyun</v>
          </cell>
          <cell r="I5656" t="str">
            <v>Farida</v>
          </cell>
          <cell r="J5656"/>
          <cell r="K5656" t="str">
            <v>Lobi</v>
          </cell>
          <cell r="L5656" t="str">
            <v>NNWI04</v>
          </cell>
          <cell r="M5656" t="str">
            <v>NN Wiyatmoko</v>
          </cell>
          <cell r="N5656" t="str">
            <v>Wiyatmoko</v>
          </cell>
          <cell r="O5656" t="str">
            <v>Jember</v>
          </cell>
          <cell r="P5656" t="str">
            <v>Jember</v>
          </cell>
          <cell r="Q5656" t="str">
            <v>Jember</v>
          </cell>
          <cell r="R5656" t="str">
            <v>Jember</v>
          </cell>
          <cell r="S5656" t="str">
            <v>L Kota1</v>
          </cell>
          <cell r="T5656" t="str">
            <v>Wira</v>
          </cell>
          <cell r="U5656">
            <v>0</v>
          </cell>
        </row>
        <row r="5657">
          <cell r="E5657" t="str">
            <v>D25016044</v>
          </cell>
          <cell r="F5657"/>
          <cell r="G5657">
            <v>10000000</v>
          </cell>
          <cell r="H5657" t="str">
            <v>Yuyun</v>
          </cell>
          <cell r="I5657" t="str">
            <v>Farida</v>
          </cell>
          <cell r="J5657"/>
          <cell r="K5657" t="str">
            <v>Lobi</v>
          </cell>
          <cell r="L5657" t="str">
            <v>NNWI04</v>
          </cell>
          <cell r="M5657" t="str">
            <v>NN Wiyatmoko</v>
          </cell>
          <cell r="N5657" t="str">
            <v>Wiyatmoko</v>
          </cell>
          <cell r="O5657" t="str">
            <v>Jember</v>
          </cell>
          <cell r="P5657" t="str">
            <v>Jember</v>
          </cell>
          <cell r="Q5657" t="str">
            <v>Jember</v>
          </cell>
          <cell r="R5657" t="str">
            <v>Jember</v>
          </cell>
          <cell r="S5657" t="str">
            <v>L Kota1</v>
          </cell>
          <cell r="T5657" t="str">
            <v>Wira</v>
          </cell>
          <cell r="U5657">
            <v>0</v>
          </cell>
        </row>
        <row r="5658">
          <cell r="E5658" t="str">
            <v>C25000912</v>
          </cell>
          <cell r="F5658"/>
          <cell r="G5658">
            <v>10000000</v>
          </cell>
          <cell r="H5658" t="str">
            <v>Yuyun</v>
          </cell>
          <cell r="I5658" t="str">
            <v>Farida</v>
          </cell>
          <cell r="J5658"/>
          <cell r="K5658" t="str">
            <v>Lobi</v>
          </cell>
          <cell r="L5658" t="str">
            <v>NNWI04</v>
          </cell>
          <cell r="M5658" t="str">
            <v>NN Wiyatmoko</v>
          </cell>
          <cell r="N5658" t="str">
            <v>Wiyatmoko</v>
          </cell>
          <cell r="O5658" t="str">
            <v>Jember</v>
          </cell>
          <cell r="P5658" t="str">
            <v>Jember</v>
          </cell>
          <cell r="Q5658" t="str">
            <v>Jember</v>
          </cell>
          <cell r="R5658" t="str">
            <v>Jember</v>
          </cell>
          <cell r="S5658" t="str">
            <v>L Kota1</v>
          </cell>
          <cell r="T5658" t="str">
            <v>Wira</v>
          </cell>
          <cell r="U5658">
            <v>0</v>
          </cell>
        </row>
        <row r="5659">
          <cell r="E5659" t="str">
            <v>T25001573</v>
          </cell>
          <cell r="F5659"/>
          <cell r="G5659">
            <v>1000</v>
          </cell>
          <cell r="H5659" t="str">
            <v>Reni</v>
          </cell>
          <cell r="I5659" t="str">
            <v>Farida</v>
          </cell>
          <cell r="J5659" t="str">
            <v>New 07/06/22</v>
          </cell>
          <cell r="K5659" t="str">
            <v>KU</v>
          </cell>
          <cell r="L5659" t="str">
            <v>NOTO01</v>
          </cell>
          <cell r="M5659" t="str">
            <v>Noto Tani/Hariyanto</v>
          </cell>
          <cell r="N5659" t="str">
            <v>Hariyanto</v>
          </cell>
          <cell r="O5659" t="str">
            <v>Dsn. Cempo, Desa Doho RT.035/RW.004, Kel. Doho, Kec. Dolopo</v>
          </cell>
          <cell r="P5659" t="str">
            <v>Madiun</v>
          </cell>
          <cell r="Q5659" t="str">
            <v>Dsn. Cempo, Desa Doho RT.035/RW.004, Kel. Doho, Kec. Dolopo</v>
          </cell>
          <cell r="R5659" t="str">
            <v>Madiun</v>
          </cell>
          <cell r="S5659" t="str">
            <v>D Barat2</v>
          </cell>
          <cell r="T5659" t="str">
            <v>Dian</v>
          </cell>
          <cell r="U5659">
            <v>0</v>
          </cell>
        </row>
        <row r="5660">
          <cell r="E5660" t="str">
            <v>T25000761</v>
          </cell>
          <cell r="F5660"/>
          <cell r="G5660">
            <v>15000000000</v>
          </cell>
          <cell r="H5660" t="str">
            <v>Reni</v>
          </cell>
          <cell r="I5660" t="str">
            <v>Farida</v>
          </cell>
          <cell r="J5660"/>
          <cell r="K5660" t="str">
            <v>BG</v>
          </cell>
          <cell r="L5660" t="str">
            <v>NUAN01</v>
          </cell>
          <cell r="M5660" t="str">
            <v>Nuansa Tani</v>
          </cell>
          <cell r="N5660" t="str">
            <v>Nuansa Tani</v>
          </cell>
          <cell r="O5660" t="str">
            <v>Dukuh Taji RT.001/RW.002 Gelanglor, Sukorejo, Kab. Ponorogo</v>
          </cell>
          <cell r="P5660" t="str">
            <v>Ponorogo</v>
          </cell>
          <cell r="Q5660" t="str">
            <v>Dukuh Taji RT.001/RW.002 Gelanglor, Sukorejo, Kab. Ponorogo</v>
          </cell>
          <cell r="R5660" t="str">
            <v>Ponorogo</v>
          </cell>
          <cell r="S5660" t="str">
            <v>D Barat2</v>
          </cell>
          <cell r="T5660" t="str">
            <v>Dian</v>
          </cell>
          <cell r="U5660">
            <v>90</v>
          </cell>
        </row>
        <row r="5661">
          <cell r="E5661" t="str">
            <v>T25000762</v>
          </cell>
          <cell r="F5661"/>
          <cell r="G5661">
            <v>15000000000</v>
          </cell>
          <cell r="H5661" t="str">
            <v>Reni</v>
          </cell>
          <cell r="I5661" t="str">
            <v>Farida</v>
          </cell>
          <cell r="J5661"/>
          <cell r="K5661" t="str">
            <v>BG</v>
          </cell>
          <cell r="L5661" t="str">
            <v>NUAN01</v>
          </cell>
          <cell r="M5661" t="str">
            <v>Nuansa Tani</v>
          </cell>
          <cell r="N5661" t="str">
            <v>Nuansa Tani</v>
          </cell>
          <cell r="O5661" t="str">
            <v>Dukuh Taji RT.001/RW.002 Gelanglor, Sukorejo, Kab. Ponorogo</v>
          </cell>
          <cell r="P5661" t="str">
            <v>Ponorogo</v>
          </cell>
          <cell r="Q5661" t="str">
            <v>Dukuh Taji RT.001/RW.002 Gelanglor, Sukorejo, Kab. Ponorogo</v>
          </cell>
          <cell r="R5661" t="str">
            <v>Ponorogo</v>
          </cell>
          <cell r="S5661" t="str">
            <v>D Barat2</v>
          </cell>
          <cell r="T5661" t="str">
            <v>Dian</v>
          </cell>
          <cell r="U5661">
            <v>90</v>
          </cell>
        </row>
        <row r="5662">
          <cell r="E5662" t="str">
            <v>B25006711</v>
          </cell>
          <cell r="F5662"/>
          <cell r="G5662">
            <v>15000000000</v>
          </cell>
          <cell r="H5662" t="str">
            <v>Reni</v>
          </cell>
          <cell r="I5662" t="str">
            <v>Farida</v>
          </cell>
          <cell r="J5662"/>
          <cell r="K5662" t="str">
            <v>BG</v>
          </cell>
          <cell r="L5662" t="str">
            <v>NUAN01</v>
          </cell>
          <cell r="M5662" t="str">
            <v>Nuansa Tani</v>
          </cell>
          <cell r="N5662" t="str">
            <v>Nuansa Tani</v>
          </cell>
          <cell r="O5662" t="str">
            <v>Dukuh Taji RT.001/RW.002 Gelanglor, Sukorejo, Kab. Ponorogo</v>
          </cell>
          <cell r="P5662" t="str">
            <v>Ponorogo</v>
          </cell>
          <cell r="Q5662" t="str">
            <v>Dukuh Taji RT.001/RW.002 Gelanglor, Sukorejo, Kab. Ponorogo</v>
          </cell>
          <cell r="R5662" t="str">
            <v>Ponorogo</v>
          </cell>
          <cell r="S5662" t="str">
            <v>D Barat2</v>
          </cell>
          <cell r="T5662" t="str">
            <v>Dian</v>
          </cell>
          <cell r="U5662">
            <v>30</v>
          </cell>
        </row>
        <row r="5663">
          <cell r="E5663" t="str">
            <v>B25006712</v>
          </cell>
          <cell r="F5663"/>
          <cell r="G5663">
            <v>15000000000</v>
          </cell>
          <cell r="H5663" t="str">
            <v>Reni</v>
          </cell>
          <cell r="I5663" t="str">
            <v>Farida</v>
          </cell>
          <cell r="J5663"/>
          <cell r="K5663" t="str">
            <v>BG</v>
          </cell>
          <cell r="L5663" t="str">
            <v>NUAN01</v>
          </cell>
          <cell r="M5663" t="str">
            <v>Nuansa Tani</v>
          </cell>
          <cell r="N5663" t="str">
            <v>Nuansa Tani</v>
          </cell>
          <cell r="O5663" t="str">
            <v>Dukuh Taji RT.001/RW.002 Gelanglor, Sukorejo, Kab. Ponorogo</v>
          </cell>
          <cell r="P5663" t="str">
            <v>Ponorogo</v>
          </cell>
          <cell r="Q5663" t="str">
            <v>Dukuh Taji RT.001/RW.002 Gelanglor, Sukorejo, Kab. Ponorogo</v>
          </cell>
          <cell r="R5663" t="str">
            <v>Ponorogo</v>
          </cell>
          <cell r="S5663" t="str">
            <v>D Barat2</v>
          </cell>
          <cell r="T5663" t="str">
            <v>Dian</v>
          </cell>
          <cell r="U5663">
            <v>30</v>
          </cell>
        </row>
        <row r="5664">
          <cell r="E5664" t="str">
            <v>B25006723</v>
          </cell>
          <cell r="F5664"/>
          <cell r="G5664">
            <v>15000000000</v>
          </cell>
          <cell r="H5664" t="str">
            <v>Reni</v>
          </cell>
          <cell r="I5664" t="str">
            <v>Farida</v>
          </cell>
          <cell r="J5664"/>
          <cell r="K5664" t="str">
            <v>BG</v>
          </cell>
          <cell r="L5664" t="str">
            <v>NUAN01</v>
          </cell>
          <cell r="M5664" t="str">
            <v>Nuansa Tani</v>
          </cell>
          <cell r="N5664" t="str">
            <v>Nuansa Tani</v>
          </cell>
          <cell r="O5664" t="str">
            <v>Dukuh Taji RT.001/RW.002 Gelanglor, Sukorejo, Kab. Ponorogo</v>
          </cell>
          <cell r="P5664" t="str">
            <v>Ponorogo</v>
          </cell>
          <cell r="Q5664" t="str">
            <v>Dukuh Taji RT.001/RW.002 Gelanglor, Sukorejo, Kab. Ponorogo</v>
          </cell>
          <cell r="R5664" t="str">
            <v>Ponorogo</v>
          </cell>
          <cell r="S5664" t="str">
            <v>D Barat2</v>
          </cell>
          <cell r="T5664" t="str">
            <v>Dian</v>
          </cell>
          <cell r="U5664">
            <v>30</v>
          </cell>
        </row>
        <row r="5665">
          <cell r="E5665" t="str">
            <v>B25006723</v>
          </cell>
          <cell r="F5665"/>
          <cell r="G5665">
            <v>15000000000</v>
          </cell>
          <cell r="H5665" t="str">
            <v>Reni</v>
          </cell>
          <cell r="I5665" t="str">
            <v>Farida</v>
          </cell>
          <cell r="J5665"/>
          <cell r="K5665" t="str">
            <v>BG</v>
          </cell>
          <cell r="L5665" t="str">
            <v>NUAN01</v>
          </cell>
          <cell r="M5665" t="str">
            <v>Nuansa Tani</v>
          </cell>
          <cell r="N5665" t="str">
            <v>Nuansa Tani</v>
          </cell>
          <cell r="O5665" t="str">
            <v>Dukuh Taji RT.001/RW.002 Gelanglor, Sukorejo, Kab. Ponorogo</v>
          </cell>
          <cell r="P5665" t="str">
            <v>Ponorogo</v>
          </cell>
          <cell r="Q5665" t="str">
            <v>Dukuh Taji RT.001/RW.002 Gelanglor, Sukorejo, Kab. Ponorogo</v>
          </cell>
          <cell r="R5665" t="str">
            <v>Ponorogo</v>
          </cell>
          <cell r="S5665" t="str">
            <v>D Barat2</v>
          </cell>
          <cell r="T5665" t="str">
            <v>Dian</v>
          </cell>
          <cell r="U5665">
            <v>30</v>
          </cell>
        </row>
        <row r="5666">
          <cell r="E5666" t="str">
            <v>B25006723</v>
          </cell>
          <cell r="F5666"/>
          <cell r="G5666">
            <v>15000000000</v>
          </cell>
          <cell r="H5666" t="str">
            <v>Reni</v>
          </cell>
          <cell r="I5666" t="str">
            <v>Farida</v>
          </cell>
          <cell r="J5666"/>
          <cell r="K5666" t="str">
            <v>BG</v>
          </cell>
          <cell r="L5666" t="str">
            <v>NUAN01</v>
          </cell>
          <cell r="M5666" t="str">
            <v>Nuansa Tani</v>
          </cell>
          <cell r="N5666" t="str">
            <v>Nuansa Tani</v>
          </cell>
          <cell r="O5666" t="str">
            <v>Dukuh Taji RT.001/RW.002 Gelanglor, Sukorejo, Kab. Ponorogo</v>
          </cell>
          <cell r="P5666" t="str">
            <v>Ponorogo</v>
          </cell>
          <cell r="Q5666" t="str">
            <v>Dukuh Taji RT.001/RW.002 Gelanglor, Sukorejo, Kab. Ponorogo</v>
          </cell>
          <cell r="R5666" t="str">
            <v>Ponorogo</v>
          </cell>
          <cell r="S5666" t="str">
            <v>D Barat2</v>
          </cell>
          <cell r="T5666" t="str">
            <v>Dian</v>
          </cell>
          <cell r="U5666">
            <v>30</v>
          </cell>
        </row>
        <row r="5667">
          <cell r="E5667" t="str">
            <v>B25006740</v>
          </cell>
          <cell r="F5667"/>
          <cell r="G5667">
            <v>15000000000</v>
          </cell>
          <cell r="H5667" t="str">
            <v>Reni</v>
          </cell>
          <cell r="I5667" t="str">
            <v>Farida</v>
          </cell>
          <cell r="J5667"/>
          <cell r="K5667" t="str">
            <v>BG</v>
          </cell>
          <cell r="L5667" t="str">
            <v>NUAN01</v>
          </cell>
          <cell r="M5667" t="str">
            <v>Nuansa Tani</v>
          </cell>
          <cell r="N5667" t="str">
            <v>Nuansa Tani</v>
          </cell>
          <cell r="O5667" t="str">
            <v>Dukuh Taji RT.001/RW.002 Gelanglor, Sukorejo, Kab. Ponorogo</v>
          </cell>
          <cell r="P5667" t="str">
            <v>Ponorogo</v>
          </cell>
          <cell r="Q5667" t="str">
            <v>Dukuh Taji RT.001/RW.002 Gelanglor, Sukorejo, Kab. Ponorogo</v>
          </cell>
          <cell r="R5667" t="str">
            <v>Ponorogo</v>
          </cell>
          <cell r="S5667" t="str">
            <v>D Barat2</v>
          </cell>
          <cell r="T5667" t="str">
            <v>Dian</v>
          </cell>
          <cell r="U5667">
            <v>30</v>
          </cell>
        </row>
        <row r="5668">
          <cell r="E5668" t="str">
            <v>D25008504</v>
          </cell>
          <cell r="F5668"/>
          <cell r="G5668">
            <v>15000000000</v>
          </cell>
          <cell r="H5668" t="str">
            <v>Reni</v>
          </cell>
          <cell r="I5668" t="str">
            <v>Farida</v>
          </cell>
          <cell r="J5668"/>
          <cell r="K5668" t="str">
            <v>BG</v>
          </cell>
          <cell r="L5668" t="str">
            <v>NUAN01</v>
          </cell>
          <cell r="M5668" t="str">
            <v>Nuansa Tani</v>
          </cell>
          <cell r="N5668" t="str">
            <v>Nuansa Tani</v>
          </cell>
          <cell r="O5668" t="str">
            <v>Dukuh Taji RT.001/RW.002 Gelanglor, Sukorejo, Kab. Ponorogo</v>
          </cell>
          <cell r="P5668" t="str">
            <v>Ponorogo</v>
          </cell>
          <cell r="Q5668" t="str">
            <v>Dukuh Taji RT.001/RW.002 Gelanglor, Sukorejo, Kab. Ponorogo</v>
          </cell>
          <cell r="R5668" t="str">
            <v>Ponorogo</v>
          </cell>
          <cell r="S5668" t="str">
            <v>D Barat2</v>
          </cell>
          <cell r="T5668" t="str">
            <v>Dian</v>
          </cell>
          <cell r="U5668">
            <v>30</v>
          </cell>
        </row>
        <row r="5669">
          <cell r="E5669" t="str">
            <v>D25008511</v>
          </cell>
          <cell r="F5669"/>
          <cell r="G5669">
            <v>15000000000</v>
          </cell>
          <cell r="H5669" t="str">
            <v>Reni</v>
          </cell>
          <cell r="I5669" t="str">
            <v>Farida</v>
          </cell>
          <cell r="J5669"/>
          <cell r="K5669" t="str">
            <v>BG</v>
          </cell>
          <cell r="L5669" t="str">
            <v>NUAN01</v>
          </cell>
          <cell r="M5669" t="str">
            <v>Nuansa Tani</v>
          </cell>
          <cell r="N5669" t="str">
            <v>Nuansa Tani</v>
          </cell>
          <cell r="O5669" t="str">
            <v>Dukuh Taji RT.001/RW.002 Gelanglor, Sukorejo, Kab. Ponorogo</v>
          </cell>
          <cell r="P5669" t="str">
            <v>Ponorogo</v>
          </cell>
          <cell r="Q5669" t="str">
            <v>Dukuh Taji RT.001/RW.002 Gelanglor, Sukorejo, Kab. Ponorogo</v>
          </cell>
          <cell r="R5669" t="str">
            <v>Ponorogo</v>
          </cell>
          <cell r="S5669" t="str">
            <v>D Barat2</v>
          </cell>
          <cell r="T5669" t="str">
            <v>Dian</v>
          </cell>
          <cell r="U5669">
            <v>30</v>
          </cell>
        </row>
        <row r="5670">
          <cell r="E5670" t="str">
            <v>B25006867</v>
          </cell>
          <cell r="F5670"/>
          <cell r="G5670">
            <v>15000000000</v>
          </cell>
          <cell r="H5670" t="str">
            <v>Reni</v>
          </cell>
          <cell r="I5670" t="str">
            <v>Farida</v>
          </cell>
          <cell r="J5670"/>
          <cell r="K5670" t="str">
            <v>BG</v>
          </cell>
          <cell r="L5670" t="str">
            <v>NUAN01</v>
          </cell>
          <cell r="M5670" t="str">
            <v>Nuansa Tani</v>
          </cell>
          <cell r="N5670" t="str">
            <v>Nuansa Tani</v>
          </cell>
          <cell r="O5670" t="str">
            <v>Dukuh Taji RT.001/RW.002 Gelanglor, Sukorejo, Kab. Ponorogo</v>
          </cell>
          <cell r="P5670" t="str">
            <v>Ponorogo</v>
          </cell>
          <cell r="Q5670" t="str">
            <v>Dukuh Taji RT.001/RW.002 Gelanglor, Sukorejo, Kab. Ponorogo</v>
          </cell>
          <cell r="R5670" t="str">
            <v>Ponorogo</v>
          </cell>
          <cell r="S5670" t="str">
            <v>D Barat2</v>
          </cell>
          <cell r="T5670" t="str">
            <v>Dian</v>
          </cell>
          <cell r="U5670">
            <v>30</v>
          </cell>
        </row>
        <row r="5671">
          <cell r="E5671" t="str">
            <v>B25006867</v>
          </cell>
          <cell r="F5671"/>
          <cell r="G5671">
            <v>15000000000</v>
          </cell>
          <cell r="H5671" t="str">
            <v>Reni</v>
          </cell>
          <cell r="I5671" t="str">
            <v>Farida</v>
          </cell>
          <cell r="J5671"/>
          <cell r="K5671" t="str">
            <v>BG</v>
          </cell>
          <cell r="L5671" t="str">
            <v>NUAN01</v>
          </cell>
          <cell r="M5671" t="str">
            <v>Nuansa Tani</v>
          </cell>
          <cell r="N5671" t="str">
            <v>Nuansa Tani</v>
          </cell>
          <cell r="O5671" t="str">
            <v>Dukuh Taji RT.001/RW.002 Gelanglor, Sukorejo, Kab. Ponorogo</v>
          </cell>
          <cell r="P5671" t="str">
            <v>Ponorogo</v>
          </cell>
          <cell r="Q5671" t="str">
            <v>Dukuh Taji RT.001/RW.002 Gelanglor, Sukorejo, Kab. Ponorogo</v>
          </cell>
          <cell r="R5671" t="str">
            <v>Ponorogo</v>
          </cell>
          <cell r="S5671" t="str">
            <v>D Barat2</v>
          </cell>
          <cell r="T5671" t="str">
            <v>Dian</v>
          </cell>
          <cell r="U5671">
            <v>30</v>
          </cell>
        </row>
        <row r="5672">
          <cell r="E5672" t="str">
            <v>B25006948</v>
          </cell>
          <cell r="F5672"/>
          <cell r="G5672">
            <v>15000000000</v>
          </cell>
          <cell r="H5672" t="str">
            <v>Reni</v>
          </cell>
          <cell r="I5672" t="str">
            <v>Farida</v>
          </cell>
          <cell r="J5672"/>
          <cell r="K5672" t="str">
            <v>BG</v>
          </cell>
          <cell r="L5672" t="str">
            <v>NUAN01</v>
          </cell>
          <cell r="M5672" t="str">
            <v>Nuansa Tani</v>
          </cell>
          <cell r="N5672" t="str">
            <v>Nuansa Tani</v>
          </cell>
          <cell r="O5672" t="str">
            <v>Dukuh Taji RT.001/RW.002 Gelanglor, Sukorejo, Kab. Ponorogo</v>
          </cell>
          <cell r="P5672" t="str">
            <v>Ponorogo</v>
          </cell>
          <cell r="Q5672" t="str">
            <v>Dukuh Taji RT.001/RW.002 Gelanglor, Sukorejo, Kab. Ponorogo</v>
          </cell>
          <cell r="R5672" t="str">
            <v>Ponorogo</v>
          </cell>
          <cell r="S5672" t="str">
            <v>D Barat2</v>
          </cell>
          <cell r="T5672" t="str">
            <v>Dian</v>
          </cell>
          <cell r="U5672">
            <v>30</v>
          </cell>
        </row>
        <row r="5673">
          <cell r="E5673" t="str">
            <v>B25006948</v>
          </cell>
          <cell r="F5673"/>
          <cell r="G5673">
            <v>15000000000</v>
          </cell>
          <cell r="H5673" t="str">
            <v>Reni</v>
          </cell>
          <cell r="I5673" t="str">
            <v>Farida</v>
          </cell>
          <cell r="J5673"/>
          <cell r="K5673" t="str">
            <v>BG</v>
          </cell>
          <cell r="L5673" t="str">
            <v>NUAN01</v>
          </cell>
          <cell r="M5673" t="str">
            <v>Nuansa Tani</v>
          </cell>
          <cell r="N5673" t="str">
            <v>Nuansa Tani</v>
          </cell>
          <cell r="O5673" t="str">
            <v>Dukuh Taji RT.001/RW.002 Gelanglor, Sukorejo, Kab. Ponorogo</v>
          </cell>
          <cell r="P5673" t="str">
            <v>Ponorogo</v>
          </cell>
          <cell r="Q5673" t="str">
            <v>Dukuh Taji RT.001/RW.002 Gelanglor, Sukorejo, Kab. Ponorogo</v>
          </cell>
          <cell r="R5673" t="str">
            <v>Ponorogo</v>
          </cell>
          <cell r="S5673" t="str">
            <v>D Barat2</v>
          </cell>
          <cell r="T5673" t="str">
            <v>Dian</v>
          </cell>
          <cell r="U5673">
            <v>30</v>
          </cell>
        </row>
        <row r="5674">
          <cell r="E5674" t="str">
            <v>B25007099</v>
          </cell>
          <cell r="F5674"/>
          <cell r="G5674">
            <v>15000000000</v>
          </cell>
          <cell r="H5674" t="str">
            <v>Reni</v>
          </cell>
          <cell r="I5674" t="str">
            <v>Farida</v>
          </cell>
          <cell r="J5674"/>
          <cell r="K5674" t="str">
            <v>BG</v>
          </cell>
          <cell r="L5674" t="str">
            <v>NUAN01</v>
          </cell>
          <cell r="M5674" t="str">
            <v>Nuansa Tani</v>
          </cell>
          <cell r="N5674" t="str">
            <v>Nuansa Tani</v>
          </cell>
          <cell r="O5674" t="str">
            <v>Dukuh Taji RT.001/RW.002 Gelanglor, Sukorejo, Kab. Ponorogo</v>
          </cell>
          <cell r="P5674" t="str">
            <v>Ponorogo</v>
          </cell>
          <cell r="Q5674" t="str">
            <v>Dukuh Taji RT.001/RW.002 Gelanglor, Sukorejo, Kab. Ponorogo</v>
          </cell>
          <cell r="R5674" t="str">
            <v>Ponorogo</v>
          </cell>
          <cell r="S5674" t="str">
            <v>D Barat2</v>
          </cell>
          <cell r="T5674" t="str">
            <v>Dian</v>
          </cell>
          <cell r="U5674">
            <v>30</v>
          </cell>
        </row>
        <row r="5675">
          <cell r="E5675" t="str">
            <v>D25009286</v>
          </cell>
          <cell r="F5675"/>
          <cell r="G5675">
            <v>15000000000</v>
          </cell>
          <cell r="H5675" t="str">
            <v>Reni</v>
          </cell>
          <cell r="I5675" t="str">
            <v>Farida</v>
          </cell>
          <cell r="J5675"/>
          <cell r="K5675" t="str">
            <v>BG</v>
          </cell>
          <cell r="L5675" t="str">
            <v>NUAN01</v>
          </cell>
          <cell r="M5675" t="str">
            <v>Nuansa Tani</v>
          </cell>
          <cell r="N5675" t="str">
            <v>Nuansa Tani</v>
          </cell>
          <cell r="O5675" t="str">
            <v>Dukuh Taji RT.001/RW.002 Gelanglor, Sukorejo, Kab. Ponorogo</v>
          </cell>
          <cell r="P5675" t="str">
            <v>Ponorogo</v>
          </cell>
          <cell r="Q5675" t="str">
            <v>Dukuh Taji RT.001/RW.002 Gelanglor, Sukorejo, Kab. Ponorogo</v>
          </cell>
          <cell r="R5675" t="str">
            <v>Ponorogo</v>
          </cell>
          <cell r="S5675" t="str">
            <v>D Barat2</v>
          </cell>
          <cell r="T5675" t="str">
            <v>Dian</v>
          </cell>
          <cell r="U5675">
            <v>30</v>
          </cell>
        </row>
        <row r="5676">
          <cell r="E5676" t="str">
            <v>D25009286</v>
          </cell>
          <cell r="F5676"/>
          <cell r="G5676">
            <v>15000000000</v>
          </cell>
          <cell r="H5676" t="str">
            <v>Reni</v>
          </cell>
          <cell r="I5676" t="str">
            <v>Farida</v>
          </cell>
          <cell r="J5676"/>
          <cell r="K5676" t="str">
            <v>BG</v>
          </cell>
          <cell r="L5676" t="str">
            <v>NUAN01</v>
          </cell>
          <cell r="M5676" t="str">
            <v>Nuansa Tani</v>
          </cell>
          <cell r="N5676" t="str">
            <v>Nuansa Tani</v>
          </cell>
          <cell r="O5676" t="str">
            <v>Dukuh Taji RT.001/RW.002 Gelanglor, Sukorejo, Kab. Ponorogo</v>
          </cell>
          <cell r="P5676" t="str">
            <v>Ponorogo</v>
          </cell>
          <cell r="Q5676" t="str">
            <v>Dukuh Taji RT.001/RW.002 Gelanglor, Sukorejo, Kab. Ponorogo</v>
          </cell>
          <cell r="R5676" t="str">
            <v>Ponorogo</v>
          </cell>
          <cell r="S5676" t="str">
            <v>D Barat2</v>
          </cell>
          <cell r="T5676" t="str">
            <v>Dian</v>
          </cell>
          <cell r="U5676">
            <v>30</v>
          </cell>
        </row>
        <row r="5677">
          <cell r="E5677" t="str">
            <v>D25009347</v>
          </cell>
          <cell r="F5677"/>
          <cell r="G5677">
            <v>15000000000</v>
          </cell>
          <cell r="H5677" t="str">
            <v>Reni</v>
          </cell>
          <cell r="I5677" t="str">
            <v>Farida</v>
          </cell>
          <cell r="J5677"/>
          <cell r="K5677" t="str">
            <v>BG</v>
          </cell>
          <cell r="L5677" t="str">
            <v>NUAN01</v>
          </cell>
          <cell r="M5677" t="str">
            <v>Nuansa Tani</v>
          </cell>
          <cell r="N5677" t="str">
            <v>Nuansa Tani</v>
          </cell>
          <cell r="O5677" t="str">
            <v>Dukuh Taji RT.001/RW.002 Gelanglor, Sukorejo, Kab. Ponorogo</v>
          </cell>
          <cell r="P5677" t="str">
            <v>Ponorogo</v>
          </cell>
          <cell r="Q5677" t="str">
            <v>Dukuh Taji RT.001/RW.002 Gelanglor, Sukorejo, Kab. Ponorogo</v>
          </cell>
          <cell r="R5677" t="str">
            <v>Ponorogo</v>
          </cell>
          <cell r="S5677" t="str">
            <v>D Barat2</v>
          </cell>
          <cell r="T5677" t="str">
            <v>Dian</v>
          </cell>
          <cell r="U5677">
            <v>30</v>
          </cell>
        </row>
        <row r="5678">
          <cell r="E5678" t="str">
            <v>D25009400</v>
          </cell>
          <cell r="F5678"/>
          <cell r="G5678">
            <v>15000000000</v>
          </cell>
          <cell r="H5678" t="str">
            <v>Reni</v>
          </cell>
          <cell r="I5678" t="str">
            <v>Farida</v>
          </cell>
          <cell r="J5678"/>
          <cell r="K5678" t="str">
            <v>BG</v>
          </cell>
          <cell r="L5678" t="str">
            <v>NUAN01</v>
          </cell>
          <cell r="M5678" t="str">
            <v>Nuansa Tani</v>
          </cell>
          <cell r="N5678" t="str">
            <v>Nuansa Tani</v>
          </cell>
          <cell r="O5678" t="str">
            <v>Dukuh Taji RT.001/RW.002 Gelanglor, Sukorejo, Kab. Ponorogo</v>
          </cell>
          <cell r="P5678" t="str">
            <v>Ponorogo</v>
          </cell>
          <cell r="Q5678" t="str">
            <v>Dukuh Taji RT.001/RW.002 Gelanglor, Sukorejo, Kab. Ponorogo</v>
          </cell>
          <cell r="R5678" t="str">
            <v>Ponorogo</v>
          </cell>
          <cell r="S5678" t="str">
            <v>D Barat2</v>
          </cell>
          <cell r="T5678" t="str">
            <v>Dian</v>
          </cell>
          <cell r="U5678">
            <v>30</v>
          </cell>
        </row>
        <row r="5679">
          <cell r="E5679" t="str">
            <v>D25009400</v>
          </cell>
          <cell r="F5679"/>
          <cell r="G5679">
            <v>15000000000</v>
          </cell>
          <cell r="H5679" t="str">
            <v>Reni</v>
          </cell>
          <cell r="I5679" t="str">
            <v>Farida</v>
          </cell>
          <cell r="J5679"/>
          <cell r="K5679" t="str">
            <v>BG</v>
          </cell>
          <cell r="L5679" t="str">
            <v>NUAN01</v>
          </cell>
          <cell r="M5679" t="str">
            <v>Nuansa Tani</v>
          </cell>
          <cell r="N5679" t="str">
            <v>Nuansa Tani</v>
          </cell>
          <cell r="O5679" t="str">
            <v>Dukuh Taji RT.001/RW.002 Gelanglor, Sukorejo, Kab. Ponorogo</v>
          </cell>
          <cell r="P5679" t="str">
            <v>Ponorogo</v>
          </cell>
          <cell r="Q5679" t="str">
            <v>Dukuh Taji RT.001/RW.002 Gelanglor, Sukorejo, Kab. Ponorogo</v>
          </cell>
          <cell r="R5679" t="str">
            <v>Ponorogo</v>
          </cell>
          <cell r="S5679" t="str">
            <v>D Barat2</v>
          </cell>
          <cell r="T5679" t="str">
            <v>Dian</v>
          </cell>
          <cell r="U5679">
            <v>30</v>
          </cell>
        </row>
        <row r="5680">
          <cell r="E5680" t="str">
            <v>D25009400</v>
          </cell>
          <cell r="F5680"/>
          <cell r="G5680">
            <v>15000000000</v>
          </cell>
          <cell r="H5680" t="str">
            <v>Reni</v>
          </cell>
          <cell r="I5680" t="str">
            <v>Farida</v>
          </cell>
          <cell r="J5680"/>
          <cell r="K5680" t="str">
            <v>BG</v>
          </cell>
          <cell r="L5680" t="str">
            <v>NUAN01</v>
          </cell>
          <cell r="M5680" t="str">
            <v>Nuansa Tani</v>
          </cell>
          <cell r="N5680" t="str">
            <v>Nuansa Tani</v>
          </cell>
          <cell r="O5680" t="str">
            <v>Dukuh Taji RT.001/RW.002 Gelanglor, Sukorejo, Kab. Ponorogo</v>
          </cell>
          <cell r="P5680" t="str">
            <v>Ponorogo</v>
          </cell>
          <cell r="Q5680" t="str">
            <v>Dukuh Taji RT.001/RW.002 Gelanglor, Sukorejo, Kab. Ponorogo</v>
          </cell>
          <cell r="R5680" t="str">
            <v>Ponorogo</v>
          </cell>
          <cell r="S5680" t="str">
            <v>D Barat2</v>
          </cell>
          <cell r="T5680" t="str">
            <v>Dian</v>
          </cell>
          <cell r="U5680">
            <v>30</v>
          </cell>
        </row>
        <row r="5681">
          <cell r="E5681" t="str">
            <v>D25009467</v>
          </cell>
          <cell r="F5681"/>
          <cell r="G5681">
            <v>15000000000</v>
          </cell>
          <cell r="H5681" t="str">
            <v>Reni</v>
          </cell>
          <cell r="I5681" t="str">
            <v>Farida</v>
          </cell>
          <cell r="J5681"/>
          <cell r="K5681" t="str">
            <v>BG</v>
          </cell>
          <cell r="L5681" t="str">
            <v>NUAN01</v>
          </cell>
          <cell r="M5681" t="str">
            <v>Nuansa Tani</v>
          </cell>
          <cell r="N5681" t="str">
            <v>Nuansa Tani</v>
          </cell>
          <cell r="O5681" t="str">
            <v>Dukuh Taji RT.001/RW.002 Gelanglor, Sukorejo, Kab. Ponorogo</v>
          </cell>
          <cell r="P5681" t="str">
            <v>Ponorogo</v>
          </cell>
          <cell r="Q5681" t="str">
            <v>Dukuh Taji RT.001/RW.002 Gelanglor, Sukorejo, Kab. Ponorogo</v>
          </cell>
          <cell r="R5681" t="str">
            <v>Ponorogo</v>
          </cell>
          <cell r="S5681" t="str">
            <v>D Barat2</v>
          </cell>
          <cell r="T5681" t="str">
            <v>Dian</v>
          </cell>
          <cell r="U5681">
            <v>30</v>
          </cell>
        </row>
        <row r="5682">
          <cell r="E5682" t="str">
            <v>D25009501</v>
          </cell>
          <cell r="F5682"/>
          <cell r="G5682">
            <v>15000000000</v>
          </cell>
          <cell r="H5682" t="str">
            <v>Reni</v>
          </cell>
          <cell r="I5682" t="str">
            <v>Farida</v>
          </cell>
          <cell r="J5682"/>
          <cell r="K5682" t="str">
            <v>BG</v>
          </cell>
          <cell r="L5682" t="str">
            <v>NUAN01</v>
          </cell>
          <cell r="M5682" t="str">
            <v>Nuansa Tani</v>
          </cell>
          <cell r="N5682" t="str">
            <v>Nuansa Tani</v>
          </cell>
          <cell r="O5682" t="str">
            <v>Dukuh Taji RT.001/RW.002 Gelanglor, Sukorejo, Kab. Ponorogo</v>
          </cell>
          <cell r="P5682" t="str">
            <v>Ponorogo</v>
          </cell>
          <cell r="Q5682" t="str">
            <v>Dukuh Taji RT.001/RW.002 Gelanglor, Sukorejo, Kab. Ponorogo</v>
          </cell>
          <cell r="R5682" t="str">
            <v>Ponorogo</v>
          </cell>
          <cell r="S5682" t="str">
            <v>D Barat2</v>
          </cell>
          <cell r="T5682" t="str">
            <v>Dian</v>
          </cell>
          <cell r="U5682">
            <v>30</v>
          </cell>
        </row>
        <row r="5683">
          <cell r="E5683" t="str">
            <v>D25009502</v>
          </cell>
          <cell r="F5683"/>
          <cell r="G5683">
            <v>15000000000</v>
          </cell>
          <cell r="H5683" t="str">
            <v>Reni</v>
          </cell>
          <cell r="I5683" t="str">
            <v>Farida</v>
          </cell>
          <cell r="J5683"/>
          <cell r="K5683" t="str">
            <v>BG</v>
          </cell>
          <cell r="L5683" t="str">
            <v>NUAN01</v>
          </cell>
          <cell r="M5683" t="str">
            <v>Nuansa Tani</v>
          </cell>
          <cell r="N5683" t="str">
            <v>Nuansa Tani</v>
          </cell>
          <cell r="O5683" t="str">
            <v>Dukuh Taji RT.001/RW.002 Gelanglor, Sukorejo, Kab. Ponorogo</v>
          </cell>
          <cell r="P5683" t="str">
            <v>Ponorogo</v>
          </cell>
          <cell r="Q5683" t="str">
            <v>Dukuh Taji RT.001/RW.002 Gelanglor, Sukorejo, Kab. Ponorogo</v>
          </cell>
          <cell r="R5683" t="str">
            <v>Ponorogo</v>
          </cell>
          <cell r="S5683" t="str">
            <v>D Barat2</v>
          </cell>
          <cell r="T5683" t="str">
            <v>Dian</v>
          </cell>
          <cell r="U5683">
            <v>30</v>
          </cell>
        </row>
        <row r="5684">
          <cell r="E5684" t="str">
            <v>D25009502</v>
          </cell>
          <cell r="F5684"/>
          <cell r="G5684">
            <v>15000000000</v>
          </cell>
          <cell r="H5684" t="str">
            <v>Reni</v>
          </cell>
          <cell r="I5684" t="str">
            <v>Farida</v>
          </cell>
          <cell r="J5684"/>
          <cell r="K5684" t="str">
            <v>BG</v>
          </cell>
          <cell r="L5684" t="str">
            <v>NUAN01</v>
          </cell>
          <cell r="M5684" t="str">
            <v>Nuansa Tani</v>
          </cell>
          <cell r="N5684" t="str">
            <v>Nuansa Tani</v>
          </cell>
          <cell r="O5684" t="str">
            <v>Dukuh Taji RT.001/RW.002 Gelanglor, Sukorejo, Kab. Ponorogo</v>
          </cell>
          <cell r="P5684" t="str">
            <v>Ponorogo</v>
          </cell>
          <cell r="Q5684" t="str">
            <v>Dukuh Taji RT.001/RW.002 Gelanglor, Sukorejo, Kab. Ponorogo</v>
          </cell>
          <cell r="R5684" t="str">
            <v>Ponorogo</v>
          </cell>
          <cell r="S5684" t="str">
            <v>D Barat2</v>
          </cell>
          <cell r="T5684" t="str">
            <v>Dian</v>
          </cell>
          <cell r="U5684">
            <v>30</v>
          </cell>
        </row>
        <row r="5685">
          <cell r="E5685" t="str">
            <v>D25009502</v>
          </cell>
          <cell r="F5685"/>
          <cell r="G5685">
            <v>15000000000</v>
          </cell>
          <cell r="H5685" t="str">
            <v>Reni</v>
          </cell>
          <cell r="I5685" t="str">
            <v>Farida</v>
          </cell>
          <cell r="J5685"/>
          <cell r="K5685" t="str">
            <v>BG</v>
          </cell>
          <cell r="L5685" t="str">
            <v>NUAN01</v>
          </cell>
          <cell r="M5685" t="str">
            <v>Nuansa Tani</v>
          </cell>
          <cell r="N5685" t="str">
            <v>Nuansa Tani</v>
          </cell>
          <cell r="O5685" t="str">
            <v>Dukuh Taji RT.001/RW.002 Gelanglor, Sukorejo, Kab. Ponorogo</v>
          </cell>
          <cell r="P5685" t="str">
            <v>Ponorogo</v>
          </cell>
          <cell r="Q5685" t="str">
            <v>Dukuh Taji RT.001/RW.002 Gelanglor, Sukorejo, Kab. Ponorogo</v>
          </cell>
          <cell r="R5685" t="str">
            <v>Ponorogo</v>
          </cell>
          <cell r="S5685" t="str">
            <v>D Barat2</v>
          </cell>
          <cell r="T5685" t="str">
            <v>Dian</v>
          </cell>
          <cell r="U5685">
            <v>30</v>
          </cell>
        </row>
        <row r="5686">
          <cell r="E5686" t="str">
            <v>D25009502</v>
          </cell>
          <cell r="F5686"/>
          <cell r="G5686">
            <v>15000000000</v>
          </cell>
          <cell r="H5686" t="str">
            <v>Reni</v>
          </cell>
          <cell r="I5686" t="str">
            <v>Farida</v>
          </cell>
          <cell r="J5686"/>
          <cell r="K5686" t="str">
            <v>BG</v>
          </cell>
          <cell r="L5686" t="str">
            <v>NUAN01</v>
          </cell>
          <cell r="M5686" t="str">
            <v>Nuansa Tani</v>
          </cell>
          <cell r="N5686" t="str">
            <v>Nuansa Tani</v>
          </cell>
          <cell r="O5686" t="str">
            <v>Dukuh Taji RT.001/RW.002 Gelanglor, Sukorejo, Kab. Ponorogo</v>
          </cell>
          <cell r="P5686" t="str">
            <v>Ponorogo</v>
          </cell>
          <cell r="Q5686" t="str">
            <v>Dukuh Taji RT.001/RW.002 Gelanglor, Sukorejo, Kab. Ponorogo</v>
          </cell>
          <cell r="R5686" t="str">
            <v>Ponorogo</v>
          </cell>
          <cell r="S5686" t="str">
            <v>D Barat2</v>
          </cell>
          <cell r="T5686" t="str">
            <v>Dian</v>
          </cell>
          <cell r="U5686">
            <v>30</v>
          </cell>
        </row>
        <row r="5687">
          <cell r="E5687" t="str">
            <v>D25009502</v>
          </cell>
          <cell r="F5687"/>
          <cell r="G5687">
            <v>15000000000</v>
          </cell>
          <cell r="H5687" t="str">
            <v>Reni</v>
          </cell>
          <cell r="I5687" t="str">
            <v>Farida</v>
          </cell>
          <cell r="J5687"/>
          <cell r="K5687" t="str">
            <v>BG</v>
          </cell>
          <cell r="L5687" t="str">
            <v>NUAN01</v>
          </cell>
          <cell r="M5687" t="str">
            <v>Nuansa Tani</v>
          </cell>
          <cell r="N5687" t="str">
            <v>Nuansa Tani</v>
          </cell>
          <cell r="O5687" t="str">
            <v>Dukuh Taji RT.001/RW.002 Gelanglor, Sukorejo, Kab. Ponorogo</v>
          </cell>
          <cell r="P5687" t="str">
            <v>Ponorogo</v>
          </cell>
          <cell r="Q5687" t="str">
            <v>Dukuh Taji RT.001/RW.002 Gelanglor, Sukorejo, Kab. Ponorogo</v>
          </cell>
          <cell r="R5687" t="str">
            <v>Ponorogo</v>
          </cell>
          <cell r="S5687" t="str">
            <v>D Barat2</v>
          </cell>
          <cell r="T5687" t="str">
            <v>Dian</v>
          </cell>
          <cell r="U5687">
            <v>30</v>
          </cell>
        </row>
        <row r="5688">
          <cell r="E5688" t="str">
            <v>D25009503</v>
          </cell>
          <cell r="F5688"/>
          <cell r="G5688">
            <v>15000000000</v>
          </cell>
          <cell r="H5688" t="str">
            <v>Reni</v>
          </cell>
          <cell r="I5688" t="str">
            <v>Farida</v>
          </cell>
          <cell r="J5688"/>
          <cell r="K5688" t="str">
            <v>BG</v>
          </cell>
          <cell r="L5688" t="str">
            <v>NUAN01</v>
          </cell>
          <cell r="M5688" t="str">
            <v>Nuansa Tani</v>
          </cell>
          <cell r="N5688" t="str">
            <v>Nuansa Tani</v>
          </cell>
          <cell r="O5688" t="str">
            <v>Dukuh Taji RT.001/RW.002 Gelanglor, Sukorejo, Kab. Ponorogo</v>
          </cell>
          <cell r="P5688" t="str">
            <v>Ponorogo</v>
          </cell>
          <cell r="Q5688" t="str">
            <v>Dukuh Taji RT.001/RW.002 Gelanglor, Sukorejo, Kab. Ponorogo</v>
          </cell>
          <cell r="R5688" t="str">
            <v>Ponorogo</v>
          </cell>
          <cell r="S5688" t="str">
            <v>D Barat2</v>
          </cell>
          <cell r="T5688" t="str">
            <v>Dian</v>
          </cell>
          <cell r="U5688">
            <v>30</v>
          </cell>
        </row>
        <row r="5689">
          <cell r="E5689" t="str">
            <v>D25009544</v>
          </cell>
          <cell r="F5689"/>
          <cell r="G5689">
            <v>15000000000</v>
          </cell>
          <cell r="H5689" t="str">
            <v>Reni</v>
          </cell>
          <cell r="I5689" t="str">
            <v>Farida</v>
          </cell>
          <cell r="J5689"/>
          <cell r="K5689" t="str">
            <v>BG</v>
          </cell>
          <cell r="L5689" t="str">
            <v>NUAN01</v>
          </cell>
          <cell r="M5689" t="str">
            <v>Nuansa Tani</v>
          </cell>
          <cell r="N5689" t="str">
            <v>Nuansa Tani</v>
          </cell>
          <cell r="O5689" t="str">
            <v>Dukuh Taji RT.001/RW.002 Gelanglor, Sukorejo, Kab. Ponorogo</v>
          </cell>
          <cell r="P5689" t="str">
            <v>Ponorogo</v>
          </cell>
          <cell r="Q5689" t="str">
            <v>Dukuh Taji RT.001/RW.002 Gelanglor, Sukorejo, Kab. Ponorogo</v>
          </cell>
          <cell r="R5689" t="str">
            <v>Ponorogo</v>
          </cell>
          <cell r="S5689" t="str">
            <v>D Barat2</v>
          </cell>
          <cell r="T5689" t="str">
            <v>Dian</v>
          </cell>
          <cell r="U5689">
            <v>30</v>
          </cell>
        </row>
        <row r="5690">
          <cell r="E5690" t="str">
            <v>D25009544</v>
          </cell>
          <cell r="F5690"/>
          <cell r="G5690">
            <v>15000000000</v>
          </cell>
          <cell r="H5690" t="str">
            <v>Reni</v>
          </cell>
          <cell r="I5690" t="str">
            <v>Farida</v>
          </cell>
          <cell r="J5690"/>
          <cell r="K5690" t="str">
            <v>BG</v>
          </cell>
          <cell r="L5690" t="str">
            <v>NUAN01</v>
          </cell>
          <cell r="M5690" t="str">
            <v>Nuansa Tani</v>
          </cell>
          <cell r="N5690" t="str">
            <v>Nuansa Tani</v>
          </cell>
          <cell r="O5690" t="str">
            <v>Dukuh Taji RT.001/RW.002 Gelanglor, Sukorejo, Kab. Ponorogo</v>
          </cell>
          <cell r="P5690" t="str">
            <v>Ponorogo</v>
          </cell>
          <cell r="Q5690" t="str">
            <v>Dukuh Taji RT.001/RW.002 Gelanglor, Sukorejo, Kab. Ponorogo</v>
          </cell>
          <cell r="R5690" t="str">
            <v>Ponorogo</v>
          </cell>
          <cell r="S5690" t="str">
            <v>D Barat2</v>
          </cell>
          <cell r="T5690" t="str">
            <v>Dian</v>
          </cell>
          <cell r="U5690">
            <v>30</v>
          </cell>
        </row>
        <row r="5691">
          <cell r="E5691" t="str">
            <v>D25009544</v>
          </cell>
          <cell r="F5691"/>
          <cell r="G5691">
            <v>15000000000</v>
          </cell>
          <cell r="H5691" t="str">
            <v>Reni</v>
          </cell>
          <cell r="I5691" t="str">
            <v>Farida</v>
          </cell>
          <cell r="J5691"/>
          <cell r="K5691" t="str">
            <v>BG</v>
          </cell>
          <cell r="L5691" t="str">
            <v>NUAN01</v>
          </cell>
          <cell r="M5691" t="str">
            <v>Nuansa Tani</v>
          </cell>
          <cell r="N5691" t="str">
            <v>Nuansa Tani</v>
          </cell>
          <cell r="O5691" t="str">
            <v>Dukuh Taji RT.001/RW.002 Gelanglor, Sukorejo, Kab. Ponorogo</v>
          </cell>
          <cell r="P5691" t="str">
            <v>Ponorogo</v>
          </cell>
          <cell r="Q5691" t="str">
            <v>Dukuh Taji RT.001/RW.002 Gelanglor, Sukorejo, Kab. Ponorogo</v>
          </cell>
          <cell r="R5691" t="str">
            <v>Ponorogo</v>
          </cell>
          <cell r="S5691" t="str">
            <v>D Barat2</v>
          </cell>
          <cell r="T5691" t="str">
            <v>Dian</v>
          </cell>
          <cell r="U5691">
            <v>30</v>
          </cell>
        </row>
        <row r="5692">
          <cell r="E5692" t="str">
            <v>D25009580</v>
          </cell>
          <cell r="F5692"/>
          <cell r="G5692">
            <v>15000000000</v>
          </cell>
          <cell r="H5692" t="str">
            <v>Reni</v>
          </cell>
          <cell r="I5692" t="str">
            <v>Farida</v>
          </cell>
          <cell r="J5692"/>
          <cell r="K5692" t="str">
            <v>BG</v>
          </cell>
          <cell r="L5692" t="str">
            <v>NUAN01</v>
          </cell>
          <cell r="M5692" t="str">
            <v>Nuansa Tani</v>
          </cell>
          <cell r="N5692" t="str">
            <v>Nuansa Tani</v>
          </cell>
          <cell r="O5692" t="str">
            <v>Dukuh Taji RT.001/RW.002 Gelanglor, Sukorejo, Kab. Ponorogo</v>
          </cell>
          <cell r="P5692" t="str">
            <v>Ponorogo</v>
          </cell>
          <cell r="Q5692" t="str">
            <v>Dukuh Taji RT.001/RW.002 Gelanglor, Sukorejo, Kab. Ponorogo</v>
          </cell>
          <cell r="R5692" t="str">
            <v>Ponorogo</v>
          </cell>
          <cell r="S5692" t="str">
            <v>D Barat2</v>
          </cell>
          <cell r="T5692" t="str">
            <v>Dian</v>
          </cell>
          <cell r="U5692">
            <v>30</v>
          </cell>
        </row>
        <row r="5693">
          <cell r="E5693" t="str">
            <v>B25008171</v>
          </cell>
          <cell r="F5693"/>
          <cell r="G5693">
            <v>15000000000</v>
          </cell>
          <cell r="H5693" t="str">
            <v>Reni</v>
          </cell>
          <cell r="I5693" t="str">
            <v>Farida</v>
          </cell>
          <cell r="J5693"/>
          <cell r="K5693" t="str">
            <v>BG</v>
          </cell>
          <cell r="L5693" t="str">
            <v>NUAN01</v>
          </cell>
          <cell r="M5693" t="str">
            <v>Nuansa Tani</v>
          </cell>
          <cell r="N5693" t="str">
            <v>Nuansa Tani</v>
          </cell>
          <cell r="O5693" t="str">
            <v>Dukuh Taji RT.001/RW.002 Gelanglor, Sukorejo, Kab. Ponorogo</v>
          </cell>
          <cell r="P5693" t="str">
            <v>Ponorogo</v>
          </cell>
          <cell r="Q5693" t="str">
            <v>Dukuh Taji RT.001/RW.002 Gelanglor, Sukorejo, Kab. Ponorogo</v>
          </cell>
          <cell r="R5693" t="str">
            <v>Ponorogo</v>
          </cell>
          <cell r="S5693" t="str">
            <v>D Barat2</v>
          </cell>
          <cell r="T5693" t="str">
            <v>Dian</v>
          </cell>
          <cell r="U5693">
            <v>30</v>
          </cell>
        </row>
        <row r="5694">
          <cell r="E5694" t="str">
            <v>B25008171</v>
          </cell>
          <cell r="F5694"/>
          <cell r="G5694">
            <v>15000000000</v>
          </cell>
          <cell r="H5694" t="str">
            <v>Reni</v>
          </cell>
          <cell r="I5694" t="str">
            <v>Farida</v>
          </cell>
          <cell r="J5694"/>
          <cell r="K5694" t="str">
            <v>BG</v>
          </cell>
          <cell r="L5694" t="str">
            <v>NUAN01</v>
          </cell>
          <cell r="M5694" t="str">
            <v>Nuansa Tani</v>
          </cell>
          <cell r="N5694" t="str">
            <v>Nuansa Tani</v>
          </cell>
          <cell r="O5694" t="str">
            <v>Dukuh Taji RT.001/RW.002 Gelanglor, Sukorejo, Kab. Ponorogo</v>
          </cell>
          <cell r="P5694" t="str">
            <v>Ponorogo</v>
          </cell>
          <cell r="Q5694" t="str">
            <v>Dukuh Taji RT.001/RW.002 Gelanglor, Sukorejo, Kab. Ponorogo</v>
          </cell>
          <cell r="R5694" t="str">
            <v>Ponorogo</v>
          </cell>
          <cell r="S5694" t="str">
            <v>D Barat2</v>
          </cell>
          <cell r="T5694" t="str">
            <v>Dian</v>
          </cell>
          <cell r="U5694">
            <v>30</v>
          </cell>
        </row>
        <row r="5695">
          <cell r="E5695" t="str">
            <v>D25009968</v>
          </cell>
          <cell r="F5695"/>
          <cell r="G5695">
            <v>15000000000</v>
          </cell>
          <cell r="H5695" t="str">
            <v>Reni</v>
          </cell>
          <cell r="I5695" t="str">
            <v>Farida</v>
          </cell>
          <cell r="J5695"/>
          <cell r="K5695" t="str">
            <v>BG</v>
          </cell>
          <cell r="L5695" t="str">
            <v>NUAN01</v>
          </cell>
          <cell r="M5695" t="str">
            <v>Nuansa Tani</v>
          </cell>
          <cell r="N5695" t="str">
            <v>Nuansa Tani</v>
          </cell>
          <cell r="O5695" t="str">
            <v>Dukuh Taji RT.001/RW.002 Gelanglor, Sukorejo, Kab. Ponorogo</v>
          </cell>
          <cell r="P5695" t="str">
            <v>Ponorogo</v>
          </cell>
          <cell r="Q5695" t="str">
            <v>Dukuh Taji RT.001/RW.002 Gelanglor, Sukorejo, Kab. Ponorogo</v>
          </cell>
          <cell r="R5695" t="str">
            <v>Ponorogo</v>
          </cell>
          <cell r="S5695" t="str">
            <v>D Barat2</v>
          </cell>
          <cell r="T5695" t="str">
            <v>Dian</v>
          </cell>
          <cell r="U5695">
            <v>30</v>
          </cell>
        </row>
        <row r="5696">
          <cell r="E5696" t="str">
            <v>D25009985</v>
          </cell>
          <cell r="F5696"/>
          <cell r="G5696">
            <v>15000000000</v>
          </cell>
          <cell r="H5696" t="str">
            <v>Reni</v>
          </cell>
          <cell r="I5696" t="str">
            <v>Farida</v>
          </cell>
          <cell r="J5696"/>
          <cell r="K5696" t="str">
            <v>BG</v>
          </cell>
          <cell r="L5696" t="str">
            <v>NUAN01</v>
          </cell>
          <cell r="M5696" t="str">
            <v>Nuansa Tani</v>
          </cell>
          <cell r="N5696" t="str">
            <v>Nuansa Tani</v>
          </cell>
          <cell r="O5696" t="str">
            <v>Dukuh Taji RT.001/RW.002 Gelanglor, Sukorejo, Kab. Ponorogo</v>
          </cell>
          <cell r="P5696" t="str">
            <v>Ponorogo</v>
          </cell>
          <cell r="Q5696" t="str">
            <v>Dukuh Taji RT.001/RW.002 Gelanglor, Sukorejo, Kab. Ponorogo</v>
          </cell>
          <cell r="R5696" t="str">
            <v>Ponorogo</v>
          </cell>
          <cell r="S5696" t="str">
            <v>D Barat2</v>
          </cell>
          <cell r="T5696" t="str">
            <v>Dian</v>
          </cell>
          <cell r="U5696">
            <v>30</v>
          </cell>
        </row>
        <row r="5697">
          <cell r="E5697" t="str">
            <v>D25010044</v>
          </cell>
          <cell r="F5697"/>
          <cell r="G5697">
            <v>15000000000</v>
          </cell>
          <cell r="H5697" t="str">
            <v>Reni</v>
          </cell>
          <cell r="I5697" t="str">
            <v>Farida</v>
          </cell>
          <cell r="J5697"/>
          <cell r="K5697" t="str">
            <v>BG</v>
          </cell>
          <cell r="L5697" t="str">
            <v>NUAN01</v>
          </cell>
          <cell r="M5697" t="str">
            <v>Nuansa Tani</v>
          </cell>
          <cell r="N5697" t="str">
            <v>Nuansa Tani</v>
          </cell>
          <cell r="O5697" t="str">
            <v>Dukuh Taji RT.001/RW.002 Gelanglor, Sukorejo, Kab. Ponorogo</v>
          </cell>
          <cell r="P5697" t="str">
            <v>Ponorogo</v>
          </cell>
          <cell r="Q5697" t="str">
            <v>Dukuh Taji RT.001/RW.002 Gelanglor, Sukorejo, Kab. Ponorogo</v>
          </cell>
          <cell r="R5697" t="str">
            <v>Ponorogo</v>
          </cell>
          <cell r="S5697" t="str">
            <v>D Barat2</v>
          </cell>
          <cell r="T5697" t="str">
            <v>Dian</v>
          </cell>
          <cell r="U5697">
            <v>30</v>
          </cell>
        </row>
        <row r="5698">
          <cell r="E5698" t="str">
            <v>D25010044</v>
          </cell>
          <cell r="F5698"/>
          <cell r="G5698">
            <v>15000000000</v>
          </cell>
          <cell r="H5698" t="str">
            <v>Reni</v>
          </cell>
          <cell r="I5698" t="str">
            <v>Farida</v>
          </cell>
          <cell r="J5698"/>
          <cell r="K5698" t="str">
            <v>BG</v>
          </cell>
          <cell r="L5698" t="str">
            <v>NUAN01</v>
          </cell>
          <cell r="M5698" t="str">
            <v>Nuansa Tani</v>
          </cell>
          <cell r="N5698" t="str">
            <v>Nuansa Tani</v>
          </cell>
          <cell r="O5698" t="str">
            <v>Dukuh Taji RT.001/RW.002 Gelanglor, Sukorejo, Kab. Ponorogo</v>
          </cell>
          <cell r="P5698" t="str">
            <v>Ponorogo</v>
          </cell>
          <cell r="Q5698" t="str">
            <v>Dukuh Taji RT.001/RW.002 Gelanglor, Sukorejo, Kab. Ponorogo</v>
          </cell>
          <cell r="R5698" t="str">
            <v>Ponorogo</v>
          </cell>
          <cell r="S5698" t="str">
            <v>D Barat2</v>
          </cell>
          <cell r="T5698" t="str">
            <v>Dian</v>
          </cell>
          <cell r="U5698">
            <v>30</v>
          </cell>
        </row>
        <row r="5699">
          <cell r="E5699" t="str">
            <v>D25010106</v>
          </cell>
          <cell r="F5699"/>
          <cell r="G5699">
            <v>15000000000</v>
          </cell>
          <cell r="H5699" t="str">
            <v>Reni</v>
          </cell>
          <cell r="I5699" t="str">
            <v>Farida</v>
          </cell>
          <cell r="J5699"/>
          <cell r="K5699" t="str">
            <v>BG</v>
          </cell>
          <cell r="L5699" t="str">
            <v>NUAN01</v>
          </cell>
          <cell r="M5699" t="str">
            <v>Nuansa Tani</v>
          </cell>
          <cell r="N5699" t="str">
            <v>Nuansa Tani</v>
          </cell>
          <cell r="O5699" t="str">
            <v>Dukuh Taji RT.001/RW.002 Gelanglor, Sukorejo, Kab. Ponorogo</v>
          </cell>
          <cell r="P5699" t="str">
            <v>Ponorogo</v>
          </cell>
          <cell r="Q5699" t="str">
            <v>Dukuh Taji RT.001/RW.002 Gelanglor, Sukorejo, Kab. Ponorogo</v>
          </cell>
          <cell r="R5699" t="str">
            <v>Ponorogo</v>
          </cell>
          <cell r="S5699" t="str">
            <v>D Barat2</v>
          </cell>
          <cell r="T5699" t="str">
            <v>Dian</v>
          </cell>
          <cell r="U5699">
            <v>30</v>
          </cell>
        </row>
        <row r="5700">
          <cell r="E5700" t="str">
            <v>Z25001658</v>
          </cell>
          <cell r="F5700"/>
          <cell r="G5700">
            <v>15000000000</v>
          </cell>
          <cell r="H5700" t="str">
            <v>Reni</v>
          </cell>
          <cell r="I5700" t="str">
            <v>Farida</v>
          </cell>
          <cell r="J5700"/>
          <cell r="K5700" t="str">
            <v>BG</v>
          </cell>
          <cell r="L5700" t="str">
            <v>NUAN01</v>
          </cell>
          <cell r="M5700" t="str">
            <v>Nuansa Tani</v>
          </cell>
          <cell r="N5700" t="str">
            <v>Nuansa Tani</v>
          </cell>
          <cell r="O5700" t="str">
            <v>Dukuh Taji RT.001/RW.002 Gelanglor, Sukorejo, Kab. Ponorogo</v>
          </cell>
          <cell r="P5700" t="str">
            <v>Ponorogo</v>
          </cell>
          <cell r="Q5700" t="str">
            <v>Dukuh Taji RT.001/RW.002 Gelanglor, Sukorejo, Kab. Ponorogo</v>
          </cell>
          <cell r="R5700" t="str">
            <v>Ponorogo</v>
          </cell>
          <cell r="S5700" t="str">
            <v>D Barat2</v>
          </cell>
          <cell r="T5700" t="str">
            <v>Dian</v>
          </cell>
          <cell r="U5700">
            <v>60</v>
          </cell>
        </row>
        <row r="5701">
          <cell r="E5701" t="str">
            <v>B25008683</v>
          </cell>
          <cell r="F5701"/>
          <cell r="G5701">
            <v>15000000000</v>
          </cell>
          <cell r="H5701" t="str">
            <v>Reni</v>
          </cell>
          <cell r="I5701" t="str">
            <v>Farida</v>
          </cell>
          <cell r="J5701"/>
          <cell r="K5701" t="str">
            <v>BG</v>
          </cell>
          <cell r="L5701" t="str">
            <v>NUAN01</v>
          </cell>
          <cell r="M5701" t="str">
            <v>Nuansa Tani</v>
          </cell>
          <cell r="N5701" t="str">
            <v>Nuansa Tani</v>
          </cell>
          <cell r="O5701" t="str">
            <v>Dukuh Taji RT.001/RW.002 Gelanglor, Sukorejo, Kab. Ponorogo</v>
          </cell>
          <cell r="P5701" t="str">
            <v>Ponorogo</v>
          </cell>
          <cell r="Q5701" t="str">
            <v>Dukuh Taji RT.001/RW.002 Gelanglor, Sukorejo, Kab. Ponorogo</v>
          </cell>
          <cell r="R5701" t="str">
            <v>Ponorogo</v>
          </cell>
          <cell r="S5701" t="str">
            <v>D Barat2</v>
          </cell>
          <cell r="T5701" t="str">
            <v>Dian</v>
          </cell>
          <cell r="U5701">
            <v>30</v>
          </cell>
        </row>
        <row r="5702">
          <cell r="E5702" t="str">
            <v>B25008683</v>
          </cell>
          <cell r="F5702"/>
          <cell r="G5702">
            <v>15000000000</v>
          </cell>
          <cell r="H5702" t="str">
            <v>Reni</v>
          </cell>
          <cell r="I5702" t="str">
            <v>Farida</v>
          </cell>
          <cell r="J5702"/>
          <cell r="K5702" t="str">
            <v>BG</v>
          </cell>
          <cell r="L5702" t="str">
            <v>NUAN01</v>
          </cell>
          <cell r="M5702" t="str">
            <v>Nuansa Tani</v>
          </cell>
          <cell r="N5702" t="str">
            <v>Nuansa Tani</v>
          </cell>
          <cell r="O5702" t="str">
            <v>Dukuh Taji RT.001/RW.002 Gelanglor, Sukorejo, Kab. Ponorogo</v>
          </cell>
          <cell r="P5702" t="str">
            <v>Ponorogo</v>
          </cell>
          <cell r="Q5702" t="str">
            <v>Dukuh Taji RT.001/RW.002 Gelanglor, Sukorejo, Kab. Ponorogo</v>
          </cell>
          <cell r="R5702" t="str">
            <v>Ponorogo</v>
          </cell>
          <cell r="S5702" t="str">
            <v>D Barat2</v>
          </cell>
          <cell r="T5702" t="str">
            <v>Dian</v>
          </cell>
          <cell r="U5702">
            <v>30</v>
          </cell>
        </row>
        <row r="5703">
          <cell r="E5703" t="str">
            <v>B25008683</v>
          </cell>
          <cell r="F5703"/>
          <cell r="G5703">
            <v>15000000000</v>
          </cell>
          <cell r="H5703" t="str">
            <v>Reni</v>
          </cell>
          <cell r="I5703" t="str">
            <v>Farida</v>
          </cell>
          <cell r="J5703"/>
          <cell r="K5703" t="str">
            <v>BG</v>
          </cell>
          <cell r="L5703" t="str">
            <v>NUAN01</v>
          </cell>
          <cell r="M5703" t="str">
            <v>Nuansa Tani</v>
          </cell>
          <cell r="N5703" t="str">
            <v>Nuansa Tani</v>
          </cell>
          <cell r="O5703" t="str">
            <v>Dukuh Taji RT.001/RW.002 Gelanglor, Sukorejo, Kab. Ponorogo</v>
          </cell>
          <cell r="P5703" t="str">
            <v>Ponorogo</v>
          </cell>
          <cell r="Q5703" t="str">
            <v>Dukuh Taji RT.001/RW.002 Gelanglor, Sukorejo, Kab. Ponorogo</v>
          </cell>
          <cell r="R5703" t="str">
            <v>Ponorogo</v>
          </cell>
          <cell r="S5703" t="str">
            <v>D Barat2</v>
          </cell>
          <cell r="T5703" t="str">
            <v>Dian</v>
          </cell>
          <cell r="U5703">
            <v>30</v>
          </cell>
        </row>
        <row r="5704">
          <cell r="E5704" t="str">
            <v>D25010630</v>
          </cell>
          <cell r="F5704"/>
          <cell r="G5704">
            <v>15000000000</v>
          </cell>
          <cell r="H5704" t="str">
            <v>Reni</v>
          </cell>
          <cell r="I5704" t="str">
            <v>Farida</v>
          </cell>
          <cell r="J5704"/>
          <cell r="K5704" t="str">
            <v>BG</v>
          </cell>
          <cell r="L5704" t="str">
            <v>NUAN01</v>
          </cell>
          <cell r="M5704" t="str">
            <v>Nuansa Tani</v>
          </cell>
          <cell r="N5704" t="str">
            <v>Nuansa Tani</v>
          </cell>
          <cell r="O5704" t="str">
            <v>Dukuh Taji RT.001/RW.002 Gelanglor, Sukorejo, Kab. Ponorogo</v>
          </cell>
          <cell r="P5704" t="str">
            <v>Ponorogo</v>
          </cell>
          <cell r="Q5704" t="str">
            <v>Dukuh Taji RT.001/RW.002 Gelanglor, Sukorejo, Kab. Ponorogo</v>
          </cell>
          <cell r="R5704" t="str">
            <v>Ponorogo</v>
          </cell>
          <cell r="S5704" t="str">
            <v>D Barat2</v>
          </cell>
          <cell r="T5704" t="str">
            <v>Dian</v>
          </cell>
          <cell r="U5704">
            <v>30</v>
          </cell>
        </row>
        <row r="5705">
          <cell r="E5705" t="str">
            <v>B25008749</v>
          </cell>
          <cell r="F5705"/>
          <cell r="G5705">
            <v>15000000000</v>
          </cell>
          <cell r="H5705" t="str">
            <v>Reni</v>
          </cell>
          <cell r="I5705" t="str">
            <v>Farida</v>
          </cell>
          <cell r="J5705"/>
          <cell r="K5705" t="str">
            <v>BG</v>
          </cell>
          <cell r="L5705" t="str">
            <v>NUAN01</v>
          </cell>
          <cell r="M5705" t="str">
            <v>Nuansa Tani</v>
          </cell>
          <cell r="N5705" t="str">
            <v>Nuansa Tani</v>
          </cell>
          <cell r="O5705" t="str">
            <v>Dukuh Taji RT.001/RW.002 Gelanglor, Sukorejo, Kab. Ponorogo</v>
          </cell>
          <cell r="P5705" t="str">
            <v>Ponorogo</v>
          </cell>
          <cell r="Q5705" t="str">
            <v>Dukuh Taji RT.001/RW.002 Gelanglor, Sukorejo, Kab. Ponorogo</v>
          </cell>
          <cell r="R5705" t="str">
            <v>Ponorogo</v>
          </cell>
          <cell r="S5705" t="str">
            <v>D Barat2</v>
          </cell>
          <cell r="T5705" t="str">
            <v>Dian</v>
          </cell>
          <cell r="U5705">
            <v>30</v>
          </cell>
        </row>
        <row r="5706">
          <cell r="E5706" t="str">
            <v>B25008888</v>
          </cell>
          <cell r="F5706"/>
          <cell r="G5706">
            <v>15000000000</v>
          </cell>
          <cell r="H5706" t="str">
            <v>Reni</v>
          </cell>
          <cell r="I5706" t="str">
            <v>Farida</v>
          </cell>
          <cell r="J5706"/>
          <cell r="K5706" t="str">
            <v>BG</v>
          </cell>
          <cell r="L5706" t="str">
            <v>NUAN01</v>
          </cell>
          <cell r="M5706" t="str">
            <v>Nuansa Tani</v>
          </cell>
          <cell r="N5706" t="str">
            <v>Nuansa Tani</v>
          </cell>
          <cell r="O5706" t="str">
            <v>Dukuh Taji RT.001/RW.002 Gelanglor, Sukorejo, Kab. Ponorogo</v>
          </cell>
          <cell r="P5706" t="str">
            <v>Ponorogo</v>
          </cell>
          <cell r="Q5706" t="str">
            <v>Dukuh Taji RT.001/RW.002 Gelanglor, Sukorejo, Kab. Ponorogo</v>
          </cell>
          <cell r="R5706" t="str">
            <v>Ponorogo</v>
          </cell>
          <cell r="S5706" t="str">
            <v>D Barat2</v>
          </cell>
          <cell r="T5706" t="str">
            <v>Dian</v>
          </cell>
          <cell r="U5706">
            <v>30</v>
          </cell>
        </row>
        <row r="5707">
          <cell r="E5707" t="str">
            <v>B25008888</v>
          </cell>
          <cell r="F5707"/>
          <cell r="G5707">
            <v>15000000000</v>
          </cell>
          <cell r="H5707" t="str">
            <v>Reni</v>
          </cell>
          <cell r="I5707" t="str">
            <v>Farida</v>
          </cell>
          <cell r="J5707"/>
          <cell r="K5707" t="str">
            <v>BG</v>
          </cell>
          <cell r="L5707" t="str">
            <v>NUAN01</v>
          </cell>
          <cell r="M5707" t="str">
            <v>Nuansa Tani</v>
          </cell>
          <cell r="N5707" t="str">
            <v>Nuansa Tani</v>
          </cell>
          <cell r="O5707" t="str">
            <v>Dukuh Taji RT.001/RW.002 Gelanglor, Sukorejo, Kab. Ponorogo</v>
          </cell>
          <cell r="P5707" t="str">
            <v>Ponorogo</v>
          </cell>
          <cell r="Q5707" t="str">
            <v>Dukuh Taji RT.001/RW.002 Gelanglor, Sukorejo, Kab. Ponorogo</v>
          </cell>
          <cell r="R5707" t="str">
            <v>Ponorogo</v>
          </cell>
          <cell r="S5707" t="str">
            <v>D Barat2</v>
          </cell>
          <cell r="T5707" t="str">
            <v>Dian</v>
          </cell>
          <cell r="U5707">
            <v>30</v>
          </cell>
        </row>
        <row r="5708">
          <cell r="E5708" t="str">
            <v>D25010882</v>
          </cell>
          <cell r="F5708"/>
          <cell r="G5708">
            <v>15000000000</v>
          </cell>
          <cell r="H5708" t="str">
            <v>Reni</v>
          </cell>
          <cell r="I5708" t="str">
            <v>Farida</v>
          </cell>
          <cell r="J5708"/>
          <cell r="K5708" t="str">
            <v>BG</v>
          </cell>
          <cell r="L5708" t="str">
            <v>NUAN01</v>
          </cell>
          <cell r="M5708" t="str">
            <v>Nuansa Tani</v>
          </cell>
          <cell r="N5708" t="str">
            <v>Nuansa Tani</v>
          </cell>
          <cell r="O5708" t="str">
            <v>Dukuh Taji RT.001/RW.002 Gelanglor, Sukorejo, Kab. Ponorogo</v>
          </cell>
          <cell r="P5708" t="str">
            <v>Ponorogo</v>
          </cell>
          <cell r="Q5708" t="str">
            <v>Dukuh Taji RT.001/RW.002 Gelanglor, Sukorejo, Kab. Ponorogo</v>
          </cell>
          <cell r="R5708" t="str">
            <v>Ponorogo</v>
          </cell>
          <cell r="S5708" t="str">
            <v>D Barat2</v>
          </cell>
          <cell r="T5708" t="str">
            <v>Dian</v>
          </cell>
          <cell r="U5708">
            <v>30</v>
          </cell>
        </row>
        <row r="5709">
          <cell r="E5709" t="str">
            <v>D25011353</v>
          </cell>
          <cell r="F5709"/>
          <cell r="G5709">
            <v>15000000000</v>
          </cell>
          <cell r="H5709" t="str">
            <v>Reni</v>
          </cell>
          <cell r="I5709" t="str">
            <v>Farida</v>
          </cell>
          <cell r="J5709"/>
          <cell r="K5709" t="str">
            <v>BG</v>
          </cell>
          <cell r="L5709" t="str">
            <v>NUAN01</v>
          </cell>
          <cell r="M5709" t="str">
            <v>Nuansa Tani</v>
          </cell>
          <cell r="N5709" t="str">
            <v>Nuansa Tani</v>
          </cell>
          <cell r="O5709" t="str">
            <v>Dukuh Taji RT.001/RW.002 Gelanglor, Sukorejo, Kab. Ponorogo</v>
          </cell>
          <cell r="P5709" t="str">
            <v>Ponorogo</v>
          </cell>
          <cell r="Q5709" t="str">
            <v>Dukuh Taji RT.001/RW.002 Gelanglor, Sukorejo, Kab. Ponorogo</v>
          </cell>
          <cell r="R5709" t="str">
            <v>Ponorogo</v>
          </cell>
          <cell r="S5709" t="str">
            <v>D Barat2</v>
          </cell>
          <cell r="T5709" t="str">
            <v>Dian</v>
          </cell>
          <cell r="U5709">
            <v>30</v>
          </cell>
        </row>
        <row r="5710">
          <cell r="E5710" t="str">
            <v>D25011472</v>
          </cell>
          <cell r="F5710"/>
          <cell r="G5710">
            <v>15000000000</v>
          </cell>
          <cell r="H5710" t="str">
            <v>Reni</v>
          </cell>
          <cell r="I5710" t="str">
            <v>Farida</v>
          </cell>
          <cell r="J5710"/>
          <cell r="K5710" t="str">
            <v>BG</v>
          </cell>
          <cell r="L5710" t="str">
            <v>NUAN01</v>
          </cell>
          <cell r="M5710" t="str">
            <v>Nuansa Tani</v>
          </cell>
          <cell r="N5710" t="str">
            <v>Nuansa Tani</v>
          </cell>
          <cell r="O5710" t="str">
            <v>Dukuh Taji RT.001/RW.002 Gelanglor, Sukorejo, Kab. Ponorogo</v>
          </cell>
          <cell r="P5710" t="str">
            <v>Ponorogo</v>
          </cell>
          <cell r="Q5710" t="str">
            <v>Dukuh Taji RT.001/RW.002 Gelanglor, Sukorejo, Kab. Ponorogo</v>
          </cell>
          <cell r="R5710" t="str">
            <v>Ponorogo</v>
          </cell>
          <cell r="S5710" t="str">
            <v>D Barat2</v>
          </cell>
          <cell r="T5710" t="str">
            <v>Dian</v>
          </cell>
          <cell r="U5710">
            <v>30</v>
          </cell>
        </row>
        <row r="5711">
          <cell r="E5711" t="str">
            <v>D25011472</v>
          </cell>
          <cell r="F5711"/>
          <cell r="G5711">
            <v>15000000000</v>
          </cell>
          <cell r="H5711" t="str">
            <v>Reni</v>
          </cell>
          <cell r="I5711" t="str">
            <v>Farida</v>
          </cell>
          <cell r="J5711"/>
          <cell r="K5711" t="str">
            <v>BG</v>
          </cell>
          <cell r="L5711" t="str">
            <v>NUAN01</v>
          </cell>
          <cell r="M5711" t="str">
            <v>Nuansa Tani</v>
          </cell>
          <cell r="N5711" t="str">
            <v>Nuansa Tani</v>
          </cell>
          <cell r="O5711" t="str">
            <v>Dukuh Taji RT.001/RW.002 Gelanglor, Sukorejo, Kab. Ponorogo</v>
          </cell>
          <cell r="P5711" t="str">
            <v>Ponorogo</v>
          </cell>
          <cell r="Q5711" t="str">
            <v>Dukuh Taji RT.001/RW.002 Gelanglor, Sukorejo, Kab. Ponorogo</v>
          </cell>
          <cell r="R5711" t="str">
            <v>Ponorogo</v>
          </cell>
          <cell r="S5711" t="str">
            <v>D Barat2</v>
          </cell>
          <cell r="T5711" t="str">
            <v>Dian</v>
          </cell>
          <cell r="U5711">
            <v>30</v>
          </cell>
        </row>
        <row r="5712">
          <cell r="E5712" t="str">
            <v>D25011472</v>
          </cell>
          <cell r="F5712"/>
          <cell r="G5712">
            <v>15000000000</v>
          </cell>
          <cell r="H5712" t="str">
            <v>Reni</v>
          </cell>
          <cell r="I5712" t="str">
            <v>Farida</v>
          </cell>
          <cell r="J5712"/>
          <cell r="K5712" t="str">
            <v>BG</v>
          </cell>
          <cell r="L5712" t="str">
            <v>NUAN01</v>
          </cell>
          <cell r="M5712" t="str">
            <v>Nuansa Tani</v>
          </cell>
          <cell r="N5712" t="str">
            <v>Nuansa Tani</v>
          </cell>
          <cell r="O5712" t="str">
            <v>Dukuh Taji RT.001/RW.002 Gelanglor, Sukorejo, Kab. Ponorogo</v>
          </cell>
          <cell r="P5712" t="str">
            <v>Ponorogo</v>
          </cell>
          <cell r="Q5712" t="str">
            <v>Dukuh Taji RT.001/RW.002 Gelanglor, Sukorejo, Kab. Ponorogo</v>
          </cell>
          <cell r="R5712" t="str">
            <v>Ponorogo</v>
          </cell>
          <cell r="S5712" t="str">
            <v>D Barat2</v>
          </cell>
          <cell r="T5712" t="str">
            <v>Dian</v>
          </cell>
          <cell r="U5712">
            <v>30</v>
          </cell>
        </row>
        <row r="5713">
          <cell r="E5713" t="str">
            <v>D25011472</v>
          </cell>
          <cell r="F5713"/>
          <cell r="G5713">
            <v>15000000000</v>
          </cell>
          <cell r="H5713" t="str">
            <v>Reni</v>
          </cell>
          <cell r="I5713" t="str">
            <v>Farida</v>
          </cell>
          <cell r="J5713"/>
          <cell r="K5713" t="str">
            <v>BG</v>
          </cell>
          <cell r="L5713" t="str">
            <v>NUAN01</v>
          </cell>
          <cell r="M5713" t="str">
            <v>Nuansa Tani</v>
          </cell>
          <cell r="N5713" t="str">
            <v>Nuansa Tani</v>
          </cell>
          <cell r="O5713" t="str">
            <v>Dukuh Taji RT.001/RW.002 Gelanglor, Sukorejo, Kab. Ponorogo</v>
          </cell>
          <cell r="P5713" t="str">
            <v>Ponorogo</v>
          </cell>
          <cell r="Q5713" t="str">
            <v>Dukuh Taji RT.001/RW.002 Gelanglor, Sukorejo, Kab. Ponorogo</v>
          </cell>
          <cell r="R5713" t="str">
            <v>Ponorogo</v>
          </cell>
          <cell r="S5713" t="str">
            <v>D Barat2</v>
          </cell>
          <cell r="T5713" t="str">
            <v>Dian</v>
          </cell>
          <cell r="U5713">
            <v>30</v>
          </cell>
        </row>
        <row r="5714">
          <cell r="E5714" t="str">
            <v>D25011707</v>
          </cell>
          <cell r="F5714"/>
          <cell r="G5714">
            <v>15000000000</v>
          </cell>
          <cell r="H5714" t="str">
            <v>Reni</v>
          </cell>
          <cell r="I5714" t="str">
            <v>Farida</v>
          </cell>
          <cell r="J5714"/>
          <cell r="K5714" t="str">
            <v>BG</v>
          </cell>
          <cell r="L5714" t="str">
            <v>NUAN01</v>
          </cell>
          <cell r="M5714" t="str">
            <v>Nuansa Tani</v>
          </cell>
          <cell r="N5714" t="str">
            <v>Nuansa Tani</v>
          </cell>
          <cell r="O5714" t="str">
            <v>Dukuh Taji RT.001/RW.002 Gelanglor, Sukorejo, Kab. Ponorogo</v>
          </cell>
          <cell r="P5714" t="str">
            <v>Ponorogo</v>
          </cell>
          <cell r="Q5714" t="str">
            <v>Dukuh Taji RT.001/RW.002 Gelanglor, Sukorejo, Kab. Ponorogo</v>
          </cell>
          <cell r="R5714" t="str">
            <v>Ponorogo</v>
          </cell>
          <cell r="S5714" t="str">
            <v>D Barat2</v>
          </cell>
          <cell r="T5714" t="str">
            <v>Dian</v>
          </cell>
          <cell r="U5714">
            <v>30</v>
          </cell>
        </row>
        <row r="5715">
          <cell r="E5715" t="str">
            <v>D25011708</v>
          </cell>
          <cell r="F5715"/>
          <cell r="G5715">
            <v>15000000000</v>
          </cell>
          <cell r="H5715" t="str">
            <v>Reni</v>
          </cell>
          <cell r="I5715" t="str">
            <v>Farida</v>
          </cell>
          <cell r="J5715"/>
          <cell r="K5715" t="str">
            <v>BG</v>
          </cell>
          <cell r="L5715" t="str">
            <v>NUAN01</v>
          </cell>
          <cell r="M5715" t="str">
            <v>Nuansa Tani</v>
          </cell>
          <cell r="N5715" t="str">
            <v>Nuansa Tani</v>
          </cell>
          <cell r="O5715" t="str">
            <v>Dukuh Taji RT.001/RW.002 Gelanglor, Sukorejo, Kab. Ponorogo</v>
          </cell>
          <cell r="P5715" t="str">
            <v>Ponorogo</v>
          </cell>
          <cell r="Q5715" t="str">
            <v>Dukuh Taji RT.001/RW.002 Gelanglor, Sukorejo, Kab. Ponorogo</v>
          </cell>
          <cell r="R5715" t="str">
            <v>Ponorogo</v>
          </cell>
          <cell r="S5715" t="str">
            <v>D Barat2</v>
          </cell>
          <cell r="T5715" t="str">
            <v>Dian</v>
          </cell>
          <cell r="U5715">
            <v>30</v>
          </cell>
        </row>
        <row r="5716">
          <cell r="E5716" t="str">
            <v>B25009938</v>
          </cell>
          <cell r="F5716"/>
          <cell r="G5716">
            <v>15000000000</v>
          </cell>
          <cell r="H5716" t="str">
            <v>Reni</v>
          </cell>
          <cell r="I5716" t="str">
            <v>Farida</v>
          </cell>
          <cell r="J5716"/>
          <cell r="K5716" t="str">
            <v>BG</v>
          </cell>
          <cell r="L5716" t="str">
            <v>NUAN01</v>
          </cell>
          <cell r="M5716" t="str">
            <v>Nuansa Tani</v>
          </cell>
          <cell r="N5716" t="str">
            <v>Nuansa Tani</v>
          </cell>
          <cell r="O5716" t="str">
            <v>Dukuh Taji RT.001/RW.002 Gelanglor, Sukorejo, Kab. Ponorogo</v>
          </cell>
          <cell r="P5716" t="str">
            <v>Ponorogo</v>
          </cell>
          <cell r="Q5716" t="str">
            <v>Dukuh Taji RT.001/RW.002 Gelanglor, Sukorejo, Kab. Ponorogo</v>
          </cell>
          <cell r="R5716" t="str">
            <v>Ponorogo</v>
          </cell>
          <cell r="S5716" t="str">
            <v>D Barat2</v>
          </cell>
          <cell r="T5716" t="str">
            <v>Dian</v>
          </cell>
          <cell r="U5716">
            <v>30</v>
          </cell>
        </row>
        <row r="5717">
          <cell r="E5717" t="str">
            <v>B25009938</v>
          </cell>
          <cell r="F5717"/>
          <cell r="G5717">
            <v>15000000000</v>
          </cell>
          <cell r="H5717" t="str">
            <v>Reni</v>
          </cell>
          <cell r="I5717" t="str">
            <v>Farida</v>
          </cell>
          <cell r="J5717"/>
          <cell r="K5717" t="str">
            <v>BG</v>
          </cell>
          <cell r="L5717" t="str">
            <v>NUAN01</v>
          </cell>
          <cell r="M5717" t="str">
            <v>Nuansa Tani</v>
          </cell>
          <cell r="N5717" t="str">
            <v>Nuansa Tani</v>
          </cell>
          <cell r="O5717" t="str">
            <v>Dukuh Taji RT.001/RW.002 Gelanglor, Sukorejo, Kab. Ponorogo</v>
          </cell>
          <cell r="P5717" t="str">
            <v>Ponorogo</v>
          </cell>
          <cell r="Q5717" t="str">
            <v>Dukuh Taji RT.001/RW.002 Gelanglor, Sukorejo, Kab. Ponorogo</v>
          </cell>
          <cell r="R5717" t="str">
            <v>Ponorogo</v>
          </cell>
          <cell r="S5717" t="str">
            <v>D Barat2</v>
          </cell>
          <cell r="T5717" t="str">
            <v>Dian</v>
          </cell>
          <cell r="U5717">
            <v>30</v>
          </cell>
        </row>
        <row r="5718">
          <cell r="E5718" t="str">
            <v>D25011848</v>
          </cell>
          <cell r="F5718"/>
          <cell r="G5718">
            <v>15000000000</v>
          </cell>
          <cell r="H5718" t="str">
            <v>Reni</v>
          </cell>
          <cell r="I5718" t="str">
            <v>Farida</v>
          </cell>
          <cell r="J5718"/>
          <cell r="K5718" t="str">
            <v>BG</v>
          </cell>
          <cell r="L5718" t="str">
            <v>NUAN01</v>
          </cell>
          <cell r="M5718" t="str">
            <v>Nuansa Tani</v>
          </cell>
          <cell r="N5718" t="str">
            <v>Nuansa Tani</v>
          </cell>
          <cell r="O5718" t="str">
            <v>Dukuh Taji RT.001/RW.002 Gelanglor, Sukorejo, Kab. Ponorogo</v>
          </cell>
          <cell r="P5718" t="str">
            <v>Ponorogo</v>
          </cell>
          <cell r="Q5718" t="str">
            <v>Dukuh Taji RT.001/RW.002 Gelanglor, Sukorejo, Kab. Ponorogo</v>
          </cell>
          <cell r="R5718" t="str">
            <v>Ponorogo</v>
          </cell>
          <cell r="S5718" t="str">
            <v>D Barat2</v>
          </cell>
          <cell r="T5718" t="str">
            <v>Dian</v>
          </cell>
          <cell r="U5718">
            <v>30</v>
          </cell>
        </row>
        <row r="5719">
          <cell r="E5719" t="str">
            <v>D25011848</v>
          </cell>
          <cell r="F5719"/>
          <cell r="G5719">
            <v>15000000000</v>
          </cell>
          <cell r="H5719" t="str">
            <v>Reni</v>
          </cell>
          <cell r="I5719" t="str">
            <v>Farida</v>
          </cell>
          <cell r="J5719"/>
          <cell r="K5719" t="str">
            <v>BG</v>
          </cell>
          <cell r="L5719" t="str">
            <v>NUAN01</v>
          </cell>
          <cell r="M5719" t="str">
            <v>Nuansa Tani</v>
          </cell>
          <cell r="N5719" t="str">
            <v>Nuansa Tani</v>
          </cell>
          <cell r="O5719" t="str">
            <v>Dukuh Taji RT.001/RW.002 Gelanglor, Sukorejo, Kab. Ponorogo</v>
          </cell>
          <cell r="P5719" t="str">
            <v>Ponorogo</v>
          </cell>
          <cell r="Q5719" t="str">
            <v>Dukuh Taji RT.001/RW.002 Gelanglor, Sukorejo, Kab. Ponorogo</v>
          </cell>
          <cell r="R5719" t="str">
            <v>Ponorogo</v>
          </cell>
          <cell r="S5719" t="str">
            <v>D Barat2</v>
          </cell>
          <cell r="T5719" t="str">
            <v>Dian</v>
          </cell>
          <cell r="U5719">
            <v>30</v>
          </cell>
        </row>
        <row r="5720">
          <cell r="E5720" t="str">
            <v>D25011859</v>
          </cell>
          <cell r="F5720"/>
          <cell r="G5720">
            <v>15000000000</v>
          </cell>
          <cell r="H5720" t="str">
            <v>Reni</v>
          </cell>
          <cell r="I5720" t="str">
            <v>Farida</v>
          </cell>
          <cell r="J5720"/>
          <cell r="K5720" t="str">
            <v>BG</v>
          </cell>
          <cell r="L5720" t="str">
            <v>NUAN01</v>
          </cell>
          <cell r="M5720" t="str">
            <v>Nuansa Tani</v>
          </cell>
          <cell r="N5720" t="str">
            <v>Nuansa Tani</v>
          </cell>
          <cell r="O5720" t="str">
            <v>Dukuh Taji RT.001/RW.002 Gelanglor, Sukorejo, Kab. Ponorogo</v>
          </cell>
          <cell r="P5720" t="str">
            <v>Ponorogo</v>
          </cell>
          <cell r="Q5720" t="str">
            <v>Dukuh Taji RT.001/RW.002 Gelanglor, Sukorejo, Kab. Ponorogo</v>
          </cell>
          <cell r="R5720" t="str">
            <v>Ponorogo</v>
          </cell>
          <cell r="S5720" t="str">
            <v>D Barat2</v>
          </cell>
          <cell r="T5720" t="str">
            <v>Dian</v>
          </cell>
          <cell r="U5720">
            <v>30</v>
          </cell>
        </row>
        <row r="5721">
          <cell r="E5721" t="str">
            <v>D25011898</v>
          </cell>
          <cell r="F5721"/>
          <cell r="G5721">
            <v>15000000000</v>
          </cell>
          <cell r="H5721" t="str">
            <v>Reni</v>
          </cell>
          <cell r="I5721" t="str">
            <v>Farida</v>
          </cell>
          <cell r="J5721"/>
          <cell r="K5721" t="str">
            <v>BG</v>
          </cell>
          <cell r="L5721" t="str">
            <v>NUAN01</v>
          </cell>
          <cell r="M5721" t="str">
            <v>Nuansa Tani</v>
          </cell>
          <cell r="N5721" t="str">
            <v>Nuansa Tani</v>
          </cell>
          <cell r="O5721" t="str">
            <v>Dukuh Taji RT.001/RW.002 Gelanglor, Sukorejo, Kab. Ponorogo</v>
          </cell>
          <cell r="P5721" t="str">
            <v>Ponorogo</v>
          </cell>
          <cell r="Q5721" t="str">
            <v>Dukuh Taji RT.001/RW.002 Gelanglor, Sukorejo, Kab. Ponorogo</v>
          </cell>
          <cell r="R5721" t="str">
            <v>Ponorogo</v>
          </cell>
          <cell r="S5721" t="str">
            <v>D Barat2</v>
          </cell>
          <cell r="T5721" t="str">
            <v>Dian</v>
          </cell>
          <cell r="U5721">
            <v>30</v>
          </cell>
        </row>
        <row r="5722">
          <cell r="E5722" t="str">
            <v>D25012160</v>
          </cell>
          <cell r="F5722"/>
          <cell r="G5722">
            <v>15000000000</v>
          </cell>
          <cell r="H5722" t="str">
            <v>Reni</v>
          </cell>
          <cell r="I5722" t="str">
            <v>Farida</v>
          </cell>
          <cell r="J5722"/>
          <cell r="K5722" t="str">
            <v>BG</v>
          </cell>
          <cell r="L5722" t="str">
            <v>NUAN01</v>
          </cell>
          <cell r="M5722" t="str">
            <v>Nuansa Tani</v>
          </cell>
          <cell r="N5722" t="str">
            <v>Nuansa Tani</v>
          </cell>
          <cell r="O5722" t="str">
            <v>Dukuh Taji RT.001/RW.002 Gelanglor, Sukorejo, Kab. Ponorogo</v>
          </cell>
          <cell r="P5722" t="str">
            <v>Ponorogo</v>
          </cell>
          <cell r="Q5722" t="str">
            <v>Dukuh Taji RT.001/RW.002 Gelanglor, Sukorejo, Kab. Ponorogo</v>
          </cell>
          <cell r="R5722" t="str">
            <v>Ponorogo</v>
          </cell>
          <cell r="S5722" t="str">
            <v>D Barat2</v>
          </cell>
          <cell r="T5722" t="str">
            <v>Dian</v>
          </cell>
          <cell r="U5722">
            <v>30</v>
          </cell>
        </row>
        <row r="5723">
          <cell r="E5723" t="str">
            <v>B25010608</v>
          </cell>
          <cell r="F5723"/>
          <cell r="G5723">
            <v>15000000000</v>
          </cell>
          <cell r="H5723" t="str">
            <v>Reni</v>
          </cell>
          <cell r="I5723" t="str">
            <v>Farida</v>
          </cell>
          <cell r="J5723"/>
          <cell r="K5723" t="str">
            <v>BG</v>
          </cell>
          <cell r="L5723" t="str">
            <v>NUAN01</v>
          </cell>
          <cell r="M5723" t="str">
            <v>Nuansa Tani</v>
          </cell>
          <cell r="N5723" t="str">
            <v>Nuansa Tani</v>
          </cell>
          <cell r="O5723" t="str">
            <v>Dukuh Taji RT.001/RW.002 Gelanglor, Sukorejo, Kab. Ponorogo</v>
          </cell>
          <cell r="P5723" t="str">
            <v>Ponorogo</v>
          </cell>
          <cell r="Q5723" t="str">
            <v>Dukuh Taji RT.001/RW.002 Gelanglor, Sukorejo, Kab. Ponorogo</v>
          </cell>
          <cell r="R5723" t="str">
            <v>Ponorogo</v>
          </cell>
          <cell r="S5723" t="str">
            <v>D Barat2</v>
          </cell>
          <cell r="T5723" t="str">
            <v>Dian</v>
          </cell>
          <cell r="U5723">
            <v>30</v>
          </cell>
        </row>
        <row r="5724">
          <cell r="E5724" t="str">
            <v>B25010608</v>
          </cell>
          <cell r="F5724"/>
          <cell r="G5724">
            <v>15000000000</v>
          </cell>
          <cell r="H5724" t="str">
            <v>Reni</v>
          </cell>
          <cell r="I5724" t="str">
            <v>Farida</v>
          </cell>
          <cell r="J5724"/>
          <cell r="K5724" t="str">
            <v>BG</v>
          </cell>
          <cell r="L5724" t="str">
            <v>NUAN01</v>
          </cell>
          <cell r="M5724" t="str">
            <v>Nuansa Tani</v>
          </cell>
          <cell r="N5724" t="str">
            <v>Nuansa Tani</v>
          </cell>
          <cell r="O5724" t="str">
            <v>Dukuh Taji RT.001/RW.002 Gelanglor, Sukorejo, Kab. Ponorogo</v>
          </cell>
          <cell r="P5724" t="str">
            <v>Ponorogo</v>
          </cell>
          <cell r="Q5724" t="str">
            <v>Dukuh Taji RT.001/RW.002 Gelanglor, Sukorejo, Kab. Ponorogo</v>
          </cell>
          <cell r="R5724" t="str">
            <v>Ponorogo</v>
          </cell>
          <cell r="S5724" t="str">
            <v>D Barat2</v>
          </cell>
          <cell r="T5724" t="str">
            <v>Dian</v>
          </cell>
          <cell r="U5724">
            <v>30</v>
          </cell>
        </row>
        <row r="5725">
          <cell r="E5725" t="str">
            <v>B25010609</v>
          </cell>
          <cell r="F5725"/>
          <cell r="G5725">
            <v>15000000000</v>
          </cell>
          <cell r="H5725" t="str">
            <v>Reni</v>
          </cell>
          <cell r="I5725" t="str">
            <v>Farida</v>
          </cell>
          <cell r="J5725"/>
          <cell r="K5725" t="str">
            <v>BG</v>
          </cell>
          <cell r="L5725" t="str">
            <v>NUAN01</v>
          </cell>
          <cell r="M5725" t="str">
            <v>Nuansa Tani</v>
          </cell>
          <cell r="N5725" t="str">
            <v>Nuansa Tani</v>
          </cell>
          <cell r="O5725" t="str">
            <v>Dukuh Taji RT.001/RW.002 Gelanglor, Sukorejo, Kab. Ponorogo</v>
          </cell>
          <cell r="P5725" t="str">
            <v>Ponorogo</v>
          </cell>
          <cell r="Q5725" t="str">
            <v>Dukuh Taji RT.001/RW.002 Gelanglor, Sukorejo, Kab. Ponorogo</v>
          </cell>
          <cell r="R5725" t="str">
            <v>Ponorogo</v>
          </cell>
          <cell r="S5725" t="str">
            <v>D Barat2</v>
          </cell>
          <cell r="T5725" t="str">
            <v>Dian</v>
          </cell>
          <cell r="U5725">
            <v>30</v>
          </cell>
        </row>
        <row r="5726">
          <cell r="E5726" t="str">
            <v>B25010609</v>
          </cell>
          <cell r="F5726"/>
          <cell r="G5726">
            <v>15000000000</v>
          </cell>
          <cell r="H5726" t="str">
            <v>Reni</v>
          </cell>
          <cell r="I5726" t="str">
            <v>Farida</v>
          </cell>
          <cell r="J5726"/>
          <cell r="K5726" t="str">
            <v>BG</v>
          </cell>
          <cell r="L5726" t="str">
            <v>NUAN01</v>
          </cell>
          <cell r="M5726" t="str">
            <v>Nuansa Tani</v>
          </cell>
          <cell r="N5726" t="str">
            <v>Nuansa Tani</v>
          </cell>
          <cell r="O5726" t="str">
            <v>Dukuh Taji RT.001/RW.002 Gelanglor, Sukorejo, Kab. Ponorogo</v>
          </cell>
          <cell r="P5726" t="str">
            <v>Ponorogo</v>
          </cell>
          <cell r="Q5726" t="str">
            <v>Dukuh Taji RT.001/RW.002 Gelanglor, Sukorejo, Kab. Ponorogo</v>
          </cell>
          <cell r="R5726" t="str">
            <v>Ponorogo</v>
          </cell>
          <cell r="S5726" t="str">
            <v>D Barat2</v>
          </cell>
          <cell r="T5726" t="str">
            <v>Dian</v>
          </cell>
          <cell r="U5726">
            <v>30</v>
          </cell>
        </row>
        <row r="5727">
          <cell r="E5727" t="str">
            <v>B25010609</v>
          </cell>
          <cell r="F5727"/>
          <cell r="G5727">
            <v>15000000000</v>
          </cell>
          <cell r="H5727" t="str">
            <v>Reni</v>
          </cell>
          <cell r="I5727" t="str">
            <v>Farida</v>
          </cell>
          <cell r="J5727"/>
          <cell r="K5727" t="str">
            <v>BG</v>
          </cell>
          <cell r="L5727" t="str">
            <v>NUAN01</v>
          </cell>
          <cell r="M5727" t="str">
            <v>Nuansa Tani</v>
          </cell>
          <cell r="N5727" t="str">
            <v>Nuansa Tani</v>
          </cell>
          <cell r="O5727" t="str">
            <v>Dukuh Taji RT.001/RW.002 Gelanglor, Sukorejo, Kab. Ponorogo</v>
          </cell>
          <cell r="P5727" t="str">
            <v>Ponorogo</v>
          </cell>
          <cell r="Q5727" t="str">
            <v>Dukuh Taji RT.001/RW.002 Gelanglor, Sukorejo, Kab. Ponorogo</v>
          </cell>
          <cell r="R5727" t="str">
            <v>Ponorogo</v>
          </cell>
          <cell r="S5727" t="str">
            <v>D Barat2</v>
          </cell>
          <cell r="T5727" t="str">
            <v>Dian</v>
          </cell>
          <cell r="U5727">
            <v>30</v>
          </cell>
        </row>
        <row r="5728">
          <cell r="E5728" t="str">
            <v>D25012592</v>
          </cell>
          <cell r="F5728"/>
          <cell r="G5728">
            <v>15000000000</v>
          </cell>
          <cell r="H5728" t="str">
            <v>Reni</v>
          </cell>
          <cell r="I5728" t="str">
            <v>Farida</v>
          </cell>
          <cell r="J5728"/>
          <cell r="K5728" t="str">
            <v>BG</v>
          </cell>
          <cell r="L5728" t="str">
            <v>NUAN01</v>
          </cell>
          <cell r="M5728" t="str">
            <v>Nuansa Tani</v>
          </cell>
          <cell r="N5728" t="str">
            <v>Nuansa Tani</v>
          </cell>
          <cell r="O5728" t="str">
            <v>Dukuh Taji RT.001/RW.002 Gelanglor, Sukorejo, Kab. Ponorogo</v>
          </cell>
          <cell r="P5728" t="str">
            <v>Ponorogo</v>
          </cell>
          <cell r="Q5728" t="str">
            <v>Dukuh Taji RT.001/RW.002 Gelanglor, Sukorejo, Kab. Ponorogo</v>
          </cell>
          <cell r="R5728" t="str">
            <v>Ponorogo</v>
          </cell>
          <cell r="S5728" t="str">
            <v>D Barat2</v>
          </cell>
          <cell r="T5728" t="str">
            <v>Dian</v>
          </cell>
          <cell r="U5728">
            <v>30</v>
          </cell>
        </row>
        <row r="5729">
          <cell r="E5729" t="str">
            <v>D25012845</v>
          </cell>
          <cell r="F5729"/>
          <cell r="G5729">
            <v>15000000000</v>
          </cell>
          <cell r="H5729" t="str">
            <v>Reni</v>
          </cell>
          <cell r="I5729" t="str">
            <v>Farida</v>
          </cell>
          <cell r="J5729"/>
          <cell r="K5729" t="str">
            <v>BG</v>
          </cell>
          <cell r="L5729" t="str">
            <v>NUAN01</v>
          </cell>
          <cell r="M5729" t="str">
            <v>Nuansa Tani</v>
          </cell>
          <cell r="N5729" t="str">
            <v>Nuansa Tani</v>
          </cell>
          <cell r="O5729" t="str">
            <v>Dukuh Taji RT.001/RW.002 Gelanglor, Sukorejo, Kab. Ponorogo</v>
          </cell>
          <cell r="P5729" t="str">
            <v>Ponorogo</v>
          </cell>
          <cell r="Q5729" t="str">
            <v>Dukuh Taji RT.001/RW.002 Gelanglor, Sukorejo, Kab. Ponorogo</v>
          </cell>
          <cell r="R5729" t="str">
            <v>Ponorogo</v>
          </cell>
          <cell r="S5729" t="str">
            <v>D Barat2</v>
          </cell>
          <cell r="T5729" t="str">
            <v>Dian</v>
          </cell>
          <cell r="U5729">
            <v>30</v>
          </cell>
        </row>
        <row r="5730">
          <cell r="E5730" t="str">
            <v>D25012845</v>
          </cell>
          <cell r="F5730"/>
          <cell r="G5730">
            <v>15000000000</v>
          </cell>
          <cell r="H5730" t="str">
            <v>Reni</v>
          </cell>
          <cell r="I5730" t="str">
            <v>Farida</v>
          </cell>
          <cell r="J5730"/>
          <cell r="K5730" t="str">
            <v>BG</v>
          </cell>
          <cell r="L5730" t="str">
            <v>NUAN01</v>
          </cell>
          <cell r="M5730" t="str">
            <v>Nuansa Tani</v>
          </cell>
          <cell r="N5730" t="str">
            <v>Nuansa Tani</v>
          </cell>
          <cell r="O5730" t="str">
            <v>Dukuh Taji RT.001/RW.002 Gelanglor, Sukorejo, Kab. Ponorogo</v>
          </cell>
          <cell r="P5730" t="str">
            <v>Ponorogo</v>
          </cell>
          <cell r="Q5730" t="str">
            <v>Dukuh Taji RT.001/RW.002 Gelanglor, Sukorejo, Kab. Ponorogo</v>
          </cell>
          <cell r="R5730" t="str">
            <v>Ponorogo</v>
          </cell>
          <cell r="S5730" t="str">
            <v>D Barat2</v>
          </cell>
          <cell r="T5730" t="str">
            <v>Dian</v>
          </cell>
          <cell r="U5730">
            <v>30</v>
          </cell>
        </row>
        <row r="5731">
          <cell r="E5731" t="str">
            <v>D25012845</v>
          </cell>
          <cell r="F5731"/>
          <cell r="G5731">
            <v>15000000000</v>
          </cell>
          <cell r="H5731" t="str">
            <v>Reni</v>
          </cell>
          <cell r="I5731" t="str">
            <v>Farida</v>
          </cell>
          <cell r="J5731"/>
          <cell r="K5731" t="str">
            <v>BG</v>
          </cell>
          <cell r="L5731" t="str">
            <v>NUAN01</v>
          </cell>
          <cell r="M5731" t="str">
            <v>Nuansa Tani</v>
          </cell>
          <cell r="N5731" t="str">
            <v>Nuansa Tani</v>
          </cell>
          <cell r="O5731" t="str">
            <v>Dukuh Taji RT.001/RW.002 Gelanglor, Sukorejo, Kab. Ponorogo</v>
          </cell>
          <cell r="P5731" t="str">
            <v>Ponorogo</v>
          </cell>
          <cell r="Q5731" t="str">
            <v>Dukuh Taji RT.001/RW.002 Gelanglor, Sukorejo, Kab. Ponorogo</v>
          </cell>
          <cell r="R5731" t="str">
            <v>Ponorogo</v>
          </cell>
          <cell r="S5731" t="str">
            <v>D Barat2</v>
          </cell>
          <cell r="T5731" t="str">
            <v>Dian</v>
          </cell>
          <cell r="U5731">
            <v>30</v>
          </cell>
        </row>
        <row r="5732">
          <cell r="E5732" t="str">
            <v>B25010944</v>
          </cell>
          <cell r="F5732"/>
          <cell r="G5732">
            <v>15000000000</v>
          </cell>
          <cell r="H5732" t="str">
            <v>Reni</v>
          </cell>
          <cell r="I5732" t="str">
            <v>Farida</v>
          </cell>
          <cell r="J5732"/>
          <cell r="K5732" t="str">
            <v>BG</v>
          </cell>
          <cell r="L5732" t="str">
            <v>NUAN01</v>
          </cell>
          <cell r="M5732" t="str">
            <v>Nuansa Tani</v>
          </cell>
          <cell r="N5732" t="str">
            <v>Nuansa Tani</v>
          </cell>
          <cell r="O5732" t="str">
            <v>Dukuh Taji RT.001/RW.002 Gelanglor, Sukorejo, Kab. Ponorogo</v>
          </cell>
          <cell r="P5732" t="str">
            <v>Ponorogo</v>
          </cell>
          <cell r="Q5732" t="str">
            <v>Dukuh Taji RT.001/RW.002 Gelanglor, Sukorejo, Kab. Ponorogo</v>
          </cell>
          <cell r="R5732" t="str">
            <v>Ponorogo</v>
          </cell>
          <cell r="S5732" t="str">
            <v>D Barat2</v>
          </cell>
          <cell r="T5732" t="str">
            <v>Dian</v>
          </cell>
          <cell r="U5732">
            <v>30</v>
          </cell>
        </row>
        <row r="5733">
          <cell r="E5733" t="str">
            <v>B25010946</v>
          </cell>
          <cell r="F5733"/>
          <cell r="G5733">
            <v>15000000000</v>
          </cell>
          <cell r="H5733" t="str">
            <v>Reni</v>
          </cell>
          <cell r="I5733" t="str">
            <v>Farida</v>
          </cell>
          <cell r="J5733"/>
          <cell r="K5733" t="str">
            <v>BG</v>
          </cell>
          <cell r="L5733" t="str">
            <v>NUAN01</v>
          </cell>
          <cell r="M5733" t="str">
            <v>Nuansa Tani</v>
          </cell>
          <cell r="N5733" t="str">
            <v>Nuansa Tani</v>
          </cell>
          <cell r="O5733" t="str">
            <v>Dukuh Taji RT.001/RW.002 Gelanglor, Sukorejo, Kab. Ponorogo</v>
          </cell>
          <cell r="P5733" t="str">
            <v>Ponorogo</v>
          </cell>
          <cell r="Q5733" t="str">
            <v>Dukuh Taji RT.001/RW.002 Gelanglor, Sukorejo, Kab. Ponorogo</v>
          </cell>
          <cell r="R5733" t="str">
            <v>Ponorogo</v>
          </cell>
          <cell r="S5733" t="str">
            <v>D Barat2</v>
          </cell>
          <cell r="T5733" t="str">
            <v>Dian</v>
          </cell>
          <cell r="U5733">
            <v>30</v>
          </cell>
        </row>
        <row r="5734">
          <cell r="E5734" t="str">
            <v>D25013080</v>
          </cell>
          <cell r="F5734"/>
          <cell r="G5734">
            <v>15000000000</v>
          </cell>
          <cell r="H5734" t="str">
            <v>Reni</v>
          </cell>
          <cell r="I5734" t="str">
            <v>Farida</v>
          </cell>
          <cell r="J5734"/>
          <cell r="K5734" t="str">
            <v>BG</v>
          </cell>
          <cell r="L5734" t="str">
            <v>NUAN01</v>
          </cell>
          <cell r="M5734" t="str">
            <v>Nuansa Tani</v>
          </cell>
          <cell r="N5734" t="str">
            <v>Nuansa Tani</v>
          </cell>
          <cell r="O5734" t="str">
            <v>Dukuh Taji RT.001/RW.002 Gelanglor, Sukorejo, Kab. Ponorogo</v>
          </cell>
          <cell r="P5734" t="str">
            <v>Ponorogo</v>
          </cell>
          <cell r="Q5734" t="str">
            <v>Dukuh Taji RT.001/RW.002 Gelanglor, Sukorejo, Kab. Ponorogo</v>
          </cell>
          <cell r="R5734" t="str">
            <v>Ponorogo</v>
          </cell>
          <cell r="S5734" t="str">
            <v>D Barat2</v>
          </cell>
          <cell r="T5734" t="str">
            <v>Dian</v>
          </cell>
          <cell r="U5734">
            <v>30</v>
          </cell>
        </row>
        <row r="5735">
          <cell r="E5735" t="str">
            <v>B25011161</v>
          </cell>
          <cell r="F5735"/>
          <cell r="G5735">
            <v>15000000000</v>
          </cell>
          <cell r="H5735" t="str">
            <v>Reni</v>
          </cell>
          <cell r="I5735" t="str">
            <v>Farida</v>
          </cell>
          <cell r="J5735"/>
          <cell r="K5735" t="str">
            <v>BG</v>
          </cell>
          <cell r="L5735" t="str">
            <v>NUAN01</v>
          </cell>
          <cell r="M5735" t="str">
            <v>Nuansa Tani</v>
          </cell>
          <cell r="N5735" t="str">
            <v>Nuansa Tani</v>
          </cell>
          <cell r="O5735" t="str">
            <v>Dukuh Taji RT.001/RW.002 Gelanglor, Sukorejo, Kab. Ponorogo</v>
          </cell>
          <cell r="P5735" t="str">
            <v>Ponorogo</v>
          </cell>
          <cell r="Q5735" t="str">
            <v>Dukuh Taji RT.001/RW.002 Gelanglor, Sukorejo, Kab. Ponorogo</v>
          </cell>
          <cell r="R5735" t="str">
            <v>Ponorogo</v>
          </cell>
          <cell r="S5735" t="str">
            <v>D Barat2</v>
          </cell>
          <cell r="T5735" t="str">
            <v>Dian</v>
          </cell>
          <cell r="U5735">
            <v>30</v>
          </cell>
        </row>
        <row r="5736">
          <cell r="E5736" t="str">
            <v>D25013367</v>
          </cell>
          <cell r="F5736"/>
          <cell r="G5736">
            <v>15000000000</v>
          </cell>
          <cell r="H5736" t="str">
            <v>Reni</v>
          </cell>
          <cell r="I5736" t="str">
            <v>Farida</v>
          </cell>
          <cell r="J5736"/>
          <cell r="K5736" t="str">
            <v>BG</v>
          </cell>
          <cell r="L5736" t="str">
            <v>NUAN01</v>
          </cell>
          <cell r="M5736" t="str">
            <v>Nuansa Tani</v>
          </cell>
          <cell r="N5736" t="str">
            <v>Nuansa Tani</v>
          </cell>
          <cell r="O5736" t="str">
            <v>Dukuh Taji RT.001/RW.002 Gelanglor, Sukorejo, Kab. Ponorogo</v>
          </cell>
          <cell r="P5736" t="str">
            <v>Ponorogo</v>
          </cell>
          <cell r="Q5736" t="str">
            <v>Dukuh Taji RT.001/RW.002 Gelanglor, Sukorejo, Kab. Ponorogo</v>
          </cell>
          <cell r="R5736" t="str">
            <v>Ponorogo</v>
          </cell>
          <cell r="S5736" t="str">
            <v>D Barat2</v>
          </cell>
          <cell r="T5736" t="str">
            <v>Dian</v>
          </cell>
          <cell r="U5736">
            <v>30</v>
          </cell>
        </row>
        <row r="5737">
          <cell r="E5737" t="str">
            <v>D25013367</v>
          </cell>
          <cell r="F5737"/>
          <cell r="G5737">
            <v>15000000000</v>
          </cell>
          <cell r="H5737" t="str">
            <v>Reni</v>
          </cell>
          <cell r="I5737" t="str">
            <v>Farida</v>
          </cell>
          <cell r="J5737"/>
          <cell r="K5737" t="str">
            <v>BG</v>
          </cell>
          <cell r="L5737" t="str">
            <v>NUAN01</v>
          </cell>
          <cell r="M5737" t="str">
            <v>Nuansa Tani</v>
          </cell>
          <cell r="N5737" t="str">
            <v>Nuansa Tani</v>
          </cell>
          <cell r="O5737" t="str">
            <v>Dukuh Taji RT.001/RW.002 Gelanglor, Sukorejo, Kab. Ponorogo</v>
          </cell>
          <cell r="P5737" t="str">
            <v>Ponorogo</v>
          </cell>
          <cell r="Q5737" t="str">
            <v>Dukuh Taji RT.001/RW.002 Gelanglor, Sukorejo, Kab. Ponorogo</v>
          </cell>
          <cell r="R5737" t="str">
            <v>Ponorogo</v>
          </cell>
          <cell r="S5737" t="str">
            <v>D Barat2</v>
          </cell>
          <cell r="T5737" t="str">
            <v>Dian</v>
          </cell>
          <cell r="U5737">
            <v>30</v>
          </cell>
        </row>
        <row r="5738">
          <cell r="E5738" t="str">
            <v>B25011359</v>
          </cell>
          <cell r="F5738"/>
          <cell r="G5738">
            <v>15000000000</v>
          </cell>
          <cell r="H5738" t="str">
            <v>Reni</v>
          </cell>
          <cell r="I5738" t="str">
            <v>Farida</v>
          </cell>
          <cell r="J5738"/>
          <cell r="K5738" t="str">
            <v>BG</v>
          </cell>
          <cell r="L5738" t="str">
            <v>NUAN01</v>
          </cell>
          <cell r="M5738" t="str">
            <v>Nuansa Tani</v>
          </cell>
          <cell r="N5738" t="str">
            <v>Nuansa Tani</v>
          </cell>
          <cell r="O5738" t="str">
            <v>Dukuh Taji RT.001/RW.002 Gelanglor, Sukorejo, Kab. Ponorogo</v>
          </cell>
          <cell r="P5738" t="str">
            <v>Ponorogo</v>
          </cell>
          <cell r="Q5738" t="str">
            <v>Dukuh Taji RT.001/RW.002 Gelanglor, Sukorejo, Kab. Ponorogo</v>
          </cell>
          <cell r="R5738" t="str">
            <v>Ponorogo</v>
          </cell>
          <cell r="S5738" t="str">
            <v>D Barat2</v>
          </cell>
          <cell r="T5738" t="str">
            <v>Dian</v>
          </cell>
          <cell r="U5738">
            <v>30</v>
          </cell>
        </row>
        <row r="5739">
          <cell r="E5739" t="str">
            <v>B25011360</v>
          </cell>
          <cell r="F5739"/>
          <cell r="G5739">
            <v>15000000000</v>
          </cell>
          <cell r="H5739" t="str">
            <v>Reni</v>
          </cell>
          <cell r="I5739" t="str">
            <v>Farida</v>
          </cell>
          <cell r="J5739"/>
          <cell r="K5739" t="str">
            <v>BG</v>
          </cell>
          <cell r="L5739" t="str">
            <v>NUAN01</v>
          </cell>
          <cell r="M5739" t="str">
            <v>Nuansa Tani</v>
          </cell>
          <cell r="N5739" t="str">
            <v>Nuansa Tani</v>
          </cell>
          <cell r="O5739" t="str">
            <v>Dukuh Taji RT.001/RW.002 Gelanglor, Sukorejo, Kab. Ponorogo</v>
          </cell>
          <cell r="P5739" t="str">
            <v>Ponorogo</v>
          </cell>
          <cell r="Q5739" t="str">
            <v>Dukuh Taji RT.001/RW.002 Gelanglor, Sukorejo, Kab. Ponorogo</v>
          </cell>
          <cell r="R5739" t="str">
            <v>Ponorogo</v>
          </cell>
          <cell r="S5739" t="str">
            <v>D Barat2</v>
          </cell>
          <cell r="T5739" t="str">
            <v>Dian</v>
          </cell>
          <cell r="U5739">
            <v>30</v>
          </cell>
        </row>
        <row r="5740">
          <cell r="E5740" t="str">
            <v>B25011428</v>
          </cell>
          <cell r="F5740"/>
          <cell r="G5740">
            <v>15000000000</v>
          </cell>
          <cell r="H5740" t="str">
            <v>Reni</v>
          </cell>
          <cell r="I5740" t="str">
            <v>Farida</v>
          </cell>
          <cell r="J5740"/>
          <cell r="K5740" t="str">
            <v>BG</v>
          </cell>
          <cell r="L5740" t="str">
            <v>NUAN01</v>
          </cell>
          <cell r="M5740" t="str">
            <v>Nuansa Tani</v>
          </cell>
          <cell r="N5740" t="str">
            <v>Nuansa Tani</v>
          </cell>
          <cell r="O5740" t="str">
            <v>Dukuh Taji RT.001/RW.002 Gelanglor, Sukorejo, Kab. Ponorogo</v>
          </cell>
          <cell r="P5740" t="str">
            <v>Ponorogo</v>
          </cell>
          <cell r="Q5740" t="str">
            <v>Dukuh Taji RT.001/RW.002 Gelanglor, Sukorejo, Kab. Ponorogo</v>
          </cell>
          <cell r="R5740" t="str">
            <v>Ponorogo</v>
          </cell>
          <cell r="S5740" t="str">
            <v>D Barat2</v>
          </cell>
          <cell r="T5740" t="str">
            <v>Dian</v>
          </cell>
          <cell r="U5740">
            <v>30</v>
          </cell>
        </row>
        <row r="5741">
          <cell r="E5741" t="str">
            <v>D25013752</v>
          </cell>
          <cell r="F5741"/>
          <cell r="G5741">
            <v>15000000000</v>
          </cell>
          <cell r="H5741" t="str">
            <v>Reni</v>
          </cell>
          <cell r="I5741" t="str">
            <v>Farida</v>
          </cell>
          <cell r="J5741"/>
          <cell r="K5741" t="str">
            <v>BG</v>
          </cell>
          <cell r="L5741" t="str">
            <v>NUAN01</v>
          </cell>
          <cell r="M5741" t="str">
            <v>Nuansa Tani</v>
          </cell>
          <cell r="N5741" t="str">
            <v>Nuansa Tani</v>
          </cell>
          <cell r="O5741" t="str">
            <v>Dukuh Taji RT.001/RW.002 Gelanglor, Sukorejo, Kab. Ponorogo</v>
          </cell>
          <cell r="P5741" t="str">
            <v>Ponorogo</v>
          </cell>
          <cell r="Q5741" t="str">
            <v>Dukuh Taji RT.001/RW.002 Gelanglor, Sukorejo, Kab. Ponorogo</v>
          </cell>
          <cell r="R5741" t="str">
            <v>Ponorogo</v>
          </cell>
          <cell r="S5741" t="str">
            <v>D Barat2</v>
          </cell>
          <cell r="T5741" t="str">
            <v>Dian</v>
          </cell>
          <cell r="U5741">
            <v>30</v>
          </cell>
        </row>
        <row r="5742">
          <cell r="E5742" t="str">
            <v>B25011616</v>
          </cell>
          <cell r="F5742"/>
          <cell r="G5742">
            <v>15000000000</v>
          </cell>
          <cell r="H5742" t="str">
            <v>Reni</v>
          </cell>
          <cell r="I5742" t="str">
            <v>Farida</v>
          </cell>
          <cell r="J5742"/>
          <cell r="K5742" t="str">
            <v>BG</v>
          </cell>
          <cell r="L5742" t="str">
            <v>NUAN01</v>
          </cell>
          <cell r="M5742" t="str">
            <v>Nuansa Tani</v>
          </cell>
          <cell r="N5742" t="str">
            <v>Nuansa Tani</v>
          </cell>
          <cell r="O5742" t="str">
            <v>Dukuh Taji RT.001/RW.002 Gelanglor, Sukorejo, Kab. Ponorogo</v>
          </cell>
          <cell r="P5742" t="str">
            <v>Ponorogo</v>
          </cell>
          <cell r="Q5742" t="str">
            <v>Dukuh Taji RT.001/RW.002 Gelanglor, Sukorejo, Kab. Ponorogo</v>
          </cell>
          <cell r="R5742" t="str">
            <v>Ponorogo</v>
          </cell>
          <cell r="S5742" t="str">
            <v>D Barat2</v>
          </cell>
          <cell r="T5742" t="str">
            <v>Dian</v>
          </cell>
          <cell r="U5742">
            <v>30</v>
          </cell>
        </row>
        <row r="5743">
          <cell r="E5743" t="str">
            <v>B25011616</v>
          </cell>
          <cell r="F5743"/>
          <cell r="G5743">
            <v>15000000000</v>
          </cell>
          <cell r="H5743" t="str">
            <v>Reni</v>
          </cell>
          <cell r="I5743" t="str">
            <v>Farida</v>
          </cell>
          <cell r="J5743"/>
          <cell r="K5743" t="str">
            <v>BG</v>
          </cell>
          <cell r="L5743" t="str">
            <v>NUAN01</v>
          </cell>
          <cell r="M5743" t="str">
            <v>Nuansa Tani</v>
          </cell>
          <cell r="N5743" t="str">
            <v>Nuansa Tani</v>
          </cell>
          <cell r="O5743" t="str">
            <v>Dukuh Taji RT.001/RW.002 Gelanglor, Sukorejo, Kab. Ponorogo</v>
          </cell>
          <cell r="P5743" t="str">
            <v>Ponorogo</v>
          </cell>
          <cell r="Q5743" t="str">
            <v>Dukuh Taji RT.001/RW.002 Gelanglor, Sukorejo, Kab. Ponorogo</v>
          </cell>
          <cell r="R5743" t="str">
            <v>Ponorogo</v>
          </cell>
          <cell r="S5743" t="str">
            <v>D Barat2</v>
          </cell>
          <cell r="T5743" t="str">
            <v>Dian</v>
          </cell>
          <cell r="U5743">
            <v>30</v>
          </cell>
        </row>
        <row r="5744">
          <cell r="E5744" t="str">
            <v>D25013888</v>
          </cell>
          <cell r="F5744"/>
          <cell r="G5744">
            <v>15000000000</v>
          </cell>
          <cell r="H5744" t="str">
            <v>Reni</v>
          </cell>
          <cell r="I5744" t="str">
            <v>Farida</v>
          </cell>
          <cell r="J5744"/>
          <cell r="K5744" t="str">
            <v>BG</v>
          </cell>
          <cell r="L5744" t="str">
            <v>NUAN01</v>
          </cell>
          <cell r="M5744" t="str">
            <v>Nuansa Tani</v>
          </cell>
          <cell r="N5744" t="str">
            <v>Nuansa Tani</v>
          </cell>
          <cell r="O5744" t="str">
            <v>Dukuh Taji RT.001/RW.002 Gelanglor, Sukorejo, Kab. Ponorogo</v>
          </cell>
          <cell r="P5744" t="str">
            <v>Ponorogo</v>
          </cell>
          <cell r="Q5744" t="str">
            <v>Dukuh Taji RT.001/RW.002 Gelanglor, Sukorejo, Kab. Ponorogo</v>
          </cell>
          <cell r="R5744" t="str">
            <v>Ponorogo</v>
          </cell>
          <cell r="S5744" t="str">
            <v>D Barat2</v>
          </cell>
          <cell r="T5744" t="str">
            <v>Dian</v>
          </cell>
          <cell r="U5744">
            <v>30</v>
          </cell>
        </row>
        <row r="5745">
          <cell r="E5745" t="str">
            <v>D25013888</v>
          </cell>
          <cell r="F5745"/>
          <cell r="G5745">
            <v>15000000000</v>
          </cell>
          <cell r="H5745" t="str">
            <v>Reni</v>
          </cell>
          <cell r="I5745" t="str">
            <v>Farida</v>
          </cell>
          <cell r="J5745"/>
          <cell r="K5745" t="str">
            <v>BG</v>
          </cell>
          <cell r="L5745" t="str">
            <v>NUAN01</v>
          </cell>
          <cell r="M5745" t="str">
            <v>Nuansa Tani</v>
          </cell>
          <cell r="N5745" t="str">
            <v>Nuansa Tani</v>
          </cell>
          <cell r="O5745" t="str">
            <v>Dukuh Taji RT.001/RW.002 Gelanglor, Sukorejo, Kab. Ponorogo</v>
          </cell>
          <cell r="P5745" t="str">
            <v>Ponorogo</v>
          </cell>
          <cell r="Q5745" t="str">
            <v>Dukuh Taji RT.001/RW.002 Gelanglor, Sukorejo, Kab. Ponorogo</v>
          </cell>
          <cell r="R5745" t="str">
            <v>Ponorogo</v>
          </cell>
          <cell r="S5745" t="str">
            <v>D Barat2</v>
          </cell>
          <cell r="T5745" t="str">
            <v>Dian</v>
          </cell>
          <cell r="U5745">
            <v>30</v>
          </cell>
        </row>
        <row r="5746">
          <cell r="E5746" t="str">
            <v>D25013888</v>
          </cell>
          <cell r="F5746"/>
          <cell r="G5746">
            <v>15000000000</v>
          </cell>
          <cell r="H5746" t="str">
            <v>Reni</v>
          </cell>
          <cell r="I5746" t="str">
            <v>Farida</v>
          </cell>
          <cell r="J5746"/>
          <cell r="K5746" t="str">
            <v>BG</v>
          </cell>
          <cell r="L5746" t="str">
            <v>NUAN01</v>
          </cell>
          <cell r="M5746" t="str">
            <v>Nuansa Tani</v>
          </cell>
          <cell r="N5746" t="str">
            <v>Nuansa Tani</v>
          </cell>
          <cell r="O5746" t="str">
            <v>Dukuh Taji RT.001/RW.002 Gelanglor, Sukorejo, Kab. Ponorogo</v>
          </cell>
          <cell r="P5746" t="str">
            <v>Ponorogo</v>
          </cell>
          <cell r="Q5746" t="str">
            <v>Dukuh Taji RT.001/RW.002 Gelanglor, Sukorejo, Kab. Ponorogo</v>
          </cell>
          <cell r="R5746" t="str">
            <v>Ponorogo</v>
          </cell>
          <cell r="S5746" t="str">
            <v>D Barat2</v>
          </cell>
          <cell r="T5746" t="str">
            <v>Dian</v>
          </cell>
          <cell r="U5746">
            <v>30</v>
          </cell>
        </row>
        <row r="5747">
          <cell r="E5747" t="str">
            <v>D25013888</v>
          </cell>
          <cell r="F5747"/>
          <cell r="G5747">
            <v>15000000000</v>
          </cell>
          <cell r="H5747" t="str">
            <v>Reni</v>
          </cell>
          <cell r="I5747" t="str">
            <v>Farida</v>
          </cell>
          <cell r="J5747"/>
          <cell r="K5747" t="str">
            <v>BG</v>
          </cell>
          <cell r="L5747" t="str">
            <v>NUAN01</v>
          </cell>
          <cell r="M5747" t="str">
            <v>Nuansa Tani</v>
          </cell>
          <cell r="N5747" t="str">
            <v>Nuansa Tani</v>
          </cell>
          <cell r="O5747" t="str">
            <v>Dukuh Taji RT.001/RW.002 Gelanglor, Sukorejo, Kab. Ponorogo</v>
          </cell>
          <cell r="P5747" t="str">
            <v>Ponorogo</v>
          </cell>
          <cell r="Q5747" t="str">
            <v>Dukuh Taji RT.001/RW.002 Gelanglor, Sukorejo, Kab. Ponorogo</v>
          </cell>
          <cell r="R5747" t="str">
            <v>Ponorogo</v>
          </cell>
          <cell r="S5747" t="str">
            <v>D Barat2</v>
          </cell>
          <cell r="T5747" t="str">
            <v>Dian</v>
          </cell>
          <cell r="U5747">
            <v>30</v>
          </cell>
        </row>
        <row r="5748">
          <cell r="E5748" t="str">
            <v>B25011737</v>
          </cell>
          <cell r="F5748"/>
          <cell r="G5748">
            <v>15000000000</v>
          </cell>
          <cell r="H5748" t="str">
            <v>Reni</v>
          </cell>
          <cell r="I5748" t="str">
            <v>Farida</v>
          </cell>
          <cell r="J5748"/>
          <cell r="K5748" t="str">
            <v>BG</v>
          </cell>
          <cell r="L5748" t="str">
            <v>NUAN01</v>
          </cell>
          <cell r="M5748" t="str">
            <v>Nuansa Tani</v>
          </cell>
          <cell r="N5748" t="str">
            <v>Nuansa Tani</v>
          </cell>
          <cell r="O5748" t="str">
            <v>Dukuh Taji RT.001/RW.002 Gelanglor, Sukorejo, Kab. Ponorogo</v>
          </cell>
          <cell r="P5748" t="str">
            <v>Ponorogo</v>
          </cell>
          <cell r="Q5748" t="str">
            <v>Dukuh Taji RT.001/RW.002 Gelanglor, Sukorejo, Kab. Ponorogo</v>
          </cell>
          <cell r="R5748" t="str">
            <v>Ponorogo</v>
          </cell>
          <cell r="S5748" t="str">
            <v>D Barat2</v>
          </cell>
          <cell r="T5748" t="str">
            <v>Dian</v>
          </cell>
          <cell r="U5748">
            <v>60</v>
          </cell>
        </row>
        <row r="5749">
          <cell r="E5749" t="str">
            <v>B25011749</v>
          </cell>
          <cell r="F5749"/>
          <cell r="G5749">
            <v>15000000000</v>
          </cell>
          <cell r="H5749" t="str">
            <v>Reni</v>
          </cell>
          <cell r="I5749" t="str">
            <v>Farida</v>
          </cell>
          <cell r="J5749"/>
          <cell r="K5749" t="str">
            <v>BG</v>
          </cell>
          <cell r="L5749" t="str">
            <v>NUAN01</v>
          </cell>
          <cell r="M5749" t="str">
            <v>Nuansa Tani</v>
          </cell>
          <cell r="N5749" t="str">
            <v>Nuansa Tani</v>
          </cell>
          <cell r="O5749" t="str">
            <v>Dukuh Taji RT.001/RW.002 Gelanglor, Sukorejo, Kab. Ponorogo</v>
          </cell>
          <cell r="P5749" t="str">
            <v>Ponorogo</v>
          </cell>
          <cell r="Q5749" t="str">
            <v>Dukuh Taji RT.001/RW.002 Gelanglor, Sukorejo, Kab. Ponorogo</v>
          </cell>
          <cell r="R5749" t="str">
            <v>Ponorogo</v>
          </cell>
          <cell r="S5749" t="str">
            <v>D Barat2</v>
          </cell>
          <cell r="T5749" t="str">
            <v>Dian</v>
          </cell>
          <cell r="U5749">
            <v>60</v>
          </cell>
        </row>
        <row r="5750">
          <cell r="E5750" t="str">
            <v>Z25002339</v>
          </cell>
          <cell r="F5750"/>
          <cell r="G5750">
            <v>15000000000</v>
          </cell>
          <cell r="H5750" t="str">
            <v>Reni</v>
          </cell>
          <cell r="I5750" t="str">
            <v>Farida</v>
          </cell>
          <cell r="J5750"/>
          <cell r="K5750" t="str">
            <v>BG</v>
          </cell>
          <cell r="L5750" t="str">
            <v>NUAN01</v>
          </cell>
          <cell r="M5750" t="str">
            <v>Nuansa Tani</v>
          </cell>
          <cell r="N5750" t="str">
            <v>Nuansa Tani</v>
          </cell>
          <cell r="O5750" t="str">
            <v>Dukuh Taji RT.001/RW.002 Gelanglor, Sukorejo, Kab. Ponorogo</v>
          </cell>
          <cell r="P5750" t="str">
            <v>Ponorogo</v>
          </cell>
          <cell r="Q5750" t="str">
            <v>Dukuh Taji RT.001/RW.002 Gelanglor, Sukorejo, Kab. Ponorogo</v>
          </cell>
          <cell r="R5750" t="str">
            <v>Ponorogo</v>
          </cell>
          <cell r="S5750" t="str">
            <v>D Barat2</v>
          </cell>
          <cell r="T5750" t="str">
            <v>Dian</v>
          </cell>
          <cell r="U5750">
            <v>0</v>
          </cell>
        </row>
        <row r="5751">
          <cell r="E5751" t="str">
            <v>Z25002339</v>
          </cell>
          <cell r="F5751"/>
          <cell r="G5751">
            <v>15000000000</v>
          </cell>
          <cell r="H5751" t="str">
            <v>Reni</v>
          </cell>
          <cell r="I5751" t="str">
            <v>Farida</v>
          </cell>
          <cell r="J5751"/>
          <cell r="K5751" t="str">
            <v>BG</v>
          </cell>
          <cell r="L5751" t="str">
            <v>NUAN01</v>
          </cell>
          <cell r="M5751" t="str">
            <v>Nuansa Tani</v>
          </cell>
          <cell r="N5751" t="str">
            <v>Nuansa Tani</v>
          </cell>
          <cell r="O5751" t="str">
            <v>Dukuh Taji RT.001/RW.002 Gelanglor, Sukorejo, Kab. Ponorogo</v>
          </cell>
          <cell r="P5751" t="str">
            <v>Ponorogo</v>
          </cell>
          <cell r="Q5751" t="str">
            <v>Dukuh Taji RT.001/RW.002 Gelanglor, Sukorejo, Kab. Ponorogo</v>
          </cell>
          <cell r="R5751" t="str">
            <v>Ponorogo</v>
          </cell>
          <cell r="S5751" t="str">
            <v>D Barat2</v>
          </cell>
          <cell r="T5751" t="str">
            <v>Dian</v>
          </cell>
          <cell r="U5751">
            <v>0</v>
          </cell>
        </row>
        <row r="5752">
          <cell r="E5752" t="str">
            <v>Z25002339</v>
          </cell>
          <cell r="F5752"/>
          <cell r="G5752">
            <v>15000000000</v>
          </cell>
          <cell r="H5752" t="str">
            <v>Reni</v>
          </cell>
          <cell r="I5752" t="str">
            <v>Farida</v>
          </cell>
          <cell r="J5752"/>
          <cell r="K5752" t="str">
            <v>BG</v>
          </cell>
          <cell r="L5752" t="str">
            <v>NUAN01</v>
          </cell>
          <cell r="M5752" t="str">
            <v>Nuansa Tani</v>
          </cell>
          <cell r="N5752" t="str">
            <v>Nuansa Tani</v>
          </cell>
          <cell r="O5752" t="str">
            <v>Dukuh Taji RT.001/RW.002 Gelanglor, Sukorejo, Kab. Ponorogo</v>
          </cell>
          <cell r="P5752" t="str">
            <v>Ponorogo</v>
          </cell>
          <cell r="Q5752" t="str">
            <v>Dukuh Taji RT.001/RW.002 Gelanglor, Sukorejo, Kab. Ponorogo</v>
          </cell>
          <cell r="R5752" t="str">
            <v>Ponorogo</v>
          </cell>
          <cell r="S5752" t="str">
            <v>D Barat2</v>
          </cell>
          <cell r="T5752" t="str">
            <v>Dian</v>
          </cell>
          <cell r="U5752">
            <v>0</v>
          </cell>
        </row>
        <row r="5753">
          <cell r="E5753" t="str">
            <v>Z25002339</v>
          </cell>
          <cell r="F5753"/>
          <cell r="G5753">
            <v>15000000000</v>
          </cell>
          <cell r="H5753" t="str">
            <v>Reni</v>
          </cell>
          <cell r="I5753" t="str">
            <v>Farida</v>
          </cell>
          <cell r="J5753"/>
          <cell r="K5753" t="str">
            <v>BG</v>
          </cell>
          <cell r="L5753" t="str">
            <v>NUAN01</v>
          </cell>
          <cell r="M5753" t="str">
            <v>Nuansa Tani</v>
          </cell>
          <cell r="N5753" t="str">
            <v>Nuansa Tani</v>
          </cell>
          <cell r="O5753" t="str">
            <v>Dukuh Taji RT.001/RW.002 Gelanglor, Sukorejo, Kab. Ponorogo</v>
          </cell>
          <cell r="P5753" t="str">
            <v>Ponorogo</v>
          </cell>
          <cell r="Q5753" t="str">
            <v>Dukuh Taji RT.001/RW.002 Gelanglor, Sukorejo, Kab. Ponorogo</v>
          </cell>
          <cell r="R5753" t="str">
            <v>Ponorogo</v>
          </cell>
          <cell r="S5753" t="str">
            <v>D Barat2</v>
          </cell>
          <cell r="T5753" t="str">
            <v>Dian</v>
          </cell>
          <cell r="U5753">
            <v>0</v>
          </cell>
        </row>
        <row r="5754">
          <cell r="E5754" t="str">
            <v>Z25002339</v>
          </cell>
          <cell r="F5754"/>
          <cell r="G5754">
            <v>15000000000</v>
          </cell>
          <cell r="H5754" t="str">
            <v>Reni</v>
          </cell>
          <cell r="I5754" t="str">
            <v>Farida</v>
          </cell>
          <cell r="J5754"/>
          <cell r="K5754" t="str">
            <v>BG</v>
          </cell>
          <cell r="L5754" t="str">
            <v>NUAN01</v>
          </cell>
          <cell r="M5754" t="str">
            <v>Nuansa Tani</v>
          </cell>
          <cell r="N5754" t="str">
            <v>Nuansa Tani</v>
          </cell>
          <cell r="O5754" t="str">
            <v>Dukuh Taji RT.001/RW.002 Gelanglor, Sukorejo, Kab. Ponorogo</v>
          </cell>
          <cell r="P5754" t="str">
            <v>Ponorogo</v>
          </cell>
          <cell r="Q5754" t="str">
            <v>Dukuh Taji RT.001/RW.002 Gelanglor, Sukorejo, Kab. Ponorogo</v>
          </cell>
          <cell r="R5754" t="str">
            <v>Ponorogo</v>
          </cell>
          <cell r="S5754" t="str">
            <v>D Barat2</v>
          </cell>
          <cell r="T5754" t="str">
            <v>Dian</v>
          </cell>
          <cell r="U5754">
            <v>0</v>
          </cell>
        </row>
        <row r="5755">
          <cell r="E5755" t="str">
            <v>B25012002</v>
          </cell>
          <cell r="F5755"/>
          <cell r="G5755">
            <v>15000000000</v>
          </cell>
          <cell r="H5755" t="str">
            <v>Reni</v>
          </cell>
          <cell r="I5755" t="str">
            <v>Farida</v>
          </cell>
          <cell r="J5755"/>
          <cell r="K5755" t="str">
            <v>BG</v>
          </cell>
          <cell r="L5755" t="str">
            <v>NUAN01</v>
          </cell>
          <cell r="M5755" t="str">
            <v>Nuansa Tani</v>
          </cell>
          <cell r="N5755" t="str">
            <v>Nuansa Tani</v>
          </cell>
          <cell r="O5755" t="str">
            <v>Dukuh Taji RT.001/RW.002 Gelanglor, Sukorejo, Kab. Ponorogo</v>
          </cell>
          <cell r="P5755" t="str">
            <v>Ponorogo</v>
          </cell>
          <cell r="Q5755" t="str">
            <v>Dukuh Taji RT.001/RW.002 Gelanglor, Sukorejo, Kab. Ponorogo</v>
          </cell>
          <cell r="R5755" t="str">
            <v>Ponorogo</v>
          </cell>
          <cell r="S5755" t="str">
            <v>D Barat2</v>
          </cell>
          <cell r="T5755" t="str">
            <v>Dian</v>
          </cell>
          <cell r="U5755">
            <v>60</v>
          </cell>
        </row>
        <row r="5756">
          <cell r="E5756" t="str">
            <v>B25012002</v>
          </cell>
          <cell r="F5756"/>
          <cell r="G5756">
            <v>15000000000</v>
          </cell>
          <cell r="H5756" t="str">
            <v>Reni</v>
          </cell>
          <cell r="I5756" t="str">
            <v>Farida</v>
          </cell>
          <cell r="J5756"/>
          <cell r="K5756" t="str">
            <v>BG</v>
          </cell>
          <cell r="L5756" t="str">
            <v>NUAN01</v>
          </cell>
          <cell r="M5756" t="str">
            <v>Nuansa Tani</v>
          </cell>
          <cell r="N5756" t="str">
            <v>Nuansa Tani</v>
          </cell>
          <cell r="O5756" t="str">
            <v>Dukuh Taji RT.001/RW.002 Gelanglor, Sukorejo, Kab. Ponorogo</v>
          </cell>
          <cell r="P5756" t="str">
            <v>Ponorogo</v>
          </cell>
          <cell r="Q5756" t="str">
            <v>Dukuh Taji RT.001/RW.002 Gelanglor, Sukorejo, Kab. Ponorogo</v>
          </cell>
          <cell r="R5756" t="str">
            <v>Ponorogo</v>
          </cell>
          <cell r="S5756" t="str">
            <v>D Barat2</v>
          </cell>
          <cell r="T5756" t="str">
            <v>Dian</v>
          </cell>
          <cell r="U5756">
            <v>60</v>
          </cell>
        </row>
        <row r="5757">
          <cell r="E5757" t="str">
            <v>B25012011</v>
          </cell>
          <cell r="F5757"/>
          <cell r="G5757">
            <v>15000000000</v>
          </cell>
          <cell r="H5757" t="str">
            <v>Reni</v>
          </cell>
          <cell r="I5757" t="str">
            <v>Farida</v>
          </cell>
          <cell r="J5757"/>
          <cell r="K5757" t="str">
            <v>BG</v>
          </cell>
          <cell r="L5757" t="str">
            <v>NUAN01</v>
          </cell>
          <cell r="M5757" t="str">
            <v>Nuansa Tani</v>
          </cell>
          <cell r="N5757" t="str">
            <v>Nuansa Tani</v>
          </cell>
          <cell r="O5757" t="str">
            <v>Dukuh Taji RT.001/RW.002 Gelanglor, Sukorejo, Kab. Ponorogo</v>
          </cell>
          <cell r="P5757" t="str">
            <v>Ponorogo</v>
          </cell>
          <cell r="Q5757" t="str">
            <v>Dukuh Taji RT.001/RW.002 Gelanglor, Sukorejo, Kab. Ponorogo</v>
          </cell>
          <cell r="R5757" t="str">
            <v>Ponorogo</v>
          </cell>
          <cell r="S5757" t="str">
            <v>D Barat2</v>
          </cell>
          <cell r="T5757" t="str">
            <v>Dian</v>
          </cell>
          <cell r="U5757">
            <v>60</v>
          </cell>
        </row>
        <row r="5758">
          <cell r="E5758" t="str">
            <v>B25012011</v>
          </cell>
          <cell r="F5758"/>
          <cell r="G5758">
            <v>15000000000</v>
          </cell>
          <cell r="H5758" t="str">
            <v>Reni</v>
          </cell>
          <cell r="I5758" t="str">
            <v>Farida</v>
          </cell>
          <cell r="J5758"/>
          <cell r="K5758" t="str">
            <v>BG</v>
          </cell>
          <cell r="L5758" t="str">
            <v>NUAN01</v>
          </cell>
          <cell r="M5758" t="str">
            <v>Nuansa Tani</v>
          </cell>
          <cell r="N5758" t="str">
            <v>Nuansa Tani</v>
          </cell>
          <cell r="O5758" t="str">
            <v>Dukuh Taji RT.001/RW.002 Gelanglor, Sukorejo, Kab. Ponorogo</v>
          </cell>
          <cell r="P5758" t="str">
            <v>Ponorogo</v>
          </cell>
          <cell r="Q5758" t="str">
            <v>Dukuh Taji RT.001/RW.002 Gelanglor, Sukorejo, Kab. Ponorogo</v>
          </cell>
          <cell r="R5758" t="str">
            <v>Ponorogo</v>
          </cell>
          <cell r="S5758" t="str">
            <v>D Barat2</v>
          </cell>
          <cell r="T5758" t="str">
            <v>Dian</v>
          </cell>
          <cell r="U5758">
            <v>60</v>
          </cell>
        </row>
        <row r="5759">
          <cell r="E5759" t="str">
            <v>B25012033</v>
          </cell>
          <cell r="F5759"/>
          <cell r="G5759">
            <v>15000000000</v>
          </cell>
          <cell r="H5759" t="str">
            <v>Reni</v>
          </cell>
          <cell r="I5759" t="str">
            <v>Farida</v>
          </cell>
          <cell r="J5759"/>
          <cell r="K5759" t="str">
            <v>BG</v>
          </cell>
          <cell r="L5759" t="str">
            <v>NUAN01</v>
          </cell>
          <cell r="M5759" t="str">
            <v>Nuansa Tani</v>
          </cell>
          <cell r="N5759" t="str">
            <v>Nuansa Tani</v>
          </cell>
          <cell r="O5759" t="str">
            <v>Dukuh Taji RT.001/RW.002 Gelanglor, Sukorejo, Kab. Ponorogo</v>
          </cell>
          <cell r="P5759" t="str">
            <v>Ponorogo</v>
          </cell>
          <cell r="Q5759" t="str">
            <v>Dukuh Taji RT.001/RW.002 Gelanglor, Sukorejo, Kab. Ponorogo</v>
          </cell>
          <cell r="R5759" t="str">
            <v>Ponorogo</v>
          </cell>
          <cell r="S5759" t="str">
            <v>D Barat2</v>
          </cell>
          <cell r="T5759" t="str">
            <v>Dian</v>
          </cell>
          <cell r="U5759">
            <v>60</v>
          </cell>
        </row>
        <row r="5760">
          <cell r="E5760" t="str">
            <v>D25014369</v>
          </cell>
          <cell r="F5760"/>
          <cell r="G5760">
            <v>15000000000</v>
          </cell>
          <cell r="H5760" t="str">
            <v>Reni</v>
          </cell>
          <cell r="I5760" t="str">
            <v>Farida</v>
          </cell>
          <cell r="J5760"/>
          <cell r="K5760" t="str">
            <v>BG</v>
          </cell>
          <cell r="L5760" t="str">
            <v>NUAN01</v>
          </cell>
          <cell r="M5760" t="str">
            <v>Nuansa Tani</v>
          </cell>
          <cell r="N5760" t="str">
            <v>Nuansa Tani</v>
          </cell>
          <cell r="O5760" t="str">
            <v>Dukuh Taji RT.001/RW.002 Gelanglor, Sukorejo, Kab. Ponorogo</v>
          </cell>
          <cell r="P5760" t="str">
            <v>Ponorogo</v>
          </cell>
          <cell r="Q5760" t="str">
            <v>Dukuh Taji RT.001/RW.002 Gelanglor, Sukorejo, Kab. Ponorogo</v>
          </cell>
          <cell r="R5760" t="str">
            <v>Ponorogo</v>
          </cell>
          <cell r="S5760" t="str">
            <v>D Barat2</v>
          </cell>
          <cell r="T5760" t="str">
            <v>Dian</v>
          </cell>
          <cell r="U5760">
            <v>60</v>
          </cell>
        </row>
        <row r="5761">
          <cell r="E5761" t="str">
            <v>Z25002406</v>
          </cell>
          <cell r="F5761"/>
          <cell r="G5761">
            <v>15000000000</v>
          </cell>
          <cell r="H5761" t="str">
            <v>Reni</v>
          </cell>
          <cell r="I5761" t="str">
            <v>Farida</v>
          </cell>
          <cell r="J5761"/>
          <cell r="K5761" t="str">
            <v>BG</v>
          </cell>
          <cell r="L5761" t="str">
            <v>NUAN01</v>
          </cell>
          <cell r="M5761" t="str">
            <v>Nuansa Tani</v>
          </cell>
          <cell r="N5761" t="str">
            <v>Nuansa Tani</v>
          </cell>
          <cell r="O5761" t="str">
            <v>Dukuh Taji RT.001/RW.002 Gelanglor, Sukorejo, Kab. Ponorogo</v>
          </cell>
          <cell r="P5761" t="str">
            <v>Ponorogo</v>
          </cell>
          <cell r="Q5761" t="str">
            <v>Dukuh Taji RT.001/RW.002 Gelanglor, Sukorejo, Kab. Ponorogo</v>
          </cell>
          <cell r="R5761" t="str">
            <v>Ponorogo</v>
          </cell>
          <cell r="S5761" t="str">
            <v>D Barat2</v>
          </cell>
          <cell r="T5761" t="str">
            <v>Dian</v>
          </cell>
          <cell r="U5761">
            <v>0</v>
          </cell>
        </row>
        <row r="5762">
          <cell r="E5762" t="str">
            <v>Z25002406</v>
          </cell>
          <cell r="F5762"/>
          <cell r="G5762">
            <v>15000000000</v>
          </cell>
          <cell r="H5762" t="str">
            <v>Reni</v>
          </cell>
          <cell r="I5762" t="str">
            <v>Farida</v>
          </cell>
          <cell r="J5762"/>
          <cell r="K5762" t="str">
            <v>BG</v>
          </cell>
          <cell r="L5762" t="str">
            <v>NUAN01</v>
          </cell>
          <cell r="M5762" t="str">
            <v>Nuansa Tani</v>
          </cell>
          <cell r="N5762" t="str">
            <v>Nuansa Tani</v>
          </cell>
          <cell r="O5762" t="str">
            <v>Dukuh Taji RT.001/RW.002 Gelanglor, Sukorejo, Kab. Ponorogo</v>
          </cell>
          <cell r="P5762" t="str">
            <v>Ponorogo</v>
          </cell>
          <cell r="Q5762" t="str">
            <v>Dukuh Taji RT.001/RW.002 Gelanglor, Sukorejo, Kab. Ponorogo</v>
          </cell>
          <cell r="R5762" t="str">
            <v>Ponorogo</v>
          </cell>
          <cell r="S5762" t="str">
            <v>D Barat2</v>
          </cell>
          <cell r="T5762" t="str">
            <v>Dian</v>
          </cell>
          <cell r="U5762">
            <v>0</v>
          </cell>
        </row>
        <row r="5763">
          <cell r="E5763" t="str">
            <v>Z25002406</v>
          </cell>
          <cell r="F5763"/>
          <cell r="G5763">
            <v>15000000000</v>
          </cell>
          <cell r="H5763" t="str">
            <v>Reni</v>
          </cell>
          <cell r="I5763" t="str">
            <v>Farida</v>
          </cell>
          <cell r="J5763"/>
          <cell r="K5763" t="str">
            <v>BG</v>
          </cell>
          <cell r="L5763" t="str">
            <v>NUAN01</v>
          </cell>
          <cell r="M5763" t="str">
            <v>Nuansa Tani</v>
          </cell>
          <cell r="N5763" t="str">
            <v>Nuansa Tani</v>
          </cell>
          <cell r="O5763" t="str">
            <v>Dukuh Taji RT.001/RW.002 Gelanglor, Sukorejo, Kab. Ponorogo</v>
          </cell>
          <cell r="P5763" t="str">
            <v>Ponorogo</v>
          </cell>
          <cell r="Q5763" t="str">
            <v>Dukuh Taji RT.001/RW.002 Gelanglor, Sukorejo, Kab. Ponorogo</v>
          </cell>
          <cell r="R5763" t="str">
            <v>Ponorogo</v>
          </cell>
          <cell r="S5763" t="str">
            <v>D Barat2</v>
          </cell>
          <cell r="T5763" t="str">
            <v>Dian</v>
          </cell>
          <cell r="U5763">
            <v>0</v>
          </cell>
        </row>
        <row r="5764">
          <cell r="E5764" t="str">
            <v>D25014409</v>
          </cell>
          <cell r="F5764"/>
          <cell r="G5764">
            <v>15000000000</v>
          </cell>
          <cell r="H5764" t="str">
            <v>Reni</v>
          </cell>
          <cell r="I5764" t="str">
            <v>Farida</v>
          </cell>
          <cell r="J5764"/>
          <cell r="K5764" t="str">
            <v>BG</v>
          </cell>
          <cell r="L5764" t="str">
            <v>NUAN01</v>
          </cell>
          <cell r="M5764" t="str">
            <v>Nuansa Tani</v>
          </cell>
          <cell r="N5764" t="str">
            <v>Nuansa Tani</v>
          </cell>
          <cell r="O5764" t="str">
            <v>Dukuh Taji RT.001/RW.002 Gelanglor, Sukorejo, Kab. Ponorogo</v>
          </cell>
          <cell r="P5764" t="str">
            <v>Ponorogo</v>
          </cell>
          <cell r="Q5764" t="str">
            <v>Dukuh Taji RT.001/RW.002 Gelanglor, Sukorejo, Kab. Ponorogo</v>
          </cell>
          <cell r="R5764" t="str">
            <v>Ponorogo</v>
          </cell>
          <cell r="S5764" t="str">
            <v>D Barat2</v>
          </cell>
          <cell r="T5764" t="str">
            <v>Dian</v>
          </cell>
          <cell r="U5764">
            <v>60</v>
          </cell>
        </row>
        <row r="5765">
          <cell r="E5765" t="str">
            <v>B25012438</v>
          </cell>
          <cell r="F5765"/>
          <cell r="G5765">
            <v>15000000000</v>
          </cell>
          <cell r="H5765" t="str">
            <v>Reni</v>
          </cell>
          <cell r="I5765" t="str">
            <v>Farida</v>
          </cell>
          <cell r="J5765"/>
          <cell r="K5765" t="str">
            <v>BG</v>
          </cell>
          <cell r="L5765" t="str">
            <v>NUAN01</v>
          </cell>
          <cell r="M5765" t="str">
            <v>Nuansa Tani</v>
          </cell>
          <cell r="N5765" t="str">
            <v>Nuansa Tani</v>
          </cell>
          <cell r="O5765" t="str">
            <v>Dukuh Taji RT.001/RW.002 Gelanglor, Sukorejo, Kab. Ponorogo</v>
          </cell>
          <cell r="P5765" t="str">
            <v>Ponorogo</v>
          </cell>
          <cell r="Q5765" t="str">
            <v>Dukuh Taji RT.001/RW.002 Gelanglor, Sukorejo, Kab. Ponorogo</v>
          </cell>
          <cell r="R5765" t="str">
            <v>Ponorogo</v>
          </cell>
          <cell r="S5765" t="str">
            <v>D Barat2</v>
          </cell>
          <cell r="T5765" t="str">
            <v>Dian</v>
          </cell>
          <cell r="U5765">
            <v>30</v>
          </cell>
        </row>
        <row r="5766">
          <cell r="E5766" t="str">
            <v>B25012438</v>
          </cell>
          <cell r="F5766"/>
          <cell r="G5766">
            <v>15000000000</v>
          </cell>
          <cell r="H5766" t="str">
            <v>Reni</v>
          </cell>
          <cell r="I5766" t="str">
            <v>Farida</v>
          </cell>
          <cell r="J5766"/>
          <cell r="K5766" t="str">
            <v>BG</v>
          </cell>
          <cell r="L5766" t="str">
            <v>NUAN01</v>
          </cell>
          <cell r="M5766" t="str">
            <v>Nuansa Tani</v>
          </cell>
          <cell r="N5766" t="str">
            <v>Nuansa Tani</v>
          </cell>
          <cell r="O5766" t="str">
            <v>Dukuh Taji RT.001/RW.002 Gelanglor, Sukorejo, Kab. Ponorogo</v>
          </cell>
          <cell r="P5766" t="str">
            <v>Ponorogo</v>
          </cell>
          <cell r="Q5766" t="str">
            <v>Dukuh Taji RT.001/RW.002 Gelanglor, Sukorejo, Kab. Ponorogo</v>
          </cell>
          <cell r="R5766" t="str">
            <v>Ponorogo</v>
          </cell>
          <cell r="S5766" t="str">
            <v>D Barat2</v>
          </cell>
          <cell r="T5766" t="str">
            <v>Dian</v>
          </cell>
          <cell r="U5766">
            <v>30</v>
          </cell>
        </row>
        <row r="5767">
          <cell r="E5767" t="str">
            <v>D25014719</v>
          </cell>
          <cell r="F5767"/>
          <cell r="G5767">
            <v>15000000000</v>
          </cell>
          <cell r="H5767" t="str">
            <v>Reni</v>
          </cell>
          <cell r="I5767" t="str">
            <v>Farida</v>
          </cell>
          <cell r="J5767"/>
          <cell r="K5767" t="str">
            <v>BG</v>
          </cell>
          <cell r="L5767" t="str">
            <v>NUAN01</v>
          </cell>
          <cell r="M5767" t="str">
            <v>Nuansa Tani</v>
          </cell>
          <cell r="N5767" t="str">
            <v>Nuansa Tani</v>
          </cell>
          <cell r="O5767" t="str">
            <v>Dukuh Taji RT.001/RW.002 Gelanglor, Sukorejo, Kab. Ponorogo</v>
          </cell>
          <cell r="P5767" t="str">
            <v>Ponorogo</v>
          </cell>
          <cell r="Q5767" t="str">
            <v>Dukuh Taji RT.001/RW.002 Gelanglor, Sukorejo, Kab. Ponorogo</v>
          </cell>
          <cell r="R5767" t="str">
            <v>Ponorogo</v>
          </cell>
          <cell r="S5767" t="str">
            <v>D Barat2</v>
          </cell>
          <cell r="T5767" t="str">
            <v>Dian</v>
          </cell>
          <cell r="U5767">
            <v>60</v>
          </cell>
        </row>
        <row r="5768">
          <cell r="E5768" t="str">
            <v>D25014719</v>
          </cell>
          <cell r="F5768"/>
          <cell r="G5768">
            <v>15000000000</v>
          </cell>
          <cell r="H5768" t="str">
            <v>Reni</v>
          </cell>
          <cell r="I5768" t="str">
            <v>Farida</v>
          </cell>
          <cell r="J5768"/>
          <cell r="K5768" t="str">
            <v>BG</v>
          </cell>
          <cell r="L5768" t="str">
            <v>NUAN01</v>
          </cell>
          <cell r="M5768" t="str">
            <v>Nuansa Tani</v>
          </cell>
          <cell r="N5768" t="str">
            <v>Nuansa Tani</v>
          </cell>
          <cell r="O5768" t="str">
            <v>Dukuh Taji RT.001/RW.002 Gelanglor, Sukorejo, Kab. Ponorogo</v>
          </cell>
          <cell r="P5768" t="str">
            <v>Ponorogo</v>
          </cell>
          <cell r="Q5768" t="str">
            <v>Dukuh Taji RT.001/RW.002 Gelanglor, Sukorejo, Kab. Ponorogo</v>
          </cell>
          <cell r="R5768" t="str">
            <v>Ponorogo</v>
          </cell>
          <cell r="S5768" t="str">
            <v>D Barat2</v>
          </cell>
          <cell r="T5768" t="str">
            <v>Dian</v>
          </cell>
          <cell r="U5768">
            <v>60</v>
          </cell>
        </row>
        <row r="5769">
          <cell r="E5769" t="str">
            <v>D25014763</v>
          </cell>
          <cell r="F5769"/>
          <cell r="G5769">
            <v>15000000000</v>
          </cell>
          <cell r="H5769" t="str">
            <v>Reni</v>
          </cell>
          <cell r="I5769" t="str">
            <v>Farida</v>
          </cell>
          <cell r="J5769"/>
          <cell r="K5769" t="str">
            <v>BG</v>
          </cell>
          <cell r="L5769" t="str">
            <v>NUAN01</v>
          </cell>
          <cell r="M5769" t="str">
            <v>Nuansa Tani</v>
          </cell>
          <cell r="N5769" t="str">
            <v>Nuansa Tani</v>
          </cell>
          <cell r="O5769" t="str">
            <v>Dukuh Taji RT.001/RW.002 Gelanglor, Sukorejo, Kab. Ponorogo</v>
          </cell>
          <cell r="P5769" t="str">
            <v>Ponorogo</v>
          </cell>
          <cell r="Q5769" t="str">
            <v>Dukuh Taji RT.001/RW.002 Gelanglor, Sukorejo, Kab. Ponorogo</v>
          </cell>
          <cell r="R5769" t="str">
            <v>Ponorogo</v>
          </cell>
          <cell r="S5769" t="str">
            <v>D Barat2</v>
          </cell>
          <cell r="T5769" t="str">
            <v>Dian</v>
          </cell>
          <cell r="U5769">
            <v>30</v>
          </cell>
        </row>
        <row r="5770">
          <cell r="E5770" t="str">
            <v>D25014905</v>
          </cell>
          <cell r="F5770"/>
          <cell r="G5770">
            <v>15000000000</v>
          </cell>
          <cell r="H5770" t="str">
            <v>Reni</v>
          </cell>
          <cell r="I5770" t="str">
            <v>Farida</v>
          </cell>
          <cell r="J5770"/>
          <cell r="K5770" t="str">
            <v>BG</v>
          </cell>
          <cell r="L5770" t="str">
            <v>NUAN01</v>
          </cell>
          <cell r="M5770" t="str">
            <v>Nuansa Tani</v>
          </cell>
          <cell r="N5770" t="str">
            <v>Nuansa Tani</v>
          </cell>
          <cell r="O5770" t="str">
            <v>Dukuh Taji RT.001/RW.002 Gelanglor, Sukorejo, Kab. Ponorogo</v>
          </cell>
          <cell r="P5770" t="str">
            <v>Ponorogo</v>
          </cell>
          <cell r="Q5770" t="str">
            <v>Dukuh Taji RT.001/RW.002 Gelanglor, Sukorejo, Kab. Ponorogo</v>
          </cell>
          <cell r="R5770" t="str">
            <v>Ponorogo</v>
          </cell>
          <cell r="S5770" t="str">
            <v>D Barat2</v>
          </cell>
          <cell r="T5770" t="str">
            <v>Dian</v>
          </cell>
          <cell r="U5770">
            <v>30</v>
          </cell>
        </row>
        <row r="5771">
          <cell r="E5771" t="str">
            <v>B25012651</v>
          </cell>
          <cell r="F5771"/>
          <cell r="G5771">
            <v>15000000000</v>
          </cell>
          <cell r="H5771" t="str">
            <v>Reni</v>
          </cell>
          <cell r="I5771" t="str">
            <v>Farida</v>
          </cell>
          <cell r="J5771"/>
          <cell r="K5771" t="str">
            <v>BG</v>
          </cell>
          <cell r="L5771" t="str">
            <v>NUAN01</v>
          </cell>
          <cell r="M5771" t="str">
            <v>Nuansa Tani</v>
          </cell>
          <cell r="N5771" t="str">
            <v>Nuansa Tani</v>
          </cell>
          <cell r="O5771" t="str">
            <v>Dukuh Taji RT.001/RW.002 Gelanglor, Sukorejo, Kab. Ponorogo</v>
          </cell>
          <cell r="P5771" t="str">
            <v>Ponorogo</v>
          </cell>
          <cell r="Q5771" t="str">
            <v>Dukuh Taji RT.001/RW.002 Gelanglor, Sukorejo, Kab. Ponorogo</v>
          </cell>
          <cell r="R5771" t="str">
            <v>Ponorogo</v>
          </cell>
          <cell r="S5771" t="str">
            <v>D Barat2</v>
          </cell>
          <cell r="T5771" t="str">
            <v>Dian</v>
          </cell>
          <cell r="U5771">
            <v>60</v>
          </cell>
        </row>
        <row r="5772">
          <cell r="E5772" t="str">
            <v>B25012651</v>
          </cell>
          <cell r="F5772"/>
          <cell r="G5772">
            <v>15000000000</v>
          </cell>
          <cell r="H5772" t="str">
            <v>Reni</v>
          </cell>
          <cell r="I5772" t="str">
            <v>Farida</v>
          </cell>
          <cell r="J5772"/>
          <cell r="K5772" t="str">
            <v>BG</v>
          </cell>
          <cell r="L5772" t="str">
            <v>NUAN01</v>
          </cell>
          <cell r="M5772" t="str">
            <v>Nuansa Tani</v>
          </cell>
          <cell r="N5772" t="str">
            <v>Nuansa Tani</v>
          </cell>
          <cell r="O5772" t="str">
            <v>Dukuh Taji RT.001/RW.002 Gelanglor, Sukorejo, Kab. Ponorogo</v>
          </cell>
          <cell r="P5772" t="str">
            <v>Ponorogo</v>
          </cell>
          <cell r="Q5772" t="str">
            <v>Dukuh Taji RT.001/RW.002 Gelanglor, Sukorejo, Kab. Ponorogo</v>
          </cell>
          <cell r="R5772" t="str">
            <v>Ponorogo</v>
          </cell>
          <cell r="S5772" t="str">
            <v>D Barat2</v>
          </cell>
          <cell r="T5772" t="str">
            <v>Dian</v>
          </cell>
          <cell r="U5772">
            <v>60</v>
          </cell>
        </row>
        <row r="5773">
          <cell r="E5773" t="str">
            <v>D25015026</v>
          </cell>
          <cell r="F5773"/>
          <cell r="G5773">
            <v>15000000000</v>
          </cell>
          <cell r="H5773" t="str">
            <v>Reni</v>
          </cell>
          <cell r="I5773" t="str">
            <v>Farida</v>
          </cell>
          <cell r="J5773"/>
          <cell r="K5773" t="str">
            <v>BG</v>
          </cell>
          <cell r="L5773" t="str">
            <v>NUAN01</v>
          </cell>
          <cell r="M5773" t="str">
            <v>Nuansa Tani</v>
          </cell>
          <cell r="N5773" t="str">
            <v>Nuansa Tani</v>
          </cell>
          <cell r="O5773" t="str">
            <v>Dukuh Taji RT.001/RW.002 Gelanglor, Sukorejo, Kab. Ponorogo</v>
          </cell>
          <cell r="P5773" t="str">
            <v>Ponorogo</v>
          </cell>
          <cell r="Q5773" t="str">
            <v>Dukuh Taji RT.001/RW.002 Gelanglor, Sukorejo, Kab. Ponorogo</v>
          </cell>
          <cell r="R5773" t="str">
            <v>Ponorogo</v>
          </cell>
          <cell r="S5773" t="str">
            <v>D Barat2</v>
          </cell>
          <cell r="T5773" t="str">
            <v>Dian</v>
          </cell>
          <cell r="U5773">
            <v>60</v>
          </cell>
        </row>
        <row r="5774">
          <cell r="E5774" t="str">
            <v>D25015400</v>
          </cell>
          <cell r="F5774"/>
          <cell r="G5774">
            <v>15000000000</v>
          </cell>
          <cell r="H5774" t="str">
            <v>Reni</v>
          </cell>
          <cell r="I5774" t="str">
            <v>Farida</v>
          </cell>
          <cell r="J5774"/>
          <cell r="K5774" t="str">
            <v>BG</v>
          </cell>
          <cell r="L5774" t="str">
            <v>NUAN01</v>
          </cell>
          <cell r="M5774" t="str">
            <v>Nuansa Tani</v>
          </cell>
          <cell r="N5774" t="str">
            <v>Nuansa Tani</v>
          </cell>
          <cell r="O5774" t="str">
            <v>Dukuh Taji RT.001/RW.002 Gelanglor, Sukorejo, Kab. Ponorogo</v>
          </cell>
          <cell r="P5774" t="str">
            <v>Ponorogo</v>
          </cell>
          <cell r="Q5774" t="str">
            <v>Dukuh Taji RT.001/RW.002 Gelanglor, Sukorejo, Kab. Ponorogo</v>
          </cell>
          <cell r="R5774" t="str">
            <v>Ponorogo</v>
          </cell>
          <cell r="S5774" t="str">
            <v>D Barat2</v>
          </cell>
          <cell r="T5774" t="str">
            <v>Dian</v>
          </cell>
          <cell r="U5774">
            <v>30</v>
          </cell>
        </row>
        <row r="5775">
          <cell r="E5775" t="str">
            <v>D25015416</v>
          </cell>
          <cell r="F5775"/>
          <cell r="G5775">
            <v>15000000000</v>
          </cell>
          <cell r="H5775" t="str">
            <v>Reni</v>
          </cell>
          <cell r="I5775" t="str">
            <v>Farida</v>
          </cell>
          <cell r="J5775"/>
          <cell r="K5775" t="str">
            <v>BG</v>
          </cell>
          <cell r="L5775" t="str">
            <v>NUAN01</v>
          </cell>
          <cell r="M5775" t="str">
            <v>Nuansa Tani</v>
          </cell>
          <cell r="N5775" t="str">
            <v>Nuansa Tani</v>
          </cell>
          <cell r="O5775" t="str">
            <v>Dukuh Taji RT.001/RW.002 Gelanglor, Sukorejo, Kab. Ponorogo</v>
          </cell>
          <cell r="P5775" t="str">
            <v>Ponorogo</v>
          </cell>
          <cell r="Q5775" t="str">
            <v>Dukuh Taji RT.001/RW.002 Gelanglor, Sukorejo, Kab. Ponorogo</v>
          </cell>
          <cell r="R5775" t="str">
            <v>Ponorogo</v>
          </cell>
          <cell r="S5775" t="str">
            <v>D Barat2</v>
          </cell>
          <cell r="T5775" t="str">
            <v>Dian</v>
          </cell>
          <cell r="U5775">
            <v>60</v>
          </cell>
        </row>
        <row r="5776">
          <cell r="E5776" t="str">
            <v>D25015416</v>
          </cell>
          <cell r="F5776"/>
          <cell r="G5776">
            <v>15000000000</v>
          </cell>
          <cell r="H5776" t="str">
            <v>Reni</v>
          </cell>
          <cell r="I5776" t="str">
            <v>Farida</v>
          </cell>
          <cell r="J5776"/>
          <cell r="K5776" t="str">
            <v>BG</v>
          </cell>
          <cell r="L5776" t="str">
            <v>NUAN01</v>
          </cell>
          <cell r="M5776" t="str">
            <v>Nuansa Tani</v>
          </cell>
          <cell r="N5776" t="str">
            <v>Nuansa Tani</v>
          </cell>
          <cell r="O5776" t="str">
            <v>Dukuh Taji RT.001/RW.002 Gelanglor, Sukorejo, Kab. Ponorogo</v>
          </cell>
          <cell r="P5776" t="str">
            <v>Ponorogo</v>
          </cell>
          <cell r="Q5776" t="str">
            <v>Dukuh Taji RT.001/RW.002 Gelanglor, Sukorejo, Kab. Ponorogo</v>
          </cell>
          <cell r="R5776" t="str">
            <v>Ponorogo</v>
          </cell>
          <cell r="S5776" t="str">
            <v>D Barat2</v>
          </cell>
          <cell r="T5776" t="str">
            <v>Dian</v>
          </cell>
          <cell r="U5776">
            <v>60</v>
          </cell>
        </row>
        <row r="5777">
          <cell r="E5777" t="str">
            <v>D25015420</v>
          </cell>
          <cell r="F5777"/>
          <cell r="G5777">
            <v>15000000000</v>
          </cell>
          <cell r="H5777" t="str">
            <v>Reni</v>
          </cell>
          <cell r="I5777" t="str">
            <v>Farida</v>
          </cell>
          <cell r="J5777"/>
          <cell r="K5777" t="str">
            <v>BG</v>
          </cell>
          <cell r="L5777" t="str">
            <v>NUAN01</v>
          </cell>
          <cell r="M5777" t="str">
            <v>Nuansa Tani</v>
          </cell>
          <cell r="N5777" t="str">
            <v>Nuansa Tani</v>
          </cell>
          <cell r="O5777" t="str">
            <v>Dukuh Taji RT.001/RW.002 Gelanglor, Sukorejo, Kab. Ponorogo</v>
          </cell>
          <cell r="P5777" t="str">
            <v>Ponorogo</v>
          </cell>
          <cell r="Q5777" t="str">
            <v>Dukuh Taji RT.001/RW.002 Gelanglor, Sukorejo, Kab. Ponorogo</v>
          </cell>
          <cell r="R5777" t="str">
            <v>Ponorogo</v>
          </cell>
          <cell r="S5777" t="str">
            <v>D Barat2</v>
          </cell>
          <cell r="T5777" t="str">
            <v>Dian</v>
          </cell>
          <cell r="U5777">
            <v>60</v>
          </cell>
        </row>
        <row r="5778">
          <cell r="E5778" t="str">
            <v>Z25002668</v>
          </cell>
          <cell r="F5778"/>
          <cell r="G5778">
            <v>15000000000</v>
          </cell>
          <cell r="H5778" t="str">
            <v>Reni</v>
          </cell>
          <cell r="I5778" t="str">
            <v>Farida</v>
          </cell>
          <cell r="J5778"/>
          <cell r="K5778" t="str">
            <v>BG</v>
          </cell>
          <cell r="L5778" t="str">
            <v>NUAN01</v>
          </cell>
          <cell r="M5778" t="str">
            <v>Nuansa Tani</v>
          </cell>
          <cell r="N5778" t="str">
            <v>Nuansa Tani</v>
          </cell>
          <cell r="O5778" t="str">
            <v>Dukuh Taji RT.001/RW.002 Gelanglor, Sukorejo, Kab. Ponorogo</v>
          </cell>
          <cell r="P5778" t="str">
            <v>Ponorogo</v>
          </cell>
          <cell r="Q5778" t="str">
            <v>Dukuh Taji RT.001/RW.002 Gelanglor, Sukorejo, Kab. Ponorogo</v>
          </cell>
          <cell r="R5778" t="str">
            <v>Ponorogo</v>
          </cell>
          <cell r="S5778" t="str">
            <v>D Barat2</v>
          </cell>
          <cell r="T5778" t="str">
            <v>Dian</v>
          </cell>
          <cell r="U5778">
            <v>7</v>
          </cell>
        </row>
        <row r="5779">
          <cell r="E5779" t="str">
            <v>Z25002668</v>
          </cell>
          <cell r="F5779"/>
          <cell r="G5779">
            <v>15000000000</v>
          </cell>
          <cell r="H5779" t="str">
            <v>Reni</v>
          </cell>
          <cell r="I5779" t="str">
            <v>Farida</v>
          </cell>
          <cell r="J5779"/>
          <cell r="K5779" t="str">
            <v>BG</v>
          </cell>
          <cell r="L5779" t="str">
            <v>NUAN01</v>
          </cell>
          <cell r="M5779" t="str">
            <v>Nuansa Tani</v>
          </cell>
          <cell r="N5779" t="str">
            <v>Nuansa Tani</v>
          </cell>
          <cell r="O5779" t="str">
            <v>Dukuh Taji RT.001/RW.002 Gelanglor, Sukorejo, Kab. Ponorogo</v>
          </cell>
          <cell r="P5779" t="str">
            <v>Ponorogo</v>
          </cell>
          <cell r="Q5779" t="str">
            <v>Dukuh Taji RT.001/RW.002 Gelanglor, Sukorejo, Kab. Ponorogo</v>
          </cell>
          <cell r="R5779" t="str">
            <v>Ponorogo</v>
          </cell>
          <cell r="S5779" t="str">
            <v>D Barat2</v>
          </cell>
          <cell r="T5779" t="str">
            <v>Dian</v>
          </cell>
          <cell r="U5779">
            <v>7</v>
          </cell>
        </row>
        <row r="5780">
          <cell r="E5780" t="str">
            <v>Z25002668</v>
          </cell>
          <cell r="F5780"/>
          <cell r="G5780">
            <v>15000000000</v>
          </cell>
          <cell r="H5780" t="str">
            <v>Reni</v>
          </cell>
          <cell r="I5780" t="str">
            <v>Farida</v>
          </cell>
          <cell r="J5780"/>
          <cell r="K5780" t="str">
            <v>BG</v>
          </cell>
          <cell r="L5780" t="str">
            <v>NUAN01</v>
          </cell>
          <cell r="M5780" t="str">
            <v>Nuansa Tani</v>
          </cell>
          <cell r="N5780" t="str">
            <v>Nuansa Tani</v>
          </cell>
          <cell r="O5780" t="str">
            <v>Dukuh Taji RT.001/RW.002 Gelanglor, Sukorejo, Kab. Ponorogo</v>
          </cell>
          <cell r="P5780" t="str">
            <v>Ponorogo</v>
          </cell>
          <cell r="Q5780" t="str">
            <v>Dukuh Taji RT.001/RW.002 Gelanglor, Sukorejo, Kab. Ponorogo</v>
          </cell>
          <cell r="R5780" t="str">
            <v>Ponorogo</v>
          </cell>
          <cell r="S5780" t="str">
            <v>D Barat2</v>
          </cell>
          <cell r="T5780" t="str">
            <v>Dian</v>
          </cell>
          <cell r="U5780">
            <v>7</v>
          </cell>
        </row>
        <row r="5781">
          <cell r="E5781" t="str">
            <v>B25013379</v>
          </cell>
          <cell r="F5781"/>
          <cell r="G5781">
            <v>15000000000</v>
          </cell>
          <cell r="H5781" t="str">
            <v>Reni</v>
          </cell>
          <cell r="I5781" t="str">
            <v>Farida</v>
          </cell>
          <cell r="J5781"/>
          <cell r="K5781" t="str">
            <v>BG</v>
          </cell>
          <cell r="L5781" t="str">
            <v>NUAN01</v>
          </cell>
          <cell r="M5781" t="str">
            <v>Nuansa Tani</v>
          </cell>
          <cell r="N5781" t="str">
            <v>Nuansa Tani</v>
          </cell>
          <cell r="O5781" t="str">
            <v>Dukuh Taji RT.001/RW.002 Gelanglor, Sukorejo, Kab. Ponorogo</v>
          </cell>
          <cell r="P5781" t="str">
            <v>Ponorogo</v>
          </cell>
          <cell r="Q5781" t="str">
            <v>Dukuh Taji RT.001/RW.002 Gelanglor, Sukorejo, Kab. Ponorogo</v>
          </cell>
          <cell r="R5781" t="str">
            <v>Ponorogo</v>
          </cell>
          <cell r="S5781" t="str">
            <v>D Barat2</v>
          </cell>
          <cell r="T5781" t="str">
            <v>Dian</v>
          </cell>
          <cell r="U5781">
            <v>30</v>
          </cell>
        </row>
        <row r="5782">
          <cell r="E5782" t="str">
            <v>D25015615</v>
          </cell>
          <cell r="F5782"/>
          <cell r="G5782">
            <v>15000000000</v>
          </cell>
          <cell r="H5782" t="str">
            <v>Reni</v>
          </cell>
          <cell r="I5782" t="str">
            <v>Farida</v>
          </cell>
          <cell r="J5782"/>
          <cell r="K5782" t="str">
            <v>BG</v>
          </cell>
          <cell r="L5782" t="str">
            <v>NUAN01</v>
          </cell>
          <cell r="M5782" t="str">
            <v>Nuansa Tani</v>
          </cell>
          <cell r="N5782" t="str">
            <v>Nuansa Tani</v>
          </cell>
          <cell r="O5782" t="str">
            <v>Dukuh Taji RT.001/RW.002 Gelanglor, Sukorejo, Kab. Ponorogo</v>
          </cell>
          <cell r="P5782" t="str">
            <v>Ponorogo</v>
          </cell>
          <cell r="Q5782" t="str">
            <v>Dukuh Taji RT.001/RW.002 Gelanglor, Sukorejo, Kab. Ponorogo</v>
          </cell>
          <cell r="R5782" t="str">
            <v>Ponorogo</v>
          </cell>
          <cell r="S5782" t="str">
            <v>D Barat2</v>
          </cell>
          <cell r="T5782" t="str">
            <v>Dian</v>
          </cell>
          <cell r="U5782">
            <v>30</v>
          </cell>
        </row>
        <row r="5783">
          <cell r="E5783" t="str">
            <v>B25013622</v>
          </cell>
          <cell r="F5783"/>
          <cell r="G5783">
            <v>15000000000</v>
          </cell>
          <cell r="H5783" t="str">
            <v>Reni</v>
          </cell>
          <cell r="I5783" t="str">
            <v>Farida</v>
          </cell>
          <cell r="J5783"/>
          <cell r="K5783" t="str">
            <v>BG</v>
          </cell>
          <cell r="L5783" t="str">
            <v>NUAN01</v>
          </cell>
          <cell r="M5783" t="str">
            <v>Nuansa Tani</v>
          </cell>
          <cell r="N5783" t="str">
            <v>Nuansa Tani</v>
          </cell>
          <cell r="O5783" t="str">
            <v>Dukuh Taji RT.001/RW.002 Gelanglor, Sukorejo, Kab. Ponorogo</v>
          </cell>
          <cell r="P5783" t="str">
            <v>Ponorogo</v>
          </cell>
          <cell r="Q5783" t="str">
            <v>Dukuh Taji RT.001/RW.002 Gelanglor, Sukorejo, Kab. Ponorogo</v>
          </cell>
          <cell r="R5783" t="str">
            <v>Ponorogo</v>
          </cell>
          <cell r="S5783" t="str">
            <v>D Barat2</v>
          </cell>
          <cell r="T5783" t="str">
            <v>Dian</v>
          </cell>
          <cell r="U5783">
            <v>60</v>
          </cell>
        </row>
        <row r="5784">
          <cell r="E5784" t="str">
            <v>D25015928</v>
          </cell>
          <cell r="F5784"/>
          <cell r="G5784">
            <v>15000000000</v>
          </cell>
          <cell r="H5784" t="str">
            <v>Reni</v>
          </cell>
          <cell r="I5784" t="str">
            <v>Farida</v>
          </cell>
          <cell r="J5784"/>
          <cell r="K5784" t="str">
            <v>BG</v>
          </cell>
          <cell r="L5784" t="str">
            <v>NUAN01</v>
          </cell>
          <cell r="M5784" t="str">
            <v>Nuansa Tani</v>
          </cell>
          <cell r="N5784" t="str">
            <v>Nuansa Tani</v>
          </cell>
          <cell r="O5784" t="str">
            <v>Dukuh Taji RT.001/RW.002 Gelanglor, Sukorejo, Kab. Ponorogo</v>
          </cell>
          <cell r="P5784" t="str">
            <v>Ponorogo</v>
          </cell>
          <cell r="Q5784" t="str">
            <v>Dukuh Taji RT.001/RW.002 Gelanglor, Sukorejo, Kab. Ponorogo</v>
          </cell>
          <cell r="R5784" t="str">
            <v>Ponorogo</v>
          </cell>
          <cell r="S5784" t="str">
            <v>D Barat2</v>
          </cell>
          <cell r="T5784" t="str">
            <v>Dian</v>
          </cell>
          <cell r="U5784">
            <v>30</v>
          </cell>
        </row>
        <row r="5785">
          <cell r="E5785" t="str">
            <v>D25015928</v>
          </cell>
          <cell r="F5785"/>
          <cell r="G5785">
            <v>15000000000</v>
          </cell>
          <cell r="H5785" t="str">
            <v>Reni</v>
          </cell>
          <cell r="I5785" t="str">
            <v>Farida</v>
          </cell>
          <cell r="J5785"/>
          <cell r="K5785" t="str">
            <v>BG</v>
          </cell>
          <cell r="L5785" t="str">
            <v>NUAN01</v>
          </cell>
          <cell r="M5785" t="str">
            <v>Nuansa Tani</v>
          </cell>
          <cell r="N5785" t="str">
            <v>Nuansa Tani</v>
          </cell>
          <cell r="O5785" t="str">
            <v>Dukuh Taji RT.001/RW.002 Gelanglor, Sukorejo, Kab. Ponorogo</v>
          </cell>
          <cell r="P5785" t="str">
            <v>Ponorogo</v>
          </cell>
          <cell r="Q5785" t="str">
            <v>Dukuh Taji RT.001/RW.002 Gelanglor, Sukorejo, Kab. Ponorogo</v>
          </cell>
          <cell r="R5785" t="str">
            <v>Ponorogo</v>
          </cell>
          <cell r="S5785" t="str">
            <v>D Barat2</v>
          </cell>
          <cell r="T5785" t="str">
            <v>Dian</v>
          </cell>
          <cell r="U5785">
            <v>30</v>
          </cell>
        </row>
        <row r="5786">
          <cell r="E5786" t="str">
            <v>D25015928</v>
          </cell>
          <cell r="F5786"/>
          <cell r="G5786">
            <v>15000000000</v>
          </cell>
          <cell r="H5786" t="str">
            <v>Reni</v>
          </cell>
          <cell r="I5786" t="str">
            <v>Farida</v>
          </cell>
          <cell r="J5786"/>
          <cell r="K5786" t="str">
            <v>BG</v>
          </cell>
          <cell r="L5786" t="str">
            <v>NUAN01</v>
          </cell>
          <cell r="M5786" t="str">
            <v>Nuansa Tani</v>
          </cell>
          <cell r="N5786" t="str">
            <v>Nuansa Tani</v>
          </cell>
          <cell r="O5786" t="str">
            <v>Dukuh Taji RT.001/RW.002 Gelanglor, Sukorejo, Kab. Ponorogo</v>
          </cell>
          <cell r="P5786" t="str">
            <v>Ponorogo</v>
          </cell>
          <cell r="Q5786" t="str">
            <v>Dukuh Taji RT.001/RW.002 Gelanglor, Sukorejo, Kab. Ponorogo</v>
          </cell>
          <cell r="R5786" t="str">
            <v>Ponorogo</v>
          </cell>
          <cell r="S5786" t="str">
            <v>D Barat2</v>
          </cell>
          <cell r="T5786" t="str">
            <v>Dian</v>
          </cell>
          <cell r="U5786">
            <v>30</v>
          </cell>
        </row>
        <row r="5787">
          <cell r="E5787" t="str">
            <v>D25015928</v>
          </cell>
          <cell r="F5787"/>
          <cell r="G5787">
            <v>15000000000</v>
          </cell>
          <cell r="H5787" t="str">
            <v>Reni</v>
          </cell>
          <cell r="I5787" t="str">
            <v>Farida</v>
          </cell>
          <cell r="J5787"/>
          <cell r="K5787" t="str">
            <v>BG</v>
          </cell>
          <cell r="L5787" t="str">
            <v>NUAN01</v>
          </cell>
          <cell r="M5787" t="str">
            <v>Nuansa Tani</v>
          </cell>
          <cell r="N5787" t="str">
            <v>Nuansa Tani</v>
          </cell>
          <cell r="O5787" t="str">
            <v>Dukuh Taji RT.001/RW.002 Gelanglor, Sukorejo, Kab. Ponorogo</v>
          </cell>
          <cell r="P5787" t="str">
            <v>Ponorogo</v>
          </cell>
          <cell r="Q5787" t="str">
            <v>Dukuh Taji RT.001/RW.002 Gelanglor, Sukorejo, Kab. Ponorogo</v>
          </cell>
          <cell r="R5787" t="str">
            <v>Ponorogo</v>
          </cell>
          <cell r="S5787" t="str">
            <v>D Barat2</v>
          </cell>
          <cell r="T5787" t="str">
            <v>Dian</v>
          </cell>
          <cell r="U5787">
            <v>30</v>
          </cell>
        </row>
        <row r="5788">
          <cell r="E5788" t="str">
            <v>D25015928</v>
          </cell>
          <cell r="F5788"/>
          <cell r="G5788">
            <v>15000000000</v>
          </cell>
          <cell r="H5788" t="str">
            <v>Reni</v>
          </cell>
          <cell r="I5788" t="str">
            <v>Farida</v>
          </cell>
          <cell r="J5788"/>
          <cell r="K5788" t="str">
            <v>BG</v>
          </cell>
          <cell r="L5788" t="str">
            <v>NUAN01</v>
          </cell>
          <cell r="M5788" t="str">
            <v>Nuansa Tani</v>
          </cell>
          <cell r="N5788" t="str">
            <v>Nuansa Tani</v>
          </cell>
          <cell r="O5788" t="str">
            <v>Dukuh Taji RT.001/RW.002 Gelanglor, Sukorejo, Kab. Ponorogo</v>
          </cell>
          <cell r="P5788" t="str">
            <v>Ponorogo</v>
          </cell>
          <cell r="Q5788" t="str">
            <v>Dukuh Taji RT.001/RW.002 Gelanglor, Sukorejo, Kab. Ponorogo</v>
          </cell>
          <cell r="R5788" t="str">
            <v>Ponorogo</v>
          </cell>
          <cell r="S5788" t="str">
            <v>D Barat2</v>
          </cell>
          <cell r="T5788" t="str">
            <v>Dian</v>
          </cell>
          <cell r="U5788">
            <v>30</v>
          </cell>
        </row>
        <row r="5789">
          <cell r="E5789" t="str">
            <v>Z25002735</v>
          </cell>
          <cell r="F5789"/>
          <cell r="G5789">
            <v>15000000000</v>
          </cell>
          <cell r="H5789" t="str">
            <v>Reni</v>
          </cell>
          <cell r="I5789" t="str">
            <v>Farida</v>
          </cell>
          <cell r="J5789"/>
          <cell r="K5789" t="str">
            <v>BG</v>
          </cell>
          <cell r="L5789" t="str">
            <v>NUAN01</v>
          </cell>
          <cell r="M5789" t="str">
            <v>Nuansa Tani</v>
          </cell>
          <cell r="N5789" t="str">
            <v>Nuansa Tani</v>
          </cell>
          <cell r="O5789" t="str">
            <v>Dukuh Taji RT.001/RW.002 Gelanglor, Sukorejo, Kab. Ponorogo</v>
          </cell>
          <cell r="P5789" t="str">
            <v>Ponorogo</v>
          </cell>
          <cell r="Q5789" t="str">
            <v>Dukuh Taji RT.001/RW.002 Gelanglor, Sukorejo, Kab. Ponorogo</v>
          </cell>
          <cell r="R5789" t="str">
            <v>Ponorogo</v>
          </cell>
          <cell r="S5789" t="str">
            <v>D Barat2</v>
          </cell>
          <cell r="T5789" t="str">
            <v>Dian</v>
          </cell>
          <cell r="U5789">
            <v>0</v>
          </cell>
        </row>
        <row r="5790">
          <cell r="E5790" t="str">
            <v>Z25002735</v>
          </cell>
          <cell r="F5790"/>
          <cell r="G5790">
            <v>15000000000</v>
          </cell>
          <cell r="H5790" t="str">
            <v>Reni</v>
          </cell>
          <cell r="I5790" t="str">
            <v>Farida</v>
          </cell>
          <cell r="J5790"/>
          <cell r="K5790" t="str">
            <v>BG</v>
          </cell>
          <cell r="L5790" t="str">
            <v>NUAN01</v>
          </cell>
          <cell r="M5790" t="str">
            <v>Nuansa Tani</v>
          </cell>
          <cell r="N5790" t="str">
            <v>Nuansa Tani</v>
          </cell>
          <cell r="O5790" t="str">
            <v>Dukuh Taji RT.001/RW.002 Gelanglor, Sukorejo, Kab. Ponorogo</v>
          </cell>
          <cell r="P5790" t="str">
            <v>Ponorogo</v>
          </cell>
          <cell r="Q5790" t="str">
            <v>Dukuh Taji RT.001/RW.002 Gelanglor, Sukorejo, Kab. Ponorogo</v>
          </cell>
          <cell r="R5790" t="str">
            <v>Ponorogo</v>
          </cell>
          <cell r="S5790" t="str">
            <v>D Barat2</v>
          </cell>
          <cell r="T5790" t="str">
            <v>Dian</v>
          </cell>
          <cell r="U5790">
            <v>0</v>
          </cell>
        </row>
        <row r="5791">
          <cell r="E5791" t="str">
            <v>Z25002735</v>
          </cell>
          <cell r="F5791"/>
          <cell r="G5791">
            <v>15000000000</v>
          </cell>
          <cell r="H5791" t="str">
            <v>Reni</v>
          </cell>
          <cell r="I5791" t="str">
            <v>Farida</v>
          </cell>
          <cell r="J5791"/>
          <cell r="K5791" t="str">
            <v>BG</v>
          </cell>
          <cell r="L5791" t="str">
            <v>NUAN01</v>
          </cell>
          <cell r="M5791" t="str">
            <v>Nuansa Tani</v>
          </cell>
          <cell r="N5791" t="str">
            <v>Nuansa Tani</v>
          </cell>
          <cell r="O5791" t="str">
            <v>Dukuh Taji RT.001/RW.002 Gelanglor, Sukorejo, Kab. Ponorogo</v>
          </cell>
          <cell r="P5791" t="str">
            <v>Ponorogo</v>
          </cell>
          <cell r="Q5791" t="str">
            <v>Dukuh Taji RT.001/RW.002 Gelanglor, Sukorejo, Kab. Ponorogo</v>
          </cell>
          <cell r="R5791" t="str">
            <v>Ponorogo</v>
          </cell>
          <cell r="S5791" t="str">
            <v>D Barat2</v>
          </cell>
          <cell r="T5791" t="str">
            <v>Dian</v>
          </cell>
          <cell r="U5791">
            <v>0</v>
          </cell>
        </row>
        <row r="5792">
          <cell r="E5792" t="str">
            <v>Z25002735</v>
          </cell>
          <cell r="F5792"/>
          <cell r="G5792">
            <v>15000000000</v>
          </cell>
          <cell r="H5792" t="str">
            <v>Reni</v>
          </cell>
          <cell r="I5792" t="str">
            <v>Farida</v>
          </cell>
          <cell r="J5792"/>
          <cell r="K5792" t="str">
            <v>BG</v>
          </cell>
          <cell r="L5792" t="str">
            <v>NUAN01</v>
          </cell>
          <cell r="M5792" t="str">
            <v>Nuansa Tani</v>
          </cell>
          <cell r="N5792" t="str">
            <v>Nuansa Tani</v>
          </cell>
          <cell r="O5792" t="str">
            <v>Dukuh Taji RT.001/RW.002 Gelanglor, Sukorejo, Kab. Ponorogo</v>
          </cell>
          <cell r="P5792" t="str">
            <v>Ponorogo</v>
          </cell>
          <cell r="Q5792" t="str">
            <v>Dukuh Taji RT.001/RW.002 Gelanglor, Sukorejo, Kab. Ponorogo</v>
          </cell>
          <cell r="R5792" t="str">
            <v>Ponorogo</v>
          </cell>
          <cell r="S5792" t="str">
            <v>D Barat2</v>
          </cell>
          <cell r="T5792" t="str">
            <v>Dian</v>
          </cell>
          <cell r="U5792">
            <v>0</v>
          </cell>
        </row>
        <row r="5793">
          <cell r="E5793" t="str">
            <v>Z25002735</v>
          </cell>
          <cell r="F5793"/>
          <cell r="G5793">
            <v>15000000000</v>
          </cell>
          <cell r="H5793" t="str">
            <v>Reni</v>
          </cell>
          <cell r="I5793" t="str">
            <v>Farida</v>
          </cell>
          <cell r="J5793"/>
          <cell r="K5793" t="str">
            <v>BG</v>
          </cell>
          <cell r="L5793" t="str">
            <v>NUAN01</v>
          </cell>
          <cell r="M5793" t="str">
            <v>Nuansa Tani</v>
          </cell>
          <cell r="N5793" t="str">
            <v>Nuansa Tani</v>
          </cell>
          <cell r="O5793" t="str">
            <v>Dukuh Taji RT.001/RW.002 Gelanglor, Sukorejo, Kab. Ponorogo</v>
          </cell>
          <cell r="P5793" t="str">
            <v>Ponorogo</v>
          </cell>
          <cell r="Q5793" t="str">
            <v>Dukuh Taji RT.001/RW.002 Gelanglor, Sukorejo, Kab. Ponorogo</v>
          </cell>
          <cell r="R5793" t="str">
            <v>Ponorogo</v>
          </cell>
          <cell r="S5793" t="str">
            <v>D Barat2</v>
          </cell>
          <cell r="T5793" t="str">
            <v>Dian</v>
          </cell>
          <cell r="U5793">
            <v>0</v>
          </cell>
        </row>
        <row r="5794">
          <cell r="E5794" t="str">
            <v>D25015991</v>
          </cell>
          <cell r="F5794"/>
          <cell r="G5794">
            <v>15000000000</v>
          </cell>
          <cell r="H5794" t="str">
            <v>Reni</v>
          </cell>
          <cell r="I5794" t="str">
            <v>Farida</v>
          </cell>
          <cell r="J5794"/>
          <cell r="K5794" t="str">
            <v>BG</v>
          </cell>
          <cell r="L5794" t="str">
            <v>NUAN01</v>
          </cell>
          <cell r="M5794" t="str">
            <v>Nuansa Tani</v>
          </cell>
          <cell r="N5794" t="str">
            <v>Nuansa Tani</v>
          </cell>
          <cell r="O5794" t="str">
            <v>Dukuh Taji RT.001/RW.002 Gelanglor, Sukorejo, Kab. Ponorogo</v>
          </cell>
          <cell r="P5794" t="str">
            <v>Ponorogo</v>
          </cell>
          <cell r="Q5794" t="str">
            <v>Dukuh Taji RT.001/RW.002 Gelanglor, Sukorejo, Kab. Ponorogo</v>
          </cell>
          <cell r="R5794" t="str">
            <v>Ponorogo</v>
          </cell>
          <cell r="S5794" t="str">
            <v>D Barat2</v>
          </cell>
          <cell r="T5794" t="str">
            <v>Dian</v>
          </cell>
          <cell r="U5794">
            <v>60</v>
          </cell>
        </row>
        <row r="5795">
          <cell r="E5795" t="str">
            <v>D25016073</v>
          </cell>
          <cell r="F5795"/>
          <cell r="G5795">
            <v>15000000000</v>
          </cell>
          <cell r="H5795" t="str">
            <v>Reni</v>
          </cell>
          <cell r="I5795" t="str">
            <v>Farida</v>
          </cell>
          <cell r="J5795"/>
          <cell r="K5795" t="str">
            <v>BG</v>
          </cell>
          <cell r="L5795" t="str">
            <v>NUAN01</v>
          </cell>
          <cell r="M5795" t="str">
            <v>Nuansa Tani</v>
          </cell>
          <cell r="N5795" t="str">
            <v>Nuansa Tani</v>
          </cell>
          <cell r="O5795" t="str">
            <v>Dukuh Taji RT.001/RW.002 Gelanglor, Sukorejo, Kab. Ponorogo</v>
          </cell>
          <cell r="P5795" t="str">
            <v>Ponorogo</v>
          </cell>
          <cell r="Q5795" t="str">
            <v>Dukuh Taji RT.001/RW.002 Gelanglor, Sukorejo, Kab. Ponorogo</v>
          </cell>
          <cell r="R5795" t="str">
            <v>Ponorogo</v>
          </cell>
          <cell r="S5795" t="str">
            <v>D Barat2</v>
          </cell>
          <cell r="T5795" t="str">
            <v>Dian</v>
          </cell>
          <cell r="U5795">
            <v>30</v>
          </cell>
        </row>
        <row r="5796">
          <cell r="E5796" t="str">
            <v>Z25002756</v>
          </cell>
          <cell r="F5796"/>
          <cell r="G5796">
            <v>15000000000</v>
          </cell>
          <cell r="H5796" t="str">
            <v>Reni</v>
          </cell>
          <cell r="I5796" t="str">
            <v>Farida</v>
          </cell>
          <cell r="J5796"/>
          <cell r="K5796" t="str">
            <v>BG</v>
          </cell>
          <cell r="L5796" t="str">
            <v>NUAN01</v>
          </cell>
          <cell r="M5796" t="str">
            <v>Nuansa Tani</v>
          </cell>
          <cell r="N5796" t="str">
            <v>Nuansa Tani</v>
          </cell>
          <cell r="O5796" t="str">
            <v>Dukuh Taji RT.001/RW.002 Gelanglor, Sukorejo, Kab. Ponorogo</v>
          </cell>
          <cell r="P5796" t="str">
            <v>Ponorogo</v>
          </cell>
          <cell r="Q5796" t="str">
            <v>Dukuh Taji RT.001/RW.002 Gelanglor, Sukorejo, Kab. Ponorogo</v>
          </cell>
          <cell r="R5796" t="str">
            <v>Ponorogo</v>
          </cell>
          <cell r="S5796" t="str">
            <v>D Barat2</v>
          </cell>
          <cell r="T5796" t="str">
            <v>Dian</v>
          </cell>
          <cell r="U5796">
            <v>30</v>
          </cell>
        </row>
        <row r="5797">
          <cell r="E5797" t="str">
            <v>Z25002773</v>
          </cell>
          <cell r="F5797"/>
          <cell r="G5797">
            <v>15000000000</v>
          </cell>
          <cell r="H5797" t="str">
            <v>Reni</v>
          </cell>
          <cell r="I5797" t="str">
            <v>Farida</v>
          </cell>
          <cell r="J5797"/>
          <cell r="K5797" t="str">
            <v>BG</v>
          </cell>
          <cell r="L5797" t="str">
            <v>NUAN01</v>
          </cell>
          <cell r="M5797" t="str">
            <v>Nuansa Tani</v>
          </cell>
          <cell r="N5797" t="str">
            <v>Nuansa Tani</v>
          </cell>
          <cell r="O5797" t="str">
            <v>Dukuh Taji RT.001/RW.002 Gelanglor, Sukorejo, Kab. Ponorogo</v>
          </cell>
          <cell r="P5797" t="str">
            <v>Ponorogo</v>
          </cell>
          <cell r="Q5797" t="str">
            <v>Dukuh Taji RT.001/RW.002 Gelanglor, Sukorejo, Kab. Ponorogo</v>
          </cell>
          <cell r="R5797" t="str">
            <v>Ponorogo</v>
          </cell>
          <cell r="S5797" t="str">
            <v>D Barat2</v>
          </cell>
          <cell r="T5797" t="str">
            <v>Dian</v>
          </cell>
          <cell r="U5797">
            <v>0</v>
          </cell>
        </row>
        <row r="5798">
          <cell r="E5798" t="str">
            <v>Z25002774</v>
          </cell>
          <cell r="F5798"/>
          <cell r="G5798">
            <v>15000000000</v>
          </cell>
          <cell r="H5798" t="str">
            <v>Reni</v>
          </cell>
          <cell r="I5798" t="str">
            <v>Farida</v>
          </cell>
          <cell r="J5798"/>
          <cell r="K5798" t="str">
            <v>BG</v>
          </cell>
          <cell r="L5798" t="str">
            <v>NUAN01</v>
          </cell>
          <cell r="M5798" t="str">
            <v>Nuansa Tani</v>
          </cell>
          <cell r="N5798" t="str">
            <v>Nuansa Tani</v>
          </cell>
          <cell r="O5798" t="str">
            <v>Dukuh Taji RT.001/RW.002 Gelanglor, Sukorejo, Kab. Ponorogo</v>
          </cell>
          <cell r="P5798" t="str">
            <v>Ponorogo</v>
          </cell>
          <cell r="Q5798" t="str">
            <v>Dukuh Taji RT.001/RW.002 Gelanglor, Sukorejo, Kab. Ponorogo</v>
          </cell>
          <cell r="R5798" t="str">
            <v>Ponorogo</v>
          </cell>
          <cell r="S5798" t="str">
            <v>D Barat2</v>
          </cell>
          <cell r="T5798" t="str">
            <v>Dian</v>
          </cell>
          <cell r="U5798">
            <v>30</v>
          </cell>
        </row>
        <row r="5799">
          <cell r="E5799" t="str">
            <v>D25016293</v>
          </cell>
          <cell r="F5799"/>
          <cell r="G5799">
            <v>15000000000</v>
          </cell>
          <cell r="H5799" t="str">
            <v>Reni</v>
          </cell>
          <cell r="I5799" t="str">
            <v>Farida</v>
          </cell>
          <cell r="J5799"/>
          <cell r="K5799" t="str">
            <v>BG</v>
          </cell>
          <cell r="L5799" t="str">
            <v>NUAN01</v>
          </cell>
          <cell r="M5799" t="str">
            <v>Nuansa Tani</v>
          </cell>
          <cell r="N5799" t="str">
            <v>Nuansa Tani</v>
          </cell>
          <cell r="O5799" t="str">
            <v>Dukuh Taji RT.001/RW.002 Gelanglor, Sukorejo, Kab. Ponorogo</v>
          </cell>
          <cell r="P5799" t="str">
            <v>Ponorogo</v>
          </cell>
          <cell r="Q5799" t="str">
            <v>Dukuh Taji RT.001/RW.002 Gelanglor, Sukorejo, Kab. Ponorogo</v>
          </cell>
          <cell r="R5799" t="str">
            <v>Ponorogo</v>
          </cell>
          <cell r="S5799" t="str">
            <v>D Barat2</v>
          </cell>
          <cell r="T5799" t="str">
            <v>Dian</v>
          </cell>
          <cell r="U5799">
            <v>60</v>
          </cell>
        </row>
        <row r="5800">
          <cell r="E5800" t="str">
            <v>D25016294</v>
          </cell>
          <cell r="F5800"/>
          <cell r="G5800">
            <v>15000000000</v>
          </cell>
          <cell r="H5800" t="str">
            <v>Reni</v>
          </cell>
          <cell r="I5800" t="str">
            <v>Farida</v>
          </cell>
          <cell r="J5800"/>
          <cell r="K5800" t="str">
            <v>BG</v>
          </cell>
          <cell r="L5800" t="str">
            <v>NUAN01</v>
          </cell>
          <cell r="M5800" t="str">
            <v>Nuansa Tani</v>
          </cell>
          <cell r="N5800" t="str">
            <v>Nuansa Tani</v>
          </cell>
          <cell r="O5800" t="str">
            <v>Dukuh Taji RT.001/RW.002 Gelanglor, Sukorejo, Kab. Ponorogo</v>
          </cell>
          <cell r="P5800" t="str">
            <v>Ponorogo</v>
          </cell>
          <cell r="Q5800" t="str">
            <v>Dukuh Taji RT.001/RW.002 Gelanglor, Sukorejo, Kab. Ponorogo</v>
          </cell>
          <cell r="R5800" t="str">
            <v>Ponorogo</v>
          </cell>
          <cell r="S5800" t="str">
            <v>D Barat2</v>
          </cell>
          <cell r="T5800" t="str">
            <v>Dian</v>
          </cell>
          <cell r="U5800">
            <v>60</v>
          </cell>
        </row>
        <row r="5801">
          <cell r="E5801" t="str">
            <v>D25007908</v>
          </cell>
          <cell r="F5801"/>
          <cell r="G5801">
            <v>5000000</v>
          </cell>
          <cell r="H5801" t="str">
            <v>Yuyun</v>
          </cell>
          <cell r="I5801" t="str">
            <v>Farida</v>
          </cell>
          <cell r="J5801"/>
          <cell r="K5801" t="str">
            <v>KU</v>
          </cell>
          <cell r="L5801" t="str">
            <v>NUGR01</v>
          </cell>
          <cell r="M5801" t="str">
            <v>Nugroho Idi Sasetyo</v>
          </cell>
          <cell r="N5801" t="str">
            <v>Nugroho Idi Sasetyo</v>
          </cell>
          <cell r="O5801" t="str">
            <v>Perum Bumi Mangli Permai Blok IE/11 RT.001/RW.015 Kel. Mangli, Kec. Kaliwates</v>
          </cell>
          <cell r="P5801" t="str">
            <v>Jember</v>
          </cell>
          <cell r="Q5801" t="str">
            <v>Perum Bumi Mangli Permai Blok IE/11 RT.001/RW.015 Kel. Mangli, Kec. Kaliwates</v>
          </cell>
          <cell r="R5801" t="str">
            <v>Jember</v>
          </cell>
          <cell r="S5801" t="str">
            <v>L Kota1</v>
          </cell>
          <cell r="T5801" t="str">
            <v>Wira</v>
          </cell>
          <cell r="U5801">
            <v>90</v>
          </cell>
        </row>
        <row r="5802">
          <cell r="E5802" t="str">
            <v>D25007909</v>
          </cell>
          <cell r="F5802"/>
          <cell r="G5802">
            <v>5000000</v>
          </cell>
          <cell r="H5802" t="str">
            <v>Yuyun</v>
          </cell>
          <cell r="I5802" t="str">
            <v>Farida</v>
          </cell>
          <cell r="J5802"/>
          <cell r="K5802" t="str">
            <v>KU</v>
          </cell>
          <cell r="L5802" t="str">
            <v>NUGR01</v>
          </cell>
          <cell r="M5802" t="str">
            <v>Nugroho Idi Sasetyo</v>
          </cell>
          <cell r="N5802" t="str">
            <v>Nugroho Idi Sasetyo</v>
          </cell>
          <cell r="O5802" t="str">
            <v>Perum Bumi Mangli Permai Blok IE/11 RT.001/RW.015 Kel. Mangli, Kec. Kaliwates</v>
          </cell>
          <cell r="P5802" t="str">
            <v>Jember</v>
          </cell>
          <cell r="Q5802" t="str">
            <v>Perum Bumi Mangli Permai Blok IE/11 RT.001/RW.015 Kel. Mangli, Kec. Kaliwates</v>
          </cell>
          <cell r="R5802" t="str">
            <v>Jember</v>
          </cell>
          <cell r="S5802" t="str">
            <v>L Kota1</v>
          </cell>
          <cell r="T5802" t="str">
            <v>Wira</v>
          </cell>
          <cell r="U5802">
            <v>156</v>
          </cell>
        </row>
        <row r="5803">
          <cell r="E5803" t="str">
            <v>B25011150</v>
          </cell>
          <cell r="F5803"/>
          <cell r="G5803">
            <v>5000000</v>
          </cell>
          <cell r="H5803" t="str">
            <v>Yuyun</v>
          </cell>
          <cell r="I5803" t="str">
            <v>Farida</v>
          </cell>
          <cell r="J5803"/>
          <cell r="K5803" t="str">
            <v>KU</v>
          </cell>
          <cell r="L5803" t="str">
            <v>NUGR01</v>
          </cell>
          <cell r="M5803" t="str">
            <v>Nugroho Idi Sasetyo</v>
          </cell>
          <cell r="N5803" t="str">
            <v>Nugroho Idi Sasetyo</v>
          </cell>
          <cell r="O5803" t="str">
            <v>Perum Bumi Mangli Permai Blok IE/11 RT.001/RW.015 Kel. Mangli, Kec. Kaliwates</v>
          </cell>
          <cell r="P5803" t="str">
            <v>Jember</v>
          </cell>
          <cell r="Q5803" t="str">
            <v>Perum Bumi Mangli Permai Blok IE/11 RT.001/RW.015 Kel. Mangli, Kec. Kaliwates</v>
          </cell>
          <cell r="R5803" t="str">
            <v>Jember</v>
          </cell>
          <cell r="S5803" t="str">
            <v>L Kota1</v>
          </cell>
          <cell r="T5803" t="str">
            <v>Wira</v>
          </cell>
          <cell r="U5803">
            <v>58</v>
          </cell>
        </row>
        <row r="5804">
          <cell r="E5804" t="str">
            <v>D25015340</v>
          </cell>
          <cell r="F5804"/>
          <cell r="G5804">
            <v>5000000</v>
          </cell>
          <cell r="H5804" t="str">
            <v>Yuyun</v>
          </cell>
          <cell r="I5804" t="str">
            <v>Farida</v>
          </cell>
          <cell r="J5804"/>
          <cell r="K5804" t="str">
            <v>KU</v>
          </cell>
          <cell r="L5804" t="str">
            <v>NUGR01</v>
          </cell>
          <cell r="M5804" t="str">
            <v>Nugroho Idi Sasetyo</v>
          </cell>
          <cell r="N5804" t="str">
            <v>Nugroho Idi Sasetyo</v>
          </cell>
          <cell r="O5804" t="str">
            <v>Perum Bumi Mangli Permai Blok IE/11 RT.001/RW.015 Kel. Mangli, Kec. Kaliwates</v>
          </cell>
          <cell r="P5804" t="str">
            <v>Jember</v>
          </cell>
          <cell r="Q5804" t="str">
            <v>Perum Bumi Mangli Permai Blok IE/11 RT.001/RW.015 Kel. Mangli, Kec. Kaliwates</v>
          </cell>
          <cell r="R5804" t="str">
            <v>Jember</v>
          </cell>
          <cell r="S5804" t="str">
            <v>L Kota1</v>
          </cell>
          <cell r="T5804" t="str">
            <v>Wira</v>
          </cell>
          <cell r="U5804">
            <v>30</v>
          </cell>
        </row>
        <row r="5805">
          <cell r="E5805" t="str">
            <v>D25010159</v>
          </cell>
          <cell r="F5805"/>
          <cell r="G5805">
            <v>1000</v>
          </cell>
          <cell r="H5805" t="str">
            <v>Yuyun</v>
          </cell>
          <cell r="I5805" t="str">
            <v>Syahra</v>
          </cell>
          <cell r="J5805" t="str">
            <v>New 11/04/25</v>
          </cell>
          <cell r="K5805" t="str">
            <v>KU</v>
          </cell>
          <cell r="L5805" t="str">
            <v>NUGR04</v>
          </cell>
          <cell r="M5805" t="str">
            <v>Nugroho Susilo/MSI</v>
          </cell>
          <cell r="N5805" t="str">
            <v>Nugoho Luckyto Adi Susilo</v>
          </cell>
          <cell r="O5805" t="str">
            <v>Begal RT.001/RW.001 , Kel. Begal Kec. Kedunggalar</v>
          </cell>
          <cell r="P5805" t="str">
            <v>Ngawi</v>
          </cell>
          <cell r="Q5805" t="str">
            <v>Begal RT.001/RW.001 , Kel. Begal Kec. Kedunggalar</v>
          </cell>
          <cell r="R5805" t="str">
            <v>Ngawi</v>
          </cell>
          <cell r="S5805" t="str">
            <v>B Agronomis</v>
          </cell>
          <cell r="T5805" t="str">
            <v>Dian</v>
          </cell>
          <cell r="U5805">
            <v>83</v>
          </cell>
        </row>
        <row r="5806">
          <cell r="E5806" t="str">
            <v>N24000031</v>
          </cell>
          <cell r="F5806"/>
          <cell r="G5806">
            <v>1000</v>
          </cell>
          <cell r="H5806" t="str">
            <v>Hendra</v>
          </cell>
          <cell r="I5806" t="str">
            <v>Tiya</v>
          </cell>
          <cell r="J5806" t="str">
            <v>New 17/04/24</v>
          </cell>
          <cell r="K5806" t="str">
            <v>CBD</v>
          </cell>
          <cell r="L5806" t="str">
            <v>NURF03</v>
          </cell>
          <cell r="M5806" t="str">
            <v>Nur Faujiah</v>
          </cell>
          <cell r="N5806" t="str">
            <v>Nur Faujiah</v>
          </cell>
          <cell r="O5806" t="str">
            <v>Dusun La Heko RT.001/RW.001, Kel. Risa, Kec. Woha</v>
          </cell>
          <cell r="P5806" t="str">
            <v>Bima</v>
          </cell>
          <cell r="Q5806" t="str">
            <v>Dusun La Heko RT.001/RW.001, Kel. Risa, Kec. Woha</v>
          </cell>
          <cell r="R5806" t="str">
            <v>Bima</v>
          </cell>
          <cell r="S5806" t="str">
            <v>E Luar Pulau2</v>
          </cell>
          <cell r="T5806" t="str">
            <v>Muhlisin</v>
          </cell>
          <cell r="U5806">
            <v>75</v>
          </cell>
        </row>
        <row r="5807">
          <cell r="E5807" t="str">
            <v>N24000031</v>
          </cell>
          <cell r="F5807"/>
          <cell r="G5807">
            <v>1000</v>
          </cell>
          <cell r="H5807" t="str">
            <v>Hendra</v>
          </cell>
          <cell r="I5807" t="str">
            <v>Tiya</v>
          </cell>
          <cell r="J5807" t="str">
            <v>New 17/04/24</v>
          </cell>
          <cell r="K5807" t="str">
            <v>CBD</v>
          </cell>
          <cell r="L5807" t="str">
            <v>NURF03</v>
          </cell>
          <cell r="M5807" t="str">
            <v>Nur Faujiah</v>
          </cell>
          <cell r="N5807" t="str">
            <v>Nur Faujiah</v>
          </cell>
          <cell r="O5807" t="str">
            <v>Dusun La Heko RT.001/RW.001, Kel. Risa, Kec. Woha</v>
          </cell>
          <cell r="P5807" t="str">
            <v>Bima</v>
          </cell>
          <cell r="Q5807" t="str">
            <v>Dusun La Heko RT.001/RW.001, Kel. Risa, Kec. Woha</v>
          </cell>
          <cell r="R5807" t="str">
            <v>Bima</v>
          </cell>
          <cell r="S5807" t="str">
            <v>E Luar Pulau2</v>
          </cell>
          <cell r="T5807" t="str">
            <v>Muhlisin</v>
          </cell>
          <cell r="U5807">
            <v>75</v>
          </cell>
        </row>
        <row r="5808">
          <cell r="E5808" t="str">
            <v>B25013050</v>
          </cell>
          <cell r="F5808"/>
          <cell r="G5808">
            <v>75000000</v>
          </cell>
          <cell r="H5808" t="str">
            <v>Ariyani</v>
          </cell>
          <cell r="I5808" t="str">
            <v>Fira</v>
          </cell>
          <cell r="J5808"/>
          <cell r="K5808" t="str">
            <v>KU</v>
          </cell>
          <cell r="L5808" t="str">
            <v>NURK01</v>
          </cell>
          <cell r="M5808" t="str">
            <v>Nurkholil, UD</v>
          </cell>
          <cell r="N5808" t="str">
            <v>Taufan Firmansyah</v>
          </cell>
          <cell r="O5808" t="str">
            <v>Ranggeh Timur RT.003/RW.001, Kel. Ranggeh, Kec. Gondangwetan</v>
          </cell>
          <cell r="P5808" t="str">
            <v>Pasuruan</v>
          </cell>
          <cell r="Q5808" t="str">
            <v>Ranggeh No 14B Gondang Wetan</v>
          </cell>
          <cell r="R5808" t="str">
            <v>Pasuruan</v>
          </cell>
          <cell r="S5808" t="str">
            <v>F Utara1</v>
          </cell>
          <cell r="T5808" t="str">
            <v>Tomi</v>
          </cell>
          <cell r="U5808">
            <v>30</v>
          </cell>
        </row>
        <row r="5809">
          <cell r="E5809" t="str">
            <v>D25016355</v>
          </cell>
          <cell r="F5809"/>
          <cell r="G5809">
            <v>1000</v>
          </cell>
          <cell r="H5809" t="str">
            <v>Others</v>
          </cell>
          <cell r="I5809" t="str">
            <v>Exclusive</v>
          </cell>
          <cell r="J5809" t="str">
            <v>New 31/10/25</v>
          </cell>
          <cell r="K5809" t="str">
            <v>KU</v>
          </cell>
          <cell r="L5809" t="str">
            <v>NURU22</v>
          </cell>
          <cell r="M5809" t="str">
            <v>Nurul Hikam</v>
          </cell>
          <cell r="N5809" t="str">
            <v>Nurul Hikam</v>
          </cell>
          <cell r="O5809" t="str">
            <v>Jl KH Hasan Gg Bayusari 6 RT.001/RW.014, Kel. Kebonsari Wetan, Kec. Kanigaran</v>
          </cell>
          <cell r="P5809" t="str">
            <v>Probolinggo</v>
          </cell>
          <cell r="Q5809" t="str">
            <v>Jember</v>
          </cell>
          <cell r="R5809" t="str">
            <v>Jember</v>
          </cell>
          <cell r="S5809" t="str">
            <v>L Kota1</v>
          </cell>
          <cell r="T5809" t="str">
            <v>Wira</v>
          </cell>
          <cell r="U5809">
            <v>0</v>
          </cell>
        </row>
        <row r="5810">
          <cell r="E5810" t="str">
            <v>B25012583</v>
          </cell>
          <cell r="F5810"/>
          <cell r="G5810">
            <v>250000000</v>
          </cell>
          <cell r="H5810" t="str">
            <v>Hendra</v>
          </cell>
          <cell r="I5810" t="str">
            <v>Tiya</v>
          </cell>
          <cell r="J5810"/>
          <cell r="K5810" t="str">
            <v>KU</v>
          </cell>
          <cell r="L5810" t="str">
            <v>NUSA05</v>
          </cell>
          <cell r="M5810" t="str">
            <v>Nusa Agro Makmur, CV</v>
          </cell>
          <cell r="N5810" t="str">
            <v>Nusa Agro Makmur, CV</v>
          </cell>
          <cell r="O5810" t="str">
            <v>Jl. Gerilyawan Abepura No.42, RT.002/RW.005 Awiyo Abepura</v>
          </cell>
          <cell r="P5810" t="str">
            <v>Jayapura - Papua</v>
          </cell>
          <cell r="Q5810" t="str">
            <v>Jl. Gerilyawan Abepura No.42, RT.002/RW.005 Awiyo Abepura</v>
          </cell>
          <cell r="R5810" t="str">
            <v>Jayapura - Papua</v>
          </cell>
          <cell r="S5810" t="str">
            <v>E Luar Pulau2</v>
          </cell>
          <cell r="T5810" t="str">
            <v>Non SE &amp; JSE</v>
          </cell>
          <cell r="U5810">
            <v>15</v>
          </cell>
        </row>
        <row r="5811">
          <cell r="E5811" t="str">
            <v>B25012603</v>
          </cell>
          <cell r="F5811"/>
          <cell r="G5811">
            <v>250000000</v>
          </cell>
          <cell r="H5811" t="str">
            <v>Hendra</v>
          </cell>
          <cell r="I5811" t="str">
            <v>Tiya</v>
          </cell>
          <cell r="J5811"/>
          <cell r="K5811" t="str">
            <v>KU</v>
          </cell>
          <cell r="L5811" t="str">
            <v>NUSA05</v>
          </cell>
          <cell r="M5811" t="str">
            <v>Nusa Agro Makmur, CV</v>
          </cell>
          <cell r="N5811" t="str">
            <v>Nusa Agro Makmur, CV</v>
          </cell>
          <cell r="O5811" t="str">
            <v>Jl. Gerilyawan Abepura No.42, RT.002/RW.005 Awiyo Abepura</v>
          </cell>
          <cell r="P5811" t="str">
            <v>Jayapura - Papua</v>
          </cell>
          <cell r="Q5811" t="str">
            <v>Jl. Gerilyawan Abepura No.42, RT.002/RW.005 Awiyo Abepura</v>
          </cell>
          <cell r="R5811" t="str">
            <v>Jayapura - Papua</v>
          </cell>
          <cell r="S5811" t="str">
            <v>E Luar Pulau2</v>
          </cell>
          <cell r="T5811" t="str">
            <v>Non SE &amp; JSE</v>
          </cell>
          <cell r="U5811">
            <v>15</v>
          </cell>
        </row>
        <row r="5812">
          <cell r="E5812" t="str">
            <v>D25014875</v>
          </cell>
          <cell r="F5812"/>
          <cell r="G5812">
            <v>250000000</v>
          </cell>
          <cell r="H5812" t="str">
            <v>Hendra</v>
          </cell>
          <cell r="I5812" t="str">
            <v>Tiya</v>
          </cell>
          <cell r="J5812"/>
          <cell r="K5812" t="str">
            <v>KU</v>
          </cell>
          <cell r="L5812" t="str">
            <v>NUSA05</v>
          </cell>
          <cell r="M5812" t="str">
            <v>Nusa Agro Makmur, CV</v>
          </cell>
          <cell r="N5812" t="str">
            <v>Nusa Agro Makmur, CV</v>
          </cell>
          <cell r="O5812" t="str">
            <v>Jl. Gerilyawan Abepura No.42, RT.002/RW.005 Awiyo Abepura</v>
          </cell>
          <cell r="P5812" t="str">
            <v>Jayapura - Papua</v>
          </cell>
          <cell r="Q5812" t="str">
            <v>Jl. Gerilyawan Abepura No.42, RT.002/RW.005 Awiyo Abepura</v>
          </cell>
          <cell r="R5812" t="str">
            <v>Jayapura - Papua</v>
          </cell>
          <cell r="S5812" t="str">
            <v>E Luar Pulau2</v>
          </cell>
          <cell r="T5812" t="str">
            <v>Non SE &amp; JSE</v>
          </cell>
          <cell r="U5812">
            <v>15</v>
          </cell>
        </row>
        <row r="5813">
          <cell r="E5813" t="str">
            <v>D25014909</v>
          </cell>
          <cell r="F5813"/>
          <cell r="G5813">
            <v>250000000</v>
          </cell>
          <cell r="H5813" t="str">
            <v>Hendra</v>
          </cell>
          <cell r="I5813" t="str">
            <v>Tiya</v>
          </cell>
          <cell r="J5813"/>
          <cell r="K5813" t="str">
            <v>KU</v>
          </cell>
          <cell r="L5813" t="str">
            <v>NUSA05</v>
          </cell>
          <cell r="M5813" t="str">
            <v>Nusa Agro Makmur, CV</v>
          </cell>
          <cell r="N5813" t="str">
            <v>Nusa Agro Makmur, CV</v>
          </cell>
          <cell r="O5813" t="str">
            <v>Jl. Gerilyawan Abepura No.42, RT.002/RW.005 Awiyo Abepura</v>
          </cell>
          <cell r="P5813" t="str">
            <v>Jayapura - Papua</v>
          </cell>
          <cell r="Q5813" t="str">
            <v>Jl. Gerilyawan Abepura No.42, RT.002/RW.005 Awiyo Abepura</v>
          </cell>
          <cell r="R5813" t="str">
            <v>Jayapura - Papua</v>
          </cell>
          <cell r="S5813" t="str">
            <v>E Luar Pulau2</v>
          </cell>
          <cell r="T5813" t="str">
            <v>Non SE &amp; JSE</v>
          </cell>
          <cell r="U5813">
            <v>15</v>
          </cell>
        </row>
        <row r="5814">
          <cell r="E5814" t="str">
            <v>B25013120</v>
          </cell>
          <cell r="F5814"/>
          <cell r="G5814">
            <v>250000000</v>
          </cell>
          <cell r="H5814" t="str">
            <v>Hendra</v>
          </cell>
          <cell r="I5814" t="str">
            <v>Tiya</v>
          </cell>
          <cell r="J5814"/>
          <cell r="K5814" t="str">
            <v>KU</v>
          </cell>
          <cell r="L5814" t="str">
            <v>NUSA05</v>
          </cell>
          <cell r="M5814" t="str">
            <v>Nusa Agro Makmur, CV</v>
          </cell>
          <cell r="N5814" t="str">
            <v>Nusa Agro Makmur, CV</v>
          </cell>
          <cell r="O5814" t="str">
            <v>Jl. Gerilyawan Abepura No.42, RT.002/RW.005 Awiyo Abepura</v>
          </cell>
          <cell r="P5814" t="str">
            <v>Jayapura - Papua</v>
          </cell>
          <cell r="Q5814" t="str">
            <v>Jl. Gerilyawan Abepura No.42, RT.002/RW.005 Awiyo Abepura</v>
          </cell>
          <cell r="R5814" t="str">
            <v>Jayapura - Papua</v>
          </cell>
          <cell r="S5814" t="str">
            <v>E Luar Pulau2</v>
          </cell>
          <cell r="T5814" t="str">
            <v>Non SE &amp; JSE</v>
          </cell>
          <cell r="U5814">
            <v>15</v>
          </cell>
        </row>
        <row r="5815">
          <cell r="E5815" t="str">
            <v>D25015403</v>
          </cell>
          <cell r="F5815"/>
          <cell r="G5815">
            <v>250000000</v>
          </cell>
          <cell r="H5815" t="str">
            <v>Hendra</v>
          </cell>
          <cell r="I5815" t="str">
            <v>Tiya</v>
          </cell>
          <cell r="J5815"/>
          <cell r="K5815" t="str">
            <v>KU</v>
          </cell>
          <cell r="L5815" t="str">
            <v>NUSA05</v>
          </cell>
          <cell r="M5815" t="str">
            <v>Nusa Agro Makmur, CV</v>
          </cell>
          <cell r="N5815" t="str">
            <v>Nusa Agro Makmur, CV</v>
          </cell>
          <cell r="O5815" t="str">
            <v>Jl. Gerilyawan Abepura No.42, RT.002/RW.005 Awiyo Abepura</v>
          </cell>
          <cell r="P5815" t="str">
            <v>Jayapura - Papua</v>
          </cell>
          <cell r="Q5815" t="str">
            <v>Jl. Gerilyawan Abepura No.42, RT.002/RW.005 Awiyo Abepura</v>
          </cell>
          <cell r="R5815" t="str">
            <v>Jayapura - Papua</v>
          </cell>
          <cell r="S5815" t="str">
            <v>E Luar Pulau2</v>
          </cell>
          <cell r="T5815" t="str">
            <v>Non SE &amp; JSE</v>
          </cell>
          <cell r="U5815">
            <v>15</v>
          </cell>
        </row>
        <row r="5816">
          <cell r="E5816" t="str">
            <v>B25013653</v>
          </cell>
          <cell r="F5816"/>
          <cell r="G5816">
            <v>250000000</v>
          </cell>
          <cell r="H5816" t="str">
            <v>Hendra</v>
          </cell>
          <cell r="I5816" t="str">
            <v>Tiya</v>
          </cell>
          <cell r="J5816"/>
          <cell r="K5816" t="str">
            <v>KU</v>
          </cell>
          <cell r="L5816" t="str">
            <v>NUSA05</v>
          </cell>
          <cell r="M5816" t="str">
            <v>Nusa Agro Makmur, CV</v>
          </cell>
          <cell r="N5816" t="str">
            <v>Nusa Agro Makmur, CV</v>
          </cell>
          <cell r="O5816" t="str">
            <v>Jl. Gerilyawan Abepura No.42, RT.002/RW.005 Awiyo Abepura</v>
          </cell>
          <cell r="P5816" t="str">
            <v>Jayapura - Papua</v>
          </cell>
          <cell r="Q5816" t="str">
            <v>Jl. Gerilyawan Abepura No.42, RT.002/RW.005 Awiyo Abepura</v>
          </cell>
          <cell r="R5816" t="str">
            <v>Jayapura - Papua</v>
          </cell>
          <cell r="S5816" t="str">
            <v>E Luar Pulau2</v>
          </cell>
          <cell r="T5816" t="str">
            <v>Non SE &amp; JSE</v>
          </cell>
          <cell r="U5816">
            <v>15</v>
          </cell>
        </row>
        <row r="5817">
          <cell r="E5817" t="str">
            <v>B25013870</v>
          </cell>
          <cell r="F5817"/>
          <cell r="G5817">
            <v>250000000</v>
          </cell>
          <cell r="H5817" t="str">
            <v>Hendra</v>
          </cell>
          <cell r="I5817" t="str">
            <v>Tiya</v>
          </cell>
          <cell r="J5817"/>
          <cell r="K5817" t="str">
            <v>KU</v>
          </cell>
          <cell r="L5817" t="str">
            <v>NUSA05</v>
          </cell>
          <cell r="M5817" t="str">
            <v>Nusa Agro Makmur, CV</v>
          </cell>
          <cell r="N5817" t="str">
            <v>Nusa Agro Makmur, CV</v>
          </cell>
          <cell r="O5817" t="str">
            <v>Jl. Gerilyawan Abepura No.42, RT.002/RW.005 Awiyo Abepura</v>
          </cell>
          <cell r="P5817" t="str">
            <v>Jayapura - Papua</v>
          </cell>
          <cell r="Q5817" t="str">
            <v>Jl. Gerilyawan Abepura No.42, RT.002/RW.005 Awiyo Abepura</v>
          </cell>
          <cell r="R5817" t="str">
            <v>Jayapura - Papua</v>
          </cell>
          <cell r="S5817" t="str">
            <v>E Luar Pulau2</v>
          </cell>
          <cell r="T5817" t="str">
            <v>Non SE &amp; JSE</v>
          </cell>
          <cell r="U5817">
            <v>15</v>
          </cell>
        </row>
        <row r="5818">
          <cell r="E5818" t="str">
            <v>D25016172</v>
          </cell>
          <cell r="F5818"/>
          <cell r="G5818">
            <v>250000000</v>
          </cell>
          <cell r="H5818" t="str">
            <v>Hendra</v>
          </cell>
          <cell r="I5818" t="str">
            <v>Tiya</v>
          </cell>
          <cell r="J5818"/>
          <cell r="K5818" t="str">
            <v>KU</v>
          </cell>
          <cell r="L5818" t="str">
            <v>NUSA05</v>
          </cell>
          <cell r="M5818" t="str">
            <v>Nusa Agro Makmur, CV</v>
          </cell>
          <cell r="N5818" t="str">
            <v>Nusa Agro Makmur, CV</v>
          </cell>
          <cell r="O5818" t="str">
            <v>Jl. Gerilyawan Abepura No.42, RT.002/RW.005 Awiyo Abepura</v>
          </cell>
          <cell r="P5818" t="str">
            <v>Jayapura - Papua</v>
          </cell>
          <cell r="Q5818" t="str">
            <v>Jl. Gerilyawan Abepura No.42, RT.002/RW.005 Awiyo Abepura</v>
          </cell>
          <cell r="R5818" t="str">
            <v>Jayapura - Papua</v>
          </cell>
          <cell r="S5818" t="str">
            <v>E Luar Pulau2</v>
          </cell>
          <cell r="T5818" t="str">
            <v>Non SE &amp; JSE</v>
          </cell>
          <cell r="U5818">
            <v>15</v>
          </cell>
        </row>
        <row r="5819">
          <cell r="E5819" t="str">
            <v>D25016173</v>
          </cell>
          <cell r="F5819"/>
          <cell r="G5819">
            <v>250000000</v>
          </cell>
          <cell r="H5819" t="str">
            <v>Hendra</v>
          </cell>
          <cell r="I5819" t="str">
            <v>Tiya</v>
          </cell>
          <cell r="J5819"/>
          <cell r="K5819" t="str">
            <v>KU</v>
          </cell>
          <cell r="L5819" t="str">
            <v>NUSA05</v>
          </cell>
          <cell r="M5819" t="str">
            <v>Nusa Agro Makmur, CV</v>
          </cell>
          <cell r="N5819" t="str">
            <v>Nusa Agro Makmur, CV</v>
          </cell>
          <cell r="O5819" t="str">
            <v>Jl. Gerilyawan Abepura No.42, RT.002/RW.005 Awiyo Abepura</v>
          </cell>
          <cell r="P5819" t="str">
            <v>Jayapura - Papua</v>
          </cell>
          <cell r="Q5819" t="str">
            <v>Jl. Gerilyawan Abepura No.42, RT.002/RW.005 Awiyo Abepura</v>
          </cell>
          <cell r="R5819" t="str">
            <v>Jayapura - Papua</v>
          </cell>
          <cell r="S5819" t="str">
            <v>E Luar Pulau2</v>
          </cell>
          <cell r="T5819" t="str">
            <v>Non SE &amp; JSE</v>
          </cell>
          <cell r="U5819">
            <v>15</v>
          </cell>
        </row>
        <row r="5820">
          <cell r="E5820" t="str">
            <v>D25016174</v>
          </cell>
          <cell r="F5820"/>
          <cell r="G5820">
            <v>250000000</v>
          </cell>
          <cell r="H5820" t="str">
            <v>Hendra</v>
          </cell>
          <cell r="I5820" t="str">
            <v>Tiya</v>
          </cell>
          <cell r="J5820"/>
          <cell r="K5820" t="str">
            <v>KU</v>
          </cell>
          <cell r="L5820" t="str">
            <v>NUSA05</v>
          </cell>
          <cell r="M5820" t="str">
            <v>Nusa Agro Makmur, CV</v>
          </cell>
          <cell r="N5820" t="str">
            <v>Nusa Agro Makmur, CV</v>
          </cell>
          <cell r="O5820" t="str">
            <v>Jl. Gerilyawan Abepura No.42, RT.002/RW.005 Awiyo Abepura</v>
          </cell>
          <cell r="P5820" t="str">
            <v>Jayapura - Papua</v>
          </cell>
          <cell r="Q5820" t="str">
            <v>Jl. Gerilyawan Abepura No.42, RT.002/RW.005 Awiyo Abepura</v>
          </cell>
          <cell r="R5820" t="str">
            <v>Jayapura - Papua</v>
          </cell>
          <cell r="S5820" t="str">
            <v>E Luar Pulau2</v>
          </cell>
          <cell r="T5820" t="str">
            <v>Non SE &amp; JSE</v>
          </cell>
          <cell r="U5820">
            <v>15</v>
          </cell>
        </row>
        <row r="5821">
          <cell r="E5821" t="str">
            <v>B25013960</v>
          </cell>
          <cell r="F5821"/>
          <cell r="G5821">
            <v>250000000</v>
          </cell>
          <cell r="H5821" t="str">
            <v>Hendra</v>
          </cell>
          <cell r="I5821" t="str">
            <v>Tiya</v>
          </cell>
          <cell r="J5821"/>
          <cell r="K5821" t="str">
            <v>KU</v>
          </cell>
          <cell r="L5821" t="str">
            <v>NUSA05</v>
          </cell>
          <cell r="M5821" t="str">
            <v>Nusa Agro Makmur, CV</v>
          </cell>
          <cell r="N5821" t="str">
            <v>Nusa Agro Makmur, CV</v>
          </cell>
          <cell r="O5821" t="str">
            <v>Jl. Gerilyawan Abepura No.42, RT.002/RW.005 Awiyo Abepura</v>
          </cell>
          <cell r="P5821" t="str">
            <v>Jayapura - Papua</v>
          </cell>
          <cell r="Q5821" t="str">
            <v>Jl. Gerilyawan Abepura No.42, RT.002/RW.005 Awiyo Abepura</v>
          </cell>
          <cell r="R5821" t="str">
            <v>Jayapura - Papua</v>
          </cell>
          <cell r="S5821" t="str">
            <v>E Luar Pulau2</v>
          </cell>
          <cell r="T5821" t="str">
            <v>Non SE &amp; JSE</v>
          </cell>
          <cell r="U5821">
            <v>15</v>
          </cell>
        </row>
        <row r="5822">
          <cell r="E5822" t="str">
            <v>B25010507</v>
          </cell>
          <cell r="F5822"/>
          <cell r="G5822">
            <v>1500000000</v>
          </cell>
          <cell r="H5822" t="str">
            <v>Hendra</v>
          </cell>
          <cell r="I5822" t="str">
            <v>Tiya</v>
          </cell>
          <cell r="J5822"/>
          <cell r="K5822" t="str">
            <v>KU</v>
          </cell>
          <cell r="L5822" t="str">
            <v>NUSA04</v>
          </cell>
          <cell r="M5822" t="str">
            <v>Nusa Tani</v>
          </cell>
          <cell r="N5822" t="str">
            <v>Nusa Agro Sejahtera, CV</v>
          </cell>
          <cell r="O5822" t="str">
            <v>Jl. Veteran Utara No.314, RT.004/RW.001 Maradekaya Selatan</v>
          </cell>
          <cell r="P5822" t="str">
            <v>Makassar</v>
          </cell>
          <cell r="Q5822" t="str">
            <v>Jl. Veteran Utara No.314, RT.004/RW.001 Maradekaya Selatan</v>
          </cell>
          <cell r="R5822" t="str">
            <v>Makassar</v>
          </cell>
          <cell r="S5822" t="str">
            <v>E Luar Pulau2</v>
          </cell>
          <cell r="T5822" t="str">
            <v>Non SE &amp; JSE</v>
          </cell>
          <cell r="U5822">
            <v>45</v>
          </cell>
        </row>
        <row r="5823">
          <cell r="E5823" t="str">
            <v>D24016641</v>
          </cell>
          <cell r="F5823"/>
          <cell r="G5823">
            <v>100000000</v>
          </cell>
          <cell r="H5823" t="str">
            <v>Hendra</v>
          </cell>
          <cell r="I5823" t="str">
            <v>Tiya</v>
          </cell>
          <cell r="J5823" t="str">
            <v>New 20/08/21</v>
          </cell>
          <cell r="K5823" t="str">
            <v>KU</v>
          </cell>
          <cell r="L5823" t="str">
            <v>NUSR01</v>
          </cell>
          <cell r="M5823" t="str">
            <v>Nusra Persada Agriculture</v>
          </cell>
          <cell r="N5823" t="str">
            <v>Ise Krisnadanu Aris</v>
          </cell>
          <cell r="O5823" t="str">
            <v>Bremono 11A, RT.002/RW.001, Kel. Danukusuman, Kec. Serengan</v>
          </cell>
          <cell r="P5823" t="str">
            <v>Surakarta</v>
          </cell>
          <cell r="Q5823" t="str">
            <v>Jl. Tgh Abdul Karim Kel. Gelogor, Kec. Kediri</v>
          </cell>
          <cell r="R5823" t="str">
            <v>Lombok Barat</v>
          </cell>
          <cell r="S5823" t="str">
            <v>E Luar Pulau2</v>
          </cell>
          <cell r="T5823" t="str">
            <v>Muhlisin</v>
          </cell>
          <cell r="U5823">
            <v>365</v>
          </cell>
        </row>
        <row r="5824">
          <cell r="E5824" t="str">
            <v>B25010877</v>
          </cell>
          <cell r="F5824"/>
          <cell r="G5824">
            <v>15000000</v>
          </cell>
          <cell r="H5824" t="str">
            <v>Reni</v>
          </cell>
          <cell r="I5824" t="str">
            <v>Farida</v>
          </cell>
          <cell r="J5824"/>
          <cell r="K5824" t="str">
            <v>KU</v>
          </cell>
          <cell r="L5824" t="str">
            <v>NYOT01</v>
          </cell>
          <cell r="M5824" t="str">
            <v>Nyoto Mandi</v>
          </cell>
          <cell r="N5824" t="str">
            <v>Nyoto</v>
          </cell>
          <cell r="O5824" t="str">
            <v>Jl. Mayor Purwadi RT. 04 RW. 01 Ds. Paron Kec. Bagor</v>
          </cell>
          <cell r="P5824" t="str">
            <v>Nganjuk</v>
          </cell>
          <cell r="Q5824" t="str">
            <v>Dsn. Paron, RT.004/RW.001 Kel. Paron, Kec. Bagor</v>
          </cell>
          <cell r="R5824" t="str">
            <v>Nganjuk</v>
          </cell>
          <cell r="S5824" t="str">
            <v>D Barat2</v>
          </cell>
          <cell r="T5824" t="str">
            <v>Dian</v>
          </cell>
          <cell r="U5824">
            <v>60</v>
          </cell>
        </row>
        <row r="5825">
          <cell r="E5825" t="str">
            <v>D25014950</v>
          </cell>
          <cell r="F5825"/>
          <cell r="G5825">
            <v>1000</v>
          </cell>
          <cell r="H5825" t="str">
            <v>Hendra</v>
          </cell>
          <cell r="I5825" t="str">
            <v>Tiya</v>
          </cell>
          <cell r="J5825" t="str">
            <v>New 17/07/24</v>
          </cell>
          <cell r="K5825" t="str">
            <v>KU</v>
          </cell>
          <cell r="L5825" t="str">
            <v>OATM01</v>
          </cell>
          <cell r="M5825" t="str">
            <v>Oat Mitoku Agrio, PT</v>
          </cell>
          <cell r="N5825" t="str">
            <v>Oat Mitoku Agrio, PT</v>
          </cell>
          <cell r="O5825" t="str">
            <v>Jl. Jababeka II D Blok C. 14-O, Jl. Jababeka II D Blok C. 14-O</v>
          </cell>
          <cell r="P5825" t="str">
            <v>Bekasi</v>
          </cell>
          <cell r="Q5825" t="str">
            <v>Jl. Jababeka II D Blok C. 14-O, Jl. Jababeka II D Blok C. 14-O</v>
          </cell>
          <cell r="R5825" t="str">
            <v>Bekasi</v>
          </cell>
          <cell r="S5825" t="str">
            <v>I Jabar Jateng</v>
          </cell>
          <cell r="T5825" t="str">
            <v>Non SE &amp; JSE</v>
          </cell>
          <cell r="U5825">
            <v>15</v>
          </cell>
        </row>
        <row r="5826">
          <cell r="E5826" t="str">
            <v>B25013684</v>
          </cell>
          <cell r="F5826"/>
          <cell r="G5826">
            <v>1000</v>
          </cell>
          <cell r="H5826" t="str">
            <v>Reni</v>
          </cell>
          <cell r="I5826" t="str">
            <v>Farida</v>
          </cell>
          <cell r="J5826" t="str">
            <v>New 30/03/24</v>
          </cell>
          <cell r="K5826" t="str">
            <v>CBD</v>
          </cell>
          <cell r="L5826" t="str">
            <v>OMAH01</v>
          </cell>
          <cell r="M5826" t="str">
            <v>Omah Tani/Agus</v>
          </cell>
          <cell r="N5826" t="str">
            <v>Agus Supriyanto</v>
          </cell>
          <cell r="O5826" t="str">
            <v>Bareng RT.002/RW.005, Kel. Sriwedari, Kec. Karanganyar</v>
          </cell>
          <cell r="P5826" t="str">
            <v>Ngawi</v>
          </cell>
          <cell r="Q5826" t="str">
            <v>Wonoboyo, Kel. Sriwedari, Kec. Karanganyar</v>
          </cell>
          <cell r="R5826" t="str">
            <v>Ngawi</v>
          </cell>
          <cell r="S5826" t="str">
            <v>D Barat2</v>
          </cell>
          <cell r="T5826" t="str">
            <v>Dian</v>
          </cell>
          <cell r="U5826">
            <v>0</v>
          </cell>
        </row>
        <row r="5827">
          <cell r="E5827" t="str">
            <v>T25001584</v>
          </cell>
          <cell r="F5827"/>
          <cell r="G5827">
            <v>1000</v>
          </cell>
          <cell r="H5827" t="str">
            <v>Reni</v>
          </cell>
          <cell r="I5827" t="str">
            <v>Farida</v>
          </cell>
          <cell r="J5827" t="str">
            <v>New 30/03/24</v>
          </cell>
          <cell r="K5827" t="str">
            <v>CBD</v>
          </cell>
          <cell r="L5827" t="str">
            <v>OMAH01</v>
          </cell>
          <cell r="M5827" t="str">
            <v>Omah Tani/Agus</v>
          </cell>
          <cell r="N5827" t="str">
            <v>Agus Supriyanto</v>
          </cell>
          <cell r="O5827" t="str">
            <v>Bareng RT.002/RW.005, Kel. Sriwedari, Kec. Karanganyar</v>
          </cell>
          <cell r="P5827" t="str">
            <v>Ngawi</v>
          </cell>
          <cell r="Q5827" t="str">
            <v>Wonoboyo, Kel. Sriwedari, Kec. Karanganyar</v>
          </cell>
          <cell r="R5827" t="str">
            <v>Ngawi</v>
          </cell>
          <cell r="S5827" t="str">
            <v>D Barat2</v>
          </cell>
          <cell r="T5827" t="str">
            <v>Dian</v>
          </cell>
          <cell r="U5827">
            <v>0</v>
          </cell>
        </row>
        <row r="5828">
          <cell r="E5828" t="str">
            <v>A25001791</v>
          </cell>
          <cell r="F5828"/>
          <cell r="G5828">
            <v>200000000</v>
          </cell>
          <cell r="H5828" t="str">
            <v>Sheila</v>
          </cell>
          <cell r="I5828" t="str">
            <v>Exclusive</v>
          </cell>
          <cell r="J5828" t="str">
            <v>New 24/06/25</v>
          </cell>
          <cell r="K5828" t="str">
            <v>KU</v>
          </cell>
          <cell r="L5828" t="str">
            <v>ONLI01</v>
          </cell>
          <cell r="M5828" t="str">
            <v>Online Shop Shopee</v>
          </cell>
          <cell r="N5828" t="str">
            <v>Online Shop Shopee</v>
          </cell>
          <cell r="O5828" t="str">
            <v>Karisma</v>
          </cell>
          <cell r="P5828" t="str">
            <v>Jember</v>
          </cell>
          <cell r="Q5828" t="str">
            <v>Karisma</v>
          </cell>
          <cell r="R5828" t="str">
            <v>Jember</v>
          </cell>
          <cell r="S5828" t="str">
            <v>L Kota1</v>
          </cell>
          <cell r="T5828" t="str">
            <v>Wira</v>
          </cell>
          <cell r="U5828">
            <v>0</v>
          </cell>
        </row>
        <row r="5829">
          <cell r="E5829" t="str">
            <v>A25001923</v>
          </cell>
          <cell r="F5829"/>
          <cell r="G5829">
            <v>200000000</v>
          </cell>
          <cell r="H5829" t="str">
            <v>Sheila</v>
          </cell>
          <cell r="I5829" t="str">
            <v>Exclusive</v>
          </cell>
          <cell r="J5829" t="str">
            <v>New 24/06/25</v>
          </cell>
          <cell r="K5829" t="str">
            <v>KU</v>
          </cell>
          <cell r="L5829" t="str">
            <v>ONLI01</v>
          </cell>
          <cell r="M5829" t="str">
            <v>Online Shop Shopee</v>
          </cell>
          <cell r="N5829" t="str">
            <v>Online Shop Shopee</v>
          </cell>
          <cell r="O5829" t="str">
            <v>Karisma</v>
          </cell>
          <cell r="P5829" t="str">
            <v>Jember</v>
          </cell>
          <cell r="Q5829" t="str">
            <v>Karisma</v>
          </cell>
          <cell r="R5829" t="str">
            <v>Jember</v>
          </cell>
          <cell r="S5829" t="str">
            <v>L Kota1</v>
          </cell>
          <cell r="T5829" t="str">
            <v>Wira</v>
          </cell>
          <cell r="U5829">
            <v>0</v>
          </cell>
        </row>
        <row r="5830">
          <cell r="E5830" t="str">
            <v>A25001923</v>
          </cell>
          <cell r="F5830"/>
          <cell r="G5830">
            <v>200000000</v>
          </cell>
          <cell r="H5830" t="str">
            <v>Sheila</v>
          </cell>
          <cell r="I5830" t="str">
            <v>Exclusive</v>
          </cell>
          <cell r="J5830" t="str">
            <v>New 24/06/25</v>
          </cell>
          <cell r="K5830" t="str">
            <v>KU</v>
          </cell>
          <cell r="L5830" t="str">
            <v>ONLI01</v>
          </cell>
          <cell r="M5830" t="str">
            <v>Online Shop Shopee</v>
          </cell>
          <cell r="N5830" t="str">
            <v>Online Shop Shopee</v>
          </cell>
          <cell r="O5830" t="str">
            <v>Karisma</v>
          </cell>
          <cell r="P5830" t="str">
            <v>Jember</v>
          </cell>
          <cell r="Q5830" t="str">
            <v>Karisma</v>
          </cell>
          <cell r="R5830" t="str">
            <v>Jember</v>
          </cell>
          <cell r="S5830" t="str">
            <v>L Kota1</v>
          </cell>
          <cell r="T5830" t="str">
            <v>Wira</v>
          </cell>
          <cell r="U5830">
            <v>0</v>
          </cell>
        </row>
        <row r="5831">
          <cell r="E5831" t="str">
            <v>A25001927</v>
          </cell>
          <cell r="F5831"/>
          <cell r="G5831">
            <v>200000000</v>
          </cell>
          <cell r="H5831" t="str">
            <v>Sheila</v>
          </cell>
          <cell r="I5831" t="str">
            <v>Exclusive</v>
          </cell>
          <cell r="J5831" t="str">
            <v>New 24/06/25</v>
          </cell>
          <cell r="K5831" t="str">
            <v>KU</v>
          </cell>
          <cell r="L5831" t="str">
            <v>ONLI01</v>
          </cell>
          <cell r="M5831" t="str">
            <v>Online Shop Shopee</v>
          </cell>
          <cell r="N5831" t="str">
            <v>Online Shop Shopee</v>
          </cell>
          <cell r="O5831" t="str">
            <v>Karisma</v>
          </cell>
          <cell r="P5831" t="str">
            <v>Jember</v>
          </cell>
          <cell r="Q5831" t="str">
            <v>Karisma</v>
          </cell>
          <cell r="R5831" t="str">
            <v>Jember</v>
          </cell>
          <cell r="S5831" t="str">
            <v>L Kota1</v>
          </cell>
          <cell r="T5831" t="str">
            <v>Wira</v>
          </cell>
          <cell r="U5831">
            <v>0</v>
          </cell>
        </row>
        <row r="5832">
          <cell r="E5832" t="str">
            <v>A25001927</v>
          </cell>
          <cell r="F5832"/>
          <cell r="G5832">
            <v>200000000</v>
          </cell>
          <cell r="H5832" t="str">
            <v>Sheila</v>
          </cell>
          <cell r="I5832" t="str">
            <v>Exclusive</v>
          </cell>
          <cell r="J5832" t="str">
            <v>New 24/06/25</v>
          </cell>
          <cell r="K5832" t="str">
            <v>KU</v>
          </cell>
          <cell r="L5832" t="str">
            <v>ONLI01</v>
          </cell>
          <cell r="M5832" t="str">
            <v>Online Shop Shopee</v>
          </cell>
          <cell r="N5832" t="str">
            <v>Online Shop Shopee</v>
          </cell>
          <cell r="O5832" t="str">
            <v>Karisma</v>
          </cell>
          <cell r="P5832" t="str">
            <v>Jember</v>
          </cell>
          <cell r="Q5832" t="str">
            <v>Karisma</v>
          </cell>
          <cell r="R5832" t="str">
            <v>Jember</v>
          </cell>
          <cell r="S5832" t="str">
            <v>L Kota1</v>
          </cell>
          <cell r="T5832" t="str">
            <v>Wira</v>
          </cell>
          <cell r="U5832">
            <v>0</v>
          </cell>
        </row>
        <row r="5833">
          <cell r="E5833" t="str">
            <v>A25001935</v>
          </cell>
          <cell r="F5833"/>
          <cell r="G5833">
            <v>200000000</v>
          </cell>
          <cell r="H5833" t="str">
            <v>Sheila</v>
          </cell>
          <cell r="I5833" t="str">
            <v>Exclusive</v>
          </cell>
          <cell r="J5833" t="str">
            <v>New 24/06/25</v>
          </cell>
          <cell r="K5833" t="str">
            <v>KU</v>
          </cell>
          <cell r="L5833" t="str">
            <v>ONLI01</v>
          </cell>
          <cell r="M5833" t="str">
            <v>Online Shop Shopee</v>
          </cell>
          <cell r="N5833" t="str">
            <v>Online Shop Shopee</v>
          </cell>
          <cell r="O5833" t="str">
            <v>Karisma</v>
          </cell>
          <cell r="P5833" t="str">
            <v>Jember</v>
          </cell>
          <cell r="Q5833" t="str">
            <v>Karisma</v>
          </cell>
          <cell r="R5833" t="str">
            <v>Jember</v>
          </cell>
          <cell r="S5833" t="str">
            <v>L Kota1</v>
          </cell>
          <cell r="T5833" t="str">
            <v>Wira</v>
          </cell>
          <cell r="U5833">
            <v>0</v>
          </cell>
        </row>
        <row r="5834">
          <cell r="E5834" t="str">
            <v>A25001935</v>
          </cell>
          <cell r="F5834"/>
          <cell r="G5834">
            <v>200000000</v>
          </cell>
          <cell r="H5834" t="str">
            <v>Sheila</v>
          </cell>
          <cell r="I5834" t="str">
            <v>Exclusive</v>
          </cell>
          <cell r="J5834" t="str">
            <v>New 24/06/25</v>
          </cell>
          <cell r="K5834" t="str">
            <v>KU</v>
          </cell>
          <cell r="L5834" t="str">
            <v>ONLI01</v>
          </cell>
          <cell r="M5834" t="str">
            <v>Online Shop Shopee</v>
          </cell>
          <cell r="N5834" t="str">
            <v>Online Shop Shopee</v>
          </cell>
          <cell r="O5834" t="str">
            <v>Karisma</v>
          </cell>
          <cell r="P5834" t="str">
            <v>Jember</v>
          </cell>
          <cell r="Q5834" t="str">
            <v>Karisma</v>
          </cell>
          <cell r="R5834" t="str">
            <v>Jember</v>
          </cell>
          <cell r="S5834" t="str">
            <v>L Kota1</v>
          </cell>
          <cell r="T5834" t="str">
            <v>Wira</v>
          </cell>
          <cell r="U5834">
            <v>0</v>
          </cell>
        </row>
        <row r="5835">
          <cell r="E5835" t="str">
            <v>A25001943</v>
          </cell>
          <cell r="F5835"/>
          <cell r="G5835">
            <v>200000000</v>
          </cell>
          <cell r="H5835" t="str">
            <v>Sheila</v>
          </cell>
          <cell r="I5835" t="str">
            <v>Exclusive</v>
          </cell>
          <cell r="J5835" t="str">
            <v>New 24/06/25</v>
          </cell>
          <cell r="K5835" t="str">
            <v>KU</v>
          </cell>
          <cell r="L5835" t="str">
            <v>ONLI01</v>
          </cell>
          <cell r="M5835" t="str">
            <v>Online Shop Shopee</v>
          </cell>
          <cell r="N5835" t="str">
            <v>Online Shop Shopee</v>
          </cell>
          <cell r="O5835" t="str">
            <v>Karisma</v>
          </cell>
          <cell r="P5835" t="str">
            <v>Jember</v>
          </cell>
          <cell r="Q5835" t="str">
            <v>Karisma</v>
          </cell>
          <cell r="R5835" t="str">
            <v>Jember</v>
          </cell>
          <cell r="S5835" t="str">
            <v>L Kota1</v>
          </cell>
          <cell r="T5835" t="str">
            <v>Wira</v>
          </cell>
          <cell r="U5835">
            <v>0</v>
          </cell>
        </row>
        <row r="5836">
          <cell r="E5836" t="str">
            <v>A25001943</v>
          </cell>
          <cell r="F5836"/>
          <cell r="G5836">
            <v>200000000</v>
          </cell>
          <cell r="H5836" t="str">
            <v>Sheila</v>
          </cell>
          <cell r="I5836" t="str">
            <v>Exclusive</v>
          </cell>
          <cell r="J5836" t="str">
            <v>New 24/06/25</v>
          </cell>
          <cell r="K5836" t="str">
            <v>KU</v>
          </cell>
          <cell r="L5836" t="str">
            <v>ONLI01</v>
          </cell>
          <cell r="M5836" t="str">
            <v>Online Shop Shopee</v>
          </cell>
          <cell r="N5836" t="str">
            <v>Online Shop Shopee</v>
          </cell>
          <cell r="O5836" t="str">
            <v>Karisma</v>
          </cell>
          <cell r="P5836" t="str">
            <v>Jember</v>
          </cell>
          <cell r="Q5836" t="str">
            <v>Karisma</v>
          </cell>
          <cell r="R5836" t="str">
            <v>Jember</v>
          </cell>
          <cell r="S5836" t="str">
            <v>L Kota1</v>
          </cell>
          <cell r="T5836" t="str">
            <v>Wira</v>
          </cell>
          <cell r="U5836">
            <v>0</v>
          </cell>
        </row>
        <row r="5837">
          <cell r="E5837" t="str">
            <v>A25001944</v>
          </cell>
          <cell r="F5837"/>
          <cell r="G5837">
            <v>200000000</v>
          </cell>
          <cell r="H5837" t="str">
            <v>Sheila</v>
          </cell>
          <cell r="I5837" t="str">
            <v>Exclusive</v>
          </cell>
          <cell r="J5837" t="str">
            <v>New 24/06/25</v>
          </cell>
          <cell r="K5837" t="str">
            <v>KU</v>
          </cell>
          <cell r="L5837" t="str">
            <v>ONLI01</v>
          </cell>
          <cell r="M5837" t="str">
            <v>Online Shop Shopee</v>
          </cell>
          <cell r="N5837" t="str">
            <v>Online Shop Shopee</v>
          </cell>
          <cell r="O5837" t="str">
            <v>Karisma</v>
          </cell>
          <cell r="P5837" t="str">
            <v>Jember</v>
          </cell>
          <cell r="Q5837" t="str">
            <v>Karisma</v>
          </cell>
          <cell r="R5837" t="str">
            <v>Jember</v>
          </cell>
          <cell r="S5837" t="str">
            <v>L Kota1</v>
          </cell>
          <cell r="T5837" t="str">
            <v>Wira</v>
          </cell>
          <cell r="U5837">
            <v>0</v>
          </cell>
        </row>
        <row r="5838">
          <cell r="E5838" t="str">
            <v>A25001944</v>
          </cell>
          <cell r="F5838"/>
          <cell r="G5838">
            <v>200000000</v>
          </cell>
          <cell r="H5838" t="str">
            <v>Sheila</v>
          </cell>
          <cell r="I5838" t="str">
            <v>Exclusive</v>
          </cell>
          <cell r="J5838" t="str">
            <v>New 24/06/25</v>
          </cell>
          <cell r="K5838" t="str">
            <v>KU</v>
          </cell>
          <cell r="L5838" t="str">
            <v>ONLI01</v>
          </cell>
          <cell r="M5838" t="str">
            <v>Online Shop Shopee</v>
          </cell>
          <cell r="N5838" t="str">
            <v>Online Shop Shopee</v>
          </cell>
          <cell r="O5838" t="str">
            <v>Karisma</v>
          </cell>
          <cell r="P5838" t="str">
            <v>Jember</v>
          </cell>
          <cell r="Q5838" t="str">
            <v>Karisma</v>
          </cell>
          <cell r="R5838" t="str">
            <v>Jember</v>
          </cell>
          <cell r="S5838" t="str">
            <v>L Kota1</v>
          </cell>
          <cell r="T5838" t="str">
            <v>Wira</v>
          </cell>
          <cell r="U5838">
            <v>0</v>
          </cell>
        </row>
        <row r="5839">
          <cell r="E5839" t="str">
            <v>A25001945</v>
          </cell>
          <cell r="F5839"/>
          <cell r="G5839">
            <v>200000000</v>
          </cell>
          <cell r="H5839" t="str">
            <v>Sheila</v>
          </cell>
          <cell r="I5839" t="str">
            <v>Exclusive</v>
          </cell>
          <cell r="J5839" t="str">
            <v>New 24/06/25</v>
          </cell>
          <cell r="K5839" t="str">
            <v>KU</v>
          </cell>
          <cell r="L5839" t="str">
            <v>ONLI01</v>
          </cell>
          <cell r="M5839" t="str">
            <v>Online Shop Shopee</v>
          </cell>
          <cell r="N5839" t="str">
            <v>Online Shop Shopee</v>
          </cell>
          <cell r="O5839" t="str">
            <v>Karisma</v>
          </cell>
          <cell r="P5839" t="str">
            <v>Jember</v>
          </cell>
          <cell r="Q5839" t="str">
            <v>Karisma</v>
          </cell>
          <cell r="R5839" t="str">
            <v>Jember</v>
          </cell>
          <cell r="S5839" t="str">
            <v>L Kota1</v>
          </cell>
          <cell r="T5839" t="str">
            <v>Wira</v>
          </cell>
          <cell r="U5839">
            <v>0</v>
          </cell>
        </row>
        <row r="5840">
          <cell r="E5840" t="str">
            <v>A25001945</v>
          </cell>
          <cell r="F5840"/>
          <cell r="G5840">
            <v>200000000</v>
          </cell>
          <cell r="H5840" t="str">
            <v>Sheila</v>
          </cell>
          <cell r="I5840" t="str">
            <v>Exclusive</v>
          </cell>
          <cell r="J5840" t="str">
            <v>New 24/06/25</v>
          </cell>
          <cell r="K5840" t="str">
            <v>KU</v>
          </cell>
          <cell r="L5840" t="str">
            <v>ONLI01</v>
          </cell>
          <cell r="M5840" t="str">
            <v>Online Shop Shopee</v>
          </cell>
          <cell r="N5840" t="str">
            <v>Online Shop Shopee</v>
          </cell>
          <cell r="O5840" t="str">
            <v>Karisma</v>
          </cell>
          <cell r="P5840" t="str">
            <v>Jember</v>
          </cell>
          <cell r="Q5840" t="str">
            <v>Karisma</v>
          </cell>
          <cell r="R5840" t="str">
            <v>Jember</v>
          </cell>
          <cell r="S5840" t="str">
            <v>L Kota1</v>
          </cell>
          <cell r="T5840" t="str">
            <v>Wira</v>
          </cell>
          <cell r="U5840">
            <v>0</v>
          </cell>
        </row>
        <row r="5841">
          <cell r="E5841" t="str">
            <v>A25001946</v>
          </cell>
          <cell r="F5841"/>
          <cell r="G5841">
            <v>200000000</v>
          </cell>
          <cell r="H5841" t="str">
            <v>Sheila</v>
          </cell>
          <cell r="I5841" t="str">
            <v>Exclusive</v>
          </cell>
          <cell r="J5841" t="str">
            <v>New 24/06/25</v>
          </cell>
          <cell r="K5841" t="str">
            <v>KU</v>
          </cell>
          <cell r="L5841" t="str">
            <v>ONLI01</v>
          </cell>
          <cell r="M5841" t="str">
            <v>Online Shop Shopee</v>
          </cell>
          <cell r="N5841" t="str">
            <v>Online Shop Shopee</v>
          </cell>
          <cell r="O5841" t="str">
            <v>Karisma</v>
          </cell>
          <cell r="P5841" t="str">
            <v>Jember</v>
          </cell>
          <cell r="Q5841" t="str">
            <v>Karisma</v>
          </cell>
          <cell r="R5841" t="str">
            <v>Jember</v>
          </cell>
          <cell r="S5841" t="str">
            <v>L Kota1</v>
          </cell>
          <cell r="T5841" t="str">
            <v>Wira</v>
          </cell>
          <cell r="U5841">
            <v>0</v>
          </cell>
        </row>
        <row r="5842">
          <cell r="E5842" t="str">
            <v>A25001946</v>
          </cell>
          <cell r="F5842"/>
          <cell r="G5842">
            <v>200000000</v>
          </cell>
          <cell r="H5842" t="str">
            <v>Sheila</v>
          </cell>
          <cell r="I5842" t="str">
            <v>Exclusive</v>
          </cell>
          <cell r="J5842" t="str">
            <v>New 24/06/25</v>
          </cell>
          <cell r="K5842" t="str">
            <v>KU</v>
          </cell>
          <cell r="L5842" t="str">
            <v>ONLI01</v>
          </cell>
          <cell r="M5842" t="str">
            <v>Online Shop Shopee</v>
          </cell>
          <cell r="N5842" t="str">
            <v>Online Shop Shopee</v>
          </cell>
          <cell r="O5842" t="str">
            <v>Karisma</v>
          </cell>
          <cell r="P5842" t="str">
            <v>Jember</v>
          </cell>
          <cell r="Q5842" t="str">
            <v>Karisma</v>
          </cell>
          <cell r="R5842" t="str">
            <v>Jember</v>
          </cell>
          <cell r="S5842" t="str">
            <v>L Kota1</v>
          </cell>
          <cell r="T5842" t="str">
            <v>Wira</v>
          </cell>
          <cell r="U5842">
            <v>0</v>
          </cell>
        </row>
        <row r="5843">
          <cell r="E5843" t="str">
            <v>A25001948</v>
          </cell>
          <cell r="F5843"/>
          <cell r="G5843">
            <v>200000000</v>
          </cell>
          <cell r="H5843" t="str">
            <v>Sheila</v>
          </cell>
          <cell r="I5843" t="str">
            <v>Exclusive</v>
          </cell>
          <cell r="J5843" t="str">
            <v>New 24/06/25</v>
          </cell>
          <cell r="K5843" t="str">
            <v>KU</v>
          </cell>
          <cell r="L5843" t="str">
            <v>ONLI01</v>
          </cell>
          <cell r="M5843" t="str">
            <v>Online Shop Shopee</v>
          </cell>
          <cell r="N5843" t="str">
            <v>Online Shop Shopee</v>
          </cell>
          <cell r="O5843" t="str">
            <v>Karisma</v>
          </cell>
          <cell r="P5843" t="str">
            <v>Jember</v>
          </cell>
          <cell r="Q5843" t="str">
            <v>Karisma</v>
          </cell>
          <cell r="R5843" t="str">
            <v>Jember</v>
          </cell>
          <cell r="S5843" t="str">
            <v>L Kota1</v>
          </cell>
          <cell r="T5843" t="str">
            <v>Wira</v>
          </cell>
          <cell r="U5843">
            <v>0</v>
          </cell>
        </row>
        <row r="5844">
          <cell r="E5844" t="str">
            <v>A25001948</v>
          </cell>
          <cell r="F5844"/>
          <cell r="G5844">
            <v>200000000</v>
          </cell>
          <cell r="H5844" t="str">
            <v>Sheila</v>
          </cell>
          <cell r="I5844" t="str">
            <v>Exclusive</v>
          </cell>
          <cell r="J5844" t="str">
            <v>New 24/06/25</v>
          </cell>
          <cell r="K5844" t="str">
            <v>KU</v>
          </cell>
          <cell r="L5844" t="str">
            <v>ONLI01</v>
          </cell>
          <cell r="M5844" t="str">
            <v>Online Shop Shopee</v>
          </cell>
          <cell r="N5844" t="str">
            <v>Online Shop Shopee</v>
          </cell>
          <cell r="O5844" t="str">
            <v>Karisma</v>
          </cell>
          <cell r="P5844" t="str">
            <v>Jember</v>
          </cell>
          <cell r="Q5844" t="str">
            <v>Karisma</v>
          </cell>
          <cell r="R5844" t="str">
            <v>Jember</v>
          </cell>
          <cell r="S5844" t="str">
            <v>L Kota1</v>
          </cell>
          <cell r="T5844" t="str">
            <v>Wira</v>
          </cell>
          <cell r="U5844">
            <v>0</v>
          </cell>
        </row>
        <row r="5845">
          <cell r="E5845" t="str">
            <v>A25001949</v>
          </cell>
          <cell r="F5845"/>
          <cell r="G5845">
            <v>200000000</v>
          </cell>
          <cell r="H5845" t="str">
            <v>Sheila</v>
          </cell>
          <cell r="I5845" t="str">
            <v>Exclusive</v>
          </cell>
          <cell r="J5845" t="str">
            <v>New 24/06/25</v>
          </cell>
          <cell r="K5845" t="str">
            <v>KU</v>
          </cell>
          <cell r="L5845" t="str">
            <v>ONLI01</v>
          </cell>
          <cell r="M5845" t="str">
            <v>Online Shop Shopee</v>
          </cell>
          <cell r="N5845" t="str">
            <v>Online Shop Shopee</v>
          </cell>
          <cell r="O5845" t="str">
            <v>Karisma</v>
          </cell>
          <cell r="P5845" t="str">
            <v>Jember</v>
          </cell>
          <cell r="Q5845" t="str">
            <v>Karisma</v>
          </cell>
          <cell r="R5845" t="str">
            <v>Jember</v>
          </cell>
          <cell r="S5845" t="str">
            <v>L Kota1</v>
          </cell>
          <cell r="T5845" t="str">
            <v>Wira</v>
          </cell>
          <cell r="U5845">
            <v>0</v>
          </cell>
        </row>
        <row r="5846">
          <cell r="E5846" t="str">
            <v>A25001949</v>
          </cell>
          <cell r="F5846"/>
          <cell r="G5846">
            <v>200000000</v>
          </cell>
          <cell r="H5846" t="str">
            <v>Sheila</v>
          </cell>
          <cell r="I5846" t="str">
            <v>Exclusive</v>
          </cell>
          <cell r="J5846" t="str">
            <v>New 24/06/25</v>
          </cell>
          <cell r="K5846" t="str">
            <v>KU</v>
          </cell>
          <cell r="L5846" t="str">
            <v>ONLI01</v>
          </cell>
          <cell r="M5846" t="str">
            <v>Online Shop Shopee</v>
          </cell>
          <cell r="N5846" t="str">
            <v>Online Shop Shopee</v>
          </cell>
          <cell r="O5846" t="str">
            <v>Karisma</v>
          </cell>
          <cell r="P5846" t="str">
            <v>Jember</v>
          </cell>
          <cell r="Q5846" t="str">
            <v>Karisma</v>
          </cell>
          <cell r="R5846" t="str">
            <v>Jember</v>
          </cell>
          <cell r="S5846" t="str">
            <v>L Kota1</v>
          </cell>
          <cell r="T5846" t="str">
            <v>Wira</v>
          </cell>
          <cell r="U5846">
            <v>0</v>
          </cell>
        </row>
        <row r="5847">
          <cell r="E5847" t="str">
            <v>A25001955</v>
          </cell>
          <cell r="F5847"/>
          <cell r="G5847">
            <v>200000000</v>
          </cell>
          <cell r="H5847" t="str">
            <v>Sheila</v>
          </cell>
          <cell r="I5847" t="str">
            <v>Exclusive</v>
          </cell>
          <cell r="J5847" t="str">
            <v>New 24/06/25</v>
          </cell>
          <cell r="K5847" t="str">
            <v>KU</v>
          </cell>
          <cell r="L5847" t="str">
            <v>ONLI01</v>
          </cell>
          <cell r="M5847" t="str">
            <v>Online Shop Shopee</v>
          </cell>
          <cell r="N5847" t="str">
            <v>Online Shop Shopee</v>
          </cell>
          <cell r="O5847" t="str">
            <v>Karisma</v>
          </cell>
          <cell r="P5847" t="str">
            <v>Jember</v>
          </cell>
          <cell r="Q5847" t="str">
            <v>Karisma</v>
          </cell>
          <cell r="R5847" t="str">
            <v>Jember</v>
          </cell>
          <cell r="S5847" t="str">
            <v>L Kota1</v>
          </cell>
          <cell r="T5847" t="str">
            <v>Wira</v>
          </cell>
          <cell r="U5847">
            <v>0</v>
          </cell>
        </row>
        <row r="5848">
          <cell r="E5848" t="str">
            <v>A25001955</v>
          </cell>
          <cell r="F5848"/>
          <cell r="G5848">
            <v>200000000</v>
          </cell>
          <cell r="H5848" t="str">
            <v>Sheila</v>
          </cell>
          <cell r="I5848" t="str">
            <v>Exclusive</v>
          </cell>
          <cell r="J5848" t="str">
            <v>New 24/06/25</v>
          </cell>
          <cell r="K5848" t="str">
            <v>KU</v>
          </cell>
          <cell r="L5848" t="str">
            <v>ONLI01</v>
          </cell>
          <cell r="M5848" t="str">
            <v>Online Shop Shopee</v>
          </cell>
          <cell r="N5848" t="str">
            <v>Online Shop Shopee</v>
          </cell>
          <cell r="O5848" t="str">
            <v>Karisma</v>
          </cell>
          <cell r="P5848" t="str">
            <v>Jember</v>
          </cell>
          <cell r="Q5848" t="str">
            <v>Karisma</v>
          </cell>
          <cell r="R5848" t="str">
            <v>Jember</v>
          </cell>
          <cell r="S5848" t="str">
            <v>L Kota1</v>
          </cell>
          <cell r="T5848" t="str">
            <v>Wira</v>
          </cell>
          <cell r="U5848">
            <v>0</v>
          </cell>
        </row>
        <row r="5849">
          <cell r="E5849" t="str">
            <v>A25001956</v>
          </cell>
          <cell r="F5849"/>
          <cell r="G5849">
            <v>200000000</v>
          </cell>
          <cell r="H5849" t="str">
            <v>Sheila</v>
          </cell>
          <cell r="I5849" t="str">
            <v>Exclusive</v>
          </cell>
          <cell r="J5849" t="str">
            <v>New 24/06/25</v>
          </cell>
          <cell r="K5849" t="str">
            <v>KU</v>
          </cell>
          <cell r="L5849" t="str">
            <v>ONLI01</v>
          </cell>
          <cell r="M5849" t="str">
            <v>Online Shop Shopee</v>
          </cell>
          <cell r="N5849" t="str">
            <v>Online Shop Shopee</v>
          </cell>
          <cell r="O5849" t="str">
            <v>Karisma</v>
          </cell>
          <cell r="P5849" t="str">
            <v>Jember</v>
          </cell>
          <cell r="Q5849" t="str">
            <v>Karisma</v>
          </cell>
          <cell r="R5849" t="str">
            <v>Jember</v>
          </cell>
          <cell r="S5849" t="str">
            <v>L Kota1</v>
          </cell>
          <cell r="T5849" t="str">
            <v>Wira</v>
          </cell>
          <cell r="U5849">
            <v>0</v>
          </cell>
        </row>
        <row r="5850">
          <cell r="E5850" t="str">
            <v>A25001956</v>
          </cell>
          <cell r="F5850"/>
          <cell r="G5850">
            <v>200000000</v>
          </cell>
          <cell r="H5850" t="str">
            <v>Sheila</v>
          </cell>
          <cell r="I5850" t="str">
            <v>Exclusive</v>
          </cell>
          <cell r="J5850" t="str">
            <v>New 24/06/25</v>
          </cell>
          <cell r="K5850" t="str">
            <v>KU</v>
          </cell>
          <cell r="L5850" t="str">
            <v>ONLI01</v>
          </cell>
          <cell r="M5850" t="str">
            <v>Online Shop Shopee</v>
          </cell>
          <cell r="N5850" t="str">
            <v>Online Shop Shopee</v>
          </cell>
          <cell r="O5850" t="str">
            <v>Karisma</v>
          </cell>
          <cell r="P5850" t="str">
            <v>Jember</v>
          </cell>
          <cell r="Q5850" t="str">
            <v>Karisma</v>
          </cell>
          <cell r="R5850" t="str">
            <v>Jember</v>
          </cell>
          <cell r="S5850" t="str">
            <v>L Kota1</v>
          </cell>
          <cell r="T5850" t="str">
            <v>Wira</v>
          </cell>
          <cell r="U5850">
            <v>0</v>
          </cell>
        </row>
        <row r="5851">
          <cell r="E5851" t="str">
            <v>A25001957</v>
          </cell>
          <cell r="F5851"/>
          <cell r="G5851">
            <v>200000000</v>
          </cell>
          <cell r="H5851" t="str">
            <v>Sheila</v>
          </cell>
          <cell r="I5851" t="str">
            <v>Exclusive</v>
          </cell>
          <cell r="J5851" t="str">
            <v>New 24/06/25</v>
          </cell>
          <cell r="K5851" t="str">
            <v>KU</v>
          </cell>
          <cell r="L5851" t="str">
            <v>ONLI01</v>
          </cell>
          <cell r="M5851" t="str">
            <v>Online Shop Shopee</v>
          </cell>
          <cell r="N5851" t="str">
            <v>Online Shop Shopee</v>
          </cell>
          <cell r="O5851" t="str">
            <v>Karisma</v>
          </cell>
          <cell r="P5851" t="str">
            <v>Jember</v>
          </cell>
          <cell r="Q5851" t="str">
            <v>Karisma</v>
          </cell>
          <cell r="R5851" t="str">
            <v>Jember</v>
          </cell>
          <cell r="S5851" t="str">
            <v>L Kota1</v>
          </cell>
          <cell r="T5851" t="str">
            <v>Wira</v>
          </cell>
          <cell r="U5851">
            <v>0</v>
          </cell>
        </row>
        <row r="5852">
          <cell r="E5852" t="str">
            <v>A25001957</v>
          </cell>
          <cell r="F5852"/>
          <cell r="G5852">
            <v>200000000</v>
          </cell>
          <cell r="H5852" t="str">
            <v>Sheila</v>
          </cell>
          <cell r="I5852" t="str">
            <v>Exclusive</v>
          </cell>
          <cell r="J5852" t="str">
            <v>New 24/06/25</v>
          </cell>
          <cell r="K5852" t="str">
            <v>KU</v>
          </cell>
          <cell r="L5852" t="str">
            <v>ONLI01</v>
          </cell>
          <cell r="M5852" t="str">
            <v>Online Shop Shopee</v>
          </cell>
          <cell r="N5852" t="str">
            <v>Online Shop Shopee</v>
          </cell>
          <cell r="O5852" t="str">
            <v>Karisma</v>
          </cell>
          <cell r="P5852" t="str">
            <v>Jember</v>
          </cell>
          <cell r="Q5852" t="str">
            <v>Karisma</v>
          </cell>
          <cell r="R5852" t="str">
            <v>Jember</v>
          </cell>
          <cell r="S5852" t="str">
            <v>L Kota1</v>
          </cell>
          <cell r="T5852" t="str">
            <v>Wira</v>
          </cell>
          <cell r="U5852">
            <v>0</v>
          </cell>
        </row>
        <row r="5853">
          <cell r="E5853" t="str">
            <v>A25001959</v>
          </cell>
          <cell r="F5853"/>
          <cell r="G5853">
            <v>200000000</v>
          </cell>
          <cell r="H5853" t="str">
            <v>Sheila</v>
          </cell>
          <cell r="I5853" t="str">
            <v>Exclusive</v>
          </cell>
          <cell r="J5853" t="str">
            <v>New 24/06/25</v>
          </cell>
          <cell r="K5853" t="str">
            <v>KU</v>
          </cell>
          <cell r="L5853" t="str">
            <v>ONLI01</v>
          </cell>
          <cell r="M5853" t="str">
            <v>Online Shop Shopee</v>
          </cell>
          <cell r="N5853" t="str">
            <v>Online Shop Shopee</v>
          </cell>
          <cell r="O5853" t="str">
            <v>Karisma</v>
          </cell>
          <cell r="P5853" t="str">
            <v>Jember</v>
          </cell>
          <cell r="Q5853" t="str">
            <v>Karisma</v>
          </cell>
          <cell r="R5853" t="str">
            <v>Jember</v>
          </cell>
          <cell r="S5853" t="str">
            <v>L Kota1</v>
          </cell>
          <cell r="T5853" t="str">
            <v>Wira</v>
          </cell>
          <cell r="U5853">
            <v>0</v>
          </cell>
        </row>
        <row r="5854">
          <cell r="E5854" t="str">
            <v>A25001959</v>
          </cell>
          <cell r="F5854"/>
          <cell r="G5854">
            <v>200000000</v>
          </cell>
          <cell r="H5854" t="str">
            <v>Sheila</v>
          </cell>
          <cell r="I5854" t="str">
            <v>Exclusive</v>
          </cell>
          <cell r="J5854" t="str">
            <v>New 24/06/25</v>
          </cell>
          <cell r="K5854" t="str">
            <v>KU</v>
          </cell>
          <cell r="L5854" t="str">
            <v>ONLI01</v>
          </cell>
          <cell r="M5854" t="str">
            <v>Online Shop Shopee</v>
          </cell>
          <cell r="N5854" t="str">
            <v>Online Shop Shopee</v>
          </cell>
          <cell r="O5854" t="str">
            <v>Karisma</v>
          </cell>
          <cell r="P5854" t="str">
            <v>Jember</v>
          </cell>
          <cell r="Q5854" t="str">
            <v>Karisma</v>
          </cell>
          <cell r="R5854" t="str">
            <v>Jember</v>
          </cell>
          <cell r="S5854" t="str">
            <v>L Kota1</v>
          </cell>
          <cell r="T5854" t="str">
            <v>Wira</v>
          </cell>
          <cell r="U5854">
            <v>0</v>
          </cell>
        </row>
        <row r="5855">
          <cell r="E5855" t="str">
            <v>A25001960</v>
          </cell>
          <cell r="F5855"/>
          <cell r="G5855">
            <v>200000000</v>
          </cell>
          <cell r="H5855" t="str">
            <v>Sheila</v>
          </cell>
          <cell r="I5855" t="str">
            <v>Exclusive</v>
          </cell>
          <cell r="J5855" t="str">
            <v>New 24/06/25</v>
          </cell>
          <cell r="K5855" t="str">
            <v>KU</v>
          </cell>
          <cell r="L5855" t="str">
            <v>ONLI01</v>
          </cell>
          <cell r="M5855" t="str">
            <v>Online Shop Shopee</v>
          </cell>
          <cell r="N5855" t="str">
            <v>Online Shop Shopee</v>
          </cell>
          <cell r="O5855" t="str">
            <v>Karisma</v>
          </cell>
          <cell r="P5855" t="str">
            <v>Jember</v>
          </cell>
          <cell r="Q5855" t="str">
            <v>Karisma</v>
          </cell>
          <cell r="R5855" t="str">
            <v>Jember</v>
          </cell>
          <cell r="S5855" t="str">
            <v>L Kota1</v>
          </cell>
          <cell r="T5855" t="str">
            <v>Wira</v>
          </cell>
          <cell r="U5855">
            <v>0</v>
          </cell>
        </row>
        <row r="5856">
          <cell r="E5856" t="str">
            <v>A25001960</v>
          </cell>
          <cell r="F5856"/>
          <cell r="G5856">
            <v>200000000</v>
          </cell>
          <cell r="H5856" t="str">
            <v>Sheila</v>
          </cell>
          <cell r="I5856" t="str">
            <v>Exclusive</v>
          </cell>
          <cell r="J5856" t="str">
            <v>New 24/06/25</v>
          </cell>
          <cell r="K5856" t="str">
            <v>KU</v>
          </cell>
          <cell r="L5856" t="str">
            <v>ONLI01</v>
          </cell>
          <cell r="M5856" t="str">
            <v>Online Shop Shopee</v>
          </cell>
          <cell r="N5856" t="str">
            <v>Online Shop Shopee</v>
          </cell>
          <cell r="O5856" t="str">
            <v>Karisma</v>
          </cell>
          <cell r="P5856" t="str">
            <v>Jember</v>
          </cell>
          <cell r="Q5856" t="str">
            <v>Karisma</v>
          </cell>
          <cell r="R5856" t="str">
            <v>Jember</v>
          </cell>
          <cell r="S5856" t="str">
            <v>L Kota1</v>
          </cell>
          <cell r="T5856" t="str">
            <v>Wira</v>
          </cell>
          <cell r="U5856">
            <v>0</v>
          </cell>
        </row>
        <row r="5857">
          <cell r="E5857" t="str">
            <v>A25001961</v>
          </cell>
          <cell r="F5857"/>
          <cell r="G5857">
            <v>200000000</v>
          </cell>
          <cell r="H5857" t="str">
            <v>Sheila</v>
          </cell>
          <cell r="I5857" t="str">
            <v>Exclusive</v>
          </cell>
          <cell r="J5857" t="str">
            <v>New 24/06/25</v>
          </cell>
          <cell r="K5857" t="str">
            <v>KU</v>
          </cell>
          <cell r="L5857" t="str">
            <v>ONLI01</v>
          </cell>
          <cell r="M5857" t="str">
            <v>Online Shop Shopee</v>
          </cell>
          <cell r="N5857" t="str">
            <v>Online Shop Shopee</v>
          </cell>
          <cell r="O5857" t="str">
            <v>Karisma</v>
          </cell>
          <cell r="P5857" t="str">
            <v>Jember</v>
          </cell>
          <cell r="Q5857" t="str">
            <v>Karisma</v>
          </cell>
          <cell r="R5857" t="str">
            <v>Jember</v>
          </cell>
          <cell r="S5857" t="str">
            <v>L Kota1</v>
          </cell>
          <cell r="T5857" t="str">
            <v>Wira</v>
          </cell>
          <cell r="U5857">
            <v>0</v>
          </cell>
        </row>
        <row r="5858">
          <cell r="E5858" t="str">
            <v>A25001961</v>
          </cell>
          <cell r="F5858"/>
          <cell r="G5858">
            <v>200000000</v>
          </cell>
          <cell r="H5858" t="str">
            <v>Sheila</v>
          </cell>
          <cell r="I5858" t="str">
            <v>Exclusive</v>
          </cell>
          <cell r="J5858" t="str">
            <v>New 24/06/25</v>
          </cell>
          <cell r="K5858" t="str">
            <v>KU</v>
          </cell>
          <cell r="L5858" t="str">
            <v>ONLI01</v>
          </cell>
          <cell r="M5858" t="str">
            <v>Online Shop Shopee</v>
          </cell>
          <cell r="N5858" t="str">
            <v>Online Shop Shopee</v>
          </cell>
          <cell r="O5858" t="str">
            <v>Karisma</v>
          </cell>
          <cell r="P5858" t="str">
            <v>Jember</v>
          </cell>
          <cell r="Q5858" t="str">
            <v>Karisma</v>
          </cell>
          <cell r="R5858" t="str">
            <v>Jember</v>
          </cell>
          <cell r="S5858" t="str">
            <v>L Kota1</v>
          </cell>
          <cell r="T5858" t="str">
            <v>Wira</v>
          </cell>
          <cell r="U5858">
            <v>0</v>
          </cell>
        </row>
        <row r="5859">
          <cell r="E5859" t="str">
            <v>A25001963</v>
          </cell>
          <cell r="F5859"/>
          <cell r="G5859">
            <v>200000000</v>
          </cell>
          <cell r="H5859" t="str">
            <v>Sheila</v>
          </cell>
          <cell r="I5859" t="str">
            <v>Exclusive</v>
          </cell>
          <cell r="J5859" t="str">
            <v>New 24/06/25</v>
          </cell>
          <cell r="K5859" t="str">
            <v>KU</v>
          </cell>
          <cell r="L5859" t="str">
            <v>ONLI01</v>
          </cell>
          <cell r="M5859" t="str">
            <v>Online Shop Shopee</v>
          </cell>
          <cell r="N5859" t="str">
            <v>Online Shop Shopee</v>
          </cell>
          <cell r="O5859" t="str">
            <v>Karisma</v>
          </cell>
          <cell r="P5859" t="str">
            <v>Jember</v>
          </cell>
          <cell r="Q5859" t="str">
            <v>Karisma</v>
          </cell>
          <cell r="R5859" t="str">
            <v>Jember</v>
          </cell>
          <cell r="S5859" t="str">
            <v>L Kota1</v>
          </cell>
          <cell r="T5859" t="str">
            <v>Wira</v>
          </cell>
          <cell r="U5859">
            <v>0</v>
          </cell>
        </row>
        <row r="5860">
          <cell r="E5860" t="str">
            <v>A25001963</v>
          </cell>
          <cell r="F5860"/>
          <cell r="G5860">
            <v>200000000</v>
          </cell>
          <cell r="H5860" t="str">
            <v>Sheila</v>
          </cell>
          <cell r="I5860" t="str">
            <v>Exclusive</v>
          </cell>
          <cell r="J5860" t="str">
            <v>New 24/06/25</v>
          </cell>
          <cell r="K5860" t="str">
            <v>KU</v>
          </cell>
          <cell r="L5860" t="str">
            <v>ONLI01</v>
          </cell>
          <cell r="M5860" t="str">
            <v>Online Shop Shopee</v>
          </cell>
          <cell r="N5860" t="str">
            <v>Online Shop Shopee</v>
          </cell>
          <cell r="O5860" t="str">
            <v>Karisma</v>
          </cell>
          <cell r="P5860" t="str">
            <v>Jember</v>
          </cell>
          <cell r="Q5860" t="str">
            <v>Karisma</v>
          </cell>
          <cell r="R5860" t="str">
            <v>Jember</v>
          </cell>
          <cell r="S5860" t="str">
            <v>L Kota1</v>
          </cell>
          <cell r="T5860" t="str">
            <v>Wira</v>
          </cell>
          <cell r="U5860">
            <v>0</v>
          </cell>
        </row>
        <row r="5861">
          <cell r="E5861" t="str">
            <v>A25001964</v>
          </cell>
          <cell r="F5861"/>
          <cell r="G5861">
            <v>200000000</v>
          </cell>
          <cell r="H5861" t="str">
            <v>Sheila</v>
          </cell>
          <cell r="I5861" t="str">
            <v>Exclusive</v>
          </cell>
          <cell r="J5861" t="str">
            <v>New 24/06/25</v>
          </cell>
          <cell r="K5861" t="str">
            <v>KU</v>
          </cell>
          <cell r="L5861" t="str">
            <v>ONLI01</v>
          </cell>
          <cell r="M5861" t="str">
            <v>Online Shop Shopee</v>
          </cell>
          <cell r="N5861" t="str">
            <v>Online Shop Shopee</v>
          </cell>
          <cell r="O5861" t="str">
            <v>Karisma</v>
          </cell>
          <cell r="P5861" t="str">
            <v>Jember</v>
          </cell>
          <cell r="Q5861" t="str">
            <v>Karisma</v>
          </cell>
          <cell r="R5861" t="str">
            <v>Jember</v>
          </cell>
          <cell r="S5861" t="str">
            <v>L Kota1</v>
          </cell>
          <cell r="T5861" t="str">
            <v>Wira</v>
          </cell>
          <cell r="U5861">
            <v>0</v>
          </cell>
        </row>
        <row r="5862">
          <cell r="E5862" t="str">
            <v>A25001964</v>
          </cell>
          <cell r="F5862"/>
          <cell r="G5862">
            <v>200000000</v>
          </cell>
          <cell r="H5862" t="str">
            <v>Sheila</v>
          </cell>
          <cell r="I5862" t="str">
            <v>Exclusive</v>
          </cell>
          <cell r="J5862" t="str">
            <v>New 24/06/25</v>
          </cell>
          <cell r="K5862" t="str">
            <v>KU</v>
          </cell>
          <cell r="L5862" t="str">
            <v>ONLI01</v>
          </cell>
          <cell r="M5862" t="str">
            <v>Online Shop Shopee</v>
          </cell>
          <cell r="N5862" t="str">
            <v>Online Shop Shopee</v>
          </cell>
          <cell r="O5862" t="str">
            <v>Karisma</v>
          </cell>
          <cell r="P5862" t="str">
            <v>Jember</v>
          </cell>
          <cell r="Q5862" t="str">
            <v>Karisma</v>
          </cell>
          <cell r="R5862" t="str">
            <v>Jember</v>
          </cell>
          <cell r="S5862" t="str">
            <v>L Kota1</v>
          </cell>
          <cell r="T5862" t="str">
            <v>Wira</v>
          </cell>
          <cell r="U5862">
            <v>0</v>
          </cell>
        </row>
        <row r="5863">
          <cell r="E5863" t="str">
            <v>A25001965</v>
          </cell>
          <cell r="F5863"/>
          <cell r="G5863">
            <v>200000000</v>
          </cell>
          <cell r="H5863" t="str">
            <v>Sheila</v>
          </cell>
          <cell r="I5863" t="str">
            <v>Exclusive</v>
          </cell>
          <cell r="J5863" t="str">
            <v>New 24/06/25</v>
          </cell>
          <cell r="K5863" t="str">
            <v>KU</v>
          </cell>
          <cell r="L5863" t="str">
            <v>ONLI01</v>
          </cell>
          <cell r="M5863" t="str">
            <v>Online Shop Shopee</v>
          </cell>
          <cell r="N5863" t="str">
            <v>Online Shop Shopee</v>
          </cell>
          <cell r="O5863" t="str">
            <v>Karisma</v>
          </cell>
          <cell r="P5863" t="str">
            <v>Jember</v>
          </cell>
          <cell r="Q5863" t="str">
            <v>Karisma</v>
          </cell>
          <cell r="R5863" t="str">
            <v>Jember</v>
          </cell>
          <cell r="S5863" t="str">
            <v>L Kota1</v>
          </cell>
          <cell r="T5863" t="str">
            <v>Wira</v>
          </cell>
          <cell r="U5863">
            <v>0</v>
          </cell>
        </row>
        <row r="5864">
          <cell r="E5864" t="str">
            <v>A25001965</v>
          </cell>
          <cell r="F5864"/>
          <cell r="G5864">
            <v>200000000</v>
          </cell>
          <cell r="H5864" t="str">
            <v>Sheila</v>
          </cell>
          <cell r="I5864" t="str">
            <v>Exclusive</v>
          </cell>
          <cell r="J5864" t="str">
            <v>New 24/06/25</v>
          </cell>
          <cell r="K5864" t="str">
            <v>KU</v>
          </cell>
          <cell r="L5864" t="str">
            <v>ONLI01</v>
          </cell>
          <cell r="M5864" t="str">
            <v>Online Shop Shopee</v>
          </cell>
          <cell r="N5864" t="str">
            <v>Online Shop Shopee</v>
          </cell>
          <cell r="O5864" t="str">
            <v>Karisma</v>
          </cell>
          <cell r="P5864" t="str">
            <v>Jember</v>
          </cell>
          <cell r="Q5864" t="str">
            <v>Karisma</v>
          </cell>
          <cell r="R5864" t="str">
            <v>Jember</v>
          </cell>
          <cell r="S5864" t="str">
            <v>L Kota1</v>
          </cell>
          <cell r="T5864" t="str">
            <v>Wira</v>
          </cell>
          <cell r="U5864">
            <v>0</v>
          </cell>
        </row>
        <row r="5865">
          <cell r="E5865" t="str">
            <v>A25001967</v>
          </cell>
          <cell r="F5865"/>
          <cell r="G5865">
            <v>200000000</v>
          </cell>
          <cell r="H5865" t="str">
            <v>Sheila</v>
          </cell>
          <cell r="I5865" t="str">
            <v>Exclusive</v>
          </cell>
          <cell r="J5865" t="str">
            <v>New 24/06/25</v>
          </cell>
          <cell r="K5865" t="str">
            <v>KU</v>
          </cell>
          <cell r="L5865" t="str">
            <v>ONLI01</v>
          </cell>
          <cell r="M5865" t="str">
            <v>Online Shop Shopee</v>
          </cell>
          <cell r="N5865" t="str">
            <v>Online Shop Shopee</v>
          </cell>
          <cell r="O5865" t="str">
            <v>Karisma</v>
          </cell>
          <cell r="P5865" t="str">
            <v>Jember</v>
          </cell>
          <cell r="Q5865" t="str">
            <v>Karisma</v>
          </cell>
          <cell r="R5865" t="str">
            <v>Jember</v>
          </cell>
          <cell r="S5865" t="str">
            <v>L Kota1</v>
          </cell>
          <cell r="T5865" t="str">
            <v>Wira</v>
          </cell>
          <cell r="U5865">
            <v>0</v>
          </cell>
        </row>
        <row r="5866">
          <cell r="E5866" t="str">
            <v>A25001967</v>
          </cell>
          <cell r="F5866"/>
          <cell r="G5866">
            <v>200000000</v>
          </cell>
          <cell r="H5866" t="str">
            <v>Sheila</v>
          </cell>
          <cell r="I5866" t="str">
            <v>Exclusive</v>
          </cell>
          <cell r="J5866" t="str">
            <v>New 24/06/25</v>
          </cell>
          <cell r="K5866" t="str">
            <v>KU</v>
          </cell>
          <cell r="L5866" t="str">
            <v>ONLI01</v>
          </cell>
          <cell r="M5866" t="str">
            <v>Online Shop Shopee</v>
          </cell>
          <cell r="N5866" t="str">
            <v>Online Shop Shopee</v>
          </cell>
          <cell r="O5866" t="str">
            <v>Karisma</v>
          </cell>
          <cell r="P5866" t="str">
            <v>Jember</v>
          </cell>
          <cell r="Q5866" t="str">
            <v>Karisma</v>
          </cell>
          <cell r="R5866" t="str">
            <v>Jember</v>
          </cell>
          <cell r="S5866" t="str">
            <v>L Kota1</v>
          </cell>
          <cell r="T5866" t="str">
            <v>Wira</v>
          </cell>
          <cell r="U5866">
            <v>0</v>
          </cell>
        </row>
        <row r="5867">
          <cell r="E5867" t="str">
            <v>A25001969</v>
          </cell>
          <cell r="F5867"/>
          <cell r="G5867">
            <v>200000000</v>
          </cell>
          <cell r="H5867" t="str">
            <v>Sheila</v>
          </cell>
          <cell r="I5867" t="str">
            <v>Exclusive</v>
          </cell>
          <cell r="J5867" t="str">
            <v>New 24/06/25</v>
          </cell>
          <cell r="K5867" t="str">
            <v>KU</v>
          </cell>
          <cell r="L5867" t="str">
            <v>ONLI01</v>
          </cell>
          <cell r="M5867" t="str">
            <v>Online Shop Shopee</v>
          </cell>
          <cell r="N5867" t="str">
            <v>Online Shop Shopee</v>
          </cell>
          <cell r="O5867" t="str">
            <v>Karisma</v>
          </cell>
          <cell r="P5867" t="str">
            <v>Jember</v>
          </cell>
          <cell r="Q5867" t="str">
            <v>Karisma</v>
          </cell>
          <cell r="R5867" t="str">
            <v>Jember</v>
          </cell>
          <cell r="S5867" t="str">
            <v>L Kota1</v>
          </cell>
          <cell r="T5867" t="str">
            <v>Wira</v>
          </cell>
          <cell r="U5867">
            <v>0</v>
          </cell>
        </row>
        <row r="5868">
          <cell r="E5868" t="str">
            <v>A25001969</v>
          </cell>
          <cell r="F5868"/>
          <cell r="G5868">
            <v>200000000</v>
          </cell>
          <cell r="H5868" t="str">
            <v>Sheila</v>
          </cell>
          <cell r="I5868" t="str">
            <v>Exclusive</v>
          </cell>
          <cell r="J5868" t="str">
            <v>New 24/06/25</v>
          </cell>
          <cell r="K5868" t="str">
            <v>KU</v>
          </cell>
          <cell r="L5868" t="str">
            <v>ONLI01</v>
          </cell>
          <cell r="M5868" t="str">
            <v>Online Shop Shopee</v>
          </cell>
          <cell r="N5868" t="str">
            <v>Online Shop Shopee</v>
          </cell>
          <cell r="O5868" t="str">
            <v>Karisma</v>
          </cell>
          <cell r="P5868" t="str">
            <v>Jember</v>
          </cell>
          <cell r="Q5868" t="str">
            <v>Karisma</v>
          </cell>
          <cell r="R5868" t="str">
            <v>Jember</v>
          </cell>
          <cell r="S5868" t="str">
            <v>L Kota1</v>
          </cell>
          <cell r="T5868" t="str">
            <v>Wira</v>
          </cell>
          <cell r="U5868">
            <v>0</v>
          </cell>
        </row>
        <row r="5869">
          <cell r="E5869" t="str">
            <v>A25001970</v>
          </cell>
          <cell r="F5869"/>
          <cell r="G5869">
            <v>200000000</v>
          </cell>
          <cell r="H5869" t="str">
            <v>Sheila</v>
          </cell>
          <cell r="I5869" t="str">
            <v>Exclusive</v>
          </cell>
          <cell r="J5869" t="str">
            <v>New 24/06/25</v>
          </cell>
          <cell r="K5869" t="str">
            <v>KU</v>
          </cell>
          <cell r="L5869" t="str">
            <v>ONLI01</v>
          </cell>
          <cell r="M5869" t="str">
            <v>Online Shop Shopee</v>
          </cell>
          <cell r="N5869" t="str">
            <v>Online Shop Shopee</v>
          </cell>
          <cell r="O5869" t="str">
            <v>Karisma</v>
          </cell>
          <cell r="P5869" t="str">
            <v>Jember</v>
          </cell>
          <cell r="Q5869" t="str">
            <v>Karisma</v>
          </cell>
          <cell r="R5869" t="str">
            <v>Jember</v>
          </cell>
          <cell r="S5869" t="str">
            <v>L Kota1</v>
          </cell>
          <cell r="T5869" t="str">
            <v>Wira</v>
          </cell>
          <cell r="U5869">
            <v>0</v>
          </cell>
        </row>
        <row r="5870">
          <cell r="E5870" t="str">
            <v>A25001970</v>
          </cell>
          <cell r="F5870"/>
          <cell r="G5870">
            <v>200000000</v>
          </cell>
          <cell r="H5870" t="str">
            <v>Sheila</v>
          </cell>
          <cell r="I5870" t="str">
            <v>Exclusive</v>
          </cell>
          <cell r="J5870" t="str">
            <v>New 24/06/25</v>
          </cell>
          <cell r="K5870" t="str">
            <v>KU</v>
          </cell>
          <cell r="L5870" t="str">
            <v>ONLI01</v>
          </cell>
          <cell r="M5870" t="str">
            <v>Online Shop Shopee</v>
          </cell>
          <cell r="N5870" t="str">
            <v>Online Shop Shopee</v>
          </cell>
          <cell r="O5870" t="str">
            <v>Karisma</v>
          </cell>
          <cell r="P5870" t="str">
            <v>Jember</v>
          </cell>
          <cell r="Q5870" t="str">
            <v>Karisma</v>
          </cell>
          <cell r="R5870" t="str">
            <v>Jember</v>
          </cell>
          <cell r="S5870" t="str">
            <v>L Kota1</v>
          </cell>
          <cell r="T5870" t="str">
            <v>Wira</v>
          </cell>
          <cell r="U5870">
            <v>0</v>
          </cell>
        </row>
        <row r="5871">
          <cell r="E5871" t="str">
            <v>A25001971</v>
          </cell>
          <cell r="F5871"/>
          <cell r="G5871">
            <v>200000000</v>
          </cell>
          <cell r="H5871" t="str">
            <v>Sheila</v>
          </cell>
          <cell r="I5871" t="str">
            <v>Exclusive</v>
          </cell>
          <cell r="J5871" t="str">
            <v>New 24/06/25</v>
          </cell>
          <cell r="K5871" t="str">
            <v>KU</v>
          </cell>
          <cell r="L5871" t="str">
            <v>ONLI01</v>
          </cell>
          <cell r="M5871" t="str">
            <v>Online Shop Shopee</v>
          </cell>
          <cell r="N5871" t="str">
            <v>Online Shop Shopee</v>
          </cell>
          <cell r="O5871" t="str">
            <v>Karisma</v>
          </cell>
          <cell r="P5871" t="str">
            <v>Jember</v>
          </cell>
          <cell r="Q5871" t="str">
            <v>Karisma</v>
          </cell>
          <cell r="R5871" t="str">
            <v>Jember</v>
          </cell>
          <cell r="S5871" t="str">
            <v>L Kota1</v>
          </cell>
          <cell r="T5871" t="str">
            <v>Wira</v>
          </cell>
          <cell r="U5871">
            <v>0</v>
          </cell>
        </row>
        <row r="5872">
          <cell r="E5872" t="str">
            <v>A25001971</v>
          </cell>
          <cell r="F5872"/>
          <cell r="G5872">
            <v>200000000</v>
          </cell>
          <cell r="H5872" t="str">
            <v>Sheila</v>
          </cell>
          <cell r="I5872" t="str">
            <v>Exclusive</v>
          </cell>
          <cell r="J5872" t="str">
            <v>New 24/06/25</v>
          </cell>
          <cell r="K5872" t="str">
            <v>KU</v>
          </cell>
          <cell r="L5872" t="str">
            <v>ONLI01</v>
          </cell>
          <cell r="M5872" t="str">
            <v>Online Shop Shopee</v>
          </cell>
          <cell r="N5872" t="str">
            <v>Online Shop Shopee</v>
          </cell>
          <cell r="O5872" t="str">
            <v>Karisma</v>
          </cell>
          <cell r="P5872" t="str">
            <v>Jember</v>
          </cell>
          <cell r="Q5872" t="str">
            <v>Karisma</v>
          </cell>
          <cell r="R5872" t="str">
            <v>Jember</v>
          </cell>
          <cell r="S5872" t="str">
            <v>L Kota1</v>
          </cell>
          <cell r="T5872" t="str">
            <v>Wira</v>
          </cell>
          <cell r="U5872">
            <v>0</v>
          </cell>
        </row>
        <row r="5873">
          <cell r="E5873" t="str">
            <v>A25001972</v>
          </cell>
          <cell r="F5873"/>
          <cell r="G5873">
            <v>200000000</v>
          </cell>
          <cell r="H5873" t="str">
            <v>Sheila</v>
          </cell>
          <cell r="I5873" t="str">
            <v>Exclusive</v>
          </cell>
          <cell r="J5873" t="str">
            <v>New 24/06/25</v>
          </cell>
          <cell r="K5873" t="str">
            <v>KU</v>
          </cell>
          <cell r="L5873" t="str">
            <v>ONLI01</v>
          </cell>
          <cell r="M5873" t="str">
            <v>Online Shop Shopee</v>
          </cell>
          <cell r="N5873" t="str">
            <v>Online Shop Shopee</v>
          </cell>
          <cell r="O5873" t="str">
            <v>Karisma</v>
          </cell>
          <cell r="P5873" t="str">
            <v>Jember</v>
          </cell>
          <cell r="Q5873" t="str">
            <v>Karisma</v>
          </cell>
          <cell r="R5873" t="str">
            <v>Jember</v>
          </cell>
          <cell r="S5873" t="str">
            <v>L Kota1</v>
          </cell>
          <cell r="T5873" t="str">
            <v>Wira</v>
          </cell>
          <cell r="U5873">
            <v>0</v>
          </cell>
        </row>
        <row r="5874">
          <cell r="E5874" t="str">
            <v>A25001972</v>
          </cell>
          <cell r="F5874"/>
          <cell r="G5874">
            <v>200000000</v>
          </cell>
          <cell r="H5874" t="str">
            <v>Sheila</v>
          </cell>
          <cell r="I5874" t="str">
            <v>Exclusive</v>
          </cell>
          <cell r="J5874" t="str">
            <v>New 24/06/25</v>
          </cell>
          <cell r="K5874" t="str">
            <v>KU</v>
          </cell>
          <cell r="L5874" t="str">
            <v>ONLI01</v>
          </cell>
          <cell r="M5874" t="str">
            <v>Online Shop Shopee</v>
          </cell>
          <cell r="N5874" t="str">
            <v>Online Shop Shopee</v>
          </cell>
          <cell r="O5874" t="str">
            <v>Karisma</v>
          </cell>
          <cell r="P5874" t="str">
            <v>Jember</v>
          </cell>
          <cell r="Q5874" t="str">
            <v>Karisma</v>
          </cell>
          <cell r="R5874" t="str">
            <v>Jember</v>
          </cell>
          <cell r="S5874" t="str">
            <v>L Kota1</v>
          </cell>
          <cell r="T5874" t="str">
            <v>Wira</v>
          </cell>
          <cell r="U5874">
            <v>0</v>
          </cell>
        </row>
        <row r="5875">
          <cell r="E5875" t="str">
            <v>A25001973</v>
          </cell>
          <cell r="F5875"/>
          <cell r="G5875">
            <v>200000000</v>
          </cell>
          <cell r="H5875" t="str">
            <v>Sheila</v>
          </cell>
          <cell r="I5875" t="str">
            <v>Exclusive</v>
          </cell>
          <cell r="J5875" t="str">
            <v>New 24/06/25</v>
          </cell>
          <cell r="K5875" t="str">
            <v>KU</v>
          </cell>
          <cell r="L5875" t="str">
            <v>ONLI01</v>
          </cell>
          <cell r="M5875" t="str">
            <v>Online Shop Shopee</v>
          </cell>
          <cell r="N5875" t="str">
            <v>Online Shop Shopee</v>
          </cell>
          <cell r="O5875" t="str">
            <v>Karisma</v>
          </cell>
          <cell r="P5875" t="str">
            <v>Jember</v>
          </cell>
          <cell r="Q5875" t="str">
            <v>Karisma</v>
          </cell>
          <cell r="R5875" t="str">
            <v>Jember</v>
          </cell>
          <cell r="S5875" t="str">
            <v>L Kota1</v>
          </cell>
          <cell r="T5875" t="str">
            <v>Wira</v>
          </cell>
          <cell r="U5875">
            <v>0</v>
          </cell>
        </row>
        <row r="5876">
          <cell r="E5876" t="str">
            <v>A25001973</v>
          </cell>
          <cell r="F5876"/>
          <cell r="G5876">
            <v>200000000</v>
          </cell>
          <cell r="H5876" t="str">
            <v>Sheila</v>
          </cell>
          <cell r="I5876" t="str">
            <v>Exclusive</v>
          </cell>
          <cell r="J5876" t="str">
            <v>New 24/06/25</v>
          </cell>
          <cell r="K5876" t="str">
            <v>KU</v>
          </cell>
          <cell r="L5876" t="str">
            <v>ONLI01</v>
          </cell>
          <cell r="M5876" t="str">
            <v>Online Shop Shopee</v>
          </cell>
          <cell r="N5876" t="str">
            <v>Online Shop Shopee</v>
          </cell>
          <cell r="O5876" t="str">
            <v>Karisma</v>
          </cell>
          <cell r="P5876" t="str">
            <v>Jember</v>
          </cell>
          <cell r="Q5876" t="str">
            <v>Karisma</v>
          </cell>
          <cell r="R5876" t="str">
            <v>Jember</v>
          </cell>
          <cell r="S5876" t="str">
            <v>L Kota1</v>
          </cell>
          <cell r="T5876" t="str">
            <v>Wira</v>
          </cell>
          <cell r="U5876">
            <v>0</v>
          </cell>
        </row>
        <row r="5877">
          <cell r="E5877" t="str">
            <v>A25001974</v>
          </cell>
          <cell r="F5877"/>
          <cell r="G5877">
            <v>200000000</v>
          </cell>
          <cell r="H5877" t="str">
            <v>Sheila</v>
          </cell>
          <cell r="I5877" t="str">
            <v>Exclusive</v>
          </cell>
          <cell r="J5877" t="str">
            <v>New 24/06/25</v>
          </cell>
          <cell r="K5877" t="str">
            <v>KU</v>
          </cell>
          <cell r="L5877" t="str">
            <v>ONLI01</v>
          </cell>
          <cell r="M5877" t="str">
            <v>Online Shop Shopee</v>
          </cell>
          <cell r="N5877" t="str">
            <v>Online Shop Shopee</v>
          </cell>
          <cell r="O5877" t="str">
            <v>Karisma</v>
          </cell>
          <cell r="P5877" t="str">
            <v>Jember</v>
          </cell>
          <cell r="Q5877" t="str">
            <v>Karisma</v>
          </cell>
          <cell r="R5877" t="str">
            <v>Jember</v>
          </cell>
          <cell r="S5877" t="str">
            <v>L Kota1</v>
          </cell>
          <cell r="T5877" t="str">
            <v>Wira</v>
          </cell>
          <cell r="U5877">
            <v>0</v>
          </cell>
        </row>
        <row r="5878">
          <cell r="E5878" t="str">
            <v>A25001974</v>
          </cell>
          <cell r="F5878"/>
          <cell r="G5878">
            <v>200000000</v>
          </cell>
          <cell r="H5878" t="str">
            <v>Sheila</v>
          </cell>
          <cell r="I5878" t="str">
            <v>Exclusive</v>
          </cell>
          <cell r="J5878" t="str">
            <v>New 24/06/25</v>
          </cell>
          <cell r="K5878" t="str">
            <v>KU</v>
          </cell>
          <cell r="L5878" t="str">
            <v>ONLI01</v>
          </cell>
          <cell r="M5878" t="str">
            <v>Online Shop Shopee</v>
          </cell>
          <cell r="N5878" t="str">
            <v>Online Shop Shopee</v>
          </cell>
          <cell r="O5878" t="str">
            <v>Karisma</v>
          </cell>
          <cell r="P5878" t="str">
            <v>Jember</v>
          </cell>
          <cell r="Q5878" t="str">
            <v>Karisma</v>
          </cell>
          <cell r="R5878" t="str">
            <v>Jember</v>
          </cell>
          <cell r="S5878" t="str">
            <v>L Kota1</v>
          </cell>
          <cell r="T5878" t="str">
            <v>Wira</v>
          </cell>
          <cell r="U5878">
            <v>0</v>
          </cell>
        </row>
        <row r="5879">
          <cell r="E5879" t="str">
            <v>A25001978</v>
          </cell>
          <cell r="F5879"/>
          <cell r="G5879">
            <v>200000000</v>
          </cell>
          <cell r="H5879" t="str">
            <v>Sheila</v>
          </cell>
          <cell r="I5879" t="str">
            <v>Exclusive</v>
          </cell>
          <cell r="J5879" t="str">
            <v>New 24/06/25</v>
          </cell>
          <cell r="K5879" t="str">
            <v>KU</v>
          </cell>
          <cell r="L5879" t="str">
            <v>ONLI01</v>
          </cell>
          <cell r="M5879" t="str">
            <v>Online Shop Shopee</v>
          </cell>
          <cell r="N5879" t="str">
            <v>Online Shop Shopee</v>
          </cell>
          <cell r="O5879" t="str">
            <v>Karisma</v>
          </cell>
          <cell r="P5879" t="str">
            <v>Jember</v>
          </cell>
          <cell r="Q5879" t="str">
            <v>Karisma</v>
          </cell>
          <cell r="R5879" t="str">
            <v>Jember</v>
          </cell>
          <cell r="S5879" t="str">
            <v>L Kota1</v>
          </cell>
          <cell r="T5879" t="str">
            <v>Wira</v>
          </cell>
          <cell r="U5879">
            <v>0</v>
          </cell>
        </row>
        <row r="5880">
          <cell r="E5880" t="str">
            <v>A25001978</v>
          </cell>
          <cell r="F5880"/>
          <cell r="G5880">
            <v>200000000</v>
          </cell>
          <cell r="H5880" t="str">
            <v>Sheila</v>
          </cell>
          <cell r="I5880" t="str">
            <v>Exclusive</v>
          </cell>
          <cell r="J5880" t="str">
            <v>New 24/06/25</v>
          </cell>
          <cell r="K5880" t="str">
            <v>KU</v>
          </cell>
          <cell r="L5880" t="str">
            <v>ONLI01</v>
          </cell>
          <cell r="M5880" t="str">
            <v>Online Shop Shopee</v>
          </cell>
          <cell r="N5880" t="str">
            <v>Online Shop Shopee</v>
          </cell>
          <cell r="O5880" t="str">
            <v>Karisma</v>
          </cell>
          <cell r="P5880" t="str">
            <v>Jember</v>
          </cell>
          <cell r="Q5880" t="str">
            <v>Karisma</v>
          </cell>
          <cell r="R5880" t="str">
            <v>Jember</v>
          </cell>
          <cell r="S5880" t="str">
            <v>L Kota1</v>
          </cell>
          <cell r="T5880" t="str">
            <v>Wira</v>
          </cell>
          <cell r="U5880">
            <v>0</v>
          </cell>
        </row>
        <row r="5881">
          <cell r="E5881" t="str">
            <v>A25001979</v>
          </cell>
          <cell r="F5881"/>
          <cell r="G5881">
            <v>200000000</v>
          </cell>
          <cell r="H5881" t="str">
            <v>Sheila</v>
          </cell>
          <cell r="I5881" t="str">
            <v>Exclusive</v>
          </cell>
          <cell r="J5881" t="str">
            <v>New 24/06/25</v>
          </cell>
          <cell r="K5881" t="str">
            <v>KU</v>
          </cell>
          <cell r="L5881" t="str">
            <v>ONLI01</v>
          </cell>
          <cell r="M5881" t="str">
            <v>Online Shop Shopee</v>
          </cell>
          <cell r="N5881" t="str">
            <v>Online Shop Shopee</v>
          </cell>
          <cell r="O5881" t="str">
            <v>Karisma</v>
          </cell>
          <cell r="P5881" t="str">
            <v>Jember</v>
          </cell>
          <cell r="Q5881" t="str">
            <v>Karisma</v>
          </cell>
          <cell r="R5881" t="str">
            <v>Jember</v>
          </cell>
          <cell r="S5881" t="str">
            <v>L Kota1</v>
          </cell>
          <cell r="T5881" t="str">
            <v>Wira</v>
          </cell>
          <cell r="U5881">
            <v>0</v>
          </cell>
        </row>
        <row r="5882">
          <cell r="E5882" t="str">
            <v>A25001979</v>
          </cell>
          <cell r="F5882"/>
          <cell r="G5882">
            <v>200000000</v>
          </cell>
          <cell r="H5882" t="str">
            <v>Sheila</v>
          </cell>
          <cell r="I5882" t="str">
            <v>Exclusive</v>
          </cell>
          <cell r="J5882" t="str">
            <v>New 24/06/25</v>
          </cell>
          <cell r="K5882" t="str">
            <v>KU</v>
          </cell>
          <cell r="L5882" t="str">
            <v>ONLI01</v>
          </cell>
          <cell r="M5882" t="str">
            <v>Online Shop Shopee</v>
          </cell>
          <cell r="N5882" t="str">
            <v>Online Shop Shopee</v>
          </cell>
          <cell r="O5882" t="str">
            <v>Karisma</v>
          </cell>
          <cell r="P5882" t="str">
            <v>Jember</v>
          </cell>
          <cell r="Q5882" t="str">
            <v>Karisma</v>
          </cell>
          <cell r="R5882" t="str">
            <v>Jember</v>
          </cell>
          <cell r="S5882" t="str">
            <v>L Kota1</v>
          </cell>
          <cell r="T5882" t="str">
            <v>Wira</v>
          </cell>
          <cell r="U5882">
            <v>0</v>
          </cell>
        </row>
        <row r="5883">
          <cell r="E5883" t="str">
            <v>A25001980</v>
          </cell>
          <cell r="F5883"/>
          <cell r="G5883">
            <v>200000000</v>
          </cell>
          <cell r="H5883" t="str">
            <v>Sheila</v>
          </cell>
          <cell r="I5883" t="str">
            <v>Exclusive</v>
          </cell>
          <cell r="J5883" t="str">
            <v>New 24/06/25</v>
          </cell>
          <cell r="K5883" t="str">
            <v>KU</v>
          </cell>
          <cell r="L5883" t="str">
            <v>ONLI01</v>
          </cell>
          <cell r="M5883" t="str">
            <v>Online Shop Shopee</v>
          </cell>
          <cell r="N5883" t="str">
            <v>Online Shop Shopee</v>
          </cell>
          <cell r="O5883" t="str">
            <v>Karisma</v>
          </cell>
          <cell r="P5883" t="str">
            <v>Jember</v>
          </cell>
          <cell r="Q5883" t="str">
            <v>Karisma</v>
          </cell>
          <cell r="R5883" t="str">
            <v>Jember</v>
          </cell>
          <cell r="S5883" t="str">
            <v>L Kota1</v>
          </cell>
          <cell r="T5883" t="str">
            <v>Wira</v>
          </cell>
          <cell r="U5883">
            <v>0</v>
          </cell>
        </row>
        <row r="5884">
          <cell r="E5884" t="str">
            <v>A25001980</v>
          </cell>
          <cell r="F5884"/>
          <cell r="G5884">
            <v>200000000</v>
          </cell>
          <cell r="H5884" t="str">
            <v>Sheila</v>
          </cell>
          <cell r="I5884" t="str">
            <v>Exclusive</v>
          </cell>
          <cell r="J5884" t="str">
            <v>New 24/06/25</v>
          </cell>
          <cell r="K5884" t="str">
            <v>KU</v>
          </cell>
          <cell r="L5884" t="str">
            <v>ONLI01</v>
          </cell>
          <cell r="M5884" t="str">
            <v>Online Shop Shopee</v>
          </cell>
          <cell r="N5884" t="str">
            <v>Online Shop Shopee</v>
          </cell>
          <cell r="O5884" t="str">
            <v>Karisma</v>
          </cell>
          <cell r="P5884" t="str">
            <v>Jember</v>
          </cell>
          <cell r="Q5884" t="str">
            <v>Karisma</v>
          </cell>
          <cell r="R5884" t="str">
            <v>Jember</v>
          </cell>
          <cell r="S5884" t="str">
            <v>L Kota1</v>
          </cell>
          <cell r="T5884" t="str">
            <v>Wira</v>
          </cell>
          <cell r="U5884">
            <v>0</v>
          </cell>
        </row>
        <row r="5885">
          <cell r="E5885" t="str">
            <v>A25001981</v>
          </cell>
          <cell r="F5885"/>
          <cell r="G5885">
            <v>200000000</v>
          </cell>
          <cell r="H5885" t="str">
            <v>Sheila</v>
          </cell>
          <cell r="I5885" t="str">
            <v>Exclusive</v>
          </cell>
          <cell r="J5885" t="str">
            <v>New 24/06/25</v>
          </cell>
          <cell r="K5885" t="str">
            <v>KU</v>
          </cell>
          <cell r="L5885" t="str">
            <v>ONLI01</v>
          </cell>
          <cell r="M5885" t="str">
            <v>Online Shop Shopee</v>
          </cell>
          <cell r="N5885" t="str">
            <v>Online Shop Shopee</v>
          </cell>
          <cell r="O5885" t="str">
            <v>Karisma</v>
          </cell>
          <cell r="P5885" t="str">
            <v>Jember</v>
          </cell>
          <cell r="Q5885" t="str">
            <v>Karisma</v>
          </cell>
          <cell r="R5885" t="str">
            <v>Jember</v>
          </cell>
          <cell r="S5885" t="str">
            <v>L Kota1</v>
          </cell>
          <cell r="T5885" t="str">
            <v>Wira</v>
          </cell>
          <cell r="U5885">
            <v>0</v>
          </cell>
        </row>
        <row r="5886">
          <cell r="E5886" t="str">
            <v>A25001981</v>
          </cell>
          <cell r="F5886"/>
          <cell r="G5886">
            <v>200000000</v>
          </cell>
          <cell r="H5886" t="str">
            <v>Sheila</v>
          </cell>
          <cell r="I5886" t="str">
            <v>Exclusive</v>
          </cell>
          <cell r="J5886" t="str">
            <v>New 24/06/25</v>
          </cell>
          <cell r="K5886" t="str">
            <v>KU</v>
          </cell>
          <cell r="L5886" t="str">
            <v>ONLI01</v>
          </cell>
          <cell r="M5886" t="str">
            <v>Online Shop Shopee</v>
          </cell>
          <cell r="N5886" t="str">
            <v>Online Shop Shopee</v>
          </cell>
          <cell r="O5886" t="str">
            <v>Karisma</v>
          </cell>
          <cell r="P5886" t="str">
            <v>Jember</v>
          </cell>
          <cell r="Q5886" t="str">
            <v>Karisma</v>
          </cell>
          <cell r="R5886" t="str">
            <v>Jember</v>
          </cell>
          <cell r="S5886" t="str">
            <v>L Kota1</v>
          </cell>
          <cell r="T5886" t="str">
            <v>Wira</v>
          </cell>
          <cell r="U5886">
            <v>0</v>
          </cell>
        </row>
        <row r="5887">
          <cell r="E5887" t="str">
            <v>A25001982</v>
          </cell>
          <cell r="F5887"/>
          <cell r="G5887">
            <v>200000000</v>
          </cell>
          <cell r="H5887" t="str">
            <v>Sheila</v>
          </cell>
          <cell r="I5887" t="str">
            <v>Exclusive</v>
          </cell>
          <cell r="J5887" t="str">
            <v>New 24/06/25</v>
          </cell>
          <cell r="K5887" t="str">
            <v>KU</v>
          </cell>
          <cell r="L5887" t="str">
            <v>ONLI01</v>
          </cell>
          <cell r="M5887" t="str">
            <v>Online Shop Shopee</v>
          </cell>
          <cell r="N5887" t="str">
            <v>Online Shop Shopee</v>
          </cell>
          <cell r="O5887" t="str">
            <v>Karisma</v>
          </cell>
          <cell r="P5887" t="str">
            <v>Jember</v>
          </cell>
          <cell r="Q5887" t="str">
            <v>Karisma</v>
          </cell>
          <cell r="R5887" t="str">
            <v>Jember</v>
          </cell>
          <cell r="S5887" t="str">
            <v>L Kota1</v>
          </cell>
          <cell r="T5887" t="str">
            <v>Wira</v>
          </cell>
          <cell r="U5887">
            <v>0</v>
          </cell>
        </row>
        <row r="5888">
          <cell r="E5888" t="str">
            <v>A25001982</v>
          </cell>
          <cell r="F5888"/>
          <cell r="G5888">
            <v>200000000</v>
          </cell>
          <cell r="H5888" t="str">
            <v>Sheila</v>
          </cell>
          <cell r="I5888" t="str">
            <v>Exclusive</v>
          </cell>
          <cell r="J5888" t="str">
            <v>New 24/06/25</v>
          </cell>
          <cell r="K5888" t="str">
            <v>KU</v>
          </cell>
          <cell r="L5888" t="str">
            <v>ONLI01</v>
          </cell>
          <cell r="M5888" t="str">
            <v>Online Shop Shopee</v>
          </cell>
          <cell r="N5888" t="str">
            <v>Online Shop Shopee</v>
          </cell>
          <cell r="O5888" t="str">
            <v>Karisma</v>
          </cell>
          <cell r="P5888" t="str">
            <v>Jember</v>
          </cell>
          <cell r="Q5888" t="str">
            <v>Karisma</v>
          </cell>
          <cell r="R5888" t="str">
            <v>Jember</v>
          </cell>
          <cell r="S5888" t="str">
            <v>L Kota1</v>
          </cell>
          <cell r="T5888" t="str">
            <v>Wira</v>
          </cell>
          <cell r="U5888">
            <v>0</v>
          </cell>
        </row>
        <row r="5889">
          <cell r="E5889" t="str">
            <v>A25001983</v>
          </cell>
          <cell r="F5889"/>
          <cell r="G5889">
            <v>200000000</v>
          </cell>
          <cell r="H5889" t="str">
            <v>Sheila</v>
          </cell>
          <cell r="I5889" t="str">
            <v>Exclusive</v>
          </cell>
          <cell r="J5889" t="str">
            <v>New 24/06/25</v>
          </cell>
          <cell r="K5889" t="str">
            <v>KU</v>
          </cell>
          <cell r="L5889" t="str">
            <v>ONLI01</v>
          </cell>
          <cell r="M5889" t="str">
            <v>Online Shop Shopee</v>
          </cell>
          <cell r="N5889" t="str">
            <v>Online Shop Shopee</v>
          </cell>
          <cell r="O5889" t="str">
            <v>Karisma</v>
          </cell>
          <cell r="P5889" t="str">
            <v>Jember</v>
          </cell>
          <cell r="Q5889" t="str">
            <v>Karisma</v>
          </cell>
          <cell r="R5889" t="str">
            <v>Jember</v>
          </cell>
          <cell r="S5889" t="str">
            <v>L Kota1</v>
          </cell>
          <cell r="T5889" t="str">
            <v>Wira</v>
          </cell>
          <cell r="U5889">
            <v>0</v>
          </cell>
        </row>
        <row r="5890">
          <cell r="E5890" t="str">
            <v>A25001983</v>
          </cell>
          <cell r="F5890"/>
          <cell r="G5890">
            <v>200000000</v>
          </cell>
          <cell r="H5890" t="str">
            <v>Sheila</v>
          </cell>
          <cell r="I5890" t="str">
            <v>Exclusive</v>
          </cell>
          <cell r="J5890" t="str">
            <v>New 24/06/25</v>
          </cell>
          <cell r="K5890" t="str">
            <v>KU</v>
          </cell>
          <cell r="L5890" t="str">
            <v>ONLI01</v>
          </cell>
          <cell r="M5890" t="str">
            <v>Online Shop Shopee</v>
          </cell>
          <cell r="N5890" t="str">
            <v>Online Shop Shopee</v>
          </cell>
          <cell r="O5890" t="str">
            <v>Karisma</v>
          </cell>
          <cell r="P5890" t="str">
            <v>Jember</v>
          </cell>
          <cell r="Q5890" t="str">
            <v>Karisma</v>
          </cell>
          <cell r="R5890" t="str">
            <v>Jember</v>
          </cell>
          <cell r="S5890" t="str">
            <v>L Kota1</v>
          </cell>
          <cell r="T5890" t="str">
            <v>Wira</v>
          </cell>
          <cell r="U5890">
            <v>0</v>
          </cell>
        </row>
        <row r="5891">
          <cell r="E5891" t="str">
            <v>A25001984</v>
          </cell>
          <cell r="F5891"/>
          <cell r="G5891">
            <v>200000000</v>
          </cell>
          <cell r="H5891" t="str">
            <v>Sheila</v>
          </cell>
          <cell r="I5891" t="str">
            <v>Exclusive</v>
          </cell>
          <cell r="J5891" t="str">
            <v>New 24/06/25</v>
          </cell>
          <cell r="K5891" t="str">
            <v>KU</v>
          </cell>
          <cell r="L5891" t="str">
            <v>ONLI01</v>
          </cell>
          <cell r="M5891" t="str">
            <v>Online Shop Shopee</v>
          </cell>
          <cell r="N5891" t="str">
            <v>Online Shop Shopee</v>
          </cell>
          <cell r="O5891" t="str">
            <v>Karisma</v>
          </cell>
          <cell r="P5891" t="str">
            <v>Jember</v>
          </cell>
          <cell r="Q5891" t="str">
            <v>Karisma</v>
          </cell>
          <cell r="R5891" t="str">
            <v>Jember</v>
          </cell>
          <cell r="S5891" t="str">
            <v>L Kota1</v>
          </cell>
          <cell r="T5891" t="str">
            <v>Wira</v>
          </cell>
          <cell r="U5891">
            <v>0</v>
          </cell>
        </row>
        <row r="5892">
          <cell r="E5892" t="str">
            <v>A25001984</v>
          </cell>
          <cell r="F5892"/>
          <cell r="G5892">
            <v>200000000</v>
          </cell>
          <cell r="H5892" t="str">
            <v>Sheila</v>
          </cell>
          <cell r="I5892" t="str">
            <v>Exclusive</v>
          </cell>
          <cell r="J5892" t="str">
            <v>New 24/06/25</v>
          </cell>
          <cell r="K5892" t="str">
            <v>KU</v>
          </cell>
          <cell r="L5892" t="str">
            <v>ONLI01</v>
          </cell>
          <cell r="M5892" t="str">
            <v>Online Shop Shopee</v>
          </cell>
          <cell r="N5892" t="str">
            <v>Online Shop Shopee</v>
          </cell>
          <cell r="O5892" t="str">
            <v>Karisma</v>
          </cell>
          <cell r="P5892" t="str">
            <v>Jember</v>
          </cell>
          <cell r="Q5892" t="str">
            <v>Karisma</v>
          </cell>
          <cell r="R5892" t="str">
            <v>Jember</v>
          </cell>
          <cell r="S5892" t="str">
            <v>L Kota1</v>
          </cell>
          <cell r="T5892" t="str">
            <v>Wira</v>
          </cell>
          <cell r="U5892">
            <v>0</v>
          </cell>
        </row>
        <row r="5893">
          <cell r="E5893" t="str">
            <v>A25001985</v>
          </cell>
          <cell r="F5893"/>
          <cell r="G5893">
            <v>200000000</v>
          </cell>
          <cell r="H5893" t="str">
            <v>Sheila</v>
          </cell>
          <cell r="I5893" t="str">
            <v>Exclusive</v>
          </cell>
          <cell r="J5893" t="str">
            <v>New 24/06/25</v>
          </cell>
          <cell r="K5893" t="str">
            <v>KU</v>
          </cell>
          <cell r="L5893" t="str">
            <v>ONLI01</v>
          </cell>
          <cell r="M5893" t="str">
            <v>Online Shop Shopee</v>
          </cell>
          <cell r="N5893" t="str">
            <v>Online Shop Shopee</v>
          </cell>
          <cell r="O5893" t="str">
            <v>Karisma</v>
          </cell>
          <cell r="P5893" t="str">
            <v>Jember</v>
          </cell>
          <cell r="Q5893" t="str">
            <v>Karisma</v>
          </cell>
          <cell r="R5893" t="str">
            <v>Jember</v>
          </cell>
          <cell r="S5893" t="str">
            <v>L Kota1</v>
          </cell>
          <cell r="T5893" t="str">
            <v>Wira</v>
          </cell>
          <cell r="U5893">
            <v>0</v>
          </cell>
        </row>
        <row r="5894">
          <cell r="E5894" t="str">
            <v>A25001985</v>
          </cell>
          <cell r="F5894"/>
          <cell r="G5894">
            <v>200000000</v>
          </cell>
          <cell r="H5894" t="str">
            <v>Sheila</v>
          </cell>
          <cell r="I5894" t="str">
            <v>Exclusive</v>
          </cell>
          <cell r="J5894" t="str">
            <v>New 24/06/25</v>
          </cell>
          <cell r="K5894" t="str">
            <v>KU</v>
          </cell>
          <cell r="L5894" t="str">
            <v>ONLI01</v>
          </cell>
          <cell r="M5894" t="str">
            <v>Online Shop Shopee</v>
          </cell>
          <cell r="N5894" t="str">
            <v>Online Shop Shopee</v>
          </cell>
          <cell r="O5894" t="str">
            <v>Karisma</v>
          </cell>
          <cell r="P5894" t="str">
            <v>Jember</v>
          </cell>
          <cell r="Q5894" t="str">
            <v>Karisma</v>
          </cell>
          <cell r="R5894" t="str">
            <v>Jember</v>
          </cell>
          <cell r="S5894" t="str">
            <v>L Kota1</v>
          </cell>
          <cell r="T5894" t="str">
            <v>Wira</v>
          </cell>
          <cell r="U5894">
            <v>0</v>
          </cell>
        </row>
        <row r="5895">
          <cell r="E5895" t="str">
            <v>A25001986</v>
          </cell>
          <cell r="F5895"/>
          <cell r="G5895">
            <v>200000000</v>
          </cell>
          <cell r="H5895" t="str">
            <v>Sheila</v>
          </cell>
          <cell r="I5895" t="str">
            <v>Exclusive</v>
          </cell>
          <cell r="J5895" t="str">
            <v>New 24/06/25</v>
          </cell>
          <cell r="K5895" t="str">
            <v>KU</v>
          </cell>
          <cell r="L5895" t="str">
            <v>ONLI01</v>
          </cell>
          <cell r="M5895" t="str">
            <v>Online Shop Shopee</v>
          </cell>
          <cell r="N5895" t="str">
            <v>Online Shop Shopee</v>
          </cell>
          <cell r="O5895" t="str">
            <v>Karisma</v>
          </cell>
          <cell r="P5895" t="str">
            <v>Jember</v>
          </cell>
          <cell r="Q5895" t="str">
            <v>Karisma</v>
          </cell>
          <cell r="R5895" t="str">
            <v>Jember</v>
          </cell>
          <cell r="S5895" t="str">
            <v>L Kota1</v>
          </cell>
          <cell r="T5895" t="str">
            <v>Wira</v>
          </cell>
          <cell r="U5895">
            <v>0</v>
          </cell>
        </row>
        <row r="5896">
          <cell r="E5896" t="str">
            <v>A25001986</v>
          </cell>
          <cell r="F5896"/>
          <cell r="G5896">
            <v>200000000</v>
          </cell>
          <cell r="H5896" t="str">
            <v>Sheila</v>
          </cell>
          <cell r="I5896" t="str">
            <v>Exclusive</v>
          </cell>
          <cell r="J5896" t="str">
            <v>New 24/06/25</v>
          </cell>
          <cell r="K5896" t="str">
            <v>KU</v>
          </cell>
          <cell r="L5896" t="str">
            <v>ONLI01</v>
          </cell>
          <cell r="M5896" t="str">
            <v>Online Shop Shopee</v>
          </cell>
          <cell r="N5896" t="str">
            <v>Online Shop Shopee</v>
          </cell>
          <cell r="O5896" t="str">
            <v>Karisma</v>
          </cell>
          <cell r="P5896" t="str">
            <v>Jember</v>
          </cell>
          <cell r="Q5896" t="str">
            <v>Karisma</v>
          </cell>
          <cell r="R5896" t="str">
            <v>Jember</v>
          </cell>
          <cell r="S5896" t="str">
            <v>L Kota1</v>
          </cell>
          <cell r="T5896" t="str">
            <v>Wira</v>
          </cell>
          <cell r="U5896">
            <v>0</v>
          </cell>
        </row>
        <row r="5897">
          <cell r="E5897" t="str">
            <v>A25001987</v>
          </cell>
          <cell r="F5897"/>
          <cell r="G5897">
            <v>200000000</v>
          </cell>
          <cell r="H5897" t="str">
            <v>Sheila</v>
          </cell>
          <cell r="I5897" t="str">
            <v>Exclusive</v>
          </cell>
          <cell r="J5897" t="str">
            <v>New 24/06/25</v>
          </cell>
          <cell r="K5897" t="str">
            <v>KU</v>
          </cell>
          <cell r="L5897" t="str">
            <v>ONLI01</v>
          </cell>
          <cell r="M5897" t="str">
            <v>Online Shop Shopee</v>
          </cell>
          <cell r="N5897" t="str">
            <v>Online Shop Shopee</v>
          </cell>
          <cell r="O5897" t="str">
            <v>Karisma</v>
          </cell>
          <cell r="P5897" t="str">
            <v>Jember</v>
          </cell>
          <cell r="Q5897" t="str">
            <v>Karisma</v>
          </cell>
          <cell r="R5897" t="str">
            <v>Jember</v>
          </cell>
          <cell r="S5897" t="str">
            <v>L Kota1</v>
          </cell>
          <cell r="T5897" t="str">
            <v>Wira</v>
          </cell>
          <cell r="U5897">
            <v>0</v>
          </cell>
        </row>
        <row r="5898">
          <cell r="E5898" t="str">
            <v>A25001987</v>
          </cell>
          <cell r="F5898"/>
          <cell r="G5898">
            <v>200000000</v>
          </cell>
          <cell r="H5898" t="str">
            <v>Sheila</v>
          </cell>
          <cell r="I5898" t="str">
            <v>Exclusive</v>
          </cell>
          <cell r="J5898" t="str">
            <v>New 24/06/25</v>
          </cell>
          <cell r="K5898" t="str">
            <v>KU</v>
          </cell>
          <cell r="L5898" t="str">
            <v>ONLI01</v>
          </cell>
          <cell r="M5898" t="str">
            <v>Online Shop Shopee</v>
          </cell>
          <cell r="N5898" t="str">
            <v>Online Shop Shopee</v>
          </cell>
          <cell r="O5898" t="str">
            <v>Karisma</v>
          </cell>
          <cell r="P5898" t="str">
            <v>Jember</v>
          </cell>
          <cell r="Q5898" t="str">
            <v>Karisma</v>
          </cell>
          <cell r="R5898" t="str">
            <v>Jember</v>
          </cell>
          <cell r="S5898" t="str">
            <v>L Kota1</v>
          </cell>
          <cell r="T5898" t="str">
            <v>Wira</v>
          </cell>
          <cell r="U5898">
            <v>0</v>
          </cell>
        </row>
        <row r="5899">
          <cell r="E5899" t="str">
            <v>A25001988</v>
          </cell>
          <cell r="F5899"/>
          <cell r="G5899">
            <v>200000000</v>
          </cell>
          <cell r="H5899" t="str">
            <v>Sheila</v>
          </cell>
          <cell r="I5899" t="str">
            <v>Exclusive</v>
          </cell>
          <cell r="J5899" t="str">
            <v>New 24/06/25</v>
          </cell>
          <cell r="K5899" t="str">
            <v>KU</v>
          </cell>
          <cell r="L5899" t="str">
            <v>ONLI01</v>
          </cell>
          <cell r="M5899" t="str">
            <v>Online Shop Shopee</v>
          </cell>
          <cell r="N5899" t="str">
            <v>Online Shop Shopee</v>
          </cell>
          <cell r="O5899" t="str">
            <v>Karisma</v>
          </cell>
          <cell r="P5899" t="str">
            <v>Jember</v>
          </cell>
          <cell r="Q5899" t="str">
            <v>Karisma</v>
          </cell>
          <cell r="R5899" t="str">
            <v>Jember</v>
          </cell>
          <cell r="S5899" t="str">
            <v>L Kota1</v>
          </cell>
          <cell r="T5899" t="str">
            <v>Wira</v>
          </cell>
          <cell r="U5899">
            <v>0</v>
          </cell>
        </row>
        <row r="5900">
          <cell r="E5900" t="str">
            <v>A25001988</v>
          </cell>
          <cell r="F5900"/>
          <cell r="G5900">
            <v>200000000</v>
          </cell>
          <cell r="H5900" t="str">
            <v>Sheila</v>
          </cell>
          <cell r="I5900" t="str">
            <v>Exclusive</v>
          </cell>
          <cell r="J5900" t="str">
            <v>New 24/06/25</v>
          </cell>
          <cell r="K5900" t="str">
            <v>KU</v>
          </cell>
          <cell r="L5900" t="str">
            <v>ONLI01</v>
          </cell>
          <cell r="M5900" t="str">
            <v>Online Shop Shopee</v>
          </cell>
          <cell r="N5900" t="str">
            <v>Online Shop Shopee</v>
          </cell>
          <cell r="O5900" t="str">
            <v>Karisma</v>
          </cell>
          <cell r="P5900" t="str">
            <v>Jember</v>
          </cell>
          <cell r="Q5900" t="str">
            <v>Karisma</v>
          </cell>
          <cell r="R5900" t="str">
            <v>Jember</v>
          </cell>
          <cell r="S5900" t="str">
            <v>L Kota1</v>
          </cell>
          <cell r="T5900" t="str">
            <v>Wira</v>
          </cell>
          <cell r="U5900">
            <v>0</v>
          </cell>
        </row>
        <row r="5901">
          <cell r="E5901" t="str">
            <v>A25001989</v>
          </cell>
          <cell r="F5901"/>
          <cell r="G5901">
            <v>200000000</v>
          </cell>
          <cell r="H5901" t="str">
            <v>Sheila</v>
          </cell>
          <cell r="I5901" t="str">
            <v>Exclusive</v>
          </cell>
          <cell r="J5901" t="str">
            <v>New 24/06/25</v>
          </cell>
          <cell r="K5901" t="str">
            <v>KU</v>
          </cell>
          <cell r="L5901" t="str">
            <v>ONLI01</v>
          </cell>
          <cell r="M5901" t="str">
            <v>Online Shop Shopee</v>
          </cell>
          <cell r="N5901" t="str">
            <v>Online Shop Shopee</v>
          </cell>
          <cell r="O5901" t="str">
            <v>Karisma</v>
          </cell>
          <cell r="P5901" t="str">
            <v>Jember</v>
          </cell>
          <cell r="Q5901" t="str">
            <v>Karisma</v>
          </cell>
          <cell r="R5901" t="str">
            <v>Jember</v>
          </cell>
          <cell r="S5901" t="str">
            <v>L Kota1</v>
          </cell>
          <cell r="T5901" t="str">
            <v>Wira</v>
          </cell>
          <cell r="U5901">
            <v>0</v>
          </cell>
        </row>
        <row r="5902">
          <cell r="E5902" t="str">
            <v>A25001989</v>
          </cell>
          <cell r="F5902"/>
          <cell r="G5902">
            <v>200000000</v>
          </cell>
          <cell r="H5902" t="str">
            <v>Sheila</v>
          </cell>
          <cell r="I5902" t="str">
            <v>Exclusive</v>
          </cell>
          <cell r="J5902" t="str">
            <v>New 24/06/25</v>
          </cell>
          <cell r="K5902" t="str">
            <v>KU</v>
          </cell>
          <cell r="L5902" t="str">
            <v>ONLI01</v>
          </cell>
          <cell r="M5902" t="str">
            <v>Online Shop Shopee</v>
          </cell>
          <cell r="N5902" t="str">
            <v>Online Shop Shopee</v>
          </cell>
          <cell r="O5902" t="str">
            <v>Karisma</v>
          </cell>
          <cell r="P5902" t="str">
            <v>Jember</v>
          </cell>
          <cell r="Q5902" t="str">
            <v>Karisma</v>
          </cell>
          <cell r="R5902" t="str">
            <v>Jember</v>
          </cell>
          <cell r="S5902" t="str">
            <v>L Kota1</v>
          </cell>
          <cell r="T5902" t="str">
            <v>Wira</v>
          </cell>
          <cell r="U5902">
            <v>0</v>
          </cell>
        </row>
        <row r="5903">
          <cell r="E5903" t="str">
            <v>A25001990</v>
          </cell>
          <cell r="F5903"/>
          <cell r="G5903">
            <v>200000000</v>
          </cell>
          <cell r="H5903" t="str">
            <v>Sheila</v>
          </cell>
          <cell r="I5903" t="str">
            <v>Exclusive</v>
          </cell>
          <cell r="J5903" t="str">
            <v>New 24/06/25</v>
          </cell>
          <cell r="K5903" t="str">
            <v>KU</v>
          </cell>
          <cell r="L5903" t="str">
            <v>ONLI01</v>
          </cell>
          <cell r="M5903" t="str">
            <v>Online Shop Shopee</v>
          </cell>
          <cell r="N5903" t="str">
            <v>Online Shop Shopee</v>
          </cell>
          <cell r="O5903" t="str">
            <v>Karisma</v>
          </cell>
          <cell r="P5903" t="str">
            <v>Jember</v>
          </cell>
          <cell r="Q5903" t="str">
            <v>Karisma</v>
          </cell>
          <cell r="R5903" t="str">
            <v>Jember</v>
          </cell>
          <cell r="S5903" t="str">
            <v>L Kota1</v>
          </cell>
          <cell r="T5903" t="str">
            <v>Wira</v>
          </cell>
          <cell r="U5903">
            <v>0</v>
          </cell>
        </row>
        <row r="5904">
          <cell r="E5904" t="str">
            <v>A25001990</v>
          </cell>
          <cell r="F5904"/>
          <cell r="G5904">
            <v>200000000</v>
          </cell>
          <cell r="H5904" t="str">
            <v>Sheila</v>
          </cell>
          <cell r="I5904" t="str">
            <v>Exclusive</v>
          </cell>
          <cell r="J5904" t="str">
            <v>New 24/06/25</v>
          </cell>
          <cell r="K5904" t="str">
            <v>KU</v>
          </cell>
          <cell r="L5904" t="str">
            <v>ONLI01</v>
          </cell>
          <cell r="M5904" t="str">
            <v>Online Shop Shopee</v>
          </cell>
          <cell r="N5904" t="str">
            <v>Online Shop Shopee</v>
          </cell>
          <cell r="O5904" t="str">
            <v>Karisma</v>
          </cell>
          <cell r="P5904" t="str">
            <v>Jember</v>
          </cell>
          <cell r="Q5904" t="str">
            <v>Karisma</v>
          </cell>
          <cell r="R5904" t="str">
            <v>Jember</v>
          </cell>
          <cell r="S5904" t="str">
            <v>L Kota1</v>
          </cell>
          <cell r="T5904" t="str">
            <v>Wira</v>
          </cell>
          <cell r="U5904">
            <v>0</v>
          </cell>
        </row>
        <row r="5905">
          <cell r="E5905" t="str">
            <v>A25001991</v>
          </cell>
          <cell r="F5905"/>
          <cell r="G5905">
            <v>200000000</v>
          </cell>
          <cell r="H5905" t="str">
            <v>Sheila</v>
          </cell>
          <cell r="I5905" t="str">
            <v>Exclusive</v>
          </cell>
          <cell r="J5905" t="str">
            <v>New 24/06/25</v>
          </cell>
          <cell r="K5905" t="str">
            <v>KU</v>
          </cell>
          <cell r="L5905" t="str">
            <v>ONLI01</v>
          </cell>
          <cell r="M5905" t="str">
            <v>Online Shop Shopee</v>
          </cell>
          <cell r="N5905" t="str">
            <v>Online Shop Shopee</v>
          </cell>
          <cell r="O5905" t="str">
            <v>Karisma</v>
          </cell>
          <cell r="P5905" t="str">
            <v>Jember</v>
          </cell>
          <cell r="Q5905" t="str">
            <v>Karisma</v>
          </cell>
          <cell r="R5905" t="str">
            <v>Jember</v>
          </cell>
          <cell r="S5905" t="str">
            <v>L Kota1</v>
          </cell>
          <cell r="T5905" t="str">
            <v>Wira</v>
          </cell>
          <cell r="U5905">
            <v>0</v>
          </cell>
        </row>
        <row r="5906">
          <cell r="E5906" t="str">
            <v>A25001991</v>
          </cell>
          <cell r="F5906"/>
          <cell r="G5906">
            <v>200000000</v>
          </cell>
          <cell r="H5906" t="str">
            <v>Sheila</v>
          </cell>
          <cell r="I5906" t="str">
            <v>Exclusive</v>
          </cell>
          <cell r="J5906" t="str">
            <v>New 24/06/25</v>
          </cell>
          <cell r="K5906" t="str">
            <v>KU</v>
          </cell>
          <cell r="L5906" t="str">
            <v>ONLI01</v>
          </cell>
          <cell r="M5906" t="str">
            <v>Online Shop Shopee</v>
          </cell>
          <cell r="N5906" t="str">
            <v>Online Shop Shopee</v>
          </cell>
          <cell r="O5906" t="str">
            <v>Karisma</v>
          </cell>
          <cell r="P5906" t="str">
            <v>Jember</v>
          </cell>
          <cell r="Q5906" t="str">
            <v>Karisma</v>
          </cell>
          <cell r="R5906" t="str">
            <v>Jember</v>
          </cell>
          <cell r="S5906" t="str">
            <v>L Kota1</v>
          </cell>
          <cell r="T5906" t="str">
            <v>Wira</v>
          </cell>
          <cell r="U5906">
            <v>0</v>
          </cell>
        </row>
        <row r="5907">
          <cell r="E5907" t="str">
            <v>A25001992</v>
          </cell>
          <cell r="F5907"/>
          <cell r="G5907">
            <v>200000000</v>
          </cell>
          <cell r="H5907" t="str">
            <v>Sheila</v>
          </cell>
          <cell r="I5907" t="str">
            <v>Exclusive</v>
          </cell>
          <cell r="J5907" t="str">
            <v>New 24/06/25</v>
          </cell>
          <cell r="K5907" t="str">
            <v>KU</v>
          </cell>
          <cell r="L5907" t="str">
            <v>ONLI01</v>
          </cell>
          <cell r="M5907" t="str">
            <v>Online Shop Shopee</v>
          </cell>
          <cell r="N5907" t="str">
            <v>Online Shop Shopee</v>
          </cell>
          <cell r="O5907" t="str">
            <v>Karisma</v>
          </cell>
          <cell r="P5907" t="str">
            <v>Jember</v>
          </cell>
          <cell r="Q5907" t="str">
            <v>Karisma</v>
          </cell>
          <cell r="R5907" t="str">
            <v>Jember</v>
          </cell>
          <cell r="S5907" t="str">
            <v>L Kota1</v>
          </cell>
          <cell r="T5907" t="str">
            <v>Wira</v>
          </cell>
          <cell r="U5907">
            <v>0</v>
          </cell>
        </row>
        <row r="5908">
          <cell r="E5908" t="str">
            <v>A25001992</v>
          </cell>
          <cell r="F5908"/>
          <cell r="G5908">
            <v>200000000</v>
          </cell>
          <cell r="H5908" t="str">
            <v>Sheila</v>
          </cell>
          <cell r="I5908" t="str">
            <v>Exclusive</v>
          </cell>
          <cell r="J5908" t="str">
            <v>New 24/06/25</v>
          </cell>
          <cell r="K5908" t="str">
            <v>KU</v>
          </cell>
          <cell r="L5908" t="str">
            <v>ONLI01</v>
          </cell>
          <cell r="M5908" t="str">
            <v>Online Shop Shopee</v>
          </cell>
          <cell r="N5908" t="str">
            <v>Online Shop Shopee</v>
          </cell>
          <cell r="O5908" t="str">
            <v>Karisma</v>
          </cell>
          <cell r="P5908" t="str">
            <v>Jember</v>
          </cell>
          <cell r="Q5908" t="str">
            <v>Karisma</v>
          </cell>
          <cell r="R5908" t="str">
            <v>Jember</v>
          </cell>
          <cell r="S5908" t="str">
            <v>L Kota1</v>
          </cell>
          <cell r="T5908" t="str">
            <v>Wira</v>
          </cell>
          <cell r="U5908">
            <v>0</v>
          </cell>
        </row>
        <row r="5909">
          <cell r="E5909" t="str">
            <v>A25001993</v>
          </cell>
          <cell r="F5909"/>
          <cell r="G5909">
            <v>200000000</v>
          </cell>
          <cell r="H5909" t="str">
            <v>Sheila</v>
          </cell>
          <cell r="I5909" t="str">
            <v>Exclusive</v>
          </cell>
          <cell r="J5909" t="str">
            <v>New 24/06/25</v>
          </cell>
          <cell r="K5909" t="str">
            <v>KU</v>
          </cell>
          <cell r="L5909" t="str">
            <v>ONLI01</v>
          </cell>
          <cell r="M5909" t="str">
            <v>Online Shop Shopee</v>
          </cell>
          <cell r="N5909" t="str">
            <v>Online Shop Shopee</v>
          </cell>
          <cell r="O5909" t="str">
            <v>Karisma</v>
          </cell>
          <cell r="P5909" t="str">
            <v>Jember</v>
          </cell>
          <cell r="Q5909" t="str">
            <v>Karisma</v>
          </cell>
          <cell r="R5909" t="str">
            <v>Jember</v>
          </cell>
          <cell r="S5909" t="str">
            <v>L Kota1</v>
          </cell>
          <cell r="T5909" t="str">
            <v>Wira</v>
          </cell>
          <cell r="U5909">
            <v>0</v>
          </cell>
        </row>
        <row r="5910">
          <cell r="E5910" t="str">
            <v>A25001993</v>
          </cell>
          <cell r="F5910"/>
          <cell r="G5910">
            <v>200000000</v>
          </cell>
          <cell r="H5910" t="str">
            <v>Sheila</v>
          </cell>
          <cell r="I5910" t="str">
            <v>Exclusive</v>
          </cell>
          <cell r="J5910" t="str">
            <v>New 24/06/25</v>
          </cell>
          <cell r="K5910" t="str">
            <v>KU</v>
          </cell>
          <cell r="L5910" t="str">
            <v>ONLI01</v>
          </cell>
          <cell r="M5910" t="str">
            <v>Online Shop Shopee</v>
          </cell>
          <cell r="N5910" t="str">
            <v>Online Shop Shopee</v>
          </cell>
          <cell r="O5910" t="str">
            <v>Karisma</v>
          </cell>
          <cell r="P5910" t="str">
            <v>Jember</v>
          </cell>
          <cell r="Q5910" t="str">
            <v>Karisma</v>
          </cell>
          <cell r="R5910" t="str">
            <v>Jember</v>
          </cell>
          <cell r="S5910" t="str">
            <v>L Kota1</v>
          </cell>
          <cell r="T5910" t="str">
            <v>Wira</v>
          </cell>
          <cell r="U5910">
            <v>0</v>
          </cell>
        </row>
        <row r="5911">
          <cell r="E5911" t="str">
            <v>A25001994</v>
          </cell>
          <cell r="F5911"/>
          <cell r="G5911">
            <v>200000000</v>
          </cell>
          <cell r="H5911" t="str">
            <v>Sheila</v>
          </cell>
          <cell r="I5911" t="str">
            <v>Exclusive</v>
          </cell>
          <cell r="J5911" t="str">
            <v>New 24/06/25</v>
          </cell>
          <cell r="K5911" t="str">
            <v>KU</v>
          </cell>
          <cell r="L5911" t="str">
            <v>ONLI01</v>
          </cell>
          <cell r="M5911" t="str">
            <v>Online Shop Shopee</v>
          </cell>
          <cell r="N5911" t="str">
            <v>Online Shop Shopee</v>
          </cell>
          <cell r="O5911" t="str">
            <v>Karisma</v>
          </cell>
          <cell r="P5911" t="str">
            <v>Jember</v>
          </cell>
          <cell r="Q5911" t="str">
            <v>Karisma</v>
          </cell>
          <cell r="R5911" t="str">
            <v>Jember</v>
          </cell>
          <cell r="S5911" t="str">
            <v>L Kota1</v>
          </cell>
          <cell r="T5911" t="str">
            <v>Wira</v>
          </cell>
          <cell r="U5911">
            <v>0</v>
          </cell>
        </row>
        <row r="5912">
          <cell r="E5912" t="str">
            <v>A25001994</v>
          </cell>
          <cell r="F5912"/>
          <cell r="G5912">
            <v>200000000</v>
          </cell>
          <cell r="H5912" t="str">
            <v>Sheila</v>
          </cell>
          <cell r="I5912" t="str">
            <v>Exclusive</v>
          </cell>
          <cell r="J5912" t="str">
            <v>New 24/06/25</v>
          </cell>
          <cell r="K5912" t="str">
            <v>KU</v>
          </cell>
          <cell r="L5912" t="str">
            <v>ONLI01</v>
          </cell>
          <cell r="M5912" t="str">
            <v>Online Shop Shopee</v>
          </cell>
          <cell r="N5912" t="str">
            <v>Online Shop Shopee</v>
          </cell>
          <cell r="O5912" t="str">
            <v>Karisma</v>
          </cell>
          <cell r="P5912" t="str">
            <v>Jember</v>
          </cell>
          <cell r="Q5912" t="str">
            <v>Karisma</v>
          </cell>
          <cell r="R5912" t="str">
            <v>Jember</v>
          </cell>
          <cell r="S5912" t="str">
            <v>L Kota1</v>
          </cell>
          <cell r="T5912" t="str">
            <v>Wira</v>
          </cell>
          <cell r="U5912">
            <v>0</v>
          </cell>
        </row>
        <row r="5913">
          <cell r="E5913" t="str">
            <v>A25001998</v>
          </cell>
          <cell r="F5913"/>
          <cell r="G5913">
            <v>200000000</v>
          </cell>
          <cell r="H5913" t="str">
            <v>Sheila</v>
          </cell>
          <cell r="I5913" t="str">
            <v>Exclusive</v>
          </cell>
          <cell r="J5913" t="str">
            <v>New 24/06/25</v>
          </cell>
          <cell r="K5913" t="str">
            <v>KU</v>
          </cell>
          <cell r="L5913" t="str">
            <v>ONLI01</v>
          </cell>
          <cell r="M5913" t="str">
            <v>Online Shop Shopee</v>
          </cell>
          <cell r="N5913" t="str">
            <v>Online Shop Shopee</v>
          </cell>
          <cell r="O5913" t="str">
            <v>Karisma</v>
          </cell>
          <cell r="P5913" t="str">
            <v>Jember</v>
          </cell>
          <cell r="Q5913" t="str">
            <v>Karisma</v>
          </cell>
          <cell r="R5913" t="str">
            <v>Jember</v>
          </cell>
          <cell r="S5913" t="str">
            <v>L Kota1</v>
          </cell>
          <cell r="T5913" t="str">
            <v>Wira</v>
          </cell>
          <cell r="U5913">
            <v>0</v>
          </cell>
        </row>
        <row r="5914">
          <cell r="E5914" t="str">
            <v>A25001998</v>
          </cell>
          <cell r="F5914"/>
          <cell r="G5914">
            <v>200000000</v>
          </cell>
          <cell r="H5914" t="str">
            <v>Sheila</v>
          </cell>
          <cell r="I5914" t="str">
            <v>Exclusive</v>
          </cell>
          <cell r="J5914" t="str">
            <v>New 24/06/25</v>
          </cell>
          <cell r="K5914" t="str">
            <v>KU</v>
          </cell>
          <cell r="L5914" t="str">
            <v>ONLI01</v>
          </cell>
          <cell r="M5914" t="str">
            <v>Online Shop Shopee</v>
          </cell>
          <cell r="N5914" t="str">
            <v>Online Shop Shopee</v>
          </cell>
          <cell r="O5914" t="str">
            <v>Karisma</v>
          </cell>
          <cell r="P5914" t="str">
            <v>Jember</v>
          </cell>
          <cell r="Q5914" t="str">
            <v>Karisma</v>
          </cell>
          <cell r="R5914" t="str">
            <v>Jember</v>
          </cell>
          <cell r="S5914" t="str">
            <v>L Kota1</v>
          </cell>
          <cell r="T5914" t="str">
            <v>Wira</v>
          </cell>
          <cell r="U5914">
            <v>0</v>
          </cell>
        </row>
        <row r="5915">
          <cell r="E5915" t="str">
            <v>A25001999</v>
          </cell>
          <cell r="F5915"/>
          <cell r="G5915">
            <v>200000000</v>
          </cell>
          <cell r="H5915" t="str">
            <v>Sheila</v>
          </cell>
          <cell r="I5915" t="str">
            <v>Exclusive</v>
          </cell>
          <cell r="J5915" t="str">
            <v>New 24/06/25</v>
          </cell>
          <cell r="K5915" t="str">
            <v>KU</v>
          </cell>
          <cell r="L5915" t="str">
            <v>ONLI01</v>
          </cell>
          <cell r="M5915" t="str">
            <v>Online Shop Shopee</v>
          </cell>
          <cell r="N5915" t="str">
            <v>Online Shop Shopee</v>
          </cell>
          <cell r="O5915" t="str">
            <v>Karisma</v>
          </cell>
          <cell r="P5915" t="str">
            <v>Jember</v>
          </cell>
          <cell r="Q5915" t="str">
            <v>Karisma</v>
          </cell>
          <cell r="R5915" t="str">
            <v>Jember</v>
          </cell>
          <cell r="S5915" t="str">
            <v>L Kota1</v>
          </cell>
          <cell r="T5915" t="str">
            <v>Wira</v>
          </cell>
          <cell r="U5915">
            <v>0</v>
          </cell>
        </row>
        <row r="5916">
          <cell r="E5916" t="str">
            <v>A25001999</v>
          </cell>
          <cell r="F5916"/>
          <cell r="G5916">
            <v>200000000</v>
          </cell>
          <cell r="H5916" t="str">
            <v>Sheila</v>
          </cell>
          <cell r="I5916" t="str">
            <v>Exclusive</v>
          </cell>
          <cell r="J5916" t="str">
            <v>New 24/06/25</v>
          </cell>
          <cell r="K5916" t="str">
            <v>KU</v>
          </cell>
          <cell r="L5916" t="str">
            <v>ONLI01</v>
          </cell>
          <cell r="M5916" t="str">
            <v>Online Shop Shopee</v>
          </cell>
          <cell r="N5916" t="str">
            <v>Online Shop Shopee</v>
          </cell>
          <cell r="O5916" t="str">
            <v>Karisma</v>
          </cell>
          <cell r="P5916" t="str">
            <v>Jember</v>
          </cell>
          <cell r="Q5916" t="str">
            <v>Karisma</v>
          </cell>
          <cell r="R5916" t="str">
            <v>Jember</v>
          </cell>
          <cell r="S5916" t="str">
            <v>L Kota1</v>
          </cell>
          <cell r="T5916" t="str">
            <v>Wira</v>
          </cell>
          <cell r="U5916">
            <v>0</v>
          </cell>
        </row>
        <row r="5917">
          <cell r="E5917" t="str">
            <v>A25002000</v>
          </cell>
          <cell r="F5917"/>
          <cell r="G5917">
            <v>200000000</v>
          </cell>
          <cell r="H5917" t="str">
            <v>Sheila</v>
          </cell>
          <cell r="I5917" t="str">
            <v>Exclusive</v>
          </cell>
          <cell r="J5917" t="str">
            <v>New 24/06/25</v>
          </cell>
          <cell r="K5917" t="str">
            <v>KU</v>
          </cell>
          <cell r="L5917" t="str">
            <v>ONLI01</v>
          </cell>
          <cell r="M5917" t="str">
            <v>Online Shop Shopee</v>
          </cell>
          <cell r="N5917" t="str">
            <v>Online Shop Shopee</v>
          </cell>
          <cell r="O5917" t="str">
            <v>Karisma</v>
          </cell>
          <cell r="P5917" t="str">
            <v>Jember</v>
          </cell>
          <cell r="Q5917" t="str">
            <v>Karisma</v>
          </cell>
          <cell r="R5917" t="str">
            <v>Jember</v>
          </cell>
          <cell r="S5917" t="str">
            <v>L Kota1</v>
          </cell>
          <cell r="T5917" t="str">
            <v>Wira</v>
          </cell>
          <cell r="U5917">
            <v>0</v>
          </cell>
        </row>
        <row r="5918">
          <cell r="E5918" t="str">
            <v>A25002000</v>
          </cell>
          <cell r="F5918"/>
          <cell r="G5918">
            <v>200000000</v>
          </cell>
          <cell r="H5918" t="str">
            <v>Sheila</v>
          </cell>
          <cell r="I5918" t="str">
            <v>Exclusive</v>
          </cell>
          <cell r="J5918" t="str">
            <v>New 24/06/25</v>
          </cell>
          <cell r="K5918" t="str">
            <v>KU</v>
          </cell>
          <cell r="L5918" t="str">
            <v>ONLI01</v>
          </cell>
          <cell r="M5918" t="str">
            <v>Online Shop Shopee</v>
          </cell>
          <cell r="N5918" t="str">
            <v>Online Shop Shopee</v>
          </cell>
          <cell r="O5918" t="str">
            <v>Karisma</v>
          </cell>
          <cell r="P5918" t="str">
            <v>Jember</v>
          </cell>
          <cell r="Q5918" t="str">
            <v>Karisma</v>
          </cell>
          <cell r="R5918" t="str">
            <v>Jember</v>
          </cell>
          <cell r="S5918" t="str">
            <v>L Kota1</v>
          </cell>
          <cell r="T5918" t="str">
            <v>Wira</v>
          </cell>
          <cell r="U5918">
            <v>0</v>
          </cell>
        </row>
        <row r="5919">
          <cell r="E5919" t="str">
            <v>A25002002</v>
          </cell>
          <cell r="F5919"/>
          <cell r="G5919">
            <v>200000000</v>
          </cell>
          <cell r="H5919" t="str">
            <v>Sheila</v>
          </cell>
          <cell r="I5919" t="str">
            <v>Exclusive</v>
          </cell>
          <cell r="J5919" t="str">
            <v>New 24/06/25</v>
          </cell>
          <cell r="K5919" t="str">
            <v>KU</v>
          </cell>
          <cell r="L5919" t="str">
            <v>ONLI01</v>
          </cell>
          <cell r="M5919" t="str">
            <v>Online Shop Shopee</v>
          </cell>
          <cell r="N5919" t="str">
            <v>Online Shop Shopee</v>
          </cell>
          <cell r="O5919" t="str">
            <v>Karisma</v>
          </cell>
          <cell r="P5919" t="str">
            <v>Jember</v>
          </cell>
          <cell r="Q5919" t="str">
            <v>Karisma</v>
          </cell>
          <cell r="R5919" t="str">
            <v>Jember</v>
          </cell>
          <cell r="S5919" t="str">
            <v>L Kota1</v>
          </cell>
          <cell r="T5919" t="str">
            <v>Wira</v>
          </cell>
          <cell r="U5919">
            <v>0</v>
          </cell>
        </row>
        <row r="5920">
          <cell r="E5920" t="str">
            <v>A25002002</v>
          </cell>
          <cell r="F5920"/>
          <cell r="G5920">
            <v>200000000</v>
          </cell>
          <cell r="H5920" t="str">
            <v>Sheila</v>
          </cell>
          <cell r="I5920" t="str">
            <v>Exclusive</v>
          </cell>
          <cell r="J5920" t="str">
            <v>New 24/06/25</v>
          </cell>
          <cell r="K5920" t="str">
            <v>KU</v>
          </cell>
          <cell r="L5920" t="str">
            <v>ONLI01</v>
          </cell>
          <cell r="M5920" t="str">
            <v>Online Shop Shopee</v>
          </cell>
          <cell r="N5920" t="str">
            <v>Online Shop Shopee</v>
          </cell>
          <cell r="O5920" t="str">
            <v>Karisma</v>
          </cell>
          <cell r="P5920" t="str">
            <v>Jember</v>
          </cell>
          <cell r="Q5920" t="str">
            <v>Karisma</v>
          </cell>
          <cell r="R5920" t="str">
            <v>Jember</v>
          </cell>
          <cell r="S5920" t="str">
            <v>L Kota1</v>
          </cell>
          <cell r="T5920" t="str">
            <v>Wira</v>
          </cell>
          <cell r="U5920">
            <v>0</v>
          </cell>
        </row>
        <row r="5921">
          <cell r="E5921" t="str">
            <v>A25002003</v>
          </cell>
          <cell r="F5921"/>
          <cell r="G5921">
            <v>200000000</v>
          </cell>
          <cell r="H5921" t="str">
            <v>Sheila</v>
          </cell>
          <cell r="I5921" t="str">
            <v>Exclusive</v>
          </cell>
          <cell r="J5921" t="str">
            <v>New 24/06/25</v>
          </cell>
          <cell r="K5921" t="str">
            <v>KU</v>
          </cell>
          <cell r="L5921" t="str">
            <v>ONLI01</v>
          </cell>
          <cell r="M5921" t="str">
            <v>Online Shop Shopee</v>
          </cell>
          <cell r="N5921" t="str">
            <v>Online Shop Shopee</v>
          </cell>
          <cell r="O5921" t="str">
            <v>Karisma</v>
          </cell>
          <cell r="P5921" t="str">
            <v>Jember</v>
          </cell>
          <cell r="Q5921" t="str">
            <v>Karisma</v>
          </cell>
          <cell r="R5921" t="str">
            <v>Jember</v>
          </cell>
          <cell r="S5921" t="str">
            <v>L Kota1</v>
          </cell>
          <cell r="T5921" t="str">
            <v>Wira</v>
          </cell>
          <cell r="U5921">
            <v>0</v>
          </cell>
        </row>
        <row r="5922">
          <cell r="E5922" t="str">
            <v>A25002003</v>
          </cell>
          <cell r="F5922"/>
          <cell r="G5922">
            <v>200000000</v>
          </cell>
          <cell r="H5922" t="str">
            <v>Sheila</v>
          </cell>
          <cell r="I5922" t="str">
            <v>Exclusive</v>
          </cell>
          <cell r="J5922" t="str">
            <v>New 24/06/25</v>
          </cell>
          <cell r="K5922" t="str">
            <v>KU</v>
          </cell>
          <cell r="L5922" t="str">
            <v>ONLI01</v>
          </cell>
          <cell r="M5922" t="str">
            <v>Online Shop Shopee</v>
          </cell>
          <cell r="N5922" t="str">
            <v>Online Shop Shopee</v>
          </cell>
          <cell r="O5922" t="str">
            <v>Karisma</v>
          </cell>
          <cell r="P5922" t="str">
            <v>Jember</v>
          </cell>
          <cell r="Q5922" t="str">
            <v>Karisma</v>
          </cell>
          <cell r="R5922" t="str">
            <v>Jember</v>
          </cell>
          <cell r="S5922" t="str">
            <v>L Kota1</v>
          </cell>
          <cell r="T5922" t="str">
            <v>Wira</v>
          </cell>
          <cell r="U5922">
            <v>0</v>
          </cell>
        </row>
        <row r="5923">
          <cell r="E5923" t="str">
            <v>A25002004</v>
          </cell>
          <cell r="F5923"/>
          <cell r="G5923">
            <v>200000000</v>
          </cell>
          <cell r="H5923" t="str">
            <v>Sheila</v>
          </cell>
          <cell r="I5923" t="str">
            <v>Exclusive</v>
          </cell>
          <cell r="J5923" t="str">
            <v>New 24/06/25</v>
          </cell>
          <cell r="K5923" t="str">
            <v>KU</v>
          </cell>
          <cell r="L5923" t="str">
            <v>ONLI01</v>
          </cell>
          <cell r="M5923" t="str">
            <v>Online Shop Shopee</v>
          </cell>
          <cell r="N5923" t="str">
            <v>Online Shop Shopee</v>
          </cell>
          <cell r="O5923" t="str">
            <v>Karisma</v>
          </cell>
          <cell r="P5923" t="str">
            <v>Jember</v>
          </cell>
          <cell r="Q5923" t="str">
            <v>Karisma</v>
          </cell>
          <cell r="R5923" t="str">
            <v>Jember</v>
          </cell>
          <cell r="S5923" t="str">
            <v>L Kota1</v>
          </cell>
          <cell r="T5923" t="str">
            <v>Wira</v>
          </cell>
          <cell r="U5923">
            <v>0</v>
          </cell>
        </row>
        <row r="5924">
          <cell r="E5924" t="str">
            <v>A25002004</v>
          </cell>
          <cell r="F5924"/>
          <cell r="G5924">
            <v>200000000</v>
          </cell>
          <cell r="H5924" t="str">
            <v>Sheila</v>
          </cell>
          <cell r="I5924" t="str">
            <v>Exclusive</v>
          </cell>
          <cell r="J5924" t="str">
            <v>New 24/06/25</v>
          </cell>
          <cell r="K5924" t="str">
            <v>KU</v>
          </cell>
          <cell r="L5924" t="str">
            <v>ONLI01</v>
          </cell>
          <cell r="M5924" t="str">
            <v>Online Shop Shopee</v>
          </cell>
          <cell r="N5924" t="str">
            <v>Online Shop Shopee</v>
          </cell>
          <cell r="O5924" t="str">
            <v>Karisma</v>
          </cell>
          <cell r="P5924" t="str">
            <v>Jember</v>
          </cell>
          <cell r="Q5924" t="str">
            <v>Karisma</v>
          </cell>
          <cell r="R5924" t="str">
            <v>Jember</v>
          </cell>
          <cell r="S5924" t="str">
            <v>L Kota1</v>
          </cell>
          <cell r="T5924" t="str">
            <v>Wira</v>
          </cell>
          <cell r="U5924">
            <v>0</v>
          </cell>
        </row>
        <row r="5925">
          <cell r="E5925" t="str">
            <v>A25002005</v>
          </cell>
          <cell r="F5925"/>
          <cell r="G5925">
            <v>200000000</v>
          </cell>
          <cell r="H5925" t="str">
            <v>Sheila</v>
          </cell>
          <cell r="I5925" t="str">
            <v>Exclusive</v>
          </cell>
          <cell r="J5925" t="str">
            <v>New 24/06/25</v>
          </cell>
          <cell r="K5925" t="str">
            <v>KU</v>
          </cell>
          <cell r="L5925" t="str">
            <v>ONLI01</v>
          </cell>
          <cell r="M5925" t="str">
            <v>Online Shop Shopee</v>
          </cell>
          <cell r="N5925" t="str">
            <v>Online Shop Shopee</v>
          </cell>
          <cell r="O5925" t="str">
            <v>Karisma</v>
          </cell>
          <cell r="P5925" t="str">
            <v>Jember</v>
          </cell>
          <cell r="Q5925" t="str">
            <v>Karisma</v>
          </cell>
          <cell r="R5925" t="str">
            <v>Jember</v>
          </cell>
          <cell r="S5925" t="str">
            <v>L Kota1</v>
          </cell>
          <cell r="T5925" t="str">
            <v>Wira</v>
          </cell>
          <cell r="U5925">
            <v>0</v>
          </cell>
        </row>
        <row r="5926">
          <cell r="E5926" t="str">
            <v>A25002005</v>
          </cell>
          <cell r="F5926"/>
          <cell r="G5926">
            <v>200000000</v>
          </cell>
          <cell r="H5926" t="str">
            <v>Sheila</v>
          </cell>
          <cell r="I5926" t="str">
            <v>Exclusive</v>
          </cell>
          <cell r="J5926" t="str">
            <v>New 24/06/25</v>
          </cell>
          <cell r="K5926" t="str">
            <v>KU</v>
          </cell>
          <cell r="L5926" t="str">
            <v>ONLI01</v>
          </cell>
          <cell r="M5926" t="str">
            <v>Online Shop Shopee</v>
          </cell>
          <cell r="N5926" t="str">
            <v>Online Shop Shopee</v>
          </cell>
          <cell r="O5926" t="str">
            <v>Karisma</v>
          </cell>
          <cell r="P5926" t="str">
            <v>Jember</v>
          </cell>
          <cell r="Q5926" t="str">
            <v>Karisma</v>
          </cell>
          <cell r="R5926" t="str">
            <v>Jember</v>
          </cell>
          <cell r="S5926" t="str">
            <v>L Kota1</v>
          </cell>
          <cell r="T5926" t="str">
            <v>Wira</v>
          </cell>
          <cell r="U5926">
            <v>0</v>
          </cell>
        </row>
        <row r="5927">
          <cell r="E5927" t="str">
            <v>A25002006</v>
          </cell>
          <cell r="F5927"/>
          <cell r="G5927">
            <v>200000000</v>
          </cell>
          <cell r="H5927" t="str">
            <v>Sheila</v>
          </cell>
          <cell r="I5927" t="str">
            <v>Exclusive</v>
          </cell>
          <cell r="J5927" t="str">
            <v>New 24/06/25</v>
          </cell>
          <cell r="K5927" t="str">
            <v>KU</v>
          </cell>
          <cell r="L5927" t="str">
            <v>ONLI01</v>
          </cell>
          <cell r="M5927" t="str">
            <v>Online Shop Shopee</v>
          </cell>
          <cell r="N5927" t="str">
            <v>Online Shop Shopee</v>
          </cell>
          <cell r="O5927" t="str">
            <v>Karisma</v>
          </cell>
          <cell r="P5927" t="str">
            <v>Jember</v>
          </cell>
          <cell r="Q5927" t="str">
            <v>Karisma</v>
          </cell>
          <cell r="R5927" t="str">
            <v>Jember</v>
          </cell>
          <cell r="S5927" t="str">
            <v>L Kota1</v>
          </cell>
          <cell r="T5927" t="str">
            <v>Wira</v>
          </cell>
          <cell r="U5927">
            <v>0</v>
          </cell>
        </row>
        <row r="5928">
          <cell r="E5928" t="str">
            <v>A25002006</v>
          </cell>
          <cell r="F5928"/>
          <cell r="G5928">
            <v>200000000</v>
          </cell>
          <cell r="H5928" t="str">
            <v>Sheila</v>
          </cell>
          <cell r="I5928" t="str">
            <v>Exclusive</v>
          </cell>
          <cell r="J5928" t="str">
            <v>New 24/06/25</v>
          </cell>
          <cell r="K5928" t="str">
            <v>KU</v>
          </cell>
          <cell r="L5928" t="str">
            <v>ONLI01</v>
          </cell>
          <cell r="M5928" t="str">
            <v>Online Shop Shopee</v>
          </cell>
          <cell r="N5928" t="str">
            <v>Online Shop Shopee</v>
          </cell>
          <cell r="O5928" t="str">
            <v>Karisma</v>
          </cell>
          <cell r="P5928" t="str">
            <v>Jember</v>
          </cell>
          <cell r="Q5928" t="str">
            <v>Karisma</v>
          </cell>
          <cell r="R5928" t="str">
            <v>Jember</v>
          </cell>
          <cell r="S5928" t="str">
            <v>L Kota1</v>
          </cell>
          <cell r="T5928" t="str">
            <v>Wira</v>
          </cell>
          <cell r="U5928">
            <v>0</v>
          </cell>
        </row>
        <row r="5929">
          <cell r="E5929" t="str">
            <v>A25002007</v>
          </cell>
          <cell r="F5929"/>
          <cell r="G5929">
            <v>200000000</v>
          </cell>
          <cell r="H5929" t="str">
            <v>Sheila</v>
          </cell>
          <cell r="I5929" t="str">
            <v>Exclusive</v>
          </cell>
          <cell r="J5929" t="str">
            <v>New 24/06/25</v>
          </cell>
          <cell r="K5929" t="str">
            <v>KU</v>
          </cell>
          <cell r="L5929" t="str">
            <v>ONLI01</v>
          </cell>
          <cell r="M5929" t="str">
            <v>Online Shop Shopee</v>
          </cell>
          <cell r="N5929" t="str">
            <v>Online Shop Shopee</v>
          </cell>
          <cell r="O5929" t="str">
            <v>Karisma</v>
          </cell>
          <cell r="P5929" t="str">
            <v>Jember</v>
          </cell>
          <cell r="Q5929" t="str">
            <v>Karisma</v>
          </cell>
          <cell r="R5929" t="str">
            <v>Jember</v>
          </cell>
          <cell r="S5929" t="str">
            <v>L Kota1</v>
          </cell>
          <cell r="T5929" t="str">
            <v>Wira</v>
          </cell>
          <cell r="U5929">
            <v>0</v>
          </cell>
        </row>
        <row r="5930">
          <cell r="E5930" t="str">
            <v>A25002007</v>
          </cell>
          <cell r="F5930"/>
          <cell r="G5930">
            <v>200000000</v>
          </cell>
          <cell r="H5930" t="str">
            <v>Sheila</v>
          </cell>
          <cell r="I5930" t="str">
            <v>Exclusive</v>
          </cell>
          <cell r="J5930" t="str">
            <v>New 24/06/25</v>
          </cell>
          <cell r="K5930" t="str">
            <v>KU</v>
          </cell>
          <cell r="L5930" t="str">
            <v>ONLI01</v>
          </cell>
          <cell r="M5930" t="str">
            <v>Online Shop Shopee</v>
          </cell>
          <cell r="N5930" t="str">
            <v>Online Shop Shopee</v>
          </cell>
          <cell r="O5930" t="str">
            <v>Karisma</v>
          </cell>
          <cell r="P5930" t="str">
            <v>Jember</v>
          </cell>
          <cell r="Q5930" t="str">
            <v>Karisma</v>
          </cell>
          <cell r="R5930" t="str">
            <v>Jember</v>
          </cell>
          <cell r="S5930" t="str">
            <v>L Kota1</v>
          </cell>
          <cell r="T5930" t="str">
            <v>Wira</v>
          </cell>
          <cell r="U5930">
            <v>0</v>
          </cell>
        </row>
        <row r="5931">
          <cell r="E5931" t="str">
            <v>A25002008</v>
          </cell>
          <cell r="F5931"/>
          <cell r="G5931">
            <v>200000000</v>
          </cell>
          <cell r="H5931" t="str">
            <v>Sheila</v>
          </cell>
          <cell r="I5931" t="str">
            <v>Exclusive</v>
          </cell>
          <cell r="J5931" t="str">
            <v>New 24/06/25</v>
          </cell>
          <cell r="K5931" t="str">
            <v>KU</v>
          </cell>
          <cell r="L5931" t="str">
            <v>ONLI01</v>
          </cell>
          <cell r="M5931" t="str">
            <v>Online Shop Shopee</v>
          </cell>
          <cell r="N5931" t="str">
            <v>Online Shop Shopee</v>
          </cell>
          <cell r="O5931" t="str">
            <v>Karisma</v>
          </cell>
          <cell r="P5931" t="str">
            <v>Jember</v>
          </cell>
          <cell r="Q5931" t="str">
            <v>Karisma</v>
          </cell>
          <cell r="R5931" t="str">
            <v>Jember</v>
          </cell>
          <cell r="S5931" t="str">
            <v>L Kota1</v>
          </cell>
          <cell r="T5931" t="str">
            <v>Wira</v>
          </cell>
          <cell r="U5931">
            <v>0</v>
          </cell>
        </row>
        <row r="5932">
          <cell r="E5932" t="str">
            <v>A25002009</v>
          </cell>
          <cell r="F5932"/>
          <cell r="G5932">
            <v>200000000</v>
          </cell>
          <cell r="H5932" t="str">
            <v>Sheila</v>
          </cell>
          <cell r="I5932" t="str">
            <v>Exclusive</v>
          </cell>
          <cell r="J5932" t="str">
            <v>New 24/06/25</v>
          </cell>
          <cell r="K5932" t="str">
            <v>KU</v>
          </cell>
          <cell r="L5932" t="str">
            <v>ONLI01</v>
          </cell>
          <cell r="M5932" t="str">
            <v>Online Shop Shopee</v>
          </cell>
          <cell r="N5932" t="str">
            <v>Online Shop Shopee</v>
          </cell>
          <cell r="O5932" t="str">
            <v>Karisma</v>
          </cell>
          <cell r="P5932" t="str">
            <v>Jember</v>
          </cell>
          <cell r="Q5932" t="str">
            <v>Karisma</v>
          </cell>
          <cell r="R5932" t="str">
            <v>Jember</v>
          </cell>
          <cell r="S5932" t="str">
            <v>L Kota1</v>
          </cell>
          <cell r="T5932" t="str">
            <v>Wira</v>
          </cell>
          <cell r="U5932">
            <v>0</v>
          </cell>
        </row>
        <row r="5933">
          <cell r="E5933" t="str">
            <v>A25002009</v>
          </cell>
          <cell r="F5933"/>
          <cell r="G5933">
            <v>200000000</v>
          </cell>
          <cell r="H5933" t="str">
            <v>Sheila</v>
          </cell>
          <cell r="I5933" t="str">
            <v>Exclusive</v>
          </cell>
          <cell r="J5933" t="str">
            <v>New 24/06/25</v>
          </cell>
          <cell r="K5933" t="str">
            <v>KU</v>
          </cell>
          <cell r="L5933" t="str">
            <v>ONLI01</v>
          </cell>
          <cell r="M5933" t="str">
            <v>Online Shop Shopee</v>
          </cell>
          <cell r="N5933" t="str">
            <v>Online Shop Shopee</v>
          </cell>
          <cell r="O5933" t="str">
            <v>Karisma</v>
          </cell>
          <cell r="P5933" t="str">
            <v>Jember</v>
          </cell>
          <cell r="Q5933" t="str">
            <v>Karisma</v>
          </cell>
          <cell r="R5933" t="str">
            <v>Jember</v>
          </cell>
          <cell r="S5933" t="str">
            <v>L Kota1</v>
          </cell>
          <cell r="T5933" t="str">
            <v>Wira</v>
          </cell>
          <cell r="U5933">
            <v>0</v>
          </cell>
        </row>
        <row r="5934">
          <cell r="E5934" t="str">
            <v>A25002010</v>
          </cell>
          <cell r="F5934"/>
          <cell r="G5934">
            <v>200000000</v>
          </cell>
          <cell r="H5934" t="str">
            <v>Sheila</v>
          </cell>
          <cell r="I5934" t="str">
            <v>Exclusive</v>
          </cell>
          <cell r="J5934" t="str">
            <v>New 24/06/25</v>
          </cell>
          <cell r="K5934" t="str">
            <v>KU</v>
          </cell>
          <cell r="L5934" t="str">
            <v>ONLI01</v>
          </cell>
          <cell r="M5934" t="str">
            <v>Online Shop Shopee</v>
          </cell>
          <cell r="N5934" t="str">
            <v>Online Shop Shopee</v>
          </cell>
          <cell r="O5934" t="str">
            <v>Karisma</v>
          </cell>
          <cell r="P5934" t="str">
            <v>Jember</v>
          </cell>
          <cell r="Q5934" t="str">
            <v>Karisma</v>
          </cell>
          <cell r="R5934" t="str">
            <v>Jember</v>
          </cell>
          <cell r="S5934" t="str">
            <v>L Kota1</v>
          </cell>
          <cell r="T5934" t="str">
            <v>Wira</v>
          </cell>
          <cell r="U5934">
            <v>0</v>
          </cell>
        </row>
        <row r="5935">
          <cell r="E5935" t="str">
            <v>A25002010</v>
          </cell>
          <cell r="F5935"/>
          <cell r="G5935">
            <v>200000000</v>
          </cell>
          <cell r="H5935" t="str">
            <v>Sheila</v>
          </cell>
          <cell r="I5935" t="str">
            <v>Exclusive</v>
          </cell>
          <cell r="J5935" t="str">
            <v>New 24/06/25</v>
          </cell>
          <cell r="K5935" t="str">
            <v>KU</v>
          </cell>
          <cell r="L5935" t="str">
            <v>ONLI01</v>
          </cell>
          <cell r="M5935" t="str">
            <v>Online Shop Shopee</v>
          </cell>
          <cell r="N5935" t="str">
            <v>Online Shop Shopee</v>
          </cell>
          <cell r="O5935" t="str">
            <v>Karisma</v>
          </cell>
          <cell r="P5935" t="str">
            <v>Jember</v>
          </cell>
          <cell r="Q5935" t="str">
            <v>Karisma</v>
          </cell>
          <cell r="R5935" t="str">
            <v>Jember</v>
          </cell>
          <cell r="S5935" t="str">
            <v>L Kota1</v>
          </cell>
          <cell r="T5935" t="str">
            <v>Wira</v>
          </cell>
          <cell r="U5935">
            <v>0</v>
          </cell>
        </row>
        <row r="5936">
          <cell r="E5936" t="str">
            <v>A25002011</v>
          </cell>
          <cell r="F5936"/>
          <cell r="G5936">
            <v>200000000</v>
          </cell>
          <cell r="H5936" t="str">
            <v>Sheila</v>
          </cell>
          <cell r="I5936" t="str">
            <v>Exclusive</v>
          </cell>
          <cell r="J5936" t="str">
            <v>New 24/06/25</v>
          </cell>
          <cell r="K5936" t="str">
            <v>KU</v>
          </cell>
          <cell r="L5936" t="str">
            <v>ONLI01</v>
          </cell>
          <cell r="M5936" t="str">
            <v>Online Shop Shopee</v>
          </cell>
          <cell r="N5936" t="str">
            <v>Online Shop Shopee</v>
          </cell>
          <cell r="O5936" t="str">
            <v>Karisma</v>
          </cell>
          <cell r="P5936" t="str">
            <v>Jember</v>
          </cell>
          <cell r="Q5936" t="str">
            <v>Karisma</v>
          </cell>
          <cell r="R5936" t="str">
            <v>Jember</v>
          </cell>
          <cell r="S5936" t="str">
            <v>L Kota1</v>
          </cell>
          <cell r="T5936" t="str">
            <v>Wira</v>
          </cell>
          <cell r="U5936">
            <v>0</v>
          </cell>
        </row>
        <row r="5937">
          <cell r="E5937" t="str">
            <v>A25002011</v>
          </cell>
          <cell r="F5937"/>
          <cell r="G5937">
            <v>200000000</v>
          </cell>
          <cell r="H5937" t="str">
            <v>Sheila</v>
          </cell>
          <cell r="I5937" t="str">
            <v>Exclusive</v>
          </cell>
          <cell r="J5937" t="str">
            <v>New 24/06/25</v>
          </cell>
          <cell r="K5937" t="str">
            <v>KU</v>
          </cell>
          <cell r="L5937" t="str">
            <v>ONLI01</v>
          </cell>
          <cell r="M5937" t="str">
            <v>Online Shop Shopee</v>
          </cell>
          <cell r="N5937" t="str">
            <v>Online Shop Shopee</v>
          </cell>
          <cell r="O5937" t="str">
            <v>Karisma</v>
          </cell>
          <cell r="P5937" t="str">
            <v>Jember</v>
          </cell>
          <cell r="Q5937" t="str">
            <v>Karisma</v>
          </cell>
          <cell r="R5937" t="str">
            <v>Jember</v>
          </cell>
          <cell r="S5937" t="str">
            <v>L Kota1</v>
          </cell>
          <cell r="T5937" t="str">
            <v>Wira</v>
          </cell>
          <cell r="U5937">
            <v>0</v>
          </cell>
        </row>
        <row r="5938">
          <cell r="E5938" t="str">
            <v>A25002013</v>
          </cell>
          <cell r="F5938"/>
          <cell r="G5938">
            <v>200000000</v>
          </cell>
          <cell r="H5938" t="str">
            <v>Sheila</v>
          </cell>
          <cell r="I5938" t="str">
            <v>Exclusive</v>
          </cell>
          <cell r="J5938" t="str">
            <v>New 24/06/25</v>
          </cell>
          <cell r="K5938" t="str">
            <v>KU</v>
          </cell>
          <cell r="L5938" t="str">
            <v>ONLI01</v>
          </cell>
          <cell r="M5938" t="str">
            <v>Online Shop Shopee</v>
          </cell>
          <cell r="N5938" t="str">
            <v>Online Shop Shopee</v>
          </cell>
          <cell r="O5938" t="str">
            <v>Karisma</v>
          </cell>
          <cell r="P5938" t="str">
            <v>Jember</v>
          </cell>
          <cell r="Q5938" t="str">
            <v>Karisma</v>
          </cell>
          <cell r="R5938" t="str">
            <v>Jember</v>
          </cell>
          <cell r="S5938" t="str">
            <v>L Kota1</v>
          </cell>
          <cell r="T5938" t="str">
            <v>Wira</v>
          </cell>
          <cell r="U5938">
            <v>0</v>
          </cell>
        </row>
        <row r="5939">
          <cell r="E5939" t="str">
            <v>A25002013</v>
          </cell>
          <cell r="F5939"/>
          <cell r="G5939">
            <v>200000000</v>
          </cell>
          <cell r="H5939" t="str">
            <v>Sheila</v>
          </cell>
          <cell r="I5939" t="str">
            <v>Exclusive</v>
          </cell>
          <cell r="J5939" t="str">
            <v>New 24/06/25</v>
          </cell>
          <cell r="K5939" t="str">
            <v>KU</v>
          </cell>
          <cell r="L5939" t="str">
            <v>ONLI01</v>
          </cell>
          <cell r="M5939" t="str">
            <v>Online Shop Shopee</v>
          </cell>
          <cell r="N5939" t="str">
            <v>Online Shop Shopee</v>
          </cell>
          <cell r="O5939" t="str">
            <v>Karisma</v>
          </cell>
          <cell r="P5939" t="str">
            <v>Jember</v>
          </cell>
          <cell r="Q5939" t="str">
            <v>Karisma</v>
          </cell>
          <cell r="R5939" t="str">
            <v>Jember</v>
          </cell>
          <cell r="S5939" t="str">
            <v>L Kota1</v>
          </cell>
          <cell r="T5939" t="str">
            <v>Wira</v>
          </cell>
          <cell r="U5939">
            <v>0</v>
          </cell>
        </row>
        <row r="5940">
          <cell r="E5940" t="str">
            <v>A25002015</v>
          </cell>
          <cell r="F5940"/>
          <cell r="G5940">
            <v>200000000</v>
          </cell>
          <cell r="H5940" t="str">
            <v>Sheila</v>
          </cell>
          <cell r="I5940" t="str">
            <v>Exclusive</v>
          </cell>
          <cell r="J5940" t="str">
            <v>New 24/06/25</v>
          </cell>
          <cell r="K5940" t="str">
            <v>KU</v>
          </cell>
          <cell r="L5940" t="str">
            <v>ONLI01</v>
          </cell>
          <cell r="M5940" t="str">
            <v>Online Shop Shopee</v>
          </cell>
          <cell r="N5940" t="str">
            <v>Online Shop Shopee</v>
          </cell>
          <cell r="O5940" t="str">
            <v>Karisma</v>
          </cell>
          <cell r="P5940" t="str">
            <v>Jember</v>
          </cell>
          <cell r="Q5940" t="str">
            <v>Karisma</v>
          </cell>
          <cell r="R5940" t="str">
            <v>Jember</v>
          </cell>
          <cell r="S5940" t="str">
            <v>L Kota1</v>
          </cell>
          <cell r="T5940" t="str">
            <v>Wira</v>
          </cell>
          <cell r="U5940">
            <v>0</v>
          </cell>
        </row>
        <row r="5941">
          <cell r="E5941" t="str">
            <v>A25002015</v>
          </cell>
          <cell r="F5941"/>
          <cell r="G5941">
            <v>200000000</v>
          </cell>
          <cell r="H5941" t="str">
            <v>Sheila</v>
          </cell>
          <cell r="I5941" t="str">
            <v>Exclusive</v>
          </cell>
          <cell r="J5941" t="str">
            <v>New 24/06/25</v>
          </cell>
          <cell r="K5941" t="str">
            <v>KU</v>
          </cell>
          <cell r="L5941" t="str">
            <v>ONLI01</v>
          </cell>
          <cell r="M5941" t="str">
            <v>Online Shop Shopee</v>
          </cell>
          <cell r="N5941" t="str">
            <v>Online Shop Shopee</v>
          </cell>
          <cell r="O5941" t="str">
            <v>Karisma</v>
          </cell>
          <cell r="P5941" t="str">
            <v>Jember</v>
          </cell>
          <cell r="Q5941" t="str">
            <v>Karisma</v>
          </cell>
          <cell r="R5941" t="str">
            <v>Jember</v>
          </cell>
          <cell r="S5941" t="str">
            <v>L Kota1</v>
          </cell>
          <cell r="T5941" t="str">
            <v>Wira</v>
          </cell>
          <cell r="U5941">
            <v>0</v>
          </cell>
        </row>
        <row r="5942">
          <cell r="E5942" t="str">
            <v>A25002016</v>
          </cell>
          <cell r="F5942"/>
          <cell r="G5942">
            <v>200000000</v>
          </cell>
          <cell r="H5942" t="str">
            <v>Sheila</v>
          </cell>
          <cell r="I5942" t="str">
            <v>Exclusive</v>
          </cell>
          <cell r="J5942" t="str">
            <v>New 24/06/25</v>
          </cell>
          <cell r="K5942" t="str">
            <v>KU</v>
          </cell>
          <cell r="L5942" t="str">
            <v>ONLI01</v>
          </cell>
          <cell r="M5942" t="str">
            <v>Online Shop Shopee</v>
          </cell>
          <cell r="N5942" t="str">
            <v>Online Shop Shopee</v>
          </cell>
          <cell r="O5942" t="str">
            <v>Karisma</v>
          </cell>
          <cell r="P5942" t="str">
            <v>Jember</v>
          </cell>
          <cell r="Q5942" t="str">
            <v>Karisma</v>
          </cell>
          <cell r="R5942" t="str">
            <v>Jember</v>
          </cell>
          <cell r="S5942" t="str">
            <v>L Kota1</v>
          </cell>
          <cell r="T5942" t="str">
            <v>Wira</v>
          </cell>
          <cell r="U5942">
            <v>0</v>
          </cell>
        </row>
        <row r="5943">
          <cell r="E5943" t="str">
            <v>A25002016</v>
          </cell>
          <cell r="F5943"/>
          <cell r="G5943">
            <v>200000000</v>
          </cell>
          <cell r="H5943" t="str">
            <v>Sheila</v>
          </cell>
          <cell r="I5943" t="str">
            <v>Exclusive</v>
          </cell>
          <cell r="J5943" t="str">
            <v>New 24/06/25</v>
          </cell>
          <cell r="K5943" t="str">
            <v>KU</v>
          </cell>
          <cell r="L5943" t="str">
            <v>ONLI01</v>
          </cell>
          <cell r="M5943" t="str">
            <v>Online Shop Shopee</v>
          </cell>
          <cell r="N5943" t="str">
            <v>Online Shop Shopee</v>
          </cell>
          <cell r="O5943" t="str">
            <v>Karisma</v>
          </cell>
          <cell r="P5943" t="str">
            <v>Jember</v>
          </cell>
          <cell r="Q5943" t="str">
            <v>Karisma</v>
          </cell>
          <cell r="R5943" t="str">
            <v>Jember</v>
          </cell>
          <cell r="S5943" t="str">
            <v>L Kota1</v>
          </cell>
          <cell r="T5943" t="str">
            <v>Wira</v>
          </cell>
          <cell r="U5943">
            <v>0</v>
          </cell>
        </row>
        <row r="5944">
          <cell r="E5944" t="str">
            <v>A25002017</v>
          </cell>
          <cell r="F5944"/>
          <cell r="G5944">
            <v>200000000</v>
          </cell>
          <cell r="H5944" t="str">
            <v>Sheila</v>
          </cell>
          <cell r="I5944" t="str">
            <v>Exclusive</v>
          </cell>
          <cell r="J5944" t="str">
            <v>New 24/06/25</v>
          </cell>
          <cell r="K5944" t="str">
            <v>KU</v>
          </cell>
          <cell r="L5944" t="str">
            <v>ONLI01</v>
          </cell>
          <cell r="M5944" t="str">
            <v>Online Shop Shopee</v>
          </cell>
          <cell r="N5944" t="str">
            <v>Online Shop Shopee</v>
          </cell>
          <cell r="O5944" t="str">
            <v>Karisma</v>
          </cell>
          <cell r="P5944" t="str">
            <v>Jember</v>
          </cell>
          <cell r="Q5944" t="str">
            <v>Karisma</v>
          </cell>
          <cell r="R5944" t="str">
            <v>Jember</v>
          </cell>
          <cell r="S5944" t="str">
            <v>L Kota1</v>
          </cell>
          <cell r="T5944" t="str">
            <v>Wira</v>
          </cell>
          <cell r="U5944">
            <v>0</v>
          </cell>
        </row>
        <row r="5945">
          <cell r="E5945" t="str">
            <v>A25002017</v>
          </cell>
          <cell r="F5945"/>
          <cell r="G5945">
            <v>200000000</v>
          </cell>
          <cell r="H5945" t="str">
            <v>Sheila</v>
          </cell>
          <cell r="I5945" t="str">
            <v>Exclusive</v>
          </cell>
          <cell r="J5945" t="str">
            <v>New 24/06/25</v>
          </cell>
          <cell r="K5945" t="str">
            <v>KU</v>
          </cell>
          <cell r="L5945" t="str">
            <v>ONLI01</v>
          </cell>
          <cell r="M5945" t="str">
            <v>Online Shop Shopee</v>
          </cell>
          <cell r="N5945" t="str">
            <v>Online Shop Shopee</v>
          </cell>
          <cell r="O5945" t="str">
            <v>Karisma</v>
          </cell>
          <cell r="P5945" t="str">
            <v>Jember</v>
          </cell>
          <cell r="Q5945" t="str">
            <v>Karisma</v>
          </cell>
          <cell r="R5945" t="str">
            <v>Jember</v>
          </cell>
          <cell r="S5945" t="str">
            <v>L Kota1</v>
          </cell>
          <cell r="T5945" t="str">
            <v>Wira</v>
          </cell>
          <cell r="U5945">
            <v>0</v>
          </cell>
        </row>
        <row r="5946">
          <cell r="E5946" t="str">
            <v>A25002018</v>
          </cell>
          <cell r="F5946"/>
          <cell r="G5946">
            <v>200000000</v>
          </cell>
          <cell r="H5946" t="str">
            <v>Sheila</v>
          </cell>
          <cell r="I5946" t="str">
            <v>Exclusive</v>
          </cell>
          <cell r="J5946" t="str">
            <v>New 24/06/25</v>
          </cell>
          <cell r="K5946" t="str">
            <v>KU</v>
          </cell>
          <cell r="L5946" t="str">
            <v>ONLI01</v>
          </cell>
          <cell r="M5946" t="str">
            <v>Online Shop Shopee</v>
          </cell>
          <cell r="N5946" t="str">
            <v>Online Shop Shopee</v>
          </cell>
          <cell r="O5946" t="str">
            <v>Karisma</v>
          </cell>
          <cell r="P5946" t="str">
            <v>Jember</v>
          </cell>
          <cell r="Q5946" t="str">
            <v>Karisma</v>
          </cell>
          <cell r="R5946" t="str">
            <v>Jember</v>
          </cell>
          <cell r="S5946" t="str">
            <v>L Kota1</v>
          </cell>
          <cell r="T5946" t="str">
            <v>Wira</v>
          </cell>
          <cell r="U5946">
            <v>0</v>
          </cell>
        </row>
        <row r="5947">
          <cell r="E5947" t="str">
            <v>A25002018</v>
          </cell>
          <cell r="F5947"/>
          <cell r="G5947">
            <v>200000000</v>
          </cell>
          <cell r="H5947" t="str">
            <v>Sheila</v>
          </cell>
          <cell r="I5947" t="str">
            <v>Exclusive</v>
          </cell>
          <cell r="J5947" t="str">
            <v>New 24/06/25</v>
          </cell>
          <cell r="K5947" t="str">
            <v>KU</v>
          </cell>
          <cell r="L5947" t="str">
            <v>ONLI01</v>
          </cell>
          <cell r="M5947" t="str">
            <v>Online Shop Shopee</v>
          </cell>
          <cell r="N5947" t="str">
            <v>Online Shop Shopee</v>
          </cell>
          <cell r="O5947" t="str">
            <v>Karisma</v>
          </cell>
          <cell r="P5947" t="str">
            <v>Jember</v>
          </cell>
          <cell r="Q5947" t="str">
            <v>Karisma</v>
          </cell>
          <cell r="R5947" t="str">
            <v>Jember</v>
          </cell>
          <cell r="S5947" t="str">
            <v>L Kota1</v>
          </cell>
          <cell r="T5947" t="str">
            <v>Wira</v>
          </cell>
          <cell r="U5947">
            <v>0</v>
          </cell>
        </row>
        <row r="5948">
          <cell r="E5948" t="str">
            <v>A25002019</v>
          </cell>
          <cell r="F5948"/>
          <cell r="G5948">
            <v>200000000</v>
          </cell>
          <cell r="H5948" t="str">
            <v>Sheila</v>
          </cell>
          <cell r="I5948" t="str">
            <v>Exclusive</v>
          </cell>
          <cell r="J5948" t="str">
            <v>New 24/06/25</v>
          </cell>
          <cell r="K5948" t="str">
            <v>KU</v>
          </cell>
          <cell r="L5948" t="str">
            <v>ONLI01</v>
          </cell>
          <cell r="M5948" t="str">
            <v>Online Shop Shopee</v>
          </cell>
          <cell r="N5948" t="str">
            <v>Online Shop Shopee</v>
          </cell>
          <cell r="O5948" t="str">
            <v>Karisma</v>
          </cell>
          <cell r="P5948" t="str">
            <v>Jember</v>
          </cell>
          <cell r="Q5948" t="str">
            <v>Karisma</v>
          </cell>
          <cell r="R5948" t="str">
            <v>Jember</v>
          </cell>
          <cell r="S5948" t="str">
            <v>L Kota1</v>
          </cell>
          <cell r="T5948" t="str">
            <v>Wira</v>
          </cell>
          <cell r="U5948">
            <v>0</v>
          </cell>
        </row>
        <row r="5949">
          <cell r="E5949" t="str">
            <v>A25002019</v>
          </cell>
          <cell r="F5949"/>
          <cell r="G5949">
            <v>200000000</v>
          </cell>
          <cell r="H5949" t="str">
            <v>Sheila</v>
          </cell>
          <cell r="I5949" t="str">
            <v>Exclusive</v>
          </cell>
          <cell r="J5949" t="str">
            <v>New 24/06/25</v>
          </cell>
          <cell r="K5949" t="str">
            <v>KU</v>
          </cell>
          <cell r="L5949" t="str">
            <v>ONLI01</v>
          </cell>
          <cell r="M5949" t="str">
            <v>Online Shop Shopee</v>
          </cell>
          <cell r="N5949" t="str">
            <v>Online Shop Shopee</v>
          </cell>
          <cell r="O5949" t="str">
            <v>Karisma</v>
          </cell>
          <cell r="P5949" t="str">
            <v>Jember</v>
          </cell>
          <cell r="Q5949" t="str">
            <v>Karisma</v>
          </cell>
          <cell r="R5949" t="str">
            <v>Jember</v>
          </cell>
          <cell r="S5949" t="str">
            <v>L Kota1</v>
          </cell>
          <cell r="T5949" t="str">
            <v>Wira</v>
          </cell>
          <cell r="U5949">
            <v>0</v>
          </cell>
        </row>
        <row r="5950">
          <cell r="E5950" t="str">
            <v>A25002020</v>
          </cell>
          <cell r="F5950"/>
          <cell r="G5950">
            <v>200000000</v>
          </cell>
          <cell r="H5950" t="str">
            <v>Sheila</v>
          </cell>
          <cell r="I5950" t="str">
            <v>Exclusive</v>
          </cell>
          <cell r="J5950" t="str">
            <v>New 24/06/25</v>
          </cell>
          <cell r="K5950" t="str">
            <v>KU</v>
          </cell>
          <cell r="L5950" t="str">
            <v>ONLI01</v>
          </cell>
          <cell r="M5950" t="str">
            <v>Online Shop Shopee</v>
          </cell>
          <cell r="N5950" t="str">
            <v>Online Shop Shopee</v>
          </cell>
          <cell r="O5950" t="str">
            <v>Karisma</v>
          </cell>
          <cell r="P5950" t="str">
            <v>Jember</v>
          </cell>
          <cell r="Q5950" t="str">
            <v>Karisma</v>
          </cell>
          <cell r="R5950" t="str">
            <v>Jember</v>
          </cell>
          <cell r="S5950" t="str">
            <v>L Kota1</v>
          </cell>
          <cell r="T5950" t="str">
            <v>Wira</v>
          </cell>
          <cell r="U5950">
            <v>0</v>
          </cell>
        </row>
        <row r="5951">
          <cell r="E5951" t="str">
            <v>A25002020</v>
          </cell>
          <cell r="F5951"/>
          <cell r="G5951">
            <v>200000000</v>
          </cell>
          <cell r="H5951" t="str">
            <v>Sheila</v>
          </cell>
          <cell r="I5951" t="str">
            <v>Exclusive</v>
          </cell>
          <cell r="J5951" t="str">
            <v>New 24/06/25</v>
          </cell>
          <cell r="K5951" t="str">
            <v>KU</v>
          </cell>
          <cell r="L5951" t="str">
            <v>ONLI01</v>
          </cell>
          <cell r="M5951" t="str">
            <v>Online Shop Shopee</v>
          </cell>
          <cell r="N5951" t="str">
            <v>Online Shop Shopee</v>
          </cell>
          <cell r="O5951" t="str">
            <v>Karisma</v>
          </cell>
          <cell r="P5951" t="str">
            <v>Jember</v>
          </cell>
          <cell r="Q5951" t="str">
            <v>Karisma</v>
          </cell>
          <cell r="R5951" t="str">
            <v>Jember</v>
          </cell>
          <cell r="S5951" t="str">
            <v>L Kota1</v>
          </cell>
          <cell r="T5951" t="str">
            <v>Wira</v>
          </cell>
          <cell r="U5951">
            <v>0</v>
          </cell>
        </row>
        <row r="5952">
          <cell r="E5952" t="str">
            <v>A25002021</v>
          </cell>
          <cell r="F5952"/>
          <cell r="G5952">
            <v>200000000</v>
          </cell>
          <cell r="H5952" t="str">
            <v>Sheila</v>
          </cell>
          <cell r="I5952" t="str">
            <v>Exclusive</v>
          </cell>
          <cell r="J5952" t="str">
            <v>New 24/06/25</v>
          </cell>
          <cell r="K5952" t="str">
            <v>KU</v>
          </cell>
          <cell r="L5952" t="str">
            <v>ONLI01</v>
          </cell>
          <cell r="M5952" t="str">
            <v>Online Shop Shopee</v>
          </cell>
          <cell r="N5952" t="str">
            <v>Online Shop Shopee</v>
          </cell>
          <cell r="O5952" t="str">
            <v>Karisma</v>
          </cell>
          <cell r="P5952" t="str">
            <v>Jember</v>
          </cell>
          <cell r="Q5952" t="str">
            <v>Karisma</v>
          </cell>
          <cell r="R5952" t="str">
            <v>Jember</v>
          </cell>
          <cell r="S5952" t="str">
            <v>L Kota1</v>
          </cell>
          <cell r="T5952" t="str">
            <v>Wira</v>
          </cell>
          <cell r="U5952">
            <v>0</v>
          </cell>
        </row>
        <row r="5953">
          <cell r="E5953" t="str">
            <v>A25002021</v>
          </cell>
          <cell r="F5953"/>
          <cell r="G5953">
            <v>200000000</v>
          </cell>
          <cell r="H5953" t="str">
            <v>Sheila</v>
          </cell>
          <cell r="I5953" t="str">
            <v>Exclusive</v>
          </cell>
          <cell r="J5953" t="str">
            <v>New 24/06/25</v>
          </cell>
          <cell r="K5953" t="str">
            <v>KU</v>
          </cell>
          <cell r="L5953" t="str">
            <v>ONLI01</v>
          </cell>
          <cell r="M5953" t="str">
            <v>Online Shop Shopee</v>
          </cell>
          <cell r="N5953" t="str">
            <v>Online Shop Shopee</v>
          </cell>
          <cell r="O5953" t="str">
            <v>Karisma</v>
          </cell>
          <cell r="P5953" t="str">
            <v>Jember</v>
          </cell>
          <cell r="Q5953" t="str">
            <v>Karisma</v>
          </cell>
          <cell r="R5953" t="str">
            <v>Jember</v>
          </cell>
          <cell r="S5953" t="str">
            <v>L Kota1</v>
          </cell>
          <cell r="T5953" t="str">
            <v>Wira</v>
          </cell>
          <cell r="U5953">
            <v>0</v>
          </cell>
        </row>
        <row r="5954">
          <cell r="E5954" t="str">
            <v>A25002023</v>
          </cell>
          <cell r="F5954"/>
          <cell r="G5954">
            <v>200000000</v>
          </cell>
          <cell r="H5954" t="str">
            <v>Sheila</v>
          </cell>
          <cell r="I5954" t="str">
            <v>Exclusive</v>
          </cell>
          <cell r="J5954" t="str">
            <v>New 24/06/25</v>
          </cell>
          <cell r="K5954" t="str">
            <v>KU</v>
          </cell>
          <cell r="L5954" t="str">
            <v>ONLI01</v>
          </cell>
          <cell r="M5954" t="str">
            <v>Online Shop Shopee</v>
          </cell>
          <cell r="N5954" t="str">
            <v>Online Shop Shopee</v>
          </cell>
          <cell r="O5954" t="str">
            <v>Karisma</v>
          </cell>
          <cell r="P5954" t="str">
            <v>Jember</v>
          </cell>
          <cell r="Q5954" t="str">
            <v>Karisma</v>
          </cell>
          <cell r="R5954" t="str">
            <v>Jember</v>
          </cell>
          <cell r="S5954" t="str">
            <v>L Kota1</v>
          </cell>
          <cell r="T5954" t="str">
            <v>Wira</v>
          </cell>
          <cell r="U5954">
            <v>0</v>
          </cell>
        </row>
        <row r="5955">
          <cell r="E5955" t="str">
            <v>A25002023</v>
          </cell>
          <cell r="F5955"/>
          <cell r="G5955">
            <v>200000000</v>
          </cell>
          <cell r="H5955" t="str">
            <v>Sheila</v>
          </cell>
          <cell r="I5955" t="str">
            <v>Exclusive</v>
          </cell>
          <cell r="J5955" t="str">
            <v>New 24/06/25</v>
          </cell>
          <cell r="K5955" t="str">
            <v>KU</v>
          </cell>
          <cell r="L5955" t="str">
            <v>ONLI01</v>
          </cell>
          <cell r="M5955" t="str">
            <v>Online Shop Shopee</v>
          </cell>
          <cell r="N5955" t="str">
            <v>Online Shop Shopee</v>
          </cell>
          <cell r="O5955" t="str">
            <v>Karisma</v>
          </cell>
          <cell r="P5955" t="str">
            <v>Jember</v>
          </cell>
          <cell r="Q5955" t="str">
            <v>Karisma</v>
          </cell>
          <cell r="R5955" t="str">
            <v>Jember</v>
          </cell>
          <cell r="S5955" t="str">
            <v>L Kota1</v>
          </cell>
          <cell r="T5955" t="str">
            <v>Wira</v>
          </cell>
          <cell r="U5955">
            <v>0</v>
          </cell>
        </row>
        <row r="5956">
          <cell r="E5956" t="str">
            <v>A25002027</v>
          </cell>
          <cell r="F5956"/>
          <cell r="G5956">
            <v>200000000</v>
          </cell>
          <cell r="H5956" t="str">
            <v>Sheila</v>
          </cell>
          <cell r="I5956" t="str">
            <v>Exclusive</v>
          </cell>
          <cell r="J5956" t="str">
            <v>New 24/06/25</v>
          </cell>
          <cell r="K5956" t="str">
            <v>KU</v>
          </cell>
          <cell r="L5956" t="str">
            <v>ONLI01</v>
          </cell>
          <cell r="M5956" t="str">
            <v>Online Shop Shopee</v>
          </cell>
          <cell r="N5956" t="str">
            <v>Online Shop Shopee</v>
          </cell>
          <cell r="O5956" t="str">
            <v>Karisma</v>
          </cell>
          <cell r="P5956" t="str">
            <v>Jember</v>
          </cell>
          <cell r="Q5956" t="str">
            <v>Karisma</v>
          </cell>
          <cell r="R5956" t="str">
            <v>Jember</v>
          </cell>
          <cell r="S5956" t="str">
            <v>L Kota1</v>
          </cell>
          <cell r="T5956" t="str">
            <v>Wira</v>
          </cell>
          <cell r="U5956">
            <v>0</v>
          </cell>
        </row>
        <row r="5957">
          <cell r="E5957" t="str">
            <v>A25002027</v>
          </cell>
          <cell r="F5957"/>
          <cell r="G5957">
            <v>200000000</v>
          </cell>
          <cell r="H5957" t="str">
            <v>Sheila</v>
          </cell>
          <cell r="I5957" t="str">
            <v>Exclusive</v>
          </cell>
          <cell r="J5957" t="str">
            <v>New 24/06/25</v>
          </cell>
          <cell r="K5957" t="str">
            <v>KU</v>
          </cell>
          <cell r="L5957" t="str">
            <v>ONLI01</v>
          </cell>
          <cell r="M5957" t="str">
            <v>Online Shop Shopee</v>
          </cell>
          <cell r="N5957" t="str">
            <v>Online Shop Shopee</v>
          </cell>
          <cell r="O5957" t="str">
            <v>Karisma</v>
          </cell>
          <cell r="P5957" t="str">
            <v>Jember</v>
          </cell>
          <cell r="Q5957" t="str">
            <v>Karisma</v>
          </cell>
          <cell r="R5957" t="str">
            <v>Jember</v>
          </cell>
          <cell r="S5957" t="str">
            <v>L Kota1</v>
          </cell>
          <cell r="T5957" t="str">
            <v>Wira</v>
          </cell>
          <cell r="U5957">
            <v>0</v>
          </cell>
        </row>
        <row r="5958">
          <cell r="E5958" t="str">
            <v>A25002028</v>
          </cell>
          <cell r="F5958"/>
          <cell r="G5958">
            <v>200000000</v>
          </cell>
          <cell r="H5958" t="str">
            <v>Sheila</v>
          </cell>
          <cell r="I5958" t="str">
            <v>Exclusive</v>
          </cell>
          <cell r="J5958" t="str">
            <v>New 24/06/25</v>
          </cell>
          <cell r="K5958" t="str">
            <v>KU</v>
          </cell>
          <cell r="L5958" t="str">
            <v>ONLI01</v>
          </cell>
          <cell r="M5958" t="str">
            <v>Online Shop Shopee</v>
          </cell>
          <cell r="N5958" t="str">
            <v>Online Shop Shopee</v>
          </cell>
          <cell r="O5958" t="str">
            <v>Karisma</v>
          </cell>
          <cell r="P5958" t="str">
            <v>Jember</v>
          </cell>
          <cell r="Q5958" t="str">
            <v>Karisma</v>
          </cell>
          <cell r="R5958" t="str">
            <v>Jember</v>
          </cell>
          <cell r="S5958" t="str">
            <v>L Kota1</v>
          </cell>
          <cell r="T5958" t="str">
            <v>Wira</v>
          </cell>
          <cell r="U5958">
            <v>0</v>
          </cell>
        </row>
        <row r="5959">
          <cell r="E5959" t="str">
            <v>A25002029</v>
          </cell>
          <cell r="F5959"/>
          <cell r="G5959">
            <v>200000000</v>
          </cell>
          <cell r="H5959" t="str">
            <v>Sheila</v>
          </cell>
          <cell r="I5959" t="str">
            <v>Exclusive</v>
          </cell>
          <cell r="J5959" t="str">
            <v>New 24/06/25</v>
          </cell>
          <cell r="K5959" t="str">
            <v>KU</v>
          </cell>
          <cell r="L5959" t="str">
            <v>ONLI01</v>
          </cell>
          <cell r="M5959" t="str">
            <v>Online Shop Shopee</v>
          </cell>
          <cell r="N5959" t="str">
            <v>Online Shop Shopee</v>
          </cell>
          <cell r="O5959" t="str">
            <v>Karisma</v>
          </cell>
          <cell r="P5959" t="str">
            <v>Jember</v>
          </cell>
          <cell r="Q5959" t="str">
            <v>Karisma</v>
          </cell>
          <cell r="R5959" t="str">
            <v>Jember</v>
          </cell>
          <cell r="S5959" t="str">
            <v>L Kota1</v>
          </cell>
          <cell r="T5959" t="str">
            <v>Wira</v>
          </cell>
          <cell r="U5959">
            <v>0</v>
          </cell>
        </row>
        <row r="5960">
          <cell r="E5960" t="str">
            <v>A25002029</v>
          </cell>
          <cell r="F5960"/>
          <cell r="G5960">
            <v>200000000</v>
          </cell>
          <cell r="H5960" t="str">
            <v>Sheila</v>
          </cell>
          <cell r="I5960" t="str">
            <v>Exclusive</v>
          </cell>
          <cell r="J5960" t="str">
            <v>New 24/06/25</v>
          </cell>
          <cell r="K5960" t="str">
            <v>KU</v>
          </cell>
          <cell r="L5960" t="str">
            <v>ONLI01</v>
          </cell>
          <cell r="M5960" t="str">
            <v>Online Shop Shopee</v>
          </cell>
          <cell r="N5960" t="str">
            <v>Online Shop Shopee</v>
          </cell>
          <cell r="O5960" t="str">
            <v>Karisma</v>
          </cell>
          <cell r="P5960" t="str">
            <v>Jember</v>
          </cell>
          <cell r="Q5960" t="str">
            <v>Karisma</v>
          </cell>
          <cell r="R5960" t="str">
            <v>Jember</v>
          </cell>
          <cell r="S5960" t="str">
            <v>L Kota1</v>
          </cell>
          <cell r="T5960" t="str">
            <v>Wira</v>
          </cell>
          <cell r="U5960">
            <v>0</v>
          </cell>
        </row>
        <row r="5961">
          <cell r="E5961" t="str">
            <v>A25002030</v>
          </cell>
          <cell r="F5961"/>
          <cell r="G5961">
            <v>200000000</v>
          </cell>
          <cell r="H5961" t="str">
            <v>Sheila</v>
          </cell>
          <cell r="I5961" t="str">
            <v>Exclusive</v>
          </cell>
          <cell r="J5961" t="str">
            <v>New 24/06/25</v>
          </cell>
          <cell r="K5961" t="str">
            <v>KU</v>
          </cell>
          <cell r="L5961" t="str">
            <v>ONLI01</v>
          </cell>
          <cell r="M5961" t="str">
            <v>Online Shop Shopee</v>
          </cell>
          <cell r="N5961" t="str">
            <v>Online Shop Shopee</v>
          </cell>
          <cell r="O5961" t="str">
            <v>Karisma</v>
          </cell>
          <cell r="P5961" t="str">
            <v>Jember</v>
          </cell>
          <cell r="Q5961" t="str">
            <v>Karisma</v>
          </cell>
          <cell r="R5961" t="str">
            <v>Jember</v>
          </cell>
          <cell r="S5961" t="str">
            <v>L Kota1</v>
          </cell>
          <cell r="T5961" t="str">
            <v>Wira</v>
          </cell>
          <cell r="U5961">
            <v>0</v>
          </cell>
        </row>
        <row r="5962">
          <cell r="E5962" t="str">
            <v>A25002030</v>
          </cell>
          <cell r="F5962"/>
          <cell r="G5962">
            <v>200000000</v>
          </cell>
          <cell r="H5962" t="str">
            <v>Sheila</v>
          </cell>
          <cell r="I5962" t="str">
            <v>Exclusive</v>
          </cell>
          <cell r="J5962" t="str">
            <v>New 24/06/25</v>
          </cell>
          <cell r="K5962" t="str">
            <v>KU</v>
          </cell>
          <cell r="L5962" t="str">
            <v>ONLI01</v>
          </cell>
          <cell r="M5962" t="str">
            <v>Online Shop Shopee</v>
          </cell>
          <cell r="N5962" t="str">
            <v>Online Shop Shopee</v>
          </cell>
          <cell r="O5962" t="str">
            <v>Karisma</v>
          </cell>
          <cell r="P5962" t="str">
            <v>Jember</v>
          </cell>
          <cell r="Q5962" t="str">
            <v>Karisma</v>
          </cell>
          <cell r="R5962" t="str">
            <v>Jember</v>
          </cell>
          <cell r="S5962" t="str">
            <v>L Kota1</v>
          </cell>
          <cell r="T5962" t="str">
            <v>Wira</v>
          </cell>
          <cell r="U5962">
            <v>0</v>
          </cell>
        </row>
        <row r="5963">
          <cell r="E5963" t="str">
            <v>A25002031</v>
          </cell>
          <cell r="F5963"/>
          <cell r="G5963">
            <v>200000000</v>
          </cell>
          <cell r="H5963" t="str">
            <v>Sheila</v>
          </cell>
          <cell r="I5963" t="str">
            <v>Exclusive</v>
          </cell>
          <cell r="J5963" t="str">
            <v>New 24/06/25</v>
          </cell>
          <cell r="K5963" t="str">
            <v>KU</v>
          </cell>
          <cell r="L5963" t="str">
            <v>ONLI01</v>
          </cell>
          <cell r="M5963" t="str">
            <v>Online Shop Shopee</v>
          </cell>
          <cell r="N5963" t="str">
            <v>Online Shop Shopee</v>
          </cell>
          <cell r="O5963" t="str">
            <v>Karisma</v>
          </cell>
          <cell r="P5963" t="str">
            <v>Jember</v>
          </cell>
          <cell r="Q5963" t="str">
            <v>Karisma</v>
          </cell>
          <cell r="R5963" t="str">
            <v>Jember</v>
          </cell>
          <cell r="S5963" t="str">
            <v>L Kota1</v>
          </cell>
          <cell r="T5963" t="str">
            <v>Wira</v>
          </cell>
          <cell r="U5963">
            <v>30</v>
          </cell>
        </row>
        <row r="5964">
          <cell r="E5964" t="str">
            <v>A25002031</v>
          </cell>
          <cell r="F5964"/>
          <cell r="G5964">
            <v>200000000</v>
          </cell>
          <cell r="H5964" t="str">
            <v>Sheila</v>
          </cell>
          <cell r="I5964" t="str">
            <v>Exclusive</v>
          </cell>
          <cell r="J5964" t="str">
            <v>New 24/06/25</v>
          </cell>
          <cell r="K5964" t="str">
            <v>KU</v>
          </cell>
          <cell r="L5964" t="str">
            <v>ONLI01</v>
          </cell>
          <cell r="M5964" t="str">
            <v>Online Shop Shopee</v>
          </cell>
          <cell r="N5964" t="str">
            <v>Online Shop Shopee</v>
          </cell>
          <cell r="O5964" t="str">
            <v>Karisma</v>
          </cell>
          <cell r="P5964" t="str">
            <v>Jember</v>
          </cell>
          <cell r="Q5964" t="str">
            <v>Karisma</v>
          </cell>
          <cell r="R5964" t="str">
            <v>Jember</v>
          </cell>
          <cell r="S5964" t="str">
            <v>L Kota1</v>
          </cell>
          <cell r="T5964" t="str">
            <v>Wira</v>
          </cell>
          <cell r="U5964">
            <v>30</v>
          </cell>
        </row>
        <row r="5965">
          <cell r="E5965" t="str">
            <v>A25002032</v>
          </cell>
          <cell r="F5965"/>
          <cell r="G5965">
            <v>200000000</v>
          </cell>
          <cell r="H5965" t="str">
            <v>Sheila</v>
          </cell>
          <cell r="I5965" t="str">
            <v>Exclusive</v>
          </cell>
          <cell r="J5965" t="str">
            <v>New 24/06/25</v>
          </cell>
          <cell r="K5965" t="str">
            <v>KU</v>
          </cell>
          <cell r="L5965" t="str">
            <v>ONLI01</v>
          </cell>
          <cell r="M5965" t="str">
            <v>Online Shop Shopee</v>
          </cell>
          <cell r="N5965" t="str">
            <v>Online Shop Shopee</v>
          </cell>
          <cell r="O5965" t="str">
            <v>Karisma</v>
          </cell>
          <cell r="P5965" t="str">
            <v>Jember</v>
          </cell>
          <cell r="Q5965" t="str">
            <v>Karisma</v>
          </cell>
          <cell r="R5965" t="str">
            <v>Jember</v>
          </cell>
          <cell r="S5965" t="str">
            <v>L Kota1</v>
          </cell>
          <cell r="T5965" t="str">
            <v>Wira</v>
          </cell>
          <cell r="U5965">
            <v>60</v>
          </cell>
        </row>
        <row r="5966">
          <cell r="E5966" t="str">
            <v>A25002033</v>
          </cell>
          <cell r="F5966"/>
          <cell r="G5966">
            <v>200000000</v>
          </cell>
          <cell r="H5966" t="str">
            <v>Sheila</v>
          </cell>
          <cell r="I5966" t="str">
            <v>Exclusive</v>
          </cell>
          <cell r="J5966" t="str">
            <v>New 24/06/25</v>
          </cell>
          <cell r="K5966" t="str">
            <v>KU</v>
          </cell>
          <cell r="L5966" t="str">
            <v>ONLI01</v>
          </cell>
          <cell r="M5966" t="str">
            <v>Online Shop Shopee</v>
          </cell>
          <cell r="N5966" t="str">
            <v>Online Shop Shopee</v>
          </cell>
          <cell r="O5966" t="str">
            <v>Karisma</v>
          </cell>
          <cell r="P5966" t="str">
            <v>Jember</v>
          </cell>
          <cell r="Q5966" t="str">
            <v>Karisma</v>
          </cell>
          <cell r="R5966" t="str">
            <v>Jember</v>
          </cell>
          <cell r="S5966" t="str">
            <v>L Kota1</v>
          </cell>
          <cell r="T5966" t="str">
            <v>Wira</v>
          </cell>
          <cell r="U5966">
            <v>0</v>
          </cell>
        </row>
        <row r="5967">
          <cell r="E5967" t="str">
            <v>A25002033</v>
          </cell>
          <cell r="F5967"/>
          <cell r="G5967">
            <v>200000000</v>
          </cell>
          <cell r="H5967" t="str">
            <v>Sheila</v>
          </cell>
          <cell r="I5967" t="str">
            <v>Exclusive</v>
          </cell>
          <cell r="J5967" t="str">
            <v>New 24/06/25</v>
          </cell>
          <cell r="K5967" t="str">
            <v>KU</v>
          </cell>
          <cell r="L5967" t="str">
            <v>ONLI01</v>
          </cell>
          <cell r="M5967" t="str">
            <v>Online Shop Shopee</v>
          </cell>
          <cell r="N5967" t="str">
            <v>Online Shop Shopee</v>
          </cell>
          <cell r="O5967" t="str">
            <v>Karisma</v>
          </cell>
          <cell r="P5967" t="str">
            <v>Jember</v>
          </cell>
          <cell r="Q5967" t="str">
            <v>Karisma</v>
          </cell>
          <cell r="R5967" t="str">
            <v>Jember</v>
          </cell>
          <cell r="S5967" t="str">
            <v>L Kota1</v>
          </cell>
          <cell r="T5967" t="str">
            <v>Wira</v>
          </cell>
          <cell r="U5967">
            <v>0</v>
          </cell>
        </row>
        <row r="5968">
          <cell r="E5968" t="str">
            <v>A25002034</v>
          </cell>
          <cell r="F5968"/>
          <cell r="G5968">
            <v>200000000</v>
          </cell>
          <cell r="H5968" t="str">
            <v>Sheila</v>
          </cell>
          <cell r="I5968" t="str">
            <v>Exclusive</v>
          </cell>
          <cell r="J5968" t="str">
            <v>New 24/06/25</v>
          </cell>
          <cell r="K5968" t="str">
            <v>KU</v>
          </cell>
          <cell r="L5968" t="str">
            <v>ONLI01</v>
          </cell>
          <cell r="M5968" t="str">
            <v>Online Shop Shopee</v>
          </cell>
          <cell r="N5968" t="str">
            <v>Online Shop Shopee</v>
          </cell>
          <cell r="O5968" t="str">
            <v>Karisma</v>
          </cell>
          <cell r="P5968" t="str">
            <v>Jember</v>
          </cell>
          <cell r="Q5968" t="str">
            <v>Karisma</v>
          </cell>
          <cell r="R5968" t="str">
            <v>Jember</v>
          </cell>
          <cell r="S5968" t="str">
            <v>L Kota1</v>
          </cell>
          <cell r="T5968" t="str">
            <v>Wira</v>
          </cell>
          <cell r="U5968">
            <v>0</v>
          </cell>
        </row>
        <row r="5969">
          <cell r="E5969" t="str">
            <v>A25002034</v>
          </cell>
          <cell r="F5969"/>
          <cell r="G5969">
            <v>200000000</v>
          </cell>
          <cell r="H5969" t="str">
            <v>Sheila</v>
          </cell>
          <cell r="I5969" t="str">
            <v>Exclusive</v>
          </cell>
          <cell r="J5969" t="str">
            <v>New 24/06/25</v>
          </cell>
          <cell r="K5969" t="str">
            <v>KU</v>
          </cell>
          <cell r="L5969" t="str">
            <v>ONLI01</v>
          </cell>
          <cell r="M5969" t="str">
            <v>Online Shop Shopee</v>
          </cell>
          <cell r="N5969" t="str">
            <v>Online Shop Shopee</v>
          </cell>
          <cell r="O5969" t="str">
            <v>Karisma</v>
          </cell>
          <cell r="P5969" t="str">
            <v>Jember</v>
          </cell>
          <cell r="Q5969" t="str">
            <v>Karisma</v>
          </cell>
          <cell r="R5969" t="str">
            <v>Jember</v>
          </cell>
          <cell r="S5969" t="str">
            <v>L Kota1</v>
          </cell>
          <cell r="T5969" t="str">
            <v>Wira</v>
          </cell>
          <cell r="U5969">
            <v>0</v>
          </cell>
        </row>
        <row r="5970">
          <cell r="E5970" t="str">
            <v>A25002036</v>
          </cell>
          <cell r="F5970"/>
          <cell r="G5970">
            <v>200000000</v>
          </cell>
          <cell r="H5970" t="str">
            <v>Sheila</v>
          </cell>
          <cell r="I5970" t="str">
            <v>Exclusive</v>
          </cell>
          <cell r="J5970" t="str">
            <v>New 24/06/25</v>
          </cell>
          <cell r="K5970" t="str">
            <v>KU</v>
          </cell>
          <cell r="L5970" t="str">
            <v>ONLI01</v>
          </cell>
          <cell r="M5970" t="str">
            <v>Online Shop Shopee</v>
          </cell>
          <cell r="N5970" t="str">
            <v>Online Shop Shopee</v>
          </cell>
          <cell r="O5970" t="str">
            <v>Karisma</v>
          </cell>
          <cell r="P5970" t="str">
            <v>Jember</v>
          </cell>
          <cell r="Q5970" t="str">
            <v>Karisma</v>
          </cell>
          <cell r="R5970" t="str">
            <v>Jember</v>
          </cell>
          <cell r="S5970" t="str">
            <v>L Kota1</v>
          </cell>
          <cell r="T5970" t="str">
            <v>Wira</v>
          </cell>
          <cell r="U5970">
            <v>0</v>
          </cell>
        </row>
        <row r="5971">
          <cell r="E5971" t="str">
            <v>A25002038</v>
          </cell>
          <cell r="F5971"/>
          <cell r="G5971">
            <v>200000000</v>
          </cell>
          <cell r="H5971" t="str">
            <v>Sheila</v>
          </cell>
          <cell r="I5971" t="str">
            <v>Exclusive</v>
          </cell>
          <cell r="J5971" t="str">
            <v>New 24/06/25</v>
          </cell>
          <cell r="K5971" t="str">
            <v>KU</v>
          </cell>
          <cell r="L5971" t="str">
            <v>ONLI01</v>
          </cell>
          <cell r="M5971" t="str">
            <v>Online Shop Shopee</v>
          </cell>
          <cell r="N5971" t="str">
            <v>Online Shop Shopee</v>
          </cell>
          <cell r="O5971" t="str">
            <v>Karisma</v>
          </cell>
          <cell r="P5971" t="str">
            <v>Jember</v>
          </cell>
          <cell r="Q5971" t="str">
            <v>Karisma</v>
          </cell>
          <cell r="R5971" t="str">
            <v>Jember</v>
          </cell>
          <cell r="S5971" t="str">
            <v>L Kota1</v>
          </cell>
          <cell r="T5971" t="str">
            <v>Wira</v>
          </cell>
          <cell r="U5971">
            <v>0</v>
          </cell>
        </row>
        <row r="5972">
          <cell r="E5972" t="str">
            <v>A25002040</v>
          </cell>
          <cell r="F5972"/>
          <cell r="G5972">
            <v>200000000</v>
          </cell>
          <cell r="H5972" t="str">
            <v>Sheila</v>
          </cell>
          <cell r="I5972" t="str">
            <v>Exclusive</v>
          </cell>
          <cell r="J5972" t="str">
            <v>New 24/06/25</v>
          </cell>
          <cell r="K5972" t="str">
            <v>KU</v>
          </cell>
          <cell r="L5972" t="str">
            <v>ONLI01</v>
          </cell>
          <cell r="M5972" t="str">
            <v>Online Shop Shopee</v>
          </cell>
          <cell r="N5972" t="str">
            <v>Online Shop Shopee</v>
          </cell>
          <cell r="O5972" t="str">
            <v>Karisma</v>
          </cell>
          <cell r="P5972" t="str">
            <v>Jember</v>
          </cell>
          <cell r="Q5972" t="str">
            <v>Karisma</v>
          </cell>
          <cell r="R5972" t="str">
            <v>Jember</v>
          </cell>
          <cell r="S5972" t="str">
            <v>L Kota1</v>
          </cell>
          <cell r="T5972" t="str">
            <v>Wira</v>
          </cell>
          <cell r="U5972">
            <v>0</v>
          </cell>
        </row>
        <row r="5973">
          <cell r="E5973" t="str">
            <v>A25002041</v>
          </cell>
          <cell r="F5973"/>
          <cell r="G5973">
            <v>200000000</v>
          </cell>
          <cell r="H5973" t="str">
            <v>Sheila</v>
          </cell>
          <cell r="I5973" t="str">
            <v>Exclusive</v>
          </cell>
          <cell r="J5973" t="str">
            <v>New 24/06/25</v>
          </cell>
          <cell r="K5973" t="str">
            <v>KU</v>
          </cell>
          <cell r="L5973" t="str">
            <v>ONLI01</v>
          </cell>
          <cell r="M5973" t="str">
            <v>Online Shop Shopee</v>
          </cell>
          <cell r="N5973" t="str">
            <v>Online Shop Shopee</v>
          </cell>
          <cell r="O5973" t="str">
            <v>Karisma</v>
          </cell>
          <cell r="P5973" t="str">
            <v>Jember</v>
          </cell>
          <cell r="Q5973" t="str">
            <v>Karisma</v>
          </cell>
          <cell r="R5973" t="str">
            <v>Jember</v>
          </cell>
          <cell r="S5973" t="str">
            <v>L Kota1</v>
          </cell>
          <cell r="T5973" t="str">
            <v>Wira</v>
          </cell>
          <cell r="U5973">
            <v>0</v>
          </cell>
        </row>
        <row r="5974">
          <cell r="E5974" t="str">
            <v>A25002042</v>
          </cell>
          <cell r="F5974"/>
          <cell r="G5974">
            <v>200000000</v>
          </cell>
          <cell r="H5974" t="str">
            <v>Sheila</v>
          </cell>
          <cell r="I5974" t="str">
            <v>Exclusive</v>
          </cell>
          <cell r="J5974" t="str">
            <v>New 24/06/25</v>
          </cell>
          <cell r="K5974" t="str">
            <v>KU</v>
          </cell>
          <cell r="L5974" t="str">
            <v>ONLI01</v>
          </cell>
          <cell r="M5974" t="str">
            <v>Online Shop Shopee</v>
          </cell>
          <cell r="N5974" t="str">
            <v>Online Shop Shopee</v>
          </cell>
          <cell r="O5974" t="str">
            <v>Karisma</v>
          </cell>
          <cell r="P5974" t="str">
            <v>Jember</v>
          </cell>
          <cell r="Q5974" t="str">
            <v>Karisma</v>
          </cell>
          <cell r="R5974" t="str">
            <v>Jember</v>
          </cell>
          <cell r="S5974" t="str">
            <v>L Kota1</v>
          </cell>
          <cell r="T5974" t="str">
            <v>Wira</v>
          </cell>
          <cell r="U5974">
            <v>0</v>
          </cell>
        </row>
        <row r="5975">
          <cell r="E5975" t="str">
            <v>A25002044</v>
          </cell>
          <cell r="F5975"/>
          <cell r="G5975">
            <v>200000000</v>
          </cell>
          <cell r="H5975" t="str">
            <v>Sheila</v>
          </cell>
          <cell r="I5975" t="str">
            <v>Exclusive</v>
          </cell>
          <cell r="J5975" t="str">
            <v>New 24/06/25</v>
          </cell>
          <cell r="K5975" t="str">
            <v>KU</v>
          </cell>
          <cell r="L5975" t="str">
            <v>ONLI01</v>
          </cell>
          <cell r="M5975" t="str">
            <v>Online Shop Shopee</v>
          </cell>
          <cell r="N5975" t="str">
            <v>Online Shop Shopee</v>
          </cell>
          <cell r="O5975" t="str">
            <v>Karisma</v>
          </cell>
          <cell r="P5975" t="str">
            <v>Jember</v>
          </cell>
          <cell r="Q5975" t="str">
            <v>Karisma</v>
          </cell>
          <cell r="R5975" t="str">
            <v>Jember</v>
          </cell>
          <cell r="S5975" t="str">
            <v>L Kota1</v>
          </cell>
          <cell r="T5975" t="str">
            <v>Wira</v>
          </cell>
          <cell r="U5975">
            <v>0</v>
          </cell>
        </row>
        <row r="5976">
          <cell r="E5976" t="str">
            <v>A25002045</v>
          </cell>
          <cell r="F5976"/>
          <cell r="G5976">
            <v>200000000</v>
          </cell>
          <cell r="H5976" t="str">
            <v>Sheila</v>
          </cell>
          <cell r="I5976" t="str">
            <v>Exclusive</v>
          </cell>
          <cell r="J5976" t="str">
            <v>New 24/06/25</v>
          </cell>
          <cell r="K5976" t="str">
            <v>KU</v>
          </cell>
          <cell r="L5976" t="str">
            <v>ONLI01</v>
          </cell>
          <cell r="M5976" t="str">
            <v>Online Shop Shopee</v>
          </cell>
          <cell r="N5976" t="str">
            <v>Online Shop Shopee</v>
          </cell>
          <cell r="O5976" t="str">
            <v>Karisma</v>
          </cell>
          <cell r="P5976" t="str">
            <v>Jember</v>
          </cell>
          <cell r="Q5976" t="str">
            <v>Karisma</v>
          </cell>
          <cell r="R5976" t="str">
            <v>Jember</v>
          </cell>
          <cell r="S5976" t="str">
            <v>L Kota1</v>
          </cell>
          <cell r="T5976" t="str">
            <v>Wira</v>
          </cell>
          <cell r="U5976">
            <v>0</v>
          </cell>
        </row>
        <row r="5977">
          <cell r="E5977" t="str">
            <v>A25002046</v>
          </cell>
          <cell r="F5977"/>
          <cell r="G5977">
            <v>200000000</v>
          </cell>
          <cell r="H5977" t="str">
            <v>Sheila</v>
          </cell>
          <cell r="I5977" t="str">
            <v>Exclusive</v>
          </cell>
          <cell r="J5977" t="str">
            <v>New 24/06/25</v>
          </cell>
          <cell r="K5977" t="str">
            <v>KU</v>
          </cell>
          <cell r="L5977" t="str">
            <v>ONLI01</v>
          </cell>
          <cell r="M5977" t="str">
            <v>Online Shop Shopee</v>
          </cell>
          <cell r="N5977" t="str">
            <v>Online Shop Shopee</v>
          </cell>
          <cell r="O5977" t="str">
            <v>Karisma</v>
          </cell>
          <cell r="P5977" t="str">
            <v>Jember</v>
          </cell>
          <cell r="Q5977" t="str">
            <v>Karisma</v>
          </cell>
          <cell r="R5977" t="str">
            <v>Jember</v>
          </cell>
          <cell r="S5977" t="str">
            <v>L Kota1</v>
          </cell>
          <cell r="T5977" t="str">
            <v>Wira</v>
          </cell>
          <cell r="U5977">
            <v>0</v>
          </cell>
        </row>
        <row r="5978">
          <cell r="E5978" t="str">
            <v>A25002047</v>
          </cell>
          <cell r="F5978"/>
          <cell r="G5978">
            <v>200000000</v>
          </cell>
          <cell r="H5978" t="str">
            <v>Sheila</v>
          </cell>
          <cell r="I5978" t="str">
            <v>Exclusive</v>
          </cell>
          <cell r="J5978" t="str">
            <v>New 24/06/25</v>
          </cell>
          <cell r="K5978" t="str">
            <v>KU</v>
          </cell>
          <cell r="L5978" t="str">
            <v>ONLI01</v>
          </cell>
          <cell r="M5978" t="str">
            <v>Online Shop Shopee</v>
          </cell>
          <cell r="N5978" t="str">
            <v>Online Shop Shopee</v>
          </cell>
          <cell r="O5978" t="str">
            <v>Karisma</v>
          </cell>
          <cell r="P5978" t="str">
            <v>Jember</v>
          </cell>
          <cell r="Q5978" t="str">
            <v>Karisma</v>
          </cell>
          <cell r="R5978" t="str">
            <v>Jember</v>
          </cell>
          <cell r="S5978" t="str">
            <v>L Kota1</v>
          </cell>
          <cell r="T5978" t="str">
            <v>Wira</v>
          </cell>
          <cell r="U5978">
            <v>0</v>
          </cell>
        </row>
        <row r="5979">
          <cell r="E5979" t="str">
            <v>A25002048</v>
          </cell>
          <cell r="F5979"/>
          <cell r="G5979">
            <v>200000000</v>
          </cell>
          <cell r="H5979" t="str">
            <v>Sheila</v>
          </cell>
          <cell r="I5979" t="str">
            <v>Exclusive</v>
          </cell>
          <cell r="J5979" t="str">
            <v>New 24/06/25</v>
          </cell>
          <cell r="K5979" t="str">
            <v>KU</v>
          </cell>
          <cell r="L5979" t="str">
            <v>ONLI01</v>
          </cell>
          <cell r="M5979" t="str">
            <v>Online Shop Shopee</v>
          </cell>
          <cell r="N5979" t="str">
            <v>Online Shop Shopee</v>
          </cell>
          <cell r="O5979" t="str">
            <v>Karisma</v>
          </cell>
          <cell r="P5979" t="str">
            <v>Jember</v>
          </cell>
          <cell r="Q5979" t="str">
            <v>Karisma</v>
          </cell>
          <cell r="R5979" t="str">
            <v>Jember</v>
          </cell>
          <cell r="S5979" t="str">
            <v>L Kota1</v>
          </cell>
          <cell r="T5979" t="str">
            <v>Wira</v>
          </cell>
          <cell r="U5979">
            <v>0</v>
          </cell>
        </row>
        <row r="5980">
          <cell r="E5980" t="str">
            <v>A25002050</v>
          </cell>
          <cell r="F5980"/>
          <cell r="G5980">
            <v>200000000</v>
          </cell>
          <cell r="H5980" t="str">
            <v>Sheila</v>
          </cell>
          <cell r="I5980" t="str">
            <v>Exclusive</v>
          </cell>
          <cell r="J5980" t="str">
            <v>New 24/06/25</v>
          </cell>
          <cell r="K5980" t="str">
            <v>KU</v>
          </cell>
          <cell r="L5980" t="str">
            <v>ONLI01</v>
          </cell>
          <cell r="M5980" t="str">
            <v>Online Shop Shopee</v>
          </cell>
          <cell r="N5980" t="str">
            <v>Online Shop Shopee</v>
          </cell>
          <cell r="O5980" t="str">
            <v>Karisma</v>
          </cell>
          <cell r="P5980" t="str">
            <v>Jember</v>
          </cell>
          <cell r="Q5980" t="str">
            <v>Karisma</v>
          </cell>
          <cell r="R5980" t="str">
            <v>Jember</v>
          </cell>
          <cell r="S5980" t="str">
            <v>L Kota1</v>
          </cell>
          <cell r="T5980" t="str">
            <v>Wira</v>
          </cell>
          <cell r="U5980">
            <v>0</v>
          </cell>
        </row>
        <row r="5981">
          <cell r="E5981" t="str">
            <v>A25002051</v>
          </cell>
          <cell r="F5981"/>
          <cell r="G5981">
            <v>200000000</v>
          </cell>
          <cell r="H5981" t="str">
            <v>Sheila</v>
          </cell>
          <cell r="I5981" t="str">
            <v>Exclusive</v>
          </cell>
          <cell r="J5981" t="str">
            <v>New 24/06/25</v>
          </cell>
          <cell r="K5981" t="str">
            <v>KU</v>
          </cell>
          <cell r="L5981" t="str">
            <v>ONLI01</v>
          </cell>
          <cell r="M5981" t="str">
            <v>Online Shop Shopee</v>
          </cell>
          <cell r="N5981" t="str">
            <v>Online Shop Shopee</v>
          </cell>
          <cell r="O5981" t="str">
            <v>Karisma</v>
          </cell>
          <cell r="P5981" t="str">
            <v>Jember</v>
          </cell>
          <cell r="Q5981" t="str">
            <v>Karisma</v>
          </cell>
          <cell r="R5981" t="str">
            <v>Jember</v>
          </cell>
          <cell r="S5981" t="str">
            <v>L Kota1</v>
          </cell>
          <cell r="T5981" t="str">
            <v>Wira</v>
          </cell>
          <cell r="U5981">
            <v>0</v>
          </cell>
        </row>
        <row r="5982">
          <cell r="E5982" t="str">
            <v>A25002057</v>
          </cell>
          <cell r="F5982"/>
          <cell r="G5982">
            <v>200000000</v>
          </cell>
          <cell r="H5982" t="str">
            <v>Sheila</v>
          </cell>
          <cell r="I5982" t="str">
            <v>Exclusive</v>
          </cell>
          <cell r="J5982" t="str">
            <v>New 24/06/25</v>
          </cell>
          <cell r="K5982" t="str">
            <v>KU</v>
          </cell>
          <cell r="L5982" t="str">
            <v>ONLI01</v>
          </cell>
          <cell r="M5982" t="str">
            <v>Online Shop Shopee</v>
          </cell>
          <cell r="N5982" t="str">
            <v>Online Shop Shopee</v>
          </cell>
          <cell r="O5982" t="str">
            <v>Karisma</v>
          </cell>
          <cell r="P5982" t="str">
            <v>Jember</v>
          </cell>
          <cell r="Q5982" t="str">
            <v>Karisma</v>
          </cell>
          <cell r="R5982" t="str">
            <v>Jember</v>
          </cell>
          <cell r="S5982" t="str">
            <v>L Kota1</v>
          </cell>
          <cell r="T5982" t="str">
            <v>Wira</v>
          </cell>
          <cell r="U5982">
            <v>0</v>
          </cell>
        </row>
        <row r="5983">
          <cell r="E5983" t="str">
            <v>A25002058</v>
          </cell>
          <cell r="F5983"/>
          <cell r="G5983">
            <v>200000000</v>
          </cell>
          <cell r="H5983" t="str">
            <v>Sheila</v>
          </cell>
          <cell r="I5983" t="str">
            <v>Exclusive</v>
          </cell>
          <cell r="J5983" t="str">
            <v>New 24/06/25</v>
          </cell>
          <cell r="K5983" t="str">
            <v>KU</v>
          </cell>
          <cell r="L5983" t="str">
            <v>ONLI01</v>
          </cell>
          <cell r="M5983" t="str">
            <v>Online Shop Shopee</v>
          </cell>
          <cell r="N5983" t="str">
            <v>Online Shop Shopee</v>
          </cell>
          <cell r="O5983" t="str">
            <v>Karisma</v>
          </cell>
          <cell r="P5983" t="str">
            <v>Jember</v>
          </cell>
          <cell r="Q5983" t="str">
            <v>Karisma</v>
          </cell>
          <cell r="R5983" t="str">
            <v>Jember</v>
          </cell>
          <cell r="S5983" t="str">
            <v>L Kota1</v>
          </cell>
          <cell r="T5983" t="str">
            <v>Wira</v>
          </cell>
          <cell r="U5983">
            <v>0</v>
          </cell>
        </row>
        <row r="5984">
          <cell r="E5984" t="str">
            <v>A25002059</v>
          </cell>
          <cell r="F5984"/>
          <cell r="G5984">
            <v>200000000</v>
          </cell>
          <cell r="H5984" t="str">
            <v>Sheila</v>
          </cell>
          <cell r="I5984" t="str">
            <v>Exclusive</v>
          </cell>
          <cell r="J5984" t="str">
            <v>New 24/06/25</v>
          </cell>
          <cell r="K5984" t="str">
            <v>KU</v>
          </cell>
          <cell r="L5984" t="str">
            <v>ONLI01</v>
          </cell>
          <cell r="M5984" t="str">
            <v>Online Shop Shopee</v>
          </cell>
          <cell r="N5984" t="str">
            <v>Online Shop Shopee</v>
          </cell>
          <cell r="O5984" t="str">
            <v>Karisma</v>
          </cell>
          <cell r="P5984" t="str">
            <v>Jember</v>
          </cell>
          <cell r="Q5984" t="str">
            <v>Karisma</v>
          </cell>
          <cell r="R5984" t="str">
            <v>Jember</v>
          </cell>
          <cell r="S5984" t="str">
            <v>L Kota1</v>
          </cell>
          <cell r="T5984" t="str">
            <v>Wira</v>
          </cell>
          <cell r="U5984">
            <v>0</v>
          </cell>
        </row>
        <row r="5985">
          <cell r="E5985" t="str">
            <v>A25002060</v>
          </cell>
          <cell r="F5985"/>
          <cell r="G5985">
            <v>200000000</v>
          </cell>
          <cell r="H5985" t="str">
            <v>Sheila</v>
          </cell>
          <cell r="I5985" t="str">
            <v>Exclusive</v>
          </cell>
          <cell r="J5985" t="str">
            <v>New 24/06/25</v>
          </cell>
          <cell r="K5985" t="str">
            <v>KU</v>
          </cell>
          <cell r="L5985" t="str">
            <v>ONLI01</v>
          </cell>
          <cell r="M5985" t="str">
            <v>Online Shop Shopee</v>
          </cell>
          <cell r="N5985" t="str">
            <v>Online Shop Shopee</v>
          </cell>
          <cell r="O5985" t="str">
            <v>Karisma</v>
          </cell>
          <cell r="P5985" t="str">
            <v>Jember</v>
          </cell>
          <cell r="Q5985" t="str">
            <v>Karisma</v>
          </cell>
          <cell r="R5985" t="str">
            <v>Jember</v>
          </cell>
          <cell r="S5985" t="str">
            <v>L Kota1</v>
          </cell>
          <cell r="T5985" t="str">
            <v>Wira</v>
          </cell>
          <cell r="U5985">
            <v>0</v>
          </cell>
        </row>
        <row r="5986">
          <cell r="E5986" t="str">
            <v>A25002061</v>
          </cell>
          <cell r="F5986"/>
          <cell r="G5986">
            <v>200000000</v>
          </cell>
          <cell r="H5986" t="str">
            <v>Sheila</v>
          </cell>
          <cell r="I5986" t="str">
            <v>Exclusive</v>
          </cell>
          <cell r="J5986" t="str">
            <v>New 24/06/25</v>
          </cell>
          <cell r="K5986" t="str">
            <v>KU</v>
          </cell>
          <cell r="L5986" t="str">
            <v>ONLI01</v>
          </cell>
          <cell r="M5986" t="str">
            <v>Online Shop Shopee</v>
          </cell>
          <cell r="N5986" t="str">
            <v>Online Shop Shopee</v>
          </cell>
          <cell r="O5986" t="str">
            <v>Karisma</v>
          </cell>
          <cell r="P5986" t="str">
            <v>Jember</v>
          </cell>
          <cell r="Q5986" t="str">
            <v>Karisma</v>
          </cell>
          <cell r="R5986" t="str">
            <v>Jember</v>
          </cell>
          <cell r="S5986" t="str">
            <v>L Kota1</v>
          </cell>
          <cell r="T5986" t="str">
            <v>Wira</v>
          </cell>
          <cell r="U5986">
            <v>0</v>
          </cell>
        </row>
        <row r="5987">
          <cell r="E5987" t="str">
            <v>A25002066</v>
          </cell>
          <cell r="F5987"/>
          <cell r="G5987">
            <v>200000000</v>
          </cell>
          <cell r="H5987" t="str">
            <v>Sheila</v>
          </cell>
          <cell r="I5987" t="str">
            <v>Exclusive</v>
          </cell>
          <cell r="J5987" t="str">
            <v>New 24/06/25</v>
          </cell>
          <cell r="K5987" t="str">
            <v>KU</v>
          </cell>
          <cell r="L5987" t="str">
            <v>ONLI01</v>
          </cell>
          <cell r="M5987" t="str">
            <v>Online Shop Shopee</v>
          </cell>
          <cell r="N5987" t="str">
            <v>Online Shop Shopee</v>
          </cell>
          <cell r="O5987" t="str">
            <v>Karisma</v>
          </cell>
          <cell r="P5987" t="str">
            <v>Jember</v>
          </cell>
          <cell r="Q5987" t="str">
            <v>Karisma</v>
          </cell>
          <cell r="R5987" t="str">
            <v>Jember</v>
          </cell>
          <cell r="S5987" t="str">
            <v>L Kota1</v>
          </cell>
          <cell r="T5987" t="str">
            <v>Wira</v>
          </cell>
          <cell r="U5987">
            <v>0</v>
          </cell>
        </row>
        <row r="5988">
          <cell r="E5988" t="str">
            <v>A25002072</v>
          </cell>
          <cell r="F5988"/>
          <cell r="G5988">
            <v>200000000</v>
          </cell>
          <cell r="H5988" t="str">
            <v>Sheila</v>
          </cell>
          <cell r="I5988" t="str">
            <v>Exclusive</v>
          </cell>
          <cell r="J5988" t="str">
            <v>New 24/06/25</v>
          </cell>
          <cell r="K5988" t="str">
            <v>KU</v>
          </cell>
          <cell r="L5988" t="str">
            <v>ONLI01</v>
          </cell>
          <cell r="M5988" t="str">
            <v>Online Shop Shopee</v>
          </cell>
          <cell r="N5988" t="str">
            <v>Online Shop Shopee</v>
          </cell>
          <cell r="O5988" t="str">
            <v>Karisma</v>
          </cell>
          <cell r="P5988" t="str">
            <v>Jember</v>
          </cell>
          <cell r="Q5988" t="str">
            <v>Karisma</v>
          </cell>
          <cell r="R5988" t="str">
            <v>Jember</v>
          </cell>
          <cell r="S5988" t="str">
            <v>L Kota1</v>
          </cell>
          <cell r="T5988" t="str">
            <v>Wira</v>
          </cell>
          <cell r="U5988">
            <v>0</v>
          </cell>
        </row>
        <row r="5989">
          <cell r="E5989" t="str">
            <v>A25002073</v>
          </cell>
          <cell r="F5989"/>
          <cell r="G5989">
            <v>200000000</v>
          </cell>
          <cell r="H5989" t="str">
            <v>Sheila</v>
          </cell>
          <cell r="I5989" t="str">
            <v>Exclusive</v>
          </cell>
          <cell r="J5989" t="str">
            <v>New 24/06/25</v>
          </cell>
          <cell r="K5989" t="str">
            <v>KU</v>
          </cell>
          <cell r="L5989" t="str">
            <v>ONLI01</v>
          </cell>
          <cell r="M5989" t="str">
            <v>Online Shop Shopee</v>
          </cell>
          <cell r="N5989" t="str">
            <v>Online Shop Shopee</v>
          </cell>
          <cell r="O5989" t="str">
            <v>Karisma</v>
          </cell>
          <cell r="P5989" t="str">
            <v>Jember</v>
          </cell>
          <cell r="Q5989" t="str">
            <v>Karisma</v>
          </cell>
          <cell r="R5989" t="str">
            <v>Jember</v>
          </cell>
          <cell r="S5989" t="str">
            <v>L Kota1</v>
          </cell>
          <cell r="T5989" t="str">
            <v>Wira</v>
          </cell>
          <cell r="U5989">
            <v>0</v>
          </cell>
        </row>
        <row r="5990">
          <cell r="E5990" t="str">
            <v>A25002074</v>
          </cell>
          <cell r="F5990"/>
          <cell r="G5990">
            <v>200000000</v>
          </cell>
          <cell r="H5990" t="str">
            <v>Sheila</v>
          </cell>
          <cell r="I5990" t="str">
            <v>Exclusive</v>
          </cell>
          <cell r="J5990" t="str">
            <v>New 24/06/25</v>
          </cell>
          <cell r="K5990" t="str">
            <v>KU</v>
          </cell>
          <cell r="L5990" t="str">
            <v>ONLI01</v>
          </cell>
          <cell r="M5990" t="str">
            <v>Online Shop Shopee</v>
          </cell>
          <cell r="N5990" t="str">
            <v>Online Shop Shopee</v>
          </cell>
          <cell r="O5990" t="str">
            <v>Karisma</v>
          </cell>
          <cell r="P5990" t="str">
            <v>Jember</v>
          </cell>
          <cell r="Q5990" t="str">
            <v>Karisma</v>
          </cell>
          <cell r="R5990" t="str">
            <v>Jember</v>
          </cell>
          <cell r="S5990" t="str">
            <v>L Kota1</v>
          </cell>
          <cell r="T5990" t="str">
            <v>Wira</v>
          </cell>
          <cell r="U5990">
            <v>0</v>
          </cell>
        </row>
        <row r="5991">
          <cell r="E5991" t="str">
            <v>A25002075</v>
          </cell>
          <cell r="F5991"/>
          <cell r="G5991">
            <v>200000000</v>
          </cell>
          <cell r="H5991" t="str">
            <v>Sheila</v>
          </cell>
          <cell r="I5991" t="str">
            <v>Exclusive</v>
          </cell>
          <cell r="J5991" t="str">
            <v>New 24/06/25</v>
          </cell>
          <cell r="K5991" t="str">
            <v>KU</v>
          </cell>
          <cell r="L5991" t="str">
            <v>ONLI01</v>
          </cell>
          <cell r="M5991" t="str">
            <v>Online Shop Shopee</v>
          </cell>
          <cell r="N5991" t="str">
            <v>Online Shop Shopee</v>
          </cell>
          <cell r="O5991" t="str">
            <v>Karisma</v>
          </cell>
          <cell r="P5991" t="str">
            <v>Jember</v>
          </cell>
          <cell r="Q5991" t="str">
            <v>Karisma</v>
          </cell>
          <cell r="R5991" t="str">
            <v>Jember</v>
          </cell>
          <cell r="S5991" t="str">
            <v>L Kota1</v>
          </cell>
          <cell r="T5991" t="str">
            <v>Wira</v>
          </cell>
          <cell r="U5991">
            <v>0</v>
          </cell>
        </row>
        <row r="5992">
          <cell r="E5992" t="str">
            <v>A25002078</v>
          </cell>
          <cell r="F5992"/>
          <cell r="G5992">
            <v>200000000</v>
          </cell>
          <cell r="H5992" t="str">
            <v>Sheila</v>
          </cell>
          <cell r="I5992" t="str">
            <v>Exclusive</v>
          </cell>
          <cell r="J5992" t="str">
            <v>New 24/06/25</v>
          </cell>
          <cell r="K5992" t="str">
            <v>KU</v>
          </cell>
          <cell r="L5992" t="str">
            <v>ONLI01</v>
          </cell>
          <cell r="M5992" t="str">
            <v>Online Shop Shopee</v>
          </cell>
          <cell r="N5992" t="str">
            <v>Online Shop Shopee</v>
          </cell>
          <cell r="O5992" t="str">
            <v>Karisma</v>
          </cell>
          <cell r="P5992" t="str">
            <v>Jember</v>
          </cell>
          <cell r="Q5992" t="str">
            <v>Karisma</v>
          </cell>
          <cell r="R5992" t="str">
            <v>Jember</v>
          </cell>
          <cell r="S5992" t="str">
            <v>L Kota1</v>
          </cell>
          <cell r="T5992" t="str">
            <v>Wira</v>
          </cell>
          <cell r="U5992">
            <v>0</v>
          </cell>
        </row>
        <row r="5993">
          <cell r="E5993" t="str">
            <v>A25002079</v>
          </cell>
          <cell r="F5993"/>
          <cell r="G5993">
            <v>200000000</v>
          </cell>
          <cell r="H5993" t="str">
            <v>Sheila</v>
          </cell>
          <cell r="I5993" t="str">
            <v>Exclusive</v>
          </cell>
          <cell r="J5993" t="str">
            <v>New 24/06/25</v>
          </cell>
          <cell r="K5993" t="str">
            <v>KU</v>
          </cell>
          <cell r="L5993" t="str">
            <v>ONLI01</v>
          </cell>
          <cell r="M5993" t="str">
            <v>Online Shop Shopee</v>
          </cell>
          <cell r="N5993" t="str">
            <v>Online Shop Shopee</v>
          </cell>
          <cell r="O5993" t="str">
            <v>Karisma</v>
          </cell>
          <cell r="P5993" t="str">
            <v>Jember</v>
          </cell>
          <cell r="Q5993" t="str">
            <v>Karisma</v>
          </cell>
          <cell r="R5993" t="str">
            <v>Jember</v>
          </cell>
          <cell r="S5993" t="str">
            <v>L Kota1</v>
          </cell>
          <cell r="T5993" t="str">
            <v>Wira</v>
          </cell>
          <cell r="U5993">
            <v>0</v>
          </cell>
        </row>
        <row r="5994">
          <cell r="E5994" t="str">
            <v>A25002081</v>
          </cell>
          <cell r="F5994"/>
          <cell r="G5994">
            <v>200000000</v>
          </cell>
          <cell r="H5994" t="str">
            <v>Sheila</v>
          </cell>
          <cell r="I5994" t="str">
            <v>Exclusive</v>
          </cell>
          <cell r="J5994" t="str">
            <v>New 24/06/25</v>
          </cell>
          <cell r="K5994" t="str">
            <v>KU</v>
          </cell>
          <cell r="L5994" t="str">
            <v>ONLI01</v>
          </cell>
          <cell r="M5994" t="str">
            <v>Online Shop Shopee</v>
          </cell>
          <cell r="N5994" t="str">
            <v>Online Shop Shopee</v>
          </cell>
          <cell r="O5994" t="str">
            <v>Karisma</v>
          </cell>
          <cell r="P5994" t="str">
            <v>Jember</v>
          </cell>
          <cell r="Q5994" t="str">
            <v>Karisma</v>
          </cell>
          <cell r="R5994" t="str">
            <v>Jember</v>
          </cell>
          <cell r="S5994" t="str">
            <v>L Kota1</v>
          </cell>
          <cell r="T5994" t="str">
            <v>Wira</v>
          </cell>
          <cell r="U5994">
            <v>0</v>
          </cell>
        </row>
        <row r="5995">
          <cell r="E5995" t="str">
            <v>A25002083</v>
          </cell>
          <cell r="F5995"/>
          <cell r="G5995">
            <v>200000000</v>
          </cell>
          <cell r="H5995" t="str">
            <v>Sheila</v>
          </cell>
          <cell r="I5995" t="str">
            <v>Exclusive</v>
          </cell>
          <cell r="J5995" t="str">
            <v>New 24/06/25</v>
          </cell>
          <cell r="K5995" t="str">
            <v>KU</v>
          </cell>
          <cell r="L5995" t="str">
            <v>ONLI01</v>
          </cell>
          <cell r="M5995" t="str">
            <v>Online Shop Shopee</v>
          </cell>
          <cell r="N5995" t="str">
            <v>Online Shop Shopee</v>
          </cell>
          <cell r="O5995" t="str">
            <v>Karisma</v>
          </cell>
          <cell r="P5995" t="str">
            <v>Jember</v>
          </cell>
          <cell r="Q5995" t="str">
            <v>Karisma</v>
          </cell>
          <cell r="R5995" t="str">
            <v>Jember</v>
          </cell>
          <cell r="S5995" t="str">
            <v>L Kota1</v>
          </cell>
          <cell r="T5995" t="str">
            <v>Wira</v>
          </cell>
          <cell r="U5995">
            <v>0</v>
          </cell>
        </row>
        <row r="5996">
          <cell r="E5996" t="str">
            <v>A25001928</v>
          </cell>
          <cell r="F5996"/>
          <cell r="G5996">
            <v>10000000</v>
          </cell>
          <cell r="H5996" t="str">
            <v>Sheila</v>
          </cell>
          <cell r="I5996" t="str">
            <v>Exclusive</v>
          </cell>
          <cell r="J5996" t="str">
            <v>New 24/06/25</v>
          </cell>
          <cell r="K5996" t="str">
            <v>KU</v>
          </cell>
          <cell r="L5996" t="str">
            <v>ONLI02</v>
          </cell>
          <cell r="M5996" t="str">
            <v>Online Shop Tik tok</v>
          </cell>
          <cell r="N5996" t="str">
            <v>Online Shop Tik tok</v>
          </cell>
          <cell r="O5996" t="str">
            <v>Karisma</v>
          </cell>
          <cell r="P5996" t="str">
            <v>Jember</v>
          </cell>
          <cell r="Q5996" t="str">
            <v>Karisma</v>
          </cell>
          <cell r="R5996" t="str">
            <v>Jember</v>
          </cell>
          <cell r="S5996" t="str">
            <v>L Kota1</v>
          </cell>
          <cell r="T5996" t="str">
            <v>Wira</v>
          </cell>
          <cell r="U5996">
            <v>0</v>
          </cell>
        </row>
        <row r="5997">
          <cell r="E5997" t="str">
            <v>A25001928</v>
          </cell>
          <cell r="F5997"/>
          <cell r="G5997">
            <v>10000000</v>
          </cell>
          <cell r="H5997" t="str">
            <v>Sheila</v>
          </cell>
          <cell r="I5997" t="str">
            <v>Exclusive</v>
          </cell>
          <cell r="J5997" t="str">
            <v>New 24/06/25</v>
          </cell>
          <cell r="K5997" t="str">
            <v>KU</v>
          </cell>
          <cell r="L5997" t="str">
            <v>ONLI02</v>
          </cell>
          <cell r="M5997" t="str">
            <v>Online Shop Tik tok</v>
          </cell>
          <cell r="N5997" t="str">
            <v>Online Shop Tik tok</v>
          </cell>
          <cell r="O5997" t="str">
            <v>Karisma</v>
          </cell>
          <cell r="P5997" t="str">
            <v>Jember</v>
          </cell>
          <cell r="Q5997" t="str">
            <v>Karisma</v>
          </cell>
          <cell r="R5997" t="str">
            <v>Jember</v>
          </cell>
          <cell r="S5997" t="str">
            <v>L Kota1</v>
          </cell>
          <cell r="T5997" t="str">
            <v>Wira</v>
          </cell>
          <cell r="U5997">
            <v>0</v>
          </cell>
        </row>
        <row r="5998">
          <cell r="E5998" t="str">
            <v>A25001929</v>
          </cell>
          <cell r="F5998"/>
          <cell r="G5998">
            <v>10000000</v>
          </cell>
          <cell r="H5998" t="str">
            <v>Sheila</v>
          </cell>
          <cell r="I5998" t="str">
            <v>Exclusive</v>
          </cell>
          <cell r="J5998" t="str">
            <v>New 24/06/25</v>
          </cell>
          <cell r="K5998" t="str">
            <v>KU</v>
          </cell>
          <cell r="L5998" t="str">
            <v>ONLI02</v>
          </cell>
          <cell r="M5998" t="str">
            <v>Online Shop Tik tok</v>
          </cell>
          <cell r="N5998" t="str">
            <v>Online Shop Tik tok</v>
          </cell>
          <cell r="O5998" t="str">
            <v>Karisma</v>
          </cell>
          <cell r="P5998" t="str">
            <v>Jember</v>
          </cell>
          <cell r="Q5998" t="str">
            <v>Karisma</v>
          </cell>
          <cell r="R5998" t="str">
            <v>Jember</v>
          </cell>
          <cell r="S5998" t="str">
            <v>L Kota1</v>
          </cell>
          <cell r="T5998" t="str">
            <v>Wira</v>
          </cell>
          <cell r="U5998">
            <v>0</v>
          </cell>
        </row>
        <row r="5999">
          <cell r="E5999" t="str">
            <v>A25001929</v>
          </cell>
          <cell r="F5999"/>
          <cell r="G5999">
            <v>10000000</v>
          </cell>
          <cell r="H5999" t="str">
            <v>Sheila</v>
          </cell>
          <cell r="I5999" t="str">
            <v>Exclusive</v>
          </cell>
          <cell r="J5999" t="str">
            <v>New 24/06/25</v>
          </cell>
          <cell r="K5999" t="str">
            <v>KU</v>
          </cell>
          <cell r="L5999" t="str">
            <v>ONLI02</v>
          </cell>
          <cell r="M5999" t="str">
            <v>Online Shop Tik tok</v>
          </cell>
          <cell r="N5999" t="str">
            <v>Online Shop Tik tok</v>
          </cell>
          <cell r="O5999" t="str">
            <v>Karisma</v>
          </cell>
          <cell r="P5999" t="str">
            <v>Jember</v>
          </cell>
          <cell r="Q5999" t="str">
            <v>Karisma</v>
          </cell>
          <cell r="R5999" t="str">
            <v>Jember</v>
          </cell>
          <cell r="S5999" t="str">
            <v>L Kota1</v>
          </cell>
          <cell r="T5999" t="str">
            <v>Wira</v>
          </cell>
          <cell r="U5999">
            <v>0</v>
          </cell>
        </row>
        <row r="6000">
          <cell r="E6000" t="str">
            <v>A25001938</v>
          </cell>
          <cell r="F6000"/>
          <cell r="G6000">
            <v>10000000</v>
          </cell>
          <cell r="H6000" t="str">
            <v>Sheila</v>
          </cell>
          <cell r="I6000" t="str">
            <v>Exclusive</v>
          </cell>
          <cell r="J6000" t="str">
            <v>New 24/06/25</v>
          </cell>
          <cell r="K6000" t="str">
            <v>KU</v>
          </cell>
          <cell r="L6000" t="str">
            <v>ONLI02</v>
          </cell>
          <cell r="M6000" t="str">
            <v>Online Shop Tik tok</v>
          </cell>
          <cell r="N6000" t="str">
            <v>Online Shop Tik tok</v>
          </cell>
          <cell r="O6000" t="str">
            <v>Karisma</v>
          </cell>
          <cell r="P6000" t="str">
            <v>Jember</v>
          </cell>
          <cell r="Q6000" t="str">
            <v>Karisma</v>
          </cell>
          <cell r="R6000" t="str">
            <v>Jember</v>
          </cell>
          <cell r="S6000" t="str">
            <v>L Kota1</v>
          </cell>
          <cell r="T6000" t="str">
            <v>Wira</v>
          </cell>
          <cell r="U6000">
            <v>0</v>
          </cell>
        </row>
        <row r="6001">
          <cell r="E6001" t="str">
            <v>A25001947</v>
          </cell>
          <cell r="F6001"/>
          <cell r="G6001">
            <v>10000000</v>
          </cell>
          <cell r="H6001" t="str">
            <v>Sheila</v>
          </cell>
          <cell r="I6001" t="str">
            <v>Exclusive</v>
          </cell>
          <cell r="J6001" t="str">
            <v>New 24/06/25</v>
          </cell>
          <cell r="K6001" t="str">
            <v>KU</v>
          </cell>
          <cell r="L6001" t="str">
            <v>ONLI02</v>
          </cell>
          <cell r="M6001" t="str">
            <v>Online Shop Tik tok</v>
          </cell>
          <cell r="N6001" t="str">
            <v>Online Shop Tik tok</v>
          </cell>
          <cell r="O6001" t="str">
            <v>Karisma</v>
          </cell>
          <cell r="P6001" t="str">
            <v>Jember</v>
          </cell>
          <cell r="Q6001" t="str">
            <v>Karisma</v>
          </cell>
          <cell r="R6001" t="str">
            <v>Jember</v>
          </cell>
          <cell r="S6001" t="str">
            <v>L Kota1</v>
          </cell>
          <cell r="T6001" t="str">
            <v>Wira</v>
          </cell>
          <cell r="U6001">
            <v>0</v>
          </cell>
        </row>
        <row r="6002">
          <cell r="E6002" t="str">
            <v>A25001947</v>
          </cell>
          <cell r="F6002"/>
          <cell r="G6002">
            <v>10000000</v>
          </cell>
          <cell r="H6002" t="str">
            <v>Sheila</v>
          </cell>
          <cell r="I6002" t="str">
            <v>Exclusive</v>
          </cell>
          <cell r="J6002" t="str">
            <v>New 24/06/25</v>
          </cell>
          <cell r="K6002" t="str">
            <v>KU</v>
          </cell>
          <cell r="L6002" t="str">
            <v>ONLI02</v>
          </cell>
          <cell r="M6002" t="str">
            <v>Online Shop Tik tok</v>
          </cell>
          <cell r="N6002" t="str">
            <v>Online Shop Tik tok</v>
          </cell>
          <cell r="O6002" t="str">
            <v>Karisma</v>
          </cell>
          <cell r="P6002" t="str">
            <v>Jember</v>
          </cell>
          <cell r="Q6002" t="str">
            <v>Karisma</v>
          </cell>
          <cell r="R6002" t="str">
            <v>Jember</v>
          </cell>
          <cell r="S6002" t="str">
            <v>L Kota1</v>
          </cell>
          <cell r="T6002" t="str">
            <v>Wira</v>
          </cell>
          <cell r="U6002">
            <v>0</v>
          </cell>
        </row>
        <row r="6003">
          <cell r="E6003" t="str">
            <v>A25001950</v>
          </cell>
          <cell r="F6003"/>
          <cell r="G6003">
            <v>10000000</v>
          </cell>
          <cell r="H6003" t="str">
            <v>Sheila</v>
          </cell>
          <cell r="I6003" t="str">
            <v>Exclusive</v>
          </cell>
          <cell r="J6003" t="str">
            <v>New 24/06/25</v>
          </cell>
          <cell r="K6003" t="str">
            <v>KU</v>
          </cell>
          <cell r="L6003" t="str">
            <v>ONLI02</v>
          </cell>
          <cell r="M6003" t="str">
            <v>Online Shop Tik tok</v>
          </cell>
          <cell r="N6003" t="str">
            <v>Online Shop Tik tok</v>
          </cell>
          <cell r="O6003" t="str">
            <v>Karisma</v>
          </cell>
          <cell r="P6003" t="str">
            <v>Jember</v>
          </cell>
          <cell r="Q6003" t="str">
            <v>Karisma</v>
          </cell>
          <cell r="R6003" t="str">
            <v>Jember</v>
          </cell>
          <cell r="S6003" t="str">
            <v>L Kota1</v>
          </cell>
          <cell r="T6003" t="str">
            <v>Wira</v>
          </cell>
          <cell r="U6003">
            <v>0</v>
          </cell>
        </row>
        <row r="6004">
          <cell r="E6004" t="str">
            <v>A25001950</v>
          </cell>
          <cell r="F6004"/>
          <cell r="G6004">
            <v>10000000</v>
          </cell>
          <cell r="H6004" t="str">
            <v>Sheila</v>
          </cell>
          <cell r="I6004" t="str">
            <v>Exclusive</v>
          </cell>
          <cell r="J6004" t="str">
            <v>New 24/06/25</v>
          </cell>
          <cell r="K6004" t="str">
            <v>KU</v>
          </cell>
          <cell r="L6004" t="str">
            <v>ONLI02</v>
          </cell>
          <cell r="M6004" t="str">
            <v>Online Shop Tik tok</v>
          </cell>
          <cell r="N6004" t="str">
            <v>Online Shop Tik tok</v>
          </cell>
          <cell r="O6004" t="str">
            <v>Karisma</v>
          </cell>
          <cell r="P6004" t="str">
            <v>Jember</v>
          </cell>
          <cell r="Q6004" t="str">
            <v>Karisma</v>
          </cell>
          <cell r="R6004" t="str">
            <v>Jember</v>
          </cell>
          <cell r="S6004" t="str">
            <v>L Kota1</v>
          </cell>
          <cell r="T6004" t="str">
            <v>Wira</v>
          </cell>
          <cell r="U6004">
            <v>0</v>
          </cell>
        </row>
        <row r="6005">
          <cell r="E6005" t="str">
            <v>A25001958</v>
          </cell>
          <cell r="F6005"/>
          <cell r="G6005">
            <v>10000000</v>
          </cell>
          <cell r="H6005" t="str">
            <v>Sheila</v>
          </cell>
          <cell r="I6005" t="str">
            <v>Exclusive</v>
          </cell>
          <cell r="J6005" t="str">
            <v>New 24/06/25</v>
          </cell>
          <cell r="K6005" t="str">
            <v>KU</v>
          </cell>
          <cell r="L6005" t="str">
            <v>ONLI02</v>
          </cell>
          <cell r="M6005" t="str">
            <v>Online Shop Tik tok</v>
          </cell>
          <cell r="N6005" t="str">
            <v>Online Shop Tik tok</v>
          </cell>
          <cell r="O6005" t="str">
            <v>Karisma</v>
          </cell>
          <cell r="P6005" t="str">
            <v>Jember</v>
          </cell>
          <cell r="Q6005" t="str">
            <v>Karisma</v>
          </cell>
          <cell r="R6005" t="str">
            <v>Jember</v>
          </cell>
          <cell r="S6005" t="str">
            <v>L Kota1</v>
          </cell>
          <cell r="T6005" t="str">
            <v>Wira</v>
          </cell>
          <cell r="U6005">
            <v>0</v>
          </cell>
        </row>
        <row r="6006">
          <cell r="E6006" t="str">
            <v>A25001958</v>
          </cell>
          <cell r="F6006"/>
          <cell r="G6006">
            <v>10000000</v>
          </cell>
          <cell r="H6006" t="str">
            <v>Sheila</v>
          </cell>
          <cell r="I6006" t="str">
            <v>Exclusive</v>
          </cell>
          <cell r="J6006" t="str">
            <v>New 24/06/25</v>
          </cell>
          <cell r="K6006" t="str">
            <v>KU</v>
          </cell>
          <cell r="L6006" t="str">
            <v>ONLI02</v>
          </cell>
          <cell r="M6006" t="str">
            <v>Online Shop Tik tok</v>
          </cell>
          <cell r="N6006" t="str">
            <v>Online Shop Tik tok</v>
          </cell>
          <cell r="O6006" t="str">
            <v>Karisma</v>
          </cell>
          <cell r="P6006" t="str">
            <v>Jember</v>
          </cell>
          <cell r="Q6006" t="str">
            <v>Karisma</v>
          </cell>
          <cell r="R6006" t="str">
            <v>Jember</v>
          </cell>
          <cell r="S6006" t="str">
            <v>L Kota1</v>
          </cell>
          <cell r="T6006" t="str">
            <v>Wira</v>
          </cell>
          <cell r="U6006">
            <v>0</v>
          </cell>
        </row>
        <row r="6007">
          <cell r="E6007" t="str">
            <v>A25001962</v>
          </cell>
          <cell r="F6007"/>
          <cell r="G6007">
            <v>10000000</v>
          </cell>
          <cell r="H6007" t="str">
            <v>Sheila</v>
          </cell>
          <cell r="I6007" t="str">
            <v>Exclusive</v>
          </cell>
          <cell r="J6007" t="str">
            <v>New 24/06/25</v>
          </cell>
          <cell r="K6007" t="str">
            <v>KU</v>
          </cell>
          <cell r="L6007" t="str">
            <v>ONLI02</v>
          </cell>
          <cell r="M6007" t="str">
            <v>Online Shop Tik tok</v>
          </cell>
          <cell r="N6007" t="str">
            <v>Online Shop Tik tok</v>
          </cell>
          <cell r="O6007" t="str">
            <v>Karisma</v>
          </cell>
          <cell r="P6007" t="str">
            <v>Jember</v>
          </cell>
          <cell r="Q6007" t="str">
            <v>Karisma</v>
          </cell>
          <cell r="R6007" t="str">
            <v>Jember</v>
          </cell>
          <cell r="S6007" t="str">
            <v>L Kota1</v>
          </cell>
          <cell r="T6007" t="str">
            <v>Wira</v>
          </cell>
          <cell r="U6007">
            <v>0</v>
          </cell>
        </row>
        <row r="6008">
          <cell r="E6008" t="str">
            <v>A25001962</v>
          </cell>
          <cell r="F6008"/>
          <cell r="G6008">
            <v>10000000</v>
          </cell>
          <cell r="H6008" t="str">
            <v>Sheila</v>
          </cell>
          <cell r="I6008" t="str">
            <v>Exclusive</v>
          </cell>
          <cell r="J6008" t="str">
            <v>New 24/06/25</v>
          </cell>
          <cell r="K6008" t="str">
            <v>KU</v>
          </cell>
          <cell r="L6008" t="str">
            <v>ONLI02</v>
          </cell>
          <cell r="M6008" t="str">
            <v>Online Shop Tik tok</v>
          </cell>
          <cell r="N6008" t="str">
            <v>Online Shop Tik tok</v>
          </cell>
          <cell r="O6008" t="str">
            <v>Karisma</v>
          </cell>
          <cell r="P6008" t="str">
            <v>Jember</v>
          </cell>
          <cell r="Q6008" t="str">
            <v>Karisma</v>
          </cell>
          <cell r="R6008" t="str">
            <v>Jember</v>
          </cell>
          <cell r="S6008" t="str">
            <v>L Kota1</v>
          </cell>
          <cell r="T6008" t="str">
            <v>Wira</v>
          </cell>
          <cell r="U6008">
            <v>0</v>
          </cell>
        </row>
        <row r="6009">
          <cell r="E6009" t="str">
            <v>A25001966</v>
          </cell>
          <cell r="F6009"/>
          <cell r="G6009">
            <v>10000000</v>
          </cell>
          <cell r="H6009" t="str">
            <v>Sheila</v>
          </cell>
          <cell r="I6009" t="str">
            <v>Exclusive</v>
          </cell>
          <cell r="J6009" t="str">
            <v>New 24/06/25</v>
          </cell>
          <cell r="K6009" t="str">
            <v>KU</v>
          </cell>
          <cell r="L6009" t="str">
            <v>ONLI02</v>
          </cell>
          <cell r="M6009" t="str">
            <v>Online Shop Tik tok</v>
          </cell>
          <cell r="N6009" t="str">
            <v>Online Shop Tik tok</v>
          </cell>
          <cell r="O6009" t="str">
            <v>Karisma</v>
          </cell>
          <cell r="P6009" t="str">
            <v>Jember</v>
          </cell>
          <cell r="Q6009" t="str">
            <v>Karisma</v>
          </cell>
          <cell r="R6009" t="str">
            <v>Jember</v>
          </cell>
          <cell r="S6009" t="str">
            <v>L Kota1</v>
          </cell>
          <cell r="T6009" t="str">
            <v>Wira</v>
          </cell>
          <cell r="U6009">
            <v>0</v>
          </cell>
        </row>
        <row r="6010">
          <cell r="E6010" t="str">
            <v>A25001966</v>
          </cell>
          <cell r="F6010"/>
          <cell r="G6010">
            <v>10000000</v>
          </cell>
          <cell r="H6010" t="str">
            <v>Sheila</v>
          </cell>
          <cell r="I6010" t="str">
            <v>Exclusive</v>
          </cell>
          <cell r="J6010" t="str">
            <v>New 24/06/25</v>
          </cell>
          <cell r="K6010" t="str">
            <v>KU</v>
          </cell>
          <cell r="L6010" t="str">
            <v>ONLI02</v>
          </cell>
          <cell r="M6010" t="str">
            <v>Online Shop Tik tok</v>
          </cell>
          <cell r="N6010" t="str">
            <v>Online Shop Tik tok</v>
          </cell>
          <cell r="O6010" t="str">
            <v>Karisma</v>
          </cell>
          <cell r="P6010" t="str">
            <v>Jember</v>
          </cell>
          <cell r="Q6010" t="str">
            <v>Karisma</v>
          </cell>
          <cell r="R6010" t="str">
            <v>Jember</v>
          </cell>
          <cell r="S6010" t="str">
            <v>L Kota1</v>
          </cell>
          <cell r="T6010" t="str">
            <v>Wira</v>
          </cell>
          <cell r="U6010">
            <v>0</v>
          </cell>
        </row>
        <row r="6011">
          <cell r="E6011" t="str">
            <v>A25001968</v>
          </cell>
          <cell r="F6011"/>
          <cell r="G6011">
            <v>10000000</v>
          </cell>
          <cell r="H6011" t="str">
            <v>Sheila</v>
          </cell>
          <cell r="I6011" t="str">
            <v>Exclusive</v>
          </cell>
          <cell r="J6011" t="str">
            <v>New 24/06/25</v>
          </cell>
          <cell r="K6011" t="str">
            <v>KU</v>
          </cell>
          <cell r="L6011" t="str">
            <v>ONLI02</v>
          </cell>
          <cell r="M6011" t="str">
            <v>Online Shop Tik tok</v>
          </cell>
          <cell r="N6011" t="str">
            <v>Online Shop Tik tok</v>
          </cell>
          <cell r="O6011" t="str">
            <v>Karisma</v>
          </cell>
          <cell r="P6011" t="str">
            <v>Jember</v>
          </cell>
          <cell r="Q6011" t="str">
            <v>Karisma</v>
          </cell>
          <cell r="R6011" t="str">
            <v>Jember</v>
          </cell>
          <cell r="S6011" t="str">
            <v>L Kota1</v>
          </cell>
          <cell r="T6011" t="str">
            <v>Wira</v>
          </cell>
          <cell r="U6011">
            <v>0</v>
          </cell>
        </row>
        <row r="6012">
          <cell r="E6012" t="str">
            <v>A25001968</v>
          </cell>
          <cell r="F6012"/>
          <cell r="G6012">
            <v>10000000</v>
          </cell>
          <cell r="H6012" t="str">
            <v>Sheila</v>
          </cell>
          <cell r="I6012" t="str">
            <v>Exclusive</v>
          </cell>
          <cell r="J6012" t="str">
            <v>New 24/06/25</v>
          </cell>
          <cell r="K6012" t="str">
            <v>KU</v>
          </cell>
          <cell r="L6012" t="str">
            <v>ONLI02</v>
          </cell>
          <cell r="M6012" t="str">
            <v>Online Shop Tik tok</v>
          </cell>
          <cell r="N6012" t="str">
            <v>Online Shop Tik tok</v>
          </cell>
          <cell r="O6012" t="str">
            <v>Karisma</v>
          </cell>
          <cell r="P6012" t="str">
            <v>Jember</v>
          </cell>
          <cell r="Q6012" t="str">
            <v>Karisma</v>
          </cell>
          <cell r="R6012" t="str">
            <v>Jember</v>
          </cell>
          <cell r="S6012" t="str">
            <v>L Kota1</v>
          </cell>
          <cell r="T6012" t="str">
            <v>Wira</v>
          </cell>
          <cell r="U6012">
            <v>0</v>
          </cell>
        </row>
        <row r="6013">
          <cell r="E6013" t="str">
            <v>A25002001</v>
          </cell>
          <cell r="F6013"/>
          <cell r="G6013">
            <v>10000000</v>
          </cell>
          <cell r="H6013" t="str">
            <v>Sheila</v>
          </cell>
          <cell r="I6013" t="str">
            <v>Exclusive</v>
          </cell>
          <cell r="J6013" t="str">
            <v>New 24/06/25</v>
          </cell>
          <cell r="K6013" t="str">
            <v>KU</v>
          </cell>
          <cell r="L6013" t="str">
            <v>ONLI02</v>
          </cell>
          <cell r="M6013" t="str">
            <v>Online Shop Tik tok</v>
          </cell>
          <cell r="N6013" t="str">
            <v>Online Shop Tik tok</v>
          </cell>
          <cell r="O6013" t="str">
            <v>Karisma</v>
          </cell>
          <cell r="P6013" t="str">
            <v>Jember</v>
          </cell>
          <cell r="Q6013" t="str">
            <v>Karisma</v>
          </cell>
          <cell r="R6013" t="str">
            <v>Jember</v>
          </cell>
          <cell r="S6013" t="str">
            <v>L Kota1</v>
          </cell>
          <cell r="T6013" t="str">
            <v>Wira</v>
          </cell>
          <cell r="U6013">
            <v>0</v>
          </cell>
        </row>
        <row r="6014">
          <cell r="E6014" t="str">
            <v>A25002012</v>
          </cell>
          <cell r="F6014"/>
          <cell r="G6014">
            <v>10000000</v>
          </cell>
          <cell r="H6014" t="str">
            <v>Sheila</v>
          </cell>
          <cell r="I6014" t="str">
            <v>Exclusive</v>
          </cell>
          <cell r="J6014" t="str">
            <v>New 24/06/25</v>
          </cell>
          <cell r="K6014" t="str">
            <v>KU</v>
          </cell>
          <cell r="L6014" t="str">
            <v>ONLI02</v>
          </cell>
          <cell r="M6014" t="str">
            <v>Online Shop Tik tok</v>
          </cell>
          <cell r="N6014" t="str">
            <v>Online Shop Tik tok</v>
          </cell>
          <cell r="O6014" t="str">
            <v>Karisma</v>
          </cell>
          <cell r="P6014" t="str">
            <v>Jember</v>
          </cell>
          <cell r="Q6014" t="str">
            <v>Karisma</v>
          </cell>
          <cell r="R6014" t="str">
            <v>Jember</v>
          </cell>
          <cell r="S6014" t="str">
            <v>L Kota1</v>
          </cell>
          <cell r="T6014" t="str">
            <v>Wira</v>
          </cell>
          <cell r="U6014">
            <v>0</v>
          </cell>
        </row>
        <row r="6015">
          <cell r="E6015" t="str">
            <v>A25002012</v>
          </cell>
          <cell r="F6015"/>
          <cell r="G6015">
            <v>10000000</v>
          </cell>
          <cell r="H6015" t="str">
            <v>Sheila</v>
          </cell>
          <cell r="I6015" t="str">
            <v>Exclusive</v>
          </cell>
          <cell r="J6015" t="str">
            <v>New 24/06/25</v>
          </cell>
          <cell r="K6015" t="str">
            <v>KU</v>
          </cell>
          <cell r="L6015" t="str">
            <v>ONLI02</v>
          </cell>
          <cell r="M6015" t="str">
            <v>Online Shop Tik tok</v>
          </cell>
          <cell r="N6015" t="str">
            <v>Online Shop Tik tok</v>
          </cell>
          <cell r="O6015" t="str">
            <v>Karisma</v>
          </cell>
          <cell r="P6015" t="str">
            <v>Jember</v>
          </cell>
          <cell r="Q6015" t="str">
            <v>Karisma</v>
          </cell>
          <cell r="R6015" t="str">
            <v>Jember</v>
          </cell>
          <cell r="S6015" t="str">
            <v>L Kota1</v>
          </cell>
          <cell r="T6015" t="str">
            <v>Wira</v>
          </cell>
          <cell r="U6015">
            <v>0</v>
          </cell>
        </row>
        <row r="6016">
          <cell r="E6016" t="str">
            <v>A25002022</v>
          </cell>
          <cell r="F6016"/>
          <cell r="G6016">
            <v>10000000</v>
          </cell>
          <cell r="H6016" t="str">
            <v>Sheila</v>
          </cell>
          <cell r="I6016" t="str">
            <v>Exclusive</v>
          </cell>
          <cell r="J6016" t="str">
            <v>New 24/06/25</v>
          </cell>
          <cell r="K6016" t="str">
            <v>KU</v>
          </cell>
          <cell r="L6016" t="str">
            <v>ONLI02</v>
          </cell>
          <cell r="M6016" t="str">
            <v>Online Shop Tik tok</v>
          </cell>
          <cell r="N6016" t="str">
            <v>Online Shop Tik tok</v>
          </cell>
          <cell r="O6016" t="str">
            <v>Karisma</v>
          </cell>
          <cell r="P6016" t="str">
            <v>Jember</v>
          </cell>
          <cell r="Q6016" t="str">
            <v>Karisma</v>
          </cell>
          <cell r="R6016" t="str">
            <v>Jember</v>
          </cell>
          <cell r="S6016" t="str">
            <v>L Kota1</v>
          </cell>
          <cell r="T6016" t="str">
            <v>Wira</v>
          </cell>
          <cell r="U6016">
            <v>0</v>
          </cell>
        </row>
        <row r="6017">
          <cell r="E6017" t="str">
            <v>A25002035</v>
          </cell>
          <cell r="F6017"/>
          <cell r="G6017">
            <v>10000000</v>
          </cell>
          <cell r="H6017" t="str">
            <v>Sheila</v>
          </cell>
          <cell r="I6017" t="str">
            <v>Exclusive</v>
          </cell>
          <cell r="J6017" t="str">
            <v>New 24/06/25</v>
          </cell>
          <cell r="K6017" t="str">
            <v>KU</v>
          </cell>
          <cell r="L6017" t="str">
            <v>ONLI02</v>
          </cell>
          <cell r="M6017" t="str">
            <v>Online Shop Tik tok</v>
          </cell>
          <cell r="N6017" t="str">
            <v>Online Shop Tik tok</v>
          </cell>
          <cell r="O6017" t="str">
            <v>Karisma</v>
          </cell>
          <cell r="P6017" t="str">
            <v>Jember</v>
          </cell>
          <cell r="Q6017" t="str">
            <v>Karisma</v>
          </cell>
          <cell r="R6017" t="str">
            <v>Jember</v>
          </cell>
          <cell r="S6017" t="str">
            <v>L Kota1</v>
          </cell>
          <cell r="T6017" t="str">
            <v>Wira</v>
          </cell>
          <cell r="U6017">
            <v>0</v>
          </cell>
        </row>
        <row r="6018">
          <cell r="E6018" t="str">
            <v>A25002037</v>
          </cell>
          <cell r="F6018"/>
          <cell r="G6018">
            <v>10000000</v>
          </cell>
          <cell r="H6018" t="str">
            <v>Sheila</v>
          </cell>
          <cell r="I6018" t="str">
            <v>Exclusive</v>
          </cell>
          <cell r="J6018" t="str">
            <v>New 24/06/25</v>
          </cell>
          <cell r="K6018" t="str">
            <v>KU</v>
          </cell>
          <cell r="L6018" t="str">
            <v>ONLI02</v>
          </cell>
          <cell r="M6018" t="str">
            <v>Online Shop Tik tok</v>
          </cell>
          <cell r="N6018" t="str">
            <v>Online Shop Tik tok</v>
          </cell>
          <cell r="O6018" t="str">
            <v>Karisma</v>
          </cell>
          <cell r="P6018" t="str">
            <v>Jember</v>
          </cell>
          <cell r="Q6018" t="str">
            <v>Karisma</v>
          </cell>
          <cell r="R6018" t="str">
            <v>Jember</v>
          </cell>
          <cell r="S6018" t="str">
            <v>L Kota1</v>
          </cell>
          <cell r="T6018" t="str">
            <v>Wira</v>
          </cell>
          <cell r="U6018">
            <v>0</v>
          </cell>
        </row>
        <row r="6019">
          <cell r="E6019" t="str">
            <v>A25002039</v>
          </cell>
          <cell r="F6019"/>
          <cell r="G6019">
            <v>10000000</v>
          </cell>
          <cell r="H6019" t="str">
            <v>Sheila</v>
          </cell>
          <cell r="I6019" t="str">
            <v>Exclusive</v>
          </cell>
          <cell r="J6019" t="str">
            <v>New 24/06/25</v>
          </cell>
          <cell r="K6019" t="str">
            <v>KU</v>
          </cell>
          <cell r="L6019" t="str">
            <v>ONLI02</v>
          </cell>
          <cell r="M6019" t="str">
            <v>Online Shop Tik tok</v>
          </cell>
          <cell r="N6019" t="str">
            <v>Online Shop Tik tok</v>
          </cell>
          <cell r="O6019" t="str">
            <v>Karisma</v>
          </cell>
          <cell r="P6019" t="str">
            <v>Jember</v>
          </cell>
          <cell r="Q6019" t="str">
            <v>Karisma</v>
          </cell>
          <cell r="R6019" t="str">
            <v>Jember</v>
          </cell>
          <cell r="S6019" t="str">
            <v>L Kota1</v>
          </cell>
          <cell r="T6019" t="str">
            <v>Wira</v>
          </cell>
          <cell r="U6019">
            <v>0</v>
          </cell>
        </row>
        <row r="6020">
          <cell r="E6020" t="str">
            <v>A25002043</v>
          </cell>
          <cell r="F6020"/>
          <cell r="G6020">
            <v>10000000</v>
          </cell>
          <cell r="H6020" t="str">
            <v>Sheila</v>
          </cell>
          <cell r="I6020" t="str">
            <v>Exclusive</v>
          </cell>
          <cell r="J6020" t="str">
            <v>New 24/06/25</v>
          </cell>
          <cell r="K6020" t="str">
            <v>KU</v>
          </cell>
          <cell r="L6020" t="str">
            <v>ONLI02</v>
          </cell>
          <cell r="M6020" t="str">
            <v>Online Shop Tik tok</v>
          </cell>
          <cell r="N6020" t="str">
            <v>Online Shop Tik tok</v>
          </cell>
          <cell r="O6020" t="str">
            <v>Karisma</v>
          </cell>
          <cell r="P6020" t="str">
            <v>Jember</v>
          </cell>
          <cell r="Q6020" t="str">
            <v>Karisma</v>
          </cell>
          <cell r="R6020" t="str">
            <v>Jember</v>
          </cell>
          <cell r="S6020" t="str">
            <v>L Kota1</v>
          </cell>
          <cell r="T6020" t="str">
            <v>Wira</v>
          </cell>
          <cell r="U6020">
            <v>0</v>
          </cell>
        </row>
        <row r="6021">
          <cell r="E6021" t="str">
            <v>A25002049</v>
          </cell>
          <cell r="F6021"/>
          <cell r="G6021">
            <v>10000000</v>
          </cell>
          <cell r="H6021" t="str">
            <v>Sheila</v>
          </cell>
          <cell r="I6021" t="str">
            <v>Exclusive</v>
          </cell>
          <cell r="J6021" t="str">
            <v>New 24/06/25</v>
          </cell>
          <cell r="K6021" t="str">
            <v>KU</v>
          </cell>
          <cell r="L6021" t="str">
            <v>ONLI02</v>
          </cell>
          <cell r="M6021" t="str">
            <v>Online Shop Tik tok</v>
          </cell>
          <cell r="N6021" t="str">
            <v>Online Shop Tik tok</v>
          </cell>
          <cell r="O6021" t="str">
            <v>Karisma</v>
          </cell>
          <cell r="P6021" t="str">
            <v>Jember</v>
          </cell>
          <cell r="Q6021" t="str">
            <v>Karisma</v>
          </cell>
          <cell r="R6021" t="str">
            <v>Jember</v>
          </cell>
          <cell r="S6021" t="str">
            <v>L Kota1</v>
          </cell>
          <cell r="T6021" t="str">
            <v>Wira</v>
          </cell>
          <cell r="U6021">
            <v>0</v>
          </cell>
        </row>
        <row r="6022">
          <cell r="E6022" t="str">
            <v>A25002052</v>
          </cell>
          <cell r="F6022"/>
          <cell r="G6022">
            <v>10000000</v>
          </cell>
          <cell r="H6022" t="str">
            <v>Sheila</v>
          </cell>
          <cell r="I6022" t="str">
            <v>Exclusive</v>
          </cell>
          <cell r="J6022" t="str">
            <v>New 24/06/25</v>
          </cell>
          <cell r="K6022" t="str">
            <v>KU</v>
          </cell>
          <cell r="L6022" t="str">
            <v>ONLI02</v>
          </cell>
          <cell r="M6022" t="str">
            <v>Online Shop Tik tok</v>
          </cell>
          <cell r="N6022" t="str">
            <v>Online Shop Tik tok</v>
          </cell>
          <cell r="O6022" t="str">
            <v>Karisma</v>
          </cell>
          <cell r="P6022" t="str">
            <v>Jember</v>
          </cell>
          <cell r="Q6022" t="str">
            <v>Karisma</v>
          </cell>
          <cell r="R6022" t="str">
            <v>Jember</v>
          </cell>
          <cell r="S6022" t="str">
            <v>L Kota1</v>
          </cell>
          <cell r="T6022" t="str">
            <v>Wira</v>
          </cell>
          <cell r="U6022">
            <v>0</v>
          </cell>
        </row>
        <row r="6023">
          <cell r="E6023" t="str">
            <v>A25002053</v>
          </cell>
          <cell r="F6023"/>
          <cell r="G6023">
            <v>10000000</v>
          </cell>
          <cell r="H6023" t="str">
            <v>Sheila</v>
          </cell>
          <cell r="I6023" t="str">
            <v>Exclusive</v>
          </cell>
          <cell r="J6023" t="str">
            <v>New 24/06/25</v>
          </cell>
          <cell r="K6023" t="str">
            <v>KU</v>
          </cell>
          <cell r="L6023" t="str">
            <v>ONLI02</v>
          </cell>
          <cell r="M6023" t="str">
            <v>Online Shop Tik tok</v>
          </cell>
          <cell r="N6023" t="str">
            <v>Online Shop Tik tok</v>
          </cell>
          <cell r="O6023" t="str">
            <v>Karisma</v>
          </cell>
          <cell r="P6023" t="str">
            <v>Jember</v>
          </cell>
          <cell r="Q6023" t="str">
            <v>Karisma</v>
          </cell>
          <cell r="R6023" t="str">
            <v>Jember</v>
          </cell>
          <cell r="S6023" t="str">
            <v>L Kota1</v>
          </cell>
          <cell r="T6023" t="str">
            <v>Wira</v>
          </cell>
          <cell r="U6023">
            <v>0</v>
          </cell>
        </row>
        <row r="6024">
          <cell r="E6024" t="str">
            <v>A25002062</v>
          </cell>
          <cell r="F6024"/>
          <cell r="G6024">
            <v>10000000</v>
          </cell>
          <cell r="H6024" t="str">
            <v>Sheila</v>
          </cell>
          <cell r="I6024" t="str">
            <v>Exclusive</v>
          </cell>
          <cell r="J6024" t="str">
            <v>New 24/06/25</v>
          </cell>
          <cell r="K6024" t="str">
            <v>KU</v>
          </cell>
          <cell r="L6024" t="str">
            <v>ONLI02</v>
          </cell>
          <cell r="M6024" t="str">
            <v>Online Shop Tik tok</v>
          </cell>
          <cell r="N6024" t="str">
            <v>Online Shop Tik tok</v>
          </cell>
          <cell r="O6024" t="str">
            <v>Karisma</v>
          </cell>
          <cell r="P6024" t="str">
            <v>Jember</v>
          </cell>
          <cell r="Q6024" t="str">
            <v>Karisma</v>
          </cell>
          <cell r="R6024" t="str">
            <v>Jember</v>
          </cell>
          <cell r="S6024" t="str">
            <v>L Kota1</v>
          </cell>
          <cell r="T6024" t="str">
            <v>Wira</v>
          </cell>
          <cell r="U6024">
            <v>0</v>
          </cell>
        </row>
        <row r="6025">
          <cell r="E6025" t="str">
            <v>A25002063</v>
          </cell>
          <cell r="F6025"/>
          <cell r="G6025">
            <v>10000000</v>
          </cell>
          <cell r="H6025" t="str">
            <v>Sheila</v>
          </cell>
          <cell r="I6025" t="str">
            <v>Exclusive</v>
          </cell>
          <cell r="J6025" t="str">
            <v>New 24/06/25</v>
          </cell>
          <cell r="K6025" t="str">
            <v>KU</v>
          </cell>
          <cell r="L6025" t="str">
            <v>ONLI02</v>
          </cell>
          <cell r="M6025" t="str">
            <v>Online Shop Tik tok</v>
          </cell>
          <cell r="N6025" t="str">
            <v>Online Shop Tik tok</v>
          </cell>
          <cell r="O6025" t="str">
            <v>Karisma</v>
          </cell>
          <cell r="P6025" t="str">
            <v>Jember</v>
          </cell>
          <cell r="Q6025" t="str">
            <v>Karisma</v>
          </cell>
          <cell r="R6025" t="str">
            <v>Jember</v>
          </cell>
          <cell r="S6025" t="str">
            <v>L Kota1</v>
          </cell>
          <cell r="T6025" t="str">
            <v>Wira</v>
          </cell>
          <cell r="U6025">
            <v>0</v>
          </cell>
        </row>
        <row r="6026">
          <cell r="E6026" t="str">
            <v>A25002064</v>
          </cell>
          <cell r="F6026"/>
          <cell r="G6026">
            <v>10000000</v>
          </cell>
          <cell r="H6026" t="str">
            <v>Sheila</v>
          </cell>
          <cell r="I6026" t="str">
            <v>Exclusive</v>
          </cell>
          <cell r="J6026" t="str">
            <v>New 24/06/25</v>
          </cell>
          <cell r="K6026" t="str">
            <v>KU</v>
          </cell>
          <cell r="L6026" t="str">
            <v>ONLI02</v>
          </cell>
          <cell r="M6026" t="str">
            <v>Online Shop Tik tok</v>
          </cell>
          <cell r="N6026" t="str">
            <v>Online Shop Tik tok</v>
          </cell>
          <cell r="O6026" t="str">
            <v>Karisma</v>
          </cell>
          <cell r="P6026" t="str">
            <v>Jember</v>
          </cell>
          <cell r="Q6026" t="str">
            <v>Karisma</v>
          </cell>
          <cell r="R6026" t="str">
            <v>Jember</v>
          </cell>
          <cell r="S6026" t="str">
            <v>L Kota1</v>
          </cell>
          <cell r="T6026" t="str">
            <v>Wira</v>
          </cell>
          <cell r="U6026">
            <v>0</v>
          </cell>
        </row>
        <row r="6027">
          <cell r="E6027" t="str">
            <v>A25002065</v>
          </cell>
          <cell r="F6027"/>
          <cell r="G6027">
            <v>10000000</v>
          </cell>
          <cell r="H6027" t="str">
            <v>Sheila</v>
          </cell>
          <cell r="I6027" t="str">
            <v>Exclusive</v>
          </cell>
          <cell r="J6027" t="str">
            <v>New 24/06/25</v>
          </cell>
          <cell r="K6027" t="str">
            <v>KU</v>
          </cell>
          <cell r="L6027" t="str">
            <v>ONLI02</v>
          </cell>
          <cell r="M6027" t="str">
            <v>Online Shop Tik tok</v>
          </cell>
          <cell r="N6027" t="str">
            <v>Online Shop Tik tok</v>
          </cell>
          <cell r="O6027" t="str">
            <v>Karisma</v>
          </cell>
          <cell r="P6027" t="str">
            <v>Jember</v>
          </cell>
          <cell r="Q6027" t="str">
            <v>Karisma</v>
          </cell>
          <cell r="R6027" t="str">
            <v>Jember</v>
          </cell>
          <cell r="S6027" t="str">
            <v>L Kota1</v>
          </cell>
          <cell r="T6027" t="str">
            <v>Wira</v>
          </cell>
          <cell r="U6027">
            <v>0</v>
          </cell>
        </row>
        <row r="6028">
          <cell r="E6028" t="str">
            <v>A25002067</v>
          </cell>
          <cell r="F6028"/>
          <cell r="G6028">
            <v>10000000</v>
          </cell>
          <cell r="H6028" t="str">
            <v>Sheila</v>
          </cell>
          <cell r="I6028" t="str">
            <v>Exclusive</v>
          </cell>
          <cell r="J6028" t="str">
            <v>New 24/06/25</v>
          </cell>
          <cell r="K6028" t="str">
            <v>KU</v>
          </cell>
          <cell r="L6028" t="str">
            <v>ONLI02</v>
          </cell>
          <cell r="M6028" t="str">
            <v>Online Shop Tik tok</v>
          </cell>
          <cell r="N6028" t="str">
            <v>Online Shop Tik tok</v>
          </cell>
          <cell r="O6028" t="str">
            <v>Karisma</v>
          </cell>
          <cell r="P6028" t="str">
            <v>Jember</v>
          </cell>
          <cell r="Q6028" t="str">
            <v>Karisma</v>
          </cell>
          <cell r="R6028" t="str">
            <v>Jember</v>
          </cell>
          <cell r="S6028" t="str">
            <v>L Kota1</v>
          </cell>
          <cell r="T6028" t="str">
            <v>Wira</v>
          </cell>
          <cell r="U6028">
            <v>0</v>
          </cell>
        </row>
        <row r="6029">
          <cell r="E6029" t="str">
            <v>A25002068</v>
          </cell>
          <cell r="F6029"/>
          <cell r="G6029">
            <v>10000000</v>
          </cell>
          <cell r="H6029" t="str">
            <v>Sheila</v>
          </cell>
          <cell r="I6029" t="str">
            <v>Exclusive</v>
          </cell>
          <cell r="J6029" t="str">
            <v>New 24/06/25</v>
          </cell>
          <cell r="K6029" t="str">
            <v>KU</v>
          </cell>
          <cell r="L6029" t="str">
            <v>ONLI02</v>
          </cell>
          <cell r="M6029" t="str">
            <v>Online Shop Tik tok</v>
          </cell>
          <cell r="N6029" t="str">
            <v>Online Shop Tik tok</v>
          </cell>
          <cell r="O6029" t="str">
            <v>Karisma</v>
          </cell>
          <cell r="P6029" t="str">
            <v>Jember</v>
          </cell>
          <cell r="Q6029" t="str">
            <v>Karisma</v>
          </cell>
          <cell r="R6029" t="str">
            <v>Jember</v>
          </cell>
          <cell r="S6029" t="str">
            <v>L Kota1</v>
          </cell>
          <cell r="T6029" t="str">
            <v>Wira</v>
          </cell>
          <cell r="U6029">
            <v>0</v>
          </cell>
        </row>
        <row r="6030">
          <cell r="E6030" t="str">
            <v>A25002069</v>
          </cell>
          <cell r="F6030"/>
          <cell r="G6030">
            <v>10000000</v>
          </cell>
          <cell r="H6030" t="str">
            <v>Sheila</v>
          </cell>
          <cell r="I6030" t="str">
            <v>Exclusive</v>
          </cell>
          <cell r="J6030" t="str">
            <v>New 24/06/25</v>
          </cell>
          <cell r="K6030" t="str">
            <v>KU</v>
          </cell>
          <cell r="L6030" t="str">
            <v>ONLI02</v>
          </cell>
          <cell r="M6030" t="str">
            <v>Online Shop Tik tok</v>
          </cell>
          <cell r="N6030" t="str">
            <v>Online Shop Tik tok</v>
          </cell>
          <cell r="O6030" t="str">
            <v>Karisma</v>
          </cell>
          <cell r="P6030" t="str">
            <v>Jember</v>
          </cell>
          <cell r="Q6030" t="str">
            <v>Karisma</v>
          </cell>
          <cell r="R6030" t="str">
            <v>Jember</v>
          </cell>
          <cell r="S6030" t="str">
            <v>L Kota1</v>
          </cell>
          <cell r="T6030" t="str">
            <v>Wira</v>
          </cell>
          <cell r="U6030">
            <v>0</v>
          </cell>
        </row>
        <row r="6031">
          <cell r="E6031" t="str">
            <v>A25002070</v>
          </cell>
          <cell r="F6031"/>
          <cell r="G6031">
            <v>10000000</v>
          </cell>
          <cell r="H6031" t="str">
            <v>Sheila</v>
          </cell>
          <cell r="I6031" t="str">
            <v>Exclusive</v>
          </cell>
          <cell r="J6031" t="str">
            <v>New 24/06/25</v>
          </cell>
          <cell r="K6031" t="str">
            <v>KU</v>
          </cell>
          <cell r="L6031" t="str">
            <v>ONLI02</v>
          </cell>
          <cell r="M6031" t="str">
            <v>Online Shop Tik tok</v>
          </cell>
          <cell r="N6031" t="str">
            <v>Online Shop Tik tok</v>
          </cell>
          <cell r="O6031" t="str">
            <v>Karisma</v>
          </cell>
          <cell r="P6031" t="str">
            <v>Jember</v>
          </cell>
          <cell r="Q6031" t="str">
            <v>Karisma</v>
          </cell>
          <cell r="R6031" t="str">
            <v>Jember</v>
          </cell>
          <cell r="S6031" t="str">
            <v>L Kota1</v>
          </cell>
          <cell r="T6031" t="str">
            <v>Wira</v>
          </cell>
          <cell r="U6031">
            <v>0</v>
          </cell>
        </row>
        <row r="6032">
          <cell r="E6032" t="str">
            <v>A25002071</v>
          </cell>
          <cell r="F6032"/>
          <cell r="G6032">
            <v>10000000</v>
          </cell>
          <cell r="H6032" t="str">
            <v>Sheila</v>
          </cell>
          <cell r="I6032" t="str">
            <v>Exclusive</v>
          </cell>
          <cell r="J6032" t="str">
            <v>New 24/06/25</v>
          </cell>
          <cell r="K6032" t="str">
            <v>KU</v>
          </cell>
          <cell r="L6032" t="str">
            <v>ONLI02</v>
          </cell>
          <cell r="M6032" t="str">
            <v>Online Shop Tik tok</v>
          </cell>
          <cell r="N6032" t="str">
            <v>Online Shop Tik tok</v>
          </cell>
          <cell r="O6032" t="str">
            <v>Karisma</v>
          </cell>
          <cell r="P6032" t="str">
            <v>Jember</v>
          </cell>
          <cell r="Q6032" t="str">
            <v>Karisma</v>
          </cell>
          <cell r="R6032" t="str">
            <v>Jember</v>
          </cell>
          <cell r="S6032" t="str">
            <v>L Kota1</v>
          </cell>
          <cell r="T6032" t="str">
            <v>Wira</v>
          </cell>
          <cell r="U6032">
            <v>0</v>
          </cell>
        </row>
        <row r="6033">
          <cell r="E6033" t="str">
            <v>A25002076</v>
          </cell>
          <cell r="F6033"/>
          <cell r="G6033">
            <v>10000000</v>
          </cell>
          <cell r="H6033" t="str">
            <v>Sheila</v>
          </cell>
          <cell r="I6033" t="str">
            <v>Exclusive</v>
          </cell>
          <cell r="J6033" t="str">
            <v>New 24/06/25</v>
          </cell>
          <cell r="K6033" t="str">
            <v>KU</v>
          </cell>
          <cell r="L6033" t="str">
            <v>ONLI02</v>
          </cell>
          <cell r="M6033" t="str">
            <v>Online Shop Tik tok</v>
          </cell>
          <cell r="N6033" t="str">
            <v>Online Shop Tik tok</v>
          </cell>
          <cell r="O6033" t="str">
            <v>Karisma</v>
          </cell>
          <cell r="P6033" t="str">
            <v>Jember</v>
          </cell>
          <cell r="Q6033" t="str">
            <v>Karisma</v>
          </cell>
          <cell r="R6033" t="str">
            <v>Jember</v>
          </cell>
          <cell r="S6033" t="str">
            <v>L Kota1</v>
          </cell>
          <cell r="T6033" t="str">
            <v>Wira</v>
          </cell>
          <cell r="U6033">
            <v>0</v>
          </cell>
        </row>
        <row r="6034">
          <cell r="E6034" t="str">
            <v>A25002077</v>
          </cell>
          <cell r="F6034"/>
          <cell r="G6034">
            <v>10000000</v>
          </cell>
          <cell r="H6034" t="str">
            <v>Sheila</v>
          </cell>
          <cell r="I6034" t="str">
            <v>Exclusive</v>
          </cell>
          <cell r="J6034" t="str">
            <v>New 24/06/25</v>
          </cell>
          <cell r="K6034" t="str">
            <v>KU</v>
          </cell>
          <cell r="L6034" t="str">
            <v>ONLI02</v>
          </cell>
          <cell r="M6034" t="str">
            <v>Online Shop Tik tok</v>
          </cell>
          <cell r="N6034" t="str">
            <v>Online Shop Tik tok</v>
          </cell>
          <cell r="O6034" t="str">
            <v>Karisma</v>
          </cell>
          <cell r="P6034" t="str">
            <v>Jember</v>
          </cell>
          <cell r="Q6034" t="str">
            <v>Karisma</v>
          </cell>
          <cell r="R6034" t="str">
            <v>Jember</v>
          </cell>
          <cell r="S6034" t="str">
            <v>L Kota1</v>
          </cell>
          <cell r="T6034" t="str">
            <v>Wira</v>
          </cell>
          <cell r="U6034">
            <v>0</v>
          </cell>
        </row>
        <row r="6035">
          <cell r="E6035" t="str">
            <v>A25002080</v>
          </cell>
          <cell r="F6035"/>
          <cell r="G6035">
            <v>10000000</v>
          </cell>
          <cell r="H6035" t="str">
            <v>Sheila</v>
          </cell>
          <cell r="I6035" t="str">
            <v>Exclusive</v>
          </cell>
          <cell r="J6035" t="str">
            <v>New 24/06/25</v>
          </cell>
          <cell r="K6035" t="str">
            <v>KU</v>
          </cell>
          <cell r="L6035" t="str">
            <v>ONLI02</v>
          </cell>
          <cell r="M6035" t="str">
            <v>Online Shop Tik tok</v>
          </cell>
          <cell r="N6035" t="str">
            <v>Online Shop Tik tok</v>
          </cell>
          <cell r="O6035" t="str">
            <v>Karisma</v>
          </cell>
          <cell r="P6035" t="str">
            <v>Jember</v>
          </cell>
          <cell r="Q6035" t="str">
            <v>Karisma</v>
          </cell>
          <cell r="R6035" t="str">
            <v>Jember</v>
          </cell>
          <cell r="S6035" t="str">
            <v>L Kota1</v>
          </cell>
          <cell r="T6035" t="str">
            <v>Wira</v>
          </cell>
          <cell r="U6035">
            <v>0</v>
          </cell>
        </row>
        <row r="6036">
          <cell r="E6036" t="str">
            <v>A25002082</v>
          </cell>
          <cell r="F6036"/>
          <cell r="G6036">
            <v>10000000</v>
          </cell>
          <cell r="H6036" t="str">
            <v>Sheila</v>
          </cell>
          <cell r="I6036" t="str">
            <v>Exclusive</v>
          </cell>
          <cell r="J6036" t="str">
            <v>New 24/06/25</v>
          </cell>
          <cell r="K6036" t="str">
            <v>KU</v>
          </cell>
          <cell r="L6036" t="str">
            <v>ONLI02</v>
          </cell>
          <cell r="M6036" t="str">
            <v>Online Shop Tik tok</v>
          </cell>
          <cell r="N6036" t="str">
            <v>Online Shop Tik tok</v>
          </cell>
          <cell r="O6036" t="str">
            <v>Karisma</v>
          </cell>
          <cell r="P6036" t="str">
            <v>Jember</v>
          </cell>
          <cell r="Q6036" t="str">
            <v>Karisma</v>
          </cell>
          <cell r="R6036" t="str">
            <v>Jember</v>
          </cell>
          <cell r="S6036" t="str">
            <v>L Kota1</v>
          </cell>
          <cell r="T6036" t="str">
            <v>Wira</v>
          </cell>
          <cell r="U6036">
            <v>0</v>
          </cell>
        </row>
        <row r="6037">
          <cell r="E6037" t="str">
            <v>D25015379</v>
          </cell>
          <cell r="F6037"/>
          <cell r="G6037">
            <v>1000</v>
          </cell>
          <cell r="H6037" t="str">
            <v>Reni</v>
          </cell>
          <cell r="I6037" t="str">
            <v>Farida</v>
          </cell>
          <cell r="J6037" t="str">
            <v>New 13/02/2025</v>
          </cell>
          <cell r="K6037" t="str">
            <v>KU</v>
          </cell>
          <cell r="L6037" t="str">
            <v>ORTA03</v>
          </cell>
          <cell r="M6037" t="str">
            <v>Ortani Kediri</v>
          </cell>
          <cell r="N6037" t="str">
            <v>Ortani Mitra Kediri, PT</v>
          </cell>
          <cell r="O6037" t="str">
            <v>Jalan Raya Kartini Dusun Kademangan RT.000 ,Kayen Lor, Plemahan</v>
          </cell>
          <cell r="P6037" t="str">
            <v>Kediri</v>
          </cell>
          <cell r="Q6037" t="str">
            <v>Jalan Raya Kartini Dusun Kademangan RT.000 ,Kayen Lor, Plemahan</v>
          </cell>
          <cell r="R6037" t="str">
            <v xml:space="preserve">Kediri </v>
          </cell>
          <cell r="S6037" t="str">
            <v>D Barat2</v>
          </cell>
          <cell r="T6037" t="str">
            <v>Tomi</v>
          </cell>
          <cell r="U6037">
            <v>0</v>
          </cell>
        </row>
        <row r="6038">
          <cell r="E6038" t="str">
            <v>D25015303</v>
          </cell>
          <cell r="F6038"/>
          <cell r="G6038">
            <v>1000</v>
          </cell>
          <cell r="H6038" t="str">
            <v>Reni</v>
          </cell>
          <cell r="I6038" t="str">
            <v>Farida</v>
          </cell>
          <cell r="J6038" t="str">
            <v>New 11/10/25</v>
          </cell>
          <cell r="K6038" t="str">
            <v>KU</v>
          </cell>
          <cell r="L6038" t="str">
            <v>ORTA04</v>
          </cell>
          <cell r="M6038" t="str">
            <v>Ortani Ponorogo</v>
          </cell>
          <cell r="N6038" t="str">
            <v>Sarana Agro Pranata</v>
          </cell>
          <cell r="O6038" t="str">
            <v>KH. Ahmad Dahlan 53, Kel. Nologaten, Kec. Ponorogo</v>
          </cell>
          <cell r="P6038" t="str">
            <v>Ponorogo</v>
          </cell>
          <cell r="Q6038" t="str">
            <v>KH. Ahmad Dahlan 53, Kel. Nologaten, Kec. Ponorogo</v>
          </cell>
          <cell r="R6038" t="str">
            <v>Ponorogo</v>
          </cell>
          <cell r="S6038" t="str">
            <v>D Barat2</v>
          </cell>
          <cell r="T6038" t="str">
            <v>Dian</v>
          </cell>
          <cell r="U6038">
            <v>0</v>
          </cell>
        </row>
        <row r="6039">
          <cell r="E6039" t="str">
            <v>B25010602</v>
          </cell>
          <cell r="F6039"/>
          <cell r="G6039">
            <v>25000000</v>
          </cell>
          <cell r="H6039" t="str">
            <v>Faris</v>
          </cell>
          <cell r="I6039" t="str">
            <v>Syahra</v>
          </cell>
          <cell r="J6039" t="str">
            <v>New 16/11/20</v>
          </cell>
          <cell r="K6039" t="str">
            <v>KU</v>
          </cell>
          <cell r="L6039" t="str">
            <v>PAHA01</v>
          </cell>
          <cell r="M6039" t="str">
            <v>Pahala Tani</v>
          </cell>
          <cell r="N6039" t="str">
            <v>M. Dadang Pahala</v>
          </cell>
          <cell r="O6039" t="str">
            <v>Dusun Sukopuro RT.001/RW.003, Kel. Sukonatar, Kec. Srono</v>
          </cell>
          <cell r="P6039" t="str">
            <v>Banyuwangi</v>
          </cell>
          <cell r="Q6039" t="str">
            <v>Lampu Merah Srono Ke Utara arah Banyuwangi, Setelah Kecamatan Srono ada perempatan ke kanan, Kios Kanan Jalan</v>
          </cell>
          <cell r="R6039" t="str">
            <v>Banyuwangi</v>
          </cell>
          <cell r="S6039" t="str">
            <v>H Bwi1</v>
          </cell>
          <cell r="T6039" t="str">
            <v>Hafid</v>
          </cell>
          <cell r="U6039">
            <v>30</v>
          </cell>
        </row>
        <row r="6040">
          <cell r="E6040" t="str">
            <v>B25011225</v>
          </cell>
          <cell r="F6040"/>
          <cell r="G6040">
            <v>25000000</v>
          </cell>
          <cell r="H6040" t="str">
            <v>Faris</v>
          </cell>
          <cell r="I6040" t="str">
            <v>Syahra</v>
          </cell>
          <cell r="J6040" t="str">
            <v>New 16/11/20</v>
          </cell>
          <cell r="K6040" t="str">
            <v>KU</v>
          </cell>
          <cell r="L6040" t="str">
            <v>PAHA01</v>
          </cell>
          <cell r="M6040" t="str">
            <v>Pahala Tani</v>
          </cell>
          <cell r="N6040" t="str">
            <v>M. Dadang Pahala</v>
          </cell>
          <cell r="O6040" t="str">
            <v>Dusun Sukopuro RT.001/RW.003, Kel. Sukonatar, Kec. Srono</v>
          </cell>
          <cell r="P6040" t="str">
            <v>Banyuwangi</v>
          </cell>
          <cell r="Q6040" t="str">
            <v>Lampu Merah Srono Ke Utara arah Banyuwangi, Setelah Kecamatan Srono ada perempatan ke kanan, Kios Kanan Jalan</v>
          </cell>
          <cell r="R6040" t="str">
            <v>Banyuwangi</v>
          </cell>
          <cell r="S6040" t="str">
            <v>H Bwi1</v>
          </cell>
          <cell r="T6040" t="str">
            <v>Hafid</v>
          </cell>
          <cell r="U6040">
            <v>30</v>
          </cell>
        </row>
        <row r="6041">
          <cell r="E6041" t="str">
            <v>B25012017</v>
          </cell>
          <cell r="F6041"/>
          <cell r="G6041">
            <v>25000000</v>
          </cell>
          <cell r="H6041" t="str">
            <v>Faris</v>
          </cell>
          <cell r="I6041" t="str">
            <v>Syahra</v>
          </cell>
          <cell r="J6041" t="str">
            <v>New 16/11/20</v>
          </cell>
          <cell r="K6041" t="str">
            <v>KU</v>
          </cell>
          <cell r="L6041" t="str">
            <v>PAHA01</v>
          </cell>
          <cell r="M6041" t="str">
            <v>Pahala Tani</v>
          </cell>
          <cell r="N6041" t="str">
            <v>M. Dadang Pahala</v>
          </cell>
          <cell r="O6041" t="str">
            <v>Dusun Sukopuro RT.001/RW.003, Kel. Sukonatar, Kec. Srono</v>
          </cell>
          <cell r="P6041" t="str">
            <v>Banyuwangi</v>
          </cell>
          <cell r="Q6041" t="str">
            <v>Lampu Merah Srono Ke Utara arah Banyuwangi, Setelah Kecamatan Srono ada perempatan ke kanan, Kios Kanan Jalan</v>
          </cell>
          <cell r="R6041" t="str">
            <v>Banyuwangi</v>
          </cell>
          <cell r="S6041" t="str">
            <v>H Bwi1</v>
          </cell>
          <cell r="T6041" t="str">
            <v>Hafid</v>
          </cell>
          <cell r="U6041">
            <v>30</v>
          </cell>
        </row>
        <row r="6042">
          <cell r="E6042" t="str">
            <v>B25013419</v>
          </cell>
          <cell r="F6042"/>
          <cell r="G6042">
            <v>1000</v>
          </cell>
          <cell r="H6042" t="str">
            <v>Hendra</v>
          </cell>
          <cell r="I6042" t="str">
            <v>Tiya</v>
          </cell>
          <cell r="J6042" t="str">
            <v>New 16/10/25</v>
          </cell>
          <cell r="K6042" t="str">
            <v>KU</v>
          </cell>
          <cell r="L6042" t="str">
            <v>PAIS02</v>
          </cell>
          <cell r="M6042" t="str">
            <v>Paisal Rizal</v>
          </cell>
          <cell r="N6042" t="str">
            <v>Paisal Rizal</v>
          </cell>
          <cell r="O6042" t="str">
            <v>Jl. Demang Akub BTN Sinka Blok 4 No. 67 RT.001/RW.001, Sungai Bulan, Singkawang Utara, Kota Singkawang</v>
          </cell>
          <cell r="P6042" t="str">
            <v>Kalimantan Barat</v>
          </cell>
          <cell r="Q6042" t="str">
            <v>Jl. Demang Akub BTN Sinka Blok 4 No. 67 RT.001/RW.001, Sungai Bulan, Singkawang Utara, Kota Singkawang</v>
          </cell>
          <cell r="R6042" t="str">
            <v>Kalimantan Barat</v>
          </cell>
          <cell r="S6042" t="str">
            <v>E Luar Pulau2</v>
          </cell>
          <cell r="T6042" t="str">
            <v>Non SE &amp; JSE</v>
          </cell>
          <cell r="U6042">
            <v>15</v>
          </cell>
        </row>
        <row r="6043">
          <cell r="E6043" t="str">
            <v>D25012634</v>
          </cell>
          <cell r="F6043"/>
          <cell r="G6043">
            <v>1000</v>
          </cell>
          <cell r="H6043" t="str">
            <v>Reni</v>
          </cell>
          <cell r="I6043" t="str">
            <v>Fira</v>
          </cell>
          <cell r="J6043"/>
          <cell r="K6043" t="str">
            <v>KU</v>
          </cell>
          <cell r="L6043" t="str">
            <v>PANC02</v>
          </cell>
          <cell r="M6043" t="str">
            <v>Panca Usaha/Saleh Iwan Wibowo</v>
          </cell>
          <cell r="N6043" t="str">
            <v>Saleh Iwan Wibowo</v>
          </cell>
          <cell r="O6043" t="str">
            <v>Sunan Drajad 198, RT.001/RW.004, Sidoharjo, Lamongan</v>
          </cell>
          <cell r="P6043" t="str">
            <v>Lamongan</v>
          </cell>
          <cell r="Q6043" t="str">
            <v>Jl. Sunan Drajat No. 198, Kaloharjo, Sidoharjo</v>
          </cell>
          <cell r="R6043" t="str">
            <v>Lamongan</v>
          </cell>
          <cell r="S6043" t="str">
            <v>F Utara1</v>
          </cell>
          <cell r="T6043" t="str">
            <v>Dian</v>
          </cell>
          <cell r="U6043">
            <v>60</v>
          </cell>
        </row>
        <row r="6044">
          <cell r="E6044" t="str">
            <v>D25012641</v>
          </cell>
          <cell r="F6044"/>
          <cell r="G6044">
            <v>1000</v>
          </cell>
          <cell r="H6044" t="str">
            <v>Reni</v>
          </cell>
          <cell r="I6044" t="str">
            <v>Fira</v>
          </cell>
          <cell r="J6044"/>
          <cell r="K6044" t="str">
            <v>KU</v>
          </cell>
          <cell r="L6044" t="str">
            <v>PANC02</v>
          </cell>
          <cell r="M6044" t="str">
            <v>Panca Usaha/Saleh Iwan Wibowo</v>
          </cell>
          <cell r="N6044" t="str">
            <v>Saleh Iwan Wibowo</v>
          </cell>
          <cell r="O6044" t="str">
            <v>Sunan Drajad 198, RT.001/RW.004, Sidoharjo, Lamongan</v>
          </cell>
          <cell r="P6044" t="str">
            <v>Lamongan</v>
          </cell>
          <cell r="Q6044" t="str">
            <v>Jl. Sunan Drajat No. 198, Kaloharjo, Sidoharjo</v>
          </cell>
          <cell r="R6044" t="str">
            <v>Lamongan</v>
          </cell>
          <cell r="S6044" t="str">
            <v>F Utara1</v>
          </cell>
          <cell r="T6044" t="str">
            <v>Dian</v>
          </cell>
          <cell r="U6044">
            <v>60</v>
          </cell>
        </row>
        <row r="6045">
          <cell r="E6045" t="str">
            <v>T25001322</v>
          </cell>
          <cell r="F6045"/>
          <cell r="G6045">
            <v>50000000</v>
          </cell>
          <cell r="H6045" t="str">
            <v>Faris</v>
          </cell>
          <cell r="I6045" t="str">
            <v>Syahra</v>
          </cell>
          <cell r="J6045" t="str">
            <v>New 05/07/22</v>
          </cell>
          <cell r="K6045" t="str">
            <v>KU</v>
          </cell>
          <cell r="L6045" t="str">
            <v>PANE05</v>
          </cell>
          <cell r="M6045" t="str">
            <v>Panen Jaya/Nesrawati</v>
          </cell>
          <cell r="N6045" t="str">
            <v>Nesrawati</v>
          </cell>
          <cell r="O6045" t="str">
            <v>Dusun Bangunrejo RT.002/RW.003, Kel. Parangharjo Kec. Songgon</v>
          </cell>
          <cell r="P6045" t="str">
            <v>Banyuwangi</v>
          </cell>
          <cell r="Q6045" t="str">
            <v>Dusun Bangunrejo RT.002/RW.003, Kel. Parangharjo Kec. Songgon</v>
          </cell>
          <cell r="R6045" t="str">
            <v>Banyuwangi</v>
          </cell>
          <cell r="S6045" t="str">
            <v>H Bwi2</v>
          </cell>
          <cell r="T6045" t="str">
            <v>Hafid</v>
          </cell>
          <cell r="U6045">
            <v>62</v>
          </cell>
        </row>
        <row r="6046">
          <cell r="E6046" t="str">
            <v>D25013570</v>
          </cell>
          <cell r="F6046"/>
          <cell r="G6046">
            <v>50000000</v>
          </cell>
          <cell r="H6046" t="str">
            <v>Faris</v>
          </cell>
          <cell r="I6046" t="str">
            <v>Syahra</v>
          </cell>
          <cell r="J6046" t="str">
            <v>New 05/07/22</v>
          </cell>
          <cell r="K6046" t="str">
            <v>KU</v>
          </cell>
          <cell r="L6046" t="str">
            <v>PANE05</v>
          </cell>
          <cell r="M6046" t="str">
            <v>Panen Jaya/Nesrawati</v>
          </cell>
          <cell r="N6046" t="str">
            <v>Nesrawati</v>
          </cell>
          <cell r="O6046" t="str">
            <v>Dusun Bangunrejo RT.002/RW.003, Kel. Parangharjo Kec. Songgon</v>
          </cell>
          <cell r="P6046" t="str">
            <v>Banyuwangi</v>
          </cell>
          <cell r="Q6046" t="str">
            <v>Dusun Bangunrejo RT.002/RW.003, Kel. Parangharjo Kec. Songgon</v>
          </cell>
          <cell r="R6046" t="str">
            <v>Banyuwangi</v>
          </cell>
          <cell r="S6046" t="str">
            <v>H Bwi2</v>
          </cell>
          <cell r="T6046" t="str">
            <v>Hafid</v>
          </cell>
          <cell r="U6046">
            <v>30</v>
          </cell>
        </row>
        <row r="6047">
          <cell r="E6047" t="str">
            <v>D25013586</v>
          </cell>
          <cell r="F6047"/>
          <cell r="G6047">
            <v>50000000</v>
          </cell>
          <cell r="H6047" t="str">
            <v>Faris</v>
          </cell>
          <cell r="I6047" t="str">
            <v>Syahra</v>
          </cell>
          <cell r="J6047" t="str">
            <v>New 05/07/22</v>
          </cell>
          <cell r="K6047" t="str">
            <v>KU</v>
          </cell>
          <cell r="L6047" t="str">
            <v>PANE05</v>
          </cell>
          <cell r="M6047" t="str">
            <v>Panen Jaya/Nesrawati</v>
          </cell>
          <cell r="N6047" t="str">
            <v>Nesrawati</v>
          </cell>
          <cell r="O6047" t="str">
            <v>Dusun Bangunrejo RT.002/RW.003, Kel. Parangharjo Kec. Songgon</v>
          </cell>
          <cell r="P6047" t="str">
            <v>Banyuwangi</v>
          </cell>
          <cell r="Q6047" t="str">
            <v>Dusun Bangunrejo RT.002/RW.003, Kel. Parangharjo Kec. Songgon</v>
          </cell>
          <cell r="R6047" t="str">
            <v>Banyuwangi</v>
          </cell>
          <cell r="S6047" t="str">
            <v>H Bwi2</v>
          </cell>
          <cell r="T6047" t="str">
            <v>Hafid</v>
          </cell>
          <cell r="U6047">
            <v>30</v>
          </cell>
        </row>
        <row r="6048">
          <cell r="E6048" t="str">
            <v>B25011661</v>
          </cell>
          <cell r="F6048"/>
          <cell r="G6048">
            <v>50000000</v>
          </cell>
          <cell r="H6048" t="str">
            <v>Faris</v>
          </cell>
          <cell r="I6048" t="str">
            <v>Syahra</v>
          </cell>
          <cell r="J6048" t="str">
            <v>New 05/07/22</v>
          </cell>
          <cell r="K6048" t="str">
            <v>KU</v>
          </cell>
          <cell r="L6048" t="str">
            <v>PANE05</v>
          </cell>
          <cell r="M6048" t="str">
            <v>Panen Jaya/Nesrawati</v>
          </cell>
          <cell r="N6048" t="str">
            <v>Nesrawati</v>
          </cell>
          <cell r="O6048" t="str">
            <v>Dusun Bangunrejo RT.002/RW.003, Kel. Parangharjo Kec. Songgon</v>
          </cell>
          <cell r="P6048" t="str">
            <v>Banyuwangi</v>
          </cell>
          <cell r="Q6048" t="str">
            <v>Dusun Bangunrejo RT.002/RW.003, Kel. Parangharjo Kec. Songgon</v>
          </cell>
          <cell r="R6048" t="str">
            <v>Banyuwangi</v>
          </cell>
          <cell r="S6048" t="str">
            <v>H Bwi2</v>
          </cell>
          <cell r="T6048" t="str">
            <v>Hafid</v>
          </cell>
          <cell r="U6048">
            <v>30</v>
          </cell>
        </row>
        <row r="6049">
          <cell r="E6049" t="str">
            <v>D25014325</v>
          </cell>
          <cell r="F6049"/>
          <cell r="G6049">
            <v>50000000</v>
          </cell>
          <cell r="H6049" t="str">
            <v>Faris</v>
          </cell>
          <cell r="I6049" t="str">
            <v>Syahra</v>
          </cell>
          <cell r="J6049" t="str">
            <v>New 05/07/22</v>
          </cell>
          <cell r="K6049" t="str">
            <v>KU</v>
          </cell>
          <cell r="L6049" t="str">
            <v>PANE05</v>
          </cell>
          <cell r="M6049" t="str">
            <v>Panen Jaya/Nesrawati</v>
          </cell>
          <cell r="N6049" t="str">
            <v>Nesrawati</v>
          </cell>
          <cell r="O6049" t="str">
            <v>Dusun Bangunrejo RT.002/RW.003, Kel. Parangharjo Kec. Songgon</v>
          </cell>
          <cell r="P6049" t="str">
            <v>Banyuwangi</v>
          </cell>
          <cell r="Q6049" t="str">
            <v>Dusun Bangunrejo RT.002/RW.003, Kel. Parangharjo Kec. Songgon</v>
          </cell>
          <cell r="R6049" t="str">
            <v>Banyuwangi</v>
          </cell>
          <cell r="S6049" t="str">
            <v>H Bwi2</v>
          </cell>
          <cell r="T6049" t="str">
            <v>Hafid</v>
          </cell>
          <cell r="U6049">
            <v>30</v>
          </cell>
        </row>
        <row r="6050">
          <cell r="E6050" t="str">
            <v>T25001415</v>
          </cell>
          <cell r="F6050"/>
          <cell r="G6050">
            <v>50000000</v>
          </cell>
          <cell r="H6050" t="str">
            <v>Faris</v>
          </cell>
          <cell r="I6050" t="str">
            <v>Syahra</v>
          </cell>
          <cell r="J6050" t="str">
            <v>New 05/07/22</v>
          </cell>
          <cell r="K6050" t="str">
            <v>KU</v>
          </cell>
          <cell r="L6050" t="str">
            <v>PANE05</v>
          </cell>
          <cell r="M6050" t="str">
            <v>Panen Jaya/Nesrawati</v>
          </cell>
          <cell r="N6050" t="str">
            <v>Nesrawati</v>
          </cell>
          <cell r="O6050" t="str">
            <v>Dusun Bangunrejo RT.002/RW.003, Kel. Parangharjo Kec. Songgon</v>
          </cell>
          <cell r="P6050" t="str">
            <v>Banyuwangi</v>
          </cell>
          <cell r="Q6050" t="str">
            <v>Dusun Bangunrejo RT.002/RW.003, Kel. Parangharjo Kec. Songgon</v>
          </cell>
          <cell r="R6050" t="str">
            <v>Banyuwangi</v>
          </cell>
          <cell r="S6050" t="str">
            <v>H Bwi2</v>
          </cell>
          <cell r="T6050" t="str">
            <v>Hafid</v>
          </cell>
          <cell r="U6050">
            <v>60</v>
          </cell>
        </row>
        <row r="6051">
          <cell r="E6051" t="str">
            <v>B25012293</v>
          </cell>
          <cell r="F6051"/>
          <cell r="G6051">
            <v>50000000</v>
          </cell>
          <cell r="H6051" t="str">
            <v>Faris</v>
          </cell>
          <cell r="I6051" t="str">
            <v>Syahra</v>
          </cell>
          <cell r="J6051" t="str">
            <v>New 05/07/22</v>
          </cell>
          <cell r="K6051" t="str">
            <v>KU</v>
          </cell>
          <cell r="L6051" t="str">
            <v>PANE05</v>
          </cell>
          <cell r="M6051" t="str">
            <v>Panen Jaya/Nesrawati</v>
          </cell>
          <cell r="N6051" t="str">
            <v>Nesrawati</v>
          </cell>
          <cell r="O6051" t="str">
            <v>Dusun Bangunrejo RT.002/RW.003, Kel. Parangharjo Kec. Songgon</v>
          </cell>
          <cell r="P6051" t="str">
            <v>Banyuwangi</v>
          </cell>
          <cell r="Q6051" t="str">
            <v>Dusun Bangunrejo RT.002/RW.003, Kel. Parangharjo Kec. Songgon</v>
          </cell>
          <cell r="R6051" t="str">
            <v>Banyuwangi</v>
          </cell>
          <cell r="S6051" t="str">
            <v>H Bwi2</v>
          </cell>
          <cell r="T6051" t="str">
            <v>Hafid</v>
          </cell>
          <cell r="U6051">
            <v>30</v>
          </cell>
        </row>
        <row r="6052">
          <cell r="E6052" t="str">
            <v>B25012667</v>
          </cell>
          <cell r="F6052"/>
          <cell r="G6052">
            <v>50000000</v>
          </cell>
          <cell r="H6052" t="str">
            <v>Faris</v>
          </cell>
          <cell r="I6052" t="str">
            <v>Syahra</v>
          </cell>
          <cell r="J6052" t="str">
            <v>New 05/07/22</v>
          </cell>
          <cell r="K6052" t="str">
            <v>KU</v>
          </cell>
          <cell r="L6052" t="str">
            <v>PANE05</v>
          </cell>
          <cell r="M6052" t="str">
            <v>Panen Jaya/Nesrawati</v>
          </cell>
          <cell r="N6052" t="str">
            <v>Nesrawati</v>
          </cell>
          <cell r="O6052" t="str">
            <v>Dusun Bangunrejo RT.002/RW.003, Kel. Parangharjo Kec. Songgon</v>
          </cell>
          <cell r="P6052" t="str">
            <v>Banyuwangi</v>
          </cell>
          <cell r="Q6052" t="str">
            <v>Dusun Bangunrejo RT.002/RW.003, Kel. Parangharjo Kec. Songgon</v>
          </cell>
          <cell r="R6052" t="str">
            <v>Banyuwangi</v>
          </cell>
          <cell r="S6052" t="str">
            <v>H Bwi2</v>
          </cell>
          <cell r="T6052" t="str">
            <v>Hafid</v>
          </cell>
          <cell r="U6052">
            <v>30</v>
          </cell>
        </row>
        <row r="6053">
          <cell r="E6053" t="str">
            <v>D25015212</v>
          </cell>
          <cell r="F6053"/>
          <cell r="G6053">
            <v>50000000</v>
          </cell>
          <cell r="H6053" t="str">
            <v>Faris</v>
          </cell>
          <cell r="I6053" t="str">
            <v>Syahra</v>
          </cell>
          <cell r="J6053" t="str">
            <v>New 05/07/22</v>
          </cell>
          <cell r="K6053" t="str">
            <v>KU</v>
          </cell>
          <cell r="L6053" t="str">
            <v>PANE05</v>
          </cell>
          <cell r="M6053" t="str">
            <v>Panen Jaya/Nesrawati</v>
          </cell>
          <cell r="N6053" t="str">
            <v>Nesrawati</v>
          </cell>
          <cell r="O6053" t="str">
            <v>Dusun Bangunrejo RT.002/RW.003, Kel. Parangharjo Kec. Songgon</v>
          </cell>
          <cell r="P6053" t="str">
            <v>Banyuwangi</v>
          </cell>
          <cell r="Q6053" t="str">
            <v>Dusun Bangunrejo RT.002/RW.003, Kel. Parangharjo Kec. Songgon</v>
          </cell>
          <cell r="R6053" t="str">
            <v>Banyuwangi</v>
          </cell>
          <cell r="S6053" t="str">
            <v>H Bwi2</v>
          </cell>
          <cell r="T6053" t="str">
            <v>Hafid</v>
          </cell>
          <cell r="U6053">
            <v>60</v>
          </cell>
        </row>
        <row r="6054">
          <cell r="E6054" t="str">
            <v>B25012984</v>
          </cell>
          <cell r="F6054"/>
          <cell r="G6054">
            <v>50000000</v>
          </cell>
          <cell r="H6054" t="str">
            <v>Faris</v>
          </cell>
          <cell r="I6054" t="str">
            <v>Syahra</v>
          </cell>
          <cell r="J6054" t="str">
            <v>New 05/07/22</v>
          </cell>
          <cell r="K6054" t="str">
            <v>KU</v>
          </cell>
          <cell r="L6054" t="str">
            <v>PANE05</v>
          </cell>
          <cell r="M6054" t="str">
            <v>Panen Jaya/Nesrawati</v>
          </cell>
          <cell r="N6054" t="str">
            <v>Nesrawati</v>
          </cell>
          <cell r="O6054" t="str">
            <v>Dusun Bangunrejo RT.002/RW.003, Kel. Parangharjo Kec. Songgon</v>
          </cell>
          <cell r="P6054" t="str">
            <v>Banyuwangi</v>
          </cell>
          <cell r="Q6054" t="str">
            <v>Dusun Bangunrejo RT.002/RW.003, Kel. Parangharjo Kec. Songgon</v>
          </cell>
          <cell r="R6054" t="str">
            <v>Banyuwangi</v>
          </cell>
          <cell r="S6054" t="str">
            <v>H Bwi2</v>
          </cell>
          <cell r="T6054" t="str">
            <v>Hafid</v>
          </cell>
          <cell r="U6054">
            <v>60</v>
          </cell>
        </row>
        <row r="6055">
          <cell r="E6055" t="str">
            <v>D25015283</v>
          </cell>
          <cell r="F6055"/>
          <cell r="G6055">
            <v>50000000</v>
          </cell>
          <cell r="H6055" t="str">
            <v>Faris</v>
          </cell>
          <cell r="I6055" t="str">
            <v>Syahra</v>
          </cell>
          <cell r="J6055" t="str">
            <v>New 05/07/22</v>
          </cell>
          <cell r="K6055" t="str">
            <v>KU</v>
          </cell>
          <cell r="L6055" t="str">
            <v>PANE05</v>
          </cell>
          <cell r="M6055" t="str">
            <v>Panen Jaya/Nesrawati</v>
          </cell>
          <cell r="N6055" t="str">
            <v>Nesrawati</v>
          </cell>
          <cell r="O6055" t="str">
            <v>Dusun Bangunrejo RT.002/RW.003, Kel. Parangharjo Kec. Songgon</v>
          </cell>
          <cell r="P6055" t="str">
            <v>Banyuwangi</v>
          </cell>
          <cell r="Q6055" t="str">
            <v>Dusun Bangunrejo RT.002/RW.003, Kel. Parangharjo Kec. Songgon</v>
          </cell>
          <cell r="R6055" t="str">
            <v>Banyuwangi</v>
          </cell>
          <cell r="S6055" t="str">
            <v>H Bwi2</v>
          </cell>
          <cell r="T6055" t="str">
            <v>Hafid</v>
          </cell>
          <cell r="U6055">
            <v>60</v>
          </cell>
        </row>
        <row r="6056">
          <cell r="E6056" t="str">
            <v>B25013002</v>
          </cell>
          <cell r="F6056"/>
          <cell r="G6056">
            <v>50000000</v>
          </cell>
          <cell r="H6056" t="str">
            <v>Faris</v>
          </cell>
          <cell r="I6056" t="str">
            <v>Syahra</v>
          </cell>
          <cell r="J6056" t="str">
            <v>New 05/07/22</v>
          </cell>
          <cell r="K6056" t="str">
            <v>KU</v>
          </cell>
          <cell r="L6056" t="str">
            <v>PANE05</v>
          </cell>
          <cell r="M6056" t="str">
            <v>Panen Jaya/Nesrawati</v>
          </cell>
          <cell r="N6056" t="str">
            <v>Nesrawati</v>
          </cell>
          <cell r="O6056" t="str">
            <v>Dusun Bangunrejo RT.002/RW.003, Kel. Parangharjo Kec. Songgon</v>
          </cell>
          <cell r="P6056" t="str">
            <v>Banyuwangi</v>
          </cell>
          <cell r="Q6056" t="str">
            <v>Dusun Bangunrejo RT.002/RW.003, Kel. Parangharjo Kec. Songgon</v>
          </cell>
          <cell r="R6056" t="str">
            <v>Banyuwangi</v>
          </cell>
          <cell r="S6056" t="str">
            <v>H Bwi2</v>
          </cell>
          <cell r="T6056" t="str">
            <v>Hafid</v>
          </cell>
          <cell r="U6056">
            <v>0</v>
          </cell>
        </row>
        <row r="6057">
          <cell r="E6057" t="str">
            <v>D25015569</v>
          </cell>
          <cell r="F6057"/>
          <cell r="G6057">
            <v>50000000</v>
          </cell>
          <cell r="H6057" t="str">
            <v>Faris</v>
          </cell>
          <cell r="I6057" t="str">
            <v>Syahra</v>
          </cell>
          <cell r="J6057" t="str">
            <v>New 05/07/22</v>
          </cell>
          <cell r="K6057" t="str">
            <v>KU</v>
          </cell>
          <cell r="L6057" t="str">
            <v>PANE05</v>
          </cell>
          <cell r="M6057" t="str">
            <v>Panen Jaya/Nesrawati</v>
          </cell>
          <cell r="N6057" t="str">
            <v>Nesrawati</v>
          </cell>
          <cell r="O6057" t="str">
            <v>Dusun Bangunrejo RT.002/RW.003, Kel. Parangharjo Kec. Songgon</v>
          </cell>
          <cell r="P6057" t="str">
            <v>Banyuwangi</v>
          </cell>
          <cell r="Q6057" t="str">
            <v>Dusun Bangunrejo RT.002/RW.003, Kel. Parangharjo Kec. Songgon</v>
          </cell>
          <cell r="R6057" t="str">
            <v>Banyuwangi</v>
          </cell>
          <cell r="S6057" t="str">
            <v>H Bwi2</v>
          </cell>
          <cell r="T6057" t="str">
            <v>Hafid</v>
          </cell>
          <cell r="U6057">
            <v>30</v>
          </cell>
        </row>
        <row r="6058">
          <cell r="E6058" t="str">
            <v>T25001545</v>
          </cell>
          <cell r="F6058"/>
          <cell r="G6058">
            <v>50000000</v>
          </cell>
          <cell r="H6058" t="str">
            <v>Faris</v>
          </cell>
          <cell r="I6058" t="str">
            <v>Syahra</v>
          </cell>
          <cell r="J6058" t="str">
            <v>New 05/07/22</v>
          </cell>
          <cell r="K6058" t="str">
            <v>KU</v>
          </cell>
          <cell r="L6058" t="str">
            <v>PANE05</v>
          </cell>
          <cell r="M6058" t="str">
            <v>Panen Jaya/Nesrawati</v>
          </cell>
          <cell r="N6058" t="str">
            <v>Nesrawati</v>
          </cell>
          <cell r="O6058" t="str">
            <v>Dusun Bangunrejo RT.002/RW.003, Kel. Parangharjo Kec. Songgon</v>
          </cell>
          <cell r="P6058" t="str">
            <v>Banyuwangi</v>
          </cell>
          <cell r="Q6058" t="str">
            <v>Dusun Bangunrejo RT.002/RW.003, Kel. Parangharjo Kec. Songgon</v>
          </cell>
          <cell r="R6058" t="str">
            <v>Banyuwangi</v>
          </cell>
          <cell r="S6058" t="str">
            <v>H Bwi2</v>
          </cell>
          <cell r="T6058" t="str">
            <v>Hafid</v>
          </cell>
          <cell r="U6058">
            <v>60</v>
          </cell>
        </row>
        <row r="6059">
          <cell r="E6059" t="str">
            <v>D25016352</v>
          </cell>
          <cell r="F6059"/>
          <cell r="G6059">
            <v>50000000</v>
          </cell>
          <cell r="H6059" t="str">
            <v>Faris</v>
          </cell>
          <cell r="I6059" t="str">
            <v>Syahra</v>
          </cell>
          <cell r="J6059" t="str">
            <v>New 05/07/22</v>
          </cell>
          <cell r="K6059" t="str">
            <v>KU</v>
          </cell>
          <cell r="L6059" t="str">
            <v>PANE05</v>
          </cell>
          <cell r="M6059" t="str">
            <v>Panen Jaya/Nesrawati</v>
          </cell>
          <cell r="N6059" t="str">
            <v>Nesrawati</v>
          </cell>
          <cell r="O6059" t="str">
            <v>Dusun Bangunrejo RT.002/RW.003, Kel. Parangharjo Kec. Songgon</v>
          </cell>
          <cell r="P6059" t="str">
            <v>Banyuwangi</v>
          </cell>
          <cell r="Q6059" t="str">
            <v>Dusun Bangunrejo RT.002/RW.003, Kel. Parangharjo Kec. Songgon</v>
          </cell>
          <cell r="R6059" t="str">
            <v>Banyuwangi</v>
          </cell>
          <cell r="S6059" t="str">
            <v>H Bwi2</v>
          </cell>
          <cell r="T6059" t="str">
            <v>Hafid</v>
          </cell>
          <cell r="U6059">
            <v>60</v>
          </cell>
        </row>
        <row r="6060">
          <cell r="E6060" t="str">
            <v>D25015627</v>
          </cell>
          <cell r="F6060"/>
          <cell r="G6060">
            <v>1000</v>
          </cell>
          <cell r="H6060" t="str">
            <v>Zakia</v>
          </cell>
          <cell r="I6060" t="str">
            <v>Tiya</v>
          </cell>
          <cell r="J6060" t="str">
            <v>New 26/09/24</v>
          </cell>
          <cell r="K6060" t="str">
            <v>CBD</v>
          </cell>
          <cell r="L6060" t="str">
            <v>PANE06</v>
          </cell>
          <cell r="M6060" t="str">
            <v>Panen Raya/Sigit</v>
          </cell>
          <cell r="N6060" t="str">
            <v>Sigit Tri Wahyudi</v>
          </cell>
          <cell r="O6060" t="str">
            <v>Dsn. Bunut RT.003/RW.001, Kel. Plakpak, Kec. Pegantenan</v>
          </cell>
          <cell r="P6060" t="str">
            <v>Pamekasan</v>
          </cell>
          <cell r="Q6060" t="str">
            <v>Bunut, Plakpak, Kec. Pegantenan</v>
          </cell>
          <cell r="R6060" t="str">
            <v>Pamekasan</v>
          </cell>
          <cell r="S6060" t="str">
            <v>M Madura</v>
          </cell>
          <cell r="T6060" t="str">
            <v>Tomi</v>
          </cell>
          <cell r="U6060">
            <v>0</v>
          </cell>
        </row>
        <row r="6061">
          <cell r="E6061" t="str">
            <v>D25015644</v>
          </cell>
          <cell r="F6061"/>
          <cell r="G6061">
            <v>1000</v>
          </cell>
          <cell r="H6061" t="str">
            <v>Zakia</v>
          </cell>
          <cell r="I6061" t="str">
            <v>Tiya</v>
          </cell>
          <cell r="J6061" t="str">
            <v>New 26/09/24</v>
          </cell>
          <cell r="K6061" t="str">
            <v>CBD</v>
          </cell>
          <cell r="L6061" t="str">
            <v>PANE06</v>
          </cell>
          <cell r="M6061" t="str">
            <v>Panen Raya/Sigit</v>
          </cell>
          <cell r="N6061" t="str">
            <v>Sigit Tri Wahyudi</v>
          </cell>
          <cell r="O6061" t="str">
            <v>Dsn. Bunut RT.003/RW.001, Kel. Plakpak, Kec. Pegantenan</v>
          </cell>
          <cell r="P6061" t="str">
            <v>Pamekasan</v>
          </cell>
          <cell r="Q6061" t="str">
            <v>Bunut, Plakpak, Kec. Pegantenan</v>
          </cell>
          <cell r="R6061" t="str">
            <v>Pamekasan</v>
          </cell>
          <cell r="S6061" t="str">
            <v>M Madura</v>
          </cell>
          <cell r="T6061" t="str">
            <v>Tomi</v>
          </cell>
          <cell r="U6061">
            <v>0</v>
          </cell>
        </row>
        <row r="6062">
          <cell r="E6062" t="str">
            <v>T25001066k</v>
          </cell>
          <cell r="F6062"/>
          <cell r="G6062">
            <v>10000000</v>
          </cell>
          <cell r="H6062" t="str">
            <v>Reni</v>
          </cell>
          <cell r="I6062" t="str">
            <v>Farida</v>
          </cell>
          <cell r="J6062" t="str">
            <v>New 17/12/21</v>
          </cell>
          <cell r="K6062" t="str">
            <v>KU</v>
          </cell>
          <cell r="L6062" t="str">
            <v>PANG03</v>
          </cell>
          <cell r="M6062" t="str">
            <v>Pangat Tani/Supangat</v>
          </cell>
          <cell r="N6062" t="str">
            <v>Supangat</v>
          </cell>
          <cell r="O6062" t="str">
            <v>Dungmiri, RT.002/RW.002 Kel. Dungmiri, Kec. Karangjati</v>
          </cell>
          <cell r="P6062" t="str">
            <v>Ngawi</v>
          </cell>
          <cell r="Q6062" t="str">
            <v>Dungmiri, RT.002/RW.002 Kel. Dungmiri, Kec. Karangjati</v>
          </cell>
          <cell r="R6062" t="str">
            <v>Ngawi</v>
          </cell>
          <cell r="S6062" t="str">
            <v>D Barat2</v>
          </cell>
          <cell r="T6062" t="str">
            <v>Dian</v>
          </cell>
          <cell r="U6062">
            <v>120</v>
          </cell>
        </row>
        <row r="6063">
          <cell r="E6063" t="str">
            <v>D25009701</v>
          </cell>
          <cell r="F6063"/>
          <cell r="G6063">
            <v>5000000</v>
          </cell>
          <cell r="H6063" t="str">
            <v>Faris</v>
          </cell>
          <cell r="I6063" t="str">
            <v>Syahra</v>
          </cell>
          <cell r="J6063" t="str">
            <v>New 09/03/22</v>
          </cell>
          <cell r="K6063" t="str">
            <v>KU</v>
          </cell>
          <cell r="L6063" t="str">
            <v>PANJ04</v>
          </cell>
          <cell r="M6063" t="str">
            <v>Panji Agro Mandiri/Rosa</v>
          </cell>
          <cell r="N6063" t="str">
            <v>Rosa</v>
          </cell>
          <cell r="O6063" t="str">
            <v>Dusun Karanglo RT.002/RW.002Kel. Sukonatar, Kec. Srono</v>
          </cell>
          <cell r="P6063" t="str">
            <v>Banyuwangi</v>
          </cell>
          <cell r="Q6063" t="str">
            <v>Dusun Karanglo RT.002/RW.002Kel. Sukonatar, Kec. Srono</v>
          </cell>
          <cell r="R6063" t="str">
            <v>Banyuwangi</v>
          </cell>
          <cell r="S6063" t="str">
            <v>H Bwi2</v>
          </cell>
          <cell r="T6063" t="str">
            <v>Hafid</v>
          </cell>
          <cell r="U6063">
            <v>60</v>
          </cell>
        </row>
        <row r="6064">
          <cell r="E6064" t="str">
            <v>B25009457</v>
          </cell>
          <cell r="F6064"/>
          <cell r="G6064">
            <v>250000000</v>
          </cell>
          <cell r="H6064" t="str">
            <v>Faris</v>
          </cell>
          <cell r="I6064" t="str">
            <v>Syahra</v>
          </cell>
          <cell r="J6064"/>
          <cell r="K6064" t="str">
            <v>KU</v>
          </cell>
          <cell r="L6064" t="str">
            <v>ENGG01</v>
          </cell>
          <cell r="M6064" t="str">
            <v>Parnadi, UD</v>
          </cell>
          <cell r="N6064" t="str">
            <v>Parnadi</v>
          </cell>
          <cell r="O6064" t="str">
            <v>Dsn. Gumukrejo, RT.07/RW.02, Sidorejo Purwoharjo</v>
          </cell>
          <cell r="P6064" t="str">
            <v>Banyuwangi</v>
          </cell>
          <cell r="Q6064" t="str">
            <v>Dsn. Gumukrejo, RT.07/RW.02, Sidorejo Purwoharjo</v>
          </cell>
          <cell r="R6064" t="str">
            <v>Banyuwangi</v>
          </cell>
          <cell r="S6064" t="str">
            <v>H Bwi3</v>
          </cell>
          <cell r="T6064" t="str">
            <v>Hafid</v>
          </cell>
          <cell r="U6064">
            <v>60</v>
          </cell>
        </row>
        <row r="6065">
          <cell r="E6065" t="str">
            <v>D25013129</v>
          </cell>
          <cell r="F6065"/>
          <cell r="G6065">
            <v>250000000</v>
          </cell>
          <cell r="H6065" t="str">
            <v>Faris</v>
          </cell>
          <cell r="I6065" t="str">
            <v>Syahra</v>
          </cell>
          <cell r="J6065"/>
          <cell r="K6065" t="str">
            <v>KU</v>
          </cell>
          <cell r="L6065" t="str">
            <v>ENGG01</v>
          </cell>
          <cell r="M6065" t="str">
            <v>Parnadi, UD</v>
          </cell>
          <cell r="N6065" t="str">
            <v>Parnadi</v>
          </cell>
          <cell r="O6065" t="str">
            <v>Dsn. Gumukrejo, RT.07/RW.02, Sidorejo Purwoharjo</v>
          </cell>
          <cell r="P6065" t="str">
            <v>Banyuwangi</v>
          </cell>
          <cell r="Q6065" t="str">
            <v>Dsn. Gumukrejo, RT.07/RW.02, Sidorejo Purwoharjo</v>
          </cell>
          <cell r="R6065" t="str">
            <v>Banyuwangi</v>
          </cell>
          <cell r="S6065" t="str">
            <v>H Bwi3</v>
          </cell>
          <cell r="T6065" t="str">
            <v>Hafid</v>
          </cell>
          <cell r="U6065">
            <v>30</v>
          </cell>
        </row>
        <row r="6066">
          <cell r="E6066" t="str">
            <v>D25013143</v>
          </cell>
          <cell r="F6066"/>
          <cell r="G6066">
            <v>250000000</v>
          </cell>
          <cell r="H6066" t="str">
            <v>Faris</v>
          </cell>
          <cell r="I6066" t="str">
            <v>Syahra</v>
          </cell>
          <cell r="J6066"/>
          <cell r="K6066" t="str">
            <v>KU</v>
          </cell>
          <cell r="L6066" t="str">
            <v>ENGG01</v>
          </cell>
          <cell r="M6066" t="str">
            <v>Parnadi, UD</v>
          </cell>
          <cell r="N6066" t="str">
            <v>Parnadi</v>
          </cell>
          <cell r="O6066" t="str">
            <v>Dsn. Gumukrejo, RT.07/RW.02, Sidorejo Purwoharjo</v>
          </cell>
          <cell r="P6066" t="str">
            <v>Banyuwangi</v>
          </cell>
          <cell r="Q6066" t="str">
            <v>Dsn. Gumukrejo, RT.07/RW.02, Sidorejo Purwoharjo</v>
          </cell>
          <cell r="R6066" t="str">
            <v>Banyuwangi</v>
          </cell>
          <cell r="S6066" t="str">
            <v>H Bwi3</v>
          </cell>
          <cell r="T6066" t="str">
            <v>Hafid</v>
          </cell>
          <cell r="U6066">
            <v>30</v>
          </cell>
        </row>
        <row r="6067">
          <cell r="E6067" t="str">
            <v>B25011850</v>
          </cell>
          <cell r="F6067"/>
          <cell r="G6067">
            <v>250000000</v>
          </cell>
          <cell r="H6067" t="str">
            <v>Faris</v>
          </cell>
          <cell r="I6067" t="str">
            <v>Syahra</v>
          </cell>
          <cell r="J6067"/>
          <cell r="K6067" t="str">
            <v>KU</v>
          </cell>
          <cell r="L6067" t="str">
            <v>ENGG01</v>
          </cell>
          <cell r="M6067" t="str">
            <v>Parnadi, UD</v>
          </cell>
          <cell r="N6067" t="str">
            <v>Parnadi</v>
          </cell>
          <cell r="O6067" t="str">
            <v>Dsn. Gumukrejo, RT.07/RW.02, Sidorejo Purwoharjo</v>
          </cell>
          <cell r="P6067" t="str">
            <v>Banyuwangi</v>
          </cell>
          <cell r="Q6067" t="str">
            <v>Dsn. Gumukrejo, RT.07/RW.02, Sidorejo Purwoharjo</v>
          </cell>
          <cell r="R6067" t="str">
            <v>Banyuwangi</v>
          </cell>
          <cell r="S6067" t="str">
            <v>H Bwi3</v>
          </cell>
          <cell r="T6067" t="str">
            <v>Hafid</v>
          </cell>
          <cell r="U6067">
            <v>60</v>
          </cell>
        </row>
        <row r="6068">
          <cell r="E6068" t="str">
            <v>B25013158</v>
          </cell>
          <cell r="F6068"/>
          <cell r="G6068">
            <v>250000000</v>
          </cell>
          <cell r="H6068" t="str">
            <v>Faris</v>
          </cell>
          <cell r="I6068" t="str">
            <v>Syahra</v>
          </cell>
          <cell r="J6068"/>
          <cell r="K6068" t="str">
            <v>KU</v>
          </cell>
          <cell r="L6068" t="str">
            <v>ENGG01</v>
          </cell>
          <cell r="M6068" t="str">
            <v>Parnadi, UD</v>
          </cell>
          <cell r="N6068" t="str">
            <v>Parnadi</v>
          </cell>
          <cell r="O6068" t="str">
            <v>Dsn. Gumukrejo, RT.07/RW.02, Sidorejo Purwoharjo</v>
          </cell>
          <cell r="P6068" t="str">
            <v>Banyuwangi</v>
          </cell>
          <cell r="Q6068" t="str">
            <v>Dsn. Gumukrejo, RT.07/RW.02, Sidorejo Purwoharjo</v>
          </cell>
          <cell r="R6068" t="str">
            <v>Banyuwangi</v>
          </cell>
          <cell r="S6068" t="str">
            <v>H Bwi3</v>
          </cell>
          <cell r="T6068" t="str">
            <v>Hafid</v>
          </cell>
          <cell r="U6068">
            <v>30</v>
          </cell>
        </row>
        <row r="6069">
          <cell r="E6069" t="str">
            <v>B25013325</v>
          </cell>
          <cell r="F6069"/>
          <cell r="G6069">
            <v>250000000</v>
          </cell>
          <cell r="H6069" t="str">
            <v>Faris</v>
          </cell>
          <cell r="I6069" t="str">
            <v>Syahra</v>
          </cell>
          <cell r="J6069"/>
          <cell r="K6069" t="str">
            <v>KU</v>
          </cell>
          <cell r="L6069" t="str">
            <v>ENGG01</v>
          </cell>
          <cell r="M6069" t="str">
            <v>Parnadi, UD</v>
          </cell>
          <cell r="N6069" t="str">
            <v>Parnadi</v>
          </cell>
          <cell r="O6069" t="str">
            <v>Dsn. Gumukrejo, RT.07/RW.02, Sidorejo Purwoharjo</v>
          </cell>
          <cell r="P6069" t="str">
            <v>Banyuwangi</v>
          </cell>
          <cell r="Q6069" t="str">
            <v>Dsn. Gumukrejo, RT.07/RW.02, Sidorejo Purwoharjo</v>
          </cell>
          <cell r="R6069" t="str">
            <v>Banyuwangi</v>
          </cell>
          <cell r="S6069" t="str">
            <v>H Bwi3</v>
          </cell>
          <cell r="T6069" t="str">
            <v>Hafid</v>
          </cell>
          <cell r="U6069">
            <v>30</v>
          </cell>
        </row>
        <row r="6070">
          <cell r="E6070" t="str">
            <v>B25013842</v>
          </cell>
          <cell r="F6070"/>
          <cell r="G6070">
            <v>1000</v>
          </cell>
          <cell r="H6070" t="str">
            <v>Reni</v>
          </cell>
          <cell r="I6070" t="str">
            <v>Farida</v>
          </cell>
          <cell r="J6070" t="str">
            <v>New 06/05/25</v>
          </cell>
          <cell r="K6070" t="str">
            <v>CBD</v>
          </cell>
          <cell r="L6070" t="str">
            <v>PASH02</v>
          </cell>
          <cell r="M6070" t="str">
            <v>Pasha Tani</v>
          </cell>
          <cell r="N6070" t="str">
            <v>Suwarniningsih</v>
          </cell>
          <cell r="O6070" t="str">
            <v>Pelem RT.015/RW.003 , Kel. Pelem Kec. Karangrejo</v>
          </cell>
          <cell r="P6070" t="str">
            <v>Magetan</v>
          </cell>
          <cell r="Q6070" t="str">
            <v>Jalan Karas - Karangrejo RT.012 RW. 002 , Kel. Kenteng Kec. Karangrejo</v>
          </cell>
          <cell r="R6070" t="str">
            <v>Magetan</v>
          </cell>
          <cell r="S6070" t="str">
            <v>D Barat2</v>
          </cell>
          <cell r="T6070" t="str">
            <v>Dian</v>
          </cell>
          <cell r="U6070">
            <v>0</v>
          </cell>
        </row>
        <row r="6071">
          <cell r="E6071" t="str">
            <v>D25011327</v>
          </cell>
          <cell r="F6071"/>
          <cell r="G6071">
            <v>100000000</v>
          </cell>
          <cell r="H6071" t="str">
            <v>Faris</v>
          </cell>
          <cell r="I6071" t="str">
            <v>Syahra</v>
          </cell>
          <cell r="J6071" t="str">
            <v>New 09/04/21</v>
          </cell>
          <cell r="K6071" t="str">
            <v>KU</v>
          </cell>
          <cell r="L6071" t="str">
            <v>PAST01</v>
          </cell>
          <cell r="M6071" t="str">
            <v>Pasta Graha/Agus</v>
          </cell>
          <cell r="N6071" t="str">
            <v>Agus Mugianto, SP</v>
          </cell>
          <cell r="O6071" t="str">
            <v>Jl. Argopuro Ayuban Jaya RT.004/RW.020, Kel. Mimbaan, Kec. Panji</v>
          </cell>
          <cell r="P6071" t="str">
            <v>Situbondo</v>
          </cell>
          <cell r="Q6071" t="str">
            <v>Jl. Argopuro Ayuban Jaya RT.004/RW.020, Kel. Mimbaan, Kec. Panji</v>
          </cell>
          <cell r="R6071" t="str">
            <v>Situbondo</v>
          </cell>
          <cell r="S6071" t="str">
            <v>N Bdw Stb</v>
          </cell>
          <cell r="T6071" t="str">
            <v>Wira</v>
          </cell>
          <cell r="U6071">
            <v>60</v>
          </cell>
        </row>
        <row r="6072">
          <cell r="E6072" t="str">
            <v>D25011327</v>
          </cell>
          <cell r="F6072"/>
          <cell r="G6072">
            <v>100000000</v>
          </cell>
          <cell r="H6072" t="str">
            <v>Faris</v>
          </cell>
          <cell r="I6072" t="str">
            <v>Syahra</v>
          </cell>
          <cell r="J6072" t="str">
            <v>New 09/04/21</v>
          </cell>
          <cell r="K6072" t="str">
            <v>KU</v>
          </cell>
          <cell r="L6072" t="str">
            <v>PAST01</v>
          </cell>
          <cell r="M6072" t="str">
            <v>Pasta Graha/Agus</v>
          </cell>
          <cell r="N6072" t="str">
            <v>Agus Mugianto, SP</v>
          </cell>
          <cell r="O6072" t="str">
            <v>Jl. Argopuro Ayuban Jaya RT.004/RW.020, Kel. Mimbaan, Kec. Panji</v>
          </cell>
          <cell r="P6072" t="str">
            <v>Situbondo</v>
          </cell>
          <cell r="Q6072" t="str">
            <v>Jl. Argopuro Ayuban Jaya RT.004/RW.020, Kel. Mimbaan, Kec. Panji</v>
          </cell>
          <cell r="R6072" t="str">
            <v>Situbondo</v>
          </cell>
          <cell r="S6072" t="str">
            <v>N Bdw Stb</v>
          </cell>
          <cell r="T6072" t="str">
            <v>Wira</v>
          </cell>
          <cell r="U6072">
            <v>60</v>
          </cell>
        </row>
        <row r="6073">
          <cell r="E6073" t="str">
            <v>D25011327</v>
          </cell>
          <cell r="F6073"/>
          <cell r="G6073">
            <v>100000000</v>
          </cell>
          <cell r="H6073" t="str">
            <v>Faris</v>
          </cell>
          <cell r="I6073" t="str">
            <v>Syahra</v>
          </cell>
          <cell r="J6073" t="str">
            <v>New 09/04/21</v>
          </cell>
          <cell r="K6073" t="str">
            <v>KU</v>
          </cell>
          <cell r="L6073" t="str">
            <v>PAST01</v>
          </cell>
          <cell r="M6073" t="str">
            <v>Pasta Graha/Agus</v>
          </cell>
          <cell r="N6073" t="str">
            <v>Agus Mugianto, SP</v>
          </cell>
          <cell r="O6073" t="str">
            <v>Jl. Argopuro Ayuban Jaya RT.004/RW.020, Kel. Mimbaan, Kec. Panji</v>
          </cell>
          <cell r="P6073" t="str">
            <v>Situbondo</v>
          </cell>
          <cell r="Q6073" t="str">
            <v>Jl. Argopuro Ayuban Jaya RT.004/RW.020, Kel. Mimbaan, Kec. Panji</v>
          </cell>
          <cell r="R6073" t="str">
            <v>Situbondo</v>
          </cell>
          <cell r="S6073" t="str">
            <v>N Bdw Stb</v>
          </cell>
          <cell r="T6073" t="str">
            <v>Wira</v>
          </cell>
          <cell r="U6073">
            <v>60</v>
          </cell>
        </row>
        <row r="6074">
          <cell r="E6074" t="str">
            <v>D25011327</v>
          </cell>
          <cell r="F6074"/>
          <cell r="G6074">
            <v>100000000</v>
          </cell>
          <cell r="H6074" t="str">
            <v>Faris</v>
          </cell>
          <cell r="I6074" t="str">
            <v>Syahra</v>
          </cell>
          <cell r="J6074" t="str">
            <v>New 09/04/21</v>
          </cell>
          <cell r="K6074" t="str">
            <v>KU</v>
          </cell>
          <cell r="L6074" t="str">
            <v>PAST01</v>
          </cell>
          <cell r="M6074" t="str">
            <v>Pasta Graha/Agus</v>
          </cell>
          <cell r="N6074" t="str">
            <v>Agus Mugianto, SP</v>
          </cell>
          <cell r="O6074" t="str">
            <v>Jl. Argopuro Ayuban Jaya RT.004/RW.020, Kel. Mimbaan, Kec. Panji</v>
          </cell>
          <cell r="P6074" t="str">
            <v>Situbondo</v>
          </cell>
          <cell r="Q6074" t="str">
            <v>Jl. Argopuro Ayuban Jaya RT.004/RW.020, Kel. Mimbaan, Kec. Panji</v>
          </cell>
          <cell r="R6074" t="str">
            <v>Situbondo</v>
          </cell>
          <cell r="S6074" t="str">
            <v>N Bdw Stb</v>
          </cell>
          <cell r="T6074" t="str">
            <v>Wira</v>
          </cell>
          <cell r="U6074">
            <v>60</v>
          </cell>
        </row>
        <row r="6075">
          <cell r="E6075" t="str">
            <v>B25009696</v>
          </cell>
          <cell r="F6075"/>
          <cell r="G6075">
            <v>1600000000</v>
          </cell>
          <cell r="H6075" t="str">
            <v>Hendra</v>
          </cell>
          <cell r="I6075" t="str">
            <v>Tiya</v>
          </cell>
          <cell r="J6075"/>
          <cell r="K6075" t="str">
            <v>KU</v>
          </cell>
          <cell r="L6075" t="str">
            <v>PATE01</v>
          </cell>
          <cell r="M6075" t="str">
            <v>Paten, UD</v>
          </cell>
          <cell r="N6075" t="str">
            <v>Patenjaya Agro Kencana,PT</v>
          </cell>
          <cell r="O6075" t="str">
            <v>Jl. Sukaraja Munthe No.14, Padang Mas Kabanjahe, Kab. Karo SUMUT</v>
          </cell>
          <cell r="P6075" t="str">
            <v>Karo - SUMUT</v>
          </cell>
          <cell r="Q6075" t="str">
            <v>Sukaraja Munthe No. 14 Kabanjae Tanah Karo</v>
          </cell>
          <cell r="R6075" t="str">
            <v>Sumut</v>
          </cell>
          <cell r="S6075" t="str">
            <v>E Luar Pulau2</v>
          </cell>
          <cell r="T6075" t="str">
            <v>Non SE &amp; JSE</v>
          </cell>
          <cell r="U6075">
            <v>73</v>
          </cell>
        </row>
        <row r="6076">
          <cell r="E6076" t="str">
            <v>B25009746</v>
          </cell>
          <cell r="F6076"/>
          <cell r="G6076">
            <v>1600000000</v>
          </cell>
          <cell r="H6076" t="str">
            <v>Hendra</v>
          </cell>
          <cell r="I6076" t="str">
            <v>Tiya</v>
          </cell>
          <cell r="J6076"/>
          <cell r="K6076" t="str">
            <v>KU</v>
          </cell>
          <cell r="L6076" t="str">
            <v>PATE01</v>
          </cell>
          <cell r="M6076" t="str">
            <v>Paten, UD</v>
          </cell>
          <cell r="N6076" t="str">
            <v>Patenjaya Agro Kencana,PT</v>
          </cell>
          <cell r="O6076" t="str">
            <v>Jl. Sukaraja Munthe No.14, Padang Mas Kabanjahe, Kab. Karo SUMUT</v>
          </cell>
          <cell r="P6076" t="str">
            <v>Karo - SUMUT</v>
          </cell>
          <cell r="Q6076" t="str">
            <v>Sukaraja Munthe No. 14 Kabanjae Tanah Karo</v>
          </cell>
          <cell r="R6076" t="str">
            <v>Sumut</v>
          </cell>
          <cell r="S6076" t="str">
            <v>E Luar Pulau2</v>
          </cell>
          <cell r="T6076" t="str">
            <v>Non SE &amp; JSE</v>
          </cell>
          <cell r="U6076">
            <v>73</v>
          </cell>
        </row>
        <row r="6077">
          <cell r="E6077" t="str">
            <v>B25010436</v>
          </cell>
          <cell r="F6077"/>
          <cell r="G6077">
            <v>1600000000</v>
          </cell>
          <cell r="H6077" t="str">
            <v>Hendra</v>
          </cell>
          <cell r="I6077" t="str">
            <v>Tiya</v>
          </cell>
          <cell r="J6077"/>
          <cell r="K6077" t="str">
            <v>KU</v>
          </cell>
          <cell r="L6077" t="str">
            <v>PATE01</v>
          </cell>
          <cell r="M6077" t="str">
            <v>Paten, UD</v>
          </cell>
          <cell r="N6077" t="str">
            <v>Patenjaya Agro Kencana,PT</v>
          </cell>
          <cell r="O6077" t="str">
            <v>Jl. Sukaraja Munthe No.14, Padang Mas Kabanjahe, Kab. Karo SUMUT</v>
          </cell>
          <cell r="P6077" t="str">
            <v>Karo - SUMUT</v>
          </cell>
          <cell r="Q6077" t="str">
            <v>Sukaraja Munthe No. 14 Kabanjae Tanah Karo</v>
          </cell>
          <cell r="R6077" t="str">
            <v>Sumut</v>
          </cell>
          <cell r="S6077" t="str">
            <v>E Luar Pulau2</v>
          </cell>
          <cell r="T6077" t="str">
            <v>Non SE &amp; JSE</v>
          </cell>
          <cell r="U6077">
            <v>73</v>
          </cell>
        </row>
        <row r="6078">
          <cell r="E6078" t="str">
            <v>D25014779</v>
          </cell>
          <cell r="F6078"/>
          <cell r="G6078">
            <v>1600000000</v>
          </cell>
          <cell r="H6078" t="str">
            <v>Hendra</v>
          </cell>
          <cell r="I6078" t="str">
            <v>Tiya</v>
          </cell>
          <cell r="J6078"/>
          <cell r="K6078" t="str">
            <v>KU</v>
          </cell>
          <cell r="L6078" t="str">
            <v>PATE01</v>
          </cell>
          <cell r="M6078" t="str">
            <v>Paten, UD</v>
          </cell>
          <cell r="N6078" t="str">
            <v>Patenjaya Agro Kencana,PT</v>
          </cell>
          <cell r="O6078" t="str">
            <v>Jl. Sukaraja Munthe No.14, Padang Mas Kabanjahe, Kab. Karo SUMUT</v>
          </cell>
          <cell r="P6078" t="str">
            <v>Karo - SUMUT</v>
          </cell>
          <cell r="Q6078" t="str">
            <v>Sukaraja Munthe No. 14 Kabanjae Tanah Karo</v>
          </cell>
          <cell r="R6078" t="str">
            <v>Sumut</v>
          </cell>
          <cell r="S6078" t="str">
            <v>E Luar Pulau2</v>
          </cell>
          <cell r="T6078" t="str">
            <v>Non SE &amp; JSE</v>
          </cell>
          <cell r="U6078">
            <v>73</v>
          </cell>
        </row>
        <row r="6079">
          <cell r="E6079" t="str">
            <v>D25014780</v>
          </cell>
          <cell r="F6079"/>
          <cell r="G6079">
            <v>1600000000</v>
          </cell>
          <cell r="H6079" t="str">
            <v>Hendra</v>
          </cell>
          <cell r="I6079" t="str">
            <v>Tiya</v>
          </cell>
          <cell r="J6079"/>
          <cell r="K6079" t="str">
            <v>KU</v>
          </cell>
          <cell r="L6079" t="str">
            <v>PATE01</v>
          </cell>
          <cell r="M6079" t="str">
            <v>Paten, UD</v>
          </cell>
          <cell r="N6079" t="str">
            <v>Patenjaya Agro Kencana,PT</v>
          </cell>
          <cell r="O6079" t="str">
            <v>Jl. Sukaraja Munthe No.14, Padang Mas Kabanjahe, Kab. Karo SUMUT</v>
          </cell>
          <cell r="P6079" t="str">
            <v>Karo - SUMUT</v>
          </cell>
          <cell r="Q6079" t="str">
            <v>Sukaraja Munthe No. 14 Kabanjae Tanah Karo</v>
          </cell>
          <cell r="R6079" t="str">
            <v>Sumut</v>
          </cell>
          <cell r="S6079" t="str">
            <v>E Luar Pulau2</v>
          </cell>
          <cell r="T6079" t="str">
            <v>Non SE &amp; JSE</v>
          </cell>
          <cell r="U6079">
            <v>73</v>
          </cell>
        </row>
        <row r="6080">
          <cell r="E6080" t="str">
            <v>D25014840</v>
          </cell>
          <cell r="F6080"/>
          <cell r="G6080">
            <v>1600000000</v>
          </cell>
          <cell r="H6080" t="str">
            <v>Hendra</v>
          </cell>
          <cell r="I6080" t="str">
            <v>Tiya</v>
          </cell>
          <cell r="J6080"/>
          <cell r="K6080" t="str">
            <v>KU</v>
          </cell>
          <cell r="L6080" t="str">
            <v>PATE01</v>
          </cell>
          <cell r="M6080" t="str">
            <v>Paten, UD</v>
          </cell>
          <cell r="N6080" t="str">
            <v>Patenjaya Agro Kencana,PT</v>
          </cell>
          <cell r="O6080" t="str">
            <v>Jl. Sukaraja Munthe No.14, Padang Mas Kabanjahe, Kab. Karo SUMUT</v>
          </cell>
          <cell r="P6080" t="str">
            <v>Karo - SUMUT</v>
          </cell>
          <cell r="Q6080" t="str">
            <v>Sukaraja Munthe No. 14 Kabanjae Tanah Karo</v>
          </cell>
          <cell r="R6080" t="str">
            <v>Sumut</v>
          </cell>
          <cell r="S6080" t="str">
            <v>E Luar Pulau2</v>
          </cell>
          <cell r="T6080" t="str">
            <v>Non SE &amp; JSE</v>
          </cell>
          <cell r="U6080">
            <v>73</v>
          </cell>
        </row>
        <row r="6081">
          <cell r="E6081" t="str">
            <v>D25013317</v>
          </cell>
          <cell r="F6081"/>
          <cell r="G6081">
            <v>600000000</v>
          </cell>
          <cell r="H6081" t="str">
            <v>Zakia</v>
          </cell>
          <cell r="I6081" t="str">
            <v>Tiya</v>
          </cell>
          <cell r="J6081"/>
          <cell r="K6081" t="str">
            <v>KU</v>
          </cell>
          <cell r="L6081" t="str">
            <v>PAYU01</v>
          </cell>
          <cell r="M6081" t="str">
            <v>Payung Agung</v>
          </cell>
          <cell r="N6081" t="str">
            <v>Kencono Agung, CV</v>
          </cell>
          <cell r="O6081" t="str">
            <v>Mayjen Sungkono GG. V/01 RT. 01 RW. 04 Kutoanyar</v>
          </cell>
          <cell r="P6081" t="str">
            <v>Tulungagung</v>
          </cell>
          <cell r="Q6081" t="str">
            <v>Mayjen Sungkono GG. V/01 RT. 01 RW. 04 Kutoanyar</v>
          </cell>
          <cell r="R6081" t="str">
            <v>Tulungagung</v>
          </cell>
          <cell r="S6081" t="str">
            <v>D Barat2</v>
          </cell>
          <cell r="T6081" t="str">
            <v>Tomi</v>
          </cell>
          <cell r="U6081">
            <v>30</v>
          </cell>
        </row>
        <row r="6082">
          <cell r="E6082" t="str">
            <v>D25013981</v>
          </cell>
          <cell r="F6082"/>
          <cell r="G6082">
            <v>600000000</v>
          </cell>
          <cell r="H6082" t="str">
            <v>Zakia</v>
          </cell>
          <cell r="I6082" t="str">
            <v>Tiya</v>
          </cell>
          <cell r="J6082"/>
          <cell r="K6082" t="str">
            <v>KU</v>
          </cell>
          <cell r="L6082" t="str">
            <v>PAYU01</v>
          </cell>
          <cell r="M6082" t="str">
            <v>Payung Agung</v>
          </cell>
          <cell r="N6082" t="str">
            <v>Kencono Agung, CV</v>
          </cell>
          <cell r="O6082" t="str">
            <v>Mayjen Sungkono GG. V/01 RT. 01 RW. 04 Kutoanyar</v>
          </cell>
          <cell r="P6082" t="str">
            <v>Tulungagung</v>
          </cell>
          <cell r="Q6082" t="str">
            <v>Mayjen Sungkono GG. V/01 RT. 01 RW. 04 Kutoanyar</v>
          </cell>
          <cell r="R6082" t="str">
            <v>Tulungagung</v>
          </cell>
          <cell r="S6082" t="str">
            <v>D Barat2</v>
          </cell>
          <cell r="T6082" t="str">
            <v>Tomi</v>
          </cell>
          <cell r="U6082">
            <v>30</v>
          </cell>
        </row>
        <row r="6083">
          <cell r="E6083" t="str">
            <v>D25015016</v>
          </cell>
          <cell r="F6083"/>
          <cell r="G6083">
            <v>600000000</v>
          </cell>
          <cell r="H6083" t="str">
            <v>Zakia</v>
          </cell>
          <cell r="I6083" t="str">
            <v>Tiya</v>
          </cell>
          <cell r="J6083"/>
          <cell r="K6083" t="str">
            <v>KU</v>
          </cell>
          <cell r="L6083" t="str">
            <v>PAYU01</v>
          </cell>
          <cell r="M6083" t="str">
            <v>Payung Agung</v>
          </cell>
          <cell r="N6083" t="str">
            <v>Kencono Agung, CV</v>
          </cell>
          <cell r="O6083" t="str">
            <v>Mayjen Sungkono GG. V/01 RT. 01 RW. 04 Kutoanyar</v>
          </cell>
          <cell r="P6083" t="str">
            <v>Tulungagung</v>
          </cell>
          <cell r="Q6083" t="str">
            <v>Mayjen Sungkono GG. V/01 RT. 01 RW. 04 Kutoanyar</v>
          </cell>
          <cell r="R6083" t="str">
            <v>Tulungagung</v>
          </cell>
          <cell r="S6083" t="str">
            <v>D Barat2</v>
          </cell>
          <cell r="T6083" t="str">
            <v>Tomi</v>
          </cell>
          <cell r="U6083">
            <v>30</v>
          </cell>
        </row>
        <row r="6084">
          <cell r="E6084" t="str">
            <v>D25015666</v>
          </cell>
          <cell r="F6084"/>
          <cell r="G6084">
            <v>600000000</v>
          </cell>
          <cell r="H6084" t="str">
            <v>Zakia</v>
          </cell>
          <cell r="I6084" t="str">
            <v>Tiya</v>
          </cell>
          <cell r="J6084"/>
          <cell r="K6084" t="str">
            <v>KU</v>
          </cell>
          <cell r="L6084" t="str">
            <v>PAYU01</v>
          </cell>
          <cell r="M6084" t="str">
            <v>Payung Agung</v>
          </cell>
          <cell r="N6084" t="str">
            <v>Kencono Agung, CV</v>
          </cell>
          <cell r="O6084" t="str">
            <v>Mayjen Sungkono GG. V/01 RT. 01 RW. 04 Kutoanyar</v>
          </cell>
          <cell r="P6084" t="str">
            <v>Tulungagung</v>
          </cell>
          <cell r="Q6084" t="str">
            <v>Mayjen Sungkono GG. V/01 RT. 01 RW. 04 Kutoanyar</v>
          </cell>
          <cell r="R6084" t="str">
            <v>Tulungagung</v>
          </cell>
          <cell r="S6084" t="str">
            <v>D Barat2</v>
          </cell>
          <cell r="T6084" t="str">
            <v>Tomi</v>
          </cell>
          <cell r="U6084">
            <v>30</v>
          </cell>
        </row>
        <row r="6085">
          <cell r="E6085" t="str">
            <v>D25015946</v>
          </cell>
          <cell r="F6085"/>
          <cell r="G6085">
            <v>600000000</v>
          </cell>
          <cell r="H6085" t="str">
            <v>Zakia</v>
          </cell>
          <cell r="I6085" t="str">
            <v>Tiya</v>
          </cell>
          <cell r="J6085"/>
          <cell r="K6085" t="str">
            <v>KU</v>
          </cell>
          <cell r="L6085" t="str">
            <v>PAYU01</v>
          </cell>
          <cell r="M6085" t="str">
            <v>Payung Agung</v>
          </cell>
          <cell r="N6085" t="str">
            <v>Kencono Agung, CV</v>
          </cell>
          <cell r="O6085" t="str">
            <v>Mayjen Sungkono GG. V/01 RT. 01 RW. 04 Kutoanyar</v>
          </cell>
          <cell r="P6085" t="str">
            <v>Tulungagung</v>
          </cell>
          <cell r="Q6085" t="str">
            <v>Mayjen Sungkono GG. V/01 RT. 01 RW. 04 Kutoanyar</v>
          </cell>
          <cell r="R6085" t="str">
            <v>Tulungagung</v>
          </cell>
          <cell r="S6085" t="str">
            <v>D Barat2</v>
          </cell>
          <cell r="T6085" t="str">
            <v>Tomi</v>
          </cell>
          <cell r="U6085">
            <v>0</v>
          </cell>
        </row>
        <row r="6086">
          <cell r="E6086" t="str">
            <v>D25016005</v>
          </cell>
          <cell r="F6086"/>
          <cell r="G6086">
            <v>600000000</v>
          </cell>
          <cell r="H6086" t="str">
            <v>Zakia</v>
          </cell>
          <cell r="I6086" t="str">
            <v>Tiya</v>
          </cell>
          <cell r="J6086"/>
          <cell r="K6086" t="str">
            <v>KU</v>
          </cell>
          <cell r="L6086" t="str">
            <v>PAYU01</v>
          </cell>
          <cell r="M6086" t="str">
            <v>Payung Agung</v>
          </cell>
          <cell r="N6086" t="str">
            <v>Kencono Agung, CV</v>
          </cell>
          <cell r="O6086" t="str">
            <v>Mayjen Sungkono GG. V/01 RT. 01 RW. 04 Kutoanyar</v>
          </cell>
          <cell r="P6086" t="str">
            <v>Tulungagung</v>
          </cell>
          <cell r="Q6086" t="str">
            <v>Mayjen Sungkono GG. V/01 RT. 01 RW. 04 Kutoanyar</v>
          </cell>
          <cell r="R6086" t="str">
            <v>Tulungagung</v>
          </cell>
          <cell r="S6086" t="str">
            <v>D Barat2</v>
          </cell>
          <cell r="T6086" t="str">
            <v>Tomi</v>
          </cell>
          <cell r="U6086">
            <v>30</v>
          </cell>
        </row>
        <row r="6087">
          <cell r="E6087" t="str">
            <v>D25010805</v>
          </cell>
          <cell r="F6087"/>
          <cell r="G6087">
            <v>1300000000</v>
          </cell>
          <cell r="H6087" t="str">
            <v>Reni</v>
          </cell>
          <cell r="I6087" t="str">
            <v>Farida</v>
          </cell>
          <cell r="J6087"/>
          <cell r="K6087" t="str">
            <v>BG, KU</v>
          </cell>
          <cell r="L6087" t="str">
            <v>PELI01</v>
          </cell>
          <cell r="M6087" t="str">
            <v>Pelita Tani, CV/Budi</v>
          </cell>
          <cell r="N6087" t="str">
            <v>Pelita Tani, CV</v>
          </cell>
          <cell r="O6087" t="str">
            <v>A. Yani No. 08 RT.001/RW.001 Kel. Somoroto, Kec. Kauman</v>
          </cell>
          <cell r="P6087" t="str">
            <v>Ponorogo</v>
          </cell>
          <cell r="Q6087" t="str">
            <v>A. Yani No. 08 RT.001/RW.001 Kel. Somoroto, Kec. Kauman</v>
          </cell>
          <cell r="R6087" t="str">
            <v>Ponorogo</v>
          </cell>
          <cell r="S6087" t="str">
            <v>D Barat2</v>
          </cell>
          <cell r="T6087" t="str">
            <v>Dian</v>
          </cell>
          <cell r="U6087">
            <v>30</v>
          </cell>
        </row>
        <row r="6088">
          <cell r="E6088" t="str">
            <v>D25011362</v>
          </cell>
          <cell r="F6088"/>
          <cell r="G6088">
            <v>1300000000</v>
          </cell>
          <cell r="H6088" t="str">
            <v>Reni</v>
          </cell>
          <cell r="I6088" t="str">
            <v>Farida</v>
          </cell>
          <cell r="J6088"/>
          <cell r="K6088" t="str">
            <v>BG, KU</v>
          </cell>
          <cell r="L6088" t="str">
            <v>PELI01</v>
          </cell>
          <cell r="M6088" t="str">
            <v>Pelita Tani, CV/Budi</v>
          </cell>
          <cell r="N6088" t="str">
            <v>Pelita Tani, CV</v>
          </cell>
          <cell r="O6088" t="str">
            <v>A. Yani No. 08 RT.001/RW.001 Kel. Somoroto, Kec. Kauman</v>
          </cell>
          <cell r="P6088" t="str">
            <v>Ponorogo</v>
          </cell>
          <cell r="Q6088" t="str">
            <v>A. Yani No. 08 RT.001/RW.001 Kel. Somoroto, Kec. Kauman</v>
          </cell>
          <cell r="R6088" t="str">
            <v>Ponorogo</v>
          </cell>
          <cell r="S6088" t="str">
            <v>D Barat2</v>
          </cell>
          <cell r="T6088" t="str">
            <v>Dian</v>
          </cell>
          <cell r="U6088">
            <v>30</v>
          </cell>
        </row>
        <row r="6089">
          <cell r="E6089" t="str">
            <v>D25011656</v>
          </cell>
          <cell r="F6089"/>
          <cell r="G6089">
            <v>1300000000</v>
          </cell>
          <cell r="H6089" t="str">
            <v>Reni</v>
          </cell>
          <cell r="I6089" t="str">
            <v>Farida</v>
          </cell>
          <cell r="J6089"/>
          <cell r="K6089" t="str">
            <v>BG, KU</v>
          </cell>
          <cell r="L6089" t="str">
            <v>PELI01</v>
          </cell>
          <cell r="M6089" t="str">
            <v>Pelita Tani, CV/Budi</v>
          </cell>
          <cell r="N6089" t="str">
            <v>Pelita Tani, CV</v>
          </cell>
          <cell r="O6089" t="str">
            <v>A. Yani No. 08 RT.001/RW.001 Kel. Somoroto, Kec. Kauman</v>
          </cell>
          <cell r="P6089" t="str">
            <v>Ponorogo</v>
          </cell>
          <cell r="Q6089" t="str">
            <v>A. Yani No. 08 RT.001/RW.001 Kel. Somoroto, Kec. Kauman</v>
          </cell>
          <cell r="R6089" t="str">
            <v>Ponorogo</v>
          </cell>
          <cell r="S6089" t="str">
            <v>D Barat2</v>
          </cell>
          <cell r="T6089" t="str">
            <v>Dian</v>
          </cell>
          <cell r="U6089">
            <v>30</v>
          </cell>
        </row>
        <row r="6090">
          <cell r="E6090" t="str">
            <v>D25011679</v>
          </cell>
          <cell r="F6090"/>
          <cell r="G6090">
            <v>1300000000</v>
          </cell>
          <cell r="H6090" t="str">
            <v>Reni</v>
          </cell>
          <cell r="I6090" t="str">
            <v>Farida</v>
          </cell>
          <cell r="J6090"/>
          <cell r="K6090" t="str">
            <v>BG, KU</v>
          </cell>
          <cell r="L6090" t="str">
            <v>PELI01</v>
          </cell>
          <cell r="M6090" t="str">
            <v>Pelita Tani, CV/Budi</v>
          </cell>
          <cell r="N6090" t="str">
            <v>Pelita Tani, CV</v>
          </cell>
          <cell r="O6090" t="str">
            <v>A. Yani No. 08 RT.001/RW.001 Kel. Somoroto, Kec. Kauman</v>
          </cell>
          <cell r="P6090" t="str">
            <v>Ponorogo</v>
          </cell>
          <cell r="Q6090" t="str">
            <v>A. Yani No. 08 RT.001/RW.001 Kel. Somoroto, Kec. Kauman</v>
          </cell>
          <cell r="R6090" t="str">
            <v>Ponorogo</v>
          </cell>
          <cell r="S6090" t="str">
            <v>D Barat2</v>
          </cell>
          <cell r="T6090" t="str">
            <v>Dian</v>
          </cell>
          <cell r="U6090">
            <v>30</v>
          </cell>
        </row>
        <row r="6091">
          <cell r="E6091" t="str">
            <v>B25010236</v>
          </cell>
          <cell r="F6091"/>
          <cell r="G6091">
            <v>1300000000</v>
          </cell>
          <cell r="H6091" t="str">
            <v>Reni</v>
          </cell>
          <cell r="I6091" t="str">
            <v>Farida</v>
          </cell>
          <cell r="J6091"/>
          <cell r="K6091" t="str">
            <v>BG, KU</v>
          </cell>
          <cell r="L6091" t="str">
            <v>PELI01</v>
          </cell>
          <cell r="M6091" t="str">
            <v>Pelita Tani, CV/Budi</v>
          </cell>
          <cell r="N6091" t="str">
            <v>Pelita Tani, CV</v>
          </cell>
          <cell r="O6091" t="str">
            <v>A. Yani No. 08 RT.001/RW.001 Kel. Somoroto, Kec. Kauman</v>
          </cell>
          <cell r="P6091" t="str">
            <v>Ponorogo</v>
          </cell>
          <cell r="Q6091" t="str">
            <v>A. Yani No. 08 RT.001/RW.001 Kel. Somoroto, Kec. Kauman</v>
          </cell>
          <cell r="R6091" t="str">
            <v>Ponorogo</v>
          </cell>
          <cell r="S6091" t="str">
            <v>D Barat2</v>
          </cell>
          <cell r="T6091" t="str">
            <v>Dian</v>
          </cell>
          <cell r="U6091">
            <v>60</v>
          </cell>
        </row>
        <row r="6092">
          <cell r="E6092" t="str">
            <v>D25012183</v>
          </cell>
          <cell r="F6092"/>
          <cell r="G6092">
            <v>1300000000</v>
          </cell>
          <cell r="H6092" t="str">
            <v>Reni</v>
          </cell>
          <cell r="I6092" t="str">
            <v>Farida</v>
          </cell>
          <cell r="J6092"/>
          <cell r="K6092" t="str">
            <v>BG, KU</v>
          </cell>
          <cell r="L6092" t="str">
            <v>PELI01</v>
          </cell>
          <cell r="M6092" t="str">
            <v>Pelita Tani, CV/Budi</v>
          </cell>
          <cell r="N6092" t="str">
            <v>Pelita Tani, CV</v>
          </cell>
          <cell r="O6092" t="str">
            <v>A. Yani No. 08 RT.001/RW.001 Kel. Somoroto, Kec. Kauman</v>
          </cell>
          <cell r="P6092" t="str">
            <v>Ponorogo</v>
          </cell>
          <cell r="Q6092" t="str">
            <v>A. Yani No. 08 RT.001/RW.001 Kel. Somoroto, Kec. Kauman</v>
          </cell>
          <cell r="R6092" t="str">
            <v>Ponorogo</v>
          </cell>
          <cell r="S6092" t="str">
            <v>D Barat2</v>
          </cell>
          <cell r="T6092" t="str">
            <v>Dian</v>
          </cell>
          <cell r="U6092">
            <v>30</v>
          </cell>
        </row>
        <row r="6093">
          <cell r="E6093" t="str">
            <v>B25010431</v>
          </cell>
          <cell r="F6093"/>
          <cell r="G6093">
            <v>1300000000</v>
          </cell>
          <cell r="H6093" t="str">
            <v>Reni</v>
          </cell>
          <cell r="I6093" t="str">
            <v>Farida</v>
          </cell>
          <cell r="J6093"/>
          <cell r="K6093" t="str">
            <v>BG, KU</v>
          </cell>
          <cell r="L6093" t="str">
            <v>PELI01</v>
          </cell>
          <cell r="M6093" t="str">
            <v>Pelita Tani, CV/Budi</v>
          </cell>
          <cell r="N6093" t="str">
            <v>Pelita Tani, CV</v>
          </cell>
          <cell r="O6093" t="str">
            <v>A. Yani No. 08 RT.001/RW.001 Kel. Somoroto, Kec. Kauman</v>
          </cell>
          <cell r="P6093" t="str">
            <v>Ponorogo</v>
          </cell>
          <cell r="Q6093" t="str">
            <v>A. Yani No. 08 RT.001/RW.001 Kel. Somoroto, Kec. Kauman</v>
          </cell>
          <cell r="R6093" t="str">
            <v>Ponorogo</v>
          </cell>
          <cell r="S6093" t="str">
            <v>D Barat2</v>
          </cell>
          <cell r="T6093" t="str">
            <v>Dian</v>
          </cell>
          <cell r="U6093">
            <v>30</v>
          </cell>
        </row>
        <row r="6094">
          <cell r="E6094" t="str">
            <v>B25010589</v>
          </cell>
          <cell r="F6094"/>
          <cell r="G6094">
            <v>1300000000</v>
          </cell>
          <cell r="H6094" t="str">
            <v>Reni</v>
          </cell>
          <cell r="I6094" t="str">
            <v>Farida</v>
          </cell>
          <cell r="J6094"/>
          <cell r="K6094" t="str">
            <v>BG, KU</v>
          </cell>
          <cell r="L6094" t="str">
            <v>PELI01</v>
          </cell>
          <cell r="M6094" t="str">
            <v>Pelita Tani, CV/Budi</v>
          </cell>
          <cell r="N6094" t="str">
            <v>Pelita Tani, CV</v>
          </cell>
          <cell r="O6094" t="str">
            <v>A. Yani No. 08 RT.001/RW.001 Kel. Somoroto, Kec. Kauman</v>
          </cell>
          <cell r="P6094" t="str">
            <v>Ponorogo</v>
          </cell>
          <cell r="Q6094" t="str">
            <v>A. Yani No. 08 RT.001/RW.001 Kel. Somoroto, Kec. Kauman</v>
          </cell>
          <cell r="R6094" t="str">
            <v>Ponorogo</v>
          </cell>
          <cell r="S6094" t="str">
            <v>D Barat2</v>
          </cell>
          <cell r="T6094" t="str">
            <v>Dian</v>
          </cell>
          <cell r="U6094">
            <v>30</v>
          </cell>
        </row>
        <row r="6095">
          <cell r="E6095" t="str">
            <v>B25010610</v>
          </cell>
          <cell r="F6095"/>
          <cell r="G6095">
            <v>1300000000</v>
          </cell>
          <cell r="H6095" t="str">
            <v>Reni</v>
          </cell>
          <cell r="I6095" t="str">
            <v>Farida</v>
          </cell>
          <cell r="J6095"/>
          <cell r="K6095" t="str">
            <v>BG, KU</v>
          </cell>
          <cell r="L6095" t="str">
            <v>PELI01</v>
          </cell>
          <cell r="M6095" t="str">
            <v>Pelita Tani, CV/Budi</v>
          </cell>
          <cell r="N6095" t="str">
            <v>Pelita Tani, CV</v>
          </cell>
          <cell r="O6095" t="str">
            <v>A. Yani No. 08 RT.001/RW.001 Kel. Somoroto, Kec. Kauman</v>
          </cell>
          <cell r="P6095" t="str">
            <v>Ponorogo</v>
          </cell>
          <cell r="Q6095" t="str">
            <v>A. Yani No. 08 RT.001/RW.001 Kel. Somoroto, Kec. Kauman</v>
          </cell>
          <cell r="R6095" t="str">
            <v>Ponorogo</v>
          </cell>
          <cell r="S6095" t="str">
            <v>D Barat2</v>
          </cell>
          <cell r="T6095" t="str">
            <v>Dian</v>
          </cell>
          <cell r="U6095">
            <v>30</v>
          </cell>
        </row>
        <row r="6096">
          <cell r="E6096" t="str">
            <v>D25012931</v>
          </cell>
          <cell r="F6096"/>
          <cell r="G6096">
            <v>1300000000</v>
          </cell>
          <cell r="H6096" t="str">
            <v>Reni</v>
          </cell>
          <cell r="I6096" t="str">
            <v>Farida</v>
          </cell>
          <cell r="J6096"/>
          <cell r="K6096" t="str">
            <v>BG, KU</v>
          </cell>
          <cell r="L6096" t="str">
            <v>PELI01</v>
          </cell>
          <cell r="M6096" t="str">
            <v>Pelita Tani, CV/Budi</v>
          </cell>
          <cell r="N6096" t="str">
            <v>Pelita Tani, CV</v>
          </cell>
          <cell r="O6096" t="str">
            <v>A. Yani No. 08 RT.001/RW.001 Kel. Somoroto, Kec. Kauman</v>
          </cell>
          <cell r="P6096" t="str">
            <v>Ponorogo</v>
          </cell>
          <cell r="Q6096" t="str">
            <v>A. Yani No. 08 RT.001/RW.001 Kel. Somoroto, Kec. Kauman</v>
          </cell>
          <cell r="R6096" t="str">
            <v>Ponorogo</v>
          </cell>
          <cell r="S6096" t="str">
            <v>D Barat2</v>
          </cell>
          <cell r="T6096" t="str">
            <v>Dian</v>
          </cell>
          <cell r="U6096">
            <v>30</v>
          </cell>
        </row>
        <row r="6097">
          <cell r="E6097" t="str">
            <v>D25013084</v>
          </cell>
          <cell r="F6097"/>
          <cell r="G6097">
            <v>1300000000</v>
          </cell>
          <cell r="H6097" t="str">
            <v>Reni</v>
          </cell>
          <cell r="I6097" t="str">
            <v>Farida</v>
          </cell>
          <cell r="J6097"/>
          <cell r="K6097" t="str">
            <v>BG, KU</v>
          </cell>
          <cell r="L6097" t="str">
            <v>PELI01</v>
          </cell>
          <cell r="M6097" t="str">
            <v>Pelita Tani, CV/Budi</v>
          </cell>
          <cell r="N6097" t="str">
            <v>Pelita Tani, CV</v>
          </cell>
          <cell r="O6097" t="str">
            <v>A. Yani No. 08 RT.001/RW.001 Kel. Somoroto, Kec. Kauman</v>
          </cell>
          <cell r="P6097" t="str">
            <v>Ponorogo</v>
          </cell>
          <cell r="Q6097" t="str">
            <v>A. Yani No. 08 RT.001/RW.001 Kel. Somoroto, Kec. Kauman</v>
          </cell>
          <cell r="R6097" t="str">
            <v>Ponorogo</v>
          </cell>
          <cell r="S6097" t="str">
            <v>D Barat2</v>
          </cell>
          <cell r="T6097" t="str">
            <v>Dian</v>
          </cell>
          <cell r="U6097">
            <v>30</v>
          </cell>
        </row>
        <row r="6098">
          <cell r="E6098" t="str">
            <v>B25011167</v>
          </cell>
          <cell r="F6098"/>
          <cell r="G6098">
            <v>1300000000</v>
          </cell>
          <cell r="H6098" t="str">
            <v>Reni</v>
          </cell>
          <cell r="I6098" t="str">
            <v>Farida</v>
          </cell>
          <cell r="J6098"/>
          <cell r="K6098" t="str">
            <v>BG, KU</v>
          </cell>
          <cell r="L6098" t="str">
            <v>PELI01</v>
          </cell>
          <cell r="M6098" t="str">
            <v>Pelita Tani, CV/Budi</v>
          </cell>
          <cell r="N6098" t="str">
            <v>Pelita Tani, CV</v>
          </cell>
          <cell r="O6098" t="str">
            <v>A. Yani No. 08 RT.001/RW.001 Kel. Somoroto, Kec. Kauman</v>
          </cell>
          <cell r="P6098" t="str">
            <v>Ponorogo</v>
          </cell>
          <cell r="Q6098" t="str">
            <v>A. Yani No. 08 RT.001/RW.001 Kel. Somoroto, Kec. Kauman</v>
          </cell>
          <cell r="R6098" t="str">
            <v>Ponorogo</v>
          </cell>
          <cell r="S6098" t="str">
            <v>D Barat2</v>
          </cell>
          <cell r="T6098" t="str">
            <v>Dian</v>
          </cell>
          <cell r="U6098">
            <v>30</v>
          </cell>
        </row>
        <row r="6099">
          <cell r="E6099" t="str">
            <v>D25013562</v>
          </cell>
          <cell r="F6099"/>
          <cell r="G6099">
            <v>1300000000</v>
          </cell>
          <cell r="H6099" t="str">
            <v>Reni</v>
          </cell>
          <cell r="I6099" t="str">
            <v>Farida</v>
          </cell>
          <cell r="J6099"/>
          <cell r="K6099" t="str">
            <v>BG, KU</v>
          </cell>
          <cell r="L6099" t="str">
            <v>PELI01</v>
          </cell>
          <cell r="M6099" t="str">
            <v>Pelita Tani, CV/Budi</v>
          </cell>
          <cell r="N6099" t="str">
            <v>Pelita Tani, CV</v>
          </cell>
          <cell r="O6099" t="str">
            <v>A. Yani No. 08 RT.001/RW.001 Kel. Somoroto, Kec. Kauman</v>
          </cell>
          <cell r="P6099" t="str">
            <v>Ponorogo</v>
          </cell>
          <cell r="Q6099" t="str">
            <v>A. Yani No. 08 RT.001/RW.001 Kel. Somoroto, Kec. Kauman</v>
          </cell>
          <cell r="R6099" t="str">
            <v>Ponorogo</v>
          </cell>
          <cell r="S6099" t="str">
            <v>D Barat2</v>
          </cell>
          <cell r="T6099" t="str">
            <v>Dian</v>
          </cell>
          <cell r="U6099">
            <v>30</v>
          </cell>
        </row>
        <row r="6100">
          <cell r="E6100" t="str">
            <v>D25013714</v>
          </cell>
          <cell r="F6100"/>
          <cell r="G6100">
            <v>1300000000</v>
          </cell>
          <cell r="H6100" t="str">
            <v>Reni</v>
          </cell>
          <cell r="I6100" t="str">
            <v>Farida</v>
          </cell>
          <cell r="J6100"/>
          <cell r="K6100" t="str">
            <v>BG, KU</v>
          </cell>
          <cell r="L6100" t="str">
            <v>PELI01</v>
          </cell>
          <cell r="M6100" t="str">
            <v>Pelita Tani, CV/Budi</v>
          </cell>
          <cell r="N6100" t="str">
            <v>Pelita Tani, CV</v>
          </cell>
          <cell r="O6100" t="str">
            <v>A. Yani No. 08 RT.001/RW.001 Kel. Somoroto, Kec. Kauman</v>
          </cell>
          <cell r="P6100" t="str">
            <v>Ponorogo</v>
          </cell>
          <cell r="Q6100" t="str">
            <v>A. Yani No. 08 RT.001/RW.001 Kel. Somoroto, Kec. Kauman</v>
          </cell>
          <cell r="R6100" t="str">
            <v>Ponorogo</v>
          </cell>
          <cell r="S6100" t="str">
            <v>D Barat2</v>
          </cell>
          <cell r="T6100" t="str">
            <v>Dian</v>
          </cell>
          <cell r="U6100">
            <v>30</v>
          </cell>
        </row>
        <row r="6101">
          <cell r="E6101" t="str">
            <v>D25013848</v>
          </cell>
          <cell r="F6101"/>
          <cell r="G6101">
            <v>1300000000</v>
          </cell>
          <cell r="H6101" t="str">
            <v>Reni</v>
          </cell>
          <cell r="I6101" t="str">
            <v>Farida</v>
          </cell>
          <cell r="J6101"/>
          <cell r="K6101" t="str">
            <v>BG, KU</v>
          </cell>
          <cell r="L6101" t="str">
            <v>PELI01</v>
          </cell>
          <cell r="M6101" t="str">
            <v>Pelita Tani, CV/Budi</v>
          </cell>
          <cell r="N6101" t="str">
            <v>Pelita Tani, CV</v>
          </cell>
          <cell r="O6101" t="str">
            <v>A. Yani No. 08 RT.001/RW.001 Kel. Somoroto, Kec. Kauman</v>
          </cell>
          <cell r="P6101" t="str">
            <v>Ponorogo</v>
          </cell>
          <cell r="Q6101" t="str">
            <v>A. Yani No. 08 RT.001/RW.001 Kel. Somoroto, Kec. Kauman</v>
          </cell>
          <cell r="R6101" t="str">
            <v>Ponorogo</v>
          </cell>
          <cell r="S6101" t="str">
            <v>D Barat2</v>
          </cell>
          <cell r="T6101" t="str">
            <v>Dian</v>
          </cell>
          <cell r="U6101">
            <v>30</v>
          </cell>
        </row>
        <row r="6102">
          <cell r="E6102" t="str">
            <v>D25014046</v>
          </cell>
          <cell r="F6102"/>
          <cell r="G6102">
            <v>1300000000</v>
          </cell>
          <cell r="H6102" t="str">
            <v>Reni</v>
          </cell>
          <cell r="I6102" t="str">
            <v>Farida</v>
          </cell>
          <cell r="J6102"/>
          <cell r="K6102" t="str">
            <v>BG, KU</v>
          </cell>
          <cell r="L6102" t="str">
            <v>PELI01</v>
          </cell>
          <cell r="M6102" t="str">
            <v>Pelita Tani, CV/Budi</v>
          </cell>
          <cell r="N6102" t="str">
            <v>Pelita Tani, CV</v>
          </cell>
          <cell r="O6102" t="str">
            <v>A. Yani No. 08 RT.001/RW.001 Kel. Somoroto, Kec. Kauman</v>
          </cell>
          <cell r="P6102" t="str">
            <v>Ponorogo</v>
          </cell>
          <cell r="Q6102" t="str">
            <v>A. Yani No. 08 RT.001/RW.001 Kel. Somoroto, Kec. Kauman</v>
          </cell>
          <cell r="R6102" t="str">
            <v>Ponorogo</v>
          </cell>
          <cell r="S6102" t="str">
            <v>D Barat2</v>
          </cell>
          <cell r="T6102" t="str">
            <v>Dian</v>
          </cell>
          <cell r="U6102">
            <v>30</v>
          </cell>
        </row>
        <row r="6103">
          <cell r="E6103" t="str">
            <v>D25014782</v>
          </cell>
          <cell r="F6103"/>
          <cell r="G6103">
            <v>1300000000</v>
          </cell>
          <cell r="H6103" t="str">
            <v>Reni</v>
          </cell>
          <cell r="I6103" t="str">
            <v>Farida</v>
          </cell>
          <cell r="J6103"/>
          <cell r="K6103" t="str">
            <v>BG, KU</v>
          </cell>
          <cell r="L6103" t="str">
            <v>PELI01</v>
          </cell>
          <cell r="M6103" t="str">
            <v>Pelita Tani, CV/Budi</v>
          </cell>
          <cell r="N6103" t="str">
            <v>Pelita Tani, CV</v>
          </cell>
          <cell r="O6103" t="str">
            <v>A. Yani No. 08 RT.001/RW.001 Kel. Somoroto, Kec. Kauman</v>
          </cell>
          <cell r="P6103" t="str">
            <v>Ponorogo</v>
          </cell>
          <cell r="Q6103" t="str">
            <v>A. Yani No. 08 RT.001/RW.001 Kel. Somoroto, Kec. Kauman</v>
          </cell>
          <cell r="R6103" t="str">
            <v>Ponorogo</v>
          </cell>
          <cell r="S6103" t="str">
            <v>D Barat2</v>
          </cell>
          <cell r="T6103" t="str">
            <v>Dian</v>
          </cell>
          <cell r="U6103">
            <v>60</v>
          </cell>
        </row>
        <row r="6104">
          <cell r="E6104" t="str">
            <v>B25012523</v>
          </cell>
          <cell r="F6104"/>
          <cell r="G6104">
            <v>1300000000</v>
          </cell>
          <cell r="H6104" t="str">
            <v>Reni</v>
          </cell>
          <cell r="I6104" t="str">
            <v>Farida</v>
          </cell>
          <cell r="J6104"/>
          <cell r="K6104" t="str">
            <v>BG, KU</v>
          </cell>
          <cell r="L6104" t="str">
            <v>PELI01</v>
          </cell>
          <cell r="M6104" t="str">
            <v>Pelita Tani, CV/Budi</v>
          </cell>
          <cell r="N6104" t="str">
            <v>Pelita Tani, CV</v>
          </cell>
          <cell r="O6104" t="str">
            <v>A. Yani No. 08 RT.001/RW.001 Kel. Somoroto, Kec. Kauman</v>
          </cell>
          <cell r="P6104" t="str">
            <v>Ponorogo</v>
          </cell>
          <cell r="Q6104" t="str">
            <v>A. Yani No. 08 RT.001/RW.001 Kel. Somoroto, Kec. Kauman</v>
          </cell>
          <cell r="R6104" t="str">
            <v>Ponorogo</v>
          </cell>
          <cell r="S6104" t="str">
            <v>D Barat2</v>
          </cell>
          <cell r="T6104" t="str">
            <v>Dian</v>
          </cell>
          <cell r="U6104">
            <v>0</v>
          </cell>
        </row>
        <row r="6105">
          <cell r="E6105" t="str">
            <v>B25012523</v>
          </cell>
          <cell r="F6105"/>
          <cell r="G6105">
            <v>1300000000</v>
          </cell>
          <cell r="H6105" t="str">
            <v>Reni</v>
          </cell>
          <cell r="I6105" t="str">
            <v>Farida</v>
          </cell>
          <cell r="J6105"/>
          <cell r="K6105" t="str">
            <v>BG, KU</v>
          </cell>
          <cell r="L6105" t="str">
            <v>PELI01</v>
          </cell>
          <cell r="M6105" t="str">
            <v>Pelita Tani, CV/Budi</v>
          </cell>
          <cell r="N6105" t="str">
            <v>Pelita Tani, CV</v>
          </cell>
          <cell r="O6105" t="str">
            <v>A. Yani No. 08 RT.001/RW.001 Kel. Somoroto, Kec. Kauman</v>
          </cell>
          <cell r="P6105" t="str">
            <v>Ponorogo</v>
          </cell>
          <cell r="Q6105" t="str">
            <v>A. Yani No. 08 RT.001/RW.001 Kel. Somoroto, Kec. Kauman</v>
          </cell>
          <cell r="R6105" t="str">
            <v>Ponorogo</v>
          </cell>
          <cell r="S6105" t="str">
            <v>D Barat2</v>
          </cell>
          <cell r="T6105" t="str">
            <v>Dian</v>
          </cell>
          <cell r="U6105">
            <v>0</v>
          </cell>
        </row>
        <row r="6106">
          <cell r="E6106" t="str">
            <v>B25013492</v>
          </cell>
          <cell r="F6106"/>
          <cell r="G6106">
            <v>1300000000</v>
          </cell>
          <cell r="H6106" t="str">
            <v>Reni</v>
          </cell>
          <cell r="I6106" t="str">
            <v>Farida</v>
          </cell>
          <cell r="J6106"/>
          <cell r="K6106" t="str">
            <v>BG, KU</v>
          </cell>
          <cell r="L6106" t="str">
            <v>PELI01</v>
          </cell>
          <cell r="M6106" t="str">
            <v>Pelita Tani, CV/Budi</v>
          </cell>
          <cell r="N6106" t="str">
            <v>Pelita Tani, CV</v>
          </cell>
          <cell r="O6106" t="str">
            <v>A. Yani No. 08 RT.001/RW.001 Kel. Somoroto, Kec. Kauman</v>
          </cell>
          <cell r="P6106" t="str">
            <v>Ponorogo</v>
          </cell>
          <cell r="Q6106" t="str">
            <v>A. Yani No. 08 RT.001/RW.001 Kel. Somoroto, Kec. Kauman</v>
          </cell>
          <cell r="R6106" t="str">
            <v>Ponorogo</v>
          </cell>
          <cell r="S6106" t="str">
            <v>D Barat2</v>
          </cell>
          <cell r="T6106" t="str">
            <v>Dian</v>
          </cell>
          <cell r="U6106">
            <v>0</v>
          </cell>
        </row>
        <row r="6107">
          <cell r="E6107" t="str">
            <v>D25015742</v>
          </cell>
          <cell r="F6107"/>
          <cell r="G6107">
            <v>1300000000</v>
          </cell>
          <cell r="H6107" t="str">
            <v>Reni</v>
          </cell>
          <cell r="I6107" t="str">
            <v>Farida</v>
          </cell>
          <cell r="J6107"/>
          <cell r="K6107" t="str">
            <v>BG, KU</v>
          </cell>
          <cell r="L6107" t="str">
            <v>PELI01</v>
          </cell>
          <cell r="M6107" t="str">
            <v>Pelita Tani, CV/Budi</v>
          </cell>
          <cell r="N6107" t="str">
            <v>Pelita Tani, CV</v>
          </cell>
          <cell r="O6107" t="str">
            <v>A. Yani No. 08 RT.001/RW.001 Kel. Somoroto, Kec. Kauman</v>
          </cell>
          <cell r="P6107" t="str">
            <v>Ponorogo</v>
          </cell>
          <cell r="Q6107" t="str">
            <v>A. Yani No. 08 RT.001/RW.001 Kel. Somoroto, Kec. Kauman</v>
          </cell>
          <cell r="R6107" t="str">
            <v>Ponorogo</v>
          </cell>
          <cell r="S6107" t="str">
            <v>D Barat2</v>
          </cell>
          <cell r="T6107" t="str">
            <v>Dian</v>
          </cell>
          <cell r="U6107">
            <v>60</v>
          </cell>
        </row>
        <row r="6108">
          <cell r="E6108" t="str">
            <v>D25015743</v>
          </cell>
          <cell r="F6108"/>
          <cell r="G6108">
            <v>1300000000</v>
          </cell>
          <cell r="H6108" t="str">
            <v>Reni</v>
          </cell>
          <cell r="I6108" t="str">
            <v>Farida</v>
          </cell>
          <cell r="J6108"/>
          <cell r="K6108" t="str">
            <v>BG, KU</v>
          </cell>
          <cell r="L6108" t="str">
            <v>PELI01</v>
          </cell>
          <cell r="M6108" t="str">
            <v>Pelita Tani, CV/Budi</v>
          </cell>
          <cell r="N6108" t="str">
            <v>Pelita Tani, CV</v>
          </cell>
          <cell r="O6108" t="str">
            <v>A. Yani No. 08 RT.001/RW.001 Kel. Somoroto, Kec. Kauman</v>
          </cell>
          <cell r="P6108" t="str">
            <v>Ponorogo</v>
          </cell>
          <cell r="Q6108" t="str">
            <v>A. Yani No. 08 RT.001/RW.001 Kel. Somoroto, Kec. Kauman</v>
          </cell>
          <cell r="R6108" t="str">
            <v>Ponorogo</v>
          </cell>
          <cell r="S6108" t="str">
            <v>D Barat2</v>
          </cell>
          <cell r="T6108" t="str">
            <v>Dian</v>
          </cell>
          <cell r="U6108">
            <v>60</v>
          </cell>
        </row>
        <row r="6109">
          <cell r="E6109" t="str">
            <v>D25015877</v>
          </cell>
          <cell r="F6109"/>
          <cell r="G6109">
            <v>1300000000</v>
          </cell>
          <cell r="H6109" t="str">
            <v>Reni</v>
          </cell>
          <cell r="I6109" t="str">
            <v>Farida</v>
          </cell>
          <cell r="J6109"/>
          <cell r="K6109" t="str">
            <v>BG, KU</v>
          </cell>
          <cell r="L6109" t="str">
            <v>PELI01</v>
          </cell>
          <cell r="M6109" t="str">
            <v>Pelita Tani, CV/Budi</v>
          </cell>
          <cell r="N6109" t="str">
            <v>Pelita Tani, CV</v>
          </cell>
          <cell r="O6109" t="str">
            <v>A. Yani No. 08 RT.001/RW.001 Kel. Somoroto, Kec. Kauman</v>
          </cell>
          <cell r="P6109" t="str">
            <v>Ponorogo</v>
          </cell>
          <cell r="Q6109" t="str">
            <v>A. Yani No. 08 RT.001/RW.001 Kel. Somoroto, Kec. Kauman</v>
          </cell>
          <cell r="R6109" t="str">
            <v>Ponorogo</v>
          </cell>
          <cell r="S6109" t="str">
            <v>D Barat2</v>
          </cell>
          <cell r="T6109" t="str">
            <v>Dian</v>
          </cell>
          <cell r="U6109">
            <v>0</v>
          </cell>
        </row>
        <row r="6110">
          <cell r="E6110" t="str">
            <v>B25013725</v>
          </cell>
          <cell r="F6110"/>
          <cell r="G6110">
            <v>1300000000</v>
          </cell>
          <cell r="H6110" t="str">
            <v>Reni</v>
          </cell>
          <cell r="I6110" t="str">
            <v>Farida</v>
          </cell>
          <cell r="J6110"/>
          <cell r="K6110" t="str">
            <v>BG, KU</v>
          </cell>
          <cell r="L6110" t="str">
            <v>PELI01</v>
          </cell>
          <cell r="M6110" t="str">
            <v>Pelita Tani, CV/Budi</v>
          </cell>
          <cell r="N6110" t="str">
            <v>Pelita Tani, CV</v>
          </cell>
          <cell r="O6110" t="str">
            <v>A. Yani No. 08 RT.001/RW.001 Kel. Somoroto, Kec. Kauman</v>
          </cell>
          <cell r="P6110" t="str">
            <v>Ponorogo</v>
          </cell>
          <cell r="Q6110" t="str">
            <v>A. Yani No. 08 RT.001/RW.001 Kel. Somoroto, Kec. Kauman</v>
          </cell>
          <cell r="R6110" t="str">
            <v>Ponorogo</v>
          </cell>
          <cell r="S6110" t="str">
            <v>D Barat2</v>
          </cell>
          <cell r="T6110" t="str">
            <v>Dian</v>
          </cell>
          <cell r="U6110">
            <v>0</v>
          </cell>
        </row>
        <row r="6111">
          <cell r="E6111" t="str">
            <v>B25013748</v>
          </cell>
          <cell r="F6111"/>
          <cell r="G6111">
            <v>1300000000</v>
          </cell>
          <cell r="H6111" t="str">
            <v>Reni</v>
          </cell>
          <cell r="I6111" t="str">
            <v>Farida</v>
          </cell>
          <cell r="J6111"/>
          <cell r="K6111" t="str">
            <v>BG, KU</v>
          </cell>
          <cell r="L6111" t="str">
            <v>PELI01</v>
          </cell>
          <cell r="M6111" t="str">
            <v>Pelita Tani, CV/Budi</v>
          </cell>
          <cell r="N6111" t="str">
            <v>Pelita Tani, CV</v>
          </cell>
          <cell r="O6111" t="str">
            <v>A. Yani No. 08 RT.001/RW.001 Kel. Somoroto, Kec. Kauman</v>
          </cell>
          <cell r="P6111" t="str">
            <v>Ponorogo</v>
          </cell>
          <cell r="Q6111" t="str">
            <v>A. Yani No. 08 RT.001/RW.001 Kel. Somoroto, Kec. Kauman</v>
          </cell>
          <cell r="R6111" t="str">
            <v>Ponorogo</v>
          </cell>
          <cell r="S6111" t="str">
            <v>D Barat2</v>
          </cell>
          <cell r="T6111" t="str">
            <v>Dian</v>
          </cell>
          <cell r="U6111">
            <v>30</v>
          </cell>
        </row>
        <row r="6112">
          <cell r="E6112" t="str">
            <v>B25013987</v>
          </cell>
          <cell r="F6112"/>
          <cell r="G6112">
            <v>1300000000</v>
          </cell>
          <cell r="H6112" t="str">
            <v>Reni</v>
          </cell>
          <cell r="I6112" t="str">
            <v>Farida</v>
          </cell>
          <cell r="J6112"/>
          <cell r="K6112" t="str">
            <v>BG, KU</v>
          </cell>
          <cell r="L6112" t="str">
            <v>PELI01</v>
          </cell>
          <cell r="M6112" t="str">
            <v>Pelita Tani, CV/Budi</v>
          </cell>
          <cell r="N6112" t="str">
            <v>Pelita Tani, CV</v>
          </cell>
          <cell r="O6112" t="str">
            <v>A. Yani No. 08 RT.001/RW.001 Kel. Somoroto, Kec. Kauman</v>
          </cell>
          <cell r="P6112" t="str">
            <v>Ponorogo</v>
          </cell>
          <cell r="Q6112" t="str">
            <v>A. Yani No. 08 RT.001/RW.001 Kel. Somoroto, Kec. Kauman</v>
          </cell>
          <cell r="R6112" t="str">
            <v>Ponorogo</v>
          </cell>
          <cell r="S6112" t="str">
            <v>D Barat2</v>
          </cell>
          <cell r="T6112" t="str">
            <v>Dian</v>
          </cell>
          <cell r="U6112">
            <v>30</v>
          </cell>
        </row>
        <row r="6113">
          <cell r="E6113" t="str">
            <v>B25008928</v>
          </cell>
          <cell r="F6113"/>
          <cell r="G6113">
            <v>3500000000</v>
          </cell>
          <cell r="H6113" t="str">
            <v>Zakia</v>
          </cell>
          <cell r="I6113" t="str">
            <v>Tiya</v>
          </cell>
          <cell r="J6113" t="str">
            <v>New 13/02/21</v>
          </cell>
          <cell r="K6113" t="str">
            <v>BG, KU</v>
          </cell>
          <cell r="L6113" t="str">
            <v>PEMU01</v>
          </cell>
          <cell r="M6113" t="str">
            <v>Pemuda Tani/Abdullah</v>
          </cell>
          <cell r="N6113" t="str">
            <v>Abdullah</v>
          </cell>
          <cell r="O6113" t="str">
            <v>JL. Lumbang, Dsn. Krajan RT.010/RW.003, Kel. Sumberkare, Kec. Wonomerto</v>
          </cell>
          <cell r="P6113" t="str">
            <v>Probolinggo</v>
          </cell>
          <cell r="Q6113" t="str">
            <v>JL. Lumbang, Dsn. Krajan RT.010/RW.003, Kel. Sumberkare, Kec. Wonomerto</v>
          </cell>
          <cell r="R6113" t="str">
            <v>Probolinggo</v>
          </cell>
          <cell r="S6113" t="str">
            <v>G Prob2</v>
          </cell>
          <cell r="T6113" t="str">
            <v>Wira</v>
          </cell>
          <cell r="U6113">
            <v>30</v>
          </cell>
        </row>
        <row r="6114">
          <cell r="E6114" t="str">
            <v>B25009172</v>
          </cell>
          <cell r="F6114"/>
          <cell r="G6114">
            <v>3500000000</v>
          </cell>
          <cell r="H6114" t="str">
            <v>Zakia</v>
          </cell>
          <cell r="I6114" t="str">
            <v>Tiya</v>
          </cell>
          <cell r="J6114" t="str">
            <v>New 13/02/21</v>
          </cell>
          <cell r="K6114" t="str">
            <v>BG, KU</v>
          </cell>
          <cell r="L6114" t="str">
            <v>PEMU01</v>
          </cell>
          <cell r="M6114" t="str">
            <v>Pemuda Tani/Abdullah</v>
          </cell>
          <cell r="N6114" t="str">
            <v>Abdullah</v>
          </cell>
          <cell r="O6114" t="str">
            <v>JL. Lumbang, Dsn. Krajan RT.010/RW.003, Kel. Sumberkare, Kec. Wonomerto</v>
          </cell>
          <cell r="P6114" t="str">
            <v>Probolinggo</v>
          </cell>
          <cell r="Q6114" t="str">
            <v>JL. Lumbang, Dsn. Krajan RT.010/RW.003, Kel. Sumberkare, Kec. Wonomerto</v>
          </cell>
          <cell r="R6114" t="str">
            <v>Probolinggo</v>
          </cell>
          <cell r="S6114" t="str">
            <v>G Prob2</v>
          </cell>
          <cell r="T6114" t="str">
            <v>Wira</v>
          </cell>
          <cell r="U6114">
            <v>30</v>
          </cell>
        </row>
        <row r="6115">
          <cell r="E6115" t="str">
            <v>B25009409</v>
          </cell>
          <cell r="F6115"/>
          <cell r="G6115">
            <v>3500000000</v>
          </cell>
          <cell r="H6115" t="str">
            <v>Zakia</v>
          </cell>
          <cell r="I6115" t="str">
            <v>Tiya</v>
          </cell>
          <cell r="J6115" t="str">
            <v>New 13/02/21</v>
          </cell>
          <cell r="K6115" t="str">
            <v>BG, KU</v>
          </cell>
          <cell r="L6115" t="str">
            <v>PEMU01</v>
          </cell>
          <cell r="M6115" t="str">
            <v>Pemuda Tani/Abdullah</v>
          </cell>
          <cell r="N6115" t="str">
            <v>Abdullah</v>
          </cell>
          <cell r="O6115" t="str">
            <v>JL. Lumbang, Dsn. Krajan RT.010/RW.003, Kel. Sumberkare, Kec. Wonomerto</v>
          </cell>
          <cell r="P6115" t="str">
            <v>Probolinggo</v>
          </cell>
          <cell r="Q6115" t="str">
            <v>JL. Lumbang, Dsn. Krajan RT.010/RW.003, Kel. Sumberkare, Kec. Wonomerto</v>
          </cell>
          <cell r="R6115" t="str">
            <v>Probolinggo</v>
          </cell>
          <cell r="S6115" t="str">
            <v>G Prob2</v>
          </cell>
          <cell r="T6115" t="str">
            <v>Wira</v>
          </cell>
          <cell r="U6115">
            <v>30</v>
          </cell>
        </row>
        <row r="6116">
          <cell r="E6116" t="str">
            <v>B25009410</v>
          </cell>
          <cell r="F6116"/>
          <cell r="G6116">
            <v>3500000000</v>
          </cell>
          <cell r="H6116" t="str">
            <v>Zakia</v>
          </cell>
          <cell r="I6116" t="str">
            <v>Tiya</v>
          </cell>
          <cell r="J6116" t="str">
            <v>New 13/02/21</v>
          </cell>
          <cell r="K6116" t="str">
            <v>BG, KU</v>
          </cell>
          <cell r="L6116" t="str">
            <v>PEMU01</v>
          </cell>
          <cell r="M6116" t="str">
            <v>Pemuda Tani/Abdullah</v>
          </cell>
          <cell r="N6116" t="str">
            <v>Abdullah</v>
          </cell>
          <cell r="O6116" t="str">
            <v>JL. Lumbang, Dsn. Krajan RT.010/RW.003, Kel. Sumberkare, Kec. Wonomerto</v>
          </cell>
          <cell r="P6116" t="str">
            <v>Probolinggo</v>
          </cell>
          <cell r="Q6116" t="str">
            <v>JL. Lumbang, Dsn. Krajan RT.010/RW.003, Kel. Sumberkare, Kec. Wonomerto</v>
          </cell>
          <cell r="R6116" t="str">
            <v>Probolinggo</v>
          </cell>
          <cell r="S6116" t="str">
            <v>G Prob2</v>
          </cell>
          <cell r="T6116" t="str">
            <v>Wira</v>
          </cell>
          <cell r="U6116">
            <v>60</v>
          </cell>
        </row>
        <row r="6117">
          <cell r="E6117" t="str">
            <v>D25011300</v>
          </cell>
          <cell r="F6117"/>
          <cell r="G6117">
            <v>3500000000</v>
          </cell>
          <cell r="H6117" t="str">
            <v>Zakia</v>
          </cell>
          <cell r="I6117" t="str">
            <v>Tiya</v>
          </cell>
          <cell r="J6117" t="str">
            <v>New 13/02/21</v>
          </cell>
          <cell r="K6117" t="str">
            <v>BG, KU</v>
          </cell>
          <cell r="L6117" t="str">
            <v>PEMU01</v>
          </cell>
          <cell r="M6117" t="str">
            <v>Pemuda Tani/Abdullah</v>
          </cell>
          <cell r="N6117" t="str">
            <v>Abdullah</v>
          </cell>
          <cell r="O6117" t="str">
            <v>JL. Lumbang, Dsn. Krajan RT.010/RW.003, Kel. Sumberkare, Kec. Wonomerto</v>
          </cell>
          <cell r="P6117" t="str">
            <v>Probolinggo</v>
          </cell>
          <cell r="Q6117" t="str">
            <v>JL. Lumbang, Dsn. Krajan RT.010/RW.003, Kel. Sumberkare, Kec. Wonomerto</v>
          </cell>
          <cell r="R6117" t="str">
            <v>Probolinggo</v>
          </cell>
          <cell r="S6117" t="str">
            <v>G Prob2</v>
          </cell>
          <cell r="T6117" t="str">
            <v>Wira</v>
          </cell>
          <cell r="U6117">
            <v>30</v>
          </cell>
        </row>
        <row r="6118">
          <cell r="E6118" t="str">
            <v>D25011300</v>
          </cell>
          <cell r="F6118"/>
          <cell r="G6118">
            <v>3500000000</v>
          </cell>
          <cell r="H6118" t="str">
            <v>Zakia</v>
          </cell>
          <cell r="I6118" t="str">
            <v>Tiya</v>
          </cell>
          <cell r="J6118" t="str">
            <v>New 13/02/21</v>
          </cell>
          <cell r="K6118" t="str">
            <v>BG, KU</v>
          </cell>
          <cell r="L6118" t="str">
            <v>PEMU01</v>
          </cell>
          <cell r="M6118" t="str">
            <v>Pemuda Tani/Abdullah</v>
          </cell>
          <cell r="N6118" t="str">
            <v>Abdullah</v>
          </cell>
          <cell r="O6118" t="str">
            <v>JL. Lumbang, Dsn. Krajan RT.010/RW.003, Kel. Sumberkare, Kec. Wonomerto</v>
          </cell>
          <cell r="P6118" t="str">
            <v>Probolinggo</v>
          </cell>
          <cell r="Q6118" t="str">
            <v>JL. Lumbang, Dsn. Krajan RT.010/RW.003, Kel. Sumberkare, Kec. Wonomerto</v>
          </cell>
          <cell r="R6118" t="str">
            <v>Probolinggo</v>
          </cell>
          <cell r="S6118" t="str">
            <v>G Prob2</v>
          </cell>
          <cell r="T6118" t="str">
            <v>Wira</v>
          </cell>
          <cell r="U6118">
            <v>30</v>
          </cell>
        </row>
        <row r="6119">
          <cell r="E6119" t="str">
            <v>D25011531</v>
          </cell>
          <cell r="F6119"/>
          <cell r="G6119">
            <v>3500000000</v>
          </cell>
          <cell r="H6119" t="str">
            <v>Zakia</v>
          </cell>
          <cell r="I6119" t="str">
            <v>Tiya</v>
          </cell>
          <cell r="J6119" t="str">
            <v>New 13/02/21</v>
          </cell>
          <cell r="K6119" t="str">
            <v>BG, KU</v>
          </cell>
          <cell r="L6119" t="str">
            <v>PEMU01</v>
          </cell>
          <cell r="M6119" t="str">
            <v>Pemuda Tani/Abdullah</v>
          </cell>
          <cell r="N6119" t="str">
            <v>Abdullah</v>
          </cell>
          <cell r="O6119" t="str">
            <v>JL. Lumbang, Dsn. Krajan RT.010/RW.003, Kel. Sumberkare, Kec. Wonomerto</v>
          </cell>
          <cell r="P6119" t="str">
            <v>Probolinggo</v>
          </cell>
          <cell r="Q6119" t="str">
            <v>JL. Lumbang, Dsn. Krajan RT.010/RW.003, Kel. Sumberkare, Kec. Wonomerto</v>
          </cell>
          <cell r="R6119" t="str">
            <v>Probolinggo</v>
          </cell>
          <cell r="S6119" t="str">
            <v>G Prob2</v>
          </cell>
          <cell r="T6119" t="str">
            <v>Wira</v>
          </cell>
          <cell r="U6119">
            <v>30</v>
          </cell>
        </row>
        <row r="6120">
          <cell r="E6120" t="str">
            <v>D25011770</v>
          </cell>
          <cell r="F6120"/>
          <cell r="G6120">
            <v>3500000000</v>
          </cell>
          <cell r="H6120" t="str">
            <v>Zakia</v>
          </cell>
          <cell r="I6120" t="str">
            <v>Tiya</v>
          </cell>
          <cell r="J6120" t="str">
            <v>New 13/02/21</v>
          </cell>
          <cell r="K6120" t="str">
            <v>BG, KU</v>
          </cell>
          <cell r="L6120" t="str">
            <v>PEMU01</v>
          </cell>
          <cell r="M6120" t="str">
            <v>Pemuda Tani/Abdullah</v>
          </cell>
          <cell r="N6120" t="str">
            <v>Abdullah</v>
          </cell>
          <cell r="O6120" t="str">
            <v>JL. Lumbang, Dsn. Krajan RT.010/RW.003, Kel. Sumberkare, Kec. Wonomerto</v>
          </cell>
          <cell r="P6120" t="str">
            <v>Probolinggo</v>
          </cell>
          <cell r="Q6120" t="str">
            <v>JL. Lumbang, Dsn. Krajan RT.010/RW.003, Kel. Sumberkare, Kec. Wonomerto</v>
          </cell>
          <cell r="R6120" t="str">
            <v>Probolinggo</v>
          </cell>
          <cell r="S6120" t="str">
            <v>G Prob2</v>
          </cell>
          <cell r="T6120" t="str">
            <v>Wira</v>
          </cell>
          <cell r="U6120">
            <v>30</v>
          </cell>
        </row>
        <row r="6121">
          <cell r="E6121" t="str">
            <v>D25011770</v>
          </cell>
          <cell r="F6121"/>
          <cell r="G6121">
            <v>3500000000</v>
          </cell>
          <cell r="H6121" t="str">
            <v>Zakia</v>
          </cell>
          <cell r="I6121" t="str">
            <v>Tiya</v>
          </cell>
          <cell r="J6121" t="str">
            <v>New 13/02/21</v>
          </cell>
          <cell r="K6121" t="str">
            <v>BG, KU</v>
          </cell>
          <cell r="L6121" t="str">
            <v>PEMU01</v>
          </cell>
          <cell r="M6121" t="str">
            <v>Pemuda Tani/Abdullah</v>
          </cell>
          <cell r="N6121" t="str">
            <v>Abdullah</v>
          </cell>
          <cell r="O6121" t="str">
            <v>JL. Lumbang, Dsn. Krajan RT.010/RW.003, Kel. Sumberkare, Kec. Wonomerto</v>
          </cell>
          <cell r="P6121" t="str">
            <v>Probolinggo</v>
          </cell>
          <cell r="Q6121" t="str">
            <v>JL. Lumbang, Dsn. Krajan RT.010/RW.003, Kel. Sumberkare, Kec. Wonomerto</v>
          </cell>
          <cell r="R6121" t="str">
            <v>Probolinggo</v>
          </cell>
          <cell r="S6121" t="str">
            <v>G Prob2</v>
          </cell>
          <cell r="T6121" t="str">
            <v>Wira</v>
          </cell>
          <cell r="U6121">
            <v>30</v>
          </cell>
        </row>
        <row r="6122">
          <cell r="E6122" t="str">
            <v>D25011861</v>
          </cell>
          <cell r="F6122"/>
          <cell r="G6122">
            <v>3500000000</v>
          </cell>
          <cell r="H6122" t="str">
            <v>Zakia</v>
          </cell>
          <cell r="I6122" t="str">
            <v>Tiya</v>
          </cell>
          <cell r="J6122" t="str">
            <v>New 13/02/21</v>
          </cell>
          <cell r="K6122" t="str">
            <v>BG, KU</v>
          </cell>
          <cell r="L6122" t="str">
            <v>PEMU01</v>
          </cell>
          <cell r="M6122" t="str">
            <v>Pemuda Tani/Abdullah</v>
          </cell>
          <cell r="N6122" t="str">
            <v>Abdullah</v>
          </cell>
          <cell r="O6122" t="str">
            <v>JL. Lumbang, Dsn. Krajan RT.010/RW.003, Kel. Sumberkare, Kec. Wonomerto</v>
          </cell>
          <cell r="P6122" t="str">
            <v>Probolinggo</v>
          </cell>
          <cell r="Q6122" t="str">
            <v>JL. Lumbang, Dsn. Krajan RT.010/RW.003, Kel. Sumberkare, Kec. Wonomerto</v>
          </cell>
          <cell r="R6122" t="str">
            <v>Probolinggo</v>
          </cell>
          <cell r="S6122" t="str">
            <v>G Prob2</v>
          </cell>
          <cell r="T6122" t="str">
            <v>Wira</v>
          </cell>
          <cell r="U6122">
            <v>30</v>
          </cell>
        </row>
        <row r="6123">
          <cell r="E6123" t="str">
            <v>D25011994</v>
          </cell>
          <cell r="F6123"/>
          <cell r="G6123">
            <v>3500000000</v>
          </cell>
          <cell r="H6123" t="str">
            <v>Zakia</v>
          </cell>
          <cell r="I6123" t="str">
            <v>Tiya</v>
          </cell>
          <cell r="J6123" t="str">
            <v>New 13/02/21</v>
          </cell>
          <cell r="K6123" t="str">
            <v>BG, KU</v>
          </cell>
          <cell r="L6123" t="str">
            <v>PEMU01</v>
          </cell>
          <cell r="M6123" t="str">
            <v>Pemuda Tani/Abdullah</v>
          </cell>
          <cell r="N6123" t="str">
            <v>Abdullah</v>
          </cell>
          <cell r="O6123" t="str">
            <v>JL. Lumbang, Dsn. Krajan RT.010/RW.003, Kel. Sumberkare, Kec. Wonomerto</v>
          </cell>
          <cell r="P6123" t="str">
            <v>Probolinggo</v>
          </cell>
          <cell r="Q6123" t="str">
            <v>JL. Lumbang, Dsn. Krajan RT.010/RW.003, Kel. Sumberkare, Kec. Wonomerto</v>
          </cell>
          <cell r="R6123" t="str">
            <v>Probolinggo</v>
          </cell>
          <cell r="S6123" t="str">
            <v>G Prob2</v>
          </cell>
          <cell r="T6123" t="str">
            <v>Wira</v>
          </cell>
          <cell r="U6123">
            <v>30</v>
          </cell>
        </row>
        <row r="6124">
          <cell r="E6124" t="str">
            <v>D25012273</v>
          </cell>
          <cell r="F6124"/>
          <cell r="G6124">
            <v>3500000000</v>
          </cell>
          <cell r="H6124" t="str">
            <v>Zakia</v>
          </cell>
          <cell r="I6124" t="str">
            <v>Tiya</v>
          </cell>
          <cell r="J6124" t="str">
            <v>New 13/02/21</v>
          </cell>
          <cell r="K6124" t="str">
            <v>BG, KU</v>
          </cell>
          <cell r="L6124" t="str">
            <v>PEMU01</v>
          </cell>
          <cell r="M6124" t="str">
            <v>Pemuda Tani/Abdullah</v>
          </cell>
          <cell r="N6124" t="str">
            <v>Abdullah</v>
          </cell>
          <cell r="O6124" t="str">
            <v>JL. Lumbang, Dsn. Krajan RT.010/RW.003, Kel. Sumberkare, Kec. Wonomerto</v>
          </cell>
          <cell r="P6124" t="str">
            <v>Probolinggo</v>
          </cell>
          <cell r="Q6124" t="str">
            <v>JL. Lumbang, Dsn. Krajan RT.010/RW.003, Kel. Sumberkare, Kec. Wonomerto</v>
          </cell>
          <cell r="R6124" t="str">
            <v>Probolinggo</v>
          </cell>
          <cell r="S6124" t="str">
            <v>G Prob2</v>
          </cell>
          <cell r="T6124" t="str">
            <v>Wira</v>
          </cell>
          <cell r="U6124">
            <v>30</v>
          </cell>
        </row>
        <row r="6125">
          <cell r="E6125" t="str">
            <v>B25010804</v>
          </cell>
          <cell r="F6125"/>
          <cell r="G6125">
            <v>3500000000</v>
          </cell>
          <cell r="H6125" t="str">
            <v>Zakia</v>
          </cell>
          <cell r="I6125" t="str">
            <v>Tiya</v>
          </cell>
          <cell r="J6125" t="str">
            <v>New 13/02/21</v>
          </cell>
          <cell r="K6125" t="str">
            <v>BG, KU</v>
          </cell>
          <cell r="L6125" t="str">
            <v>PEMU01</v>
          </cell>
          <cell r="M6125" t="str">
            <v>Pemuda Tani/Abdullah</v>
          </cell>
          <cell r="N6125" t="str">
            <v>Abdullah</v>
          </cell>
          <cell r="O6125" t="str">
            <v>JL. Lumbang, Dsn. Krajan RT.010/RW.003, Kel. Sumberkare, Kec. Wonomerto</v>
          </cell>
          <cell r="P6125" t="str">
            <v>Probolinggo</v>
          </cell>
          <cell r="Q6125" t="str">
            <v>JL. Lumbang, Dsn. Krajan RT.010/RW.003, Kel. Sumberkare, Kec. Wonomerto</v>
          </cell>
          <cell r="R6125" t="str">
            <v>Probolinggo</v>
          </cell>
          <cell r="S6125" t="str">
            <v>G Prob2</v>
          </cell>
          <cell r="T6125" t="str">
            <v>Wira</v>
          </cell>
          <cell r="U6125">
            <v>30</v>
          </cell>
        </row>
        <row r="6126">
          <cell r="E6126" t="str">
            <v>D25013126</v>
          </cell>
          <cell r="F6126"/>
          <cell r="G6126">
            <v>3500000000</v>
          </cell>
          <cell r="H6126" t="str">
            <v>Zakia</v>
          </cell>
          <cell r="I6126" t="str">
            <v>Tiya</v>
          </cell>
          <cell r="J6126" t="str">
            <v>New 13/02/21</v>
          </cell>
          <cell r="K6126" t="str">
            <v>BG, KU</v>
          </cell>
          <cell r="L6126" t="str">
            <v>PEMU01</v>
          </cell>
          <cell r="M6126" t="str">
            <v>Pemuda Tani/Abdullah</v>
          </cell>
          <cell r="N6126" t="str">
            <v>Abdullah</v>
          </cell>
          <cell r="O6126" t="str">
            <v>JL. Lumbang, Dsn. Krajan RT.010/RW.003, Kel. Sumberkare, Kec. Wonomerto</v>
          </cell>
          <cell r="P6126" t="str">
            <v>Probolinggo</v>
          </cell>
          <cell r="Q6126" t="str">
            <v>JL. Lumbang, Dsn. Krajan RT.010/RW.003, Kel. Sumberkare, Kec. Wonomerto</v>
          </cell>
          <cell r="R6126" t="str">
            <v>Probolinggo</v>
          </cell>
          <cell r="S6126" t="str">
            <v>G Prob2</v>
          </cell>
          <cell r="T6126" t="str">
            <v>Wira</v>
          </cell>
          <cell r="U6126">
            <v>30</v>
          </cell>
        </row>
        <row r="6127">
          <cell r="E6127" t="str">
            <v>B25011468</v>
          </cell>
          <cell r="F6127"/>
          <cell r="G6127">
            <v>3500000000</v>
          </cell>
          <cell r="H6127" t="str">
            <v>Zakia</v>
          </cell>
          <cell r="I6127" t="str">
            <v>Tiya</v>
          </cell>
          <cell r="J6127" t="str">
            <v>New 13/02/21</v>
          </cell>
          <cell r="K6127" t="str">
            <v>BG, KU</v>
          </cell>
          <cell r="L6127" t="str">
            <v>PEMU01</v>
          </cell>
          <cell r="M6127" t="str">
            <v>Pemuda Tani/Abdullah</v>
          </cell>
          <cell r="N6127" t="str">
            <v>Abdullah</v>
          </cell>
          <cell r="O6127" t="str">
            <v>JL. Lumbang, Dsn. Krajan RT.010/RW.003, Kel. Sumberkare, Kec. Wonomerto</v>
          </cell>
          <cell r="P6127" t="str">
            <v>Probolinggo</v>
          </cell>
          <cell r="Q6127" t="str">
            <v>JL. Lumbang, Dsn. Krajan RT.010/RW.003, Kel. Sumberkare, Kec. Wonomerto</v>
          </cell>
          <cell r="R6127" t="str">
            <v>Probolinggo</v>
          </cell>
          <cell r="S6127" t="str">
            <v>G Prob2</v>
          </cell>
          <cell r="T6127" t="str">
            <v>Wira</v>
          </cell>
          <cell r="U6127">
            <v>30</v>
          </cell>
        </row>
        <row r="6128">
          <cell r="E6128" t="str">
            <v>D25013918</v>
          </cell>
          <cell r="F6128"/>
          <cell r="G6128">
            <v>3500000000</v>
          </cell>
          <cell r="H6128" t="str">
            <v>Zakia</v>
          </cell>
          <cell r="I6128" t="str">
            <v>Tiya</v>
          </cell>
          <cell r="J6128" t="str">
            <v>New 13/02/21</v>
          </cell>
          <cell r="K6128" t="str">
            <v>BG, KU</v>
          </cell>
          <cell r="L6128" t="str">
            <v>PEMU01</v>
          </cell>
          <cell r="M6128" t="str">
            <v>Pemuda Tani/Abdullah</v>
          </cell>
          <cell r="N6128" t="str">
            <v>Abdullah</v>
          </cell>
          <cell r="O6128" t="str">
            <v>JL. Lumbang, Dsn. Krajan RT.010/RW.003, Kel. Sumberkare, Kec. Wonomerto</v>
          </cell>
          <cell r="P6128" t="str">
            <v>Probolinggo</v>
          </cell>
          <cell r="Q6128" t="str">
            <v>JL. Lumbang, Dsn. Krajan RT.010/RW.003, Kel. Sumberkare, Kec. Wonomerto</v>
          </cell>
          <cell r="R6128" t="str">
            <v>Probolinggo</v>
          </cell>
          <cell r="S6128" t="str">
            <v>G Prob2</v>
          </cell>
          <cell r="T6128" t="str">
            <v>Wira</v>
          </cell>
          <cell r="U6128">
            <v>60</v>
          </cell>
        </row>
        <row r="6129">
          <cell r="E6129" t="str">
            <v>D25014054</v>
          </cell>
          <cell r="F6129"/>
          <cell r="G6129">
            <v>3500000000</v>
          </cell>
          <cell r="H6129" t="str">
            <v>Zakia</v>
          </cell>
          <cell r="I6129" t="str">
            <v>Tiya</v>
          </cell>
          <cell r="J6129" t="str">
            <v>New 13/02/21</v>
          </cell>
          <cell r="K6129" t="str">
            <v>BG, KU</v>
          </cell>
          <cell r="L6129" t="str">
            <v>PEMU01</v>
          </cell>
          <cell r="M6129" t="str">
            <v>Pemuda Tani/Abdullah</v>
          </cell>
          <cell r="N6129" t="str">
            <v>Abdullah</v>
          </cell>
          <cell r="O6129" t="str">
            <v>JL. Lumbang, Dsn. Krajan RT.010/RW.003, Kel. Sumberkare, Kec. Wonomerto</v>
          </cell>
          <cell r="P6129" t="str">
            <v>Probolinggo</v>
          </cell>
          <cell r="Q6129" t="str">
            <v>JL. Lumbang, Dsn. Krajan RT.010/RW.003, Kel. Sumberkare, Kec. Wonomerto</v>
          </cell>
          <cell r="R6129" t="str">
            <v>Probolinggo</v>
          </cell>
          <cell r="S6129" t="str">
            <v>G Prob2</v>
          </cell>
          <cell r="T6129" t="str">
            <v>Wira</v>
          </cell>
          <cell r="U6129">
            <v>0</v>
          </cell>
        </row>
        <row r="6130">
          <cell r="E6130" t="str">
            <v>D25014054</v>
          </cell>
          <cell r="F6130"/>
          <cell r="G6130">
            <v>3500000000</v>
          </cell>
          <cell r="H6130" t="str">
            <v>Zakia</v>
          </cell>
          <cell r="I6130" t="str">
            <v>Tiya</v>
          </cell>
          <cell r="J6130" t="str">
            <v>New 13/02/21</v>
          </cell>
          <cell r="K6130" t="str">
            <v>BG, KU</v>
          </cell>
          <cell r="L6130" t="str">
            <v>PEMU01</v>
          </cell>
          <cell r="M6130" t="str">
            <v>Pemuda Tani/Abdullah</v>
          </cell>
          <cell r="N6130" t="str">
            <v>Abdullah</v>
          </cell>
          <cell r="O6130" t="str">
            <v>JL. Lumbang, Dsn. Krajan RT.010/RW.003, Kel. Sumberkare, Kec. Wonomerto</v>
          </cell>
          <cell r="P6130" t="str">
            <v>Probolinggo</v>
          </cell>
          <cell r="Q6130" t="str">
            <v>JL. Lumbang, Dsn. Krajan RT.010/RW.003, Kel. Sumberkare, Kec. Wonomerto</v>
          </cell>
          <cell r="R6130" t="str">
            <v>Probolinggo</v>
          </cell>
          <cell r="S6130" t="str">
            <v>G Prob2</v>
          </cell>
          <cell r="T6130" t="str">
            <v>Wira</v>
          </cell>
          <cell r="U6130">
            <v>0</v>
          </cell>
        </row>
        <row r="6131">
          <cell r="E6131" t="str">
            <v>D25014080</v>
          </cell>
          <cell r="F6131"/>
          <cell r="G6131">
            <v>3500000000</v>
          </cell>
          <cell r="H6131" t="str">
            <v>Zakia</v>
          </cell>
          <cell r="I6131" t="str">
            <v>Tiya</v>
          </cell>
          <cell r="J6131" t="str">
            <v>New 13/02/21</v>
          </cell>
          <cell r="K6131" t="str">
            <v>BG, KU</v>
          </cell>
          <cell r="L6131" t="str">
            <v>PEMU01</v>
          </cell>
          <cell r="M6131" t="str">
            <v>Pemuda Tani/Abdullah</v>
          </cell>
          <cell r="N6131" t="str">
            <v>Abdullah</v>
          </cell>
          <cell r="O6131" t="str">
            <v>JL. Lumbang, Dsn. Krajan RT.010/RW.003, Kel. Sumberkare, Kec. Wonomerto</v>
          </cell>
          <cell r="P6131" t="str">
            <v>Probolinggo</v>
          </cell>
          <cell r="Q6131" t="str">
            <v>JL. Lumbang, Dsn. Krajan RT.010/RW.003, Kel. Sumberkare, Kec. Wonomerto</v>
          </cell>
          <cell r="R6131" t="str">
            <v>Probolinggo</v>
          </cell>
          <cell r="S6131" t="str">
            <v>G Prob2</v>
          </cell>
          <cell r="T6131" t="str">
            <v>Wira</v>
          </cell>
          <cell r="U6131">
            <v>30</v>
          </cell>
        </row>
        <row r="6132">
          <cell r="E6132" t="str">
            <v>D25014086</v>
          </cell>
          <cell r="F6132"/>
          <cell r="G6132">
            <v>3500000000</v>
          </cell>
          <cell r="H6132" t="str">
            <v>Zakia</v>
          </cell>
          <cell r="I6132" t="str">
            <v>Tiya</v>
          </cell>
          <cell r="J6132" t="str">
            <v>New 13/02/21</v>
          </cell>
          <cell r="K6132" t="str">
            <v>BG, KU</v>
          </cell>
          <cell r="L6132" t="str">
            <v>PEMU01</v>
          </cell>
          <cell r="M6132" t="str">
            <v>Pemuda Tani/Abdullah</v>
          </cell>
          <cell r="N6132" t="str">
            <v>Abdullah</v>
          </cell>
          <cell r="O6132" t="str">
            <v>JL. Lumbang, Dsn. Krajan RT.010/RW.003, Kel. Sumberkare, Kec. Wonomerto</v>
          </cell>
          <cell r="P6132" t="str">
            <v>Probolinggo</v>
          </cell>
          <cell r="Q6132" t="str">
            <v>JL. Lumbang, Dsn. Krajan RT.010/RW.003, Kel. Sumberkare, Kec. Wonomerto</v>
          </cell>
          <cell r="R6132" t="str">
            <v>Probolinggo</v>
          </cell>
          <cell r="S6132" t="str">
            <v>G Prob2</v>
          </cell>
          <cell r="T6132" t="str">
            <v>Wira</v>
          </cell>
          <cell r="U6132">
            <v>30</v>
          </cell>
        </row>
        <row r="6133">
          <cell r="E6133" t="str">
            <v>D25014339</v>
          </cell>
          <cell r="F6133"/>
          <cell r="G6133">
            <v>3500000000</v>
          </cell>
          <cell r="H6133" t="str">
            <v>Zakia</v>
          </cell>
          <cell r="I6133" t="str">
            <v>Tiya</v>
          </cell>
          <cell r="J6133" t="str">
            <v>New 13/02/21</v>
          </cell>
          <cell r="K6133" t="str">
            <v>BG, KU</v>
          </cell>
          <cell r="L6133" t="str">
            <v>PEMU01</v>
          </cell>
          <cell r="M6133" t="str">
            <v>Pemuda Tani/Abdullah</v>
          </cell>
          <cell r="N6133" t="str">
            <v>Abdullah</v>
          </cell>
          <cell r="O6133" t="str">
            <v>JL. Lumbang, Dsn. Krajan RT.010/RW.003, Kel. Sumberkare, Kec. Wonomerto</v>
          </cell>
          <cell r="P6133" t="str">
            <v>Probolinggo</v>
          </cell>
          <cell r="Q6133" t="str">
            <v>JL. Lumbang, Dsn. Krajan RT.010/RW.003, Kel. Sumberkare, Kec. Wonomerto</v>
          </cell>
          <cell r="R6133" t="str">
            <v>Probolinggo</v>
          </cell>
          <cell r="S6133" t="str">
            <v>G Prob2</v>
          </cell>
          <cell r="T6133" t="str">
            <v>Wira</v>
          </cell>
          <cell r="U6133">
            <v>0</v>
          </cell>
        </row>
        <row r="6134">
          <cell r="E6134" t="str">
            <v>D25014614</v>
          </cell>
          <cell r="F6134"/>
          <cell r="G6134">
            <v>3500000000</v>
          </cell>
          <cell r="H6134" t="str">
            <v>Zakia</v>
          </cell>
          <cell r="I6134" t="str">
            <v>Tiya</v>
          </cell>
          <cell r="J6134" t="str">
            <v>New 13/02/21</v>
          </cell>
          <cell r="K6134" t="str">
            <v>BG, KU</v>
          </cell>
          <cell r="L6134" t="str">
            <v>PEMU01</v>
          </cell>
          <cell r="M6134" t="str">
            <v>Pemuda Tani/Abdullah</v>
          </cell>
          <cell r="N6134" t="str">
            <v>Abdullah</v>
          </cell>
          <cell r="O6134" t="str">
            <v>JL. Lumbang, Dsn. Krajan RT.010/RW.003, Kel. Sumberkare, Kec. Wonomerto</v>
          </cell>
          <cell r="P6134" t="str">
            <v>Probolinggo</v>
          </cell>
          <cell r="Q6134" t="str">
            <v>JL. Lumbang, Dsn. Krajan RT.010/RW.003, Kel. Sumberkare, Kec. Wonomerto</v>
          </cell>
          <cell r="R6134" t="str">
            <v>Probolinggo</v>
          </cell>
          <cell r="S6134" t="str">
            <v>G Prob2</v>
          </cell>
          <cell r="T6134" t="str">
            <v>Wira</v>
          </cell>
          <cell r="U6134">
            <v>0</v>
          </cell>
        </row>
        <row r="6135">
          <cell r="E6135" t="str">
            <v>D25015108</v>
          </cell>
          <cell r="F6135"/>
          <cell r="G6135">
            <v>3500000000</v>
          </cell>
          <cell r="H6135" t="str">
            <v>Zakia</v>
          </cell>
          <cell r="I6135" t="str">
            <v>Tiya</v>
          </cell>
          <cell r="J6135" t="str">
            <v>New 13/02/21</v>
          </cell>
          <cell r="K6135" t="str">
            <v>BG, KU</v>
          </cell>
          <cell r="L6135" t="str">
            <v>PEMU01</v>
          </cell>
          <cell r="M6135" t="str">
            <v>Pemuda Tani/Abdullah</v>
          </cell>
          <cell r="N6135" t="str">
            <v>Abdullah</v>
          </cell>
          <cell r="O6135" t="str">
            <v>JL. Lumbang, Dsn. Krajan RT.010/RW.003, Kel. Sumberkare, Kec. Wonomerto</v>
          </cell>
          <cell r="P6135" t="str">
            <v>Probolinggo</v>
          </cell>
          <cell r="Q6135" t="str">
            <v>JL. Lumbang, Dsn. Krajan RT.010/RW.003, Kel. Sumberkare, Kec. Wonomerto</v>
          </cell>
          <cell r="R6135" t="str">
            <v>Probolinggo</v>
          </cell>
          <cell r="S6135" t="str">
            <v>G Prob2</v>
          </cell>
          <cell r="T6135" t="str">
            <v>Wira</v>
          </cell>
          <cell r="U6135">
            <v>30</v>
          </cell>
        </row>
        <row r="6136">
          <cell r="E6136" t="str">
            <v>D25015206</v>
          </cell>
          <cell r="F6136"/>
          <cell r="G6136">
            <v>3500000000</v>
          </cell>
          <cell r="H6136" t="str">
            <v>Zakia</v>
          </cell>
          <cell r="I6136" t="str">
            <v>Tiya</v>
          </cell>
          <cell r="J6136" t="str">
            <v>New 13/02/21</v>
          </cell>
          <cell r="K6136" t="str">
            <v>BG, KU</v>
          </cell>
          <cell r="L6136" t="str">
            <v>PEMU01</v>
          </cell>
          <cell r="M6136" t="str">
            <v>Pemuda Tani/Abdullah</v>
          </cell>
          <cell r="N6136" t="str">
            <v>Abdullah</v>
          </cell>
          <cell r="O6136" t="str">
            <v>JL. Lumbang, Dsn. Krajan RT.010/RW.003, Kel. Sumberkare, Kec. Wonomerto</v>
          </cell>
          <cell r="P6136" t="str">
            <v>Probolinggo</v>
          </cell>
          <cell r="Q6136" t="str">
            <v>JL. Lumbang, Dsn. Krajan RT.010/RW.003, Kel. Sumberkare, Kec. Wonomerto</v>
          </cell>
          <cell r="R6136" t="str">
            <v>Probolinggo</v>
          </cell>
          <cell r="S6136" t="str">
            <v>G Prob2</v>
          </cell>
          <cell r="T6136" t="str">
            <v>Wira</v>
          </cell>
          <cell r="U6136">
            <v>30</v>
          </cell>
        </row>
        <row r="6137">
          <cell r="E6137" t="str">
            <v>Z25002583</v>
          </cell>
          <cell r="F6137"/>
          <cell r="G6137">
            <v>3500000000</v>
          </cell>
          <cell r="H6137" t="str">
            <v>Zakia</v>
          </cell>
          <cell r="I6137" t="str">
            <v>Tiya</v>
          </cell>
          <cell r="J6137" t="str">
            <v>New 13/02/21</v>
          </cell>
          <cell r="K6137" t="str">
            <v>BG, KU</v>
          </cell>
          <cell r="L6137" t="str">
            <v>PEMU01</v>
          </cell>
          <cell r="M6137" t="str">
            <v>Pemuda Tani/Abdullah</v>
          </cell>
          <cell r="N6137" t="str">
            <v>Abdullah</v>
          </cell>
          <cell r="O6137" t="str">
            <v>JL. Lumbang, Dsn. Krajan RT.010/RW.003, Kel. Sumberkare, Kec. Wonomerto</v>
          </cell>
          <cell r="P6137" t="str">
            <v>Probolinggo</v>
          </cell>
          <cell r="Q6137" t="str">
            <v>JL. Lumbang, Dsn. Krajan RT.010/RW.003, Kel. Sumberkare, Kec. Wonomerto</v>
          </cell>
          <cell r="R6137" t="str">
            <v>Probolinggo</v>
          </cell>
          <cell r="S6137" t="str">
            <v>G Prob2</v>
          </cell>
          <cell r="T6137" t="str">
            <v>Wira</v>
          </cell>
          <cell r="U6137">
            <v>30</v>
          </cell>
        </row>
        <row r="6138">
          <cell r="E6138" t="str">
            <v>D25015208</v>
          </cell>
          <cell r="F6138"/>
          <cell r="G6138">
            <v>3500000000</v>
          </cell>
          <cell r="H6138" t="str">
            <v>Zakia</v>
          </cell>
          <cell r="I6138" t="str">
            <v>Tiya</v>
          </cell>
          <cell r="J6138" t="str">
            <v>New 13/02/21</v>
          </cell>
          <cell r="K6138" t="str">
            <v>BG, KU</v>
          </cell>
          <cell r="L6138" t="str">
            <v>PEMU01</v>
          </cell>
          <cell r="M6138" t="str">
            <v>Pemuda Tani/Abdullah</v>
          </cell>
          <cell r="N6138" t="str">
            <v>Abdullah</v>
          </cell>
          <cell r="O6138" t="str">
            <v>JL. Lumbang, Dsn. Krajan RT.010/RW.003, Kel. Sumberkare, Kec. Wonomerto</v>
          </cell>
          <cell r="P6138" t="str">
            <v>Probolinggo</v>
          </cell>
          <cell r="Q6138" t="str">
            <v>JL. Lumbang, Dsn. Krajan RT.010/RW.003, Kel. Sumberkare, Kec. Wonomerto</v>
          </cell>
          <cell r="R6138" t="str">
            <v>Probolinggo</v>
          </cell>
          <cell r="S6138" t="str">
            <v>G Prob2</v>
          </cell>
          <cell r="T6138" t="str">
            <v>Wira</v>
          </cell>
          <cell r="U6138">
            <v>30</v>
          </cell>
        </row>
        <row r="6139">
          <cell r="E6139" t="str">
            <v>D25015511</v>
          </cell>
          <cell r="F6139"/>
          <cell r="G6139">
            <v>3500000000</v>
          </cell>
          <cell r="H6139" t="str">
            <v>Zakia</v>
          </cell>
          <cell r="I6139" t="str">
            <v>Tiya</v>
          </cell>
          <cell r="J6139" t="str">
            <v>New 13/02/21</v>
          </cell>
          <cell r="K6139" t="str">
            <v>BG, KU</v>
          </cell>
          <cell r="L6139" t="str">
            <v>PEMU01</v>
          </cell>
          <cell r="M6139" t="str">
            <v>Pemuda Tani/Abdullah</v>
          </cell>
          <cell r="N6139" t="str">
            <v>Abdullah</v>
          </cell>
          <cell r="O6139" t="str">
            <v>JL. Lumbang, Dsn. Krajan RT.010/RW.003, Kel. Sumberkare, Kec. Wonomerto</v>
          </cell>
          <cell r="P6139" t="str">
            <v>Probolinggo</v>
          </cell>
          <cell r="Q6139" t="str">
            <v>JL. Lumbang, Dsn. Krajan RT.010/RW.003, Kel. Sumberkare, Kec. Wonomerto</v>
          </cell>
          <cell r="R6139" t="str">
            <v>Probolinggo</v>
          </cell>
          <cell r="S6139" t="str">
            <v>G Prob2</v>
          </cell>
          <cell r="T6139" t="str">
            <v>Wira</v>
          </cell>
          <cell r="U6139">
            <v>30</v>
          </cell>
        </row>
        <row r="6140">
          <cell r="E6140" t="str">
            <v>B25013303</v>
          </cell>
          <cell r="F6140"/>
          <cell r="G6140">
            <v>3500000000</v>
          </cell>
          <cell r="H6140" t="str">
            <v>Zakia</v>
          </cell>
          <cell r="I6140" t="str">
            <v>Tiya</v>
          </cell>
          <cell r="J6140" t="str">
            <v>New 13/02/21</v>
          </cell>
          <cell r="K6140" t="str">
            <v>BG, KU</v>
          </cell>
          <cell r="L6140" t="str">
            <v>PEMU01</v>
          </cell>
          <cell r="M6140" t="str">
            <v>Pemuda Tani/Abdullah</v>
          </cell>
          <cell r="N6140" t="str">
            <v>Abdullah</v>
          </cell>
          <cell r="O6140" t="str">
            <v>JL. Lumbang, Dsn. Krajan RT.010/RW.003, Kel. Sumberkare, Kec. Wonomerto</v>
          </cell>
          <cell r="P6140" t="str">
            <v>Probolinggo</v>
          </cell>
          <cell r="Q6140" t="str">
            <v>JL. Lumbang, Dsn. Krajan RT.010/RW.003, Kel. Sumberkare, Kec. Wonomerto</v>
          </cell>
          <cell r="R6140" t="str">
            <v>Probolinggo</v>
          </cell>
          <cell r="S6140" t="str">
            <v>G Prob2</v>
          </cell>
          <cell r="T6140" t="str">
            <v>Wira</v>
          </cell>
          <cell r="U6140">
            <v>30</v>
          </cell>
        </row>
        <row r="6141">
          <cell r="E6141" t="str">
            <v>B25013304</v>
          </cell>
          <cell r="F6141"/>
          <cell r="G6141">
            <v>3500000000</v>
          </cell>
          <cell r="H6141" t="str">
            <v>Zakia</v>
          </cell>
          <cell r="I6141" t="str">
            <v>Tiya</v>
          </cell>
          <cell r="J6141" t="str">
            <v>New 13/02/21</v>
          </cell>
          <cell r="K6141" t="str">
            <v>BG, KU</v>
          </cell>
          <cell r="L6141" t="str">
            <v>PEMU01</v>
          </cell>
          <cell r="M6141" t="str">
            <v>Pemuda Tani/Abdullah</v>
          </cell>
          <cell r="N6141" t="str">
            <v>Abdullah</v>
          </cell>
          <cell r="O6141" t="str">
            <v>JL. Lumbang, Dsn. Krajan RT.010/RW.003, Kel. Sumberkare, Kec. Wonomerto</v>
          </cell>
          <cell r="P6141" t="str">
            <v>Probolinggo</v>
          </cell>
          <cell r="Q6141" t="str">
            <v>JL. Lumbang, Dsn. Krajan RT.010/RW.003, Kel. Sumberkare, Kec. Wonomerto</v>
          </cell>
          <cell r="R6141" t="str">
            <v>Probolinggo</v>
          </cell>
          <cell r="S6141" t="str">
            <v>G Prob2</v>
          </cell>
          <cell r="T6141" t="str">
            <v>Wira</v>
          </cell>
          <cell r="U6141">
            <v>30</v>
          </cell>
        </row>
        <row r="6142">
          <cell r="E6142" t="str">
            <v>D25015755</v>
          </cell>
          <cell r="F6142"/>
          <cell r="G6142">
            <v>3500000000</v>
          </cell>
          <cell r="H6142" t="str">
            <v>Zakia</v>
          </cell>
          <cell r="I6142" t="str">
            <v>Tiya</v>
          </cell>
          <cell r="J6142" t="str">
            <v>New 13/02/21</v>
          </cell>
          <cell r="K6142" t="str">
            <v>BG, KU</v>
          </cell>
          <cell r="L6142" t="str">
            <v>PEMU01</v>
          </cell>
          <cell r="M6142" t="str">
            <v>Pemuda Tani/Abdullah</v>
          </cell>
          <cell r="N6142" t="str">
            <v>Abdullah</v>
          </cell>
          <cell r="O6142" t="str">
            <v>JL. Lumbang, Dsn. Krajan RT.010/RW.003, Kel. Sumberkare, Kec. Wonomerto</v>
          </cell>
          <cell r="P6142" t="str">
            <v>Probolinggo</v>
          </cell>
          <cell r="Q6142" t="str">
            <v>JL. Lumbang, Dsn. Krajan RT.010/RW.003, Kel. Sumberkare, Kec. Wonomerto</v>
          </cell>
          <cell r="R6142" t="str">
            <v>Probolinggo</v>
          </cell>
          <cell r="S6142" t="str">
            <v>G Prob2</v>
          </cell>
          <cell r="T6142" t="str">
            <v>Wira</v>
          </cell>
          <cell r="U6142">
            <v>30</v>
          </cell>
        </row>
        <row r="6143">
          <cell r="E6143" t="str">
            <v>D25015781</v>
          </cell>
          <cell r="F6143"/>
          <cell r="G6143">
            <v>3500000000</v>
          </cell>
          <cell r="H6143" t="str">
            <v>Zakia</v>
          </cell>
          <cell r="I6143" t="str">
            <v>Tiya</v>
          </cell>
          <cell r="J6143" t="str">
            <v>New 13/02/21</v>
          </cell>
          <cell r="K6143" t="str">
            <v>BG, KU</v>
          </cell>
          <cell r="L6143" t="str">
            <v>PEMU01</v>
          </cell>
          <cell r="M6143" t="str">
            <v>Pemuda Tani/Abdullah</v>
          </cell>
          <cell r="N6143" t="str">
            <v>Abdullah</v>
          </cell>
          <cell r="O6143" t="str">
            <v>JL. Lumbang, Dsn. Krajan RT.010/RW.003, Kel. Sumberkare, Kec. Wonomerto</v>
          </cell>
          <cell r="P6143" t="str">
            <v>Probolinggo</v>
          </cell>
          <cell r="Q6143" t="str">
            <v>JL. Lumbang, Dsn. Krajan RT.010/RW.003, Kel. Sumberkare, Kec. Wonomerto</v>
          </cell>
          <cell r="R6143" t="str">
            <v>Probolinggo</v>
          </cell>
          <cell r="S6143" t="str">
            <v>G Prob2</v>
          </cell>
          <cell r="T6143" t="str">
            <v>Wira</v>
          </cell>
          <cell r="U6143">
            <v>30</v>
          </cell>
        </row>
        <row r="6144">
          <cell r="E6144" t="str">
            <v>D25016177</v>
          </cell>
          <cell r="F6144"/>
          <cell r="G6144">
            <v>3500000000</v>
          </cell>
          <cell r="H6144" t="str">
            <v>Zakia</v>
          </cell>
          <cell r="I6144" t="str">
            <v>Tiya</v>
          </cell>
          <cell r="J6144" t="str">
            <v>New 13/02/21</v>
          </cell>
          <cell r="K6144" t="str">
            <v>BG, KU</v>
          </cell>
          <cell r="L6144" t="str">
            <v>PEMU01</v>
          </cell>
          <cell r="M6144" t="str">
            <v>Pemuda Tani/Abdullah</v>
          </cell>
          <cell r="N6144" t="str">
            <v>Abdullah</v>
          </cell>
          <cell r="O6144" t="str">
            <v>JL. Lumbang, Dsn. Krajan RT.010/RW.003, Kel. Sumberkare, Kec. Wonomerto</v>
          </cell>
          <cell r="P6144" t="str">
            <v>Probolinggo</v>
          </cell>
          <cell r="Q6144" t="str">
            <v>JL. Lumbang, Dsn. Krajan RT.010/RW.003, Kel. Sumberkare, Kec. Wonomerto</v>
          </cell>
          <cell r="R6144" t="str">
            <v>Probolinggo</v>
          </cell>
          <cell r="S6144" t="str">
            <v>G Prob2</v>
          </cell>
          <cell r="T6144" t="str">
            <v>Wira</v>
          </cell>
          <cell r="U6144">
            <v>30</v>
          </cell>
        </row>
        <row r="6145">
          <cell r="E6145" t="str">
            <v>D25016258</v>
          </cell>
          <cell r="F6145"/>
          <cell r="G6145">
            <v>3500000000</v>
          </cell>
          <cell r="H6145" t="str">
            <v>Zakia</v>
          </cell>
          <cell r="I6145" t="str">
            <v>Tiya</v>
          </cell>
          <cell r="J6145" t="str">
            <v>New 13/02/21</v>
          </cell>
          <cell r="K6145" t="str">
            <v>BG, KU</v>
          </cell>
          <cell r="L6145" t="str">
            <v>PEMU01</v>
          </cell>
          <cell r="M6145" t="str">
            <v>Pemuda Tani/Abdullah</v>
          </cell>
          <cell r="N6145" t="str">
            <v>Abdullah</v>
          </cell>
          <cell r="O6145" t="str">
            <v>JL. Lumbang, Dsn. Krajan RT.010/RW.003, Kel. Sumberkare, Kec. Wonomerto</v>
          </cell>
          <cell r="P6145" t="str">
            <v>Probolinggo</v>
          </cell>
          <cell r="Q6145" t="str">
            <v>JL. Lumbang, Dsn. Krajan RT.010/RW.003, Kel. Sumberkare, Kec. Wonomerto</v>
          </cell>
          <cell r="R6145" t="str">
            <v>Probolinggo</v>
          </cell>
          <cell r="S6145" t="str">
            <v>G Prob2</v>
          </cell>
          <cell r="T6145" t="str">
            <v>Wira</v>
          </cell>
          <cell r="U6145">
            <v>30</v>
          </cell>
        </row>
        <row r="6146">
          <cell r="E6146" t="str">
            <v>D25016300</v>
          </cell>
          <cell r="F6146"/>
          <cell r="G6146">
            <v>3500000000</v>
          </cell>
          <cell r="H6146" t="str">
            <v>Zakia</v>
          </cell>
          <cell r="I6146" t="str">
            <v>Tiya</v>
          </cell>
          <cell r="J6146" t="str">
            <v>New 13/02/21</v>
          </cell>
          <cell r="K6146" t="str">
            <v>BG, KU</v>
          </cell>
          <cell r="L6146" t="str">
            <v>PEMU01</v>
          </cell>
          <cell r="M6146" t="str">
            <v>Pemuda Tani/Abdullah</v>
          </cell>
          <cell r="N6146" t="str">
            <v>Abdullah</v>
          </cell>
          <cell r="O6146" t="str">
            <v>JL. Lumbang, Dsn. Krajan RT.010/RW.003, Kel. Sumberkare, Kec. Wonomerto</v>
          </cell>
          <cell r="P6146" t="str">
            <v>Probolinggo</v>
          </cell>
          <cell r="Q6146" t="str">
            <v>JL. Lumbang, Dsn. Krajan RT.010/RW.003, Kel. Sumberkare, Kec. Wonomerto</v>
          </cell>
          <cell r="R6146" t="str">
            <v>Probolinggo</v>
          </cell>
          <cell r="S6146" t="str">
            <v>G Prob2</v>
          </cell>
          <cell r="T6146" t="str">
            <v>Wira</v>
          </cell>
          <cell r="U6146">
            <v>0</v>
          </cell>
        </row>
        <row r="6147">
          <cell r="E6147" t="str">
            <v>B25011464</v>
          </cell>
          <cell r="F6147"/>
          <cell r="G6147">
            <v>10000000</v>
          </cell>
          <cell r="H6147" t="str">
            <v>Faris</v>
          </cell>
          <cell r="I6147" t="str">
            <v>Syahra</v>
          </cell>
          <cell r="J6147" t="str">
            <v>New 2/11/22</v>
          </cell>
          <cell r="K6147" t="str">
            <v>KU</v>
          </cell>
          <cell r="L6147" t="str">
            <v>PERD03</v>
          </cell>
          <cell r="M6147" t="str">
            <v>Perdana Jaya/Zainud</v>
          </cell>
          <cell r="N6147" t="str">
            <v>Zainud Tauhid</v>
          </cell>
          <cell r="O6147" t="str">
            <v>Krajan I RT.012/RW.000, Kel. Ramban Kulon, Kec. Cermee</v>
          </cell>
          <cell r="P6147" t="str">
            <v>Bondowoso</v>
          </cell>
          <cell r="Q6147" t="str">
            <v>Krajan I RT.012/RW.000, Kel. Ramban Kulon, Kec. Cermee</v>
          </cell>
          <cell r="R6147" t="str">
            <v>Bondowoso</v>
          </cell>
          <cell r="S6147" t="str">
            <v>N Bdw Stb</v>
          </cell>
          <cell r="T6147" t="str">
            <v>Wira</v>
          </cell>
          <cell r="U6147">
            <v>30</v>
          </cell>
        </row>
        <row r="6148">
          <cell r="E6148" t="str">
            <v>D25013682</v>
          </cell>
          <cell r="F6148"/>
          <cell r="G6148">
            <v>10000000</v>
          </cell>
          <cell r="H6148" t="str">
            <v>Faris</v>
          </cell>
          <cell r="I6148" t="str">
            <v>Syahra</v>
          </cell>
          <cell r="J6148" t="str">
            <v>New 2/11/22</v>
          </cell>
          <cell r="K6148" t="str">
            <v>KU</v>
          </cell>
          <cell r="L6148" t="str">
            <v>PERD03</v>
          </cell>
          <cell r="M6148" t="str">
            <v>Perdana Jaya/Zainud</v>
          </cell>
          <cell r="N6148" t="str">
            <v>Zainud Tauhid</v>
          </cell>
          <cell r="O6148" t="str">
            <v>Krajan I RT.012/RW.000, Kel. Ramban Kulon, Kec. Cermee</v>
          </cell>
          <cell r="P6148" t="str">
            <v>Bondowoso</v>
          </cell>
          <cell r="Q6148" t="str">
            <v>Krajan I RT.012/RW.000, Kel. Ramban Kulon, Kec. Cermee</v>
          </cell>
          <cell r="R6148" t="str">
            <v>Bondowoso</v>
          </cell>
          <cell r="S6148" t="str">
            <v>N Bdw Stb</v>
          </cell>
          <cell r="T6148" t="str">
            <v>Wira</v>
          </cell>
          <cell r="U6148">
            <v>30</v>
          </cell>
        </row>
        <row r="6149">
          <cell r="E6149" t="str">
            <v>D25013954</v>
          </cell>
          <cell r="F6149"/>
          <cell r="G6149">
            <v>10000000</v>
          </cell>
          <cell r="H6149" t="str">
            <v>Faris</v>
          </cell>
          <cell r="I6149" t="str">
            <v>Syahra</v>
          </cell>
          <cell r="J6149" t="str">
            <v>New 2/11/22</v>
          </cell>
          <cell r="K6149" t="str">
            <v>KU</v>
          </cell>
          <cell r="L6149" t="str">
            <v>PERD03</v>
          </cell>
          <cell r="M6149" t="str">
            <v>Perdana Jaya/Zainud</v>
          </cell>
          <cell r="N6149" t="str">
            <v>Zainud Tauhid</v>
          </cell>
          <cell r="O6149" t="str">
            <v>Krajan I RT.012/RW.000, Kel. Ramban Kulon, Kec. Cermee</v>
          </cell>
          <cell r="P6149" t="str">
            <v>Bondowoso</v>
          </cell>
          <cell r="Q6149" t="str">
            <v>Krajan I RT.012/RW.000, Kel. Ramban Kulon, Kec. Cermee</v>
          </cell>
          <cell r="R6149" t="str">
            <v>Bondowoso</v>
          </cell>
          <cell r="S6149" t="str">
            <v>N Bdw Stb</v>
          </cell>
          <cell r="T6149" t="str">
            <v>Wira</v>
          </cell>
          <cell r="U6149">
            <v>30</v>
          </cell>
        </row>
        <row r="6150">
          <cell r="E6150" t="str">
            <v>D25013955</v>
          </cell>
          <cell r="F6150"/>
          <cell r="G6150">
            <v>10000000</v>
          </cell>
          <cell r="H6150" t="str">
            <v>Faris</v>
          </cell>
          <cell r="I6150" t="str">
            <v>Syahra</v>
          </cell>
          <cell r="J6150" t="str">
            <v>New 2/11/22</v>
          </cell>
          <cell r="K6150" t="str">
            <v>KU</v>
          </cell>
          <cell r="L6150" t="str">
            <v>PERD03</v>
          </cell>
          <cell r="M6150" t="str">
            <v>Perdana Jaya/Zainud</v>
          </cell>
          <cell r="N6150" t="str">
            <v>Zainud Tauhid</v>
          </cell>
          <cell r="O6150" t="str">
            <v>Krajan I RT.012/RW.000, Kel. Ramban Kulon, Kec. Cermee</v>
          </cell>
          <cell r="P6150" t="str">
            <v>Bondowoso</v>
          </cell>
          <cell r="Q6150" t="str">
            <v>Krajan I RT.012/RW.000, Kel. Ramban Kulon, Kec. Cermee</v>
          </cell>
          <cell r="R6150" t="str">
            <v>Bondowoso</v>
          </cell>
          <cell r="S6150" t="str">
            <v>N Bdw Stb</v>
          </cell>
          <cell r="T6150" t="str">
            <v>Wira</v>
          </cell>
          <cell r="U6150">
            <v>30</v>
          </cell>
        </row>
        <row r="6151">
          <cell r="E6151" t="str">
            <v>B25012318</v>
          </cell>
          <cell r="F6151"/>
          <cell r="G6151">
            <v>10000000</v>
          </cell>
          <cell r="H6151" t="str">
            <v>Faris</v>
          </cell>
          <cell r="I6151" t="str">
            <v>Syahra</v>
          </cell>
          <cell r="J6151" t="str">
            <v>New 2/11/22</v>
          </cell>
          <cell r="K6151" t="str">
            <v>KU</v>
          </cell>
          <cell r="L6151" t="str">
            <v>PERD03</v>
          </cell>
          <cell r="M6151" t="str">
            <v>Perdana Jaya/Zainud</v>
          </cell>
          <cell r="N6151" t="str">
            <v>Zainud Tauhid</v>
          </cell>
          <cell r="O6151" t="str">
            <v>Krajan I RT.012/RW.000, Kel. Ramban Kulon, Kec. Cermee</v>
          </cell>
          <cell r="P6151" t="str">
            <v>Bondowoso</v>
          </cell>
          <cell r="Q6151" t="str">
            <v>Krajan I RT.012/RW.000, Kel. Ramban Kulon, Kec. Cermee</v>
          </cell>
          <cell r="R6151" t="str">
            <v>Bondowoso</v>
          </cell>
          <cell r="S6151" t="str">
            <v>N Bdw Stb</v>
          </cell>
          <cell r="T6151" t="str">
            <v>Wira</v>
          </cell>
          <cell r="U6151">
            <v>30</v>
          </cell>
        </row>
        <row r="6152">
          <cell r="E6152" t="str">
            <v>B25013016</v>
          </cell>
          <cell r="F6152"/>
          <cell r="G6152">
            <v>10000000</v>
          </cell>
          <cell r="H6152" t="str">
            <v>Faris</v>
          </cell>
          <cell r="I6152" t="str">
            <v>Syahra</v>
          </cell>
          <cell r="J6152" t="str">
            <v>New 2/11/22</v>
          </cell>
          <cell r="K6152" t="str">
            <v>KU</v>
          </cell>
          <cell r="L6152" t="str">
            <v>PERD03</v>
          </cell>
          <cell r="M6152" t="str">
            <v>Perdana Jaya/Zainud</v>
          </cell>
          <cell r="N6152" t="str">
            <v>Zainud Tauhid</v>
          </cell>
          <cell r="O6152" t="str">
            <v>Krajan I RT.012/RW.000, Kel. Ramban Kulon, Kec. Cermee</v>
          </cell>
          <cell r="P6152" t="str">
            <v>Bondowoso</v>
          </cell>
          <cell r="Q6152" t="str">
            <v>Krajan I RT.012/RW.000, Kel. Ramban Kulon, Kec. Cermee</v>
          </cell>
          <cell r="R6152" t="str">
            <v>Bondowoso</v>
          </cell>
          <cell r="S6152" t="str">
            <v>N Bdw Stb</v>
          </cell>
          <cell r="T6152" t="str">
            <v>Wira</v>
          </cell>
          <cell r="U6152">
            <v>30</v>
          </cell>
        </row>
        <row r="6153">
          <cell r="E6153" t="str">
            <v>B25013045</v>
          </cell>
          <cell r="F6153"/>
          <cell r="G6153">
            <v>10000000</v>
          </cell>
          <cell r="H6153" t="str">
            <v>Faris</v>
          </cell>
          <cell r="I6153" t="str">
            <v>Syahra</v>
          </cell>
          <cell r="J6153" t="str">
            <v>New 2/11/22</v>
          </cell>
          <cell r="K6153" t="str">
            <v>KU</v>
          </cell>
          <cell r="L6153" t="str">
            <v>PERD03</v>
          </cell>
          <cell r="M6153" t="str">
            <v>Perdana Jaya/Zainud</v>
          </cell>
          <cell r="N6153" t="str">
            <v>Zainud Tauhid</v>
          </cell>
          <cell r="O6153" t="str">
            <v>Krajan I RT.012/RW.000, Kel. Ramban Kulon, Kec. Cermee</v>
          </cell>
          <cell r="P6153" t="str">
            <v>Bondowoso</v>
          </cell>
          <cell r="Q6153" t="str">
            <v>Krajan I RT.012/RW.000, Kel. Ramban Kulon, Kec. Cermee</v>
          </cell>
          <cell r="R6153" t="str">
            <v>Bondowoso</v>
          </cell>
          <cell r="S6153" t="str">
            <v>N Bdw Stb</v>
          </cell>
          <cell r="T6153" t="str">
            <v>Wira</v>
          </cell>
          <cell r="U6153">
            <v>30</v>
          </cell>
        </row>
        <row r="6154">
          <cell r="E6154" t="str">
            <v>B25013779</v>
          </cell>
          <cell r="F6154"/>
          <cell r="G6154">
            <v>10000000</v>
          </cell>
          <cell r="H6154" t="str">
            <v>Faris</v>
          </cell>
          <cell r="I6154" t="str">
            <v>Syahra</v>
          </cell>
          <cell r="J6154" t="str">
            <v>New 2/11/22</v>
          </cell>
          <cell r="K6154" t="str">
            <v>KU</v>
          </cell>
          <cell r="L6154" t="str">
            <v>PERD03</v>
          </cell>
          <cell r="M6154" t="str">
            <v>Perdana Jaya/Zainud</v>
          </cell>
          <cell r="N6154" t="str">
            <v>Zainud Tauhid</v>
          </cell>
          <cell r="O6154" t="str">
            <v>Krajan I RT.012/RW.000, Kel. Ramban Kulon, Kec. Cermee</v>
          </cell>
          <cell r="P6154" t="str">
            <v>Bondowoso</v>
          </cell>
          <cell r="Q6154" t="str">
            <v>Krajan I RT.012/RW.000, Kel. Ramban Kulon, Kec. Cermee</v>
          </cell>
          <cell r="R6154" t="str">
            <v>Bondowoso</v>
          </cell>
          <cell r="S6154" t="str">
            <v>N Bdw Stb</v>
          </cell>
          <cell r="T6154" t="str">
            <v>Wira</v>
          </cell>
          <cell r="U6154">
            <v>30</v>
          </cell>
        </row>
        <row r="6155">
          <cell r="E6155" t="str">
            <v>B25013937</v>
          </cell>
          <cell r="F6155"/>
          <cell r="G6155">
            <v>10000000</v>
          </cell>
          <cell r="H6155" t="str">
            <v>Faris</v>
          </cell>
          <cell r="I6155" t="str">
            <v>Syahra</v>
          </cell>
          <cell r="J6155" t="str">
            <v>New 2/11/22</v>
          </cell>
          <cell r="K6155" t="str">
            <v>KU</v>
          </cell>
          <cell r="L6155" t="str">
            <v>PERD03</v>
          </cell>
          <cell r="M6155" t="str">
            <v>Perdana Jaya/Zainud</v>
          </cell>
          <cell r="N6155" t="str">
            <v>Zainud Tauhid</v>
          </cell>
          <cell r="O6155" t="str">
            <v>Krajan I RT.012/RW.000, Kel. Ramban Kulon, Kec. Cermee</v>
          </cell>
          <cell r="P6155" t="str">
            <v>Bondowoso</v>
          </cell>
          <cell r="Q6155" t="str">
            <v>Krajan I RT.012/RW.000, Kel. Ramban Kulon, Kec. Cermee</v>
          </cell>
          <cell r="R6155" t="str">
            <v>Bondowoso</v>
          </cell>
          <cell r="S6155" t="str">
            <v>N Bdw Stb</v>
          </cell>
          <cell r="T6155" t="str">
            <v>Wira</v>
          </cell>
          <cell r="U6155">
            <v>30</v>
          </cell>
        </row>
        <row r="6156">
          <cell r="E6156" t="str">
            <v>D25009433</v>
          </cell>
          <cell r="F6156"/>
          <cell r="G6156">
            <v>100000000</v>
          </cell>
          <cell r="H6156" t="str">
            <v>Yuyun</v>
          </cell>
          <cell r="I6156" t="str">
            <v>Farida</v>
          </cell>
          <cell r="J6156"/>
          <cell r="K6156" t="str">
            <v>KU</v>
          </cell>
          <cell r="L6156" t="str">
            <v>PERM02</v>
          </cell>
          <cell r="M6156" t="str">
            <v>Permata, UD/Badar</v>
          </cell>
          <cell r="N6156" t="str">
            <v>Badar</v>
          </cell>
          <cell r="O6156" t="str">
            <v>Dsn. Krajan, RT.001/RW.005, Kel. Sumberdanti, Kec. Sukowono</v>
          </cell>
          <cell r="P6156" t="str">
            <v>Jember</v>
          </cell>
          <cell r="Q6156" t="str">
            <v>Sukowono</v>
          </cell>
          <cell r="R6156" t="str">
            <v>Jember</v>
          </cell>
          <cell r="S6156" t="str">
            <v>N Bdw Stb</v>
          </cell>
          <cell r="T6156" t="str">
            <v>Wira</v>
          </cell>
          <cell r="U6156">
            <v>60</v>
          </cell>
        </row>
        <row r="6157">
          <cell r="E6157" t="str">
            <v>B25008250</v>
          </cell>
          <cell r="F6157"/>
          <cell r="G6157">
            <v>100000000</v>
          </cell>
          <cell r="H6157" t="str">
            <v>Yuyun</v>
          </cell>
          <cell r="I6157" t="str">
            <v>Farida</v>
          </cell>
          <cell r="J6157"/>
          <cell r="K6157" t="str">
            <v>KU</v>
          </cell>
          <cell r="L6157" t="str">
            <v>PERM02</v>
          </cell>
          <cell r="M6157" t="str">
            <v>Permata, UD/Badar</v>
          </cell>
          <cell r="N6157" t="str">
            <v>Badar</v>
          </cell>
          <cell r="O6157" t="str">
            <v>Dsn. Krajan, RT.001/RW.005, Kel. Sumberdanti, Kec. Sukowono</v>
          </cell>
          <cell r="P6157" t="str">
            <v>Jember</v>
          </cell>
          <cell r="Q6157" t="str">
            <v>Sukowono</v>
          </cell>
          <cell r="R6157" t="str">
            <v>Jember</v>
          </cell>
          <cell r="S6157" t="str">
            <v>N Bdw Stb</v>
          </cell>
          <cell r="T6157" t="str">
            <v>Wira</v>
          </cell>
          <cell r="U6157">
            <v>60</v>
          </cell>
        </row>
        <row r="6158">
          <cell r="E6158" t="str">
            <v>D25010606</v>
          </cell>
          <cell r="F6158"/>
          <cell r="G6158">
            <v>100000000</v>
          </cell>
          <cell r="H6158" t="str">
            <v>Yuyun</v>
          </cell>
          <cell r="I6158" t="str">
            <v>Farida</v>
          </cell>
          <cell r="J6158"/>
          <cell r="K6158" t="str">
            <v>KU</v>
          </cell>
          <cell r="L6158" t="str">
            <v>PERM02</v>
          </cell>
          <cell r="M6158" t="str">
            <v>Permata, UD/Badar</v>
          </cell>
          <cell r="N6158" t="str">
            <v>Badar</v>
          </cell>
          <cell r="O6158" t="str">
            <v>Dsn. Krajan, RT.001/RW.005, Kel. Sumberdanti, Kec. Sukowono</v>
          </cell>
          <cell r="P6158" t="str">
            <v>Jember</v>
          </cell>
          <cell r="Q6158" t="str">
            <v>Sukowono</v>
          </cell>
          <cell r="R6158" t="str">
            <v>Jember</v>
          </cell>
          <cell r="S6158" t="str">
            <v>N Bdw Stb</v>
          </cell>
          <cell r="T6158" t="str">
            <v>Wira</v>
          </cell>
          <cell r="U6158">
            <v>30</v>
          </cell>
        </row>
        <row r="6159">
          <cell r="E6159" t="str">
            <v>T25001096</v>
          </cell>
          <cell r="F6159"/>
          <cell r="G6159">
            <v>100000000</v>
          </cell>
          <cell r="H6159" t="str">
            <v>Yuyun</v>
          </cell>
          <cell r="I6159" t="str">
            <v>Farida</v>
          </cell>
          <cell r="J6159"/>
          <cell r="K6159" t="str">
            <v>KU</v>
          </cell>
          <cell r="L6159" t="str">
            <v>PERM02</v>
          </cell>
          <cell r="M6159" t="str">
            <v>Permata, UD/Badar</v>
          </cell>
          <cell r="N6159" t="str">
            <v>Badar</v>
          </cell>
          <cell r="O6159" t="str">
            <v>Dsn. Krajan, RT.001/RW.005, Kel. Sumberdanti, Kec. Sukowono</v>
          </cell>
          <cell r="P6159" t="str">
            <v>Jember</v>
          </cell>
          <cell r="Q6159" t="str">
            <v>Sukowono</v>
          </cell>
          <cell r="R6159" t="str">
            <v>Jember</v>
          </cell>
          <cell r="S6159" t="str">
            <v>N Bdw Stb</v>
          </cell>
          <cell r="T6159" t="str">
            <v>Wira</v>
          </cell>
          <cell r="U6159">
            <v>60</v>
          </cell>
        </row>
        <row r="6160">
          <cell r="E6160" t="str">
            <v>B25009058</v>
          </cell>
          <cell r="F6160"/>
          <cell r="G6160">
            <v>100000000</v>
          </cell>
          <cell r="H6160" t="str">
            <v>Yuyun</v>
          </cell>
          <cell r="I6160" t="str">
            <v>Farida</v>
          </cell>
          <cell r="J6160"/>
          <cell r="K6160" t="str">
            <v>KU</v>
          </cell>
          <cell r="L6160" t="str">
            <v>PERM02</v>
          </cell>
          <cell r="M6160" t="str">
            <v>Permata, UD/Badar</v>
          </cell>
          <cell r="N6160" t="str">
            <v>Badar</v>
          </cell>
          <cell r="O6160" t="str">
            <v>Dsn. Krajan, RT.001/RW.005, Kel. Sumberdanti, Kec. Sukowono</v>
          </cell>
          <cell r="P6160" t="str">
            <v>Jember</v>
          </cell>
          <cell r="Q6160" t="str">
            <v>Sukowono</v>
          </cell>
          <cell r="R6160" t="str">
            <v>Jember</v>
          </cell>
          <cell r="S6160" t="str">
            <v>N Bdw Stb</v>
          </cell>
          <cell r="T6160" t="str">
            <v>Wira</v>
          </cell>
          <cell r="U6160">
            <v>30</v>
          </cell>
        </row>
        <row r="6161">
          <cell r="E6161" t="str">
            <v>B25009059</v>
          </cell>
          <cell r="F6161"/>
          <cell r="G6161">
            <v>100000000</v>
          </cell>
          <cell r="H6161" t="str">
            <v>Yuyun</v>
          </cell>
          <cell r="I6161" t="str">
            <v>Farida</v>
          </cell>
          <cell r="J6161"/>
          <cell r="K6161" t="str">
            <v>KU</v>
          </cell>
          <cell r="L6161" t="str">
            <v>PERM02</v>
          </cell>
          <cell r="M6161" t="str">
            <v>Permata, UD/Badar</v>
          </cell>
          <cell r="N6161" t="str">
            <v>Badar</v>
          </cell>
          <cell r="O6161" t="str">
            <v>Dsn. Krajan, RT.001/RW.005, Kel. Sumberdanti, Kec. Sukowono</v>
          </cell>
          <cell r="P6161" t="str">
            <v>Jember</v>
          </cell>
          <cell r="Q6161" t="str">
            <v>Sukowono</v>
          </cell>
          <cell r="R6161" t="str">
            <v>Jember</v>
          </cell>
          <cell r="S6161" t="str">
            <v>N Bdw Stb</v>
          </cell>
          <cell r="T6161" t="str">
            <v>Wira</v>
          </cell>
          <cell r="U6161">
            <v>30</v>
          </cell>
        </row>
        <row r="6162">
          <cell r="E6162" t="str">
            <v>B25009060</v>
          </cell>
          <cell r="F6162"/>
          <cell r="G6162">
            <v>100000000</v>
          </cell>
          <cell r="H6162" t="str">
            <v>Yuyun</v>
          </cell>
          <cell r="I6162" t="str">
            <v>Farida</v>
          </cell>
          <cell r="J6162"/>
          <cell r="K6162" t="str">
            <v>KU</v>
          </cell>
          <cell r="L6162" t="str">
            <v>PERM02</v>
          </cell>
          <cell r="M6162" t="str">
            <v>Permata, UD/Badar</v>
          </cell>
          <cell r="N6162" t="str">
            <v>Badar</v>
          </cell>
          <cell r="O6162" t="str">
            <v>Dsn. Krajan, RT.001/RW.005, Kel. Sumberdanti, Kec. Sukowono</v>
          </cell>
          <cell r="P6162" t="str">
            <v>Jember</v>
          </cell>
          <cell r="Q6162" t="str">
            <v>Sukowono</v>
          </cell>
          <cell r="R6162" t="str">
            <v>Jember</v>
          </cell>
          <cell r="S6162" t="str">
            <v>N Bdw Stb</v>
          </cell>
          <cell r="T6162" t="str">
            <v>Wira</v>
          </cell>
          <cell r="U6162">
            <v>30</v>
          </cell>
        </row>
        <row r="6163">
          <cell r="E6163" t="str">
            <v>B25009070</v>
          </cell>
          <cell r="F6163"/>
          <cell r="G6163">
            <v>100000000</v>
          </cell>
          <cell r="H6163" t="str">
            <v>Yuyun</v>
          </cell>
          <cell r="I6163" t="str">
            <v>Farida</v>
          </cell>
          <cell r="J6163"/>
          <cell r="K6163" t="str">
            <v>KU</v>
          </cell>
          <cell r="L6163" t="str">
            <v>PERM02</v>
          </cell>
          <cell r="M6163" t="str">
            <v>Permata, UD/Badar</v>
          </cell>
          <cell r="N6163" t="str">
            <v>Badar</v>
          </cell>
          <cell r="O6163" t="str">
            <v>Dsn. Krajan, RT.001/RW.005, Kel. Sumberdanti, Kec. Sukowono</v>
          </cell>
          <cell r="P6163" t="str">
            <v>Jember</v>
          </cell>
          <cell r="Q6163" t="str">
            <v>Sukowono</v>
          </cell>
          <cell r="R6163" t="str">
            <v>Jember</v>
          </cell>
          <cell r="S6163" t="str">
            <v>N Bdw Stb</v>
          </cell>
          <cell r="T6163" t="str">
            <v>Wira</v>
          </cell>
          <cell r="U6163">
            <v>30</v>
          </cell>
        </row>
        <row r="6164">
          <cell r="E6164" t="str">
            <v>B25009951</v>
          </cell>
          <cell r="F6164"/>
          <cell r="G6164">
            <v>100000000</v>
          </cell>
          <cell r="H6164" t="str">
            <v>Yuyun</v>
          </cell>
          <cell r="I6164" t="str">
            <v>Farida</v>
          </cell>
          <cell r="J6164"/>
          <cell r="K6164" t="str">
            <v>KU</v>
          </cell>
          <cell r="L6164" t="str">
            <v>PERM02</v>
          </cell>
          <cell r="M6164" t="str">
            <v>Permata, UD/Badar</v>
          </cell>
          <cell r="N6164" t="str">
            <v>Badar</v>
          </cell>
          <cell r="O6164" t="str">
            <v>Dsn. Krajan, RT.001/RW.005, Kel. Sumberdanti, Kec. Sukowono</v>
          </cell>
          <cell r="P6164" t="str">
            <v>Jember</v>
          </cell>
          <cell r="Q6164" t="str">
            <v>Sukowono</v>
          </cell>
          <cell r="R6164" t="str">
            <v>Jember</v>
          </cell>
          <cell r="S6164" t="str">
            <v>N Bdw Stb</v>
          </cell>
          <cell r="T6164" t="str">
            <v>Wira</v>
          </cell>
          <cell r="U6164">
            <v>60</v>
          </cell>
        </row>
        <row r="6165">
          <cell r="E6165" t="str">
            <v>B25009980</v>
          </cell>
          <cell r="F6165"/>
          <cell r="G6165">
            <v>100000000</v>
          </cell>
          <cell r="H6165" t="str">
            <v>Yuyun</v>
          </cell>
          <cell r="I6165" t="str">
            <v>Farida</v>
          </cell>
          <cell r="J6165"/>
          <cell r="K6165" t="str">
            <v>KU</v>
          </cell>
          <cell r="L6165" t="str">
            <v>PERM02</v>
          </cell>
          <cell r="M6165" t="str">
            <v>Permata, UD/Badar</v>
          </cell>
          <cell r="N6165" t="str">
            <v>Badar</v>
          </cell>
          <cell r="O6165" t="str">
            <v>Dsn. Krajan, RT.001/RW.005, Kel. Sumberdanti, Kec. Sukowono</v>
          </cell>
          <cell r="P6165" t="str">
            <v>Jember</v>
          </cell>
          <cell r="Q6165" t="str">
            <v>Sukowono</v>
          </cell>
          <cell r="R6165" t="str">
            <v>Jember</v>
          </cell>
          <cell r="S6165" t="str">
            <v>N Bdw Stb</v>
          </cell>
          <cell r="T6165" t="str">
            <v>Wira</v>
          </cell>
          <cell r="U6165">
            <v>30</v>
          </cell>
        </row>
        <row r="6166">
          <cell r="E6166" t="str">
            <v>B25009981</v>
          </cell>
          <cell r="F6166"/>
          <cell r="G6166">
            <v>100000000</v>
          </cell>
          <cell r="H6166" t="str">
            <v>Yuyun</v>
          </cell>
          <cell r="I6166" t="str">
            <v>Farida</v>
          </cell>
          <cell r="J6166"/>
          <cell r="K6166" t="str">
            <v>KU</v>
          </cell>
          <cell r="L6166" t="str">
            <v>PERM02</v>
          </cell>
          <cell r="M6166" t="str">
            <v>Permata, UD/Badar</v>
          </cell>
          <cell r="N6166" t="str">
            <v>Badar</v>
          </cell>
          <cell r="O6166" t="str">
            <v>Dsn. Krajan, RT.001/RW.005, Kel. Sumberdanti, Kec. Sukowono</v>
          </cell>
          <cell r="P6166" t="str">
            <v>Jember</v>
          </cell>
          <cell r="Q6166" t="str">
            <v>Sukowono</v>
          </cell>
          <cell r="R6166" t="str">
            <v>Jember</v>
          </cell>
          <cell r="S6166" t="str">
            <v>N Bdw Stb</v>
          </cell>
          <cell r="T6166" t="str">
            <v>Wira</v>
          </cell>
          <cell r="U6166">
            <v>30</v>
          </cell>
        </row>
        <row r="6167">
          <cell r="E6167" t="str">
            <v>B25009982</v>
          </cell>
          <cell r="F6167"/>
          <cell r="G6167">
            <v>100000000</v>
          </cell>
          <cell r="H6167" t="str">
            <v>Yuyun</v>
          </cell>
          <cell r="I6167" t="str">
            <v>Farida</v>
          </cell>
          <cell r="J6167"/>
          <cell r="K6167" t="str">
            <v>KU</v>
          </cell>
          <cell r="L6167" t="str">
            <v>PERM02</v>
          </cell>
          <cell r="M6167" t="str">
            <v>Permata, UD/Badar</v>
          </cell>
          <cell r="N6167" t="str">
            <v>Badar</v>
          </cell>
          <cell r="O6167" t="str">
            <v>Dsn. Krajan, RT.001/RW.005, Kel. Sumberdanti, Kec. Sukowono</v>
          </cell>
          <cell r="P6167" t="str">
            <v>Jember</v>
          </cell>
          <cell r="Q6167" t="str">
            <v>Sukowono</v>
          </cell>
          <cell r="R6167" t="str">
            <v>Jember</v>
          </cell>
          <cell r="S6167" t="str">
            <v>N Bdw Stb</v>
          </cell>
          <cell r="T6167" t="str">
            <v>Wira</v>
          </cell>
          <cell r="U6167">
            <v>30</v>
          </cell>
        </row>
        <row r="6168">
          <cell r="E6168" t="str">
            <v>D25012449</v>
          </cell>
          <cell r="F6168"/>
          <cell r="G6168">
            <v>100000000</v>
          </cell>
          <cell r="H6168" t="str">
            <v>Yuyun</v>
          </cell>
          <cell r="I6168" t="str">
            <v>Farida</v>
          </cell>
          <cell r="J6168"/>
          <cell r="K6168" t="str">
            <v>KU</v>
          </cell>
          <cell r="L6168" t="str">
            <v>PERM02</v>
          </cell>
          <cell r="M6168" t="str">
            <v>Permata, UD/Badar</v>
          </cell>
          <cell r="N6168" t="str">
            <v>Badar</v>
          </cell>
          <cell r="O6168" t="str">
            <v>Dsn. Krajan, RT.001/RW.005, Kel. Sumberdanti, Kec. Sukowono</v>
          </cell>
          <cell r="P6168" t="str">
            <v>Jember</v>
          </cell>
          <cell r="Q6168" t="str">
            <v>Sukowono</v>
          </cell>
          <cell r="R6168" t="str">
            <v>Jember</v>
          </cell>
          <cell r="S6168" t="str">
            <v>N Bdw Stb</v>
          </cell>
          <cell r="T6168" t="str">
            <v>Wira</v>
          </cell>
          <cell r="U6168">
            <v>30</v>
          </cell>
        </row>
        <row r="6169">
          <cell r="E6169" t="str">
            <v>B25013329</v>
          </cell>
          <cell r="F6169"/>
          <cell r="G6169">
            <v>20000000</v>
          </cell>
          <cell r="H6169" t="str">
            <v>Zakia</v>
          </cell>
          <cell r="I6169" t="str">
            <v>Tiya</v>
          </cell>
          <cell r="J6169"/>
          <cell r="K6169" t="str">
            <v>KU</v>
          </cell>
          <cell r="L6169" t="str">
            <v>PERS02</v>
          </cell>
          <cell r="M6169" t="str">
            <v>Persada Tani/Munir</v>
          </cell>
          <cell r="N6169" t="str">
            <v>Miftahul Munir</v>
          </cell>
          <cell r="O6169" t="str">
            <v>Dsn. Bleber, RT.003/RW.004, Kel. Bleber, Kec. Kras</v>
          </cell>
          <cell r="P6169" t="str">
            <v>Kediri</v>
          </cell>
          <cell r="Q6169" t="str">
            <v>Ngantru</v>
          </cell>
          <cell r="R6169" t="str">
            <v>Tulungagung</v>
          </cell>
          <cell r="S6169" t="str">
            <v>D Barat2</v>
          </cell>
          <cell r="T6169" t="str">
            <v>Tomi</v>
          </cell>
          <cell r="U6169">
            <v>0</v>
          </cell>
        </row>
        <row r="6170">
          <cell r="E6170" t="str">
            <v>D25012451</v>
          </cell>
          <cell r="F6170"/>
          <cell r="G6170">
            <v>200000000</v>
          </cell>
          <cell r="H6170" t="str">
            <v>Faris</v>
          </cell>
          <cell r="I6170" t="str">
            <v>Syahra</v>
          </cell>
          <cell r="J6170" t="str">
            <v>New 13/12/19</v>
          </cell>
          <cell r="K6170" t="str">
            <v>KU</v>
          </cell>
          <cell r="L6170" t="str">
            <v>PERT05</v>
          </cell>
          <cell r="M6170" t="str">
            <v>Pertanian 99/Efendi</v>
          </cell>
          <cell r="N6170" t="str">
            <v>Punakawan Rejo Tani, CV</v>
          </cell>
          <cell r="O6170" t="str">
            <v>Dusun Kebaman RT.001/RW.001, Kel. Kebaman, Kec. Srono</v>
          </cell>
          <cell r="P6170" t="str">
            <v>Banyuwangi</v>
          </cell>
          <cell r="Q6170" t="str">
            <v>Dsn. Kebaman, RT.001/RW.001 Kel. Kebaman, Kec. Srono</v>
          </cell>
          <cell r="R6170" t="str">
            <v>Banyuwangi</v>
          </cell>
          <cell r="S6170" t="str">
            <v>H Bwi2</v>
          </cell>
          <cell r="T6170" t="str">
            <v>Hafid</v>
          </cell>
          <cell r="U6170">
            <v>60</v>
          </cell>
        </row>
        <row r="6171">
          <cell r="E6171" t="str">
            <v>B25010905</v>
          </cell>
          <cell r="F6171"/>
          <cell r="G6171">
            <v>200000000</v>
          </cell>
          <cell r="H6171" t="str">
            <v>Faris</v>
          </cell>
          <cell r="I6171" t="str">
            <v>Syahra</v>
          </cell>
          <cell r="J6171" t="str">
            <v>New 13/12/19</v>
          </cell>
          <cell r="K6171" t="str">
            <v>KU</v>
          </cell>
          <cell r="L6171" t="str">
            <v>PERT05</v>
          </cell>
          <cell r="M6171" t="str">
            <v>Pertanian 99/Efendi</v>
          </cell>
          <cell r="N6171" t="str">
            <v>Punakawan Rejo Tani, CV</v>
          </cell>
          <cell r="O6171" t="str">
            <v>Dusun Kebaman RT.001/RW.001, Kel. Kebaman, Kec. Srono</v>
          </cell>
          <cell r="P6171" t="str">
            <v>Banyuwangi</v>
          </cell>
          <cell r="Q6171" t="str">
            <v>Dsn. Kebaman, RT.001/RW.001 Kel. Kebaman, Kec. Srono</v>
          </cell>
          <cell r="R6171" t="str">
            <v>Banyuwangi</v>
          </cell>
          <cell r="S6171" t="str">
            <v>H Bwi2</v>
          </cell>
          <cell r="T6171" t="str">
            <v>Hafid</v>
          </cell>
          <cell r="U6171">
            <v>60</v>
          </cell>
        </row>
        <row r="6172">
          <cell r="E6172">
            <v>250091</v>
          </cell>
          <cell r="F6172"/>
          <cell r="G6172">
            <v>200000000</v>
          </cell>
          <cell r="H6172" t="str">
            <v>Faris</v>
          </cell>
          <cell r="I6172" t="str">
            <v>Syahra</v>
          </cell>
          <cell r="J6172" t="str">
            <v>New 13/12/19</v>
          </cell>
          <cell r="K6172" t="str">
            <v>KU</v>
          </cell>
          <cell r="L6172" t="str">
            <v>PERT05</v>
          </cell>
          <cell r="M6172" t="str">
            <v>Pertanian 99/Efendi</v>
          </cell>
          <cell r="N6172" t="str">
            <v>Punakawan Rejo Tani, CV</v>
          </cell>
          <cell r="O6172" t="str">
            <v>Dusun Kebaman RT.001/RW.001, Kel. Kebaman, Kec. Srono</v>
          </cell>
          <cell r="P6172" t="str">
            <v>Banyuwangi</v>
          </cell>
          <cell r="Q6172" t="str">
            <v>Dsn. Kebaman, RT.001/RW.001 Kel. Kebaman, Kec. Srono</v>
          </cell>
          <cell r="R6172" t="str">
            <v>Banyuwangi</v>
          </cell>
          <cell r="S6172" t="str">
            <v>H Bwi2</v>
          </cell>
          <cell r="T6172" t="str">
            <v>Hafid</v>
          </cell>
          <cell r="U6172">
            <v>30</v>
          </cell>
        </row>
        <row r="6173">
          <cell r="E6173" t="str">
            <v>B25011307</v>
          </cell>
          <cell r="F6173"/>
          <cell r="G6173">
            <v>200000000</v>
          </cell>
          <cell r="H6173" t="str">
            <v>Faris</v>
          </cell>
          <cell r="I6173" t="str">
            <v>Syahra</v>
          </cell>
          <cell r="J6173" t="str">
            <v>New 13/12/19</v>
          </cell>
          <cell r="K6173" t="str">
            <v>KU</v>
          </cell>
          <cell r="L6173" t="str">
            <v>PERT05</v>
          </cell>
          <cell r="M6173" t="str">
            <v>Pertanian 99/Efendi</v>
          </cell>
          <cell r="N6173" t="str">
            <v>Punakawan Rejo Tani, CV</v>
          </cell>
          <cell r="O6173" t="str">
            <v>Dusun Kebaman RT.001/RW.001, Kel. Kebaman, Kec. Srono</v>
          </cell>
          <cell r="P6173" t="str">
            <v>Banyuwangi</v>
          </cell>
          <cell r="Q6173" t="str">
            <v>Dsn. Kebaman, RT.001/RW.001 Kel. Kebaman, Kec. Srono</v>
          </cell>
          <cell r="R6173" t="str">
            <v>Banyuwangi</v>
          </cell>
          <cell r="S6173" t="str">
            <v>H Bwi2</v>
          </cell>
          <cell r="T6173" t="str">
            <v>Hafid</v>
          </cell>
          <cell r="U6173">
            <v>60</v>
          </cell>
        </row>
        <row r="6174">
          <cell r="E6174" t="str">
            <v>B25011335</v>
          </cell>
          <cell r="F6174"/>
          <cell r="G6174">
            <v>200000000</v>
          </cell>
          <cell r="H6174" t="str">
            <v>Faris</v>
          </cell>
          <cell r="I6174" t="str">
            <v>Syahra</v>
          </cell>
          <cell r="J6174" t="str">
            <v>New 13/12/19</v>
          </cell>
          <cell r="K6174" t="str">
            <v>KU</v>
          </cell>
          <cell r="L6174" t="str">
            <v>PERT05</v>
          </cell>
          <cell r="M6174" t="str">
            <v>Pertanian 99/Efendi</v>
          </cell>
          <cell r="N6174" t="str">
            <v>Punakawan Rejo Tani, CV</v>
          </cell>
          <cell r="O6174" t="str">
            <v>Dusun Kebaman RT.001/RW.001, Kel. Kebaman, Kec. Srono</v>
          </cell>
          <cell r="P6174" t="str">
            <v>Banyuwangi</v>
          </cell>
          <cell r="Q6174" t="str">
            <v>Dsn. Kebaman, RT.001/RW.001 Kel. Kebaman, Kec. Srono</v>
          </cell>
          <cell r="R6174" t="str">
            <v>Banyuwangi</v>
          </cell>
          <cell r="S6174" t="str">
            <v>H Bwi2</v>
          </cell>
          <cell r="T6174" t="str">
            <v>Hafid</v>
          </cell>
          <cell r="U6174">
            <v>30</v>
          </cell>
        </row>
        <row r="6175">
          <cell r="E6175" t="str">
            <v>D25013800</v>
          </cell>
          <cell r="F6175"/>
          <cell r="G6175">
            <v>200000000</v>
          </cell>
          <cell r="H6175" t="str">
            <v>Faris</v>
          </cell>
          <cell r="I6175" t="str">
            <v>Syahra</v>
          </cell>
          <cell r="J6175" t="str">
            <v>New 13/12/19</v>
          </cell>
          <cell r="K6175" t="str">
            <v>KU</v>
          </cell>
          <cell r="L6175" t="str">
            <v>PERT05</v>
          </cell>
          <cell r="M6175" t="str">
            <v>Pertanian 99/Efendi</v>
          </cell>
          <cell r="N6175" t="str">
            <v>Punakawan Rejo Tani, CV</v>
          </cell>
          <cell r="O6175" t="str">
            <v>Dusun Kebaman RT.001/RW.001, Kel. Kebaman, Kec. Srono</v>
          </cell>
          <cell r="P6175" t="str">
            <v>Banyuwangi</v>
          </cell>
          <cell r="Q6175" t="str">
            <v>Dsn. Kebaman, RT.001/RW.001 Kel. Kebaman, Kec. Srono</v>
          </cell>
          <cell r="R6175" t="str">
            <v>Banyuwangi</v>
          </cell>
          <cell r="S6175" t="str">
            <v>H Bwi2</v>
          </cell>
          <cell r="T6175" t="str">
            <v>Hafid</v>
          </cell>
          <cell r="U6175">
            <v>30</v>
          </cell>
        </row>
        <row r="6176">
          <cell r="E6176" t="str">
            <v>D25013800</v>
          </cell>
          <cell r="F6176"/>
          <cell r="G6176">
            <v>200000000</v>
          </cell>
          <cell r="H6176" t="str">
            <v>Faris</v>
          </cell>
          <cell r="I6176" t="str">
            <v>Syahra</v>
          </cell>
          <cell r="J6176" t="str">
            <v>New 13/12/19</v>
          </cell>
          <cell r="K6176" t="str">
            <v>KU</v>
          </cell>
          <cell r="L6176" t="str">
            <v>PERT05</v>
          </cell>
          <cell r="M6176" t="str">
            <v>Pertanian 99/Efendi</v>
          </cell>
          <cell r="N6176" t="str">
            <v>Punakawan Rejo Tani, CV</v>
          </cell>
          <cell r="O6176" t="str">
            <v>Dusun Kebaman RT.001/RW.001, Kel. Kebaman, Kec. Srono</v>
          </cell>
          <cell r="P6176" t="str">
            <v>Banyuwangi</v>
          </cell>
          <cell r="Q6176" t="str">
            <v>Dsn. Kebaman, RT.001/RW.001 Kel. Kebaman, Kec. Srono</v>
          </cell>
          <cell r="R6176" t="str">
            <v>Banyuwangi</v>
          </cell>
          <cell r="S6176" t="str">
            <v>H Bwi2</v>
          </cell>
          <cell r="T6176" t="str">
            <v>Hafid</v>
          </cell>
          <cell r="U6176">
            <v>30</v>
          </cell>
        </row>
        <row r="6177">
          <cell r="E6177" t="str">
            <v>D25013813</v>
          </cell>
          <cell r="F6177"/>
          <cell r="G6177">
            <v>200000000</v>
          </cell>
          <cell r="H6177" t="str">
            <v>Faris</v>
          </cell>
          <cell r="I6177" t="str">
            <v>Syahra</v>
          </cell>
          <cell r="J6177" t="str">
            <v>New 13/12/19</v>
          </cell>
          <cell r="K6177" t="str">
            <v>KU</v>
          </cell>
          <cell r="L6177" t="str">
            <v>PERT05</v>
          </cell>
          <cell r="M6177" t="str">
            <v>Pertanian 99/Efendi</v>
          </cell>
          <cell r="N6177" t="str">
            <v>Punakawan Rejo Tani, CV</v>
          </cell>
          <cell r="O6177" t="str">
            <v>Dusun Kebaman RT.001/RW.001, Kel. Kebaman, Kec. Srono</v>
          </cell>
          <cell r="P6177" t="str">
            <v>Banyuwangi</v>
          </cell>
          <cell r="Q6177" t="str">
            <v>Dsn. Kebaman, RT.001/RW.001 Kel. Kebaman, Kec. Srono</v>
          </cell>
          <cell r="R6177" t="str">
            <v>Banyuwangi</v>
          </cell>
          <cell r="S6177" t="str">
            <v>H Bwi2</v>
          </cell>
          <cell r="T6177" t="str">
            <v>Hafid</v>
          </cell>
          <cell r="U6177">
            <v>30</v>
          </cell>
        </row>
        <row r="6178">
          <cell r="E6178">
            <v>250108</v>
          </cell>
          <cell r="F6178"/>
          <cell r="G6178">
            <v>200000000</v>
          </cell>
          <cell r="H6178" t="str">
            <v>Faris</v>
          </cell>
          <cell r="I6178" t="str">
            <v>Syahra</v>
          </cell>
          <cell r="J6178" t="str">
            <v>New 13/12/19</v>
          </cell>
          <cell r="K6178" t="str">
            <v>KU</v>
          </cell>
          <cell r="L6178" t="str">
            <v>PERT05</v>
          </cell>
          <cell r="M6178" t="str">
            <v>Pertanian 99/Efendi</v>
          </cell>
          <cell r="N6178" t="str">
            <v>Punakawan Rejo Tani, CV</v>
          </cell>
          <cell r="O6178" t="str">
            <v>Dusun Kebaman RT.001/RW.001, Kel. Kebaman, Kec. Srono</v>
          </cell>
          <cell r="P6178" t="str">
            <v>Banyuwangi</v>
          </cell>
          <cell r="Q6178" t="str">
            <v>Dsn. Kebaman, RT.001/RW.001 Kel. Kebaman, Kec. Srono</v>
          </cell>
          <cell r="R6178" t="str">
            <v>Banyuwangi</v>
          </cell>
          <cell r="S6178" t="str">
            <v>H Bwi2</v>
          </cell>
          <cell r="T6178" t="str">
            <v>Hafid</v>
          </cell>
          <cell r="U6178">
            <v>30</v>
          </cell>
        </row>
        <row r="6179">
          <cell r="E6179" t="str">
            <v>D25014337</v>
          </cell>
          <cell r="F6179"/>
          <cell r="G6179">
            <v>200000000</v>
          </cell>
          <cell r="H6179" t="str">
            <v>Faris</v>
          </cell>
          <cell r="I6179" t="str">
            <v>Syahra</v>
          </cell>
          <cell r="J6179" t="str">
            <v>New 13/12/19</v>
          </cell>
          <cell r="K6179" t="str">
            <v>KU</v>
          </cell>
          <cell r="L6179" t="str">
            <v>PERT05</v>
          </cell>
          <cell r="M6179" t="str">
            <v>Pertanian 99/Efendi</v>
          </cell>
          <cell r="N6179" t="str">
            <v>Punakawan Rejo Tani, CV</v>
          </cell>
          <cell r="O6179" t="str">
            <v>Dusun Kebaman RT.001/RW.001, Kel. Kebaman, Kec. Srono</v>
          </cell>
          <cell r="P6179" t="str">
            <v>Banyuwangi</v>
          </cell>
          <cell r="Q6179" t="str">
            <v>Dsn. Kebaman, RT.001/RW.001 Kel. Kebaman, Kec. Srono</v>
          </cell>
          <cell r="R6179" t="str">
            <v>Banyuwangi</v>
          </cell>
          <cell r="S6179" t="str">
            <v>H Bwi2</v>
          </cell>
          <cell r="T6179" t="str">
            <v>Hafid</v>
          </cell>
          <cell r="U6179">
            <v>30</v>
          </cell>
        </row>
        <row r="6180">
          <cell r="E6180">
            <v>250118</v>
          </cell>
          <cell r="F6180"/>
          <cell r="G6180">
            <v>200000000</v>
          </cell>
          <cell r="H6180" t="str">
            <v>Faris</v>
          </cell>
          <cell r="I6180" t="str">
            <v>Syahra</v>
          </cell>
          <cell r="J6180" t="str">
            <v>New 13/12/19</v>
          </cell>
          <cell r="K6180" t="str">
            <v>KU</v>
          </cell>
          <cell r="L6180" t="str">
            <v>PERT05</v>
          </cell>
          <cell r="M6180" t="str">
            <v>Pertanian 99/Efendi</v>
          </cell>
          <cell r="N6180" t="str">
            <v>Punakawan Rejo Tani, CV</v>
          </cell>
          <cell r="O6180" t="str">
            <v>Dusun Kebaman RT.001/RW.001, Kel. Kebaman, Kec. Srono</v>
          </cell>
          <cell r="P6180" t="str">
            <v>Banyuwangi</v>
          </cell>
          <cell r="Q6180" t="str">
            <v>Dsn. Kebaman, RT.001/RW.001 Kel. Kebaman, Kec. Srono</v>
          </cell>
          <cell r="R6180" t="str">
            <v>Banyuwangi</v>
          </cell>
          <cell r="S6180" t="str">
            <v>H Bwi2</v>
          </cell>
          <cell r="T6180" t="str">
            <v>Hafid</v>
          </cell>
          <cell r="U6180">
            <v>30</v>
          </cell>
        </row>
        <row r="6181">
          <cell r="E6181" t="str">
            <v>B25012352</v>
          </cell>
          <cell r="F6181"/>
          <cell r="G6181">
            <v>200000000</v>
          </cell>
          <cell r="H6181" t="str">
            <v>Faris</v>
          </cell>
          <cell r="I6181" t="str">
            <v>Syahra</v>
          </cell>
          <cell r="J6181" t="str">
            <v>New 13/12/19</v>
          </cell>
          <cell r="K6181" t="str">
            <v>KU</v>
          </cell>
          <cell r="L6181" t="str">
            <v>PERT05</v>
          </cell>
          <cell r="M6181" t="str">
            <v>Pertanian 99/Efendi</v>
          </cell>
          <cell r="N6181" t="str">
            <v>Punakawan Rejo Tani, CV</v>
          </cell>
          <cell r="O6181" t="str">
            <v>Dusun Kebaman RT.001/RW.001, Kel. Kebaman, Kec. Srono</v>
          </cell>
          <cell r="P6181" t="str">
            <v>Banyuwangi</v>
          </cell>
          <cell r="Q6181" t="str">
            <v>Dsn. Kebaman, RT.001/RW.001 Kel. Kebaman, Kec. Srono</v>
          </cell>
          <cell r="R6181" t="str">
            <v>Banyuwangi</v>
          </cell>
          <cell r="S6181" t="str">
            <v>H Bwi2</v>
          </cell>
          <cell r="T6181" t="str">
            <v>Hafid</v>
          </cell>
          <cell r="U6181">
            <v>30</v>
          </cell>
        </row>
        <row r="6182">
          <cell r="E6182" t="str">
            <v>D25015101</v>
          </cell>
          <cell r="F6182"/>
          <cell r="G6182">
            <v>200000000</v>
          </cell>
          <cell r="H6182" t="str">
            <v>Faris</v>
          </cell>
          <cell r="I6182" t="str">
            <v>Syahra</v>
          </cell>
          <cell r="J6182" t="str">
            <v>New 13/12/19</v>
          </cell>
          <cell r="K6182" t="str">
            <v>KU</v>
          </cell>
          <cell r="L6182" t="str">
            <v>PERT05</v>
          </cell>
          <cell r="M6182" t="str">
            <v>Pertanian 99/Efendi</v>
          </cell>
          <cell r="N6182" t="str">
            <v>Punakawan Rejo Tani, CV</v>
          </cell>
          <cell r="O6182" t="str">
            <v>Dusun Kebaman RT.001/RW.001, Kel. Kebaman, Kec. Srono</v>
          </cell>
          <cell r="P6182" t="str">
            <v>Banyuwangi</v>
          </cell>
          <cell r="Q6182" t="str">
            <v>Dsn. Kebaman, RT.001/RW.001 Kel. Kebaman, Kec. Srono</v>
          </cell>
          <cell r="R6182" t="str">
            <v>Banyuwangi</v>
          </cell>
          <cell r="S6182" t="str">
            <v>H Bwi2</v>
          </cell>
          <cell r="T6182" t="str">
            <v>Hafid</v>
          </cell>
          <cell r="U6182">
            <v>30</v>
          </cell>
        </row>
        <row r="6183">
          <cell r="E6183">
            <v>250131</v>
          </cell>
          <cell r="F6183"/>
          <cell r="G6183">
            <v>200000000</v>
          </cell>
          <cell r="H6183" t="str">
            <v>Faris</v>
          </cell>
          <cell r="I6183" t="str">
            <v>Syahra</v>
          </cell>
          <cell r="J6183" t="str">
            <v>New 13/12/19</v>
          </cell>
          <cell r="K6183" t="str">
            <v>KU</v>
          </cell>
          <cell r="L6183" t="str">
            <v>PERT05</v>
          </cell>
          <cell r="M6183" t="str">
            <v>Pertanian 99/Efendi</v>
          </cell>
          <cell r="N6183" t="str">
            <v>Punakawan Rejo Tani, CV</v>
          </cell>
          <cell r="O6183" t="str">
            <v>Dusun Kebaman RT.001/RW.001, Kel. Kebaman, Kec. Srono</v>
          </cell>
          <cell r="P6183" t="str">
            <v>Banyuwangi</v>
          </cell>
          <cell r="Q6183" t="str">
            <v>Dsn. Kebaman, RT.001/RW.001 Kel. Kebaman, Kec. Srono</v>
          </cell>
          <cell r="R6183" t="str">
            <v>Banyuwangi</v>
          </cell>
          <cell r="S6183" t="str">
            <v>H Bwi2</v>
          </cell>
          <cell r="T6183" t="str">
            <v>Hafid</v>
          </cell>
          <cell r="U6183">
            <v>30</v>
          </cell>
        </row>
        <row r="6184">
          <cell r="E6184" t="str">
            <v>D25015183</v>
          </cell>
          <cell r="F6184"/>
          <cell r="G6184">
            <v>200000000</v>
          </cell>
          <cell r="H6184" t="str">
            <v>Faris</v>
          </cell>
          <cell r="I6184" t="str">
            <v>Syahra</v>
          </cell>
          <cell r="J6184" t="str">
            <v>New 13/12/19</v>
          </cell>
          <cell r="K6184" t="str">
            <v>KU</v>
          </cell>
          <cell r="L6184" t="str">
            <v>PERT05</v>
          </cell>
          <cell r="M6184" t="str">
            <v>Pertanian 99/Efendi</v>
          </cell>
          <cell r="N6184" t="str">
            <v>Punakawan Rejo Tani, CV</v>
          </cell>
          <cell r="O6184" t="str">
            <v>Dusun Kebaman RT.001/RW.001, Kel. Kebaman, Kec. Srono</v>
          </cell>
          <cell r="P6184" t="str">
            <v>Banyuwangi</v>
          </cell>
          <cell r="Q6184" t="str">
            <v>Dsn. Kebaman, RT.001/RW.001 Kel. Kebaman, Kec. Srono</v>
          </cell>
          <cell r="R6184" t="str">
            <v>Banyuwangi</v>
          </cell>
          <cell r="S6184" t="str">
            <v>H Bwi2</v>
          </cell>
          <cell r="T6184" t="str">
            <v>Hafid</v>
          </cell>
          <cell r="U6184">
            <v>30</v>
          </cell>
        </row>
        <row r="6185">
          <cell r="E6185" t="str">
            <v>B25013324</v>
          </cell>
          <cell r="F6185"/>
          <cell r="G6185">
            <v>200000000</v>
          </cell>
          <cell r="H6185" t="str">
            <v>Faris</v>
          </cell>
          <cell r="I6185" t="str">
            <v>Syahra</v>
          </cell>
          <cell r="J6185" t="str">
            <v>New 13/12/19</v>
          </cell>
          <cell r="K6185" t="str">
            <v>KU</v>
          </cell>
          <cell r="L6185" t="str">
            <v>PERT05</v>
          </cell>
          <cell r="M6185" t="str">
            <v>Pertanian 99/Efendi</v>
          </cell>
          <cell r="N6185" t="str">
            <v>Punakawan Rejo Tani, CV</v>
          </cell>
          <cell r="O6185" t="str">
            <v>Dusun Kebaman RT.001/RW.001, Kel. Kebaman, Kec. Srono</v>
          </cell>
          <cell r="P6185" t="str">
            <v>Banyuwangi</v>
          </cell>
          <cell r="Q6185" t="str">
            <v>Dsn. Kebaman, RT.001/RW.001 Kel. Kebaman, Kec. Srono</v>
          </cell>
          <cell r="R6185" t="str">
            <v>Banyuwangi</v>
          </cell>
          <cell r="S6185" t="str">
            <v>H Bwi2</v>
          </cell>
          <cell r="T6185" t="str">
            <v>Hafid</v>
          </cell>
          <cell r="U6185">
            <v>30</v>
          </cell>
        </row>
        <row r="6186">
          <cell r="E6186" t="str">
            <v>D25015590</v>
          </cell>
          <cell r="F6186"/>
          <cell r="G6186">
            <v>200000000</v>
          </cell>
          <cell r="H6186" t="str">
            <v>Faris</v>
          </cell>
          <cell r="I6186" t="str">
            <v>Syahra</v>
          </cell>
          <cell r="J6186" t="str">
            <v>New 13/12/19</v>
          </cell>
          <cell r="K6186" t="str">
            <v>KU</v>
          </cell>
          <cell r="L6186" t="str">
            <v>PERT05</v>
          </cell>
          <cell r="M6186" t="str">
            <v>Pertanian 99/Efendi</v>
          </cell>
          <cell r="N6186" t="str">
            <v>Punakawan Rejo Tani, CV</v>
          </cell>
          <cell r="O6186" t="str">
            <v>Dusun Kebaman RT.001/RW.001, Kel. Kebaman, Kec. Srono</v>
          </cell>
          <cell r="P6186" t="str">
            <v>Banyuwangi</v>
          </cell>
          <cell r="Q6186" t="str">
            <v>Dsn. Kebaman, RT.001/RW.001 Kel. Kebaman, Kec. Srono</v>
          </cell>
          <cell r="R6186" t="str">
            <v>Banyuwangi</v>
          </cell>
          <cell r="S6186" t="str">
            <v>H Bwi2</v>
          </cell>
          <cell r="T6186" t="str">
            <v>Hafid</v>
          </cell>
          <cell r="U6186">
            <v>30</v>
          </cell>
        </row>
        <row r="6187">
          <cell r="E6187" t="str">
            <v>B25013433</v>
          </cell>
          <cell r="F6187"/>
          <cell r="G6187">
            <v>200000000</v>
          </cell>
          <cell r="H6187" t="str">
            <v>Faris</v>
          </cell>
          <cell r="I6187" t="str">
            <v>Syahra</v>
          </cell>
          <cell r="J6187" t="str">
            <v>New 13/12/19</v>
          </cell>
          <cell r="K6187" t="str">
            <v>KU</v>
          </cell>
          <cell r="L6187" t="str">
            <v>PERT05</v>
          </cell>
          <cell r="M6187" t="str">
            <v>Pertanian 99/Efendi</v>
          </cell>
          <cell r="N6187" t="str">
            <v>Punakawan Rejo Tani, CV</v>
          </cell>
          <cell r="O6187" t="str">
            <v>Dusun Kebaman RT.001/RW.001, Kel. Kebaman, Kec. Srono</v>
          </cell>
          <cell r="P6187" t="str">
            <v>Banyuwangi</v>
          </cell>
          <cell r="Q6187" t="str">
            <v>Dsn. Kebaman, RT.001/RW.001 Kel. Kebaman, Kec. Srono</v>
          </cell>
          <cell r="R6187" t="str">
            <v>Banyuwangi</v>
          </cell>
          <cell r="S6187" t="str">
            <v>H Bwi2</v>
          </cell>
          <cell r="T6187" t="str">
            <v>Hafid</v>
          </cell>
          <cell r="U6187">
            <v>0</v>
          </cell>
        </row>
        <row r="6188">
          <cell r="E6188" t="str">
            <v>B25013434</v>
          </cell>
          <cell r="F6188"/>
          <cell r="G6188">
            <v>200000000</v>
          </cell>
          <cell r="H6188" t="str">
            <v>Faris</v>
          </cell>
          <cell r="I6188" t="str">
            <v>Syahra</v>
          </cell>
          <cell r="J6188" t="str">
            <v>New 13/12/19</v>
          </cell>
          <cell r="K6188" t="str">
            <v>KU</v>
          </cell>
          <cell r="L6188" t="str">
            <v>PERT05</v>
          </cell>
          <cell r="M6188" t="str">
            <v>Pertanian 99/Efendi</v>
          </cell>
          <cell r="N6188" t="str">
            <v>Punakawan Rejo Tani, CV</v>
          </cell>
          <cell r="O6188" t="str">
            <v>Dusun Kebaman RT.001/RW.001, Kel. Kebaman, Kec. Srono</v>
          </cell>
          <cell r="P6188" t="str">
            <v>Banyuwangi</v>
          </cell>
          <cell r="Q6188" t="str">
            <v>Dsn. Kebaman, RT.001/RW.001 Kel. Kebaman, Kec. Srono</v>
          </cell>
          <cell r="R6188" t="str">
            <v>Banyuwangi</v>
          </cell>
          <cell r="S6188" t="str">
            <v>H Bwi2</v>
          </cell>
          <cell r="T6188" t="str">
            <v>Hafid</v>
          </cell>
          <cell r="U6188">
            <v>30</v>
          </cell>
        </row>
        <row r="6189">
          <cell r="E6189" t="str">
            <v>T25000969K</v>
          </cell>
          <cell r="F6189"/>
          <cell r="G6189">
            <v>100000000</v>
          </cell>
          <cell r="H6189" t="str">
            <v>Ariyani</v>
          </cell>
          <cell r="I6189" t="str">
            <v>Fira</v>
          </cell>
          <cell r="J6189" t="str">
            <v>New 26/09/19</v>
          </cell>
          <cell r="K6189" t="str">
            <v>Tunai</v>
          </cell>
          <cell r="L6189" t="str">
            <v>PERT08</v>
          </cell>
          <cell r="M6189" t="str">
            <v>Pertanian Bu Linda, Toko</v>
          </cell>
          <cell r="N6189" t="str">
            <v>Tami</v>
          </cell>
          <cell r="O6189" t="str">
            <v>Dsn. Talsewu, RT.001/RW.006 Kel. Wotgalih, Kec. Yosowilangun</v>
          </cell>
          <cell r="P6189" t="str">
            <v>Lumajang</v>
          </cell>
          <cell r="Q6189" t="str">
            <v>Dsn. Talsewu, RT.001/RW.006 Kel. Wotgalih, Kec. Yosowilangun</v>
          </cell>
          <cell r="R6189" t="str">
            <v>Lumajang</v>
          </cell>
          <cell r="S6189" t="str">
            <v>C Lumajang</v>
          </cell>
          <cell r="T6189" t="str">
            <v>Wira</v>
          </cell>
          <cell r="U6189">
            <v>120</v>
          </cell>
        </row>
        <row r="6190">
          <cell r="E6190" t="str">
            <v>T25000973k</v>
          </cell>
          <cell r="F6190"/>
          <cell r="G6190">
            <v>100000000</v>
          </cell>
          <cell r="H6190" t="str">
            <v>Ariyani</v>
          </cell>
          <cell r="I6190" t="str">
            <v>Fira</v>
          </cell>
          <cell r="J6190" t="str">
            <v>New 26/09/19</v>
          </cell>
          <cell r="K6190" t="str">
            <v>Tunai</v>
          </cell>
          <cell r="L6190" t="str">
            <v>PERT08</v>
          </cell>
          <cell r="M6190" t="str">
            <v>Pertanian Bu Linda, Toko</v>
          </cell>
          <cell r="N6190" t="str">
            <v>Tami</v>
          </cell>
          <cell r="O6190" t="str">
            <v>Dsn. Talsewu, RT.001/RW.006 Kel. Wotgalih, Kec. Yosowilangun</v>
          </cell>
          <cell r="P6190" t="str">
            <v>Lumajang</v>
          </cell>
          <cell r="Q6190" t="str">
            <v>Dsn. Talsewu, RT.001/RW.006 Kel. Wotgalih, Kec. Yosowilangun</v>
          </cell>
          <cell r="R6190" t="str">
            <v>Lumajang</v>
          </cell>
          <cell r="S6190" t="str">
            <v>C Lumajang</v>
          </cell>
          <cell r="T6190" t="str">
            <v>Wira</v>
          </cell>
          <cell r="U6190">
            <v>120</v>
          </cell>
        </row>
        <row r="6191">
          <cell r="E6191" t="str">
            <v>B25008988</v>
          </cell>
          <cell r="F6191"/>
          <cell r="G6191">
            <v>100000000</v>
          </cell>
          <cell r="H6191" t="str">
            <v>Ariyani</v>
          </cell>
          <cell r="I6191" t="str">
            <v>Fira</v>
          </cell>
          <cell r="J6191" t="str">
            <v>New 26/09/19</v>
          </cell>
          <cell r="K6191" t="str">
            <v>Tunai</v>
          </cell>
          <cell r="L6191" t="str">
            <v>PERT08</v>
          </cell>
          <cell r="M6191" t="str">
            <v>Pertanian Bu Linda, Toko</v>
          </cell>
          <cell r="N6191" t="str">
            <v>Tami</v>
          </cell>
          <cell r="O6191" t="str">
            <v>Dsn. Talsewu, RT.001/RW.006 Kel. Wotgalih, Kec. Yosowilangun</v>
          </cell>
          <cell r="P6191" t="str">
            <v>Lumajang</v>
          </cell>
          <cell r="Q6191" t="str">
            <v>Dsn. Talsewu, RT.001/RW.006 Kel. Wotgalih, Kec. Yosowilangun</v>
          </cell>
          <cell r="R6191" t="str">
            <v>Lumajang</v>
          </cell>
          <cell r="S6191" t="str">
            <v>C Lumajang</v>
          </cell>
          <cell r="T6191" t="str">
            <v>Wira</v>
          </cell>
          <cell r="U6191">
            <v>60</v>
          </cell>
        </row>
        <row r="6192">
          <cell r="E6192" t="str">
            <v>B25009500</v>
          </cell>
          <cell r="F6192"/>
          <cell r="G6192">
            <v>100000000</v>
          </cell>
          <cell r="H6192" t="str">
            <v>Ariyani</v>
          </cell>
          <cell r="I6192" t="str">
            <v>Fira</v>
          </cell>
          <cell r="J6192" t="str">
            <v>New 26/09/19</v>
          </cell>
          <cell r="K6192" t="str">
            <v>Tunai</v>
          </cell>
          <cell r="L6192" t="str">
            <v>PERT08</v>
          </cell>
          <cell r="M6192" t="str">
            <v>Pertanian Bu Linda, Toko</v>
          </cell>
          <cell r="N6192" t="str">
            <v>Tami</v>
          </cell>
          <cell r="O6192" t="str">
            <v>Dsn. Talsewu, RT.001/RW.006 Kel. Wotgalih, Kec. Yosowilangun</v>
          </cell>
          <cell r="P6192" t="str">
            <v>Lumajang</v>
          </cell>
          <cell r="Q6192" t="str">
            <v>Dsn. Talsewu, RT.001/RW.006 Kel. Wotgalih, Kec. Yosowilangun</v>
          </cell>
          <cell r="R6192" t="str">
            <v>Lumajang</v>
          </cell>
          <cell r="S6192" t="str">
            <v>C Lumajang</v>
          </cell>
          <cell r="T6192" t="str">
            <v>Wira</v>
          </cell>
          <cell r="U6192">
            <v>30</v>
          </cell>
        </row>
        <row r="6193">
          <cell r="E6193" t="str">
            <v>T25001242</v>
          </cell>
          <cell r="F6193"/>
          <cell r="G6193">
            <v>100000000</v>
          </cell>
          <cell r="H6193" t="str">
            <v>Ariyani</v>
          </cell>
          <cell r="I6193" t="str">
            <v>Fira</v>
          </cell>
          <cell r="J6193" t="str">
            <v>New 26/09/19</v>
          </cell>
          <cell r="K6193" t="str">
            <v>Tunai</v>
          </cell>
          <cell r="L6193" t="str">
            <v>PERT08</v>
          </cell>
          <cell r="M6193" t="str">
            <v>Pertanian Bu Linda, Toko</v>
          </cell>
          <cell r="N6193" t="str">
            <v>Tami</v>
          </cell>
          <cell r="O6193" t="str">
            <v>Dsn. Talsewu, RT.001/RW.006 Kel. Wotgalih, Kec. Yosowilangun</v>
          </cell>
          <cell r="P6193" t="str">
            <v>Lumajang</v>
          </cell>
          <cell r="Q6193" t="str">
            <v>Dsn. Talsewu, RT.001/RW.006 Kel. Wotgalih, Kec. Yosowilangun</v>
          </cell>
          <cell r="R6193" t="str">
            <v>Lumajang</v>
          </cell>
          <cell r="S6193" t="str">
            <v>C Lumajang</v>
          </cell>
          <cell r="T6193" t="str">
            <v>Wira</v>
          </cell>
          <cell r="U6193">
            <v>60</v>
          </cell>
        </row>
        <row r="6194">
          <cell r="E6194" t="str">
            <v>T25001248</v>
          </cell>
          <cell r="F6194"/>
          <cell r="G6194">
            <v>100000000</v>
          </cell>
          <cell r="H6194" t="str">
            <v>Ariyani</v>
          </cell>
          <cell r="I6194" t="str">
            <v>Fira</v>
          </cell>
          <cell r="J6194" t="str">
            <v>New 26/09/19</v>
          </cell>
          <cell r="K6194" t="str">
            <v>Tunai</v>
          </cell>
          <cell r="L6194" t="str">
            <v>PERT08</v>
          </cell>
          <cell r="M6194" t="str">
            <v>Pertanian Bu Linda, Toko</v>
          </cell>
          <cell r="N6194" t="str">
            <v>Tami</v>
          </cell>
          <cell r="O6194" t="str">
            <v>Dsn. Talsewu, RT.001/RW.006 Kel. Wotgalih, Kec. Yosowilangun</v>
          </cell>
          <cell r="P6194" t="str">
            <v>Lumajang</v>
          </cell>
          <cell r="Q6194" t="str">
            <v>Dsn. Talsewu, RT.001/RW.006 Kel. Wotgalih, Kec. Yosowilangun</v>
          </cell>
          <cell r="R6194" t="str">
            <v>Lumajang</v>
          </cell>
          <cell r="S6194" t="str">
            <v>C Lumajang</v>
          </cell>
          <cell r="T6194" t="str">
            <v>Wira</v>
          </cell>
          <cell r="U6194">
            <v>60</v>
          </cell>
        </row>
        <row r="6195">
          <cell r="E6195" t="str">
            <v>B25010200</v>
          </cell>
          <cell r="F6195"/>
          <cell r="G6195">
            <v>100000000</v>
          </cell>
          <cell r="H6195" t="str">
            <v>Ariyani</v>
          </cell>
          <cell r="I6195" t="str">
            <v>Fira</v>
          </cell>
          <cell r="J6195" t="str">
            <v>New 26/09/19</v>
          </cell>
          <cell r="K6195" t="str">
            <v>Tunai</v>
          </cell>
          <cell r="L6195" t="str">
            <v>PERT08</v>
          </cell>
          <cell r="M6195" t="str">
            <v>Pertanian Bu Linda, Toko</v>
          </cell>
          <cell r="N6195" t="str">
            <v>Tami</v>
          </cell>
          <cell r="O6195" t="str">
            <v>Dsn. Talsewu, RT.001/RW.006 Kel. Wotgalih, Kec. Yosowilangun</v>
          </cell>
          <cell r="P6195" t="str">
            <v>Lumajang</v>
          </cell>
          <cell r="Q6195" t="str">
            <v>Dsn. Talsewu, RT.001/RW.006 Kel. Wotgalih, Kec. Yosowilangun</v>
          </cell>
          <cell r="R6195" t="str">
            <v>Lumajang</v>
          </cell>
          <cell r="S6195" t="str">
            <v>C Lumajang</v>
          </cell>
          <cell r="T6195" t="str">
            <v>Wira</v>
          </cell>
          <cell r="U6195">
            <v>60</v>
          </cell>
        </row>
        <row r="6196">
          <cell r="E6196" t="str">
            <v>T25001450</v>
          </cell>
          <cell r="F6196"/>
          <cell r="G6196">
            <v>100000000</v>
          </cell>
          <cell r="H6196" t="str">
            <v>Ariyani</v>
          </cell>
          <cell r="I6196" t="str">
            <v>Fira</v>
          </cell>
          <cell r="J6196" t="str">
            <v>New 26/09/19</v>
          </cell>
          <cell r="K6196" t="str">
            <v>Tunai</v>
          </cell>
          <cell r="L6196" t="str">
            <v>PERT08</v>
          </cell>
          <cell r="M6196" t="str">
            <v>Pertanian Bu Linda, Toko</v>
          </cell>
          <cell r="N6196" t="str">
            <v>Tami</v>
          </cell>
          <cell r="O6196" t="str">
            <v>Dsn. Talsewu, RT.001/RW.006 Kel. Wotgalih, Kec. Yosowilangun</v>
          </cell>
          <cell r="P6196" t="str">
            <v>Lumajang</v>
          </cell>
          <cell r="Q6196" t="str">
            <v>Dsn. Talsewu, RT.001/RW.006 Kel. Wotgalih, Kec. Yosowilangun</v>
          </cell>
          <cell r="R6196" t="str">
            <v>Lumajang</v>
          </cell>
          <cell r="S6196" t="str">
            <v>C Lumajang</v>
          </cell>
          <cell r="T6196" t="str">
            <v>Wira</v>
          </cell>
          <cell r="U6196">
            <v>60</v>
          </cell>
        </row>
        <row r="6197">
          <cell r="E6197" t="str">
            <v>B25012420</v>
          </cell>
          <cell r="F6197"/>
          <cell r="G6197">
            <v>100000000</v>
          </cell>
          <cell r="H6197" t="str">
            <v>Ariyani</v>
          </cell>
          <cell r="I6197" t="str">
            <v>Fira</v>
          </cell>
          <cell r="J6197" t="str">
            <v>New 26/09/19</v>
          </cell>
          <cell r="K6197" t="str">
            <v>Tunai</v>
          </cell>
          <cell r="L6197" t="str">
            <v>PERT08</v>
          </cell>
          <cell r="M6197" t="str">
            <v>Pertanian Bu Linda, Toko</v>
          </cell>
          <cell r="N6197" t="str">
            <v>Tami</v>
          </cell>
          <cell r="O6197" t="str">
            <v>Dsn. Talsewu, RT.001/RW.006 Kel. Wotgalih, Kec. Yosowilangun</v>
          </cell>
          <cell r="P6197" t="str">
            <v>Lumajang</v>
          </cell>
          <cell r="Q6197" t="str">
            <v>Dsn. Talsewu, RT.001/RW.006 Kel. Wotgalih, Kec. Yosowilangun</v>
          </cell>
          <cell r="R6197" t="str">
            <v>Lumajang</v>
          </cell>
          <cell r="S6197" t="str">
            <v>C Lumajang</v>
          </cell>
          <cell r="T6197" t="str">
            <v>Wira</v>
          </cell>
          <cell r="U6197">
            <v>30</v>
          </cell>
        </row>
        <row r="6198">
          <cell r="E6198" t="str">
            <v>B25013247</v>
          </cell>
          <cell r="F6198"/>
          <cell r="G6198">
            <v>100000000</v>
          </cell>
          <cell r="H6198" t="str">
            <v>Ariyani</v>
          </cell>
          <cell r="I6198" t="str">
            <v>Fira</v>
          </cell>
          <cell r="J6198" t="str">
            <v>New 26/09/19</v>
          </cell>
          <cell r="K6198" t="str">
            <v>Tunai</v>
          </cell>
          <cell r="L6198" t="str">
            <v>PERT08</v>
          </cell>
          <cell r="M6198" t="str">
            <v>Pertanian Bu Linda, Toko</v>
          </cell>
          <cell r="N6198" t="str">
            <v>Tami</v>
          </cell>
          <cell r="O6198" t="str">
            <v>Dsn. Talsewu, RT.001/RW.006 Kel. Wotgalih, Kec. Yosowilangun</v>
          </cell>
          <cell r="P6198" t="str">
            <v>Lumajang</v>
          </cell>
          <cell r="Q6198" t="str">
            <v>Dsn. Talsewu, RT.001/RW.006 Kel. Wotgalih, Kec. Yosowilangun</v>
          </cell>
          <cell r="R6198" t="str">
            <v>Lumajang</v>
          </cell>
          <cell r="S6198" t="str">
            <v>C Lumajang</v>
          </cell>
          <cell r="T6198" t="str">
            <v>Wira</v>
          </cell>
          <cell r="U6198">
            <v>30</v>
          </cell>
        </row>
        <row r="6199">
          <cell r="E6199" t="str">
            <v>B25013686</v>
          </cell>
          <cell r="F6199"/>
          <cell r="G6199">
            <v>100000000</v>
          </cell>
          <cell r="H6199" t="str">
            <v>Ariyani</v>
          </cell>
          <cell r="I6199" t="str">
            <v>Fira</v>
          </cell>
          <cell r="J6199" t="str">
            <v>New 26/09/19</v>
          </cell>
          <cell r="K6199" t="str">
            <v>Tunai</v>
          </cell>
          <cell r="L6199" t="str">
            <v>PERT08</v>
          </cell>
          <cell r="M6199" t="str">
            <v>Pertanian Bu Linda, Toko</v>
          </cell>
          <cell r="N6199" t="str">
            <v>Tami</v>
          </cell>
          <cell r="O6199" t="str">
            <v>Dsn. Talsewu, RT.001/RW.006 Kel. Wotgalih, Kec. Yosowilangun</v>
          </cell>
          <cell r="P6199" t="str">
            <v>Lumajang</v>
          </cell>
          <cell r="Q6199" t="str">
            <v>Dsn. Talsewu, RT.001/RW.006 Kel. Wotgalih, Kec. Yosowilangun</v>
          </cell>
          <cell r="R6199" t="str">
            <v>Lumajang</v>
          </cell>
          <cell r="S6199" t="str">
            <v>C Lumajang</v>
          </cell>
          <cell r="T6199" t="str">
            <v>Wira</v>
          </cell>
          <cell r="U6199">
            <v>30</v>
          </cell>
        </row>
        <row r="6200">
          <cell r="E6200" t="str">
            <v>D25016009</v>
          </cell>
          <cell r="F6200"/>
          <cell r="G6200">
            <v>100000000</v>
          </cell>
          <cell r="H6200" t="str">
            <v>Ariyani</v>
          </cell>
          <cell r="I6200" t="str">
            <v>Fira</v>
          </cell>
          <cell r="J6200" t="str">
            <v>New 26/09/19</v>
          </cell>
          <cell r="K6200" t="str">
            <v>Tunai</v>
          </cell>
          <cell r="L6200" t="str">
            <v>PERT08</v>
          </cell>
          <cell r="M6200" t="str">
            <v>Pertanian Bu Linda, Toko</v>
          </cell>
          <cell r="N6200" t="str">
            <v>Tami</v>
          </cell>
          <cell r="O6200" t="str">
            <v>Dsn. Talsewu, RT.001/RW.006 Kel. Wotgalih, Kec. Yosowilangun</v>
          </cell>
          <cell r="P6200" t="str">
            <v>Lumajang</v>
          </cell>
          <cell r="Q6200" t="str">
            <v>Dsn. Talsewu, RT.001/RW.006 Kel. Wotgalih, Kec. Yosowilangun</v>
          </cell>
          <cell r="R6200" t="str">
            <v>Lumajang</v>
          </cell>
          <cell r="S6200" t="str">
            <v>C Lumajang</v>
          </cell>
          <cell r="T6200" t="str">
            <v>Wira</v>
          </cell>
          <cell r="U6200">
            <v>30</v>
          </cell>
        </row>
        <row r="6201">
          <cell r="E6201" t="str">
            <v>Z25002474</v>
          </cell>
          <cell r="F6201"/>
          <cell r="G6201">
            <v>10000000</v>
          </cell>
          <cell r="H6201" t="str">
            <v>Reni</v>
          </cell>
          <cell r="I6201" t="str">
            <v>Farida</v>
          </cell>
          <cell r="J6201" t="str">
            <v>New 14/11/23</v>
          </cell>
          <cell r="K6201" t="str">
            <v>KU</v>
          </cell>
          <cell r="L6201" t="str">
            <v>PERT10</v>
          </cell>
          <cell r="M6201" t="str">
            <v>Pertanian Yuliana/Tumiran</v>
          </cell>
          <cell r="N6201" t="str">
            <v>Tumiran</v>
          </cell>
          <cell r="O6201" t="str">
            <v>Dusun Tubo RT.002/RW.001, Kel. Purwosekar, Kec. Tajinan</v>
          </cell>
          <cell r="P6201" t="str">
            <v>Malang</v>
          </cell>
          <cell r="Q6201" t="str">
            <v>Kel. Purwosekar RT.011/RW.002, Kec. Tajinan</v>
          </cell>
          <cell r="R6201" t="str">
            <v>Malang</v>
          </cell>
          <cell r="S6201" t="str">
            <v>F Utara1</v>
          </cell>
          <cell r="T6201" t="str">
            <v>Tomi</v>
          </cell>
          <cell r="U6201">
            <v>0</v>
          </cell>
        </row>
        <row r="6202">
          <cell r="E6202" t="str">
            <v>Z25002475</v>
          </cell>
          <cell r="F6202"/>
          <cell r="G6202">
            <v>10000000</v>
          </cell>
          <cell r="H6202" t="str">
            <v>Reni</v>
          </cell>
          <cell r="I6202" t="str">
            <v>Farida</v>
          </cell>
          <cell r="J6202" t="str">
            <v>New 14/11/23</v>
          </cell>
          <cell r="K6202" t="str">
            <v>KU</v>
          </cell>
          <cell r="L6202" t="str">
            <v>PERT10</v>
          </cell>
          <cell r="M6202" t="str">
            <v>Pertanian Yuliana/Tumiran</v>
          </cell>
          <cell r="N6202" t="str">
            <v>Tumiran</v>
          </cell>
          <cell r="O6202" t="str">
            <v>Dusun Tubo RT.002/RW.001, Kel. Purwosekar, Kec. Tajinan</v>
          </cell>
          <cell r="P6202" t="str">
            <v>Malang</v>
          </cell>
          <cell r="Q6202" t="str">
            <v>Kel. Purwosekar RT.011/RW.002, Kec. Tajinan</v>
          </cell>
          <cell r="R6202" t="str">
            <v>Malang</v>
          </cell>
          <cell r="S6202" t="str">
            <v>F Utara1</v>
          </cell>
          <cell r="T6202" t="str">
            <v>Tomi</v>
          </cell>
          <cell r="U6202">
            <v>0</v>
          </cell>
        </row>
        <row r="6203">
          <cell r="E6203" t="str">
            <v>Z25002477</v>
          </cell>
          <cell r="F6203"/>
          <cell r="G6203">
            <v>10000000</v>
          </cell>
          <cell r="H6203" t="str">
            <v>Reni</v>
          </cell>
          <cell r="I6203" t="str">
            <v>Farida</v>
          </cell>
          <cell r="J6203" t="str">
            <v>New 14/11/23</v>
          </cell>
          <cell r="K6203" t="str">
            <v>KU</v>
          </cell>
          <cell r="L6203" t="str">
            <v>PERT10</v>
          </cell>
          <cell r="M6203" t="str">
            <v>Pertanian Yuliana/Tumiran</v>
          </cell>
          <cell r="N6203" t="str">
            <v>Tumiran</v>
          </cell>
          <cell r="O6203" t="str">
            <v>Dusun Tubo RT.002/RW.001, Kel. Purwosekar, Kec. Tajinan</v>
          </cell>
          <cell r="P6203" t="str">
            <v>Malang</v>
          </cell>
          <cell r="Q6203" t="str">
            <v>Kel. Purwosekar RT.011/RW.002, Kec. Tajinan</v>
          </cell>
          <cell r="R6203" t="str">
            <v>Malang</v>
          </cell>
          <cell r="S6203" t="str">
            <v>F Utara1</v>
          </cell>
          <cell r="T6203" t="str">
            <v>Tomi</v>
          </cell>
          <cell r="U6203">
            <v>0</v>
          </cell>
        </row>
        <row r="6204">
          <cell r="E6204" t="str">
            <v>Z25002562</v>
          </cell>
          <cell r="F6204"/>
          <cell r="G6204">
            <v>10000000</v>
          </cell>
          <cell r="H6204" t="str">
            <v>Reni</v>
          </cell>
          <cell r="I6204" t="str">
            <v>Farida</v>
          </cell>
          <cell r="J6204" t="str">
            <v>New 14/11/23</v>
          </cell>
          <cell r="K6204" t="str">
            <v>KU</v>
          </cell>
          <cell r="L6204" t="str">
            <v>PERT10</v>
          </cell>
          <cell r="M6204" t="str">
            <v>Pertanian Yuliana/Tumiran</v>
          </cell>
          <cell r="N6204" t="str">
            <v>Tumiran</v>
          </cell>
          <cell r="O6204" t="str">
            <v>Dusun Tubo RT.002/RW.001, Kel. Purwosekar, Kec. Tajinan</v>
          </cell>
          <cell r="P6204" t="str">
            <v>Malang</v>
          </cell>
          <cell r="Q6204" t="str">
            <v>Kel. Purwosekar RT.011/RW.002, Kec. Tajinan</v>
          </cell>
          <cell r="R6204" t="str">
            <v>Malang</v>
          </cell>
          <cell r="S6204" t="str">
            <v>F Utara1</v>
          </cell>
          <cell r="T6204" t="str">
            <v>Tomi</v>
          </cell>
          <cell r="U6204">
            <v>0</v>
          </cell>
        </row>
        <row r="6205">
          <cell r="E6205" t="str">
            <v>Z25002563</v>
          </cell>
          <cell r="F6205"/>
          <cell r="G6205">
            <v>10000000</v>
          </cell>
          <cell r="H6205" t="str">
            <v>Reni</v>
          </cell>
          <cell r="I6205" t="str">
            <v>Farida</v>
          </cell>
          <cell r="J6205" t="str">
            <v>New 14/11/23</v>
          </cell>
          <cell r="K6205" t="str">
            <v>KU</v>
          </cell>
          <cell r="L6205" t="str">
            <v>PERT10</v>
          </cell>
          <cell r="M6205" t="str">
            <v>Pertanian Yuliana/Tumiran</v>
          </cell>
          <cell r="N6205" t="str">
            <v>Tumiran</v>
          </cell>
          <cell r="O6205" t="str">
            <v>Dusun Tubo RT.002/RW.001, Kel. Purwosekar, Kec. Tajinan</v>
          </cell>
          <cell r="P6205" t="str">
            <v>Malang</v>
          </cell>
          <cell r="Q6205" t="str">
            <v>Kel. Purwosekar RT.011/RW.002, Kec. Tajinan</v>
          </cell>
          <cell r="R6205" t="str">
            <v>Malang</v>
          </cell>
          <cell r="S6205" t="str">
            <v>F Utara1</v>
          </cell>
          <cell r="T6205" t="str">
            <v>Tomi</v>
          </cell>
          <cell r="U6205">
            <v>0</v>
          </cell>
        </row>
        <row r="6206">
          <cell r="E6206" t="str">
            <v>T25001509</v>
          </cell>
          <cell r="F6206"/>
          <cell r="G6206">
            <v>10000000</v>
          </cell>
          <cell r="H6206" t="str">
            <v>Reni</v>
          </cell>
          <cell r="I6206" t="str">
            <v>Farida</v>
          </cell>
          <cell r="J6206" t="str">
            <v>New 14/11/23</v>
          </cell>
          <cell r="K6206" t="str">
            <v>KU</v>
          </cell>
          <cell r="L6206" t="str">
            <v>PERT10</v>
          </cell>
          <cell r="M6206" t="str">
            <v>Pertanian Yuliana/Tumiran</v>
          </cell>
          <cell r="N6206" t="str">
            <v>Tumiran</v>
          </cell>
          <cell r="O6206" t="str">
            <v>Dusun Tubo RT.002/RW.001, Kel. Purwosekar, Kec. Tajinan</v>
          </cell>
          <cell r="P6206" t="str">
            <v>Malang</v>
          </cell>
          <cell r="Q6206" t="str">
            <v>Kel. Purwosekar RT.011/RW.002, Kec. Tajinan</v>
          </cell>
          <cell r="R6206" t="str">
            <v>Malang</v>
          </cell>
          <cell r="S6206" t="str">
            <v>F Utara1</v>
          </cell>
          <cell r="T6206" t="str">
            <v>Tomi</v>
          </cell>
          <cell r="U6206">
            <v>0</v>
          </cell>
        </row>
        <row r="6207">
          <cell r="E6207" t="str">
            <v>Z25002707</v>
          </cell>
          <cell r="F6207"/>
          <cell r="G6207">
            <v>10000000</v>
          </cell>
          <cell r="H6207" t="str">
            <v>Reni</v>
          </cell>
          <cell r="I6207" t="str">
            <v>Farida</v>
          </cell>
          <cell r="J6207" t="str">
            <v>New 14/11/23</v>
          </cell>
          <cell r="K6207" t="str">
            <v>KU</v>
          </cell>
          <cell r="L6207" t="str">
            <v>PERT10</v>
          </cell>
          <cell r="M6207" t="str">
            <v>Pertanian Yuliana/Tumiran</v>
          </cell>
          <cell r="N6207" t="str">
            <v>Tumiran</v>
          </cell>
          <cell r="O6207" t="str">
            <v>Dusun Tubo RT.002/RW.001, Kel. Purwosekar, Kec. Tajinan</v>
          </cell>
          <cell r="P6207" t="str">
            <v>Malang</v>
          </cell>
          <cell r="Q6207" t="str">
            <v>Kel. Purwosekar RT.011/RW.002, Kec. Tajinan</v>
          </cell>
          <cell r="R6207" t="str">
            <v>Malang</v>
          </cell>
          <cell r="S6207" t="str">
            <v>F Utara1</v>
          </cell>
          <cell r="T6207" t="str">
            <v>Tomi</v>
          </cell>
          <cell r="U6207">
            <v>0</v>
          </cell>
        </row>
        <row r="6208">
          <cell r="E6208" t="str">
            <v>T25001572</v>
          </cell>
          <cell r="F6208"/>
          <cell r="G6208">
            <v>10000000</v>
          </cell>
          <cell r="H6208" t="str">
            <v>Reni</v>
          </cell>
          <cell r="I6208" t="str">
            <v>Farida</v>
          </cell>
          <cell r="J6208" t="str">
            <v>New 14/11/23</v>
          </cell>
          <cell r="K6208" t="str">
            <v>KU</v>
          </cell>
          <cell r="L6208" t="str">
            <v>PERT10</v>
          </cell>
          <cell r="M6208" t="str">
            <v>Pertanian Yuliana/Tumiran</v>
          </cell>
          <cell r="N6208" t="str">
            <v>Tumiran</v>
          </cell>
          <cell r="O6208" t="str">
            <v>Dusun Tubo RT.002/RW.001, Kel. Purwosekar, Kec. Tajinan</v>
          </cell>
          <cell r="P6208" t="str">
            <v>Malang</v>
          </cell>
          <cell r="Q6208" t="str">
            <v>Kel. Purwosekar RT.011/RW.002, Kec. Tajinan</v>
          </cell>
          <cell r="R6208" t="str">
            <v>Malang</v>
          </cell>
          <cell r="S6208" t="str">
            <v>F Utara1</v>
          </cell>
          <cell r="T6208" t="str">
            <v>Tomi</v>
          </cell>
          <cell r="U6208">
            <v>60</v>
          </cell>
        </row>
        <row r="6209">
          <cell r="E6209" t="str">
            <v>Z25002824</v>
          </cell>
          <cell r="F6209"/>
          <cell r="G6209">
            <v>10000000</v>
          </cell>
          <cell r="H6209" t="str">
            <v>Reni</v>
          </cell>
          <cell r="I6209" t="str">
            <v>Farida</v>
          </cell>
          <cell r="J6209" t="str">
            <v>New 14/11/23</v>
          </cell>
          <cell r="K6209" t="str">
            <v>KU</v>
          </cell>
          <cell r="L6209" t="str">
            <v>PERT10</v>
          </cell>
          <cell r="M6209" t="str">
            <v>Pertanian Yuliana/Tumiran</v>
          </cell>
          <cell r="N6209" t="str">
            <v>Tumiran</v>
          </cell>
          <cell r="O6209" t="str">
            <v>Dusun Tubo RT.002/RW.001, Kel. Purwosekar, Kec. Tajinan</v>
          </cell>
          <cell r="P6209" t="str">
            <v>Malang</v>
          </cell>
          <cell r="Q6209" t="str">
            <v>Kel. Purwosekar RT.011/RW.002, Kec. Tajinan</v>
          </cell>
          <cell r="R6209" t="str">
            <v>Malang</v>
          </cell>
          <cell r="S6209" t="str">
            <v>F Utara1</v>
          </cell>
          <cell r="T6209" t="str">
            <v>Tomi</v>
          </cell>
          <cell r="U6209">
            <v>0</v>
          </cell>
        </row>
        <row r="6210">
          <cell r="E6210" t="str">
            <v>Z25002832</v>
          </cell>
          <cell r="F6210"/>
          <cell r="G6210">
            <v>10000000</v>
          </cell>
          <cell r="H6210" t="str">
            <v>Reni</v>
          </cell>
          <cell r="I6210" t="str">
            <v>Farida</v>
          </cell>
          <cell r="J6210" t="str">
            <v>New 14/11/23</v>
          </cell>
          <cell r="K6210" t="str">
            <v>KU</v>
          </cell>
          <cell r="L6210" t="str">
            <v>PERT10</v>
          </cell>
          <cell r="M6210" t="str">
            <v>Pertanian Yuliana/Tumiran</v>
          </cell>
          <cell r="N6210" t="str">
            <v>Tumiran</v>
          </cell>
          <cell r="O6210" t="str">
            <v>Dusun Tubo RT.002/RW.001, Kel. Purwosekar, Kec. Tajinan</v>
          </cell>
          <cell r="P6210" t="str">
            <v>Malang</v>
          </cell>
          <cell r="Q6210" t="str">
            <v>Kel. Purwosekar RT.011/RW.002, Kec. Tajinan</v>
          </cell>
          <cell r="R6210" t="str">
            <v>Malang</v>
          </cell>
          <cell r="S6210" t="str">
            <v>F Utara1</v>
          </cell>
          <cell r="T6210" t="str">
            <v>Tomi</v>
          </cell>
          <cell r="U6210">
            <v>0</v>
          </cell>
        </row>
        <row r="6211">
          <cell r="E6211" t="str">
            <v>B25013189</v>
          </cell>
          <cell r="F6211"/>
          <cell r="G6211">
            <v>1000</v>
          </cell>
          <cell r="H6211" t="str">
            <v>Zakia</v>
          </cell>
          <cell r="I6211" t="str">
            <v>Tiya</v>
          </cell>
          <cell r="J6211" t="str">
            <v>New 18/07/25</v>
          </cell>
          <cell r="K6211" t="str">
            <v>COD</v>
          </cell>
          <cell r="L6211" t="str">
            <v>PESO03</v>
          </cell>
          <cell r="M6211" t="str">
            <v>Pesona Tani/Agus Priyo</v>
          </cell>
          <cell r="N6211" t="str">
            <v>Agus Priyo Utomo</v>
          </cell>
          <cell r="O6211" t="str">
            <v>Dusun Kepung Timur RT.007/RW.002 , Kel. Kepung Kec. Kepung</v>
          </cell>
          <cell r="P6211" t="str">
            <v>Kediri</v>
          </cell>
          <cell r="Q6211" t="str">
            <v>Jalan Harinjing , Kel. Kepung Kec. Kepung</v>
          </cell>
          <cell r="R6211" t="str">
            <v>Kediri</v>
          </cell>
          <cell r="S6211" t="str">
            <v>D Barat2</v>
          </cell>
          <cell r="T6211" t="str">
            <v>Tomi</v>
          </cell>
          <cell r="U6211">
            <v>0</v>
          </cell>
        </row>
        <row r="6212">
          <cell r="E6212" t="str">
            <v>D25016029</v>
          </cell>
          <cell r="F6212"/>
          <cell r="G6212">
            <v>1000</v>
          </cell>
          <cell r="H6212" t="str">
            <v>Zakia</v>
          </cell>
          <cell r="I6212" t="str">
            <v>Tiya</v>
          </cell>
          <cell r="J6212" t="str">
            <v>New 18/07/25</v>
          </cell>
          <cell r="K6212" t="str">
            <v>COD</v>
          </cell>
          <cell r="L6212" t="str">
            <v>PESO03</v>
          </cell>
          <cell r="M6212" t="str">
            <v>Pesona Tani/Agus Priyo</v>
          </cell>
          <cell r="N6212" t="str">
            <v>Agus Priyo Utomo</v>
          </cell>
          <cell r="O6212" t="str">
            <v>Dusun Kepung Timur RT.007/RW.002 , Kel. Kepung Kec. Kepung</v>
          </cell>
          <cell r="P6212" t="str">
            <v>Kediri</v>
          </cell>
          <cell r="Q6212" t="str">
            <v>Jalan Harinjing , Kel. Kepung Kec. Kepung</v>
          </cell>
          <cell r="R6212" t="str">
            <v>Kediri</v>
          </cell>
          <cell r="S6212" t="str">
            <v>D Barat2</v>
          </cell>
          <cell r="T6212" t="str">
            <v>Tomi</v>
          </cell>
          <cell r="U6212">
            <v>0</v>
          </cell>
        </row>
        <row r="6213">
          <cell r="E6213" t="str">
            <v>B25010128</v>
          </cell>
          <cell r="F6213"/>
          <cell r="G6213">
            <v>40000000</v>
          </cell>
          <cell r="H6213" t="str">
            <v>Reni</v>
          </cell>
          <cell r="I6213" t="str">
            <v>Farida</v>
          </cell>
          <cell r="J6213" t="str">
            <v>New 22/09/20</v>
          </cell>
          <cell r="K6213" t="str">
            <v>KU</v>
          </cell>
          <cell r="L6213" t="str">
            <v>PETR01</v>
          </cell>
          <cell r="M6213" t="str">
            <v>Petroka Tani</v>
          </cell>
          <cell r="N6213" t="str">
            <v>H. Temu Widodo</v>
          </cell>
          <cell r="O6213" t="str">
            <v>Ds Ngadiboyo, RT.001/RW.002, Kel. Ngadiboyo, Kec. Rejoso</v>
          </cell>
          <cell r="P6213" t="str">
            <v>Nganjuk</v>
          </cell>
          <cell r="Q6213" t="str">
            <v>Ds Ngadiboyo, RT.001/RW.002, Kel. Ngadiboyo, Kec. Rejoso</v>
          </cell>
          <cell r="R6213" t="str">
            <v>Nganjuk</v>
          </cell>
          <cell r="S6213" t="str">
            <v>D Barat2</v>
          </cell>
          <cell r="T6213" t="str">
            <v>Dian</v>
          </cell>
          <cell r="U6213">
            <v>60</v>
          </cell>
        </row>
        <row r="6214">
          <cell r="E6214" t="str">
            <v>B25010213</v>
          </cell>
          <cell r="F6214"/>
          <cell r="G6214">
            <v>40000000</v>
          </cell>
          <cell r="H6214" t="str">
            <v>Reni</v>
          </cell>
          <cell r="I6214" t="str">
            <v>Farida</v>
          </cell>
          <cell r="J6214" t="str">
            <v>New 22/09/20</v>
          </cell>
          <cell r="K6214" t="str">
            <v>KU</v>
          </cell>
          <cell r="L6214" t="str">
            <v>PETR01</v>
          </cell>
          <cell r="M6214" t="str">
            <v>Petroka Tani</v>
          </cell>
          <cell r="N6214" t="str">
            <v>H. Temu Widodo</v>
          </cell>
          <cell r="O6214" t="str">
            <v>Ds Ngadiboyo, RT.001/RW.002, Kel. Ngadiboyo, Kec. Rejoso</v>
          </cell>
          <cell r="P6214" t="str">
            <v>Nganjuk</v>
          </cell>
          <cell r="Q6214" t="str">
            <v>Ds Ngadiboyo, RT.001/RW.002, Kel. Ngadiboyo, Kec. Rejoso</v>
          </cell>
          <cell r="R6214" t="str">
            <v>Nganjuk</v>
          </cell>
          <cell r="S6214" t="str">
            <v>D Barat2</v>
          </cell>
          <cell r="T6214" t="str">
            <v>Dian</v>
          </cell>
          <cell r="U6214">
            <v>60</v>
          </cell>
        </row>
        <row r="6215">
          <cell r="E6215" t="str">
            <v>B25010213</v>
          </cell>
          <cell r="F6215"/>
          <cell r="G6215">
            <v>40000000</v>
          </cell>
          <cell r="H6215" t="str">
            <v>Reni</v>
          </cell>
          <cell r="I6215" t="str">
            <v>Farida</v>
          </cell>
          <cell r="J6215" t="str">
            <v>New 22/09/20</v>
          </cell>
          <cell r="K6215" t="str">
            <v>KU</v>
          </cell>
          <cell r="L6215" t="str">
            <v>PETR01</v>
          </cell>
          <cell r="M6215" t="str">
            <v>Petroka Tani</v>
          </cell>
          <cell r="N6215" t="str">
            <v>H. Temu Widodo</v>
          </cell>
          <cell r="O6215" t="str">
            <v>Ds Ngadiboyo, RT.001/RW.002, Kel. Ngadiboyo, Kec. Rejoso</v>
          </cell>
          <cell r="P6215" t="str">
            <v>Nganjuk</v>
          </cell>
          <cell r="Q6215" t="str">
            <v>Ds Ngadiboyo, RT.001/RW.002, Kel. Ngadiboyo, Kec. Rejoso</v>
          </cell>
          <cell r="R6215" t="str">
            <v>Nganjuk</v>
          </cell>
          <cell r="S6215" t="str">
            <v>D Barat2</v>
          </cell>
          <cell r="T6215" t="str">
            <v>Dian</v>
          </cell>
          <cell r="U6215">
            <v>60</v>
          </cell>
        </row>
        <row r="6216">
          <cell r="E6216" t="str">
            <v>B25010213</v>
          </cell>
          <cell r="F6216"/>
          <cell r="G6216">
            <v>40000000</v>
          </cell>
          <cell r="H6216" t="str">
            <v>Reni</v>
          </cell>
          <cell r="I6216" t="str">
            <v>Farida</v>
          </cell>
          <cell r="J6216" t="str">
            <v>New 22/09/20</v>
          </cell>
          <cell r="K6216" t="str">
            <v>KU</v>
          </cell>
          <cell r="L6216" t="str">
            <v>PETR01</v>
          </cell>
          <cell r="M6216" t="str">
            <v>Petroka Tani</v>
          </cell>
          <cell r="N6216" t="str">
            <v>H. Temu Widodo</v>
          </cell>
          <cell r="O6216" t="str">
            <v>Ds Ngadiboyo, RT.001/RW.002, Kel. Ngadiboyo, Kec. Rejoso</v>
          </cell>
          <cell r="P6216" t="str">
            <v>Nganjuk</v>
          </cell>
          <cell r="Q6216" t="str">
            <v>Ds Ngadiboyo, RT.001/RW.002, Kel. Ngadiboyo, Kec. Rejoso</v>
          </cell>
          <cell r="R6216" t="str">
            <v>Nganjuk</v>
          </cell>
          <cell r="S6216" t="str">
            <v>D Barat2</v>
          </cell>
          <cell r="T6216" t="str">
            <v>Dian</v>
          </cell>
          <cell r="U6216">
            <v>60</v>
          </cell>
        </row>
        <row r="6217">
          <cell r="E6217" t="str">
            <v>B25010213</v>
          </cell>
          <cell r="F6217"/>
          <cell r="G6217">
            <v>40000000</v>
          </cell>
          <cell r="H6217" t="str">
            <v>Reni</v>
          </cell>
          <cell r="I6217" t="str">
            <v>Farida</v>
          </cell>
          <cell r="J6217" t="str">
            <v>New 22/09/20</v>
          </cell>
          <cell r="K6217" t="str">
            <v>KU</v>
          </cell>
          <cell r="L6217" t="str">
            <v>PETR01</v>
          </cell>
          <cell r="M6217" t="str">
            <v>Petroka Tani</v>
          </cell>
          <cell r="N6217" t="str">
            <v>H. Temu Widodo</v>
          </cell>
          <cell r="O6217" t="str">
            <v>Ds Ngadiboyo, RT.001/RW.002, Kel. Ngadiboyo, Kec. Rejoso</v>
          </cell>
          <cell r="P6217" t="str">
            <v>Nganjuk</v>
          </cell>
          <cell r="Q6217" t="str">
            <v>Ds Ngadiboyo, RT.001/RW.002, Kel. Ngadiboyo, Kec. Rejoso</v>
          </cell>
          <cell r="R6217" t="str">
            <v>Nganjuk</v>
          </cell>
          <cell r="S6217" t="str">
            <v>D Barat2</v>
          </cell>
          <cell r="T6217" t="str">
            <v>Dian</v>
          </cell>
          <cell r="U6217">
            <v>60</v>
          </cell>
        </row>
        <row r="6218">
          <cell r="E6218" t="str">
            <v>T25001297</v>
          </cell>
          <cell r="F6218"/>
          <cell r="G6218">
            <v>40000000</v>
          </cell>
          <cell r="H6218" t="str">
            <v>Reni</v>
          </cell>
          <cell r="I6218" t="str">
            <v>Farida</v>
          </cell>
          <cell r="J6218" t="str">
            <v>New 22/09/20</v>
          </cell>
          <cell r="K6218" t="str">
            <v>KU</v>
          </cell>
          <cell r="L6218" t="str">
            <v>PETR01</v>
          </cell>
          <cell r="M6218" t="str">
            <v>Petroka Tani</v>
          </cell>
          <cell r="N6218" t="str">
            <v>H. Temu Widodo</v>
          </cell>
          <cell r="O6218" t="str">
            <v>Ds Ngadiboyo, RT.001/RW.002, Kel. Ngadiboyo, Kec. Rejoso</v>
          </cell>
          <cell r="P6218" t="str">
            <v>Nganjuk</v>
          </cell>
          <cell r="Q6218" t="str">
            <v>Ds Ngadiboyo, RT.001/RW.002, Kel. Ngadiboyo, Kec. Rejoso</v>
          </cell>
          <cell r="R6218" t="str">
            <v>Nganjuk</v>
          </cell>
          <cell r="S6218" t="str">
            <v>D Barat2</v>
          </cell>
          <cell r="T6218" t="str">
            <v>Dian</v>
          </cell>
          <cell r="U6218">
            <v>60</v>
          </cell>
        </row>
        <row r="6219">
          <cell r="E6219" t="str">
            <v>D25014445</v>
          </cell>
          <cell r="F6219"/>
          <cell r="G6219">
            <v>40000000</v>
          </cell>
          <cell r="H6219" t="str">
            <v>Reni</v>
          </cell>
          <cell r="I6219" t="str">
            <v>Farida</v>
          </cell>
          <cell r="J6219" t="str">
            <v>New 22/09/20</v>
          </cell>
          <cell r="K6219" t="str">
            <v>KU</v>
          </cell>
          <cell r="L6219" t="str">
            <v>PETR01</v>
          </cell>
          <cell r="M6219" t="str">
            <v>Petroka Tani</v>
          </cell>
          <cell r="N6219" t="str">
            <v>H. Temu Widodo</v>
          </cell>
          <cell r="O6219" t="str">
            <v>Ds Ngadiboyo, RT.001/RW.002, Kel. Ngadiboyo, Kec. Rejoso</v>
          </cell>
          <cell r="P6219" t="str">
            <v>Nganjuk</v>
          </cell>
          <cell r="Q6219" t="str">
            <v>Ds Ngadiboyo, RT.001/RW.002, Kel. Ngadiboyo, Kec. Rejoso</v>
          </cell>
          <cell r="R6219" t="str">
            <v>Nganjuk</v>
          </cell>
          <cell r="S6219" t="str">
            <v>D Barat2</v>
          </cell>
          <cell r="T6219" t="str">
            <v>Dian</v>
          </cell>
          <cell r="U6219">
            <v>60</v>
          </cell>
        </row>
        <row r="6220">
          <cell r="E6220" t="str">
            <v>B25013805</v>
          </cell>
          <cell r="F6220"/>
          <cell r="G6220">
            <v>40000000</v>
          </cell>
          <cell r="H6220" t="str">
            <v>Reni</v>
          </cell>
          <cell r="I6220" t="str">
            <v>Farida</v>
          </cell>
          <cell r="J6220" t="str">
            <v>New 22/09/20</v>
          </cell>
          <cell r="K6220" t="str">
            <v>KU</v>
          </cell>
          <cell r="L6220" t="str">
            <v>PETR01</v>
          </cell>
          <cell r="M6220" t="str">
            <v>Petroka Tani</v>
          </cell>
          <cell r="N6220" t="str">
            <v>H. Temu Widodo</v>
          </cell>
          <cell r="O6220" t="str">
            <v>Ds Ngadiboyo, RT.001/RW.002, Kel. Ngadiboyo, Kec. Rejoso</v>
          </cell>
          <cell r="P6220" t="str">
            <v>Nganjuk</v>
          </cell>
          <cell r="Q6220" t="str">
            <v>Ds Ngadiboyo, RT.001/RW.002, Kel. Ngadiboyo, Kec. Rejoso</v>
          </cell>
          <cell r="R6220" t="str">
            <v>Nganjuk</v>
          </cell>
          <cell r="S6220" t="str">
            <v>D Barat2</v>
          </cell>
          <cell r="T6220" t="str">
            <v>Dian</v>
          </cell>
          <cell r="U6220">
            <v>60</v>
          </cell>
        </row>
        <row r="6221">
          <cell r="E6221" t="str">
            <v>D25012118</v>
          </cell>
          <cell r="F6221"/>
          <cell r="G6221">
            <v>100000000</v>
          </cell>
          <cell r="H6221" t="str">
            <v>Zakia</v>
          </cell>
          <cell r="I6221" t="str">
            <v>Tiya</v>
          </cell>
          <cell r="J6221" t="str">
            <v>New 31/12/24</v>
          </cell>
          <cell r="K6221" t="str">
            <v>COD</v>
          </cell>
          <cell r="L6221" t="str">
            <v>PING01</v>
          </cell>
          <cell r="M6221" t="str">
            <v>Pinggan Tani</v>
          </cell>
          <cell r="N6221" t="str">
            <v>I Gede Suarma</v>
          </cell>
          <cell r="O6221" t="str">
            <v>Dusun Pinggan RT.000/RW.000, Kel. Pinggan, Kec. Kintamani, Bangli</v>
          </cell>
          <cell r="P6221" t="str">
            <v>Bali</v>
          </cell>
          <cell r="Q6221" t="str">
            <v>Dusun Pinggan RT.000/RW.000, Kel. Pinggan, Kec. Kintamani, Bangli</v>
          </cell>
          <cell r="R6221" t="str">
            <v>Bali</v>
          </cell>
          <cell r="S6221" t="str">
            <v>S Bali1</v>
          </cell>
          <cell r="T6221" t="str">
            <v>Wira</v>
          </cell>
          <cell r="U6221">
            <v>30</v>
          </cell>
        </row>
        <row r="6222">
          <cell r="E6222" t="str">
            <v>D25013388</v>
          </cell>
          <cell r="F6222"/>
          <cell r="G6222">
            <v>100000000</v>
          </cell>
          <cell r="H6222" t="str">
            <v>Zakia</v>
          </cell>
          <cell r="I6222" t="str">
            <v>Tiya</v>
          </cell>
          <cell r="J6222" t="str">
            <v>New 31/12/24</v>
          </cell>
          <cell r="K6222" t="str">
            <v>COD</v>
          </cell>
          <cell r="L6222" t="str">
            <v>PING01</v>
          </cell>
          <cell r="M6222" t="str">
            <v>Pinggan Tani</v>
          </cell>
          <cell r="N6222" t="str">
            <v>I Gede Suarma</v>
          </cell>
          <cell r="O6222" t="str">
            <v>Dusun Pinggan RT.000/RW.000, Kel. Pinggan, Kec. Kintamani, Bangli</v>
          </cell>
          <cell r="P6222" t="str">
            <v>Bali</v>
          </cell>
          <cell r="Q6222" t="str">
            <v>Dusun Pinggan RT.000/RW.000, Kel. Pinggan, Kec. Kintamani, Bangli</v>
          </cell>
          <cell r="R6222" t="str">
            <v>Bali</v>
          </cell>
          <cell r="S6222" t="str">
            <v>S Bali1</v>
          </cell>
          <cell r="T6222" t="str">
            <v>Wira</v>
          </cell>
          <cell r="U6222">
            <v>30</v>
          </cell>
        </row>
        <row r="6223">
          <cell r="E6223" t="str">
            <v>D25014179</v>
          </cell>
          <cell r="F6223"/>
          <cell r="G6223">
            <v>100000000</v>
          </cell>
          <cell r="H6223" t="str">
            <v>Zakia</v>
          </cell>
          <cell r="I6223" t="str">
            <v>Tiya</v>
          </cell>
          <cell r="J6223" t="str">
            <v>New 31/12/24</v>
          </cell>
          <cell r="K6223" t="str">
            <v>COD</v>
          </cell>
          <cell r="L6223" t="str">
            <v>PING01</v>
          </cell>
          <cell r="M6223" t="str">
            <v>Pinggan Tani</v>
          </cell>
          <cell r="N6223" t="str">
            <v>I Gede Suarma</v>
          </cell>
          <cell r="O6223" t="str">
            <v>Dusun Pinggan RT.000/RW.000, Kel. Pinggan, Kec. Kintamani, Bangli</v>
          </cell>
          <cell r="P6223" t="str">
            <v>Bali</v>
          </cell>
          <cell r="Q6223" t="str">
            <v>Dusun Pinggan RT.000/RW.000, Kel. Pinggan, Kec. Kintamani, Bangli</v>
          </cell>
          <cell r="R6223" t="str">
            <v>Bali</v>
          </cell>
          <cell r="S6223" t="str">
            <v>S Bali1</v>
          </cell>
          <cell r="T6223" t="str">
            <v>Wira</v>
          </cell>
          <cell r="U6223">
            <v>30</v>
          </cell>
        </row>
        <row r="6224">
          <cell r="E6224" t="str">
            <v>T25001414</v>
          </cell>
          <cell r="F6224"/>
          <cell r="G6224">
            <v>100000000</v>
          </cell>
          <cell r="H6224" t="str">
            <v>Zakia</v>
          </cell>
          <cell r="I6224" t="str">
            <v>Tiya</v>
          </cell>
          <cell r="J6224" t="str">
            <v>New 31/12/24</v>
          </cell>
          <cell r="K6224" t="str">
            <v>COD</v>
          </cell>
          <cell r="L6224" t="str">
            <v>PING01</v>
          </cell>
          <cell r="M6224" t="str">
            <v>Pinggan Tani</v>
          </cell>
          <cell r="N6224" t="str">
            <v>I Gede Suarma</v>
          </cell>
          <cell r="O6224" t="str">
            <v>Dusun Pinggan RT.000/RW.000, Kel. Pinggan, Kec. Kintamani, Bangli</v>
          </cell>
          <cell r="P6224" t="str">
            <v>Bali</v>
          </cell>
          <cell r="Q6224" t="str">
            <v>Dusun Pinggan RT.000/RW.000, Kel. Pinggan, Kec. Kintamani, Bangli</v>
          </cell>
          <cell r="R6224" t="str">
            <v>Bali</v>
          </cell>
          <cell r="S6224" t="str">
            <v>S Bali1</v>
          </cell>
          <cell r="T6224" t="str">
            <v>Wira</v>
          </cell>
          <cell r="U6224">
            <v>60</v>
          </cell>
        </row>
        <row r="6225">
          <cell r="E6225" t="str">
            <v>D25014916</v>
          </cell>
          <cell r="F6225"/>
          <cell r="G6225">
            <v>100000000</v>
          </cell>
          <cell r="H6225" t="str">
            <v>Zakia</v>
          </cell>
          <cell r="I6225" t="str">
            <v>Tiya</v>
          </cell>
          <cell r="J6225" t="str">
            <v>New 31/12/24</v>
          </cell>
          <cell r="K6225" t="str">
            <v>COD</v>
          </cell>
          <cell r="L6225" t="str">
            <v>PING01</v>
          </cell>
          <cell r="M6225" t="str">
            <v>Pinggan Tani</v>
          </cell>
          <cell r="N6225" t="str">
            <v>I Gede Suarma</v>
          </cell>
          <cell r="O6225" t="str">
            <v>Dusun Pinggan RT.000/RW.000, Kel. Pinggan, Kec. Kintamani, Bangli</v>
          </cell>
          <cell r="P6225" t="str">
            <v>Bali</v>
          </cell>
          <cell r="Q6225" t="str">
            <v>Dusun Pinggan RT.000/RW.000, Kel. Pinggan, Kec. Kintamani, Bangli</v>
          </cell>
          <cell r="R6225" t="str">
            <v>Bali</v>
          </cell>
          <cell r="S6225" t="str">
            <v>S Bali1</v>
          </cell>
          <cell r="T6225" t="str">
            <v>Wira</v>
          </cell>
          <cell r="U6225">
            <v>60</v>
          </cell>
        </row>
        <row r="6226">
          <cell r="E6226" t="str">
            <v>T25001479</v>
          </cell>
          <cell r="F6226"/>
          <cell r="G6226">
            <v>100000000</v>
          </cell>
          <cell r="H6226" t="str">
            <v>Zakia</v>
          </cell>
          <cell r="I6226" t="str">
            <v>Tiya</v>
          </cell>
          <cell r="J6226" t="str">
            <v>New 31/12/24</v>
          </cell>
          <cell r="K6226" t="str">
            <v>COD</v>
          </cell>
          <cell r="L6226" t="str">
            <v>PING01</v>
          </cell>
          <cell r="M6226" t="str">
            <v>Pinggan Tani</v>
          </cell>
          <cell r="N6226" t="str">
            <v>I Gede Suarma</v>
          </cell>
          <cell r="O6226" t="str">
            <v>Dusun Pinggan RT.000/RW.000, Kel. Pinggan, Kec. Kintamani, Bangli</v>
          </cell>
          <cell r="P6226" t="str">
            <v>Bali</v>
          </cell>
          <cell r="Q6226" t="str">
            <v>Dusun Pinggan RT.000/RW.000, Kel. Pinggan, Kec. Kintamani, Bangli</v>
          </cell>
          <cell r="R6226" t="str">
            <v>Bali</v>
          </cell>
          <cell r="S6226" t="str">
            <v>S Bali1</v>
          </cell>
          <cell r="T6226" t="str">
            <v>Wira</v>
          </cell>
          <cell r="U6226">
            <v>60</v>
          </cell>
        </row>
        <row r="6227">
          <cell r="E6227" t="str">
            <v>B25012662</v>
          </cell>
          <cell r="F6227"/>
          <cell r="G6227">
            <v>100000000</v>
          </cell>
          <cell r="H6227" t="str">
            <v>Zakia</v>
          </cell>
          <cell r="I6227" t="str">
            <v>Tiya</v>
          </cell>
          <cell r="J6227" t="str">
            <v>New 31/12/24</v>
          </cell>
          <cell r="K6227" t="str">
            <v>COD</v>
          </cell>
          <cell r="L6227" t="str">
            <v>PING01</v>
          </cell>
          <cell r="M6227" t="str">
            <v>Pinggan Tani</v>
          </cell>
          <cell r="N6227" t="str">
            <v>I Gede Suarma</v>
          </cell>
          <cell r="O6227" t="str">
            <v>Dusun Pinggan RT.000/RW.000, Kel. Pinggan, Kec. Kintamani, Bangli</v>
          </cell>
          <cell r="P6227" t="str">
            <v>Bali</v>
          </cell>
          <cell r="Q6227" t="str">
            <v>Dusun Pinggan RT.000/RW.000, Kel. Pinggan, Kec. Kintamani, Bangli</v>
          </cell>
          <cell r="R6227" t="str">
            <v>Bali</v>
          </cell>
          <cell r="S6227" t="str">
            <v>S Bali1</v>
          </cell>
          <cell r="T6227" t="str">
            <v>Wira</v>
          </cell>
          <cell r="U6227">
            <v>30</v>
          </cell>
        </row>
        <row r="6228">
          <cell r="E6228" t="str">
            <v>B25013355</v>
          </cell>
          <cell r="F6228"/>
          <cell r="G6228">
            <v>100000000</v>
          </cell>
          <cell r="H6228" t="str">
            <v>Zakia</v>
          </cell>
          <cell r="I6228" t="str">
            <v>Tiya</v>
          </cell>
          <cell r="J6228" t="str">
            <v>New 31/12/24</v>
          </cell>
          <cell r="K6228" t="str">
            <v>COD</v>
          </cell>
          <cell r="L6228" t="str">
            <v>PING01</v>
          </cell>
          <cell r="M6228" t="str">
            <v>Pinggan Tani</v>
          </cell>
          <cell r="N6228" t="str">
            <v>I Gede Suarma</v>
          </cell>
          <cell r="O6228" t="str">
            <v>Dusun Pinggan RT.000/RW.000, Kel. Pinggan, Kec. Kintamani, Bangli</v>
          </cell>
          <cell r="P6228" t="str">
            <v>Bali</v>
          </cell>
          <cell r="Q6228" t="str">
            <v>Dusun Pinggan RT.000/RW.000, Kel. Pinggan, Kec. Kintamani, Bangli</v>
          </cell>
          <cell r="R6228" t="str">
            <v>Bali</v>
          </cell>
          <cell r="S6228" t="str">
            <v>S Bali1</v>
          </cell>
          <cell r="T6228" t="str">
            <v>Wira</v>
          </cell>
          <cell r="U6228">
            <v>30</v>
          </cell>
        </row>
        <row r="6229">
          <cell r="E6229" t="str">
            <v>D25015609</v>
          </cell>
          <cell r="F6229"/>
          <cell r="G6229">
            <v>100000000</v>
          </cell>
          <cell r="H6229" t="str">
            <v>Zakia</v>
          </cell>
          <cell r="I6229" t="str">
            <v>Tiya</v>
          </cell>
          <cell r="J6229" t="str">
            <v>New 31/12/24</v>
          </cell>
          <cell r="K6229" t="str">
            <v>COD</v>
          </cell>
          <cell r="L6229" t="str">
            <v>PING01</v>
          </cell>
          <cell r="M6229" t="str">
            <v>Pinggan Tani</v>
          </cell>
          <cell r="N6229" t="str">
            <v>I Gede Suarma</v>
          </cell>
          <cell r="O6229" t="str">
            <v>Dusun Pinggan RT.000/RW.000, Kel. Pinggan, Kec. Kintamani, Bangli</v>
          </cell>
          <cell r="P6229" t="str">
            <v>Bali</v>
          </cell>
          <cell r="Q6229" t="str">
            <v>Dusun Pinggan RT.000/RW.000, Kel. Pinggan, Kec. Kintamani, Bangli</v>
          </cell>
          <cell r="R6229" t="str">
            <v>Bali</v>
          </cell>
          <cell r="S6229" t="str">
            <v>S Bali1</v>
          </cell>
          <cell r="T6229" t="str">
            <v>Wira</v>
          </cell>
          <cell r="U6229">
            <v>30</v>
          </cell>
        </row>
        <row r="6230">
          <cell r="E6230" t="str">
            <v>D25011815</v>
          </cell>
          <cell r="F6230"/>
          <cell r="G6230">
            <v>20000000</v>
          </cell>
          <cell r="H6230" t="str">
            <v>Reni</v>
          </cell>
          <cell r="I6230" t="str">
            <v>Farida</v>
          </cell>
          <cell r="J6230"/>
          <cell r="K6230" t="str">
            <v>KU</v>
          </cell>
          <cell r="L6230" t="str">
            <v>PODO03</v>
          </cell>
          <cell r="M6230" t="str">
            <v>Podho Joyo Tani/Jito</v>
          </cell>
          <cell r="N6230" t="str">
            <v>Jito</v>
          </cell>
          <cell r="O6230" t="str">
            <v>Dsn. Pengkol - Ngrami, Kec. Sukomoro</v>
          </cell>
          <cell r="P6230" t="str">
            <v>Nganjuk</v>
          </cell>
          <cell r="Q6230" t="str">
            <v>Dsn. Pengkol - Ngrami, Kec. Sukomoro</v>
          </cell>
          <cell r="R6230" t="str">
            <v>Nganjuk</v>
          </cell>
          <cell r="S6230" t="str">
            <v>D Barat2</v>
          </cell>
          <cell r="T6230" t="str">
            <v>Dian</v>
          </cell>
          <cell r="U6230">
            <v>30</v>
          </cell>
        </row>
        <row r="6231">
          <cell r="E6231" t="str">
            <v>T25000498</v>
          </cell>
          <cell r="F6231"/>
          <cell r="G6231">
            <v>300000000</v>
          </cell>
          <cell r="H6231" t="str">
            <v>Ariyani</v>
          </cell>
          <cell r="I6231" t="str">
            <v>Fira</v>
          </cell>
          <cell r="J6231"/>
          <cell r="K6231" t="str">
            <v>KU, Tunai</v>
          </cell>
          <cell r="L6231" t="str">
            <v>PODO01</v>
          </cell>
          <cell r="M6231" t="str">
            <v>Podo Tani/Supri</v>
          </cell>
          <cell r="N6231" t="str">
            <v>Suprianto</v>
          </cell>
          <cell r="O6231" t="str">
            <v>Dsn. Jombang, RT.022/RW.006, Kel. Yosowilangun Lor, Kec. Yosowilangun</v>
          </cell>
          <cell r="P6231" t="str">
            <v>Lumajang</v>
          </cell>
          <cell r="Q6231" t="str">
            <v>Dsn. Jombang, RT.22/RW.06, Ds. Yosowilangun Lor Kec. Yosowilangung, Kab. Lumajang</v>
          </cell>
          <cell r="R6231" t="str">
            <v>Lumajang</v>
          </cell>
          <cell r="S6231" t="str">
            <v>C Lumajang</v>
          </cell>
          <cell r="T6231" t="str">
            <v>Wira</v>
          </cell>
          <cell r="U6231">
            <v>220</v>
          </cell>
        </row>
        <row r="6232">
          <cell r="E6232" t="str">
            <v>T25001115</v>
          </cell>
          <cell r="F6232"/>
          <cell r="G6232">
            <v>300000000</v>
          </cell>
          <cell r="H6232" t="str">
            <v>Ariyani</v>
          </cell>
          <cell r="I6232" t="str">
            <v>Fira</v>
          </cell>
          <cell r="J6232"/>
          <cell r="K6232" t="str">
            <v>KU, Tunai</v>
          </cell>
          <cell r="L6232" t="str">
            <v>PODO01</v>
          </cell>
          <cell r="M6232" t="str">
            <v>Podo Tani/Supri</v>
          </cell>
          <cell r="N6232" t="str">
            <v>Suprianto</v>
          </cell>
          <cell r="O6232" t="str">
            <v>Dsn. Jombang, RT.022/RW.006, Kel. Yosowilangun Lor, Kec. Yosowilangun</v>
          </cell>
          <cell r="P6232" t="str">
            <v>Lumajang</v>
          </cell>
          <cell r="Q6232" t="str">
            <v>Dsn. Jombang, RT.22/RW.06, Ds. Yosowilangun Lor Kec. Yosowilangung, Kab. Lumajang</v>
          </cell>
          <cell r="R6232" t="str">
            <v>Lumajang</v>
          </cell>
          <cell r="S6232" t="str">
            <v>C Lumajang</v>
          </cell>
          <cell r="T6232" t="str">
            <v>Wira</v>
          </cell>
          <cell r="U6232">
            <v>60</v>
          </cell>
        </row>
        <row r="6233">
          <cell r="E6233" t="str">
            <v>B25009581</v>
          </cell>
          <cell r="F6233"/>
          <cell r="G6233">
            <v>300000000</v>
          </cell>
          <cell r="H6233" t="str">
            <v>Ariyani</v>
          </cell>
          <cell r="I6233" t="str">
            <v>Fira</v>
          </cell>
          <cell r="J6233"/>
          <cell r="K6233" t="str">
            <v>KU, Tunai</v>
          </cell>
          <cell r="L6233" t="str">
            <v>PODO01</v>
          </cell>
          <cell r="M6233" t="str">
            <v>Podo Tani/Supri</v>
          </cell>
          <cell r="N6233" t="str">
            <v>Suprianto</v>
          </cell>
          <cell r="O6233" t="str">
            <v>Dsn. Jombang, RT.022/RW.006, Kel. Yosowilangun Lor, Kec. Yosowilangun</v>
          </cell>
          <cell r="P6233" t="str">
            <v>Lumajang</v>
          </cell>
          <cell r="Q6233" t="str">
            <v>Dsn. Jombang, RT.22/RW.06, Ds. Yosowilangun Lor Kec. Yosowilangung, Kab. Lumajang</v>
          </cell>
          <cell r="R6233" t="str">
            <v>Lumajang</v>
          </cell>
          <cell r="S6233" t="str">
            <v>C Lumajang</v>
          </cell>
          <cell r="T6233" t="str">
            <v>Wira</v>
          </cell>
          <cell r="U6233">
            <v>30</v>
          </cell>
        </row>
        <row r="6234">
          <cell r="E6234" t="str">
            <v>B25009685</v>
          </cell>
          <cell r="F6234"/>
          <cell r="G6234">
            <v>300000000</v>
          </cell>
          <cell r="H6234" t="str">
            <v>Ariyani</v>
          </cell>
          <cell r="I6234" t="str">
            <v>Fira</v>
          </cell>
          <cell r="J6234"/>
          <cell r="K6234" t="str">
            <v>KU, Tunai</v>
          </cell>
          <cell r="L6234" t="str">
            <v>PODO01</v>
          </cell>
          <cell r="M6234" t="str">
            <v>Podo Tani/Supri</v>
          </cell>
          <cell r="N6234" t="str">
            <v>Suprianto</v>
          </cell>
          <cell r="O6234" t="str">
            <v>Dsn. Jombang, RT.022/RW.006, Kel. Yosowilangun Lor, Kec. Yosowilangun</v>
          </cell>
          <cell r="P6234" t="str">
            <v>Lumajang</v>
          </cell>
          <cell r="Q6234" t="str">
            <v>Dsn. Jombang, RT.22/RW.06, Ds. Yosowilangun Lor Kec. Yosowilangung, Kab. Lumajang</v>
          </cell>
          <cell r="R6234" t="str">
            <v>Lumajang</v>
          </cell>
          <cell r="S6234" t="str">
            <v>C Lumajang</v>
          </cell>
          <cell r="T6234" t="str">
            <v>Wira</v>
          </cell>
          <cell r="U6234">
            <v>30</v>
          </cell>
        </row>
        <row r="6235">
          <cell r="E6235" t="str">
            <v>B25009877</v>
          </cell>
          <cell r="F6235"/>
          <cell r="G6235">
            <v>300000000</v>
          </cell>
          <cell r="H6235" t="str">
            <v>Ariyani</v>
          </cell>
          <cell r="I6235" t="str">
            <v>Fira</v>
          </cell>
          <cell r="J6235"/>
          <cell r="K6235" t="str">
            <v>KU, Tunai</v>
          </cell>
          <cell r="L6235" t="str">
            <v>PODO01</v>
          </cell>
          <cell r="M6235" t="str">
            <v>Podo Tani/Supri</v>
          </cell>
          <cell r="N6235" t="str">
            <v>Suprianto</v>
          </cell>
          <cell r="O6235" t="str">
            <v>Dsn. Jombang, RT.022/RW.006, Kel. Yosowilangun Lor, Kec. Yosowilangun</v>
          </cell>
          <cell r="P6235" t="str">
            <v>Lumajang</v>
          </cell>
          <cell r="Q6235" t="str">
            <v>Dsn. Jombang, RT.22/RW.06, Ds. Yosowilangun Lor Kec. Yosowilangung, Kab. Lumajang</v>
          </cell>
          <cell r="R6235" t="str">
            <v>Lumajang</v>
          </cell>
          <cell r="S6235" t="str">
            <v>C Lumajang</v>
          </cell>
          <cell r="T6235" t="str">
            <v>Wira</v>
          </cell>
          <cell r="U6235">
            <v>30</v>
          </cell>
        </row>
        <row r="6236">
          <cell r="E6236" t="str">
            <v>B25010244</v>
          </cell>
          <cell r="F6236"/>
          <cell r="G6236">
            <v>300000000</v>
          </cell>
          <cell r="H6236" t="str">
            <v>Ariyani</v>
          </cell>
          <cell r="I6236" t="str">
            <v>Fira</v>
          </cell>
          <cell r="J6236"/>
          <cell r="K6236" t="str">
            <v>KU, Tunai</v>
          </cell>
          <cell r="L6236" t="str">
            <v>PODO01</v>
          </cell>
          <cell r="M6236" t="str">
            <v>Podo Tani/Supri</v>
          </cell>
          <cell r="N6236" t="str">
            <v>Suprianto</v>
          </cell>
          <cell r="O6236" t="str">
            <v>Dsn. Jombang, RT.022/RW.006, Kel. Yosowilangun Lor, Kec. Yosowilangun</v>
          </cell>
          <cell r="P6236" t="str">
            <v>Lumajang</v>
          </cell>
          <cell r="Q6236" t="str">
            <v>Dsn. Jombang, RT.22/RW.06, Ds. Yosowilangun Lor Kec. Yosowilangung, Kab. Lumajang</v>
          </cell>
          <cell r="R6236" t="str">
            <v>Lumajang</v>
          </cell>
          <cell r="S6236" t="str">
            <v>C Lumajang</v>
          </cell>
          <cell r="T6236" t="str">
            <v>Wira</v>
          </cell>
          <cell r="U6236">
            <v>30</v>
          </cell>
        </row>
        <row r="6237">
          <cell r="E6237" t="str">
            <v>T25001282</v>
          </cell>
          <cell r="F6237"/>
          <cell r="G6237">
            <v>300000000</v>
          </cell>
          <cell r="H6237" t="str">
            <v>Ariyani</v>
          </cell>
          <cell r="I6237" t="str">
            <v>Fira</v>
          </cell>
          <cell r="J6237"/>
          <cell r="K6237" t="str">
            <v>KU, Tunai</v>
          </cell>
          <cell r="L6237" t="str">
            <v>PODO01</v>
          </cell>
          <cell r="M6237" t="str">
            <v>Podo Tani/Supri</v>
          </cell>
          <cell r="N6237" t="str">
            <v>Suprianto</v>
          </cell>
          <cell r="O6237" t="str">
            <v>Dsn. Jombang, RT.022/RW.006, Kel. Yosowilangun Lor, Kec. Yosowilangun</v>
          </cell>
          <cell r="P6237" t="str">
            <v>Lumajang</v>
          </cell>
          <cell r="Q6237" t="str">
            <v>Dsn. Jombang, RT.22/RW.06, Ds. Yosowilangun Lor Kec. Yosowilangung, Kab. Lumajang</v>
          </cell>
          <cell r="R6237" t="str">
            <v>Lumajang</v>
          </cell>
          <cell r="S6237" t="str">
            <v>C Lumajang</v>
          </cell>
          <cell r="T6237" t="str">
            <v>Wira</v>
          </cell>
          <cell r="U6237">
            <v>60</v>
          </cell>
        </row>
        <row r="6238">
          <cell r="E6238" t="str">
            <v>B25010738</v>
          </cell>
          <cell r="F6238"/>
          <cell r="G6238">
            <v>300000000</v>
          </cell>
          <cell r="H6238" t="str">
            <v>Ariyani</v>
          </cell>
          <cell r="I6238" t="str">
            <v>Fira</v>
          </cell>
          <cell r="J6238"/>
          <cell r="K6238" t="str">
            <v>KU, Tunai</v>
          </cell>
          <cell r="L6238" t="str">
            <v>PODO01</v>
          </cell>
          <cell r="M6238" t="str">
            <v>Podo Tani/Supri</v>
          </cell>
          <cell r="N6238" t="str">
            <v>Suprianto</v>
          </cell>
          <cell r="O6238" t="str">
            <v>Dsn. Jombang, RT.022/RW.006, Kel. Yosowilangun Lor, Kec. Yosowilangun</v>
          </cell>
          <cell r="P6238" t="str">
            <v>Lumajang</v>
          </cell>
          <cell r="Q6238" t="str">
            <v>Dsn. Jombang, RT.22/RW.06, Ds. Yosowilangun Lor Kec. Yosowilangung, Kab. Lumajang</v>
          </cell>
          <cell r="R6238" t="str">
            <v>Lumajang</v>
          </cell>
          <cell r="S6238" t="str">
            <v>C Lumajang</v>
          </cell>
          <cell r="T6238" t="str">
            <v>Wira</v>
          </cell>
          <cell r="U6238">
            <v>30</v>
          </cell>
        </row>
        <row r="6239">
          <cell r="E6239" t="str">
            <v>B25010751</v>
          </cell>
          <cell r="F6239"/>
          <cell r="G6239">
            <v>300000000</v>
          </cell>
          <cell r="H6239" t="str">
            <v>Ariyani</v>
          </cell>
          <cell r="I6239" t="str">
            <v>Fira</v>
          </cell>
          <cell r="J6239"/>
          <cell r="K6239" t="str">
            <v>KU, Tunai</v>
          </cell>
          <cell r="L6239" t="str">
            <v>PODO01</v>
          </cell>
          <cell r="M6239" t="str">
            <v>Podo Tani/Supri</v>
          </cell>
          <cell r="N6239" t="str">
            <v>Suprianto</v>
          </cell>
          <cell r="O6239" t="str">
            <v>Dsn. Jombang, RT.022/RW.006, Kel. Yosowilangun Lor, Kec. Yosowilangun</v>
          </cell>
          <cell r="P6239" t="str">
            <v>Lumajang</v>
          </cell>
          <cell r="Q6239" t="str">
            <v>Dsn. Jombang, RT.22/RW.06, Ds. Yosowilangun Lor Kec. Yosowilangung, Kab. Lumajang</v>
          </cell>
          <cell r="R6239" t="str">
            <v>Lumajang</v>
          </cell>
          <cell r="S6239" t="str">
            <v>C Lumajang</v>
          </cell>
          <cell r="T6239" t="str">
            <v>Wira</v>
          </cell>
          <cell r="U6239">
            <v>30</v>
          </cell>
        </row>
        <row r="6240">
          <cell r="E6240" t="str">
            <v>B25010759</v>
          </cell>
          <cell r="F6240"/>
          <cell r="G6240">
            <v>300000000</v>
          </cell>
          <cell r="H6240" t="str">
            <v>Ariyani</v>
          </cell>
          <cell r="I6240" t="str">
            <v>Fira</v>
          </cell>
          <cell r="J6240"/>
          <cell r="K6240" t="str">
            <v>KU, Tunai</v>
          </cell>
          <cell r="L6240" t="str">
            <v>PODO01</v>
          </cell>
          <cell r="M6240" t="str">
            <v>Podo Tani/Supri</v>
          </cell>
          <cell r="N6240" t="str">
            <v>Suprianto</v>
          </cell>
          <cell r="O6240" t="str">
            <v>Dsn. Jombang, RT.022/RW.006, Kel. Yosowilangun Lor, Kec. Yosowilangun</v>
          </cell>
          <cell r="P6240" t="str">
            <v>Lumajang</v>
          </cell>
          <cell r="Q6240" t="str">
            <v>Dsn. Jombang, RT.22/RW.06, Ds. Yosowilangun Lor Kec. Yosowilangung, Kab. Lumajang</v>
          </cell>
          <cell r="R6240" t="str">
            <v>Lumajang</v>
          </cell>
          <cell r="S6240" t="str">
            <v>C Lumajang</v>
          </cell>
          <cell r="T6240" t="str">
            <v>Wira</v>
          </cell>
          <cell r="U6240">
            <v>30</v>
          </cell>
        </row>
        <row r="6241">
          <cell r="E6241" t="str">
            <v>D25013174</v>
          </cell>
          <cell r="F6241"/>
          <cell r="G6241">
            <v>300000000</v>
          </cell>
          <cell r="H6241" t="str">
            <v>Ariyani</v>
          </cell>
          <cell r="I6241" t="str">
            <v>Fira</v>
          </cell>
          <cell r="J6241"/>
          <cell r="K6241" t="str">
            <v>KU, Tunai</v>
          </cell>
          <cell r="L6241" t="str">
            <v>PODO01</v>
          </cell>
          <cell r="M6241" t="str">
            <v>Podo Tani/Supri</v>
          </cell>
          <cell r="N6241" t="str">
            <v>Suprianto</v>
          </cell>
          <cell r="O6241" t="str">
            <v>Dsn. Jombang, RT.022/RW.006, Kel. Yosowilangun Lor, Kec. Yosowilangun</v>
          </cell>
          <cell r="P6241" t="str">
            <v>Lumajang</v>
          </cell>
          <cell r="Q6241" t="str">
            <v>Dsn. Jombang, RT.22/RW.06, Ds. Yosowilangun Lor Kec. Yosowilangung, Kab. Lumajang</v>
          </cell>
          <cell r="R6241" t="str">
            <v>Lumajang</v>
          </cell>
          <cell r="S6241" t="str">
            <v>C Lumajang</v>
          </cell>
          <cell r="T6241" t="str">
            <v>Wira</v>
          </cell>
          <cell r="U6241">
            <v>60</v>
          </cell>
        </row>
        <row r="6242">
          <cell r="E6242" t="str">
            <v>B25011529</v>
          </cell>
          <cell r="F6242"/>
          <cell r="G6242">
            <v>300000000</v>
          </cell>
          <cell r="H6242" t="str">
            <v>Ariyani</v>
          </cell>
          <cell r="I6242" t="str">
            <v>Fira</v>
          </cell>
          <cell r="J6242"/>
          <cell r="K6242" t="str">
            <v>KU, Tunai</v>
          </cell>
          <cell r="L6242" t="str">
            <v>PODO01</v>
          </cell>
          <cell r="M6242" t="str">
            <v>Podo Tani/Supri</v>
          </cell>
          <cell r="N6242" t="str">
            <v>Suprianto</v>
          </cell>
          <cell r="O6242" t="str">
            <v>Dsn. Jombang, RT.022/RW.006, Kel. Yosowilangun Lor, Kec. Yosowilangun</v>
          </cell>
          <cell r="P6242" t="str">
            <v>Lumajang</v>
          </cell>
          <cell r="Q6242" t="str">
            <v>Dsn. Jombang, RT.22/RW.06, Ds. Yosowilangun Lor Kec. Yosowilangung, Kab. Lumajang</v>
          </cell>
          <cell r="R6242" t="str">
            <v>Lumajang</v>
          </cell>
          <cell r="S6242" t="str">
            <v>C Lumajang</v>
          </cell>
          <cell r="T6242" t="str">
            <v>Wira</v>
          </cell>
          <cell r="U6242">
            <v>30</v>
          </cell>
        </row>
        <row r="6243">
          <cell r="E6243" t="str">
            <v>B25011563</v>
          </cell>
          <cell r="F6243"/>
          <cell r="G6243">
            <v>300000000</v>
          </cell>
          <cell r="H6243" t="str">
            <v>Ariyani</v>
          </cell>
          <cell r="I6243" t="str">
            <v>Fira</v>
          </cell>
          <cell r="J6243"/>
          <cell r="K6243" t="str">
            <v>KU, Tunai</v>
          </cell>
          <cell r="L6243" t="str">
            <v>PODO01</v>
          </cell>
          <cell r="M6243" t="str">
            <v>Podo Tani/Supri</v>
          </cell>
          <cell r="N6243" t="str">
            <v>Suprianto</v>
          </cell>
          <cell r="O6243" t="str">
            <v>Dsn. Jombang, RT.022/RW.006, Kel. Yosowilangun Lor, Kec. Yosowilangun</v>
          </cell>
          <cell r="P6243" t="str">
            <v>Lumajang</v>
          </cell>
          <cell r="Q6243" t="str">
            <v>Dsn. Jombang, RT.22/RW.06, Ds. Yosowilangun Lor Kec. Yosowilangung, Kab. Lumajang</v>
          </cell>
          <cell r="R6243" t="str">
            <v>Lumajang</v>
          </cell>
          <cell r="S6243" t="str">
            <v>C Lumajang</v>
          </cell>
          <cell r="T6243" t="str">
            <v>Wira</v>
          </cell>
          <cell r="U6243">
            <v>30</v>
          </cell>
        </row>
        <row r="6244">
          <cell r="E6244" t="str">
            <v>B25011619</v>
          </cell>
          <cell r="F6244"/>
          <cell r="G6244">
            <v>300000000</v>
          </cell>
          <cell r="H6244" t="str">
            <v>Ariyani</v>
          </cell>
          <cell r="I6244" t="str">
            <v>Fira</v>
          </cell>
          <cell r="J6244"/>
          <cell r="K6244" t="str">
            <v>KU, Tunai</v>
          </cell>
          <cell r="L6244" t="str">
            <v>PODO01</v>
          </cell>
          <cell r="M6244" t="str">
            <v>Podo Tani/Supri</v>
          </cell>
          <cell r="N6244" t="str">
            <v>Suprianto</v>
          </cell>
          <cell r="O6244" t="str">
            <v>Dsn. Jombang, RT.022/RW.006, Kel. Yosowilangun Lor, Kec. Yosowilangun</v>
          </cell>
          <cell r="P6244" t="str">
            <v>Lumajang</v>
          </cell>
          <cell r="Q6244" t="str">
            <v>Dsn. Jombang, RT.22/RW.06, Ds. Yosowilangun Lor Kec. Yosowilangung, Kab. Lumajang</v>
          </cell>
          <cell r="R6244" t="str">
            <v>Lumajang</v>
          </cell>
          <cell r="S6244" t="str">
            <v>C Lumajang</v>
          </cell>
          <cell r="T6244" t="str">
            <v>Wira</v>
          </cell>
          <cell r="U6244">
            <v>30</v>
          </cell>
        </row>
        <row r="6245">
          <cell r="E6245" t="str">
            <v>B25011736</v>
          </cell>
          <cell r="F6245"/>
          <cell r="G6245">
            <v>300000000</v>
          </cell>
          <cell r="H6245" t="str">
            <v>Ariyani</v>
          </cell>
          <cell r="I6245" t="str">
            <v>Fira</v>
          </cell>
          <cell r="J6245"/>
          <cell r="K6245" t="str">
            <v>KU, Tunai</v>
          </cell>
          <cell r="L6245" t="str">
            <v>PODO01</v>
          </cell>
          <cell r="M6245" t="str">
            <v>Podo Tani/Supri</v>
          </cell>
          <cell r="N6245" t="str">
            <v>Suprianto</v>
          </cell>
          <cell r="O6245" t="str">
            <v>Dsn. Jombang, RT.022/RW.006, Kel. Yosowilangun Lor, Kec. Yosowilangun</v>
          </cell>
          <cell r="P6245" t="str">
            <v>Lumajang</v>
          </cell>
          <cell r="Q6245" t="str">
            <v>Dsn. Jombang, RT.22/RW.06, Ds. Yosowilangun Lor Kec. Yosowilangung, Kab. Lumajang</v>
          </cell>
          <cell r="R6245" t="str">
            <v>Lumajang</v>
          </cell>
          <cell r="S6245" t="str">
            <v>C Lumajang</v>
          </cell>
          <cell r="T6245" t="str">
            <v>Wira</v>
          </cell>
          <cell r="U6245">
            <v>30</v>
          </cell>
        </row>
        <row r="6246">
          <cell r="E6246" t="str">
            <v>B25012030</v>
          </cell>
          <cell r="F6246"/>
          <cell r="G6246">
            <v>300000000</v>
          </cell>
          <cell r="H6246" t="str">
            <v>Ariyani</v>
          </cell>
          <cell r="I6246" t="str">
            <v>Fira</v>
          </cell>
          <cell r="J6246"/>
          <cell r="K6246" t="str">
            <v>KU, Tunai</v>
          </cell>
          <cell r="L6246" t="str">
            <v>PODO01</v>
          </cell>
          <cell r="M6246" t="str">
            <v>Podo Tani/Supri</v>
          </cell>
          <cell r="N6246" t="str">
            <v>Suprianto</v>
          </cell>
          <cell r="O6246" t="str">
            <v>Dsn. Jombang, RT.022/RW.006, Kel. Yosowilangun Lor, Kec. Yosowilangun</v>
          </cell>
          <cell r="P6246" t="str">
            <v>Lumajang</v>
          </cell>
          <cell r="Q6246" t="str">
            <v>Dsn. Jombang, RT.22/RW.06, Ds. Yosowilangun Lor Kec. Yosowilangung, Kab. Lumajang</v>
          </cell>
          <cell r="R6246" t="str">
            <v>Lumajang</v>
          </cell>
          <cell r="S6246" t="str">
            <v>C Lumajang</v>
          </cell>
          <cell r="T6246" t="str">
            <v>Wira</v>
          </cell>
          <cell r="U6246">
            <v>30</v>
          </cell>
        </row>
        <row r="6247">
          <cell r="E6247" t="str">
            <v>D25014466</v>
          </cell>
          <cell r="F6247"/>
          <cell r="G6247">
            <v>300000000</v>
          </cell>
          <cell r="H6247" t="str">
            <v>Ariyani</v>
          </cell>
          <cell r="I6247" t="str">
            <v>Fira</v>
          </cell>
          <cell r="J6247"/>
          <cell r="K6247" t="str">
            <v>KU, Tunai</v>
          </cell>
          <cell r="L6247" t="str">
            <v>PODO01</v>
          </cell>
          <cell r="M6247" t="str">
            <v>Podo Tani/Supri</v>
          </cell>
          <cell r="N6247" t="str">
            <v>Suprianto</v>
          </cell>
          <cell r="O6247" t="str">
            <v>Dsn. Jombang, RT.022/RW.006, Kel. Yosowilangun Lor, Kec. Yosowilangun</v>
          </cell>
          <cell r="P6247" t="str">
            <v>Lumajang</v>
          </cell>
          <cell r="Q6247" t="str">
            <v>Dsn. Jombang, RT.22/RW.06, Ds. Yosowilangun Lor Kec. Yosowilangung, Kab. Lumajang</v>
          </cell>
          <cell r="R6247" t="str">
            <v>Lumajang</v>
          </cell>
          <cell r="S6247" t="str">
            <v>C Lumajang</v>
          </cell>
          <cell r="T6247" t="str">
            <v>Wira</v>
          </cell>
          <cell r="U6247">
            <v>30</v>
          </cell>
        </row>
        <row r="6248">
          <cell r="E6248" t="str">
            <v>B25012377</v>
          </cell>
          <cell r="F6248"/>
          <cell r="G6248">
            <v>300000000</v>
          </cell>
          <cell r="H6248" t="str">
            <v>Ariyani</v>
          </cell>
          <cell r="I6248" t="str">
            <v>Fira</v>
          </cell>
          <cell r="J6248"/>
          <cell r="K6248" t="str">
            <v>KU, Tunai</v>
          </cell>
          <cell r="L6248" t="str">
            <v>PODO01</v>
          </cell>
          <cell r="M6248" t="str">
            <v>Podo Tani/Supri</v>
          </cell>
          <cell r="N6248" t="str">
            <v>Suprianto</v>
          </cell>
          <cell r="O6248" t="str">
            <v>Dsn. Jombang, RT.022/RW.006, Kel. Yosowilangun Lor, Kec. Yosowilangun</v>
          </cell>
          <cell r="P6248" t="str">
            <v>Lumajang</v>
          </cell>
          <cell r="Q6248" t="str">
            <v>Dsn. Jombang, RT.22/RW.06, Ds. Yosowilangun Lor Kec. Yosowilangung, Kab. Lumajang</v>
          </cell>
          <cell r="R6248" t="str">
            <v>Lumajang</v>
          </cell>
          <cell r="S6248" t="str">
            <v>C Lumajang</v>
          </cell>
          <cell r="T6248" t="str">
            <v>Wira</v>
          </cell>
          <cell r="U6248">
            <v>30</v>
          </cell>
        </row>
        <row r="6249">
          <cell r="E6249" t="str">
            <v>B25013026</v>
          </cell>
          <cell r="F6249"/>
          <cell r="G6249">
            <v>300000000</v>
          </cell>
          <cell r="H6249" t="str">
            <v>Ariyani</v>
          </cell>
          <cell r="I6249" t="str">
            <v>Fira</v>
          </cell>
          <cell r="J6249"/>
          <cell r="K6249" t="str">
            <v>KU, Tunai</v>
          </cell>
          <cell r="L6249" t="str">
            <v>PODO01</v>
          </cell>
          <cell r="M6249" t="str">
            <v>Podo Tani/Supri</v>
          </cell>
          <cell r="N6249" t="str">
            <v>Suprianto</v>
          </cell>
          <cell r="O6249" t="str">
            <v>Dsn. Jombang, RT.022/RW.006, Kel. Yosowilangun Lor, Kec. Yosowilangun</v>
          </cell>
          <cell r="P6249" t="str">
            <v>Lumajang</v>
          </cell>
          <cell r="Q6249" t="str">
            <v>Dsn. Jombang, RT.22/RW.06, Ds. Yosowilangun Lor Kec. Yosowilangung, Kab. Lumajang</v>
          </cell>
          <cell r="R6249" t="str">
            <v>Lumajang</v>
          </cell>
          <cell r="S6249" t="str">
            <v>C Lumajang</v>
          </cell>
          <cell r="T6249" t="str">
            <v>Wira</v>
          </cell>
          <cell r="U6249">
            <v>30</v>
          </cell>
        </row>
        <row r="6250">
          <cell r="E6250" t="str">
            <v>D25015319</v>
          </cell>
          <cell r="F6250"/>
          <cell r="G6250">
            <v>300000000</v>
          </cell>
          <cell r="H6250" t="str">
            <v>Ariyani</v>
          </cell>
          <cell r="I6250" t="str">
            <v>Fira</v>
          </cell>
          <cell r="J6250"/>
          <cell r="K6250" t="str">
            <v>KU, Tunai</v>
          </cell>
          <cell r="L6250" t="str">
            <v>PODO01</v>
          </cell>
          <cell r="M6250" t="str">
            <v>Podo Tani/Supri</v>
          </cell>
          <cell r="N6250" t="str">
            <v>Suprianto</v>
          </cell>
          <cell r="O6250" t="str">
            <v>Dsn. Jombang, RT.022/RW.006, Kel. Yosowilangun Lor, Kec. Yosowilangun</v>
          </cell>
          <cell r="P6250" t="str">
            <v>Lumajang</v>
          </cell>
          <cell r="Q6250" t="str">
            <v>Dsn. Jombang, RT.22/RW.06, Ds. Yosowilangun Lor Kec. Yosowilangung, Kab. Lumajang</v>
          </cell>
          <cell r="R6250" t="str">
            <v>Lumajang</v>
          </cell>
          <cell r="S6250" t="str">
            <v>C Lumajang</v>
          </cell>
          <cell r="T6250" t="str">
            <v>Wira</v>
          </cell>
          <cell r="U6250">
            <v>30</v>
          </cell>
        </row>
        <row r="6251">
          <cell r="E6251" t="str">
            <v>D25015341</v>
          </cell>
          <cell r="F6251"/>
          <cell r="G6251">
            <v>300000000</v>
          </cell>
          <cell r="H6251" t="str">
            <v>Ariyani</v>
          </cell>
          <cell r="I6251" t="str">
            <v>Fira</v>
          </cell>
          <cell r="J6251"/>
          <cell r="K6251" t="str">
            <v>KU, Tunai</v>
          </cell>
          <cell r="L6251" t="str">
            <v>PODO01</v>
          </cell>
          <cell r="M6251" t="str">
            <v>Podo Tani/Supri</v>
          </cell>
          <cell r="N6251" t="str">
            <v>Suprianto</v>
          </cell>
          <cell r="O6251" t="str">
            <v>Dsn. Jombang, RT.022/RW.006, Kel. Yosowilangun Lor, Kec. Yosowilangun</v>
          </cell>
          <cell r="P6251" t="str">
            <v>Lumajang</v>
          </cell>
          <cell r="Q6251" t="str">
            <v>Dsn. Jombang, RT.22/RW.06, Ds. Yosowilangun Lor Kec. Yosowilangung, Kab. Lumajang</v>
          </cell>
          <cell r="R6251" t="str">
            <v>Lumajang</v>
          </cell>
          <cell r="S6251" t="str">
            <v>C Lumajang</v>
          </cell>
          <cell r="T6251" t="str">
            <v>Wira</v>
          </cell>
          <cell r="U6251">
            <v>30</v>
          </cell>
        </row>
        <row r="6252">
          <cell r="E6252" t="str">
            <v>D25015661</v>
          </cell>
          <cell r="F6252"/>
          <cell r="G6252">
            <v>300000000</v>
          </cell>
          <cell r="H6252" t="str">
            <v>Ariyani</v>
          </cell>
          <cell r="I6252" t="str">
            <v>Fira</v>
          </cell>
          <cell r="J6252"/>
          <cell r="K6252" t="str">
            <v>KU, Tunai</v>
          </cell>
          <cell r="L6252" t="str">
            <v>PODO01</v>
          </cell>
          <cell r="M6252" t="str">
            <v>Podo Tani/Supri</v>
          </cell>
          <cell r="N6252" t="str">
            <v>Suprianto</v>
          </cell>
          <cell r="O6252" t="str">
            <v>Dsn. Jombang, RT.022/RW.006, Kel. Yosowilangun Lor, Kec. Yosowilangun</v>
          </cell>
          <cell r="P6252" t="str">
            <v>Lumajang</v>
          </cell>
          <cell r="Q6252" t="str">
            <v>Dsn. Jombang, RT.22/RW.06, Ds. Yosowilangun Lor Kec. Yosowilangung, Kab. Lumajang</v>
          </cell>
          <cell r="R6252" t="str">
            <v>Lumajang</v>
          </cell>
          <cell r="S6252" t="str">
            <v>C Lumajang</v>
          </cell>
          <cell r="T6252" t="str">
            <v>Wira</v>
          </cell>
          <cell r="U6252">
            <v>30</v>
          </cell>
        </row>
        <row r="6253">
          <cell r="E6253" t="str">
            <v>D25015874</v>
          </cell>
          <cell r="F6253"/>
          <cell r="G6253">
            <v>300000000</v>
          </cell>
          <cell r="H6253" t="str">
            <v>Ariyani</v>
          </cell>
          <cell r="I6253" t="str">
            <v>Fira</v>
          </cell>
          <cell r="J6253"/>
          <cell r="K6253" t="str">
            <v>KU, Tunai</v>
          </cell>
          <cell r="L6253" t="str">
            <v>PODO01</v>
          </cell>
          <cell r="M6253" t="str">
            <v>Podo Tani/Supri</v>
          </cell>
          <cell r="N6253" t="str">
            <v>Suprianto</v>
          </cell>
          <cell r="O6253" t="str">
            <v>Dsn. Jombang, RT.022/RW.006, Kel. Yosowilangun Lor, Kec. Yosowilangun</v>
          </cell>
          <cell r="P6253" t="str">
            <v>Lumajang</v>
          </cell>
          <cell r="Q6253" t="str">
            <v>Dsn. Jombang, RT.22/RW.06, Ds. Yosowilangun Lor Kec. Yosowilangung, Kab. Lumajang</v>
          </cell>
          <cell r="R6253" t="str">
            <v>Lumajang</v>
          </cell>
          <cell r="S6253" t="str">
            <v>C Lumajang</v>
          </cell>
          <cell r="T6253" t="str">
            <v>Wira</v>
          </cell>
          <cell r="U6253">
            <v>30</v>
          </cell>
        </row>
        <row r="6254">
          <cell r="E6254" t="str">
            <v>D25016232</v>
          </cell>
          <cell r="F6254"/>
          <cell r="G6254">
            <v>300000000</v>
          </cell>
          <cell r="H6254" t="str">
            <v>Ariyani</v>
          </cell>
          <cell r="I6254" t="str">
            <v>Fira</v>
          </cell>
          <cell r="J6254"/>
          <cell r="K6254" t="str">
            <v>KU, Tunai</v>
          </cell>
          <cell r="L6254" t="str">
            <v>PODO01</v>
          </cell>
          <cell r="M6254" t="str">
            <v>Podo Tani/Supri</v>
          </cell>
          <cell r="N6254" t="str">
            <v>Suprianto</v>
          </cell>
          <cell r="O6254" t="str">
            <v>Dsn. Jombang, RT.022/RW.006, Kel. Yosowilangun Lor, Kec. Yosowilangun</v>
          </cell>
          <cell r="P6254" t="str">
            <v>Lumajang</v>
          </cell>
          <cell r="Q6254" t="str">
            <v>Dsn. Jombang, RT.22/RW.06, Ds. Yosowilangun Lor Kec. Yosowilangung, Kab. Lumajang</v>
          </cell>
          <cell r="R6254" t="str">
            <v>Lumajang</v>
          </cell>
          <cell r="S6254" t="str">
            <v>C Lumajang</v>
          </cell>
          <cell r="T6254" t="str">
            <v>Wira</v>
          </cell>
          <cell r="U6254">
            <v>30</v>
          </cell>
        </row>
        <row r="6255">
          <cell r="E6255" t="str">
            <v>B25014035</v>
          </cell>
          <cell r="F6255"/>
          <cell r="G6255">
            <v>300000000</v>
          </cell>
          <cell r="H6255" t="str">
            <v>Ariyani</v>
          </cell>
          <cell r="I6255" t="str">
            <v>Fira</v>
          </cell>
          <cell r="J6255"/>
          <cell r="K6255" t="str">
            <v>KU, Tunai</v>
          </cell>
          <cell r="L6255" t="str">
            <v>PODO01</v>
          </cell>
          <cell r="M6255" t="str">
            <v>Podo Tani/Supri</v>
          </cell>
          <cell r="N6255" t="str">
            <v>Suprianto</v>
          </cell>
          <cell r="O6255" t="str">
            <v>Dsn. Jombang, RT.022/RW.006, Kel. Yosowilangun Lor, Kec. Yosowilangun</v>
          </cell>
          <cell r="P6255" t="str">
            <v>Lumajang</v>
          </cell>
          <cell r="Q6255" t="str">
            <v>Dsn. Jombang, RT.22/RW.06, Ds. Yosowilangun Lor Kec. Yosowilangung, Kab. Lumajang</v>
          </cell>
          <cell r="R6255" t="str">
            <v>Lumajang</v>
          </cell>
          <cell r="S6255" t="str">
            <v>C Lumajang</v>
          </cell>
          <cell r="T6255" t="str">
            <v>Wira</v>
          </cell>
          <cell r="U6255">
            <v>30</v>
          </cell>
        </row>
        <row r="6256">
          <cell r="E6256" t="str">
            <v>D25016202</v>
          </cell>
          <cell r="F6256"/>
          <cell r="G6256">
            <v>1000</v>
          </cell>
          <cell r="H6256" t="str">
            <v>Faris</v>
          </cell>
          <cell r="I6256" t="str">
            <v>Syahra</v>
          </cell>
          <cell r="J6256" t="str">
            <v>New 08/02/22</v>
          </cell>
          <cell r="K6256" t="str">
            <v>COD</v>
          </cell>
          <cell r="L6256" t="str">
            <v>POJO06</v>
          </cell>
          <cell r="M6256" t="str">
            <v>Pojok Jaya/Edi</v>
          </cell>
          <cell r="N6256" t="str">
            <v>Edi Sugiarto</v>
          </cell>
          <cell r="O6256" t="str">
            <v>Dusun Krajan RT.002/RW.003, Kel. Songgon, Kec. Songgon</v>
          </cell>
          <cell r="P6256" t="str">
            <v>Banyuwangi</v>
          </cell>
          <cell r="Q6256" t="str">
            <v>Jalan Ahmad Yani (Sebrang Toko Bangunan "Cipta Jaya"), songgon</v>
          </cell>
          <cell r="R6256" t="str">
            <v>Banyuwangi</v>
          </cell>
          <cell r="S6256" t="str">
            <v>H Bwi2</v>
          </cell>
          <cell r="T6256" t="str">
            <v>Hafid</v>
          </cell>
          <cell r="U6256">
            <v>0</v>
          </cell>
        </row>
        <row r="6257">
          <cell r="E6257" t="str">
            <v>D25012973</v>
          </cell>
          <cell r="F6257"/>
          <cell r="G6257">
            <v>50000000</v>
          </cell>
          <cell r="H6257" t="str">
            <v>Faris</v>
          </cell>
          <cell r="I6257" t="str">
            <v>Syahra</v>
          </cell>
          <cell r="J6257" t="str">
            <v>New 25/01/21</v>
          </cell>
          <cell r="K6257" t="str">
            <v>KU, Tunai</v>
          </cell>
          <cell r="L6257" t="str">
            <v>POST03</v>
          </cell>
          <cell r="M6257" t="str">
            <v>Pos Tani/Busiyanto</v>
          </cell>
          <cell r="N6257" t="str">
            <v>Busiyanto</v>
          </cell>
          <cell r="O6257" t="str">
            <v>Jal. Tawes No. 280 RT.002/RW.004, Kel. Kaliwates, Kec. Kaliwates</v>
          </cell>
          <cell r="P6257" t="str">
            <v>Jember</v>
          </cell>
          <cell r="Q6257" t="str">
            <v>Maesan</v>
          </cell>
          <cell r="R6257" t="str">
            <v>Bondowoso</v>
          </cell>
          <cell r="S6257" t="str">
            <v>N Bdw Stb</v>
          </cell>
          <cell r="T6257" t="str">
            <v>Wira</v>
          </cell>
          <cell r="U6257">
            <v>30</v>
          </cell>
        </row>
        <row r="6258">
          <cell r="E6258" t="str">
            <v>B25010878</v>
          </cell>
          <cell r="F6258"/>
          <cell r="G6258">
            <v>50000000</v>
          </cell>
          <cell r="H6258" t="str">
            <v>Faris</v>
          </cell>
          <cell r="I6258" t="str">
            <v>Syahra</v>
          </cell>
          <cell r="J6258" t="str">
            <v>New 25/01/21</v>
          </cell>
          <cell r="K6258" t="str">
            <v>KU, Tunai</v>
          </cell>
          <cell r="L6258" t="str">
            <v>POST03</v>
          </cell>
          <cell r="M6258" t="str">
            <v>Pos Tani/Busiyanto</v>
          </cell>
          <cell r="N6258" t="str">
            <v>Busiyanto</v>
          </cell>
          <cell r="O6258" t="str">
            <v>Jal. Tawes No. 280 RT.002/RW.004, Kel. Kaliwates, Kec. Kaliwates</v>
          </cell>
          <cell r="P6258" t="str">
            <v>Jember</v>
          </cell>
          <cell r="Q6258" t="str">
            <v>Maesan</v>
          </cell>
          <cell r="R6258" t="str">
            <v>Bondowoso</v>
          </cell>
          <cell r="S6258" t="str">
            <v>N Bdw Stb</v>
          </cell>
          <cell r="T6258" t="str">
            <v>Wira</v>
          </cell>
          <cell r="U6258">
            <v>30</v>
          </cell>
        </row>
        <row r="6259">
          <cell r="E6259" t="str">
            <v>D25013615</v>
          </cell>
          <cell r="F6259"/>
          <cell r="G6259">
            <v>50000000</v>
          </cell>
          <cell r="H6259" t="str">
            <v>Faris</v>
          </cell>
          <cell r="I6259" t="str">
            <v>Syahra</v>
          </cell>
          <cell r="J6259" t="str">
            <v>New 25/01/21</v>
          </cell>
          <cell r="K6259" t="str">
            <v>KU, Tunai</v>
          </cell>
          <cell r="L6259" t="str">
            <v>POST03</v>
          </cell>
          <cell r="M6259" t="str">
            <v>Pos Tani/Busiyanto</v>
          </cell>
          <cell r="N6259" t="str">
            <v>Busiyanto</v>
          </cell>
          <cell r="O6259" t="str">
            <v>Jal. Tawes No. 280 RT.002/RW.004, Kel. Kaliwates, Kec. Kaliwates</v>
          </cell>
          <cell r="P6259" t="str">
            <v>Jember</v>
          </cell>
          <cell r="Q6259" t="str">
            <v>Maesan</v>
          </cell>
          <cell r="R6259" t="str">
            <v>Bondowoso</v>
          </cell>
          <cell r="S6259" t="str">
            <v>N Bdw Stb</v>
          </cell>
          <cell r="T6259" t="str">
            <v>Wira</v>
          </cell>
          <cell r="U6259">
            <v>30</v>
          </cell>
        </row>
        <row r="6260">
          <cell r="E6260" t="str">
            <v>B25012237</v>
          </cell>
          <cell r="F6260"/>
          <cell r="G6260">
            <v>50000000</v>
          </cell>
          <cell r="H6260" t="str">
            <v>Faris</v>
          </cell>
          <cell r="I6260" t="str">
            <v>Syahra</v>
          </cell>
          <cell r="J6260" t="str">
            <v>New 25/01/21</v>
          </cell>
          <cell r="K6260" t="str">
            <v>KU, Tunai</v>
          </cell>
          <cell r="L6260" t="str">
            <v>POST03</v>
          </cell>
          <cell r="M6260" t="str">
            <v>Pos Tani/Busiyanto</v>
          </cell>
          <cell r="N6260" t="str">
            <v>Busiyanto</v>
          </cell>
          <cell r="O6260" t="str">
            <v>Jal. Tawes No. 280 RT.002/RW.004, Kel. Kaliwates, Kec. Kaliwates</v>
          </cell>
          <cell r="P6260" t="str">
            <v>Jember</v>
          </cell>
          <cell r="Q6260" t="str">
            <v>Maesan</v>
          </cell>
          <cell r="R6260" t="str">
            <v>Bondowoso</v>
          </cell>
          <cell r="S6260" t="str">
            <v>N Bdw Stb</v>
          </cell>
          <cell r="T6260" t="str">
            <v>Wira</v>
          </cell>
          <cell r="U6260">
            <v>60</v>
          </cell>
        </row>
        <row r="6261">
          <cell r="E6261" t="str">
            <v>B25012669</v>
          </cell>
          <cell r="F6261"/>
          <cell r="G6261">
            <v>50000000</v>
          </cell>
          <cell r="H6261" t="str">
            <v>Faris</v>
          </cell>
          <cell r="I6261" t="str">
            <v>Syahra</v>
          </cell>
          <cell r="J6261" t="str">
            <v>New 25/01/21</v>
          </cell>
          <cell r="K6261" t="str">
            <v>KU, Tunai</v>
          </cell>
          <cell r="L6261" t="str">
            <v>POST03</v>
          </cell>
          <cell r="M6261" t="str">
            <v>Pos Tani/Busiyanto</v>
          </cell>
          <cell r="N6261" t="str">
            <v>Busiyanto</v>
          </cell>
          <cell r="O6261" t="str">
            <v>Jal. Tawes No. 280 RT.002/RW.004, Kel. Kaliwates, Kec. Kaliwates</v>
          </cell>
          <cell r="P6261" t="str">
            <v>Jember</v>
          </cell>
          <cell r="Q6261" t="str">
            <v>Maesan</v>
          </cell>
          <cell r="R6261" t="str">
            <v>Bondowoso</v>
          </cell>
          <cell r="S6261" t="str">
            <v>N Bdw Stb</v>
          </cell>
          <cell r="T6261" t="str">
            <v>Wira</v>
          </cell>
          <cell r="U6261">
            <v>60</v>
          </cell>
        </row>
        <row r="6262">
          <cell r="E6262" t="str">
            <v>D25015299</v>
          </cell>
          <cell r="F6262"/>
          <cell r="G6262">
            <v>50000000</v>
          </cell>
          <cell r="H6262" t="str">
            <v>Faris</v>
          </cell>
          <cell r="I6262" t="str">
            <v>Syahra</v>
          </cell>
          <cell r="J6262" t="str">
            <v>New 25/01/21</v>
          </cell>
          <cell r="K6262" t="str">
            <v>KU, Tunai</v>
          </cell>
          <cell r="L6262" t="str">
            <v>POST03</v>
          </cell>
          <cell r="M6262" t="str">
            <v>Pos Tani/Busiyanto</v>
          </cell>
          <cell r="N6262" t="str">
            <v>Busiyanto</v>
          </cell>
          <cell r="O6262" t="str">
            <v>Jal. Tawes No. 280 RT.002/RW.004, Kel. Kaliwates, Kec. Kaliwates</v>
          </cell>
          <cell r="P6262" t="str">
            <v>Jember</v>
          </cell>
          <cell r="Q6262" t="str">
            <v>Maesan</v>
          </cell>
          <cell r="R6262" t="str">
            <v>Bondowoso</v>
          </cell>
          <cell r="S6262" t="str">
            <v>N Bdw Stb</v>
          </cell>
          <cell r="T6262" t="str">
            <v>Wira</v>
          </cell>
          <cell r="U6262">
            <v>0</v>
          </cell>
        </row>
        <row r="6263">
          <cell r="E6263" t="str">
            <v>D25015570</v>
          </cell>
          <cell r="F6263"/>
          <cell r="G6263">
            <v>50000000</v>
          </cell>
          <cell r="H6263" t="str">
            <v>Faris</v>
          </cell>
          <cell r="I6263" t="str">
            <v>Syahra</v>
          </cell>
          <cell r="J6263" t="str">
            <v>New 25/01/21</v>
          </cell>
          <cell r="K6263" t="str">
            <v>KU, Tunai</v>
          </cell>
          <cell r="L6263" t="str">
            <v>POST03</v>
          </cell>
          <cell r="M6263" t="str">
            <v>Pos Tani/Busiyanto</v>
          </cell>
          <cell r="N6263" t="str">
            <v>Busiyanto</v>
          </cell>
          <cell r="O6263" t="str">
            <v>Jal. Tawes No. 280 RT.002/RW.004, Kel. Kaliwates, Kec. Kaliwates</v>
          </cell>
          <cell r="P6263" t="str">
            <v>Jember</v>
          </cell>
          <cell r="Q6263" t="str">
            <v>Maesan</v>
          </cell>
          <cell r="R6263" t="str">
            <v>Bondowoso</v>
          </cell>
          <cell r="S6263" t="str">
            <v>N Bdw Stb</v>
          </cell>
          <cell r="T6263" t="str">
            <v>Wira</v>
          </cell>
          <cell r="U6263">
            <v>30</v>
          </cell>
        </row>
        <row r="6264">
          <cell r="E6264" t="str">
            <v>D25014671</v>
          </cell>
          <cell r="F6264"/>
          <cell r="G6264">
            <v>15000000</v>
          </cell>
          <cell r="H6264" t="str">
            <v>Zakia</v>
          </cell>
          <cell r="I6264" t="str">
            <v>Tiya</v>
          </cell>
          <cell r="J6264" t="str">
            <v>New 14/11/24</v>
          </cell>
          <cell r="K6264" t="str">
            <v>KU</v>
          </cell>
          <cell r="L6264" t="str">
            <v>PRAT03</v>
          </cell>
          <cell r="M6264" t="str">
            <v>Pratama Tani/Muhammad Zaenal</v>
          </cell>
          <cell r="N6264" t="str">
            <v>Muhammad Zaenal Abidin Andre</v>
          </cell>
          <cell r="O6264" t="str">
            <v>Jl. Al Ikhwan RT.007/RW.002, Kel. Pinang, Kec. Pinang</v>
          </cell>
          <cell r="P6264" t="str">
            <v>Bali</v>
          </cell>
          <cell r="Q6264" t="str">
            <v>Jl. Raya Rampai, Br. Cengkok, Mengwi, Badung</v>
          </cell>
          <cell r="R6264" t="str">
            <v>Bali</v>
          </cell>
          <cell r="S6264" t="str">
            <v>S Bali3</v>
          </cell>
          <cell r="T6264" t="str">
            <v>Wira</v>
          </cell>
          <cell r="U6264">
            <v>30</v>
          </cell>
        </row>
        <row r="6265">
          <cell r="E6265" t="str">
            <v>D25014762</v>
          </cell>
          <cell r="F6265"/>
          <cell r="G6265">
            <v>15000000</v>
          </cell>
          <cell r="H6265" t="str">
            <v>Zakia</v>
          </cell>
          <cell r="I6265" t="str">
            <v>Tiya</v>
          </cell>
          <cell r="J6265" t="str">
            <v>New 14/11/24</v>
          </cell>
          <cell r="K6265" t="str">
            <v>KU</v>
          </cell>
          <cell r="L6265" t="str">
            <v>PRAT03</v>
          </cell>
          <cell r="M6265" t="str">
            <v>Pratama Tani/Muhammad Zaenal</v>
          </cell>
          <cell r="N6265" t="str">
            <v>Muhammad Zaenal Abidin Andre</v>
          </cell>
          <cell r="O6265" t="str">
            <v>Jl. Al Ikhwan RT.007/RW.002, Kel. Pinang, Kec. Pinang</v>
          </cell>
          <cell r="P6265" t="str">
            <v>Bali</v>
          </cell>
          <cell r="Q6265" t="str">
            <v>Jl. Raya Rampai, Br. Cengkok, Mengwi, Badung</v>
          </cell>
          <cell r="R6265" t="str">
            <v>Bali</v>
          </cell>
          <cell r="S6265" t="str">
            <v>S Bali3</v>
          </cell>
          <cell r="T6265" t="str">
            <v>Wira</v>
          </cell>
          <cell r="U6265">
            <v>30</v>
          </cell>
        </row>
        <row r="6266">
          <cell r="E6266" t="str">
            <v>T25001360</v>
          </cell>
          <cell r="F6266"/>
          <cell r="G6266">
            <v>50000000</v>
          </cell>
          <cell r="H6266" t="str">
            <v>Zakia</v>
          </cell>
          <cell r="I6266" t="str">
            <v>Tiya</v>
          </cell>
          <cell r="J6266" t="str">
            <v>New 08/10/21</v>
          </cell>
          <cell r="K6266" t="str">
            <v>KU</v>
          </cell>
          <cell r="L6266" t="str">
            <v>FAHR03</v>
          </cell>
          <cell r="M6266" t="str">
            <v>Pratama, UD/Rozi</v>
          </cell>
          <cell r="N6266" t="str">
            <v>Fahrur Rozi</v>
          </cell>
          <cell r="O6266" t="str">
            <v>Ud. Pratama Madura, Jl. Raya batu bintang selatan pasar Dsn. Makkol Kel. Batu bintang, Kec. Batu Marmar</v>
          </cell>
          <cell r="P6266" t="str">
            <v>Pamekasan</v>
          </cell>
          <cell r="Q6266" t="str">
            <v>Ud. Pratama Madura, Jl. Raya batu bintang selatan pasar Dsn. Makkol Kel. Batu bintang, Kec. Batu Marmar</v>
          </cell>
          <cell r="R6266" t="str">
            <v>Pamekasan</v>
          </cell>
          <cell r="S6266" t="str">
            <v>M Madura</v>
          </cell>
          <cell r="T6266" t="str">
            <v>Tomi</v>
          </cell>
          <cell r="U6266">
            <v>60</v>
          </cell>
        </row>
        <row r="6267">
          <cell r="E6267" t="str">
            <v>D25014994</v>
          </cell>
          <cell r="F6267"/>
          <cell r="G6267">
            <v>50000000</v>
          </cell>
          <cell r="H6267" t="str">
            <v>Zakia</v>
          </cell>
          <cell r="I6267" t="str">
            <v>Tiya</v>
          </cell>
          <cell r="J6267" t="str">
            <v>New 08/10/21</v>
          </cell>
          <cell r="K6267" t="str">
            <v>KU</v>
          </cell>
          <cell r="L6267" t="str">
            <v>FAHR03</v>
          </cell>
          <cell r="M6267" t="str">
            <v>Pratama, UD/Rozi</v>
          </cell>
          <cell r="N6267" t="str">
            <v>Fahrur Rozi</v>
          </cell>
          <cell r="O6267" t="str">
            <v>Ud. Pratama Madura, Jl. Raya batu bintang selatan pasar Dsn. Makkol Kel. Batu bintang, Kec. Batu Marmar</v>
          </cell>
          <cell r="P6267" t="str">
            <v>Pamekasan</v>
          </cell>
          <cell r="Q6267" t="str">
            <v>Ud. Pratama Madura, Jl. Raya batu bintang selatan pasar Dsn. Makkol Kel. Batu bintang, Kec. Batu Marmar</v>
          </cell>
          <cell r="R6267" t="str">
            <v>Pamekasan</v>
          </cell>
          <cell r="S6267" t="str">
            <v>M Madura</v>
          </cell>
          <cell r="T6267" t="str">
            <v>Tomi</v>
          </cell>
          <cell r="U6267">
            <v>0</v>
          </cell>
        </row>
        <row r="6268">
          <cell r="E6268" t="str">
            <v>D25015029</v>
          </cell>
          <cell r="F6268"/>
          <cell r="G6268">
            <v>50000000</v>
          </cell>
          <cell r="H6268" t="str">
            <v>Zakia</v>
          </cell>
          <cell r="I6268" t="str">
            <v>Tiya</v>
          </cell>
          <cell r="J6268" t="str">
            <v>New 08/10/21</v>
          </cell>
          <cell r="K6268" t="str">
            <v>KU</v>
          </cell>
          <cell r="L6268" t="str">
            <v>FAHR03</v>
          </cell>
          <cell r="M6268" t="str">
            <v>Pratama, UD/Rozi</v>
          </cell>
          <cell r="N6268" t="str">
            <v>Fahrur Rozi</v>
          </cell>
          <cell r="O6268" t="str">
            <v>Ud. Pratama Madura, Jl. Raya batu bintang selatan pasar Dsn. Makkol Kel. Batu bintang, Kec. Batu Marmar</v>
          </cell>
          <cell r="P6268" t="str">
            <v>Pamekasan</v>
          </cell>
          <cell r="Q6268" t="str">
            <v>Ud. Pratama Madura, Jl. Raya batu bintang selatan pasar Dsn. Makkol Kel. Batu bintang, Kec. Batu Marmar</v>
          </cell>
          <cell r="R6268" t="str">
            <v>Pamekasan</v>
          </cell>
          <cell r="S6268" t="str">
            <v>M Madura</v>
          </cell>
          <cell r="T6268" t="str">
            <v>Tomi</v>
          </cell>
          <cell r="U6268">
            <v>0</v>
          </cell>
        </row>
        <row r="6269">
          <cell r="E6269" t="str">
            <v>B25011627</v>
          </cell>
          <cell r="F6269"/>
          <cell r="G6269">
            <v>1000</v>
          </cell>
          <cell r="H6269" t="str">
            <v>Yuyun</v>
          </cell>
          <cell r="I6269" t="str">
            <v>Farida</v>
          </cell>
          <cell r="J6269" t="str">
            <v>New 18/06/25</v>
          </cell>
          <cell r="K6269" t="str">
            <v>KU</v>
          </cell>
          <cell r="L6269" t="str">
            <v>PRIM20</v>
          </cell>
          <cell r="M6269" t="str">
            <v>Prima Agro Sejati, CV</v>
          </cell>
          <cell r="N6269" t="str">
            <v>Prima Agro Sejati, CV</v>
          </cell>
          <cell r="O6269" t="str">
            <v>Jalan Teuku Umar 6 No. 2 , Kel. Kebonsari Kec. Sumbersari</v>
          </cell>
          <cell r="P6269" t="str">
            <v>Jember</v>
          </cell>
          <cell r="Q6269" t="str">
            <v>Jalan Teuku Umar 6 No. 2 , Kel. Kebonsari Kec. Sumbersari</v>
          </cell>
          <cell r="R6269" t="str">
            <v>Jember</v>
          </cell>
          <cell r="S6269" t="str">
            <v>L Kota1</v>
          </cell>
          <cell r="T6269" t="str">
            <v>Wira</v>
          </cell>
          <cell r="U6269">
            <v>30</v>
          </cell>
        </row>
        <row r="6270">
          <cell r="E6270" t="str">
            <v>B25008400</v>
          </cell>
          <cell r="F6270"/>
          <cell r="G6270">
            <v>10000000</v>
          </cell>
          <cell r="H6270" t="str">
            <v>Reni</v>
          </cell>
          <cell r="I6270" t="str">
            <v>Fira</v>
          </cell>
          <cell r="J6270"/>
          <cell r="K6270" t="str">
            <v>KU</v>
          </cell>
          <cell r="L6270" t="str">
            <v>PRIM14</v>
          </cell>
          <cell r="M6270" t="str">
            <v>Prima Jaya/Priyadi</v>
          </cell>
          <cell r="N6270" t="str">
            <v>Priyadi</v>
          </cell>
          <cell r="O6270" t="str">
            <v>Guyangan, RT.007/RW.001 Kel. Guyangan, Kec. Trucuk</v>
          </cell>
          <cell r="P6270" t="str">
            <v>Bojonegoro</v>
          </cell>
          <cell r="Q6270" t="str">
            <v>Guyangan, RT.007/RW.001 Kel. Guyangan, Kec. Trucuk</v>
          </cell>
          <cell r="R6270" t="str">
            <v>Bojonegoro</v>
          </cell>
          <cell r="S6270" t="str">
            <v>F Utara1</v>
          </cell>
          <cell r="T6270" t="str">
            <v>Dian</v>
          </cell>
          <cell r="U6270">
            <v>60</v>
          </cell>
        </row>
        <row r="6271">
          <cell r="E6271" t="str">
            <v>D25009587</v>
          </cell>
          <cell r="F6271"/>
          <cell r="G6271">
            <v>9100000000</v>
          </cell>
          <cell r="H6271" t="str">
            <v>Faris</v>
          </cell>
          <cell r="I6271" t="str">
            <v>Syahra</v>
          </cell>
          <cell r="J6271"/>
          <cell r="K6271" t="str">
            <v>BG, KU</v>
          </cell>
          <cell r="L6271" t="str">
            <v>PRIM03</v>
          </cell>
          <cell r="M6271" t="str">
            <v>Prima Tani/Candra Sanjaya</v>
          </cell>
          <cell r="N6271" t="str">
            <v>Candra Sanjaya</v>
          </cell>
          <cell r="O6271" t="str">
            <v>Basuki Rahmad No. 262, RT.002/RW.014 Mimbaan, Panji</v>
          </cell>
          <cell r="P6271" t="str">
            <v>Situbondo</v>
          </cell>
          <cell r="Q6271" t="str">
            <v>Basuki Rahmad No. 262, RT.002/RW.014 Mimbaan, Panji</v>
          </cell>
          <cell r="R6271" t="str">
            <v>Situbondo</v>
          </cell>
          <cell r="S6271" t="str">
            <v>N Bdw Stb</v>
          </cell>
          <cell r="T6271" t="str">
            <v>Wira</v>
          </cell>
          <cell r="U6271">
            <v>30</v>
          </cell>
        </row>
        <row r="6272">
          <cell r="E6272" t="str">
            <v>D25009588</v>
          </cell>
          <cell r="F6272"/>
          <cell r="G6272">
            <v>9100000000</v>
          </cell>
          <cell r="H6272" t="str">
            <v>Faris</v>
          </cell>
          <cell r="I6272" t="str">
            <v>Syahra</v>
          </cell>
          <cell r="J6272"/>
          <cell r="K6272" t="str">
            <v>BG, KU</v>
          </cell>
          <cell r="L6272" t="str">
            <v>PRIM03</v>
          </cell>
          <cell r="M6272" t="str">
            <v>Prima Tani/Candra Sanjaya</v>
          </cell>
          <cell r="N6272" t="str">
            <v>Candra Sanjaya</v>
          </cell>
          <cell r="O6272" t="str">
            <v>Basuki Rahmad No. 262, RT.002/RW.014 Mimbaan, Panji</v>
          </cell>
          <cell r="P6272" t="str">
            <v>Situbondo</v>
          </cell>
          <cell r="Q6272" t="str">
            <v>Basuki Rahmad No. 262, RT.002/RW.014 Mimbaan, Panji</v>
          </cell>
          <cell r="R6272" t="str">
            <v>Situbondo</v>
          </cell>
          <cell r="S6272" t="str">
            <v>N Bdw Stb</v>
          </cell>
          <cell r="T6272" t="str">
            <v>Wira</v>
          </cell>
          <cell r="U6272">
            <v>30</v>
          </cell>
        </row>
        <row r="6273">
          <cell r="E6273" t="str">
            <v>D25009953</v>
          </cell>
          <cell r="F6273"/>
          <cell r="G6273">
            <v>9100000000</v>
          </cell>
          <cell r="H6273" t="str">
            <v>Faris</v>
          </cell>
          <cell r="I6273" t="str">
            <v>Syahra</v>
          </cell>
          <cell r="J6273"/>
          <cell r="K6273" t="str">
            <v>BG, KU</v>
          </cell>
          <cell r="L6273" t="str">
            <v>PRIM03</v>
          </cell>
          <cell r="M6273" t="str">
            <v>Prima Tani/Candra Sanjaya</v>
          </cell>
          <cell r="N6273" t="str">
            <v>Candra Sanjaya</v>
          </cell>
          <cell r="O6273" t="str">
            <v>Basuki Rahmad No. 262, RT.002/RW.014 Mimbaan, Panji</v>
          </cell>
          <cell r="P6273" t="str">
            <v>Situbondo</v>
          </cell>
          <cell r="Q6273" t="str">
            <v>Basuki Rahmad No. 262, RT.002/RW.014 Mimbaan, Panji</v>
          </cell>
          <cell r="R6273" t="str">
            <v>Situbondo</v>
          </cell>
          <cell r="S6273" t="str">
            <v>N Bdw Stb</v>
          </cell>
          <cell r="T6273" t="str">
            <v>Wira</v>
          </cell>
          <cell r="U6273">
            <v>30</v>
          </cell>
        </row>
        <row r="6274">
          <cell r="E6274" t="str">
            <v>B25008214</v>
          </cell>
          <cell r="F6274"/>
          <cell r="G6274">
            <v>9100000000</v>
          </cell>
          <cell r="H6274" t="str">
            <v>Faris</v>
          </cell>
          <cell r="I6274" t="str">
            <v>Syahra</v>
          </cell>
          <cell r="J6274"/>
          <cell r="K6274" t="str">
            <v>BG, KU</v>
          </cell>
          <cell r="L6274" t="str">
            <v>PRIM03</v>
          </cell>
          <cell r="M6274" t="str">
            <v>Prima Tani/Candra Sanjaya</v>
          </cell>
          <cell r="N6274" t="str">
            <v>Candra Sanjaya</v>
          </cell>
          <cell r="O6274" t="str">
            <v>Basuki Rahmad No. 262, RT.002/RW.014 Mimbaan, Panji</v>
          </cell>
          <cell r="P6274" t="str">
            <v>Situbondo</v>
          </cell>
          <cell r="Q6274" t="str">
            <v>Basuki Rahmad No. 262, RT.002/RW.014 Mimbaan, Panji</v>
          </cell>
          <cell r="R6274" t="str">
            <v>Situbondo</v>
          </cell>
          <cell r="S6274" t="str">
            <v>N Bdw Stb</v>
          </cell>
          <cell r="T6274" t="str">
            <v>Wira</v>
          </cell>
          <cell r="U6274">
            <v>30</v>
          </cell>
        </row>
        <row r="6275">
          <cell r="E6275" t="str">
            <v>B25008214</v>
          </cell>
          <cell r="F6275"/>
          <cell r="G6275">
            <v>9100000000</v>
          </cell>
          <cell r="H6275" t="str">
            <v>Faris</v>
          </cell>
          <cell r="I6275" t="str">
            <v>Syahra</v>
          </cell>
          <cell r="J6275"/>
          <cell r="K6275" t="str">
            <v>BG, KU</v>
          </cell>
          <cell r="L6275" t="str">
            <v>PRIM03</v>
          </cell>
          <cell r="M6275" t="str">
            <v>Prima Tani/Candra Sanjaya</v>
          </cell>
          <cell r="N6275" t="str">
            <v>Candra Sanjaya</v>
          </cell>
          <cell r="O6275" t="str">
            <v>Basuki Rahmad No. 262, RT.002/RW.014 Mimbaan, Panji</v>
          </cell>
          <cell r="P6275" t="str">
            <v>Situbondo</v>
          </cell>
          <cell r="Q6275" t="str">
            <v>Basuki Rahmad No. 262, RT.002/RW.014 Mimbaan, Panji</v>
          </cell>
          <cell r="R6275" t="str">
            <v>Situbondo</v>
          </cell>
          <cell r="S6275" t="str">
            <v>N Bdw Stb</v>
          </cell>
          <cell r="T6275" t="str">
            <v>Wira</v>
          </cell>
          <cell r="U6275">
            <v>30</v>
          </cell>
        </row>
        <row r="6276">
          <cell r="E6276" t="str">
            <v>B25008215</v>
          </cell>
          <cell r="F6276"/>
          <cell r="G6276">
            <v>9100000000</v>
          </cell>
          <cell r="H6276" t="str">
            <v>Faris</v>
          </cell>
          <cell r="I6276" t="str">
            <v>Syahra</v>
          </cell>
          <cell r="J6276"/>
          <cell r="K6276" t="str">
            <v>BG, KU</v>
          </cell>
          <cell r="L6276" t="str">
            <v>PRIM03</v>
          </cell>
          <cell r="M6276" t="str">
            <v>Prima Tani/Candra Sanjaya</v>
          </cell>
          <cell r="N6276" t="str">
            <v>Candra Sanjaya</v>
          </cell>
          <cell r="O6276" t="str">
            <v>Basuki Rahmad No. 262, RT.002/RW.014 Mimbaan, Panji</v>
          </cell>
          <cell r="P6276" t="str">
            <v>Situbondo</v>
          </cell>
          <cell r="Q6276" t="str">
            <v>Basuki Rahmad No. 262, RT.002/RW.014 Mimbaan, Panji</v>
          </cell>
          <cell r="R6276" t="str">
            <v>Situbondo</v>
          </cell>
          <cell r="S6276" t="str">
            <v>N Bdw Stb</v>
          </cell>
          <cell r="T6276" t="str">
            <v>Wira</v>
          </cell>
          <cell r="U6276">
            <v>30</v>
          </cell>
        </row>
        <row r="6277">
          <cell r="E6277" t="str">
            <v>D25009992</v>
          </cell>
          <cell r="F6277"/>
          <cell r="G6277">
            <v>9100000000</v>
          </cell>
          <cell r="H6277" t="str">
            <v>Faris</v>
          </cell>
          <cell r="I6277" t="str">
            <v>Syahra</v>
          </cell>
          <cell r="J6277"/>
          <cell r="K6277" t="str">
            <v>BG, KU</v>
          </cell>
          <cell r="L6277" t="str">
            <v>PRIM03</v>
          </cell>
          <cell r="M6277" t="str">
            <v>Prima Tani/Candra Sanjaya</v>
          </cell>
          <cell r="N6277" t="str">
            <v>Candra Sanjaya</v>
          </cell>
          <cell r="O6277" t="str">
            <v>Basuki Rahmad No. 262, RT.002/RW.014 Mimbaan, Panji</v>
          </cell>
          <cell r="P6277" t="str">
            <v>Situbondo</v>
          </cell>
          <cell r="Q6277" t="str">
            <v>Basuki Rahmad No. 262, RT.002/RW.014 Mimbaan, Panji</v>
          </cell>
          <cell r="R6277" t="str">
            <v>Situbondo</v>
          </cell>
          <cell r="S6277" t="str">
            <v>N Bdw Stb</v>
          </cell>
          <cell r="T6277" t="str">
            <v>Wira</v>
          </cell>
          <cell r="U6277">
            <v>30</v>
          </cell>
        </row>
        <row r="6278">
          <cell r="E6278" t="str">
            <v>D25010040</v>
          </cell>
          <cell r="F6278"/>
          <cell r="G6278">
            <v>9100000000</v>
          </cell>
          <cell r="H6278" t="str">
            <v>Faris</v>
          </cell>
          <cell r="I6278" t="str">
            <v>Syahra</v>
          </cell>
          <cell r="J6278"/>
          <cell r="K6278" t="str">
            <v>BG, KU</v>
          </cell>
          <cell r="L6278" t="str">
            <v>PRIM03</v>
          </cell>
          <cell r="M6278" t="str">
            <v>Prima Tani/Candra Sanjaya</v>
          </cell>
          <cell r="N6278" t="str">
            <v>Candra Sanjaya</v>
          </cell>
          <cell r="O6278" t="str">
            <v>Basuki Rahmad No. 262, RT.002/RW.014 Mimbaan, Panji</v>
          </cell>
          <cell r="P6278" t="str">
            <v>Situbondo</v>
          </cell>
          <cell r="Q6278" t="str">
            <v>Basuki Rahmad No. 262, RT.002/RW.014 Mimbaan, Panji</v>
          </cell>
          <cell r="R6278" t="str">
            <v>Situbondo</v>
          </cell>
          <cell r="S6278" t="str">
            <v>N Bdw Stb</v>
          </cell>
          <cell r="T6278" t="str">
            <v>Wira</v>
          </cell>
          <cell r="U6278">
            <v>30</v>
          </cell>
        </row>
        <row r="6279">
          <cell r="E6279" t="str">
            <v>D25010068</v>
          </cell>
          <cell r="F6279"/>
          <cell r="G6279">
            <v>9100000000</v>
          </cell>
          <cell r="H6279" t="str">
            <v>Faris</v>
          </cell>
          <cell r="I6279" t="str">
            <v>Syahra</v>
          </cell>
          <cell r="J6279"/>
          <cell r="K6279" t="str">
            <v>BG, KU</v>
          </cell>
          <cell r="L6279" t="str">
            <v>PRIM03</v>
          </cell>
          <cell r="M6279" t="str">
            <v>Prima Tani/Candra Sanjaya</v>
          </cell>
          <cell r="N6279" t="str">
            <v>Candra Sanjaya</v>
          </cell>
          <cell r="O6279" t="str">
            <v>Basuki Rahmad No. 262, RT.002/RW.014 Mimbaan, Panji</v>
          </cell>
          <cell r="P6279" t="str">
            <v>Situbondo</v>
          </cell>
          <cell r="Q6279" t="str">
            <v>Basuki Rahmad No. 262, RT.002/RW.014 Mimbaan, Panji</v>
          </cell>
          <cell r="R6279" t="str">
            <v>Situbondo</v>
          </cell>
          <cell r="S6279" t="str">
            <v>N Bdw Stb</v>
          </cell>
          <cell r="T6279" t="str">
            <v>Wira</v>
          </cell>
          <cell r="U6279">
            <v>30</v>
          </cell>
        </row>
        <row r="6280">
          <cell r="E6280" t="str">
            <v>B25008242</v>
          </cell>
          <cell r="F6280"/>
          <cell r="G6280">
            <v>9100000000</v>
          </cell>
          <cell r="H6280" t="str">
            <v>Faris</v>
          </cell>
          <cell r="I6280" t="str">
            <v>Syahra</v>
          </cell>
          <cell r="J6280"/>
          <cell r="K6280" t="str">
            <v>BG, KU</v>
          </cell>
          <cell r="L6280" t="str">
            <v>PRIM03</v>
          </cell>
          <cell r="M6280" t="str">
            <v>Prima Tani/Candra Sanjaya</v>
          </cell>
          <cell r="N6280" t="str">
            <v>Candra Sanjaya</v>
          </cell>
          <cell r="O6280" t="str">
            <v>Basuki Rahmad No. 262, RT.002/RW.014 Mimbaan, Panji</v>
          </cell>
          <cell r="P6280" t="str">
            <v>Situbondo</v>
          </cell>
          <cell r="Q6280" t="str">
            <v>Basuki Rahmad No. 262, RT.002/RW.014 Mimbaan, Panji</v>
          </cell>
          <cell r="R6280" t="str">
            <v>Situbondo</v>
          </cell>
          <cell r="S6280" t="str">
            <v>N Bdw Stb</v>
          </cell>
          <cell r="T6280" t="str">
            <v>Wira</v>
          </cell>
          <cell r="U6280">
            <v>30</v>
          </cell>
        </row>
        <row r="6281">
          <cell r="E6281" t="str">
            <v>B25008251</v>
          </cell>
          <cell r="F6281"/>
          <cell r="G6281">
            <v>9100000000</v>
          </cell>
          <cell r="H6281" t="str">
            <v>Faris</v>
          </cell>
          <cell r="I6281" t="str">
            <v>Syahra</v>
          </cell>
          <cell r="J6281"/>
          <cell r="K6281" t="str">
            <v>BG, KU</v>
          </cell>
          <cell r="L6281" t="str">
            <v>PRIM03</v>
          </cell>
          <cell r="M6281" t="str">
            <v>Prima Tani/Candra Sanjaya</v>
          </cell>
          <cell r="N6281" t="str">
            <v>Candra Sanjaya</v>
          </cell>
          <cell r="O6281" t="str">
            <v>Basuki Rahmad No. 262, RT.002/RW.014 Mimbaan, Panji</v>
          </cell>
          <cell r="P6281" t="str">
            <v>Situbondo</v>
          </cell>
          <cell r="Q6281" t="str">
            <v>Basuki Rahmad No. 262, RT.002/RW.014 Mimbaan, Panji</v>
          </cell>
          <cell r="R6281" t="str">
            <v>Situbondo</v>
          </cell>
          <cell r="S6281" t="str">
            <v>N Bdw Stb</v>
          </cell>
          <cell r="T6281" t="str">
            <v>Wira</v>
          </cell>
          <cell r="U6281">
            <v>30</v>
          </cell>
        </row>
        <row r="6282">
          <cell r="E6282" t="str">
            <v>D25010082</v>
          </cell>
          <cell r="F6282"/>
          <cell r="G6282">
            <v>9100000000</v>
          </cell>
          <cell r="H6282" t="str">
            <v>Faris</v>
          </cell>
          <cell r="I6282" t="str">
            <v>Syahra</v>
          </cell>
          <cell r="J6282"/>
          <cell r="K6282" t="str">
            <v>BG, KU</v>
          </cell>
          <cell r="L6282" t="str">
            <v>PRIM03</v>
          </cell>
          <cell r="M6282" t="str">
            <v>Prima Tani/Candra Sanjaya</v>
          </cell>
          <cell r="N6282" t="str">
            <v>Candra Sanjaya</v>
          </cell>
          <cell r="O6282" t="str">
            <v>Basuki Rahmad No. 262, RT.002/RW.014 Mimbaan, Panji</v>
          </cell>
          <cell r="P6282" t="str">
            <v>Situbondo</v>
          </cell>
          <cell r="Q6282" t="str">
            <v>Basuki Rahmad No. 262, RT.002/RW.014 Mimbaan, Panji</v>
          </cell>
          <cell r="R6282" t="str">
            <v>Situbondo</v>
          </cell>
          <cell r="S6282" t="str">
            <v>N Bdw Stb</v>
          </cell>
          <cell r="T6282" t="str">
            <v>Wira</v>
          </cell>
          <cell r="U6282">
            <v>30</v>
          </cell>
        </row>
        <row r="6283">
          <cell r="E6283" t="str">
            <v>D25010195</v>
          </cell>
          <cell r="F6283"/>
          <cell r="G6283">
            <v>9100000000</v>
          </cell>
          <cell r="H6283" t="str">
            <v>Faris</v>
          </cell>
          <cell r="I6283" t="str">
            <v>Syahra</v>
          </cell>
          <cell r="J6283"/>
          <cell r="K6283" t="str">
            <v>BG, KU</v>
          </cell>
          <cell r="L6283" t="str">
            <v>PRIM03</v>
          </cell>
          <cell r="M6283" t="str">
            <v>Prima Tani/Candra Sanjaya</v>
          </cell>
          <cell r="N6283" t="str">
            <v>Candra Sanjaya</v>
          </cell>
          <cell r="O6283" t="str">
            <v>Basuki Rahmad No. 262, RT.002/RW.014 Mimbaan, Panji</v>
          </cell>
          <cell r="P6283" t="str">
            <v>Situbondo</v>
          </cell>
          <cell r="Q6283" t="str">
            <v>Basuki Rahmad No. 262, RT.002/RW.014 Mimbaan, Panji</v>
          </cell>
          <cell r="R6283" t="str">
            <v>Situbondo</v>
          </cell>
          <cell r="S6283" t="str">
            <v>N Bdw Stb</v>
          </cell>
          <cell r="T6283" t="str">
            <v>Wira</v>
          </cell>
          <cell r="U6283">
            <v>30</v>
          </cell>
        </row>
        <row r="6284">
          <cell r="E6284" t="str">
            <v>D25010195</v>
          </cell>
          <cell r="F6284"/>
          <cell r="G6284">
            <v>9100000000</v>
          </cell>
          <cell r="H6284" t="str">
            <v>Faris</v>
          </cell>
          <cell r="I6284" t="str">
            <v>Syahra</v>
          </cell>
          <cell r="J6284"/>
          <cell r="K6284" t="str">
            <v>BG, KU</v>
          </cell>
          <cell r="L6284" t="str">
            <v>PRIM03</v>
          </cell>
          <cell r="M6284" t="str">
            <v>Prima Tani/Candra Sanjaya</v>
          </cell>
          <cell r="N6284" t="str">
            <v>Candra Sanjaya</v>
          </cell>
          <cell r="O6284" t="str">
            <v>Basuki Rahmad No. 262, RT.002/RW.014 Mimbaan, Panji</v>
          </cell>
          <cell r="P6284" t="str">
            <v>Situbondo</v>
          </cell>
          <cell r="Q6284" t="str">
            <v>Basuki Rahmad No. 262, RT.002/RW.014 Mimbaan, Panji</v>
          </cell>
          <cell r="R6284" t="str">
            <v>Situbondo</v>
          </cell>
          <cell r="S6284" t="str">
            <v>N Bdw Stb</v>
          </cell>
          <cell r="T6284" t="str">
            <v>Wira</v>
          </cell>
          <cell r="U6284">
            <v>30</v>
          </cell>
        </row>
        <row r="6285">
          <cell r="E6285" t="str">
            <v>D25010196</v>
          </cell>
          <cell r="F6285"/>
          <cell r="G6285">
            <v>9100000000</v>
          </cell>
          <cell r="H6285" t="str">
            <v>Faris</v>
          </cell>
          <cell r="I6285" t="str">
            <v>Syahra</v>
          </cell>
          <cell r="J6285"/>
          <cell r="K6285" t="str">
            <v>BG, KU</v>
          </cell>
          <cell r="L6285" t="str">
            <v>PRIM03</v>
          </cell>
          <cell r="M6285" t="str">
            <v>Prima Tani/Candra Sanjaya</v>
          </cell>
          <cell r="N6285" t="str">
            <v>Candra Sanjaya</v>
          </cell>
          <cell r="O6285" t="str">
            <v>Basuki Rahmad No. 262, RT.002/RW.014 Mimbaan, Panji</v>
          </cell>
          <cell r="P6285" t="str">
            <v>Situbondo</v>
          </cell>
          <cell r="Q6285" t="str">
            <v>Basuki Rahmad No. 262, RT.002/RW.014 Mimbaan, Panji</v>
          </cell>
          <cell r="R6285" t="str">
            <v>Situbondo</v>
          </cell>
          <cell r="S6285" t="str">
            <v>N Bdw Stb</v>
          </cell>
          <cell r="T6285" t="str">
            <v>Wira</v>
          </cell>
          <cell r="U6285">
            <v>30</v>
          </cell>
        </row>
        <row r="6286">
          <cell r="E6286" t="str">
            <v>D25010294</v>
          </cell>
          <cell r="F6286"/>
          <cell r="G6286">
            <v>9100000000</v>
          </cell>
          <cell r="H6286" t="str">
            <v>Faris</v>
          </cell>
          <cell r="I6286" t="str">
            <v>Syahra</v>
          </cell>
          <cell r="J6286"/>
          <cell r="K6286" t="str">
            <v>BG, KU</v>
          </cell>
          <cell r="L6286" t="str">
            <v>PRIM03</v>
          </cell>
          <cell r="M6286" t="str">
            <v>Prima Tani/Candra Sanjaya</v>
          </cell>
          <cell r="N6286" t="str">
            <v>Candra Sanjaya</v>
          </cell>
          <cell r="O6286" t="str">
            <v>Basuki Rahmad No. 262, RT.002/RW.014 Mimbaan, Panji</v>
          </cell>
          <cell r="P6286" t="str">
            <v>Situbondo</v>
          </cell>
          <cell r="Q6286" t="str">
            <v>Basuki Rahmad No. 262, RT.002/RW.014 Mimbaan, Panji</v>
          </cell>
          <cell r="R6286" t="str">
            <v>Situbondo</v>
          </cell>
          <cell r="S6286" t="str">
            <v>N Bdw Stb</v>
          </cell>
          <cell r="T6286" t="str">
            <v>Wira</v>
          </cell>
          <cell r="U6286">
            <v>30</v>
          </cell>
        </row>
        <row r="6287">
          <cell r="E6287" t="str">
            <v>D25010482</v>
          </cell>
          <cell r="F6287"/>
          <cell r="G6287">
            <v>9100000000</v>
          </cell>
          <cell r="H6287" t="str">
            <v>Faris</v>
          </cell>
          <cell r="I6287" t="str">
            <v>Syahra</v>
          </cell>
          <cell r="J6287"/>
          <cell r="K6287" t="str">
            <v>BG, KU</v>
          </cell>
          <cell r="L6287" t="str">
            <v>PRIM03</v>
          </cell>
          <cell r="M6287" t="str">
            <v>Prima Tani/Candra Sanjaya</v>
          </cell>
          <cell r="N6287" t="str">
            <v>Candra Sanjaya</v>
          </cell>
          <cell r="O6287" t="str">
            <v>Basuki Rahmad No. 262, RT.002/RW.014 Mimbaan, Panji</v>
          </cell>
          <cell r="P6287" t="str">
            <v>Situbondo</v>
          </cell>
          <cell r="Q6287" t="str">
            <v>Basuki Rahmad No. 262, RT.002/RW.014 Mimbaan, Panji</v>
          </cell>
          <cell r="R6287" t="str">
            <v>Situbondo</v>
          </cell>
          <cell r="S6287" t="str">
            <v>N Bdw Stb</v>
          </cell>
          <cell r="T6287" t="str">
            <v>Wira</v>
          </cell>
          <cell r="U6287">
            <v>30</v>
          </cell>
        </row>
        <row r="6288">
          <cell r="E6288" t="str">
            <v>D25010528</v>
          </cell>
          <cell r="F6288"/>
          <cell r="G6288">
            <v>9100000000</v>
          </cell>
          <cell r="H6288" t="str">
            <v>Faris</v>
          </cell>
          <cell r="I6288" t="str">
            <v>Syahra</v>
          </cell>
          <cell r="J6288"/>
          <cell r="K6288" t="str">
            <v>BG, KU</v>
          </cell>
          <cell r="L6288" t="str">
            <v>PRIM03</v>
          </cell>
          <cell r="M6288" t="str">
            <v>Prima Tani/Candra Sanjaya</v>
          </cell>
          <cell r="N6288" t="str">
            <v>Candra Sanjaya</v>
          </cell>
          <cell r="O6288" t="str">
            <v>Basuki Rahmad No. 262, RT.002/RW.014 Mimbaan, Panji</v>
          </cell>
          <cell r="P6288" t="str">
            <v>Situbondo</v>
          </cell>
          <cell r="Q6288" t="str">
            <v>Basuki Rahmad No. 262, RT.002/RW.014 Mimbaan, Panji</v>
          </cell>
          <cell r="R6288" t="str">
            <v>Situbondo</v>
          </cell>
          <cell r="S6288" t="str">
            <v>N Bdw Stb</v>
          </cell>
          <cell r="T6288" t="str">
            <v>Wira</v>
          </cell>
          <cell r="U6288">
            <v>30</v>
          </cell>
        </row>
        <row r="6289">
          <cell r="E6289" t="str">
            <v>D25010530</v>
          </cell>
          <cell r="F6289"/>
          <cell r="G6289">
            <v>9100000000</v>
          </cell>
          <cell r="H6289" t="str">
            <v>Faris</v>
          </cell>
          <cell r="I6289" t="str">
            <v>Syahra</v>
          </cell>
          <cell r="J6289"/>
          <cell r="K6289" t="str">
            <v>BG, KU</v>
          </cell>
          <cell r="L6289" t="str">
            <v>PRIM03</v>
          </cell>
          <cell r="M6289" t="str">
            <v>Prima Tani/Candra Sanjaya</v>
          </cell>
          <cell r="N6289" t="str">
            <v>Candra Sanjaya</v>
          </cell>
          <cell r="O6289" t="str">
            <v>Basuki Rahmad No. 262, RT.002/RW.014 Mimbaan, Panji</v>
          </cell>
          <cell r="P6289" t="str">
            <v>Situbondo</v>
          </cell>
          <cell r="Q6289" t="str">
            <v>Basuki Rahmad No. 262, RT.002/RW.014 Mimbaan, Panji</v>
          </cell>
          <cell r="R6289" t="str">
            <v>Situbondo</v>
          </cell>
          <cell r="S6289" t="str">
            <v>N Bdw Stb</v>
          </cell>
          <cell r="T6289" t="str">
            <v>Wira</v>
          </cell>
          <cell r="U6289">
            <v>30</v>
          </cell>
        </row>
        <row r="6290">
          <cell r="E6290" t="str">
            <v>D25010622</v>
          </cell>
          <cell r="F6290"/>
          <cell r="G6290">
            <v>9100000000</v>
          </cell>
          <cell r="H6290" t="str">
            <v>Faris</v>
          </cell>
          <cell r="I6290" t="str">
            <v>Syahra</v>
          </cell>
          <cell r="J6290"/>
          <cell r="K6290" t="str">
            <v>BG, KU</v>
          </cell>
          <cell r="L6290" t="str">
            <v>PRIM03</v>
          </cell>
          <cell r="M6290" t="str">
            <v>Prima Tani/Candra Sanjaya</v>
          </cell>
          <cell r="N6290" t="str">
            <v>Candra Sanjaya</v>
          </cell>
          <cell r="O6290" t="str">
            <v>Basuki Rahmad No. 262, RT.002/RW.014 Mimbaan, Panji</v>
          </cell>
          <cell r="P6290" t="str">
            <v>Situbondo</v>
          </cell>
          <cell r="Q6290" t="str">
            <v>Basuki Rahmad No. 262, RT.002/RW.014 Mimbaan, Panji</v>
          </cell>
          <cell r="R6290" t="str">
            <v>Situbondo</v>
          </cell>
          <cell r="S6290" t="str">
            <v>N Bdw Stb</v>
          </cell>
          <cell r="T6290" t="str">
            <v>Wira</v>
          </cell>
          <cell r="U6290">
            <v>30</v>
          </cell>
        </row>
        <row r="6291">
          <cell r="E6291" t="str">
            <v>D25010662</v>
          </cell>
          <cell r="F6291"/>
          <cell r="G6291">
            <v>9100000000</v>
          </cell>
          <cell r="H6291" t="str">
            <v>Faris</v>
          </cell>
          <cell r="I6291" t="str">
            <v>Syahra</v>
          </cell>
          <cell r="J6291"/>
          <cell r="K6291" t="str">
            <v>BG, KU</v>
          </cell>
          <cell r="L6291" t="str">
            <v>PRIM03</v>
          </cell>
          <cell r="M6291" t="str">
            <v>Prima Tani/Candra Sanjaya</v>
          </cell>
          <cell r="N6291" t="str">
            <v>Candra Sanjaya</v>
          </cell>
          <cell r="O6291" t="str">
            <v>Basuki Rahmad No. 262, RT.002/RW.014 Mimbaan, Panji</v>
          </cell>
          <cell r="P6291" t="str">
            <v>Situbondo</v>
          </cell>
          <cell r="Q6291" t="str">
            <v>Basuki Rahmad No. 262, RT.002/RW.014 Mimbaan, Panji</v>
          </cell>
          <cell r="R6291" t="str">
            <v>Situbondo</v>
          </cell>
          <cell r="S6291" t="str">
            <v>N Bdw Stb</v>
          </cell>
          <cell r="T6291" t="str">
            <v>Wira</v>
          </cell>
          <cell r="U6291">
            <v>30</v>
          </cell>
        </row>
        <row r="6292">
          <cell r="E6292" t="str">
            <v>B25008820</v>
          </cell>
          <cell r="F6292"/>
          <cell r="G6292">
            <v>9100000000</v>
          </cell>
          <cell r="H6292" t="str">
            <v>Faris</v>
          </cell>
          <cell r="I6292" t="str">
            <v>Syahra</v>
          </cell>
          <cell r="J6292"/>
          <cell r="K6292" t="str">
            <v>BG, KU</v>
          </cell>
          <cell r="L6292" t="str">
            <v>PRIM03</v>
          </cell>
          <cell r="M6292" t="str">
            <v>Prima Tani/Candra Sanjaya</v>
          </cell>
          <cell r="N6292" t="str">
            <v>Candra Sanjaya</v>
          </cell>
          <cell r="O6292" t="str">
            <v>Basuki Rahmad No. 262, RT.002/RW.014 Mimbaan, Panji</v>
          </cell>
          <cell r="P6292" t="str">
            <v>Situbondo</v>
          </cell>
          <cell r="Q6292" t="str">
            <v>Basuki Rahmad No. 262, RT.002/RW.014 Mimbaan, Panji</v>
          </cell>
          <cell r="R6292" t="str">
            <v>Situbondo</v>
          </cell>
          <cell r="S6292" t="str">
            <v>N Bdw Stb</v>
          </cell>
          <cell r="T6292" t="str">
            <v>Wira</v>
          </cell>
          <cell r="U6292">
            <v>30</v>
          </cell>
        </row>
        <row r="6293">
          <cell r="E6293" t="str">
            <v>D25010724</v>
          </cell>
          <cell r="F6293"/>
          <cell r="G6293">
            <v>9100000000</v>
          </cell>
          <cell r="H6293" t="str">
            <v>Faris</v>
          </cell>
          <cell r="I6293" t="str">
            <v>Syahra</v>
          </cell>
          <cell r="J6293"/>
          <cell r="K6293" t="str">
            <v>BG, KU</v>
          </cell>
          <cell r="L6293" t="str">
            <v>PRIM03</v>
          </cell>
          <cell r="M6293" t="str">
            <v>Prima Tani/Candra Sanjaya</v>
          </cell>
          <cell r="N6293" t="str">
            <v>Candra Sanjaya</v>
          </cell>
          <cell r="O6293" t="str">
            <v>Basuki Rahmad No. 262, RT.002/RW.014 Mimbaan, Panji</v>
          </cell>
          <cell r="P6293" t="str">
            <v>Situbondo</v>
          </cell>
          <cell r="Q6293" t="str">
            <v>Basuki Rahmad No. 262, RT.002/RW.014 Mimbaan, Panji</v>
          </cell>
          <cell r="R6293" t="str">
            <v>Situbondo</v>
          </cell>
          <cell r="S6293" t="str">
            <v>N Bdw Stb</v>
          </cell>
          <cell r="T6293" t="str">
            <v>Wira</v>
          </cell>
          <cell r="U6293">
            <v>30</v>
          </cell>
        </row>
        <row r="6294">
          <cell r="E6294" t="str">
            <v>D25011104</v>
          </cell>
          <cell r="F6294"/>
          <cell r="G6294">
            <v>9100000000</v>
          </cell>
          <cell r="H6294" t="str">
            <v>Faris</v>
          </cell>
          <cell r="I6294" t="str">
            <v>Syahra</v>
          </cell>
          <cell r="J6294"/>
          <cell r="K6294" t="str">
            <v>BG, KU</v>
          </cell>
          <cell r="L6294" t="str">
            <v>PRIM03</v>
          </cell>
          <cell r="M6294" t="str">
            <v>Prima Tani/Candra Sanjaya</v>
          </cell>
          <cell r="N6294" t="str">
            <v>Candra Sanjaya</v>
          </cell>
          <cell r="O6294" t="str">
            <v>Basuki Rahmad No. 262, RT.002/RW.014 Mimbaan, Panji</v>
          </cell>
          <cell r="P6294" t="str">
            <v>Situbondo</v>
          </cell>
          <cell r="Q6294" t="str">
            <v>Basuki Rahmad No. 262, RT.002/RW.014 Mimbaan, Panji</v>
          </cell>
          <cell r="R6294" t="str">
            <v>Situbondo</v>
          </cell>
          <cell r="S6294" t="str">
            <v>N Bdw Stb</v>
          </cell>
          <cell r="T6294" t="str">
            <v>Wira</v>
          </cell>
          <cell r="U6294">
            <v>30</v>
          </cell>
        </row>
        <row r="6295">
          <cell r="E6295" t="str">
            <v>D25010879</v>
          </cell>
          <cell r="F6295"/>
          <cell r="G6295">
            <v>9100000000</v>
          </cell>
          <cell r="H6295" t="str">
            <v>Faris</v>
          </cell>
          <cell r="I6295" t="str">
            <v>Syahra</v>
          </cell>
          <cell r="J6295"/>
          <cell r="K6295" t="str">
            <v>BG, KU</v>
          </cell>
          <cell r="L6295" t="str">
            <v>PRIM03</v>
          </cell>
          <cell r="M6295" t="str">
            <v>Prima Tani/Candra Sanjaya</v>
          </cell>
          <cell r="N6295" t="str">
            <v>Candra Sanjaya</v>
          </cell>
          <cell r="O6295" t="str">
            <v>Basuki Rahmad No. 262, RT.002/RW.014 Mimbaan, Panji</v>
          </cell>
          <cell r="P6295" t="str">
            <v>Situbondo</v>
          </cell>
          <cell r="Q6295" t="str">
            <v>Basuki Rahmad No. 262, RT.002/RW.014 Mimbaan, Panji</v>
          </cell>
          <cell r="R6295" t="str">
            <v>Situbondo</v>
          </cell>
          <cell r="S6295" t="str">
            <v>N Bdw Stb</v>
          </cell>
          <cell r="T6295" t="str">
            <v>Wira</v>
          </cell>
          <cell r="U6295">
            <v>30</v>
          </cell>
        </row>
        <row r="6296">
          <cell r="E6296" t="str">
            <v>B25008956</v>
          </cell>
          <cell r="F6296"/>
          <cell r="G6296">
            <v>9100000000</v>
          </cell>
          <cell r="H6296" t="str">
            <v>Faris</v>
          </cell>
          <cell r="I6296" t="str">
            <v>Syahra</v>
          </cell>
          <cell r="J6296"/>
          <cell r="K6296" t="str">
            <v>BG, KU</v>
          </cell>
          <cell r="L6296" t="str">
            <v>PRIM03</v>
          </cell>
          <cell r="M6296" t="str">
            <v>Prima Tani/Candra Sanjaya</v>
          </cell>
          <cell r="N6296" t="str">
            <v>Candra Sanjaya</v>
          </cell>
          <cell r="O6296" t="str">
            <v>Basuki Rahmad No. 262, RT.002/RW.014 Mimbaan, Panji</v>
          </cell>
          <cell r="P6296" t="str">
            <v>Situbondo</v>
          </cell>
          <cell r="Q6296" t="str">
            <v>Basuki Rahmad No. 262, RT.002/RW.014 Mimbaan, Panji</v>
          </cell>
          <cell r="R6296" t="str">
            <v>Situbondo</v>
          </cell>
          <cell r="S6296" t="str">
            <v>N Bdw Stb</v>
          </cell>
          <cell r="T6296" t="str">
            <v>Wira</v>
          </cell>
          <cell r="U6296">
            <v>30</v>
          </cell>
        </row>
        <row r="6297">
          <cell r="E6297" t="str">
            <v>D25010912</v>
          </cell>
          <cell r="F6297"/>
          <cell r="G6297">
            <v>9100000000</v>
          </cell>
          <cell r="H6297" t="str">
            <v>Faris</v>
          </cell>
          <cell r="I6297" t="str">
            <v>Syahra</v>
          </cell>
          <cell r="J6297"/>
          <cell r="K6297" t="str">
            <v>BG, KU</v>
          </cell>
          <cell r="L6297" t="str">
            <v>PRIM03</v>
          </cell>
          <cell r="M6297" t="str">
            <v>Prima Tani/Candra Sanjaya</v>
          </cell>
          <cell r="N6297" t="str">
            <v>Candra Sanjaya</v>
          </cell>
          <cell r="O6297" t="str">
            <v>Basuki Rahmad No. 262, RT.002/RW.014 Mimbaan, Panji</v>
          </cell>
          <cell r="P6297" t="str">
            <v>Situbondo</v>
          </cell>
          <cell r="Q6297" t="str">
            <v>Basuki Rahmad No. 262, RT.002/RW.014 Mimbaan, Panji</v>
          </cell>
          <cell r="R6297" t="str">
            <v>Situbondo</v>
          </cell>
          <cell r="S6297" t="str">
            <v>N Bdw Stb</v>
          </cell>
          <cell r="T6297" t="str">
            <v>Wira</v>
          </cell>
          <cell r="U6297">
            <v>30</v>
          </cell>
        </row>
        <row r="6298">
          <cell r="E6298" t="str">
            <v>D25010916</v>
          </cell>
          <cell r="F6298"/>
          <cell r="G6298">
            <v>9100000000</v>
          </cell>
          <cell r="H6298" t="str">
            <v>Faris</v>
          </cell>
          <cell r="I6298" t="str">
            <v>Syahra</v>
          </cell>
          <cell r="J6298"/>
          <cell r="K6298" t="str">
            <v>BG, KU</v>
          </cell>
          <cell r="L6298" t="str">
            <v>PRIM03</v>
          </cell>
          <cell r="M6298" t="str">
            <v>Prima Tani/Candra Sanjaya</v>
          </cell>
          <cell r="N6298" t="str">
            <v>Candra Sanjaya</v>
          </cell>
          <cell r="O6298" t="str">
            <v>Basuki Rahmad No. 262, RT.002/RW.014 Mimbaan, Panji</v>
          </cell>
          <cell r="P6298" t="str">
            <v>Situbondo</v>
          </cell>
          <cell r="Q6298" t="str">
            <v>Basuki Rahmad No. 262, RT.002/RW.014 Mimbaan, Panji</v>
          </cell>
          <cell r="R6298" t="str">
            <v>Situbondo</v>
          </cell>
          <cell r="S6298" t="str">
            <v>N Bdw Stb</v>
          </cell>
          <cell r="T6298" t="str">
            <v>Wira</v>
          </cell>
          <cell r="U6298">
            <v>30</v>
          </cell>
        </row>
        <row r="6299">
          <cell r="E6299" t="str">
            <v>B25009038</v>
          </cell>
          <cell r="F6299"/>
          <cell r="G6299">
            <v>9100000000</v>
          </cell>
          <cell r="H6299" t="str">
            <v>Faris</v>
          </cell>
          <cell r="I6299" t="str">
            <v>Syahra</v>
          </cell>
          <cell r="J6299"/>
          <cell r="K6299" t="str">
            <v>BG, KU</v>
          </cell>
          <cell r="L6299" t="str">
            <v>PRIM03</v>
          </cell>
          <cell r="M6299" t="str">
            <v>Prima Tani/Candra Sanjaya</v>
          </cell>
          <cell r="N6299" t="str">
            <v>Candra Sanjaya</v>
          </cell>
          <cell r="O6299" t="str">
            <v>Basuki Rahmad No. 262, RT.002/RW.014 Mimbaan, Panji</v>
          </cell>
          <cell r="P6299" t="str">
            <v>Situbondo</v>
          </cell>
          <cell r="Q6299" t="str">
            <v>Basuki Rahmad No. 262, RT.002/RW.014 Mimbaan, Panji</v>
          </cell>
          <cell r="R6299" t="str">
            <v>Situbondo</v>
          </cell>
          <cell r="S6299" t="str">
            <v>N Bdw Stb</v>
          </cell>
          <cell r="T6299" t="str">
            <v>Wira</v>
          </cell>
          <cell r="U6299">
            <v>30</v>
          </cell>
        </row>
        <row r="6300">
          <cell r="E6300" t="str">
            <v>D25011046</v>
          </cell>
          <cell r="F6300"/>
          <cell r="G6300">
            <v>9100000000</v>
          </cell>
          <cell r="H6300" t="str">
            <v>Faris</v>
          </cell>
          <cell r="I6300" t="str">
            <v>Syahra</v>
          </cell>
          <cell r="J6300"/>
          <cell r="K6300" t="str">
            <v>BG, KU</v>
          </cell>
          <cell r="L6300" t="str">
            <v>PRIM03</v>
          </cell>
          <cell r="M6300" t="str">
            <v>Prima Tani/Candra Sanjaya</v>
          </cell>
          <cell r="N6300" t="str">
            <v>Candra Sanjaya</v>
          </cell>
          <cell r="O6300" t="str">
            <v>Basuki Rahmad No. 262, RT.002/RW.014 Mimbaan, Panji</v>
          </cell>
          <cell r="P6300" t="str">
            <v>Situbondo</v>
          </cell>
          <cell r="Q6300" t="str">
            <v>Basuki Rahmad No. 262, RT.002/RW.014 Mimbaan, Panji</v>
          </cell>
          <cell r="R6300" t="str">
            <v>Situbondo</v>
          </cell>
          <cell r="S6300" t="str">
            <v>N Bdw Stb</v>
          </cell>
          <cell r="T6300" t="str">
            <v>Wira</v>
          </cell>
          <cell r="U6300">
            <v>30</v>
          </cell>
        </row>
        <row r="6301">
          <cell r="E6301" t="str">
            <v>D25011046</v>
          </cell>
          <cell r="F6301"/>
          <cell r="G6301">
            <v>9100000000</v>
          </cell>
          <cell r="H6301" t="str">
            <v>Faris</v>
          </cell>
          <cell r="I6301" t="str">
            <v>Syahra</v>
          </cell>
          <cell r="J6301"/>
          <cell r="K6301" t="str">
            <v>BG, KU</v>
          </cell>
          <cell r="L6301" t="str">
            <v>PRIM03</v>
          </cell>
          <cell r="M6301" t="str">
            <v>Prima Tani/Candra Sanjaya</v>
          </cell>
          <cell r="N6301" t="str">
            <v>Candra Sanjaya</v>
          </cell>
          <cell r="O6301" t="str">
            <v>Basuki Rahmad No. 262, RT.002/RW.014 Mimbaan, Panji</v>
          </cell>
          <cell r="P6301" t="str">
            <v>Situbondo</v>
          </cell>
          <cell r="Q6301" t="str">
            <v>Basuki Rahmad No. 262, RT.002/RW.014 Mimbaan, Panji</v>
          </cell>
          <cell r="R6301" t="str">
            <v>Situbondo</v>
          </cell>
          <cell r="S6301" t="str">
            <v>N Bdw Stb</v>
          </cell>
          <cell r="T6301" t="str">
            <v>Wira</v>
          </cell>
          <cell r="U6301">
            <v>30</v>
          </cell>
        </row>
        <row r="6302">
          <cell r="E6302" t="str">
            <v>D25011055</v>
          </cell>
          <cell r="F6302"/>
          <cell r="G6302">
            <v>9100000000</v>
          </cell>
          <cell r="H6302" t="str">
            <v>Faris</v>
          </cell>
          <cell r="I6302" t="str">
            <v>Syahra</v>
          </cell>
          <cell r="J6302"/>
          <cell r="K6302" t="str">
            <v>BG, KU</v>
          </cell>
          <cell r="L6302" t="str">
            <v>PRIM03</v>
          </cell>
          <cell r="M6302" t="str">
            <v>Prima Tani/Candra Sanjaya</v>
          </cell>
          <cell r="N6302" t="str">
            <v>Candra Sanjaya</v>
          </cell>
          <cell r="O6302" t="str">
            <v>Basuki Rahmad No. 262, RT.002/RW.014 Mimbaan, Panji</v>
          </cell>
          <cell r="P6302" t="str">
            <v>Situbondo</v>
          </cell>
          <cell r="Q6302" t="str">
            <v>Basuki Rahmad No. 262, RT.002/RW.014 Mimbaan, Panji</v>
          </cell>
          <cell r="R6302" t="str">
            <v>Situbondo</v>
          </cell>
          <cell r="S6302" t="str">
            <v>N Bdw Stb</v>
          </cell>
          <cell r="T6302" t="str">
            <v>Wira</v>
          </cell>
          <cell r="U6302">
            <v>30</v>
          </cell>
        </row>
        <row r="6303">
          <cell r="E6303" t="str">
            <v>B25009182</v>
          </cell>
          <cell r="F6303"/>
          <cell r="G6303">
            <v>9100000000</v>
          </cell>
          <cell r="H6303" t="str">
            <v>Faris</v>
          </cell>
          <cell r="I6303" t="str">
            <v>Syahra</v>
          </cell>
          <cell r="J6303"/>
          <cell r="K6303" t="str">
            <v>BG, KU</v>
          </cell>
          <cell r="L6303" t="str">
            <v>PRIM03</v>
          </cell>
          <cell r="M6303" t="str">
            <v>Prima Tani/Candra Sanjaya</v>
          </cell>
          <cell r="N6303" t="str">
            <v>Candra Sanjaya</v>
          </cell>
          <cell r="O6303" t="str">
            <v>Basuki Rahmad No. 262, RT.002/RW.014 Mimbaan, Panji</v>
          </cell>
          <cell r="P6303" t="str">
            <v>Situbondo</v>
          </cell>
          <cell r="Q6303" t="str">
            <v>Basuki Rahmad No. 262, RT.002/RW.014 Mimbaan, Panji</v>
          </cell>
          <cell r="R6303" t="str">
            <v>Situbondo</v>
          </cell>
          <cell r="S6303" t="str">
            <v>N Bdw Stb</v>
          </cell>
          <cell r="T6303" t="str">
            <v>Wira</v>
          </cell>
          <cell r="U6303">
            <v>30</v>
          </cell>
        </row>
        <row r="6304">
          <cell r="E6304" t="str">
            <v>D25011178</v>
          </cell>
          <cell r="F6304"/>
          <cell r="G6304">
            <v>9100000000</v>
          </cell>
          <cell r="H6304" t="str">
            <v>Faris</v>
          </cell>
          <cell r="I6304" t="str">
            <v>Syahra</v>
          </cell>
          <cell r="J6304"/>
          <cell r="K6304" t="str">
            <v>BG, KU</v>
          </cell>
          <cell r="L6304" t="str">
            <v>PRIM03</v>
          </cell>
          <cell r="M6304" t="str">
            <v>Prima Tani/Candra Sanjaya</v>
          </cell>
          <cell r="N6304" t="str">
            <v>Candra Sanjaya</v>
          </cell>
          <cell r="O6304" t="str">
            <v>Basuki Rahmad No. 262, RT.002/RW.014 Mimbaan, Panji</v>
          </cell>
          <cell r="P6304" t="str">
            <v>Situbondo</v>
          </cell>
          <cell r="Q6304" t="str">
            <v>Basuki Rahmad No. 262, RT.002/RW.014 Mimbaan, Panji</v>
          </cell>
          <cell r="R6304" t="str">
            <v>Situbondo</v>
          </cell>
          <cell r="S6304" t="str">
            <v>N Bdw Stb</v>
          </cell>
          <cell r="T6304" t="str">
            <v>Wira</v>
          </cell>
          <cell r="U6304">
            <v>30</v>
          </cell>
        </row>
        <row r="6305">
          <cell r="E6305" t="str">
            <v>D25011240</v>
          </cell>
          <cell r="F6305"/>
          <cell r="G6305">
            <v>9100000000</v>
          </cell>
          <cell r="H6305" t="str">
            <v>Faris</v>
          </cell>
          <cell r="I6305" t="str">
            <v>Syahra</v>
          </cell>
          <cell r="J6305"/>
          <cell r="K6305" t="str">
            <v>BG, KU</v>
          </cell>
          <cell r="L6305" t="str">
            <v>PRIM03</v>
          </cell>
          <cell r="M6305" t="str">
            <v>Prima Tani/Candra Sanjaya</v>
          </cell>
          <cell r="N6305" t="str">
            <v>Candra Sanjaya</v>
          </cell>
          <cell r="O6305" t="str">
            <v>Basuki Rahmad No. 262, RT.002/RW.014 Mimbaan, Panji</v>
          </cell>
          <cell r="P6305" t="str">
            <v>Situbondo</v>
          </cell>
          <cell r="Q6305" t="str">
            <v>Basuki Rahmad No. 262, RT.002/RW.014 Mimbaan, Panji</v>
          </cell>
          <cell r="R6305" t="str">
            <v>Situbondo</v>
          </cell>
          <cell r="S6305" t="str">
            <v>N Bdw Stb</v>
          </cell>
          <cell r="T6305" t="str">
            <v>Wira</v>
          </cell>
          <cell r="U6305">
            <v>30</v>
          </cell>
        </row>
        <row r="6306">
          <cell r="E6306" t="str">
            <v>B25009337</v>
          </cell>
          <cell r="F6306"/>
          <cell r="G6306">
            <v>9100000000</v>
          </cell>
          <cell r="H6306" t="str">
            <v>Faris</v>
          </cell>
          <cell r="I6306" t="str">
            <v>Syahra</v>
          </cell>
          <cell r="J6306"/>
          <cell r="K6306" t="str">
            <v>BG, KU</v>
          </cell>
          <cell r="L6306" t="str">
            <v>PRIM03</v>
          </cell>
          <cell r="M6306" t="str">
            <v>Prima Tani/Candra Sanjaya</v>
          </cell>
          <cell r="N6306" t="str">
            <v>Candra Sanjaya</v>
          </cell>
          <cell r="O6306" t="str">
            <v>Basuki Rahmad No. 262, RT.002/RW.014 Mimbaan, Panji</v>
          </cell>
          <cell r="P6306" t="str">
            <v>Situbondo</v>
          </cell>
          <cell r="Q6306" t="str">
            <v>Basuki Rahmad No. 262, RT.002/RW.014 Mimbaan, Panji</v>
          </cell>
          <cell r="R6306" t="str">
            <v>Situbondo</v>
          </cell>
          <cell r="S6306" t="str">
            <v>N Bdw Stb</v>
          </cell>
          <cell r="T6306" t="str">
            <v>Wira</v>
          </cell>
          <cell r="U6306">
            <v>30</v>
          </cell>
        </row>
        <row r="6307">
          <cell r="E6307" t="str">
            <v>B25009439</v>
          </cell>
          <cell r="F6307"/>
          <cell r="G6307">
            <v>9100000000</v>
          </cell>
          <cell r="H6307" t="str">
            <v>Faris</v>
          </cell>
          <cell r="I6307" t="str">
            <v>Syahra</v>
          </cell>
          <cell r="J6307"/>
          <cell r="K6307" t="str">
            <v>BG, KU</v>
          </cell>
          <cell r="L6307" t="str">
            <v>PRIM03</v>
          </cell>
          <cell r="M6307" t="str">
            <v>Prima Tani/Candra Sanjaya</v>
          </cell>
          <cell r="N6307" t="str">
            <v>Candra Sanjaya</v>
          </cell>
          <cell r="O6307" t="str">
            <v>Basuki Rahmad No. 262, RT.002/RW.014 Mimbaan, Panji</v>
          </cell>
          <cell r="P6307" t="str">
            <v>Situbondo</v>
          </cell>
          <cell r="Q6307" t="str">
            <v>Basuki Rahmad No. 262, RT.002/RW.014 Mimbaan, Panji</v>
          </cell>
          <cell r="R6307" t="str">
            <v>Situbondo</v>
          </cell>
          <cell r="S6307" t="str">
            <v>N Bdw Stb</v>
          </cell>
          <cell r="T6307" t="str">
            <v>Wira</v>
          </cell>
          <cell r="U6307">
            <v>30</v>
          </cell>
        </row>
        <row r="6308">
          <cell r="E6308" t="str">
            <v>B25009473</v>
          </cell>
          <cell r="F6308"/>
          <cell r="G6308">
            <v>9100000000</v>
          </cell>
          <cell r="H6308" t="str">
            <v>Faris</v>
          </cell>
          <cell r="I6308" t="str">
            <v>Syahra</v>
          </cell>
          <cell r="J6308"/>
          <cell r="K6308" t="str">
            <v>BG, KU</v>
          </cell>
          <cell r="L6308" t="str">
            <v>PRIM03</v>
          </cell>
          <cell r="M6308" t="str">
            <v>Prima Tani/Candra Sanjaya</v>
          </cell>
          <cell r="N6308" t="str">
            <v>Candra Sanjaya</v>
          </cell>
          <cell r="O6308" t="str">
            <v>Basuki Rahmad No. 262, RT.002/RW.014 Mimbaan, Panji</v>
          </cell>
          <cell r="P6308" t="str">
            <v>Situbondo</v>
          </cell>
          <cell r="Q6308" t="str">
            <v>Basuki Rahmad No. 262, RT.002/RW.014 Mimbaan, Panji</v>
          </cell>
          <cell r="R6308" t="str">
            <v>Situbondo</v>
          </cell>
          <cell r="S6308" t="str">
            <v>N Bdw Stb</v>
          </cell>
          <cell r="T6308" t="str">
            <v>Wira</v>
          </cell>
          <cell r="U6308">
            <v>30</v>
          </cell>
        </row>
        <row r="6309">
          <cell r="E6309" t="str">
            <v>B25009577</v>
          </cell>
          <cell r="F6309"/>
          <cell r="G6309">
            <v>9100000000</v>
          </cell>
          <cell r="H6309" t="str">
            <v>Faris</v>
          </cell>
          <cell r="I6309" t="str">
            <v>Syahra</v>
          </cell>
          <cell r="J6309"/>
          <cell r="K6309" t="str">
            <v>BG, KU</v>
          </cell>
          <cell r="L6309" t="str">
            <v>PRIM03</v>
          </cell>
          <cell r="M6309" t="str">
            <v>Prima Tani/Candra Sanjaya</v>
          </cell>
          <cell r="N6309" t="str">
            <v>Candra Sanjaya</v>
          </cell>
          <cell r="O6309" t="str">
            <v>Basuki Rahmad No. 262, RT.002/RW.014 Mimbaan, Panji</v>
          </cell>
          <cell r="P6309" t="str">
            <v>Situbondo</v>
          </cell>
          <cell r="Q6309" t="str">
            <v>Basuki Rahmad No. 262, RT.002/RW.014 Mimbaan, Panji</v>
          </cell>
          <cell r="R6309" t="str">
            <v>Situbondo</v>
          </cell>
          <cell r="S6309" t="str">
            <v>N Bdw Stb</v>
          </cell>
          <cell r="T6309" t="str">
            <v>Wira</v>
          </cell>
          <cell r="U6309">
            <v>30</v>
          </cell>
        </row>
        <row r="6310">
          <cell r="E6310" t="str">
            <v>B25009585</v>
          </cell>
          <cell r="F6310"/>
          <cell r="G6310">
            <v>9100000000</v>
          </cell>
          <cell r="H6310" t="str">
            <v>Faris</v>
          </cell>
          <cell r="I6310" t="str">
            <v>Syahra</v>
          </cell>
          <cell r="J6310"/>
          <cell r="K6310" t="str">
            <v>BG, KU</v>
          </cell>
          <cell r="L6310" t="str">
            <v>PRIM03</v>
          </cell>
          <cell r="M6310" t="str">
            <v>Prima Tani/Candra Sanjaya</v>
          </cell>
          <cell r="N6310" t="str">
            <v>Candra Sanjaya</v>
          </cell>
          <cell r="O6310" t="str">
            <v>Basuki Rahmad No. 262, RT.002/RW.014 Mimbaan, Panji</v>
          </cell>
          <cell r="P6310" t="str">
            <v>Situbondo</v>
          </cell>
          <cell r="Q6310" t="str">
            <v>Basuki Rahmad No. 262, RT.002/RW.014 Mimbaan, Panji</v>
          </cell>
          <cell r="R6310" t="str">
            <v>Situbondo</v>
          </cell>
          <cell r="S6310" t="str">
            <v>N Bdw Stb</v>
          </cell>
          <cell r="T6310" t="str">
            <v>Wira</v>
          </cell>
          <cell r="U6310">
            <v>30</v>
          </cell>
        </row>
        <row r="6311">
          <cell r="E6311" t="str">
            <v>B25009601</v>
          </cell>
          <cell r="F6311"/>
          <cell r="G6311">
            <v>9100000000</v>
          </cell>
          <cell r="H6311" t="str">
            <v>Faris</v>
          </cell>
          <cell r="I6311" t="str">
            <v>Syahra</v>
          </cell>
          <cell r="J6311"/>
          <cell r="K6311" t="str">
            <v>BG, KU</v>
          </cell>
          <cell r="L6311" t="str">
            <v>PRIM03</v>
          </cell>
          <cell r="M6311" t="str">
            <v>Prima Tani/Candra Sanjaya</v>
          </cell>
          <cell r="N6311" t="str">
            <v>Candra Sanjaya</v>
          </cell>
          <cell r="O6311" t="str">
            <v>Basuki Rahmad No. 262, RT.002/RW.014 Mimbaan, Panji</v>
          </cell>
          <cell r="P6311" t="str">
            <v>Situbondo</v>
          </cell>
          <cell r="Q6311" t="str">
            <v>Basuki Rahmad No. 262, RT.002/RW.014 Mimbaan, Panji</v>
          </cell>
          <cell r="R6311" t="str">
            <v>Situbondo</v>
          </cell>
          <cell r="S6311" t="str">
            <v>N Bdw Stb</v>
          </cell>
          <cell r="T6311" t="str">
            <v>Wira</v>
          </cell>
          <cell r="U6311">
            <v>30</v>
          </cell>
        </row>
        <row r="6312">
          <cell r="E6312" t="str">
            <v>B25009601</v>
          </cell>
          <cell r="F6312"/>
          <cell r="G6312">
            <v>9100000000</v>
          </cell>
          <cell r="H6312" t="str">
            <v>Faris</v>
          </cell>
          <cell r="I6312" t="str">
            <v>Syahra</v>
          </cell>
          <cell r="J6312"/>
          <cell r="K6312" t="str">
            <v>BG, KU</v>
          </cell>
          <cell r="L6312" t="str">
            <v>PRIM03</v>
          </cell>
          <cell r="M6312" t="str">
            <v>Prima Tani/Candra Sanjaya</v>
          </cell>
          <cell r="N6312" t="str">
            <v>Candra Sanjaya</v>
          </cell>
          <cell r="O6312" t="str">
            <v>Basuki Rahmad No. 262, RT.002/RW.014 Mimbaan, Panji</v>
          </cell>
          <cell r="P6312" t="str">
            <v>Situbondo</v>
          </cell>
          <cell r="Q6312" t="str">
            <v>Basuki Rahmad No. 262, RT.002/RW.014 Mimbaan, Panji</v>
          </cell>
          <cell r="R6312" t="str">
            <v>Situbondo</v>
          </cell>
          <cell r="S6312" t="str">
            <v>N Bdw Stb</v>
          </cell>
          <cell r="T6312" t="str">
            <v>Wira</v>
          </cell>
          <cell r="U6312">
            <v>30</v>
          </cell>
        </row>
        <row r="6313">
          <cell r="E6313" t="str">
            <v>B25009606</v>
          </cell>
          <cell r="F6313"/>
          <cell r="G6313">
            <v>9100000000</v>
          </cell>
          <cell r="H6313" t="str">
            <v>Faris</v>
          </cell>
          <cell r="I6313" t="str">
            <v>Syahra</v>
          </cell>
          <cell r="J6313"/>
          <cell r="K6313" t="str">
            <v>BG, KU</v>
          </cell>
          <cell r="L6313" t="str">
            <v>PRIM03</v>
          </cell>
          <cell r="M6313" t="str">
            <v>Prima Tani/Candra Sanjaya</v>
          </cell>
          <cell r="N6313" t="str">
            <v>Candra Sanjaya</v>
          </cell>
          <cell r="O6313" t="str">
            <v>Basuki Rahmad No. 262, RT.002/RW.014 Mimbaan, Panji</v>
          </cell>
          <cell r="P6313" t="str">
            <v>Situbondo</v>
          </cell>
          <cell r="Q6313" t="str">
            <v>Basuki Rahmad No. 262, RT.002/RW.014 Mimbaan, Panji</v>
          </cell>
          <cell r="R6313" t="str">
            <v>Situbondo</v>
          </cell>
          <cell r="S6313" t="str">
            <v>N Bdw Stb</v>
          </cell>
          <cell r="T6313" t="str">
            <v>Wira</v>
          </cell>
          <cell r="U6313">
            <v>30</v>
          </cell>
        </row>
        <row r="6314">
          <cell r="E6314" t="str">
            <v>B25009641</v>
          </cell>
          <cell r="F6314"/>
          <cell r="G6314">
            <v>9100000000</v>
          </cell>
          <cell r="H6314" t="str">
            <v>Faris</v>
          </cell>
          <cell r="I6314" t="str">
            <v>Syahra</v>
          </cell>
          <cell r="J6314"/>
          <cell r="K6314" t="str">
            <v>BG, KU</v>
          </cell>
          <cell r="L6314" t="str">
            <v>PRIM03</v>
          </cell>
          <cell r="M6314" t="str">
            <v>Prima Tani/Candra Sanjaya</v>
          </cell>
          <cell r="N6314" t="str">
            <v>Candra Sanjaya</v>
          </cell>
          <cell r="O6314" t="str">
            <v>Basuki Rahmad No. 262, RT.002/RW.014 Mimbaan, Panji</v>
          </cell>
          <cell r="P6314" t="str">
            <v>Situbondo</v>
          </cell>
          <cell r="Q6314" t="str">
            <v>Basuki Rahmad No. 262, RT.002/RW.014 Mimbaan, Panji</v>
          </cell>
          <cell r="R6314" t="str">
            <v>Situbondo</v>
          </cell>
          <cell r="S6314" t="str">
            <v>N Bdw Stb</v>
          </cell>
          <cell r="T6314" t="str">
            <v>Wira</v>
          </cell>
          <cell r="U6314">
            <v>30</v>
          </cell>
        </row>
        <row r="6315">
          <cell r="E6315" t="str">
            <v>D25011585</v>
          </cell>
          <cell r="F6315"/>
          <cell r="G6315">
            <v>9100000000</v>
          </cell>
          <cell r="H6315" t="str">
            <v>Faris</v>
          </cell>
          <cell r="I6315" t="str">
            <v>Syahra</v>
          </cell>
          <cell r="J6315"/>
          <cell r="K6315" t="str">
            <v>BG, KU</v>
          </cell>
          <cell r="L6315" t="str">
            <v>PRIM03</v>
          </cell>
          <cell r="M6315" t="str">
            <v>Prima Tani/Candra Sanjaya</v>
          </cell>
          <cell r="N6315" t="str">
            <v>Candra Sanjaya</v>
          </cell>
          <cell r="O6315" t="str">
            <v>Basuki Rahmad No. 262, RT.002/RW.014 Mimbaan, Panji</v>
          </cell>
          <cell r="P6315" t="str">
            <v>Situbondo</v>
          </cell>
          <cell r="Q6315" t="str">
            <v>Basuki Rahmad No. 262, RT.002/RW.014 Mimbaan, Panji</v>
          </cell>
          <cell r="R6315" t="str">
            <v>Situbondo</v>
          </cell>
          <cell r="S6315" t="str">
            <v>N Bdw Stb</v>
          </cell>
          <cell r="T6315" t="str">
            <v>Wira</v>
          </cell>
          <cell r="U6315">
            <v>30</v>
          </cell>
        </row>
        <row r="6316">
          <cell r="E6316" t="str">
            <v>D25011618</v>
          </cell>
          <cell r="F6316"/>
          <cell r="G6316">
            <v>9100000000</v>
          </cell>
          <cell r="H6316" t="str">
            <v>Faris</v>
          </cell>
          <cell r="I6316" t="str">
            <v>Syahra</v>
          </cell>
          <cell r="J6316"/>
          <cell r="K6316" t="str">
            <v>BG, KU</v>
          </cell>
          <cell r="L6316" t="str">
            <v>PRIM03</v>
          </cell>
          <cell r="M6316" t="str">
            <v>Prima Tani/Candra Sanjaya</v>
          </cell>
          <cell r="N6316" t="str">
            <v>Candra Sanjaya</v>
          </cell>
          <cell r="O6316" t="str">
            <v>Basuki Rahmad No. 262, RT.002/RW.014 Mimbaan, Panji</v>
          </cell>
          <cell r="P6316" t="str">
            <v>Situbondo</v>
          </cell>
          <cell r="Q6316" t="str">
            <v>Basuki Rahmad No. 262, RT.002/RW.014 Mimbaan, Panji</v>
          </cell>
          <cell r="R6316" t="str">
            <v>Situbondo</v>
          </cell>
          <cell r="S6316" t="str">
            <v>N Bdw Stb</v>
          </cell>
          <cell r="T6316" t="str">
            <v>Wira</v>
          </cell>
          <cell r="U6316">
            <v>30</v>
          </cell>
        </row>
        <row r="6317">
          <cell r="E6317" t="str">
            <v>D25011663</v>
          </cell>
          <cell r="F6317"/>
          <cell r="G6317">
            <v>9100000000</v>
          </cell>
          <cell r="H6317" t="str">
            <v>Faris</v>
          </cell>
          <cell r="I6317" t="str">
            <v>Syahra</v>
          </cell>
          <cell r="J6317"/>
          <cell r="K6317" t="str">
            <v>BG, KU</v>
          </cell>
          <cell r="L6317" t="str">
            <v>PRIM03</v>
          </cell>
          <cell r="M6317" t="str">
            <v>Prima Tani/Candra Sanjaya</v>
          </cell>
          <cell r="N6317" t="str">
            <v>Candra Sanjaya</v>
          </cell>
          <cell r="O6317" t="str">
            <v>Basuki Rahmad No. 262, RT.002/RW.014 Mimbaan, Panji</v>
          </cell>
          <cell r="P6317" t="str">
            <v>Situbondo</v>
          </cell>
          <cell r="Q6317" t="str">
            <v>Basuki Rahmad No. 262, RT.002/RW.014 Mimbaan, Panji</v>
          </cell>
          <cell r="R6317" t="str">
            <v>Situbondo</v>
          </cell>
          <cell r="S6317" t="str">
            <v>N Bdw Stb</v>
          </cell>
          <cell r="T6317" t="str">
            <v>Wira</v>
          </cell>
          <cell r="U6317">
            <v>30</v>
          </cell>
        </row>
        <row r="6318">
          <cell r="E6318" t="str">
            <v>D25011677</v>
          </cell>
          <cell r="F6318"/>
          <cell r="G6318">
            <v>9100000000</v>
          </cell>
          <cell r="H6318" t="str">
            <v>Faris</v>
          </cell>
          <cell r="I6318" t="str">
            <v>Syahra</v>
          </cell>
          <cell r="J6318"/>
          <cell r="K6318" t="str">
            <v>BG, KU</v>
          </cell>
          <cell r="L6318" t="str">
            <v>PRIM03</v>
          </cell>
          <cell r="M6318" t="str">
            <v>Prima Tani/Candra Sanjaya</v>
          </cell>
          <cell r="N6318" t="str">
            <v>Candra Sanjaya</v>
          </cell>
          <cell r="O6318" t="str">
            <v>Basuki Rahmad No. 262, RT.002/RW.014 Mimbaan, Panji</v>
          </cell>
          <cell r="P6318" t="str">
            <v>Situbondo</v>
          </cell>
          <cell r="Q6318" t="str">
            <v>Basuki Rahmad No. 262, RT.002/RW.014 Mimbaan, Panji</v>
          </cell>
          <cell r="R6318" t="str">
            <v>Situbondo</v>
          </cell>
          <cell r="S6318" t="str">
            <v>N Bdw Stb</v>
          </cell>
          <cell r="T6318" t="str">
            <v>Wira</v>
          </cell>
          <cell r="U6318">
            <v>30</v>
          </cell>
        </row>
        <row r="6319">
          <cell r="E6319" t="str">
            <v>B25009801</v>
          </cell>
          <cell r="F6319"/>
          <cell r="G6319">
            <v>9100000000</v>
          </cell>
          <cell r="H6319" t="str">
            <v>Faris</v>
          </cell>
          <cell r="I6319" t="str">
            <v>Syahra</v>
          </cell>
          <cell r="J6319"/>
          <cell r="K6319" t="str">
            <v>BG, KU</v>
          </cell>
          <cell r="L6319" t="str">
            <v>PRIM03</v>
          </cell>
          <cell r="M6319" t="str">
            <v>Prima Tani/Candra Sanjaya</v>
          </cell>
          <cell r="N6319" t="str">
            <v>Candra Sanjaya</v>
          </cell>
          <cell r="O6319" t="str">
            <v>Basuki Rahmad No. 262, RT.002/RW.014 Mimbaan, Panji</v>
          </cell>
          <cell r="P6319" t="str">
            <v>Situbondo</v>
          </cell>
          <cell r="Q6319" t="str">
            <v>Basuki Rahmad No. 262, RT.002/RW.014 Mimbaan, Panji</v>
          </cell>
          <cell r="R6319" t="str">
            <v>Situbondo</v>
          </cell>
          <cell r="S6319" t="str">
            <v>N Bdw Stb</v>
          </cell>
          <cell r="T6319" t="str">
            <v>Wira</v>
          </cell>
          <cell r="U6319">
            <v>30</v>
          </cell>
        </row>
        <row r="6320">
          <cell r="E6320" t="str">
            <v>B25009814</v>
          </cell>
          <cell r="F6320"/>
          <cell r="G6320">
            <v>9100000000</v>
          </cell>
          <cell r="H6320" t="str">
            <v>Faris</v>
          </cell>
          <cell r="I6320" t="str">
            <v>Syahra</v>
          </cell>
          <cell r="J6320"/>
          <cell r="K6320" t="str">
            <v>BG, KU</v>
          </cell>
          <cell r="L6320" t="str">
            <v>PRIM03</v>
          </cell>
          <cell r="M6320" t="str">
            <v>Prima Tani/Candra Sanjaya</v>
          </cell>
          <cell r="N6320" t="str">
            <v>Candra Sanjaya</v>
          </cell>
          <cell r="O6320" t="str">
            <v>Basuki Rahmad No. 262, RT.002/RW.014 Mimbaan, Panji</v>
          </cell>
          <cell r="P6320" t="str">
            <v>Situbondo</v>
          </cell>
          <cell r="Q6320" t="str">
            <v>Basuki Rahmad No. 262, RT.002/RW.014 Mimbaan, Panji</v>
          </cell>
          <cell r="R6320" t="str">
            <v>Situbondo</v>
          </cell>
          <cell r="S6320" t="str">
            <v>N Bdw Stb</v>
          </cell>
          <cell r="T6320" t="str">
            <v>Wira</v>
          </cell>
          <cell r="U6320">
            <v>30</v>
          </cell>
        </row>
        <row r="6321">
          <cell r="E6321" t="str">
            <v>B25009828</v>
          </cell>
          <cell r="F6321"/>
          <cell r="G6321">
            <v>9100000000</v>
          </cell>
          <cell r="H6321" t="str">
            <v>Faris</v>
          </cell>
          <cell r="I6321" t="str">
            <v>Syahra</v>
          </cell>
          <cell r="J6321"/>
          <cell r="K6321" t="str">
            <v>BG, KU</v>
          </cell>
          <cell r="L6321" t="str">
            <v>PRIM03</v>
          </cell>
          <cell r="M6321" t="str">
            <v>Prima Tani/Candra Sanjaya</v>
          </cell>
          <cell r="N6321" t="str">
            <v>Candra Sanjaya</v>
          </cell>
          <cell r="O6321" t="str">
            <v>Basuki Rahmad No. 262, RT.002/RW.014 Mimbaan, Panji</v>
          </cell>
          <cell r="P6321" t="str">
            <v>Situbondo</v>
          </cell>
          <cell r="Q6321" t="str">
            <v>Basuki Rahmad No. 262, RT.002/RW.014 Mimbaan, Panji</v>
          </cell>
          <cell r="R6321" t="str">
            <v>Situbondo</v>
          </cell>
          <cell r="S6321" t="str">
            <v>N Bdw Stb</v>
          </cell>
          <cell r="T6321" t="str">
            <v>Wira</v>
          </cell>
          <cell r="U6321">
            <v>30</v>
          </cell>
        </row>
        <row r="6322">
          <cell r="E6322" t="str">
            <v>B25009887</v>
          </cell>
          <cell r="F6322"/>
          <cell r="G6322">
            <v>9100000000</v>
          </cell>
          <cell r="H6322" t="str">
            <v>Faris</v>
          </cell>
          <cell r="I6322" t="str">
            <v>Syahra</v>
          </cell>
          <cell r="J6322"/>
          <cell r="K6322" t="str">
            <v>BG, KU</v>
          </cell>
          <cell r="L6322" t="str">
            <v>PRIM03</v>
          </cell>
          <cell r="M6322" t="str">
            <v>Prima Tani/Candra Sanjaya</v>
          </cell>
          <cell r="N6322" t="str">
            <v>Candra Sanjaya</v>
          </cell>
          <cell r="O6322" t="str">
            <v>Basuki Rahmad No. 262, RT.002/RW.014 Mimbaan, Panji</v>
          </cell>
          <cell r="P6322" t="str">
            <v>Situbondo</v>
          </cell>
          <cell r="Q6322" t="str">
            <v>Basuki Rahmad No. 262, RT.002/RW.014 Mimbaan, Panji</v>
          </cell>
          <cell r="R6322" t="str">
            <v>Situbondo</v>
          </cell>
          <cell r="S6322" t="str">
            <v>N Bdw Stb</v>
          </cell>
          <cell r="T6322" t="str">
            <v>Wira</v>
          </cell>
          <cell r="U6322">
            <v>30</v>
          </cell>
        </row>
        <row r="6323">
          <cell r="E6323" t="str">
            <v>B25009891</v>
          </cell>
          <cell r="F6323"/>
          <cell r="G6323">
            <v>9100000000</v>
          </cell>
          <cell r="H6323" t="str">
            <v>Faris</v>
          </cell>
          <cell r="I6323" t="str">
            <v>Syahra</v>
          </cell>
          <cell r="J6323"/>
          <cell r="K6323" t="str">
            <v>BG, KU</v>
          </cell>
          <cell r="L6323" t="str">
            <v>PRIM03</v>
          </cell>
          <cell r="M6323" t="str">
            <v>Prima Tani/Candra Sanjaya</v>
          </cell>
          <cell r="N6323" t="str">
            <v>Candra Sanjaya</v>
          </cell>
          <cell r="O6323" t="str">
            <v>Basuki Rahmad No. 262, RT.002/RW.014 Mimbaan, Panji</v>
          </cell>
          <cell r="P6323" t="str">
            <v>Situbondo</v>
          </cell>
          <cell r="Q6323" t="str">
            <v>Basuki Rahmad No. 262, RT.002/RW.014 Mimbaan, Panji</v>
          </cell>
          <cell r="R6323" t="str">
            <v>Situbondo</v>
          </cell>
          <cell r="S6323" t="str">
            <v>N Bdw Stb</v>
          </cell>
          <cell r="T6323" t="str">
            <v>Wira</v>
          </cell>
          <cell r="U6323">
            <v>30</v>
          </cell>
        </row>
        <row r="6324">
          <cell r="E6324" t="str">
            <v>B25009896</v>
          </cell>
          <cell r="F6324"/>
          <cell r="G6324">
            <v>9100000000</v>
          </cell>
          <cell r="H6324" t="str">
            <v>Faris</v>
          </cell>
          <cell r="I6324" t="str">
            <v>Syahra</v>
          </cell>
          <cell r="J6324"/>
          <cell r="K6324" t="str">
            <v>BG, KU</v>
          </cell>
          <cell r="L6324" t="str">
            <v>PRIM03</v>
          </cell>
          <cell r="M6324" t="str">
            <v>Prima Tani/Candra Sanjaya</v>
          </cell>
          <cell r="N6324" t="str">
            <v>Candra Sanjaya</v>
          </cell>
          <cell r="O6324" t="str">
            <v>Basuki Rahmad No. 262, RT.002/RW.014 Mimbaan, Panji</v>
          </cell>
          <cell r="P6324" t="str">
            <v>Situbondo</v>
          </cell>
          <cell r="Q6324" t="str">
            <v>Basuki Rahmad No. 262, RT.002/RW.014 Mimbaan, Panji</v>
          </cell>
          <cell r="R6324" t="str">
            <v>Situbondo</v>
          </cell>
          <cell r="S6324" t="str">
            <v>N Bdw Stb</v>
          </cell>
          <cell r="T6324" t="str">
            <v>Wira</v>
          </cell>
          <cell r="U6324">
            <v>30</v>
          </cell>
        </row>
        <row r="6325">
          <cell r="E6325" t="str">
            <v>B25009922</v>
          </cell>
          <cell r="F6325"/>
          <cell r="G6325">
            <v>9100000000</v>
          </cell>
          <cell r="H6325" t="str">
            <v>Faris</v>
          </cell>
          <cell r="I6325" t="str">
            <v>Syahra</v>
          </cell>
          <cell r="J6325"/>
          <cell r="K6325" t="str">
            <v>BG, KU</v>
          </cell>
          <cell r="L6325" t="str">
            <v>PRIM03</v>
          </cell>
          <cell r="M6325" t="str">
            <v>Prima Tani/Candra Sanjaya</v>
          </cell>
          <cell r="N6325" t="str">
            <v>Candra Sanjaya</v>
          </cell>
          <cell r="O6325" t="str">
            <v>Basuki Rahmad No. 262, RT.002/RW.014 Mimbaan, Panji</v>
          </cell>
          <cell r="P6325" t="str">
            <v>Situbondo</v>
          </cell>
          <cell r="Q6325" t="str">
            <v>Basuki Rahmad No. 262, RT.002/RW.014 Mimbaan, Panji</v>
          </cell>
          <cell r="R6325" t="str">
            <v>Situbondo</v>
          </cell>
          <cell r="S6325" t="str">
            <v>N Bdw Stb</v>
          </cell>
          <cell r="T6325" t="str">
            <v>Wira</v>
          </cell>
          <cell r="U6325">
            <v>30</v>
          </cell>
        </row>
        <row r="6326">
          <cell r="E6326" t="str">
            <v>D25011885</v>
          </cell>
          <cell r="F6326"/>
          <cell r="G6326">
            <v>9100000000</v>
          </cell>
          <cell r="H6326" t="str">
            <v>Faris</v>
          </cell>
          <cell r="I6326" t="str">
            <v>Syahra</v>
          </cell>
          <cell r="J6326"/>
          <cell r="K6326" t="str">
            <v>BG, KU</v>
          </cell>
          <cell r="L6326" t="str">
            <v>PRIM03</v>
          </cell>
          <cell r="M6326" t="str">
            <v>Prima Tani/Candra Sanjaya</v>
          </cell>
          <cell r="N6326" t="str">
            <v>Candra Sanjaya</v>
          </cell>
          <cell r="O6326" t="str">
            <v>Basuki Rahmad No. 262, RT.002/RW.014 Mimbaan, Panji</v>
          </cell>
          <cell r="P6326" t="str">
            <v>Situbondo</v>
          </cell>
          <cell r="Q6326" t="str">
            <v>Basuki Rahmad No. 262, RT.002/RW.014 Mimbaan, Panji</v>
          </cell>
          <cell r="R6326" t="str">
            <v>Situbondo</v>
          </cell>
          <cell r="S6326" t="str">
            <v>N Bdw Stb</v>
          </cell>
          <cell r="T6326" t="str">
            <v>Wira</v>
          </cell>
          <cell r="U6326">
            <v>30</v>
          </cell>
        </row>
        <row r="6327">
          <cell r="E6327" t="str">
            <v>D25011885</v>
          </cell>
          <cell r="F6327"/>
          <cell r="G6327">
            <v>9100000000</v>
          </cell>
          <cell r="H6327" t="str">
            <v>Faris</v>
          </cell>
          <cell r="I6327" t="str">
            <v>Syahra</v>
          </cell>
          <cell r="J6327"/>
          <cell r="K6327" t="str">
            <v>BG, KU</v>
          </cell>
          <cell r="L6327" t="str">
            <v>PRIM03</v>
          </cell>
          <cell r="M6327" t="str">
            <v>Prima Tani/Candra Sanjaya</v>
          </cell>
          <cell r="N6327" t="str">
            <v>Candra Sanjaya</v>
          </cell>
          <cell r="O6327" t="str">
            <v>Basuki Rahmad No. 262, RT.002/RW.014 Mimbaan, Panji</v>
          </cell>
          <cell r="P6327" t="str">
            <v>Situbondo</v>
          </cell>
          <cell r="Q6327" t="str">
            <v>Basuki Rahmad No. 262, RT.002/RW.014 Mimbaan, Panji</v>
          </cell>
          <cell r="R6327" t="str">
            <v>Situbondo</v>
          </cell>
          <cell r="S6327" t="str">
            <v>N Bdw Stb</v>
          </cell>
          <cell r="T6327" t="str">
            <v>Wira</v>
          </cell>
          <cell r="U6327">
            <v>30</v>
          </cell>
        </row>
        <row r="6328">
          <cell r="E6328" t="str">
            <v>B25010042</v>
          </cell>
          <cell r="F6328"/>
          <cell r="G6328">
            <v>9100000000</v>
          </cell>
          <cell r="H6328" t="str">
            <v>Faris</v>
          </cell>
          <cell r="I6328" t="str">
            <v>Syahra</v>
          </cell>
          <cell r="J6328"/>
          <cell r="K6328" t="str">
            <v>BG, KU</v>
          </cell>
          <cell r="L6328" t="str">
            <v>PRIM03</v>
          </cell>
          <cell r="M6328" t="str">
            <v>Prima Tani/Candra Sanjaya</v>
          </cell>
          <cell r="N6328" t="str">
            <v>Candra Sanjaya</v>
          </cell>
          <cell r="O6328" t="str">
            <v>Basuki Rahmad No. 262, RT.002/RW.014 Mimbaan, Panji</v>
          </cell>
          <cell r="P6328" t="str">
            <v>Situbondo</v>
          </cell>
          <cell r="Q6328" t="str">
            <v>Basuki Rahmad No. 262, RT.002/RW.014 Mimbaan, Panji</v>
          </cell>
          <cell r="R6328" t="str">
            <v>Situbondo</v>
          </cell>
          <cell r="S6328" t="str">
            <v>N Bdw Stb</v>
          </cell>
          <cell r="T6328" t="str">
            <v>Wira</v>
          </cell>
          <cell r="U6328">
            <v>30</v>
          </cell>
        </row>
        <row r="6329">
          <cell r="E6329" t="str">
            <v>B25010043</v>
          </cell>
          <cell r="F6329"/>
          <cell r="G6329">
            <v>9100000000</v>
          </cell>
          <cell r="H6329" t="str">
            <v>Faris</v>
          </cell>
          <cell r="I6329" t="str">
            <v>Syahra</v>
          </cell>
          <cell r="J6329"/>
          <cell r="K6329" t="str">
            <v>BG, KU</v>
          </cell>
          <cell r="L6329" t="str">
            <v>PRIM03</v>
          </cell>
          <cell r="M6329" t="str">
            <v>Prima Tani/Candra Sanjaya</v>
          </cell>
          <cell r="N6329" t="str">
            <v>Candra Sanjaya</v>
          </cell>
          <cell r="O6329" t="str">
            <v>Basuki Rahmad No. 262, RT.002/RW.014 Mimbaan, Panji</v>
          </cell>
          <cell r="P6329" t="str">
            <v>Situbondo</v>
          </cell>
          <cell r="Q6329" t="str">
            <v>Basuki Rahmad No. 262, RT.002/RW.014 Mimbaan, Panji</v>
          </cell>
          <cell r="R6329" t="str">
            <v>Situbondo</v>
          </cell>
          <cell r="S6329" t="str">
            <v>N Bdw Stb</v>
          </cell>
          <cell r="T6329" t="str">
            <v>Wira</v>
          </cell>
          <cell r="U6329">
            <v>30</v>
          </cell>
        </row>
        <row r="6330">
          <cell r="E6330" t="str">
            <v>D25011971</v>
          </cell>
          <cell r="F6330"/>
          <cell r="G6330">
            <v>9100000000</v>
          </cell>
          <cell r="H6330" t="str">
            <v>Faris</v>
          </cell>
          <cell r="I6330" t="str">
            <v>Syahra</v>
          </cell>
          <cell r="J6330"/>
          <cell r="K6330" t="str">
            <v>BG, KU</v>
          </cell>
          <cell r="L6330" t="str">
            <v>PRIM03</v>
          </cell>
          <cell r="M6330" t="str">
            <v>Prima Tani/Candra Sanjaya</v>
          </cell>
          <cell r="N6330" t="str">
            <v>Candra Sanjaya</v>
          </cell>
          <cell r="O6330" t="str">
            <v>Basuki Rahmad No. 262, RT.002/RW.014 Mimbaan, Panji</v>
          </cell>
          <cell r="P6330" t="str">
            <v>Situbondo</v>
          </cell>
          <cell r="Q6330" t="str">
            <v>Basuki Rahmad No. 262, RT.002/RW.014 Mimbaan, Panji</v>
          </cell>
          <cell r="R6330" t="str">
            <v>Situbondo</v>
          </cell>
          <cell r="S6330" t="str">
            <v>N Bdw Stb</v>
          </cell>
          <cell r="T6330" t="str">
            <v>Wira</v>
          </cell>
          <cell r="U6330">
            <v>30</v>
          </cell>
        </row>
        <row r="6331">
          <cell r="E6331" t="str">
            <v>D25011988</v>
          </cell>
          <cell r="F6331"/>
          <cell r="G6331">
            <v>9100000000</v>
          </cell>
          <cell r="H6331" t="str">
            <v>Faris</v>
          </cell>
          <cell r="I6331" t="str">
            <v>Syahra</v>
          </cell>
          <cell r="J6331"/>
          <cell r="K6331" t="str">
            <v>BG, KU</v>
          </cell>
          <cell r="L6331" t="str">
            <v>PRIM03</v>
          </cell>
          <cell r="M6331" t="str">
            <v>Prima Tani/Candra Sanjaya</v>
          </cell>
          <cell r="N6331" t="str">
            <v>Candra Sanjaya</v>
          </cell>
          <cell r="O6331" t="str">
            <v>Basuki Rahmad No. 262, RT.002/RW.014 Mimbaan, Panji</v>
          </cell>
          <cell r="P6331" t="str">
            <v>Situbondo</v>
          </cell>
          <cell r="Q6331" t="str">
            <v>Basuki Rahmad No. 262, RT.002/RW.014 Mimbaan, Panji</v>
          </cell>
          <cell r="R6331" t="str">
            <v>Situbondo</v>
          </cell>
          <cell r="S6331" t="str">
            <v>N Bdw Stb</v>
          </cell>
          <cell r="T6331" t="str">
            <v>Wira</v>
          </cell>
          <cell r="U6331">
            <v>30</v>
          </cell>
        </row>
        <row r="6332">
          <cell r="E6332" t="str">
            <v>D25011991</v>
          </cell>
          <cell r="F6332"/>
          <cell r="G6332">
            <v>9100000000</v>
          </cell>
          <cell r="H6332" t="str">
            <v>Faris</v>
          </cell>
          <cell r="I6332" t="str">
            <v>Syahra</v>
          </cell>
          <cell r="J6332"/>
          <cell r="K6332" t="str">
            <v>BG, KU</v>
          </cell>
          <cell r="L6332" t="str">
            <v>PRIM03</v>
          </cell>
          <cell r="M6332" t="str">
            <v>Prima Tani/Candra Sanjaya</v>
          </cell>
          <cell r="N6332" t="str">
            <v>Candra Sanjaya</v>
          </cell>
          <cell r="O6332" t="str">
            <v>Basuki Rahmad No. 262, RT.002/RW.014 Mimbaan, Panji</v>
          </cell>
          <cell r="P6332" t="str">
            <v>Situbondo</v>
          </cell>
          <cell r="Q6332" t="str">
            <v>Basuki Rahmad No. 262, RT.002/RW.014 Mimbaan, Panji</v>
          </cell>
          <cell r="R6332" t="str">
            <v>Situbondo</v>
          </cell>
          <cell r="S6332" t="str">
            <v>N Bdw Stb</v>
          </cell>
          <cell r="T6332" t="str">
            <v>Wira</v>
          </cell>
          <cell r="U6332">
            <v>30</v>
          </cell>
        </row>
        <row r="6333">
          <cell r="E6333" t="str">
            <v>D25011991</v>
          </cell>
          <cell r="F6333"/>
          <cell r="G6333">
            <v>9100000000</v>
          </cell>
          <cell r="H6333" t="str">
            <v>Faris</v>
          </cell>
          <cell r="I6333" t="str">
            <v>Syahra</v>
          </cell>
          <cell r="J6333"/>
          <cell r="K6333" t="str">
            <v>BG, KU</v>
          </cell>
          <cell r="L6333" t="str">
            <v>PRIM03</v>
          </cell>
          <cell r="M6333" t="str">
            <v>Prima Tani/Candra Sanjaya</v>
          </cell>
          <cell r="N6333" t="str">
            <v>Candra Sanjaya</v>
          </cell>
          <cell r="O6333" t="str">
            <v>Basuki Rahmad No. 262, RT.002/RW.014 Mimbaan, Panji</v>
          </cell>
          <cell r="P6333" t="str">
            <v>Situbondo</v>
          </cell>
          <cell r="Q6333" t="str">
            <v>Basuki Rahmad No. 262, RT.002/RW.014 Mimbaan, Panji</v>
          </cell>
          <cell r="R6333" t="str">
            <v>Situbondo</v>
          </cell>
          <cell r="S6333" t="str">
            <v>N Bdw Stb</v>
          </cell>
          <cell r="T6333" t="str">
            <v>Wira</v>
          </cell>
          <cell r="U6333">
            <v>30</v>
          </cell>
        </row>
        <row r="6334">
          <cell r="E6334" t="str">
            <v>D25011992</v>
          </cell>
          <cell r="F6334"/>
          <cell r="G6334">
            <v>9100000000</v>
          </cell>
          <cell r="H6334" t="str">
            <v>Faris</v>
          </cell>
          <cell r="I6334" t="str">
            <v>Syahra</v>
          </cell>
          <cell r="J6334"/>
          <cell r="K6334" t="str">
            <v>BG, KU</v>
          </cell>
          <cell r="L6334" t="str">
            <v>PRIM03</v>
          </cell>
          <cell r="M6334" t="str">
            <v>Prima Tani/Candra Sanjaya</v>
          </cell>
          <cell r="N6334" t="str">
            <v>Candra Sanjaya</v>
          </cell>
          <cell r="O6334" t="str">
            <v>Basuki Rahmad No. 262, RT.002/RW.014 Mimbaan, Panji</v>
          </cell>
          <cell r="P6334" t="str">
            <v>Situbondo</v>
          </cell>
          <cell r="Q6334" t="str">
            <v>Basuki Rahmad No. 262, RT.002/RW.014 Mimbaan, Panji</v>
          </cell>
          <cell r="R6334" t="str">
            <v>Situbondo</v>
          </cell>
          <cell r="S6334" t="str">
            <v>N Bdw Stb</v>
          </cell>
          <cell r="T6334" t="str">
            <v>Wira</v>
          </cell>
          <cell r="U6334">
            <v>30</v>
          </cell>
        </row>
        <row r="6335">
          <cell r="E6335" t="str">
            <v>D25011993</v>
          </cell>
          <cell r="F6335"/>
          <cell r="G6335">
            <v>9100000000</v>
          </cell>
          <cell r="H6335" t="str">
            <v>Faris</v>
          </cell>
          <cell r="I6335" t="str">
            <v>Syahra</v>
          </cell>
          <cell r="J6335"/>
          <cell r="K6335" t="str">
            <v>BG, KU</v>
          </cell>
          <cell r="L6335" t="str">
            <v>PRIM03</v>
          </cell>
          <cell r="M6335" t="str">
            <v>Prima Tani/Candra Sanjaya</v>
          </cell>
          <cell r="N6335" t="str">
            <v>Candra Sanjaya</v>
          </cell>
          <cell r="O6335" t="str">
            <v>Basuki Rahmad No. 262, RT.002/RW.014 Mimbaan, Panji</v>
          </cell>
          <cell r="P6335" t="str">
            <v>Situbondo</v>
          </cell>
          <cell r="Q6335" t="str">
            <v>Basuki Rahmad No. 262, RT.002/RW.014 Mimbaan, Panji</v>
          </cell>
          <cell r="R6335" t="str">
            <v>Situbondo</v>
          </cell>
          <cell r="S6335" t="str">
            <v>N Bdw Stb</v>
          </cell>
          <cell r="T6335" t="str">
            <v>Wira</v>
          </cell>
          <cell r="U6335">
            <v>30</v>
          </cell>
        </row>
        <row r="6336">
          <cell r="E6336" t="str">
            <v>D25012006</v>
          </cell>
          <cell r="F6336"/>
          <cell r="G6336">
            <v>9100000000</v>
          </cell>
          <cell r="H6336" t="str">
            <v>Faris</v>
          </cell>
          <cell r="I6336" t="str">
            <v>Syahra</v>
          </cell>
          <cell r="J6336"/>
          <cell r="K6336" t="str">
            <v>BG, KU</v>
          </cell>
          <cell r="L6336" t="str">
            <v>PRIM03</v>
          </cell>
          <cell r="M6336" t="str">
            <v>Prima Tani/Candra Sanjaya</v>
          </cell>
          <cell r="N6336" t="str">
            <v>Candra Sanjaya</v>
          </cell>
          <cell r="O6336" t="str">
            <v>Basuki Rahmad No. 262, RT.002/RW.014 Mimbaan, Panji</v>
          </cell>
          <cell r="P6336" t="str">
            <v>Situbondo</v>
          </cell>
          <cell r="Q6336" t="str">
            <v>Basuki Rahmad No. 262, RT.002/RW.014 Mimbaan, Panji</v>
          </cell>
          <cell r="R6336" t="str">
            <v>Situbondo</v>
          </cell>
          <cell r="S6336" t="str">
            <v>N Bdw Stb</v>
          </cell>
          <cell r="T6336" t="str">
            <v>Wira</v>
          </cell>
          <cell r="U6336">
            <v>30</v>
          </cell>
        </row>
        <row r="6337">
          <cell r="E6337" t="str">
            <v>D25012007</v>
          </cell>
          <cell r="F6337"/>
          <cell r="G6337">
            <v>9100000000</v>
          </cell>
          <cell r="H6337" t="str">
            <v>Faris</v>
          </cell>
          <cell r="I6337" t="str">
            <v>Syahra</v>
          </cell>
          <cell r="J6337"/>
          <cell r="K6337" t="str">
            <v>BG, KU</v>
          </cell>
          <cell r="L6337" t="str">
            <v>PRIM03</v>
          </cell>
          <cell r="M6337" t="str">
            <v>Prima Tani/Candra Sanjaya</v>
          </cell>
          <cell r="N6337" t="str">
            <v>Candra Sanjaya</v>
          </cell>
          <cell r="O6337" t="str">
            <v>Basuki Rahmad No. 262, RT.002/RW.014 Mimbaan, Panji</v>
          </cell>
          <cell r="P6337" t="str">
            <v>Situbondo</v>
          </cell>
          <cell r="Q6337" t="str">
            <v>Basuki Rahmad No. 262, RT.002/RW.014 Mimbaan, Panji</v>
          </cell>
          <cell r="R6337" t="str">
            <v>Situbondo</v>
          </cell>
          <cell r="S6337" t="str">
            <v>N Bdw Stb</v>
          </cell>
          <cell r="T6337" t="str">
            <v>Wira</v>
          </cell>
          <cell r="U6337">
            <v>30</v>
          </cell>
        </row>
        <row r="6338">
          <cell r="E6338" t="str">
            <v>D25012016</v>
          </cell>
          <cell r="F6338"/>
          <cell r="G6338">
            <v>9100000000</v>
          </cell>
          <cell r="H6338" t="str">
            <v>Faris</v>
          </cell>
          <cell r="I6338" t="str">
            <v>Syahra</v>
          </cell>
          <cell r="J6338"/>
          <cell r="K6338" t="str">
            <v>BG, KU</v>
          </cell>
          <cell r="L6338" t="str">
            <v>PRIM03</v>
          </cell>
          <cell r="M6338" t="str">
            <v>Prima Tani/Candra Sanjaya</v>
          </cell>
          <cell r="N6338" t="str">
            <v>Candra Sanjaya</v>
          </cell>
          <cell r="O6338" t="str">
            <v>Basuki Rahmad No. 262, RT.002/RW.014 Mimbaan, Panji</v>
          </cell>
          <cell r="P6338" t="str">
            <v>Situbondo</v>
          </cell>
          <cell r="Q6338" t="str">
            <v>Basuki Rahmad No. 262, RT.002/RW.014 Mimbaan, Panji</v>
          </cell>
          <cell r="R6338" t="str">
            <v>Situbondo</v>
          </cell>
          <cell r="S6338" t="str">
            <v>N Bdw Stb</v>
          </cell>
          <cell r="T6338" t="str">
            <v>Wira</v>
          </cell>
          <cell r="U6338">
            <v>30</v>
          </cell>
        </row>
        <row r="6339">
          <cell r="E6339" t="str">
            <v>D25012099</v>
          </cell>
          <cell r="F6339"/>
          <cell r="G6339">
            <v>9100000000</v>
          </cell>
          <cell r="H6339" t="str">
            <v>Faris</v>
          </cell>
          <cell r="I6339" t="str">
            <v>Syahra</v>
          </cell>
          <cell r="J6339"/>
          <cell r="K6339" t="str">
            <v>BG, KU</v>
          </cell>
          <cell r="L6339" t="str">
            <v>PRIM03</v>
          </cell>
          <cell r="M6339" t="str">
            <v>Prima Tani/Candra Sanjaya</v>
          </cell>
          <cell r="N6339" t="str">
            <v>Candra Sanjaya</v>
          </cell>
          <cell r="O6339" t="str">
            <v>Basuki Rahmad No. 262, RT.002/RW.014 Mimbaan, Panji</v>
          </cell>
          <cell r="P6339" t="str">
            <v>Situbondo</v>
          </cell>
          <cell r="Q6339" t="str">
            <v>Basuki Rahmad No. 262, RT.002/RW.014 Mimbaan, Panji</v>
          </cell>
          <cell r="R6339" t="str">
            <v>Situbondo</v>
          </cell>
          <cell r="S6339" t="str">
            <v>N Bdw Stb</v>
          </cell>
          <cell r="T6339" t="str">
            <v>Wira</v>
          </cell>
          <cell r="U6339">
            <v>30</v>
          </cell>
        </row>
        <row r="6340">
          <cell r="E6340" t="str">
            <v>B25010292</v>
          </cell>
          <cell r="F6340"/>
          <cell r="G6340">
            <v>9100000000</v>
          </cell>
          <cell r="H6340" t="str">
            <v>Faris</v>
          </cell>
          <cell r="I6340" t="str">
            <v>Syahra</v>
          </cell>
          <cell r="J6340"/>
          <cell r="K6340" t="str">
            <v>BG, KU</v>
          </cell>
          <cell r="L6340" t="str">
            <v>PRIM03</v>
          </cell>
          <cell r="M6340" t="str">
            <v>Prima Tani/Candra Sanjaya</v>
          </cell>
          <cell r="N6340" t="str">
            <v>Candra Sanjaya</v>
          </cell>
          <cell r="O6340" t="str">
            <v>Basuki Rahmad No. 262, RT.002/RW.014 Mimbaan, Panji</v>
          </cell>
          <cell r="P6340" t="str">
            <v>Situbondo</v>
          </cell>
          <cell r="Q6340" t="str">
            <v>Basuki Rahmad No. 262, RT.002/RW.014 Mimbaan, Panji</v>
          </cell>
          <cell r="R6340" t="str">
            <v>Situbondo</v>
          </cell>
          <cell r="S6340" t="str">
            <v>N Bdw Stb</v>
          </cell>
          <cell r="T6340" t="str">
            <v>Wira</v>
          </cell>
          <cell r="U6340">
            <v>30</v>
          </cell>
        </row>
        <row r="6341">
          <cell r="E6341" t="str">
            <v>D25012216</v>
          </cell>
          <cell r="F6341"/>
          <cell r="G6341">
            <v>9100000000</v>
          </cell>
          <cell r="H6341" t="str">
            <v>Faris</v>
          </cell>
          <cell r="I6341" t="str">
            <v>Syahra</v>
          </cell>
          <cell r="J6341"/>
          <cell r="K6341" t="str">
            <v>BG, KU</v>
          </cell>
          <cell r="L6341" t="str">
            <v>PRIM03</v>
          </cell>
          <cell r="M6341" t="str">
            <v>Prima Tani/Candra Sanjaya</v>
          </cell>
          <cell r="N6341" t="str">
            <v>Candra Sanjaya</v>
          </cell>
          <cell r="O6341" t="str">
            <v>Basuki Rahmad No. 262, RT.002/RW.014 Mimbaan, Panji</v>
          </cell>
          <cell r="P6341" t="str">
            <v>Situbondo</v>
          </cell>
          <cell r="Q6341" t="str">
            <v>Basuki Rahmad No. 262, RT.002/RW.014 Mimbaan, Panji</v>
          </cell>
          <cell r="R6341" t="str">
            <v>Situbondo</v>
          </cell>
          <cell r="S6341" t="str">
            <v>N Bdw Stb</v>
          </cell>
          <cell r="T6341" t="str">
            <v>Wira</v>
          </cell>
          <cell r="U6341">
            <v>30</v>
          </cell>
        </row>
        <row r="6342">
          <cell r="E6342" t="str">
            <v>D25012322</v>
          </cell>
          <cell r="F6342"/>
          <cell r="G6342">
            <v>9100000000</v>
          </cell>
          <cell r="H6342" t="str">
            <v>Faris</v>
          </cell>
          <cell r="I6342" t="str">
            <v>Syahra</v>
          </cell>
          <cell r="J6342"/>
          <cell r="K6342" t="str">
            <v>BG, KU</v>
          </cell>
          <cell r="L6342" t="str">
            <v>PRIM03</v>
          </cell>
          <cell r="M6342" t="str">
            <v>Prima Tani/Candra Sanjaya</v>
          </cell>
          <cell r="N6342" t="str">
            <v>Candra Sanjaya</v>
          </cell>
          <cell r="O6342" t="str">
            <v>Basuki Rahmad No. 262, RT.002/RW.014 Mimbaan, Panji</v>
          </cell>
          <cell r="P6342" t="str">
            <v>Situbondo</v>
          </cell>
          <cell r="Q6342" t="str">
            <v>Basuki Rahmad No. 262, RT.002/RW.014 Mimbaan, Panji</v>
          </cell>
          <cell r="R6342" t="str">
            <v>Situbondo</v>
          </cell>
          <cell r="S6342" t="str">
            <v>N Bdw Stb</v>
          </cell>
          <cell r="T6342" t="str">
            <v>Wira</v>
          </cell>
          <cell r="U6342">
            <v>30</v>
          </cell>
        </row>
        <row r="6343">
          <cell r="E6343" t="str">
            <v>D25012380</v>
          </cell>
          <cell r="F6343"/>
          <cell r="G6343">
            <v>9100000000</v>
          </cell>
          <cell r="H6343" t="str">
            <v>Faris</v>
          </cell>
          <cell r="I6343" t="str">
            <v>Syahra</v>
          </cell>
          <cell r="J6343"/>
          <cell r="K6343" t="str">
            <v>BG, KU</v>
          </cell>
          <cell r="L6343" t="str">
            <v>PRIM03</v>
          </cell>
          <cell r="M6343" t="str">
            <v>Prima Tani/Candra Sanjaya</v>
          </cell>
          <cell r="N6343" t="str">
            <v>Candra Sanjaya</v>
          </cell>
          <cell r="O6343" t="str">
            <v>Basuki Rahmad No. 262, RT.002/RW.014 Mimbaan, Panji</v>
          </cell>
          <cell r="P6343" t="str">
            <v>Situbondo</v>
          </cell>
          <cell r="Q6343" t="str">
            <v>Basuki Rahmad No. 262, RT.002/RW.014 Mimbaan, Panji</v>
          </cell>
          <cell r="R6343" t="str">
            <v>Situbondo</v>
          </cell>
          <cell r="S6343" t="str">
            <v>N Bdw Stb</v>
          </cell>
          <cell r="T6343" t="str">
            <v>Wira</v>
          </cell>
          <cell r="U6343">
            <v>30</v>
          </cell>
        </row>
        <row r="6344">
          <cell r="E6344" t="str">
            <v>D25012479</v>
          </cell>
          <cell r="F6344"/>
          <cell r="G6344">
            <v>9100000000</v>
          </cell>
          <cell r="H6344" t="str">
            <v>Faris</v>
          </cell>
          <cell r="I6344" t="str">
            <v>Syahra</v>
          </cell>
          <cell r="J6344"/>
          <cell r="K6344" t="str">
            <v>BG, KU</v>
          </cell>
          <cell r="L6344" t="str">
            <v>PRIM03</v>
          </cell>
          <cell r="M6344" t="str">
            <v>Prima Tani/Candra Sanjaya</v>
          </cell>
          <cell r="N6344" t="str">
            <v>Candra Sanjaya</v>
          </cell>
          <cell r="O6344" t="str">
            <v>Basuki Rahmad No. 262, RT.002/RW.014 Mimbaan, Panji</v>
          </cell>
          <cell r="P6344" t="str">
            <v>Situbondo</v>
          </cell>
          <cell r="Q6344" t="str">
            <v>Basuki Rahmad No. 262, RT.002/RW.014 Mimbaan, Panji</v>
          </cell>
          <cell r="R6344" t="str">
            <v>Situbondo</v>
          </cell>
          <cell r="S6344" t="str">
            <v>N Bdw Stb</v>
          </cell>
          <cell r="T6344" t="str">
            <v>Wira</v>
          </cell>
          <cell r="U6344">
            <v>30</v>
          </cell>
        </row>
        <row r="6345">
          <cell r="E6345" t="str">
            <v>B25010614</v>
          </cell>
          <cell r="F6345"/>
          <cell r="G6345">
            <v>9100000000</v>
          </cell>
          <cell r="H6345" t="str">
            <v>Faris</v>
          </cell>
          <cell r="I6345" t="str">
            <v>Syahra</v>
          </cell>
          <cell r="J6345"/>
          <cell r="K6345" t="str">
            <v>BG, KU</v>
          </cell>
          <cell r="L6345" t="str">
            <v>PRIM03</v>
          </cell>
          <cell r="M6345" t="str">
            <v>Prima Tani/Candra Sanjaya</v>
          </cell>
          <cell r="N6345" t="str">
            <v>Candra Sanjaya</v>
          </cell>
          <cell r="O6345" t="str">
            <v>Basuki Rahmad No. 262, RT.002/RW.014 Mimbaan, Panji</v>
          </cell>
          <cell r="P6345" t="str">
            <v>Situbondo</v>
          </cell>
          <cell r="Q6345" t="str">
            <v>Basuki Rahmad No. 262, RT.002/RW.014 Mimbaan, Panji</v>
          </cell>
          <cell r="R6345" t="str">
            <v>Situbondo</v>
          </cell>
          <cell r="S6345" t="str">
            <v>N Bdw Stb</v>
          </cell>
          <cell r="T6345" t="str">
            <v>Wira</v>
          </cell>
          <cell r="U6345">
            <v>30</v>
          </cell>
        </row>
        <row r="6346">
          <cell r="E6346" t="str">
            <v>D25012649</v>
          </cell>
          <cell r="F6346"/>
          <cell r="G6346">
            <v>9100000000</v>
          </cell>
          <cell r="H6346" t="str">
            <v>Faris</v>
          </cell>
          <cell r="I6346" t="str">
            <v>Syahra</v>
          </cell>
          <cell r="J6346"/>
          <cell r="K6346" t="str">
            <v>BG, KU</v>
          </cell>
          <cell r="L6346" t="str">
            <v>PRIM03</v>
          </cell>
          <cell r="M6346" t="str">
            <v>Prima Tani/Candra Sanjaya</v>
          </cell>
          <cell r="N6346" t="str">
            <v>Candra Sanjaya</v>
          </cell>
          <cell r="O6346" t="str">
            <v>Basuki Rahmad No. 262, RT.002/RW.014 Mimbaan, Panji</v>
          </cell>
          <cell r="P6346" t="str">
            <v>Situbondo</v>
          </cell>
          <cell r="Q6346" t="str">
            <v>Basuki Rahmad No. 262, RT.002/RW.014 Mimbaan, Panji</v>
          </cell>
          <cell r="R6346" t="str">
            <v>Situbondo</v>
          </cell>
          <cell r="S6346" t="str">
            <v>N Bdw Stb</v>
          </cell>
          <cell r="T6346" t="str">
            <v>Wira</v>
          </cell>
          <cell r="U6346">
            <v>30</v>
          </cell>
        </row>
        <row r="6347">
          <cell r="E6347" t="str">
            <v>D25012683</v>
          </cell>
          <cell r="F6347"/>
          <cell r="G6347">
            <v>9100000000</v>
          </cell>
          <cell r="H6347" t="str">
            <v>Faris</v>
          </cell>
          <cell r="I6347" t="str">
            <v>Syahra</v>
          </cell>
          <cell r="J6347"/>
          <cell r="K6347" t="str">
            <v>BG, KU</v>
          </cell>
          <cell r="L6347" t="str">
            <v>PRIM03</v>
          </cell>
          <cell r="M6347" t="str">
            <v>Prima Tani/Candra Sanjaya</v>
          </cell>
          <cell r="N6347" t="str">
            <v>Candra Sanjaya</v>
          </cell>
          <cell r="O6347" t="str">
            <v>Basuki Rahmad No. 262, RT.002/RW.014 Mimbaan, Panji</v>
          </cell>
          <cell r="P6347" t="str">
            <v>Situbondo</v>
          </cell>
          <cell r="Q6347" t="str">
            <v>Basuki Rahmad No. 262, RT.002/RW.014 Mimbaan, Panji</v>
          </cell>
          <cell r="R6347" t="str">
            <v>Situbondo</v>
          </cell>
          <cell r="S6347" t="str">
            <v>N Bdw Stb</v>
          </cell>
          <cell r="T6347" t="str">
            <v>Wira</v>
          </cell>
          <cell r="U6347">
            <v>30</v>
          </cell>
        </row>
        <row r="6348">
          <cell r="E6348" t="str">
            <v>D25012683</v>
          </cell>
          <cell r="F6348"/>
          <cell r="G6348">
            <v>9100000000</v>
          </cell>
          <cell r="H6348" t="str">
            <v>Faris</v>
          </cell>
          <cell r="I6348" t="str">
            <v>Syahra</v>
          </cell>
          <cell r="J6348"/>
          <cell r="K6348" t="str">
            <v>BG, KU</v>
          </cell>
          <cell r="L6348" t="str">
            <v>PRIM03</v>
          </cell>
          <cell r="M6348" t="str">
            <v>Prima Tani/Candra Sanjaya</v>
          </cell>
          <cell r="N6348" t="str">
            <v>Candra Sanjaya</v>
          </cell>
          <cell r="O6348" t="str">
            <v>Basuki Rahmad No. 262, RT.002/RW.014 Mimbaan, Panji</v>
          </cell>
          <cell r="P6348" t="str">
            <v>Situbondo</v>
          </cell>
          <cell r="Q6348" t="str">
            <v>Basuki Rahmad No. 262, RT.002/RW.014 Mimbaan, Panji</v>
          </cell>
          <cell r="R6348" t="str">
            <v>Situbondo</v>
          </cell>
          <cell r="S6348" t="str">
            <v>N Bdw Stb</v>
          </cell>
          <cell r="T6348" t="str">
            <v>Wira</v>
          </cell>
          <cell r="U6348">
            <v>30</v>
          </cell>
        </row>
        <row r="6349">
          <cell r="E6349" t="str">
            <v>D25012684</v>
          </cell>
          <cell r="F6349"/>
          <cell r="G6349">
            <v>9100000000</v>
          </cell>
          <cell r="H6349" t="str">
            <v>Faris</v>
          </cell>
          <cell r="I6349" t="str">
            <v>Syahra</v>
          </cell>
          <cell r="J6349"/>
          <cell r="K6349" t="str">
            <v>BG, KU</v>
          </cell>
          <cell r="L6349" t="str">
            <v>PRIM03</v>
          </cell>
          <cell r="M6349" t="str">
            <v>Prima Tani/Candra Sanjaya</v>
          </cell>
          <cell r="N6349" t="str">
            <v>Candra Sanjaya</v>
          </cell>
          <cell r="O6349" t="str">
            <v>Basuki Rahmad No. 262, RT.002/RW.014 Mimbaan, Panji</v>
          </cell>
          <cell r="P6349" t="str">
            <v>Situbondo</v>
          </cell>
          <cell r="Q6349" t="str">
            <v>Basuki Rahmad No. 262, RT.002/RW.014 Mimbaan, Panji</v>
          </cell>
          <cell r="R6349" t="str">
            <v>Situbondo</v>
          </cell>
          <cell r="S6349" t="str">
            <v>N Bdw Stb</v>
          </cell>
          <cell r="T6349" t="str">
            <v>Wira</v>
          </cell>
          <cell r="U6349">
            <v>30</v>
          </cell>
        </row>
        <row r="6350">
          <cell r="E6350" t="str">
            <v>D25012704</v>
          </cell>
          <cell r="F6350"/>
          <cell r="G6350">
            <v>9100000000</v>
          </cell>
          <cell r="H6350" t="str">
            <v>Faris</v>
          </cell>
          <cell r="I6350" t="str">
            <v>Syahra</v>
          </cell>
          <cell r="J6350"/>
          <cell r="K6350" t="str">
            <v>BG, KU</v>
          </cell>
          <cell r="L6350" t="str">
            <v>PRIM03</v>
          </cell>
          <cell r="M6350" t="str">
            <v>Prima Tani/Candra Sanjaya</v>
          </cell>
          <cell r="N6350" t="str">
            <v>Candra Sanjaya</v>
          </cell>
          <cell r="O6350" t="str">
            <v>Basuki Rahmad No. 262, RT.002/RW.014 Mimbaan, Panji</v>
          </cell>
          <cell r="P6350" t="str">
            <v>Situbondo</v>
          </cell>
          <cell r="Q6350" t="str">
            <v>Basuki Rahmad No. 262, RT.002/RW.014 Mimbaan, Panji</v>
          </cell>
          <cell r="R6350" t="str">
            <v>Situbondo</v>
          </cell>
          <cell r="S6350" t="str">
            <v>N Bdw Stb</v>
          </cell>
          <cell r="T6350" t="str">
            <v>Wira</v>
          </cell>
          <cell r="U6350">
            <v>30</v>
          </cell>
        </row>
        <row r="6351">
          <cell r="E6351" t="str">
            <v>D25012757</v>
          </cell>
          <cell r="F6351"/>
          <cell r="G6351">
            <v>9100000000</v>
          </cell>
          <cell r="H6351" t="str">
            <v>Faris</v>
          </cell>
          <cell r="I6351" t="str">
            <v>Syahra</v>
          </cell>
          <cell r="J6351"/>
          <cell r="K6351" t="str">
            <v>BG, KU</v>
          </cell>
          <cell r="L6351" t="str">
            <v>PRIM03</v>
          </cell>
          <cell r="M6351" t="str">
            <v>Prima Tani/Candra Sanjaya</v>
          </cell>
          <cell r="N6351" t="str">
            <v>Candra Sanjaya</v>
          </cell>
          <cell r="O6351" t="str">
            <v>Basuki Rahmad No. 262, RT.002/RW.014 Mimbaan, Panji</v>
          </cell>
          <cell r="P6351" t="str">
            <v>Situbondo</v>
          </cell>
          <cell r="Q6351" t="str">
            <v>Basuki Rahmad No. 262, RT.002/RW.014 Mimbaan, Panji</v>
          </cell>
          <cell r="R6351" t="str">
            <v>Situbondo</v>
          </cell>
          <cell r="S6351" t="str">
            <v>N Bdw Stb</v>
          </cell>
          <cell r="T6351" t="str">
            <v>Wira</v>
          </cell>
          <cell r="U6351">
            <v>30</v>
          </cell>
        </row>
        <row r="6352">
          <cell r="E6352" t="str">
            <v>D25012757</v>
          </cell>
          <cell r="F6352"/>
          <cell r="G6352">
            <v>9100000000</v>
          </cell>
          <cell r="H6352" t="str">
            <v>Faris</v>
          </cell>
          <cell r="I6352" t="str">
            <v>Syahra</v>
          </cell>
          <cell r="J6352"/>
          <cell r="K6352" t="str">
            <v>BG, KU</v>
          </cell>
          <cell r="L6352" t="str">
            <v>PRIM03</v>
          </cell>
          <cell r="M6352" t="str">
            <v>Prima Tani/Candra Sanjaya</v>
          </cell>
          <cell r="N6352" t="str">
            <v>Candra Sanjaya</v>
          </cell>
          <cell r="O6352" t="str">
            <v>Basuki Rahmad No. 262, RT.002/RW.014 Mimbaan, Panji</v>
          </cell>
          <cell r="P6352" t="str">
            <v>Situbondo</v>
          </cell>
          <cell r="Q6352" t="str">
            <v>Basuki Rahmad No. 262, RT.002/RW.014 Mimbaan, Panji</v>
          </cell>
          <cell r="R6352" t="str">
            <v>Situbondo</v>
          </cell>
          <cell r="S6352" t="str">
            <v>N Bdw Stb</v>
          </cell>
          <cell r="T6352" t="str">
            <v>Wira</v>
          </cell>
          <cell r="U6352">
            <v>30</v>
          </cell>
        </row>
        <row r="6353">
          <cell r="E6353" t="str">
            <v>D25012788</v>
          </cell>
          <cell r="F6353"/>
          <cell r="G6353">
            <v>9100000000</v>
          </cell>
          <cell r="H6353" t="str">
            <v>Faris</v>
          </cell>
          <cell r="I6353" t="str">
            <v>Syahra</v>
          </cell>
          <cell r="J6353"/>
          <cell r="K6353" t="str">
            <v>BG, KU</v>
          </cell>
          <cell r="L6353" t="str">
            <v>PRIM03</v>
          </cell>
          <cell r="M6353" t="str">
            <v>Prima Tani/Candra Sanjaya</v>
          </cell>
          <cell r="N6353" t="str">
            <v>Candra Sanjaya</v>
          </cell>
          <cell r="O6353" t="str">
            <v>Basuki Rahmad No. 262, RT.002/RW.014 Mimbaan, Panji</v>
          </cell>
          <cell r="P6353" t="str">
            <v>Situbondo</v>
          </cell>
          <cell r="Q6353" t="str">
            <v>Basuki Rahmad No. 262, RT.002/RW.014 Mimbaan, Panji</v>
          </cell>
          <cell r="R6353" t="str">
            <v>Situbondo</v>
          </cell>
          <cell r="S6353" t="str">
            <v>N Bdw Stb</v>
          </cell>
          <cell r="T6353" t="str">
            <v>Wira</v>
          </cell>
          <cell r="U6353">
            <v>30</v>
          </cell>
        </row>
        <row r="6354">
          <cell r="E6354" t="str">
            <v>D25012788</v>
          </cell>
          <cell r="F6354"/>
          <cell r="G6354">
            <v>9100000000</v>
          </cell>
          <cell r="H6354" t="str">
            <v>Faris</v>
          </cell>
          <cell r="I6354" t="str">
            <v>Syahra</v>
          </cell>
          <cell r="J6354"/>
          <cell r="K6354" t="str">
            <v>BG, KU</v>
          </cell>
          <cell r="L6354" t="str">
            <v>PRIM03</v>
          </cell>
          <cell r="M6354" t="str">
            <v>Prima Tani/Candra Sanjaya</v>
          </cell>
          <cell r="N6354" t="str">
            <v>Candra Sanjaya</v>
          </cell>
          <cell r="O6354" t="str">
            <v>Basuki Rahmad No. 262, RT.002/RW.014 Mimbaan, Panji</v>
          </cell>
          <cell r="P6354" t="str">
            <v>Situbondo</v>
          </cell>
          <cell r="Q6354" t="str">
            <v>Basuki Rahmad No. 262, RT.002/RW.014 Mimbaan, Panji</v>
          </cell>
          <cell r="R6354" t="str">
            <v>Situbondo</v>
          </cell>
          <cell r="S6354" t="str">
            <v>N Bdw Stb</v>
          </cell>
          <cell r="T6354" t="str">
            <v>Wira</v>
          </cell>
          <cell r="U6354">
            <v>30</v>
          </cell>
        </row>
        <row r="6355">
          <cell r="E6355" t="str">
            <v>D25012907</v>
          </cell>
          <cell r="F6355"/>
          <cell r="G6355">
            <v>9100000000</v>
          </cell>
          <cell r="H6355" t="str">
            <v>Faris</v>
          </cell>
          <cell r="I6355" t="str">
            <v>Syahra</v>
          </cell>
          <cell r="J6355"/>
          <cell r="K6355" t="str">
            <v>BG, KU</v>
          </cell>
          <cell r="L6355" t="str">
            <v>PRIM03</v>
          </cell>
          <cell r="M6355" t="str">
            <v>Prima Tani/Candra Sanjaya</v>
          </cell>
          <cell r="N6355" t="str">
            <v>Candra Sanjaya</v>
          </cell>
          <cell r="O6355" t="str">
            <v>Basuki Rahmad No. 262, RT.002/RW.014 Mimbaan, Panji</v>
          </cell>
          <cell r="P6355" t="str">
            <v>Situbondo</v>
          </cell>
          <cell r="Q6355" t="str">
            <v>Basuki Rahmad No. 262, RT.002/RW.014 Mimbaan, Panji</v>
          </cell>
          <cell r="R6355" t="str">
            <v>Situbondo</v>
          </cell>
          <cell r="S6355" t="str">
            <v>N Bdw Stb</v>
          </cell>
          <cell r="T6355" t="str">
            <v>Wira</v>
          </cell>
          <cell r="U6355">
            <v>30</v>
          </cell>
        </row>
        <row r="6356">
          <cell r="E6356" t="str">
            <v>D25012934</v>
          </cell>
          <cell r="F6356"/>
          <cell r="G6356">
            <v>9100000000</v>
          </cell>
          <cell r="H6356" t="str">
            <v>Faris</v>
          </cell>
          <cell r="I6356" t="str">
            <v>Syahra</v>
          </cell>
          <cell r="J6356"/>
          <cell r="K6356" t="str">
            <v>BG, KU</v>
          </cell>
          <cell r="L6356" t="str">
            <v>PRIM03</v>
          </cell>
          <cell r="M6356" t="str">
            <v>Prima Tani/Candra Sanjaya</v>
          </cell>
          <cell r="N6356" t="str">
            <v>Candra Sanjaya</v>
          </cell>
          <cell r="O6356" t="str">
            <v>Basuki Rahmad No. 262, RT.002/RW.014 Mimbaan, Panji</v>
          </cell>
          <cell r="P6356" t="str">
            <v>Situbondo</v>
          </cell>
          <cell r="Q6356" t="str">
            <v>Basuki Rahmad No. 262, RT.002/RW.014 Mimbaan, Panji</v>
          </cell>
          <cell r="R6356" t="str">
            <v>Situbondo</v>
          </cell>
          <cell r="S6356" t="str">
            <v>N Bdw Stb</v>
          </cell>
          <cell r="T6356" t="str">
            <v>Wira</v>
          </cell>
          <cell r="U6356">
            <v>30</v>
          </cell>
        </row>
        <row r="6357">
          <cell r="E6357" t="str">
            <v>D25012935</v>
          </cell>
          <cell r="F6357"/>
          <cell r="G6357">
            <v>9100000000</v>
          </cell>
          <cell r="H6357" t="str">
            <v>Faris</v>
          </cell>
          <cell r="I6357" t="str">
            <v>Syahra</v>
          </cell>
          <cell r="J6357"/>
          <cell r="K6357" t="str">
            <v>BG, KU</v>
          </cell>
          <cell r="L6357" t="str">
            <v>PRIM03</v>
          </cell>
          <cell r="M6357" t="str">
            <v>Prima Tani/Candra Sanjaya</v>
          </cell>
          <cell r="N6357" t="str">
            <v>Candra Sanjaya</v>
          </cell>
          <cell r="O6357" t="str">
            <v>Basuki Rahmad No. 262, RT.002/RW.014 Mimbaan, Panji</v>
          </cell>
          <cell r="P6357" t="str">
            <v>Situbondo</v>
          </cell>
          <cell r="Q6357" t="str">
            <v>Basuki Rahmad No. 262, RT.002/RW.014 Mimbaan, Panji</v>
          </cell>
          <cell r="R6357" t="str">
            <v>Situbondo</v>
          </cell>
          <cell r="S6357" t="str">
            <v>N Bdw Stb</v>
          </cell>
          <cell r="T6357" t="str">
            <v>Wira</v>
          </cell>
          <cell r="U6357">
            <v>30</v>
          </cell>
        </row>
        <row r="6358">
          <cell r="E6358" t="str">
            <v>D25012939</v>
          </cell>
          <cell r="F6358"/>
          <cell r="G6358">
            <v>9100000000</v>
          </cell>
          <cell r="H6358" t="str">
            <v>Faris</v>
          </cell>
          <cell r="I6358" t="str">
            <v>Syahra</v>
          </cell>
          <cell r="J6358"/>
          <cell r="K6358" t="str">
            <v>BG, KU</v>
          </cell>
          <cell r="L6358" t="str">
            <v>PRIM03</v>
          </cell>
          <cell r="M6358" t="str">
            <v>Prima Tani/Candra Sanjaya</v>
          </cell>
          <cell r="N6358" t="str">
            <v>Candra Sanjaya</v>
          </cell>
          <cell r="O6358" t="str">
            <v>Basuki Rahmad No. 262, RT.002/RW.014 Mimbaan, Panji</v>
          </cell>
          <cell r="P6358" t="str">
            <v>Situbondo</v>
          </cell>
          <cell r="Q6358" t="str">
            <v>Basuki Rahmad No. 262, RT.002/RW.014 Mimbaan, Panji</v>
          </cell>
          <cell r="R6358" t="str">
            <v>Situbondo</v>
          </cell>
          <cell r="S6358" t="str">
            <v>N Bdw Stb</v>
          </cell>
          <cell r="T6358" t="str">
            <v>Wira</v>
          </cell>
          <cell r="U6358">
            <v>30</v>
          </cell>
        </row>
        <row r="6359">
          <cell r="E6359" t="str">
            <v>D25012940</v>
          </cell>
          <cell r="F6359"/>
          <cell r="G6359">
            <v>9100000000</v>
          </cell>
          <cell r="H6359" t="str">
            <v>Faris</v>
          </cell>
          <cell r="I6359" t="str">
            <v>Syahra</v>
          </cell>
          <cell r="J6359"/>
          <cell r="K6359" t="str">
            <v>BG, KU</v>
          </cell>
          <cell r="L6359" t="str">
            <v>PRIM03</v>
          </cell>
          <cell r="M6359" t="str">
            <v>Prima Tani/Candra Sanjaya</v>
          </cell>
          <cell r="N6359" t="str">
            <v>Candra Sanjaya</v>
          </cell>
          <cell r="O6359" t="str">
            <v>Basuki Rahmad No. 262, RT.002/RW.014 Mimbaan, Panji</v>
          </cell>
          <cell r="P6359" t="str">
            <v>Situbondo</v>
          </cell>
          <cell r="Q6359" t="str">
            <v>Basuki Rahmad No. 262, RT.002/RW.014 Mimbaan, Panji</v>
          </cell>
          <cell r="R6359" t="str">
            <v>Situbondo</v>
          </cell>
          <cell r="S6359" t="str">
            <v>N Bdw Stb</v>
          </cell>
          <cell r="T6359" t="str">
            <v>Wira</v>
          </cell>
          <cell r="U6359">
            <v>30</v>
          </cell>
        </row>
        <row r="6360">
          <cell r="E6360" t="str">
            <v>D25013093</v>
          </cell>
          <cell r="F6360"/>
          <cell r="G6360">
            <v>9100000000</v>
          </cell>
          <cell r="H6360" t="str">
            <v>Faris</v>
          </cell>
          <cell r="I6360" t="str">
            <v>Syahra</v>
          </cell>
          <cell r="J6360"/>
          <cell r="K6360" t="str">
            <v>BG, KU</v>
          </cell>
          <cell r="L6360" t="str">
            <v>PRIM03</v>
          </cell>
          <cell r="M6360" t="str">
            <v>Prima Tani/Candra Sanjaya</v>
          </cell>
          <cell r="N6360" t="str">
            <v>Candra Sanjaya</v>
          </cell>
          <cell r="O6360" t="str">
            <v>Basuki Rahmad No. 262, RT.002/RW.014 Mimbaan, Panji</v>
          </cell>
          <cell r="P6360" t="str">
            <v>Situbondo</v>
          </cell>
          <cell r="Q6360" t="str">
            <v>Basuki Rahmad No. 262, RT.002/RW.014 Mimbaan, Panji</v>
          </cell>
          <cell r="R6360" t="str">
            <v>Situbondo</v>
          </cell>
          <cell r="S6360" t="str">
            <v>N Bdw Stb</v>
          </cell>
          <cell r="T6360" t="str">
            <v>Wira</v>
          </cell>
          <cell r="U6360">
            <v>30</v>
          </cell>
        </row>
        <row r="6361">
          <cell r="E6361" t="str">
            <v>D25013122</v>
          </cell>
          <cell r="F6361"/>
          <cell r="G6361">
            <v>9100000000</v>
          </cell>
          <cell r="H6361" t="str">
            <v>Faris</v>
          </cell>
          <cell r="I6361" t="str">
            <v>Syahra</v>
          </cell>
          <cell r="J6361"/>
          <cell r="K6361" t="str">
            <v>BG, KU</v>
          </cell>
          <cell r="L6361" t="str">
            <v>PRIM03</v>
          </cell>
          <cell r="M6361" t="str">
            <v>Prima Tani/Candra Sanjaya</v>
          </cell>
          <cell r="N6361" t="str">
            <v>Candra Sanjaya</v>
          </cell>
          <cell r="O6361" t="str">
            <v>Basuki Rahmad No. 262, RT.002/RW.014 Mimbaan, Panji</v>
          </cell>
          <cell r="P6361" t="str">
            <v>Situbondo</v>
          </cell>
          <cell r="Q6361" t="str">
            <v>Basuki Rahmad No. 262, RT.002/RW.014 Mimbaan, Panji</v>
          </cell>
          <cell r="R6361" t="str">
            <v>Situbondo</v>
          </cell>
          <cell r="S6361" t="str">
            <v>N Bdw Stb</v>
          </cell>
          <cell r="T6361" t="str">
            <v>Wira</v>
          </cell>
          <cell r="U6361">
            <v>30</v>
          </cell>
        </row>
        <row r="6362">
          <cell r="E6362" t="str">
            <v>D25013122</v>
          </cell>
          <cell r="F6362"/>
          <cell r="G6362">
            <v>9100000000</v>
          </cell>
          <cell r="H6362" t="str">
            <v>Faris</v>
          </cell>
          <cell r="I6362" t="str">
            <v>Syahra</v>
          </cell>
          <cell r="J6362"/>
          <cell r="K6362" t="str">
            <v>BG, KU</v>
          </cell>
          <cell r="L6362" t="str">
            <v>PRIM03</v>
          </cell>
          <cell r="M6362" t="str">
            <v>Prima Tani/Candra Sanjaya</v>
          </cell>
          <cell r="N6362" t="str">
            <v>Candra Sanjaya</v>
          </cell>
          <cell r="O6362" t="str">
            <v>Basuki Rahmad No. 262, RT.002/RW.014 Mimbaan, Panji</v>
          </cell>
          <cell r="P6362" t="str">
            <v>Situbondo</v>
          </cell>
          <cell r="Q6362" t="str">
            <v>Basuki Rahmad No. 262, RT.002/RW.014 Mimbaan, Panji</v>
          </cell>
          <cell r="R6362" t="str">
            <v>Situbondo</v>
          </cell>
          <cell r="S6362" t="str">
            <v>N Bdw Stb</v>
          </cell>
          <cell r="T6362" t="str">
            <v>Wira</v>
          </cell>
          <cell r="U6362">
            <v>30</v>
          </cell>
        </row>
        <row r="6363">
          <cell r="E6363" t="str">
            <v>D25013273</v>
          </cell>
          <cell r="F6363"/>
          <cell r="G6363">
            <v>9100000000</v>
          </cell>
          <cell r="H6363" t="str">
            <v>Faris</v>
          </cell>
          <cell r="I6363" t="str">
            <v>Syahra</v>
          </cell>
          <cell r="J6363"/>
          <cell r="K6363" t="str">
            <v>BG, KU</v>
          </cell>
          <cell r="L6363" t="str">
            <v>PRIM03</v>
          </cell>
          <cell r="M6363" t="str">
            <v>Prima Tani/Candra Sanjaya</v>
          </cell>
          <cell r="N6363" t="str">
            <v>Candra Sanjaya</v>
          </cell>
          <cell r="O6363" t="str">
            <v>Basuki Rahmad No. 262, RT.002/RW.014 Mimbaan, Panji</v>
          </cell>
          <cell r="P6363" t="str">
            <v>Situbondo</v>
          </cell>
          <cell r="Q6363" t="str">
            <v>Basuki Rahmad No. 262, RT.002/RW.014 Mimbaan, Panji</v>
          </cell>
          <cell r="R6363" t="str">
            <v>Situbondo</v>
          </cell>
          <cell r="S6363" t="str">
            <v>N Bdw Stb</v>
          </cell>
          <cell r="T6363" t="str">
            <v>Wira</v>
          </cell>
          <cell r="U6363">
            <v>30</v>
          </cell>
        </row>
        <row r="6364">
          <cell r="E6364" t="str">
            <v>D25013274</v>
          </cell>
          <cell r="F6364"/>
          <cell r="G6364">
            <v>9100000000</v>
          </cell>
          <cell r="H6364" t="str">
            <v>Faris</v>
          </cell>
          <cell r="I6364" t="str">
            <v>Syahra</v>
          </cell>
          <cell r="J6364"/>
          <cell r="K6364" t="str">
            <v>BG, KU</v>
          </cell>
          <cell r="L6364" t="str">
            <v>PRIM03</v>
          </cell>
          <cell r="M6364" t="str">
            <v>Prima Tani/Candra Sanjaya</v>
          </cell>
          <cell r="N6364" t="str">
            <v>Candra Sanjaya</v>
          </cell>
          <cell r="O6364" t="str">
            <v>Basuki Rahmad No. 262, RT.002/RW.014 Mimbaan, Panji</v>
          </cell>
          <cell r="P6364" t="str">
            <v>Situbondo</v>
          </cell>
          <cell r="Q6364" t="str">
            <v>Basuki Rahmad No. 262, RT.002/RW.014 Mimbaan, Panji</v>
          </cell>
          <cell r="R6364" t="str">
            <v>Situbondo</v>
          </cell>
          <cell r="S6364" t="str">
            <v>N Bdw Stb</v>
          </cell>
          <cell r="T6364" t="str">
            <v>Wira</v>
          </cell>
          <cell r="U6364">
            <v>30</v>
          </cell>
        </row>
        <row r="6365">
          <cell r="E6365" t="str">
            <v>D25013305</v>
          </cell>
          <cell r="F6365"/>
          <cell r="G6365">
            <v>9100000000</v>
          </cell>
          <cell r="H6365" t="str">
            <v>Faris</v>
          </cell>
          <cell r="I6365" t="str">
            <v>Syahra</v>
          </cell>
          <cell r="J6365"/>
          <cell r="K6365" t="str">
            <v>BG, KU</v>
          </cell>
          <cell r="L6365" t="str">
            <v>PRIM03</v>
          </cell>
          <cell r="M6365" t="str">
            <v>Prima Tani/Candra Sanjaya</v>
          </cell>
          <cell r="N6365" t="str">
            <v>Candra Sanjaya</v>
          </cell>
          <cell r="O6365" t="str">
            <v>Basuki Rahmad No. 262, RT.002/RW.014 Mimbaan, Panji</v>
          </cell>
          <cell r="P6365" t="str">
            <v>Situbondo</v>
          </cell>
          <cell r="Q6365" t="str">
            <v>Basuki Rahmad No. 262, RT.002/RW.014 Mimbaan, Panji</v>
          </cell>
          <cell r="R6365" t="str">
            <v>Situbondo</v>
          </cell>
          <cell r="S6365" t="str">
            <v>N Bdw Stb</v>
          </cell>
          <cell r="T6365" t="str">
            <v>Wira</v>
          </cell>
          <cell r="U6365">
            <v>30</v>
          </cell>
        </row>
        <row r="6366">
          <cell r="E6366" t="str">
            <v>B25011205</v>
          </cell>
          <cell r="F6366"/>
          <cell r="G6366">
            <v>9100000000</v>
          </cell>
          <cell r="H6366" t="str">
            <v>Faris</v>
          </cell>
          <cell r="I6366" t="str">
            <v>Syahra</v>
          </cell>
          <cell r="J6366"/>
          <cell r="K6366" t="str">
            <v>BG, KU</v>
          </cell>
          <cell r="L6366" t="str">
            <v>PRIM03</v>
          </cell>
          <cell r="M6366" t="str">
            <v>Prima Tani/Candra Sanjaya</v>
          </cell>
          <cell r="N6366" t="str">
            <v>Candra Sanjaya</v>
          </cell>
          <cell r="O6366" t="str">
            <v>Basuki Rahmad No. 262, RT.002/RW.014 Mimbaan, Panji</v>
          </cell>
          <cell r="P6366" t="str">
            <v>Situbondo</v>
          </cell>
          <cell r="Q6366" t="str">
            <v>Basuki Rahmad No. 262, RT.002/RW.014 Mimbaan, Panji</v>
          </cell>
          <cell r="R6366" t="str">
            <v>Situbondo</v>
          </cell>
          <cell r="S6366" t="str">
            <v>N Bdw Stb</v>
          </cell>
          <cell r="T6366" t="str">
            <v>Wira</v>
          </cell>
          <cell r="U6366">
            <v>30</v>
          </cell>
        </row>
        <row r="6367">
          <cell r="E6367" t="str">
            <v>B25011206</v>
          </cell>
          <cell r="F6367"/>
          <cell r="G6367">
            <v>9100000000</v>
          </cell>
          <cell r="H6367" t="str">
            <v>Faris</v>
          </cell>
          <cell r="I6367" t="str">
            <v>Syahra</v>
          </cell>
          <cell r="J6367"/>
          <cell r="K6367" t="str">
            <v>BG, KU</v>
          </cell>
          <cell r="L6367" t="str">
            <v>PRIM03</v>
          </cell>
          <cell r="M6367" t="str">
            <v>Prima Tani/Candra Sanjaya</v>
          </cell>
          <cell r="N6367" t="str">
            <v>Candra Sanjaya</v>
          </cell>
          <cell r="O6367" t="str">
            <v>Basuki Rahmad No. 262, RT.002/RW.014 Mimbaan, Panji</v>
          </cell>
          <cell r="P6367" t="str">
            <v>Situbondo</v>
          </cell>
          <cell r="Q6367" t="str">
            <v>Basuki Rahmad No. 262, RT.002/RW.014 Mimbaan, Panji</v>
          </cell>
          <cell r="R6367" t="str">
            <v>Situbondo</v>
          </cell>
          <cell r="S6367" t="str">
            <v>N Bdw Stb</v>
          </cell>
          <cell r="T6367" t="str">
            <v>Wira</v>
          </cell>
          <cell r="U6367">
            <v>30</v>
          </cell>
        </row>
        <row r="6368">
          <cell r="E6368" t="str">
            <v>B25011224</v>
          </cell>
          <cell r="F6368"/>
          <cell r="G6368">
            <v>9100000000</v>
          </cell>
          <cell r="H6368" t="str">
            <v>Faris</v>
          </cell>
          <cell r="I6368" t="str">
            <v>Syahra</v>
          </cell>
          <cell r="J6368"/>
          <cell r="K6368" t="str">
            <v>BG, KU</v>
          </cell>
          <cell r="L6368" t="str">
            <v>PRIM03</v>
          </cell>
          <cell r="M6368" t="str">
            <v>Prima Tani/Candra Sanjaya</v>
          </cell>
          <cell r="N6368" t="str">
            <v>Candra Sanjaya</v>
          </cell>
          <cell r="O6368" t="str">
            <v>Basuki Rahmad No. 262, RT.002/RW.014 Mimbaan, Panji</v>
          </cell>
          <cell r="P6368" t="str">
            <v>Situbondo</v>
          </cell>
          <cell r="Q6368" t="str">
            <v>Basuki Rahmad No. 262, RT.002/RW.014 Mimbaan, Panji</v>
          </cell>
          <cell r="R6368" t="str">
            <v>Situbondo</v>
          </cell>
          <cell r="S6368" t="str">
            <v>N Bdw Stb</v>
          </cell>
          <cell r="T6368" t="str">
            <v>Wira</v>
          </cell>
          <cell r="U6368">
            <v>30</v>
          </cell>
        </row>
        <row r="6369">
          <cell r="E6369" t="str">
            <v>B25011224</v>
          </cell>
          <cell r="F6369"/>
          <cell r="G6369">
            <v>9100000000</v>
          </cell>
          <cell r="H6369" t="str">
            <v>Faris</v>
          </cell>
          <cell r="I6369" t="str">
            <v>Syahra</v>
          </cell>
          <cell r="J6369"/>
          <cell r="K6369" t="str">
            <v>BG, KU</v>
          </cell>
          <cell r="L6369" t="str">
            <v>PRIM03</v>
          </cell>
          <cell r="M6369" t="str">
            <v>Prima Tani/Candra Sanjaya</v>
          </cell>
          <cell r="N6369" t="str">
            <v>Candra Sanjaya</v>
          </cell>
          <cell r="O6369" t="str">
            <v>Basuki Rahmad No. 262, RT.002/RW.014 Mimbaan, Panji</v>
          </cell>
          <cell r="P6369" t="str">
            <v>Situbondo</v>
          </cell>
          <cell r="Q6369" t="str">
            <v>Basuki Rahmad No. 262, RT.002/RW.014 Mimbaan, Panji</v>
          </cell>
          <cell r="R6369" t="str">
            <v>Situbondo</v>
          </cell>
          <cell r="S6369" t="str">
            <v>N Bdw Stb</v>
          </cell>
          <cell r="T6369" t="str">
            <v>Wira</v>
          </cell>
          <cell r="U6369">
            <v>30</v>
          </cell>
        </row>
        <row r="6370">
          <cell r="E6370" t="str">
            <v>D25013481</v>
          </cell>
          <cell r="F6370"/>
          <cell r="G6370">
            <v>9100000000</v>
          </cell>
          <cell r="H6370" t="str">
            <v>Faris</v>
          </cell>
          <cell r="I6370" t="str">
            <v>Syahra</v>
          </cell>
          <cell r="J6370"/>
          <cell r="K6370" t="str">
            <v>BG, KU</v>
          </cell>
          <cell r="L6370" t="str">
            <v>PRIM03</v>
          </cell>
          <cell r="M6370" t="str">
            <v>Prima Tani/Candra Sanjaya</v>
          </cell>
          <cell r="N6370" t="str">
            <v>Candra Sanjaya</v>
          </cell>
          <cell r="O6370" t="str">
            <v>Basuki Rahmad No. 262, RT.002/RW.014 Mimbaan, Panji</v>
          </cell>
          <cell r="P6370" t="str">
            <v>Situbondo</v>
          </cell>
          <cell r="Q6370" t="str">
            <v>Basuki Rahmad No. 262, RT.002/RW.014 Mimbaan, Panji</v>
          </cell>
          <cell r="R6370" t="str">
            <v>Situbondo</v>
          </cell>
          <cell r="S6370" t="str">
            <v>N Bdw Stb</v>
          </cell>
          <cell r="T6370" t="str">
            <v>Wira</v>
          </cell>
          <cell r="U6370">
            <v>30</v>
          </cell>
        </row>
        <row r="6371">
          <cell r="E6371" t="str">
            <v>B25011371</v>
          </cell>
          <cell r="F6371"/>
          <cell r="G6371">
            <v>9100000000</v>
          </cell>
          <cell r="H6371" t="str">
            <v>Faris</v>
          </cell>
          <cell r="I6371" t="str">
            <v>Syahra</v>
          </cell>
          <cell r="J6371"/>
          <cell r="K6371" t="str">
            <v>BG, KU</v>
          </cell>
          <cell r="L6371" t="str">
            <v>PRIM03</v>
          </cell>
          <cell r="M6371" t="str">
            <v>Prima Tani/Candra Sanjaya</v>
          </cell>
          <cell r="N6371" t="str">
            <v>Candra Sanjaya</v>
          </cell>
          <cell r="O6371" t="str">
            <v>Basuki Rahmad No. 262, RT.002/RW.014 Mimbaan, Panji</v>
          </cell>
          <cell r="P6371" t="str">
            <v>Situbondo</v>
          </cell>
          <cell r="Q6371" t="str">
            <v>Basuki Rahmad No. 262, RT.002/RW.014 Mimbaan, Panji</v>
          </cell>
          <cell r="R6371" t="str">
            <v>Situbondo</v>
          </cell>
          <cell r="S6371" t="str">
            <v>N Bdw Stb</v>
          </cell>
          <cell r="T6371" t="str">
            <v>Wira</v>
          </cell>
          <cell r="U6371">
            <v>30</v>
          </cell>
        </row>
        <row r="6372">
          <cell r="E6372" t="str">
            <v>B25011372</v>
          </cell>
          <cell r="F6372"/>
          <cell r="G6372">
            <v>9100000000</v>
          </cell>
          <cell r="H6372" t="str">
            <v>Faris</v>
          </cell>
          <cell r="I6372" t="str">
            <v>Syahra</v>
          </cell>
          <cell r="J6372"/>
          <cell r="K6372" t="str">
            <v>BG, KU</v>
          </cell>
          <cell r="L6372" t="str">
            <v>PRIM03</v>
          </cell>
          <cell r="M6372" t="str">
            <v>Prima Tani/Candra Sanjaya</v>
          </cell>
          <cell r="N6372" t="str">
            <v>Candra Sanjaya</v>
          </cell>
          <cell r="O6372" t="str">
            <v>Basuki Rahmad No. 262, RT.002/RW.014 Mimbaan, Panji</v>
          </cell>
          <cell r="P6372" t="str">
            <v>Situbondo</v>
          </cell>
          <cell r="Q6372" t="str">
            <v>Basuki Rahmad No. 262, RT.002/RW.014 Mimbaan, Panji</v>
          </cell>
          <cell r="R6372" t="str">
            <v>Situbondo</v>
          </cell>
          <cell r="S6372" t="str">
            <v>N Bdw Stb</v>
          </cell>
          <cell r="T6372" t="str">
            <v>Wira</v>
          </cell>
          <cell r="U6372">
            <v>30</v>
          </cell>
        </row>
        <row r="6373">
          <cell r="E6373" t="str">
            <v>B25011373</v>
          </cell>
          <cell r="F6373"/>
          <cell r="G6373">
            <v>9100000000</v>
          </cell>
          <cell r="H6373" t="str">
            <v>Faris</v>
          </cell>
          <cell r="I6373" t="str">
            <v>Syahra</v>
          </cell>
          <cell r="J6373"/>
          <cell r="K6373" t="str">
            <v>BG, KU</v>
          </cell>
          <cell r="L6373" t="str">
            <v>PRIM03</v>
          </cell>
          <cell r="M6373" t="str">
            <v>Prima Tani/Candra Sanjaya</v>
          </cell>
          <cell r="N6373" t="str">
            <v>Candra Sanjaya</v>
          </cell>
          <cell r="O6373" t="str">
            <v>Basuki Rahmad No. 262, RT.002/RW.014 Mimbaan, Panji</v>
          </cell>
          <cell r="P6373" t="str">
            <v>Situbondo</v>
          </cell>
          <cell r="Q6373" t="str">
            <v>Basuki Rahmad No. 262, RT.002/RW.014 Mimbaan, Panji</v>
          </cell>
          <cell r="R6373" t="str">
            <v>Situbondo</v>
          </cell>
          <cell r="S6373" t="str">
            <v>N Bdw Stb</v>
          </cell>
          <cell r="T6373" t="str">
            <v>Wira</v>
          </cell>
          <cell r="U6373">
            <v>30</v>
          </cell>
        </row>
        <row r="6374">
          <cell r="E6374" t="str">
            <v>D25013523</v>
          </cell>
          <cell r="F6374"/>
          <cell r="G6374">
            <v>9100000000</v>
          </cell>
          <cell r="H6374" t="str">
            <v>Faris</v>
          </cell>
          <cell r="I6374" t="str">
            <v>Syahra</v>
          </cell>
          <cell r="J6374"/>
          <cell r="K6374" t="str">
            <v>BG, KU</v>
          </cell>
          <cell r="L6374" t="str">
            <v>PRIM03</v>
          </cell>
          <cell r="M6374" t="str">
            <v>Prima Tani/Candra Sanjaya</v>
          </cell>
          <cell r="N6374" t="str">
            <v>Candra Sanjaya</v>
          </cell>
          <cell r="O6374" t="str">
            <v>Basuki Rahmad No. 262, RT.002/RW.014 Mimbaan, Panji</v>
          </cell>
          <cell r="P6374" t="str">
            <v>Situbondo</v>
          </cell>
          <cell r="Q6374" t="str">
            <v>Basuki Rahmad No. 262, RT.002/RW.014 Mimbaan, Panji</v>
          </cell>
          <cell r="R6374" t="str">
            <v>Situbondo</v>
          </cell>
          <cell r="S6374" t="str">
            <v>N Bdw Stb</v>
          </cell>
          <cell r="T6374" t="str">
            <v>Wira</v>
          </cell>
          <cell r="U6374">
            <v>30</v>
          </cell>
        </row>
        <row r="6375">
          <cell r="E6375" t="str">
            <v>D25013543</v>
          </cell>
          <cell r="F6375"/>
          <cell r="G6375">
            <v>9100000000</v>
          </cell>
          <cell r="H6375" t="str">
            <v>Faris</v>
          </cell>
          <cell r="I6375" t="str">
            <v>Syahra</v>
          </cell>
          <cell r="J6375"/>
          <cell r="K6375" t="str">
            <v>BG, KU</v>
          </cell>
          <cell r="L6375" t="str">
            <v>PRIM03</v>
          </cell>
          <cell r="M6375" t="str">
            <v>Prima Tani/Candra Sanjaya</v>
          </cell>
          <cell r="N6375" t="str">
            <v>Candra Sanjaya</v>
          </cell>
          <cell r="O6375" t="str">
            <v>Basuki Rahmad No. 262, RT.002/RW.014 Mimbaan, Panji</v>
          </cell>
          <cell r="P6375" t="str">
            <v>Situbondo</v>
          </cell>
          <cell r="Q6375" t="str">
            <v>Basuki Rahmad No. 262, RT.002/RW.014 Mimbaan, Panji</v>
          </cell>
          <cell r="R6375" t="str">
            <v>Situbondo</v>
          </cell>
          <cell r="S6375" t="str">
            <v>N Bdw Stb</v>
          </cell>
          <cell r="T6375" t="str">
            <v>Wira</v>
          </cell>
          <cell r="U6375">
            <v>30</v>
          </cell>
        </row>
        <row r="6376">
          <cell r="E6376" t="str">
            <v>D25013544</v>
          </cell>
          <cell r="F6376"/>
          <cell r="G6376">
            <v>9100000000</v>
          </cell>
          <cell r="H6376" t="str">
            <v>Faris</v>
          </cell>
          <cell r="I6376" t="str">
            <v>Syahra</v>
          </cell>
          <cell r="J6376"/>
          <cell r="K6376" t="str">
            <v>BG, KU</v>
          </cell>
          <cell r="L6376" t="str">
            <v>PRIM03</v>
          </cell>
          <cell r="M6376" t="str">
            <v>Prima Tani/Candra Sanjaya</v>
          </cell>
          <cell r="N6376" t="str">
            <v>Candra Sanjaya</v>
          </cell>
          <cell r="O6376" t="str">
            <v>Basuki Rahmad No. 262, RT.002/RW.014 Mimbaan, Panji</v>
          </cell>
          <cell r="P6376" t="str">
            <v>Situbondo</v>
          </cell>
          <cell r="Q6376" t="str">
            <v>Basuki Rahmad No. 262, RT.002/RW.014 Mimbaan, Panji</v>
          </cell>
          <cell r="R6376" t="str">
            <v>Situbondo</v>
          </cell>
          <cell r="S6376" t="str">
            <v>N Bdw Stb</v>
          </cell>
          <cell r="T6376" t="str">
            <v>Wira</v>
          </cell>
          <cell r="U6376">
            <v>30</v>
          </cell>
        </row>
        <row r="6377">
          <cell r="E6377" t="str">
            <v>D25013589</v>
          </cell>
          <cell r="F6377"/>
          <cell r="G6377">
            <v>9100000000</v>
          </cell>
          <cell r="H6377" t="str">
            <v>Faris</v>
          </cell>
          <cell r="I6377" t="str">
            <v>Syahra</v>
          </cell>
          <cell r="J6377"/>
          <cell r="K6377" t="str">
            <v>BG, KU</v>
          </cell>
          <cell r="L6377" t="str">
            <v>PRIM03</v>
          </cell>
          <cell r="M6377" t="str">
            <v>Prima Tani/Candra Sanjaya</v>
          </cell>
          <cell r="N6377" t="str">
            <v>Candra Sanjaya</v>
          </cell>
          <cell r="O6377" t="str">
            <v>Basuki Rahmad No. 262, RT.002/RW.014 Mimbaan, Panji</v>
          </cell>
          <cell r="P6377" t="str">
            <v>Situbondo</v>
          </cell>
          <cell r="Q6377" t="str">
            <v>Basuki Rahmad No. 262, RT.002/RW.014 Mimbaan, Panji</v>
          </cell>
          <cell r="R6377" t="str">
            <v>Situbondo</v>
          </cell>
          <cell r="S6377" t="str">
            <v>N Bdw Stb</v>
          </cell>
          <cell r="T6377" t="str">
            <v>Wira</v>
          </cell>
          <cell r="U6377">
            <v>30</v>
          </cell>
        </row>
        <row r="6378">
          <cell r="E6378" t="str">
            <v>D25013610</v>
          </cell>
          <cell r="F6378"/>
          <cell r="G6378">
            <v>9100000000</v>
          </cell>
          <cell r="H6378" t="str">
            <v>Faris</v>
          </cell>
          <cell r="I6378" t="str">
            <v>Syahra</v>
          </cell>
          <cell r="J6378"/>
          <cell r="K6378" t="str">
            <v>BG, KU</v>
          </cell>
          <cell r="L6378" t="str">
            <v>PRIM03</v>
          </cell>
          <cell r="M6378" t="str">
            <v>Prima Tani/Candra Sanjaya</v>
          </cell>
          <cell r="N6378" t="str">
            <v>Candra Sanjaya</v>
          </cell>
          <cell r="O6378" t="str">
            <v>Basuki Rahmad No. 262, RT.002/RW.014 Mimbaan, Panji</v>
          </cell>
          <cell r="P6378" t="str">
            <v>Situbondo</v>
          </cell>
          <cell r="Q6378" t="str">
            <v>Basuki Rahmad No. 262, RT.002/RW.014 Mimbaan, Panji</v>
          </cell>
          <cell r="R6378" t="str">
            <v>Situbondo</v>
          </cell>
          <cell r="S6378" t="str">
            <v>N Bdw Stb</v>
          </cell>
          <cell r="T6378" t="str">
            <v>Wira</v>
          </cell>
          <cell r="U6378">
            <v>30</v>
          </cell>
        </row>
        <row r="6379">
          <cell r="E6379" t="str">
            <v>D25013610</v>
          </cell>
          <cell r="F6379"/>
          <cell r="G6379">
            <v>9100000000</v>
          </cell>
          <cell r="H6379" t="str">
            <v>Faris</v>
          </cell>
          <cell r="I6379" t="str">
            <v>Syahra</v>
          </cell>
          <cell r="J6379"/>
          <cell r="K6379" t="str">
            <v>BG, KU</v>
          </cell>
          <cell r="L6379" t="str">
            <v>PRIM03</v>
          </cell>
          <cell r="M6379" t="str">
            <v>Prima Tani/Candra Sanjaya</v>
          </cell>
          <cell r="N6379" t="str">
            <v>Candra Sanjaya</v>
          </cell>
          <cell r="O6379" t="str">
            <v>Basuki Rahmad No. 262, RT.002/RW.014 Mimbaan, Panji</v>
          </cell>
          <cell r="P6379" t="str">
            <v>Situbondo</v>
          </cell>
          <cell r="Q6379" t="str">
            <v>Basuki Rahmad No. 262, RT.002/RW.014 Mimbaan, Panji</v>
          </cell>
          <cell r="R6379" t="str">
            <v>Situbondo</v>
          </cell>
          <cell r="S6379" t="str">
            <v>N Bdw Stb</v>
          </cell>
          <cell r="T6379" t="str">
            <v>Wira</v>
          </cell>
          <cell r="U6379">
            <v>30</v>
          </cell>
        </row>
        <row r="6380">
          <cell r="E6380" t="str">
            <v>B25011490</v>
          </cell>
          <cell r="F6380"/>
          <cell r="G6380">
            <v>9100000000</v>
          </cell>
          <cell r="H6380" t="str">
            <v>Faris</v>
          </cell>
          <cell r="I6380" t="str">
            <v>Syahra</v>
          </cell>
          <cell r="J6380"/>
          <cell r="K6380" t="str">
            <v>BG, KU</v>
          </cell>
          <cell r="L6380" t="str">
            <v>PRIM03</v>
          </cell>
          <cell r="M6380" t="str">
            <v>Prima Tani/Candra Sanjaya</v>
          </cell>
          <cell r="N6380" t="str">
            <v>Candra Sanjaya</v>
          </cell>
          <cell r="O6380" t="str">
            <v>Basuki Rahmad No. 262, RT.002/RW.014 Mimbaan, Panji</v>
          </cell>
          <cell r="P6380" t="str">
            <v>Situbondo</v>
          </cell>
          <cell r="Q6380" t="str">
            <v>Basuki Rahmad No. 262, RT.002/RW.014 Mimbaan, Panji</v>
          </cell>
          <cell r="R6380" t="str">
            <v>Situbondo</v>
          </cell>
          <cell r="S6380" t="str">
            <v>N Bdw Stb</v>
          </cell>
          <cell r="T6380" t="str">
            <v>Wira</v>
          </cell>
          <cell r="U6380">
            <v>30</v>
          </cell>
        </row>
        <row r="6381">
          <cell r="E6381" t="str">
            <v>B25011491</v>
          </cell>
          <cell r="F6381"/>
          <cell r="G6381">
            <v>9100000000</v>
          </cell>
          <cell r="H6381" t="str">
            <v>Faris</v>
          </cell>
          <cell r="I6381" t="str">
            <v>Syahra</v>
          </cell>
          <cell r="J6381"/>
          <cell r="K6381" t="str">
            <v>BG, KU</v>
          </cell>
          <cell r="L6381" t="str">
            <v>PRIM03</v>
          </cell>
          <cell r="M6381" t="str">
            <v>Prima Tani/Candra Sanjaya</v>
          </cell>
          <cell r="N6381" t="str">
            <v>Candra Sanjaya</v>
          </cell>
          <cell r="O6381" t="str">
            <v>Basuki Rahmad No. 262, RT.002/RW.014 Mimbaan, Panji</v>
          </cell>
          <cell r="P6381" t="str">
            <v>Situbondo</v>
          </cell>
          <cell r="Q6381" t="str">
            <v>Basuki Rahmad No. 262, RT.002/RW.014 Mimbaan, Panji</v>
          </cell>
          <cell r="R6381" t="str">
            <v>Situbondo</v>
          </cell>
          <cell r="S6381" t="str">
            <v>N Bdw Stb</v>
          </cell>
          <cell r="T6381" t="str">
            <v>Wira</v>
          </cell>
          <cell r="U6381">
            <v>30</v>
          </cell>
        </row>
        <row r="6382">
          <cell r="E6382" t="str">
            <v>B25011491</v>
          </cell>
          <cell r="F6382"/>
          <cell r="G6382">
            <v>9100000000</v>
          </cell>
          <cell r="H6382" t="str">
            <v>Faris</v>
          </cell>
          <cell r="I6382" t="str">
            <v>Syahra</v>
          </cell>
          <cell r="J6382"/>
          <cell r="K6382" t="str">
            <v>BG, KU</v>
          </cell>
          <cell r="L6382" t="str">
            <v>PRIM03</v>
          </cell>
          <cell r="M6382" t="str">
            <v>Prima Tani/Candra Sanjaya</v>
          </cell>
          <cell r="N6382" t="str">
            <v>Candra Sanjaya</v>
          </cell>
          <cell r="O6382" t="str">
            <v>Basuki Rahmad No. 262, RT.002/RW.014 Mimbaan, Panji</v>
          </cell>
          <cell r="P6382" t="str">
            <v>Situbondo</v>
          </cell>
          <cell r="Q6382" t="str">
            <v>Basuki Rahmad No. 262, RT.002/RW.014 Mimbaan, Panji</v>
          </cell>
          <cell r="R6382" t="str">
            <v>Situbondo</v>
          </cell>
          <cell r="S6382" t="str">
            <v>N Bdw Stb</v>
          </cell>
          <cell r="T6382" t="str">
            <v>Wira</v>
          </cell>
          <cell r="U6382">
            <v>30</v>
          </cell>
        </row>
        <row r="6383">
          <cell r="E6383" t="str">
            <v>B25011498</v>
          </cell>
          <cell r="F6383"/>
          <cell r="G6383">
            <v>9100000000</v>
          </cell>
          <cell r="H6383" t="str">
            <v>Faris</v>
          </cell>
          <cell r="I6383" t="str">
            <v>Syahra</v>
          </cell>
          <cell r="J6383"/>
          <cell r="K6383" t="str">
            <v>BG, KU</v>
          </cell>
          <cell r="L6383" t="str">
            <v>PRIM03</v>
          </cell>
          <cell r="M6383" t="str">
            <v>Prima Tani/Candra Sanjaya</v>
          </cell>
          <cell r="N6383" t="str">
            <v>Candra Sanjaya</v>
          </cell>
          <cell r="O6383" t="str">
            <v>Basuki Rahmad No. 262, RT.002/RW.014 Mimbaan, Panji</v>
          </cell>
          <cell r="P6383" t="str">
            <v>Situbondo</v>
          </cell>
          <cell r="Q6383" t="str">
            <v>Basuki Rahmad No. 262, RT.002/RW.014 Mimbaan, Panji</v>
          </cell>
          <cell r="R6383" t="str">
            <v>Situbondo</v>
          </cell>
          <cell r="S6383" t="str">
            <v>N Bdw Stb</v>
          </cell>
          <cell r="T6383" t="str">
            <v>Wira</v>
          </cell>
          <cell r="U6383">
            <v>30</v>
          </cell>
        </row>
        <row r="6384">
          <cell r="E6384" t="str">
            <v>D25013668</v>
          </cell>
          <cell r="F6384"/>
          <cell r="G6384">
            <v>9100000000</v>
          </cell>
          <cell r="H6384" t="str">
            <v>Faris</v>
          </cell>
          <cell r="I6384" t="str">
            <v>Syahra</v>
          </cell>
          <cell r="J6384"/>
          <cell r="K6384" t="str">
            <v>BG, KU</v>
          </cell>
          <cell r="L6384" t="str">
            <v>PRIM03</v>
          </cell>
          <cell r="M6384" t="str">
            <v>Prima Tani/Candra Sanjaya</v>
          </cell>
          <cell r="N6384" t="str">
            <v>Candra Sanjaya</v>
          </cell>
          <cell r="O6384" t="str">
            <v>Basuki Rahmad No. 262, RT.002/RW.014 Mimbaan, Panji</v>
          </cell>
          <cell r="P6384" t="str">
            <v>Situbondo</v>
          </cell>
          <cell r="Q6384" t="str">
            <v>Basuki Rahmad No. 262, RT.002/RW.014 Mimbaan, Panji</v>
          </cell>
          <cell r="R6384" t="str">
            <v>Situbondo</v>
          </cell>
          <cell r="S6384" t="str">
            <v>N Bdw Stb</v>
          </cell>
          <cell r="T6384" t="str">
            <v>Wira</v>
          </cell>
          <cell r="U6384">
            <v>30</v>
          </cell>
        </row>
        <row r="6385">
          <cell r="E6385" t="str">
            <v>D25013774</v>
          </cell>
          <cell r="F6385"/>
          <cell r="G6385">
            <v>9100000000</v>
          </cell>
          <cell r="H6385" t="str">
            <v>Faris</v>
          </cell>
          <cell r="I6385" t="str">
            <v>Syahra</v>
          </cell>
          <cell r="J6385"/>
          <cell r="K6385" t="str">
            <v>BG, KU</v>
          </cell>
          <cell r="L6385" t="str">
            <v>PRIM03</v>
          </cell>
          <cell r="M6385" t="str">
            <v>Prima Tani/Candra Sanjaya</v>
          </cell>
          <cell r="N6385" t="str">
            <v>Candra Sanjaya</v>
          </cell>
          <cell r="O6385" t="str">
            <v>Basuki Rahmad No. 262, RT.002/RW.014 Mimbaan, Panji</v>
          </cell>
          <cell r="P6385" t="str">
            <v>Situbondo</v>
          </cell>
          <cell r="Q6385" t="str">
            <v>Basuki Rahmad No. 262, RT.002/RW.014 Mimbaan, Panji</v>
          </cell>
          <cell r="R6385" t="str">
            <v>Situbondo</v>
          </cell>
          <cell r="S6385" t="str">
            <v>N Bdw Stb</v>
          </cell>
          <cell r="T6385" t="str">
            <v>Wira</v>
          </cell>
          <cell r="U6385">
            <v>30</v>
          </cell>
        </row>
        <row r="6386">
          <cell r="E6386" t="str">
            <v>B25011617</v>
          </cell>
          <cell r="F6386"/>
          <cell r="G6386">
            <v>9100000000</v>
          </cell>
          <cell r="H6386" t="str">
            <v>Faris</v>
          </cell>
          <cell r="I6386" t="str">
            <v>Syahra</v>
          </cell>
          <cell r="J6386"/>
          <cell r="K6386" t="str">
            <v>BG, KU</v>
          </cell>
          <cell r="L6386" t="str">
            <v>PRIM03</v>
          </cell>
          <cell r="M6386" t="str">
            <v>Prima Tani/Candra Sanjaya</v>
          </cell>
          <cell r="N6386" t="str">
            <v>Candra Sanjaya</v>
          </cell>
          <cell r="O6386" t="str">
            <v>Basuki Rahmad No. 262, RT.002/RW.014 Mimbaan, Panji</v>
          </cell>
          <cell r="P6386" t="str">
            <v>Situbondo</v>
          </cell>
          <cell r="Q6386" t="str">
            <v>Basuki Rahmad No. 262, RT.002/RW.014 Mimbaan, Panji</v>
          </cell>
          <cell r="R6386" t="str">
            <v>Situbondo</v>
          </cell>
          <cell r="S6386" t="str">
            <v>N Bdw Stb</v>
          </cell>
          <cell r="T6386" t="str">
            <v>Wira</v>
          </cell>
          <cell r="U6386">
            <v>30</v>
          </cell>
        </row>
        <row r="6387">
          <cell r="E6387" t="str">
            <v>D25013839</v>
          </cell>
          <cell r="F6387"/>
          <cell r="G6387">
            <v>9100000000</v>
          </cell>
          <cell r="H6387" t="str">
            <v>Faris</v>
          </cell>
          <cell r="I6387" t="str">
            <v>Syahra</v>
          </cell>
          <cell r="J6387"/>
          <cell r="K6387" t="str">
            <v>BG, KU</v>
          </cell>
          <cell r="L6387" t="str">
            <v>PRIM03</v>
          </cell>
          <cell r="M6387" t="str">
            <v>Prima Tani/Candra Sanjaya</v>
          </cell>
          <cell r="N6387" t="str">
            <v>Candra Sanjaya</v>
          </cell>
          <cell r="O6387" t="str">
            <v>Basuki Rahmad No. 262, RT.002/RW.014 Mimbaan, Panji</v>
          </cell>
          <cell r="P6387" t="str">
            <v>Situbondo</v>
          </cell>
          <cell r="Q6387" t="str">
            <v>Basuki Rahmad No. 262, RT.002/RW.014 Mimbaan, Panji</v>
          </cell>
          <cell r="R6387" t="str">
            <v>Situbondo</v>
          </cell>
          <cell r="S6387" t="str">
            <v>N Bdw Stb</v>
          </cell>
          <cell r="T6387" t="str">
            <v>Wira</v>
          </cell>
          <cell r="U6387">
            <v>30</v>
          </cell>
        </row>
        <row r="6388">
          <cell r="E6388" t="str">
            <v>B25011620</v>
          </cell>
          <cell r="F6388"/>
          <cell r="G6388">
            <v>9100000000</v>
          </cell>
          <cell r="H6388" t="str">
            <v>Faris</v>
          </cell>
          <cell r="I6388" t="str">
            <v>Syahra</v>
          </cell>
          <cell r="J6388"/>
          <cell r="K6388" t="str">
            <v>BG, KU</v>
          </cell>
          <cell r="L6388" t="str">
            <v>PRIM03</v>
          </cell>
          <cell r="M6388" t="str">
            <v>Prima Tani/Candra Sanjaya</v>
          </cell>
          <cell r="N6388" t="str">
            <v>Candra Sanjaya</v>
          </cell>
          <cell r="O6388" t="str">
            <v>Basuki Rahmad No. 262, RT.002/RW.014 Mimbaan, Panji</v>
          </cell>
          <cell r="P6388" t="str">
            <v>Situbondo</v>
          </cell>
          <cell r="Q6388" t="str">
            <v>Basuki Rahmad No. 262, RT.002/RW.014 Mimbaan, Panji</v>
          </cell>
          <cell r="R6388" t="str">
            <v>Situbondo</v>
          </cell>
          <cell r="S6388" t="str">
            <v>N Bdw Stb</v>
          </cell>
          <cell r="T6388" t="str">
            <v>Wira</v>
          </cell>
          <cell r="U6388">
            <v>30</v>
          </cell>
        </row>
        <row r="6389">
          <cell r="E6389" t="str">
            <v>B25011620</v>
          </cell>
          <cell r="F6389"/>
          <cell r="G6389">
            <v>9100000000</v>
          </cell>
          <cell r="H6389" t="str">
            <v>Faris</v>
          </cell>
          <cell r="I6389" t="str">
            <v>Syahra</v>
          </cell>
          <cell r="J6389"/>
          <cell r="K6389" t="str">
            <v>BG, KU</v>
          </cell>
          <cell r="L6389" t="str">
            <v>PRIM03</v>
          </cell>
          <cell r="M6389" t="str">
            <v>Prima Tani/Candra Sanjaya</v>
          </cell>
          <cell r="N6389" t="str">
            <v>Candra Sanjaya</v>
          </cell>
          <cell r="O6389" t="str">
            <v>Basuki Rahmad No. 262, RT.002/RW.014 Mimbaan, Panji</v>
          </cell>
          <cell r="P6389" t="str">
            <v>Situbondo</v>
          </cell>
          <cell r="Q6389" t="str">
            <v>Basuki Rahmad No. 262, RT.002/RW.014 Mimbaan, Panji</v>
          </cell>
          <cell r="R6389" t="str">
            <v>Situbondo</v>
          </cell>
          <cell r="S6389" t="str">
            <v>N Bdw Stb</v>
          </cell>
          <cell r="T6389" t="str">
            <v>Wira</v>
          </cell>
          <cell r="U6389">
            <v>30</v>
          </cell>
        </row>
        <row r="6390">
          <cell r="E6390" t="str">
            <v>D25013854</v>
          </cell>
          <cell r="F6390"/>
          <cell r="G6390">
            <v>9100000000</v>
          </cell>
          <cell r="H6390" t="str">
            <v>Faris</v>
          </cell>
          <cell r="I6390" t="str">
            <v>Syahra</v>
          </cell>
          <cell r="J6390"/>
          <cell r="K6390" t="str">
            <v>BG, KU</v>
          </cell>
          <cell r="L6390" t="str">
            <v>PRIM03</v>
          </cell>
          <cell r="M6390" t="str">
            <v>Prima Tani/Candra Sanjaya</v>
          </cell>
          <cell r="N6390" t="str">
            <v>Candra Sanjaya</v>
          </cell>
          <cell r="O6390" t="str">
            <v>Basuki Rahmad No. 262, RT.002/RW.014 Mimbaan, Panji</v>
          </cell>
          <cell r="P6390" t="str">
            <v>Situbondo</v>
          </cell>
          <cell r="Q6390" t="str">
            <v>Basuki Rahmad No. 262, RT.002/RW.014 Mimbaan, Panji</v>
          </cell>
          <cell r="R6390" t="str">
            <v>Situbondo</v>
          </cell>
          <cell r="S6390" t="str">
            <v>N Bdw Stb</v>
          </cell>
          <cell r="T6390" t="str">
            <v>Wira</v>
          </cell>
          <cell r="U6390">
            <v>30</v>
          </cell>
        </row>
        <row r="6391">
          <cell r="E6391" t="str">
            <v>D25013984</v>
          </cell>
          <cell r="F6391"/>
          <cell r="G6391">
            <v>9100000000</v>
          </cell>
          <cell r="H6391" t="str">
            <v>Faris</v>
          </cell>
          <cell r="I6391" t="str">
            <v>Syahra</v>
          </cell>
          <cell r="J6391"/>
          <cell r="K6391" t="str">
            <v>BG, KU</v>
          </cell>
          <cell r="L6391" t="str">
            <v>PRIM03</v>
          </cell>
          <cell r="M6391" t="str">
            <v>Prima Tani/Candra Sanjaya</v>
          </cell>
          <cell r="N6391" t="str">
            <v>Candra Sanjaya</v>
          </cell>
          <cell r="O6391" t="str">
            <v>Basuki Rahmad No. 262, RT.002/RW.014 Mimbaan, Panji</v>
          </cell>
          <cell r="P6391" t="str">
            <v>Situbondo</v>
          </cell>
          <cell r="Q6391" t="str">
            <v>Basuki Rahmad No. 262, RT.002/RW.014 Mimbaan, Panji</v>
          </cell>
          <cell r="R6391" t="str">
            <v>Situbondo</v>
          </cell>
          <cell r="S6391" t="str">
            <v>N Bdw Stb</v>
          </cell>
          <cell r="T6391" t="str">
            <v>Wira</v>
          </cell>
          <cell r="U6391">
            <v>30</v>
          </cell>
        </row>
        <row r="6392">
          <cell r="E6392" t="str">
            <v>D25013986</v>
          </cell>
          <cell r="F6392"/>
          <cell r="G6392">
            <v>9100000000</v>
          </cell>
          <cell r="H6392" t="str">
            <v>Faris</v>
          </cell>
          <cell r="I6392" t="str">
            <v>Syahra</v>
          </cell>
          <cell r="J6392"/>
          <cell r="K6392" t="str">
            <v>BG, KU</v>
          </cell>
          <cell r="L6392" t="str">
            <v>PRIM03</v>
          </cell>
          <cell r="M6392" t="str">
            <v>Prima Tani/Candra Sanjaya</v>
          </cell>
          <cell r="N6392" t="str">
            <v>Candra Sanjaya</v>
          </cell>
          <cell r="O6392" t="str">
            <v>Basuki Rahmad No. 262, RT.002/RW.014 Mimbaan, Panji</v>
          </cell>
          <cell r="P6392" t="str">
            <v>Situbondo</v>
          </cell>
          <cell r="Q6392" t="str">
            <v>Basuki Rahmad No. 262, RT.002/RW.014 Mimbaan, Panji</v>
          </cell>
          <cell r="R6392" t="str">
            <v>Situbondo</v>
          </cell>
          <cell r="S6392" t="str">
            <v>N Bdw Stb</v>
          </cell>
          <cell r="T6392" t="str">
            <v>Wira</v>
          </cell>
          <cell r="U6392">
            <v>30</v>
          </cell>
        </row>
        <row r="6393">
          <cell r="E6393" t="str">
            <v>D25013992</v>
          </cell>
          <cell r="F6393"/>
          <cell r="G6393">
            <v>9100000000</v>
          </cell>
          <cell r="H6393" t="str">
            <v>Faris</v>
          </cell>
          <cell r="I6393" t="str">
            <v>Syahra</v>
          </cell>
          <cell r="J6393"/>
          <cell r="K6393" t="str">
            <v>BG, KU</v>
          </cell>
          <cell r="L6393" t="str">
            <v>PRIM03</v>
          </cell>
          <cell r="M6393" t="str">
            <v>Prima Tani/Candra Sanjaya</v>
          </cell>
          <cell r="N6393" t="str">
            <v>Candra Sanjaya</v>
          </cell>
          <cell r="O6393" t="str">
            <v>Basuki Rahmad No. 262, RT.002/RW.014 Mimbaan, Panji</v>
          </cell>
          <cell r="P6393" t="str">
            <v>Situbondo</v>
          </cell>
          <cell r="Q6393" t="str">
            <v>Basuki Rahmad No. 262, RT.002/RW.014 Mimbaan, Panji</v>
          </cell>
          <cell r="R6393" t="str">
            <v>Situbondo</v>
          </cell>
          <cell r="S6393" t="str">
            <v>N Bdw Stb</v>
          </cell>
          <cell r="T6393" t="str">
            <v>Wira</v>
          </cell>
          <cell r="U6393">
            <v>30</v>
          </cell>
        </row>
        <row r="6394">
          <cell r="E6394" t="str">
            <v>D25014106</v>
          </cell>
          <cell r="F6394"/>
          <cell r="G6394">
            <v>9100000000</v>
          </cell>
          <cell r="H6394" t="str">
            <v>Faris</v>
          </cell>
          <cell r="I6394" t="str">
            <v>Syahra</v>
          </cell>
          <cell r="J6394"/>
          <cell r="K6394" t="str">
            <v>BG, KU</v>
          </cell>
          <cell r="L6394" t="str">
            <v>PRIM03</v>
          </cell>
          <cell r="M6394" t="str">
            <v>Prima Tani/Candra Sanjaya</v>
          </cell>
          <cell r="N6394" t="str">
            <v>Candra Sanjaya</v>
          </cell>
          <cell r="O6394" t="str">
            <v>Basuki Rahmad No. 262, RT.002/RW.014 Mimbaan, Panji</v>
          </cell>
          <cell r="P6394" t="str">
            <v>Situbondo</v>
          </cell>
          <cell r="Q6394" t="str">
            <v>Basuki Rahmad No. 262, RT.002/RW.014 Mimbaan, Panji</v>
          </cell>
          <cell r="R6394" t="str">
            <v>Situbondo</v>
          </cell>
          <cell r="S6394" t="str">
            <v>N Bdw Stb</v>
          </cell>
          <cell r="T6394" t="str">
            <v>Wira</v>
          </cell>
          <cell r="U6394">
            <v>30</v>
          </cell>
        </row>
        <row r="6395">
          <cell r="E6395" t="str">
            <v>D25014106</v>
          </cell>
          <cell r="F6395"/>
          <cell r="G6395">
            <v>9100000000</v>
          </cell>
          <cell r="H6395" t="str">
            <v>Faris</v>
          </cell>
          <cell r="I6395" t="str">
            <v>Syahra</v>
          </cell>
          <cell r="J6395"/>
          <cell r="K6395" t="str">
            <v>BG, KU</v>
          </cell>
          <cell r="L6395" t="str">
            <v>PRIM03</v>
          </cell>
          <cell r="M6395" t="str">
            <v>Prima Tani/Candra Sanjaya</v>
          </cell>
          <cell r="N6395" t="str">
            <v>Candra Sanjaya</v>
          </cell>
          <cell r="O6395" t="str">
            <v>Basuki Rahmad No. 262, RT.002/RW.014 Mimbaan, Panji</v>
          </cell>
          <cell r="P6395" t="str">
            <v>Situbondo</v>
          </cell>
          <cell r="Q6395" t="str">
            <v>Basuki Rahmad No. 262, RT.002/RW.014 Mimbaan, Panji</v>
          </cell>
          <cell r="R6395" t="str">
            <v>Situbondo</v>
          </cell>
          <cell r="S6395" t="str">
            <v>N Bdw Stb</v>
          </cell>
          <cell r="T6395" t="str">
            <v>Wira</v>
          </cell>
          <cell r="U6395">
            <v>30</v>
          </cell>
        </row>
        <row r="6396">
          <cell r="E6396" t="str">
            <v>D25014106</v>
          </cell>
          <cell r="F6396"/>
          <cell r="G6396">
            <v>9100000000</v>
          </cell>
          <cell r="H6396" t="str">
            <v>Faris</v>
          </cell>
          <cell r="I6396" t="str">
            <v>Syahra</v>
          </cell>
          <cell r="J6396"/>
          <cell r="K6396" t="str">
            <v>BG, KU</v>
          </cell>
          <cell r="L6396" t="str">
            <v>PRIM03</v>
          </cell>
          <cell r="M6396" t="str">
            <v>Prima Tani/Candra Sanjaya</v>
          </cell>
          <cell r="N6396" t="str">
            <v>Candra Sanjaya</v>
          </cell>
          <cell r="O6396" t="str">
            <v>Basuki Rahmad No. 262, RT.002/RW.014 Mimbaan, Panji</v>
          </cell>
          <cell r="P6396" t="str">
            <v>Situbondo</v>
          </cell>
          <cell r="Q6396" t="str">
            <v>Basuki Rahmad No. 262, RT.002/RW.014 Mimbaan, Panji</v>
          </cell>
          <cell r="R6396" t="str">
            <v>Situbondo</v>
          </cell>
          <cell r="S6396" t="str">
            <v>N Bdw Stb</v>
          </cell>
          <cell r="T6396" t="str">
            <v>Wira</v>
          </cell>
          <cell r="U6396">
            <v>30</v>
          </cell>
        </row>
        <row r="6397">
          <cell r="E6397" t="str">
            <v>D25014127</v>
          </cell>
          <cell r="F6397"/>
          <cell r="G6397">
            <v>9100000000</v>
          </cell>
          <cell r="H6397" t="str">
            <v>Faris</v>
          </cell>
          <cell r="I6397" t="str">
            <v>Syahra</v>
          </cell>
          <cell r="J6397"/>
          <cell r="K6397" t="str">
            <v>BG, KU</v>
          </cell>
          <cell r="L6397" t="str">
            <v>PRIM03</v>
          </cell>
          <cell r="M6397" t="str">
            <v>Prima Tani/Candra Sanjaya</v>
          </cell>
          <cell r="N6397" t="str">
            <v>Candra Sanjaya</v>
          </cell>
          <cell r="O6397" t="str">
            <v>Basuki Rahmad No. 262, RT.002/RW.014 Mimbaan, Panji</v>
          </cell>
          <cell r="P6397" t="str">
            <v>Situbondo</v>
          </cell>
          <cell r="Q6397" t="str">
            <v>Basuki Rahmad No. 262, RT.002/RW.014 Mimbaan, Panji</v>
          </cell>
          <cell r="R6397" t="str">
            <v>Situbondo</v>
          </cell>
          <cell r="S6397" t="str">
            <v>N Bdw Stb</v>
          </cell>
          <cell r="T6397" t="str">
            <v>Wira</v>
          </cell>
          <cell r="U6397">
            <v>30</v>
          </cell>
        </row>
        <row r="6398">
          <cell r="E6398" t="str">
            <v>D25014230</v>
          </cell>
          <cell r="F6398"/>
          <cell r="G6398">
            <v>9100000000</v>
          </cell>
          <cell r="H6398" t="str">
            <v>Faris</v>
          </cell>
          <cell r="I6398" t="str">
            <v>Syahra</v>
          </cell>
          <cell r="J6398"/>
          <cell r="K6398" t="str">
            <v>BG, KU</v>
          </cell>
          <cell r="L6398" t="str">
            <v>PRIM03</v>
          </cell>
          <cell r="M6398" t="str">
            <v>Prima Tani/Candra Sanjaya</v>
          </cell>
          <cell r="N6398" t="str">
            <v>Candra Sanjaya</v>
          </cell>
          <cell r="O6398" t="str">
            <v>Basuki Rahmad No. 262, RT.002/RW.014 Mimbaan, Panji</v>
          </cell>
          <cell r="P6398" t="str">
            <v>Situbondo</v>
          </cell>
          <cell r="Q6398" t="str">
            <v>Basuki Rahmad No. 262, RT.002/RW.014 Mimbaan, Panji</v>
          </cell>
          <cell r="R6398" t="str">
            <v>Situbondo</v>
          </cell>
          <cell r="S6398" t="str">
            <v>N Bdw Stb</v>
          </cell>
          <cell r="T6398" t="str">
            <v>Wira</v>
          </cell>
          <cell r="U6398">
            <v>30</v>
          </cell>
        </row>
        <row r="6399">
          <cell r="E6399" t="str">
            <v>D25014247</v>
          </cell>
          <cell r="F6399"/>
          <cell r="G6399">
            <v>9100000000</v>
          </cell>
          <cell r="H6399" t="str">
            <v>Faris</v>
          </cell>
          <cell r="I6399" t="str">
            <v>Syahra</v>
          </cell>
          <cell r="J6399"/>
          <cell r="K6399" t="str">
            <v>BG, KU</v>
          </cell>
          <cell r="L6399" t="str">
            <v>PRIM03</v>
          </cell>
          <cell r="M6399" t="str">
            <v>Prima Tani/Candra Sanjaya</v>
          </cell>
          <cell r="N6399" t="str">
            <v>Candra Sanjaya</v>
          </cell>
          <cell r="O6399" t="str">
            <v>Basuki Rahmad No. 262, RT.002/RW.014 Mimbaan, Panji</v>
          </cell>
          <cell r="P6399" t="str">
            <v>Situbondo</v>
          </cell>
          <cell r="Q6399" t="str">
            <v>Basuki Rahmad No. 262, RT.002/RW.014 Mimbaan, Panji</v>
          </cell>
          <cell r="R6399" t="str">
            <v>Situbondo</v>
          </cell>
          <cell r="S6399" t="str">
            <v>N Bdw Stb</v>
          </cell>
          <cell r="T6399" t="str">
            <v>Wira</v>
          </cell>
          <cell r="U6399">
            <v>30</v>
          </cell>
        </row>
        <row r="6400">
          <cell r="E6400" t="str">
            <v>B25012041</v>
          </cell>
          <cell r="F6400"/>
          <cell r="G6400">
            <v>9100000000</v>
          </cell>
          <cell r="H6400" t="str">
            <v>Faris</v>
          </cell>
          <cell r="I6400" t="str">
            <v>Syahra</v>
          </cell>
          <cell r="J6400"/>
          <cell r="K6400" t="str">
            <v>BG, KU</v>
          </cell>
          <cell r="L6400" t="str">
            <v>PRIM03</v>
          </cell>
          <cell r="M6400" t="str">
            <v>Prima Tani/Candra Sanjaya</v>
          </cell>
          <cell r="N6400" t="str">
            <v>Candra Sanjaya</v>
          </cell>
          <cell r="O6400" t="str">
            <v>Basuki Rahmad No. 262, RT.002/RW.014 Mimbaan, Panji</v>
          </cell>
          <cell r="P6400" t="str">
            <v>Situbondo</v>
          </cell>
          <cell r="Q6400" t="str">
            <v>Basuki Rahmad No. 262, RT.002/RW.014 Mimbaan, Panji</v>
          </cell>
          <cell r="R6400" t="str">
            <v>Situbondo</v>
          </cell>
          <cell r="S6400" t="str">
            <v>N Bdw Stb</v>
          </cell>
          <cell r="T6400" t="str">
            <v>Wira</v>
          </cell>
          <cell r="U6400">
            <v>30</v>
          </cell>
        </row>
        <row r="6401">
          <cell r="E6401" t="str">
            <v>D25014313</v>
          </cell>
          <cell r="F6401"/>
          <cell r="G6401">
            <v>9100000000</v>
          </cell>
          <cell r="H6401" t="str">
            <v>Faris</v>
          </cell>
          <cell r="I6401" t="str">
            <v>Syahra</v>
          </cell>
          <cell r="J6401"/>
          <cell r="K6401" t="str">
            <v>BG, KU</v>
          </cell>
          <cell r="L6401" t="str">
            <v>PRIM03</v>
          </cell>
          <cell r="M6401" t="str">
            <v>Prima Tani/Candra Sanjaya</v>
          </cell>
          <cell r="N6401" t="str">
            <v>Candra Sanjaya</v>
          </cell>
          <cell r="O6401" t="str">
            <v>Basuki Rahmad No. 262, RT.002/RW.014 Mimbaan, Panji</v>
          </cell>
          <cell r="P6401" t="str">
            <v>Situbondo</v>
          </cell>
          <cell r="Q6401" t="str">
            <v>Basuki Rahmad No. 262, RT.002/RW.014 Mimbaan, Panji</v>
          </cell>
          <cell r="R6401" t="str">
            <v>Situbondo</v>
          </cell>
          <cell r="S6401" t="str">
            <v>N Bdw Stb</v>
          </cell>
          <cell r="T6401" t="str">
            <v>Wira</v>
          </cell>
          <cell r="U6401">
            <v>30</v>
          </cell>
        </row>
        <row r="6402">
          <cell r="E6402" t="str">
            <v>B25012127</v>
          </cell>
          <cell r="F6402"/>
          <cell r="G6402">
            <v>9100000000</v>
          </cell>
          <cell r="H6402" t="str">
            <v>Faris</v>
          </cell>
          <cell r="I6402" t="str">
            <v>Syahra</v>
          </cell>
          <cell r="J6402"/>
          <cell r="K6402" t="str">
            <v>BG, KU</v>
          </cell>
          <cell r="L6402" t="str">
            <v>PRIM03</v>
          </cell>
          <cell r="M6402" t="str">
            <v>Prima Tani/Candra Sanjaya</v>
          </cell>
          <cell r="N6402" t="str">
            <v>Candra Sanjaya</v>
          </cell>
          <cell r="O6402" t="str">
            <v>Basuki Rahmad No. 262, RT.002/RW.014 Mimbaan, Panji</v>
          </cell>
          <cell r="P6402" t="str">
            <v>Situbondo</v>
          </cell>
          <cell r="Q6402" t="str">
            <v>Basuki Rahmad No. 262, RT.002/RW.014 Mimbaan, Panji</v>
          </cell>
          <cell r="R6402" t="str">
            <v>Situbondo</v>
          </cell>
          <cell r="S6402" t="str">
            <v>N Bdw Stb</v>
          </cell>
          <cell r="T6402" t="str">
            <v>Wira</v>
          </cell>
          <cell r="U6402">
            <v>30</v>
          </cell>
        </row>
        <row r="6403">
          <cell r="E6403" t="str">
            <v>B25012231</v>
          </cell>
          <cell r="F6403"/>
          <cell r="G6403">
            <v>9100000000</v>
          </cell>
          <cell r="H6403" t="str">
            <v>Faris</v>
          </cell>
          <cell r="I6403" t="str">
            <v>Syahra</v>
          </cell>
          <cell r="J6403"/>
          <cell r="K6403" t="str">
            <v>BG, KU</v>
          </cell>
          <cell r="L6403" t="str">
            <v>PRIM03</v>
          </cell>
          <cell r="M6403" t="str">
            <v>Prima Tani/Candra Sanjaya</v>
          </cell>
          <cell r="N6403" t="str">
            <v>Candra Sanjaya</v>
          </cell>
          <cell r="O6403" t="str">
            <v>Basuki Rahmad No. 262, RT.002/RW.014 Mimbaan, Panji</v>
          </cell>
          <cell r="P6403" t="str">
            <v>Situbondo</v>
          </cell>
          <cell r="Q6403" t="str">
            <v>Basuki Rahmad No. 262, RT.002/RW.014 Mimbaan, Panji</v>
          </cell>
          <cell r="R6403" t="str">
            <v>Situbondo</v>
          </cell>
          <cell r="S6403" t="str">
            <v>N Bdw Stb</v>
          </cell>
          <cell r="T6403" t="str">
            <v>Wira</v>
          </cell>
          <cell r="U6403">
            <v>30</v>
          </cell>
        </row>
        <row r="6404">
          <cell r="E6404" t="str">
            <v>D25014497</v>
          </cell>
          <cell r="F6404"/>
          <cell r="G6404">
            <v>9100000000</v>
          </cell>
          <cell r="H6404" t="str">
            <v>Faris</v>
          </cell>
          <cell r="I6404" t="str">
            <v>Syahra</v>
          </cell>
          <cell r="J6404"/>
          <cell r="K6404" t="str">
            <v>BG, KU</v>
          </cell>
          <cell r="L6404" t="str">
            <v>PRIM03</v>
          </cell>
          <cell r="M6404" t="str">
            <v>Prima Tani/Candra Sanjaya</v>
          </cell>
          <cell r="N6404" t="str">
            <v>Candra Sanjaya</v>
          </cell>
          <cell r="O6404" t="str">
            <v>Basuki Rahmad No. 262, RT.002/RW.014 Mimbaan, Panji</v>
          </cell>
          <cell r="P6404" t="str">
            <v>Situbondo</v>
          </cell>
          <cell r="Q6404" t="str">
            <v>Basuki Rahmad No. 262, RT.002/RW.014 Mimbaan, Panji</v>
          </cell>
          <cell r="R6404" t="str">
            <v>Situbondo</v>
          </cell>
          <cell r="S6404" t="str">
            <v>N Bdw Stb</v>
          </cell>
          <cell r="T6404" t="str">
            <v>Wira</v>
          </cell>
          <cell r="U6404">
            <v>30</v>
          </cell>
        </row>
        <row r="6405">
          <cell r="E6405" t="str">
            <v>B25012265</v>
          </cell>
          <cell r="F6405"/>
          <cell r="G6405">
            <v>9100000000</v>
          </cell>
          <cell r="H6405" t="str">
            <v>Faris</v>
          </cell>
          <cell r="I6405" t="str">
            <v>Syahra</v>
          </cell>
          <cell r="J6405"/>
          <cell r="K6405" t="str">
            <v>BG, KU</v>
          </cell>
          <cell r="L6405" t="str">
            <v>PRIM03</v>
          </cell>
          <cell r="M6405" t="str">
            <v>Prima Tani/Candra Sanjaya</v>
          </cell>
          <cell r="N6405" t="str">
            <v>Candra Sanjaya</v>
          </cell>
          <cell r="O6405" t="str">
            <v>Basuki Rahmad No. 262, RT.002/RW.014 Mimbaan, Panji</v>
          </cell>
          <cell r="P6405" t="str">
            <v>Situbondo</v>
          </cell>
          <cell r="Q6405" t="str">
            <v>Basuki Rahmad No. 262, RT.002/RW.014 Mimbaan, Panji</v>
          </cell>
          <cell r="R6405" t="str">
            <v>Situbondo</v>
          </cell>
          <cell r="S6405" t="str">
            <v>N Bdw Stb</v>
          </cell>
          <cell r="T6405" t="str">
            <v>Wira</v>
          </cell>
          <cell r="U6405">
            <v>14</v>
          </cell>
        </row>
        <row r="6406">
          <cell r="E6406" t="str">
            <v>D25014554</v>
          </cell>
          <cell r="F6406"/>
          <cell r="G6406">
            <v>9100000000</v>
          </cell>
          <cell r="H6406" t="str">
            <v>Faris</v>
          </cell>
          <cell r="I6406" t="str">
            <v>Syahra</v>
          </cell>
          <cell r="J6406"/>
          <cell r="K6406" t="str">
            <v>BG, KU</v>
          </cell>
          <cell r="L6406" t="str">
            <v>PRIM03</v>
          </cell>
          <cell r="M6406" t="str">
            <v>Prima Tani/Candra Sanjaya</v>
          </cell>
          <cell r="N6406" t="str">
            <v>Candra Sanjaya</v>
          </cell>
          <cell r="O6406" t="str">
            <v>Basuki Rahmad No. 262, RT.002/RW.014 Mimbaan, Panji</v>
          </cell>
          <cell r="P6406" t="str">
            <v>Situbondo</v>
          </cell>
          <cell r="Q6406" t="str">
            <v>Basuki Rahmad No. 262, RT.002/RW.014 Mimbaan, Panji</v>
          </cell>
          <cell r="R6406" t="str">
            <v>Situbondo</v>
          </cell>
          <cell r="S6406" t="str">
            <v>N Bdw Stb</v>
          </cell>
          <cell r="T6406" t="str">
            <v>Wira</v>
          </cell>
          <cell r="U6406">
            <v>30</v>
          </cell>
        </row>
        <row r="6407">
          <cell r="E6407" t="str">
            <v>D25014635</v>
          </cell>
          <cell r="F6407"/>
          <cell r="G6407">
            <v>9100000000</v>
          </cell>
          <cell r="H6407" t="str">
            <v>Faris</v>
          </cell>
          <cell r="I6407" t="str">
            <v>Syahra</v>
          </cell>
          <cell r="J6407"/>
          <cell r="K6407" t="str">
            <v>BG, KU</v>
          </cell>
          <cell r="L6407" t="str">
            <v>PRIM03</v>
          </cell>
          <cell r="M6407" t="str">
            <v>Prima Tani/Candra Sanjaya</v>
          </cell>
          <cell r="N6407" t="str">
            <v>Candra Sanjaya</v>
          </cell>
          <cell r="O6407" t="str">
            <v>Basuki Rahmad No. 262, RT.002/RW.014 Mimbaan, Panji</v>
          </cell>
          <cell r="P6407" t="str">
            <v>Situbondo</v>
          </cell>
          <cell r="Q6407" t="str">
            <v>Basuki Rahmad No. 262, RT.002/RW.014 Mimbaan, Panji</v>
          </cell>
          <cell r="R6407" t="str">
            <v>Situbondo</v>
          </cell>
          <cell r="S6407" t="str">
            <v>N Bdw Stb</v>
          </cell>
          <cell r="T6407" t="str">
            <v>Wira</v>
          </cell>
          <cell r="U6407">
            <v>30</v>
          </cell>
        </row>
        <row r="6408">
          <cell r="E6408" t="str">
            <v>D25014636</v>
          </cell>
          <cell r="F6408"/>
          <cell r="G6408">
            <v>9100000000</v>
          </cell>
          <cell r="H6408" t="str">
            <v>Faris</v>
          </cell>
          <cell r="I6408" t="str">
            <v>Syahra</v>
          </cell>
          <cell r="J6408"/>
          <cell r="K6408" t="str">
            <v>BG, KU</v>
          </cell>
          <cell r="L6408" t="str">
            <v>PRIM03</v>
          </cell>
          <cell r="M6408" t="str">
            <v>Prima Tani/Candra Sanjaya</v>
          </cell>
          <cell r="N6408" t="str">
            <v>Candra Sanjaya</v>
          </cell>
          <cell r="O6408" t="str">
            <v>Basuki Rahmad No. 262, RT.002/RW.014 Mimbaan, Panji</v>
          </cell>
          <cell r="P6408" t="str">
            <v>Situbondo</v>
          </cell>
          <cell r="Q6408" t="str">
            <v>Basuki Rahmad No. 262, RT.002/RW.014 Mimbaan, Panji</v>
          </cell>
          <cell r="R6408" t="str">
            <v>Situbondo</v>
          </cell>
          <cell r="S6408" t="str">
            <v>N Bdw Stb</v>
          </cell>
          <cell r="T6408" t="str">
            <v>Wira</v>
          </cell>
          <cell r="U6408">
            <v>30</v>
          </cell>
        </row>
        <row r="6409">
          <cell r="E6409" t="str">
            <v>D25014704</v>
          </cell>
          <cell r="F6409"/>
          <cell r="G6409">
            <v>9100000000</v>
          </cell>
          <cell r="H6409" t="str">
            <v>Faris</v>
          </cell>
          <cell r="I6409" t="str">
            <v>Syahra</v>
          </cell>
          <cell r="J6409"/>
          <cell r="K6409" t="str">
            <v>BG, KU</v>
          </cell>
          <cell r="L6409" t="str">
            <v>PRIM03</v>
          </cell>
          <cell r="M6409" t="str">
            <v>Prima Tani/Candra Sanjaya</v>
          </cell>
          <cell r="N6409" t="str">
            <v>Candra Sanjaya</v>
          </cell>
          <cell r="O6409" t="str">
            <v>Basuki Rahmad No. 262, RT.002/RW.014 Mimbaan, Panji</v>
          </cell>
          <cell r="P6409" t="str">
            <v>Situbondo</v>
          </cell>
          <cell r="Q6409" t="str">
            <v>Basuki Rahmad No. 262, RT.002/RW.014 Mimbaan, Panji</v>
          </cell>
          <cell r="R6409" t="str">
            <v>Situbondo</v>
          </cell>
          <cell r="S6409" t="str">
            <v>N Bdw Stb</v>
          </cell>
          <cell r="T6409" t="str">
            <v>Wira</v>
          </cell>
          <cell r="U6409">
            <v>30</v>
          </cell>
        </row>
        <row r="6410">
          <cell r="E6410" t="str">
            <v>B25012453</v>
          </cell>
          <cell r="F6410"/>
          <cell r="G6410">
            <v>9100000000</v>
          </cell>
          <cell r="H6410" t="str">
            <v>Faris</v>
          </cell>
          <cell r="I6410" t="str">
            <v>Syahra</v>
          </cell>
          <cell r="J6410"/>
          <cell r="K6410" t="str">
            <v>BG, KU</v>
          </cell>
          <cell r="L6410" t="str">
            <v>PRIM03</v>
          </cell>
          <cell r="M6410" t="str">
            <v>Prima Tani/Candra Sanjaya</v>
          </cell>
          <cell r="N6410" t="str">
            <v>Candra Sanjaya</v>
          </cell>
          <cell r="O6410" t="str">
            <v>Basuki Rahmad No. 262, RT.002/RW.014 Mimbaan, Panji</v>
          </cell>
          <cell r="P6410" t="str">
            <v>Situbondo</v>
          </cell>
          <cell r="Q6410" t="str">
            <v>Basuki Rahmad No. 262, RT.002/RW.014 Mimbaan, Panji</v>
          </cell>
          <cell r="R6410" t="str">
            <v>Situbondo</v>
          </cell>
          <cell r="S6410" t="str">
            <v>N Bdw Stb</v>
          </cell>
          <cell r="T6410" t="str">
            <v>Wira</v>
          </cell>
          <cell r="U6410">
            <v>30</v>
          </cell>
        </row>
        <row r="6411">
          <cell r="E6411" t="str">
            <v>B25012454</v>
          </cell>
          <cell r="F6411"/>
          <cell r="G6411">
            <v>9100000000</v>
          </cell>
          <cell r="H6411" t="str">
            <v>Faris</v>
          </cell>
          <cell r="I6411" t="str">
            <v>Syahra</v>
          </cell>
          <cell r="J6411"/>
          <cell r="K6411" t="str">
            <v>BG, KU</v>
          </cell>
          <cell r="L6411" t="str">
            <v>PRIM03</v>
          </cell>
          <cell r="M6411" t="str">
            <v>Prima Tani/Candra Sanjaya</v>
          </cell>
          <cell r="N6411" t="str">
            <v>Candra Sanjaya</v>
          </cell>
          <cell r="O6411" t="str">
            <v>Basuki Rahmad No. 262, RT.002/RW.014 Mimbaan, Panji</v>
          </cell>
          <cell r="P6411" t="str">
            <v>Situbondo</v>
          </cell>
          <cell r="Q6411" t="str">
            <v>Basuki Rahmad No. 262, RT.002/RW.014 Mimbaan, Panji</v>
          </cell>
          <cell r="R6411" t="str">
            <v>Situbondo</v>
          </cell>
          <cell r="S6411" t="str">
            <v>N Bdw Stb</v>
          </cell>
          <cell r="T6411" t="str">
            <v>Wira</v>
          </cell>
          <cell r="U6411">
            <v>30</v>
          </cell>
        </row>
        <row r="6412">
          <cell r="E6412" t="str">
            <v>D25014773</v>
          </cell>
          <cell r="F6412"/>
          <cell r="G6412">
            <v>9100000000</v>
          </cell>
          <cell r="H6412" t="str">
            <v>Faris</v>
          </cell>
          <cell r="I6412" t="str">
            <v>Syahra</v>
          </cell>
          <cell r="J6412"/>
          <cell r="K6412" t="str">
            <v>BG, KU</v>
          </cell>
          <cell r="L6412" t="str">
            <v>PRIM03</v>
          </cell>
          <cell r="M6412" t="str">
            <v>Prima Tani/Candra Sanjaya</v>
          </cell>
          <cell r="N6412" t="str">
            <v>Candra Sanjaya</v>
          </cell>
          <cell r="O6412" t="str">
            <v>Basuki Rahmad No. 262, RT.002/RW.014 Mimbaan, Panji</v>
          </cell>
          <cell r="P6412" t="str">
            <v>Situbondo</v>
          </cell>
          <cell r="Q6412" t="str">
            <v>Basuki Rahmad No. 262, RT.002/RW.014 Mimbaan, Panji</v>
          </cell>
          <cell r="R6412" t="str">
            <v>Situbondo</v>
          </cell>
          <cell r="S6412" t="str">
            <v>N Bdw Stb</v>
          </cell>
          <cell r="T6412" t="str">
            <v>Wira</v>
          </cell>
          <cell r="U6412">
            <v>30</v>
          </cell>
        </row>
        <row r="6413">
          <cell r="E6413" t="str">
            <v>D25014774</v>
          </cell>
          <cell r="F6413"/>
          <cell r="G6413">
            <v>9100000000</v>
          </cell>
          <cell r="H6413" t="str">
            <v>Faris</v>
          </cell>
          <cell r="I6413" t="str">
            <v>Syahra</v>
          </cell>
          <cell r="J6413"/>
          <cell r="K6413" t="str">
            <v>BG, KU</v>
          </cell>
          <cell r="L6413" t="str">
            <v>PRIM03</v>
          </cell>
          <cell r="M6413" t="str">
            <v>Prima Tani/Candra Sanjaya</v>
          </cell>
          <cell r="N6413" t="str">
            <v>Candra Sanjaya</v>
          </cell>
          <cell r="O6413" t="str">
            <v>Basuki Rahmad No. 262, RT.002/RW.014 Mimbaan, Panji</v>
          </cell>
          <cell r="P6413" t="str">
            <v>Situbondo</v>
          </cell>
          <cell r="Q6413" t="str">
            <v>Basuki Rahmad No. 262, RT.002/RW.014 Mimbaan, Panji</v>
          </cell>
          <cell r="R6413" t="str">
            <v>Situbondo</v>
          </cell>
          <cell r="S6413" t="str">
            <v>N Bdw Stb</v>
          </cell>
          <cell r="T6413" t="str">
            <v>Wira</v>
          </cell>
          <cell r="U6413">
            <v>30</v>
          </cell>
        </row>
        <row r="6414">
          <cell r="E6414" t="str">
            <v>D25014956</v>
          </cell>
          <cell r="F6414"/>
          <cell r="G6414">
            <v>9100000000</v>
          </cell>
          <cell r="H6414" t="str">
            <v>Faris</v>
          </cell>
          <cell r="I6414" t="str">
            <v>Syahra</v>
          </cell>
          <cell r="J6414"/>
          <cell r="K6414" t="str">
            <v>BG, KU</v>
          </cell>
          <cell r="L6414" t="str">
            <v>PRIM03</v>
          </cell>
          <cell r="M6414" t="str">
            <v>Prima Tani/Candra Sanjaya</v>
          </cell>
          <cell r="N6414" t="str">
            <v>Candra Sanjaya</v>
          </cell>
          <cell r="O6414" t="str">
            <v>Basuki Rahmad No. 262, RT.002/RW.014 Mimbaan, Panji</v>
          </cell>
          <cell r="P6414" t="str">
            <v>Situbondo</v>
          </cell>
          <cell r="Q6414" t="str">
            <v>Basuki Rahmad No. 262, RT.002/RW.014 Mimbaan, Panji</v>
          </cell>
          <cell r="R6414" t="str">
            <v>Situbondo</v>
          </cell>
          <cell r="S6414" t="str">
            <v>N Bdw Stb</v>
          </cell>
          <cell r="T6414" t="str">
            <v>Wira</v>
          </cell>
          <cell r="U6414">
            <v>30</v>
          </cell>
        </row>
        <row r="6415">
          <cell r="E6415" t="str">
            <v>B25012713</v>
          </cell>
          <cell r="F6415"/>
          <cell r="G6415">
            <v>9100000000</v>
          </cell>
          <cell r="H6415" t="str">
            <v>Faris</v>
          </cell>
          <cell r="I6415" t="str">
            <v>Syahra</v>
          </cell>
          <cell r="J6415"/>
          <cell r="K6415" t="str">
            <v>BG, KU</v>
          </cell>
          <cell r="L6415" t="str">
            <v>PRIM03</v>
          </cell>
          <cell r="M6415" t="str">
            <v>Prima Tani/Candra Sanjaya</v>
          </cell>
          <cell r="N6415" t="str">
            <v>Candra Sanjaya</v>
          </cell>
          <cell r="O6415" t="str">
            <v>Basuki Rahmad No. 262, RT.002/RW.014 Mimbaan, Panji</v>
          </cell>
          <cell r="P6415" t="str">
            <v>Situbondo</v>
          </cell>
          <cell r="Q6415" t="str">
            <v>Basuki Rahmad No. 262, RT.002/RW.014 Mimbaan, Panji</v>
          </cell>
          <cell r="R6415" t="str">
            <v>Situbondo</v>
          </cell>
          <cell r="S6415" t="str">
            <v>N Bdw Stb</v>
          </cell>
          <cell r="T6415" t="str">
            <v>Wira</v>
          </cell>
          <cell r="U6415">
            <v>30</v>
          </cell>
        </row>
        <row r="6416">
          <cell r="E6416" t="str">
            <v>B25012742</v>
          </cell>
          <cell r="F6416"/>
          <cell r="G6416">
            <v>9100000000</v>
          </cell>
          <cell r="H6416" t="str">
            <v>Faris</v>
          </cell>
          <cell r="I6416" t="str">
            <v>Syahra</v>
          </cell>
          <cell r="J6416"/>
          <cell r="K6416" t="str">
            <v>BG, KU</v>
          </cell>
          <cell r="L6416" t="str">
            <v>PRIM03</v>
          </cell>
          <cell r="M6416" t="str">
            <v>Prima Tani/Candra Sanjaya</v>
          </cell>
          <cell r="N6416" t="str">
            <v>Candra Sanjaya</v>
          </cell>
          <cell r="O6416" t="str">
            <v>Basuki Rahmad No. 262, RT.002/RW.014 Mimbaan, Panji</v>
          </cell>
          <cell r="P6416" t="str">
            <v>Situbondo</v>
          </cell>
          <cell r="Q6416" t="str">
            <v>Basuki Rahmad No. 262, RT.002/RW.014 Mimbaan, Panji</v>
          </cell>
          <cell r="R6416" t="str">
            <v>Situbondo</v>
          </cell>
          <cell r="S6416" t="str">
            <v>N Bdw Stb</v>
          </cell>
          <cell r="T6416" t="str">
            <v>Wira</v>
          </cell>
          <cell r="U6416">
            <v>30</v>
          </cell>
        </row>
        <row r="6417">
          <cell r="E6417" t="str">
            <v>D25015032</v>
          </cell>
          <cell r="F6417"/>
          <cell r="G6417">
            <v>9100000000</v>
          </cell>
          <cell r="H6417" t="str">
            <v>Faris</v>
          </cell>
          <cell r="I6417" t="str">
            <v>Syahra</v>
          </cell>
          <cell r="J6417"/>
          <cell r="K6417" t="str">
            <v>BG, KU</v>
          </cell>
          <cell r="L6417" t="str">
            <v>PRIM03</v>
          </cell>
          <cell r="M6417" t="str">
            <v>Prima Tani/Candra Sanjaya</v>
          </cell>
          <cell r="N6417" t="str">
            <v>Candra Sanjaya</v>
          </cell>
          <cell r="O6417" t="str">
            <v>Basuki Rahmad No. 262, RT.002/RW.014 Mimbaan, Panji</v>
          </cell>
          <cell r="P6417" t="str">
            <v>Situbondo</v>
          </cell>
          <cell r="Q6417" t="str">
            <v>Basuki Rahmad No. 262, RT.002/RW.014 Mimbaan, Panji</v>
          </cell>
          <cell r="R6417" t="str">
            <v>Situbondo</v>
          </cell>
          <cell r="S6417" t="str">
            <v>N Bdw Stb</v>
          </cell>
          <cell r="T6417" t="str">
            <v>Wira</v>
          </cell>
          <cell r="U6417">
            <v>30</v>
          </cell>
        </row>
        <row r="6418">
          <cell r="E6418" t="str">
            <v>D25015032</v>
          </cell>
          <cell r="F6418"/>
          <cell r="G6418">
            <v>9100000000</v>
          </cell>
          <cell r="H6418" t="str">
            <v>Faris</v>
          </cell>
          <cell r="I6418" t="str">
            <v>Syahra</v>
          </cell>
          <cell r="J6418"/>
          <cell r="K6418" t="str">
            <v>BG, KU</v>
          </cell>
          <cell r="L6418" t="str">
            <v>PRIM03</v>
          </cell>
          <cell r="M6418" t="str">
            <v>Prima Tani/Candra Sanjaya</v>
          </cell>
          <cell r="N6418" t="str">
            <v>Candra Sanjaya</v>
          </cell>
          <cell r="O6418" t="str">
            <v>Basuki Rahmad No. 262, RT.002/RW.014 Mimbaan, Panji</v>
          </cell>
          <cell r="P6418" t="str">
            <v>Situbondo</v>
          </cell>
          <cell r="Q6418" t="str">
            <v>Basuki Rahmad No. 262, RT.002/RW.014 Mimbaan, Panji</v>
          </cell>
          <cell r="R6418" t="str">
            <v>Situbondo</v>
          </cell>
          <cell r="S6418" t="str">
            <v>N Bdw Stb</v>
          </cell>
          <cell r="T6418" t="str">
            <v>Wira</v>
          </cell>
          <cell r="U6418">
            <v>30</v>
          </cell>
        </row>
        <row r="6419">
          <cell r="E6419" t="str">
            <v>D25015051</v>
          </cell>
          <cell r="F6419"/>
          <cell r="G6419">
            <v>9100000000</v>
          </cell>
          <cell r="H6419" t="str">
            <v>Faris</v>
          </cell>
          <cell r="I6419" t="str">
            <v>Syahra</v>
          </cell>
          <cell r="J6419"/>
          <cell r="K6419" t="str">
            <v>BG, KU</v>
          </cell>
          <cell r="L6419" t="str">
            <v>PRIM03</v>
          </cell>
          <cell r="M6419" t="str">
            <v>Prima Tani/Candra Sanjaya</v>
          </cell>
          <cell r="N6419" t="str">
            <v>Candra Sanjaya</v>
          </cell>
          <cell r="O6419" t="str">
            <v>Basuki Rahmad No. 262, RT.002/RW.014 Mimbaan, Panji</v>
          </cell>
          <cell r="P6419" t="str">
            <v>Situbondo</v>
          </cell>
          <cell r="Q6419" t="str">
            <v>Basuki Rahmad No. 262, RT.002/RW.014 Mimbaan, Panji</v>
          </cell>
          <cell r="R6419" t="str">
            <v>Situbondo</v>
          </cell>
          <cell r="S6419" t="str">
            <v>N Bdw Stb</v>
          </cell>
          <cell r="T6419" t="str">
            <v>Wira</v>
          </cell>
          <cell r="U6419">
            <v>30</v>
          </cell>
        </row>
        <row r="6420">
          <cell r="E6420" t="str">
            <v>D25015058</v>
          </cell>
          <cell r="F6420"/>
          <cell r="G6420">
            <v>9100000000</v>
          </cell>
          <cell r="H6420" t="str">
            <v>Faris</v>
          </cell>
          <cell r="I6420" t="str">
            <v>Syahra</v>
          </cell>
          <cell r="J6420"/>
          <cell r="K6420" t="str">
            <v>BG, KU</v>
          </cell>
          <cell r="L6420" t="str">
            <v>PRIM03</v>
          </cell>
          <cell r="M6420" t="str">
            <v>Prima Tani/Candra Sanjaya</v>
          </cell>
          <cell r="N6420" t="str">
            <v>Candra Sanjaya</v>
          </cell>
          <cell r="O6420" t="str">
            <v>Basuki Rahmad No. 262, RT.002/RW.014 Mimbaan, Panji</v>
          </cell>
          <cell r="P6420" t="str">
            <v>Situbondo</v>
          </cell>
          <cell r="Q6420" t="str">
            <v>Basuki Rahmad No. 262, RT.002/RW.014 Mimbaan, Panji</v>
          </cell>
          <cell r="R6420" t="str">
            <v>Situbondo</v>
          </cell>
          <cell r="S6420" t="str">
            <v>N Bdw Stb</v>
          </cell>
          <cell r="T6420" t="str">
            <v>Wira</v>
          </cell>
          <cell r="U6420">
            <v>30</v>
          </cell>
        </row>
        <row r="6421">
          <cell r="E6421" t="str">
            <v>D25015080</v>
          </cell>
          <cell r="F6421"/>
          <cell r="G6421">
            <v>9100000000</v>
          </cell>
          <cell r="H6421" t="str">
            <v>Faris</v>
          </cell>
          <cell r="I6421" t="str">
            <v>Syahra</v>
          </cell>
          <cell r="J6421"/>
          <cell r="K6421" t="str">
            <v>BG, KU</v>
          </cell>
          <cell r="L6421" t="str">
            <v>PRIM03</v>
          </cell>
          <cell r="M6421" t="str">
            <v>Prima Tani/Candra Sanjaya</v>
          </cell>
          <cell r="N6421" t="str">
            <v>Candra Sanjaya</v>
          </cell>
          <cell r="O6421" t="str">
            <v>Basuki Rahmad No. 262, RT.002/RW.014 Mimbaan, Panji</v>
          </cell>
          <cell r="P6421" t="str">
            <v>Situbondo</v>
          </cell>
          <cell r="Q6421" t="str">
            <v>Basuki Rahmad No. 262, RT.002/RW.014 Mimbaan, Panji</v>
          </cell>
          <cell r="R6421" t="str">
            <v>Situbondo</v>
          </cell>
          <cell r="S6421" t="str">
            <v>N Bdw Stb</v>
          </cell>
          <cell r="T6421" t="str">
            <v>Wira</v>
          </cell>
          <cell r="U6421">
            <v>30</v>
          </cell>
        </row>
        <row r="6422">
          <cell r="E6422" t="str">
            <v>B25012834</v>
          </cell>
          <cell r="F6422"/>
          <cell r="G6422">
            <v>9100000000</v>
          </cell>
          <cell r="H6422" t="str">
            <v>Faris</v>
          </cell>
          <cell r="I6422" t="str">
            <v>Syahra</v>
          </cell>
          <cell r="J6422"/>
          <cell r="K6422" t="str">
            <v>BG, KU</v>
          </cell>
          <cell r="L6422" t="str">
            <v>PRIM03</v>
          </cell>
          <cell r="M6422" t="str">
            <v>Prima Tani/Candra Sanjaya</v>
          </cell>
          <cell r="N6422" t="str">
            <v>Candra Sanjaya</v>
          </cell>
          <cell r="O6422" t="str">
            <v>Basuki Rahmad No. 262, RT.002/RW.014 Mimbaan, Panji</v>
          </cell>
          <cell r="P6422" t="str">
            <v>Situbondo</v>
          </cell>
          <cell r="Q6422" t="str">
            <v>Basuki Rahmad No. 262, RT.002/RW.014 Mimbaan, Panji</v>
          </cell>
          <cell r="R6422" t="str">
            <v>Situbondo</v>
          </cell>
          <cell r="S6422" t="str">
            <v>N Bdw Stb</v>
          </cell>
          <cell r="T6422" t="str">
            <v>Wira</v>
          </cell>
          <cell r="U6422">
            <v>30</v>
          </cell>
        </row>
        <row r="6423">
          <cell r="E6423" t="str">
            <v>B25012870</v>
          </cell>
          <cell r="F6423"/>
          <cell r="G6423">
            <v>9100000000</v>
          </cell>
          <cell r="H6423" t="str">
            <v>Faris</v>
          </cell>
          <cell r="I6423" t="str">
            <v>Syahra</v>
          </cell>
          <cell r="J6423"/>
          <cell r="K6423" t="str">
            <v>BG, KU</v>
          </cell>
          <cell r="L6423" t="str">
            <v>PRIM03</v>
          </cell>
          <cell r="M6423" t="str">
            <v>Prima Tani/Candra Sanjaya</v>
          </cell>
          <cell r="N6423" t="str">
            <v>Candra Sanjaya</v>
          </cell>
          <cell r="O6423" t="str">
            <v>Basuki Rahmad No. 262, RT.002/RW.014 Mimbaan, Panji</v>
          </cell>
          <cell r="P6423" t="str">
            <v>Situbondo</v>
          </cell>
          <cell r="Q6423" t="str">
            <v>Basuki Rahmad No. 262, RT.002/RW.014 Mimbaan, Panji</v>
          </cell>
          <cell r="R6423" t="str">
            <v>Situbondo</v>
          </cell>
          <cell r="S6423" t="str">
            <v>N Bdw Stb</v>
          </cell>
          <cell r="T6423" t="str">
            <v>Wira</v>
          </cell>
          <cell r="U6423">
            <v>30</v>
          </cell>
        </row>
        <row r="6424">
          <cell r="E6424" t="str">
            <v>B25012916</v>
          </cell>
          <cell r="F6424"/>
          <cell r="G6424">
            <v>9100000000</v>
          </cell>
          <cell r="H6424" t="str">
            <v>Faris</v>
          </cell>
          <cell r="I6424" t="str">
            <v>Syahra</v>
          </cell>
          <cell r="J6424"/>
          <cell r="K6424" t="str">
            <v>BG, KU</v>
          </cell>
          <cell r="L6424" t="str">
            <v>PRIM03</v>
          </cell>
          <cell r="M6424" t="str">
            <v>Prima Tani/Candra Sanjaya</v>
          </cell>
          <cell r="N6424" t="str">
            <v>Candra Sanjaya</v>
          </cell>
          <cell r="O6424" t="str">
            <v>Basuki Rahmad No. 262, RT.002/RW.014 Mimbaan, Panji</v>
          </cell>
          <cell r="P6424" t="str">
            <v>Situbondo</v>
          </cell>
          <cell r="Q6424" t="str">
            <v>Basuki Rahmad No. 262, RT.002/RW.014 Mimbaan, Panji</v>
          </cell>
          <cell r="R6424" t="str">
            <v>Situbondo</v>
          </cell>
          <cell r="S6424" t="str">
            <v>N Bdw Stb</v>
          </cell>
          <cell r="T6424" t="str">
            <v>Wira</v>
          </cell>
          <cell r="U6424">
            <v>30</v>
          </cell>
        </row>
        <row r="6425">
          <cell r="E6425" t="str">
            <v>D25015257</v>
          </cell>
          <cell r="F6425"/>
          <cell r="G6425">
            <v>9100000000</v>
          </cell>
          <cell r="H6425" t="str">
            <v>Faris</v>
          </cell>
          <cell r="I6425" t="str">
            <v>Syahra</v>
          </cell>
          <cell r="J6425"/>
          <cell r="K6425" t="str">
            <v>BG, KU</v>
          </cell>
          <cell r="L6425" t="str">
            <v>PRIM03</v>
          </cell>
          <cell r="M6425" t="str">
            <v>Prima Tani/Candra Sanjaya</v>
          </cell>
          <cell r="N6425" t="str">
            <v>Candra Sanjaya</v>
          </cell>
          <cell r="O6425" t="str">
            <v>Basuki Rahmad No. 262, RT.002/RW.014 Mimbaan, Panji</v>
          </cell>
          <cell r="P6425" t="str">
            <v>Situbondo</v>
          </cell>
          <cell r="Q6425" t="str">
            <v>Basuki Rahmad No. 262, RT.002/RW.014 Mimbaan, Panji</v>
          </cell>
          <cell r="R6425" t="str">
            <v>Situbondo</v>
          </cell>
          <cell r="S6425" t="str">
            <v>N Bdw Stb</v>
          </cell>
          <cell r="T6425" t="str">
            <v>Wira</v>
          </cell>
          <cell r="U6425">
            <v>30</v>
          </cell>
        </row>
        <row r="6426">
          <cell r="E6426" t="str">
            <v>B25013067</v>
          </cell>
          <cell r="F6426"/>
          <cell r="G6426">
            <v>9100000000</v>
          </cell>
          <cell r="H6426" t="str">
            <v>Faris</v>
          </cell>
          <cell r="I6426" t="str">
            <v>Syahra</v>
          </cell>
          <cell r="J6426"/>
          <cell r="K6426" t="str">
            <v>BG, KU</v>
          </cell>
          <cell r="L6426" t="str">
            <v>PRIM03</v>
          </cell>
          <cell r="M6426" t="str">
            <v>Prima Tani/Candra Sanjaya</v>
          </cell>
          <cell r="N6426" t="str">
            <v>Candra Sanjaya</v>
          </cell>
          <cell r="O6426" t="str">
            <v>Basuki Rahmad No. 262, RT.002/RW.014 Mimbaan, Panji</v>
          </cell>
          <cell r="P6426" t="str">
            <v>Situbondo</v>
          </cell>
          <cell r="Q6426" t="str">
            <v>Basuki Rahmad No. 262, RT.002/RW.014 Mimbaan, Panji</v>
          </cell>
          <cell r="R6426" t="str">
            <v>Situbondo</v>
          </cell>
          <cell r="S6426" t="str">
            <v>N Bdw Stb</v>
          </cell>
          <cell r="T6426" t="str">
            <v>Wira</v>
          </cell>
          <cell r="U6426">
            <v>30</v>
          </cell>
        </row>
        <row r="6427">
          <cell r="E6427" t="str">
            <v>D25015497</v>
          </cell>
          <cell r="F6427"/>
          <cell r="G6427">
            <v>9100000000</v>
          </cell>
          <cell r="H6427" t="str">
            <v>Faris</v>
          </cell>
          <cell r="I6427" t="str">
            <v>Syahra</v>
          </cell>
          <cell r="J6427"/>
          <cell r="K6427" t="str">
            <v>BG, KU</v>
          </cell>
          <cell r="L6427" t="str">
            <v>PRIM03</v>
          </cell>
          <cell r="M6427" t="str">
            <v>Prima Tani/Candra Sanjaya</v>
          </cell>
          <cell r="N6427" t="str">
            <v>Candra Sanjaya</v>
          </cell>
          <cell r="O6427" t="str">
            <v>Basuki Rahmad No. 262, RT.002/RW.014 Mimbaan, Panji</v>
          </cell>
          <cell r="P6427" t="str">
            <v>Situbondo</v>
          </cell>
          <cell r="Q6427" t="str">
            <v>Basuki Rahmad No. 262, RT.002/RW.014 Mimbaan, Panji</v>
          </cell>
          <cell r="R6427" t="str">
            <v>Situbondo</v>
          </cell>
          <cell r="S6427" t="str">
            <v>N Bdw Stb</v>
          </cell>
          <cell r="T6427" t="str">
            <v>Wira</v>
          </cell>
          <cell r="U6427">
            <v>30</v>
          </cell>
        </row>
        <row r="6428">
          <cell r="E6428" t="str">
            <v>B25013300</v>
          </cell>
          <cell r="F6428"/>
          <cell r="G6428">
            <v>9100000000</v>
          </cell>
          <cell r="H6428" t="str">
            <v>Faris</v>
          </cell>
          <cell r="I6428" t="str">
            <v>Syahra</v>
          </cell>
          <cell r="J6428"/>
          <cell r="K6428" t="str">
            <v>BG, KU</v>
          </cell>
          <cell r="L6428" t="str">
            <v>PRIM03</v>
          </cell>
          <cell r="M6428" t="str">
            <v>Prima Tani/Candra Sanjaya</v>
          </cell>
          <cell r="N6428" t="str">
            <v>Candra Sanjaya</v>
          </cell>
          <cell r="O6428" t="str">
            <v>Basuki Rahmad No. 262, RT.002/RW.014 Mimbaan, Panji</v>
          </cell>
          <cell r="P6428" t="str">
            <v>Situbondo</v>
          </cell>
          <cell r="Q6428" t="str">
            <v>Basuki Rahmad No. 262, RT.002/RW.014 Mimbaan, Panji</v>
          </cell>
          <cell r="R6428" t="str">
            <v>Situbondo</v>
          </cell>
          <cell r="S6428" t="str">
            <v>N Bdw Stb</v>
          </cell>
          <cell r="T6428" t="str">
            <v>Wira</v>
          </cell>
          <cell r="U6428">
            <v>30</v>
          </cell>
        </row>
        <row r="6429">
          <cell r="E6429" t="str">
            <v>B25013323</v>
          </cell>
          <cell r="F6429"/>
          <cell r="G6429">
            <v>9100000000</v>
          </cell>
          <cell r="H6429" t="str">
            <v>Faris</v>
          </cell>
          <cell r="I6429" t="str">
            <v>Syahra</v>
          </cell>
          <cell r="J6429"/>
          <cell r="K6429" t="str">
            <v>BG, KU</v>
          </cell>
          <cell r="L6429" t="str">
            <v>PRIM03</v>
          </cell>
          <cell r="M6429" t="str">
            <v>Prima Tani/Candra Sanjaya</v>
          </cell>
          <cell r="N6429" t="str">
            <v>Candra Sanjaya</v>
          </cell>
          <cell r="O6429" t="str">
            <v>Basuki Rahmad No. 262, RT.002/RW.014 Mimbaan, Panji</v>
          </cell>
          <cell r="P6429" t="str">
            <v>Situbondo</v>
          </cell>
          <cell r="Q6429" t="str">
            <v>Basuki Rahmad No. 262, RT.002/RW.014 Mimbaan, Panji</v>
          </cell>
          <cell r="R6429" t="str">
            <v>Situbondo</v>
          </cell>
          <cell r="S6429" t="str">
            <v>N Bdw Stb</v>
          </cell>
          <cell r="T6429" t="str">
            <v>Wira</v>
          </cell>
          <cell r="U6429">
            <v>30</v>
          </cell>
        </row>
        <row r="6430">
          <cell r="E6430" t="str">
            <v>D25015610</v>
          </cell>
          <cell r="F6430"/>
          <cell r="G6430">
            <v>9100000000</v>
          </cell>
          <cell r="H6430" t="str">
            <v>Faris</v>
          </cell>
          <cell r="I6430" t="str">
            <v>Syahra</v>
          </cell>
          <cell r="J6430"/>
          <cell r="K6430" t="str">
            <v>BG, KU</v>
          </cell>
          <cell r="L6430" t="str">
            <v>PRIM03</v>
          </cell>
          <cell r="M6430" t="str">
            <v>Prima Tani/Candra Sanjaya</v>
          </cell>
          <cell r="N6430" t="str">
            <v>Candra Sanjaya</v>
          </cell>
          <cell r="O6430" t="str">
            <v>Basuki Rahmad No. 262, RT.002/RW.014 Mimbaan, Panji</v>
          </cell>
          <cell r="P6430" t="str">
            <v>Situbondo</v>
          </cell>
          <cell r="Q6430" t="str">
            <v>Basuki Rahmad No. 262, RT.002/RW.014 Mimbaan, Panji</v>
          </cell>
          <cell r="R6430" t="str">
            <v>Situbondo</v>
          </cell>
          <cell r="S6430" t="str">
            <v>N Bdw Stb</v>
          </cell>
          <cell r="T6430" t="str">
            <v>Wira</v>
          </cell>
          <cell r="U6430">
            <v>30</v>
          </cell>
        </row>
        <row r="6431">
          <cell r="E6431" t="str">
            <v>D25015630</v>
          </cell>
          <cell r="F6431"/>
          <cell r="G6431">
            <v>9100000000</v>
          </cell>
          <cell r="H6431" t="str">
            <v>Faris</v>
          </cell>
          <cell r="I6431" t="str">
            <v>Syahra</v>
          </cell>
          <cell r="J6431"/>
          <cell r="K6431" t="str">
            <v>BG, KU</v>
          </cell>
          <cell r="L6431" t="str">
            <v>PRIM03</v>
          </cell>
          <cell r="M6431" t="str">
            <v>Prima Tani/Candra Sanjaya</v>
          </cell>
          <cell r="N6431" t="str">
            <v>Candra Sanjaya</v>
          </cell>
          <cell r="O6431" t="str">
            <v>Basuki Rahmad No. 262, RT.002/RW.014 Mimbaan, Panji</v>
          </cell>
          <cell r="P6431" t="str">
            <v>Situbondo</v>
          </cell>
          <cell r="Q6431" t="str">
            <v>Basuki Rahmad No. 262, RT.002/RW.014 Mimbaan, Panji</v>
          </cell>
          <cell r="R6431" t="str">
            <v>Situbondo</v>
          </cell>
          <cell r="S6431" t="str">
            <v>N Bdw Stb</v>
          </cell>
          <cell r="T6431" t="str">
            <v>Wira</v>
          </cell>
          <cell r="U6431">
            <v>0</v>
          </cell>
        </row>
        <row r="6432">
          <cell r="E6432" t="str">
            <v>D25015650</v>
          </cell>
          <cell r="F6432"/>
          <cell r="G6432">
            <v>9100000000</v>
          </cell>
          <cell r="H6432" t="str">
            <v>Faris</v>
          </cell>
          <cell r="I6432" t="str">
            <v>Syahra</v>
          </cell>
          <cell r="J6432"/>
          <cell r="K6432" t="str">
            <v>BG, KU</v>
          </cell>
          <cell r="L6432" t="str">
            <v>PRIM03</v>
          </cell>
          <cell r="M6432" t="str">
            <v>Prima Tani/Candra Sanjaya</v>
          </cell>
          <cell r="N6432" t="str">
            <v>Candra Sanjaya</v>
          </cell>
          <cell r="O6432" t="str">
            <v>Basuki Rahmad No. 262, RT.002/RW.014 Mimbaan, Panji</v>
          </cell>
          <cell r="P6432" t="str">
            <v>Situbondo</v>
          </cell>
          <cell r="Q6432" t="str">
            <v>Basuki Rahmad No. 262, RT.002/RW.014 Mimbaan, Panji</v>
          </cell>
          <cell r="R6432" t="str">
            <v>Situbondo</v>
          </cell>
          <cell r="S6432" t="str">
            <v>N Bdw Stb</v>
          </cell>
          <cell r="T6432" t="str">
            <v>Wira</v>
          </cell>
          <cell r="U6432">
            <v>30</v>
          </cell>
        </row>
        <row r="6433">
          <cell r="E6433" t="str">
            <v>B25013451</v>
          </cell>
          <cell r="F6433"/>
          <cell r="G6433">
            <v>9100000000</v>
          </cell>
          <cell r="H6433" t="str">
            <v>Faris</v>
          </cell>
          <cell r="I6433" t="str">
            <v>Syahra</v>
          </cell>
          <cell r="J6433"/>
          <cell r="K6433" t="str">
            <v>BG, KU</v>
          </cell>
          <cell r="L6433" t="str">
            <v>PRIM03</v>
          </cell>
          <cell r="M6433" t="str">
            <v>Prima Tani/Candra Sanjaya</v>
          </cell>
          <cell r="N6433" t="str">
            <v>Candra Sanjaya</v>
          </cell>
          <cell r="O6433" t="str">
            <v>Basuki Rahmad No. 262, RT.002/RW.014 Mimbaan, Panji</v>
          </cell>
          <cell r="P6433" t="str">
            <v>Situbondo</v>
          </cell>
          <cell r="Q6433" t="str">
            <v>Basuki Rahmad No. 262, RT.002/RW.014 Mimbaan, Panji</v>
          </cell>
          <cell r="R6433" t="str">
            <v>Situbondo</v>
          </cell>
          <cell r="S6433" t="str">
            <v>N Bdw Stb</v>
          </cell>
          <cell r="T6433" t="str">
            <v>Wira</v>
          </cell>
          <cell r="U6433">
            <v>30</v>
          </cell>
        </row>
        <row r="6434">
          <cell r="E6434" t="str">
            <v>B25013560</v>
          </cell>
          <cell r="F6434"/>
          <cell r="G6434">
            <v>9100000000</v>
          </cell>
          <cell r="H6434" t="str">
            <v>Faris</v>
          </cell>
          <cell r="I6434" t="str">
            <v>Syahra</v>
          </cell>
          <cell r="J6434"/>
          <cell r="K6434" t="str">
            <v>BG, KU</v>
          </cell>
          <cell r="L6434" t="str">
            <v>PRIM03</v>
          </cell>
          <cell r="M6434" t="str">
            <v>Prima Tani/Candra Sanjaya</v>
          </cell>
          <cell r="N6434" t="str">
            <v>Candra Sanjaya</v>
          </cell>
          <cell r="O6434" t="str">
            <v>Basuki Rahmad No. 262, RT.002/RW.014 Mimbaan, Panji</v>
          </cell>
          <cell r="P6434" t="str">
            <v>Situbondo</v>
          </cell>
          <cell r="Q6434" t="str">
            <v>Basuki Rahmad No. 262, RT.002/RW.014 Mimbaan, Panji</v>
          </cell>
          <cell r="R6434" t="str">
            <v>Situbondo</v>
          </cell>
          <cell r="S6434" t="str">
            <v>N Bdw Stb</v>
          </cell>
          <cell r="T6434" t="str">
            <v>Wira</v>
          </cell>
          <cell r="U6434">
            <v>30</v>
          </cell>
        </row>
        <row r="6435">
          <cell r="E6435" t="str">
            <v>D25015803</v>
          </cell>
          <cell r="F6435"/>
          <cell r="G6435">
            <v>9100000000</v>
          </cell>
          <cell r="H6435" t="str">
            <v>Faris</v>
          </cell>
          <cell r="I6435" t="str">
            <v>Syahra</v>
          </cell>
          <cell r="J6435"/>
          <cell r="K6435" t="str">
            <v>BG, KU</v>
          </cell>
          <cell r="L6435" t="str">
            <v>PRIM03</v>
          </cell>
          <cell r="M6435" t="str">
            <v>Prima Tani/Candra Sanjaya</v>
          </cell>
          <cell r="N6435" t="str">
            <v>Candra Sanjaya</v>
          </cell>
          <cell r="O6435" t="str">
            <v>Basuki Rahmad No. 262, RT.002/RW.014 Mimbaan, Panji</v>
          </cell>
          <cell r="P6435" t="str">
            <v>Situbondo</v>
          </cell>
          <cell r="Q6435" t="str">
            <v>Basuki Rahmad No. 262, RT.002/RW.014 Mimbaan, Panji</v>
          </cell>
          <cell r="R6435" t="str">
            <v>Situbondo</v>
          </cell>
          <cell r="S6435" t="str">
            <v>N Bdw Stb</v>
          </cell>
          <cell r="T6435" t="str">
            <v>Wira</v>
          </cell>
          <cell r="U6435">
            <v>30</v>
          </cell>
        </row>
        <row r="6436">
          <cell r="E6436" t="str">
            <v>D25015804</v>
          </cell>
          <cell r="F6436"/>
          <cell r="G6436">
            <v>9100000000</v>
          </cell>
          <cell r="H6436" t="str">
            <v>Faris</v>
          </cell>
          <cell r="I6436" t="str">
            <v>Syahra</v>
          </cell>
          <cell r="J6436"/>
          <cell r="K6436" t="str">
            <v>BG, KU</v>
          </cell>
          <cell r="L6436" t="str">
            <v>PRIM03</v>
          </cell>
          <cell r="M6436" t="str">
            <v>Prima Tani/Candra Sanjaya</v>
          </cell>
          <cell r="N6436" t="str">
            <v>Candra Sanjaya</v>
          </cell>
          <cell r="O6436" t="str">
            <v>Basuki Rahmad No. 262, RT.002/RW.014 Mimbaan, Panji</v>
          </cell>
          <cell r="P6436" t="str">
            <v>Situbondo</v>
          </cell>
          <cell r="Q6436" t="str">
            <v>Basuki Rahmad No. 262, RT.002/RW.014 Mimbaan, Panji</v>
          </cell>
          <cell r="R6436" t="str">
            <v>Situbondo</v>
          </cell>
          <cell r="S6436" t="str">
            <v>N Bdw Stb</v>
          </cell>
          <cell r="T6436" t="str">
            <v>Wira</v>
          </cell>
          <cell r="U6436">
            <v>30</v>
          </cell>
        </row>
        <row r="6437">
          <cell r="E6437" t="str">
            <v>D25015805</v>
          </cell>
          <cell r="F6437"/>
          <cell r="G6437">
            <v>9100000000</v>
          </cell>
          <cell r="H6437" t="str">
            <v>Faris</v>
          </cell>
          <cell r="I6437" t="str">
            <v>Syahra</v>
          </cell>
          <cell r="J6437"/>
          <cell r="K6437" t="str">
            <v>BG, KU</v>
          </cell>
          <cell r="L6437" t="str">
            <v>PRIM03</v>
          </cell>
          <cell r="M6437" t="str">
            <v>Prima Tani/Candra Sanjaya</v>
          </cell>
          <cell r="N6437" t="str">
            <v>Candra Sanjaya</v>
          </cell>
          <cell r="O6437" t="str">
            <v>Basuki Rahmad No. 262, RT.002/RW.014 Mimbaan, Panji</v>
          </cell>
          <cell r="P6437" t="str">
            <v>Situbondo</v>
          </cell>
          <cell r="Q6437" t="str">
            <v>Basuki Rahmad No. 262, RT.002/RW.014 Mimbaan, Panji</v>
          </cell>
          <cell r="R6437" t="str">
            <v>Situbondo</v>
          </cell>
          <cell r="S6437" t="str">
            <v>N Bdw Stb</v>
          </cell>
          <cell r="T6437" t="str">
            <v>Wira</v>
          </cell>
          <cell r="U6437">
            <v>30</v>
          </cell>
        </row>
        <row r="6438">
          <cell r="E6438" t="str">
            <v>D25015821</v>
          </cell>
          <cell r="F6438"/>
          <cell r="G6438">
            <v>9100000000</v>
          </cell>
          <cell r="H6438" t="str">
            <v>Faris</v>
          </cell>
          <cell r="I6438" t="str">
            <v>Syahra</v>
          </cell>
          <cell r="J6438"/>
          <cell r="K6438" t="str">
            <v>BG, KU</v>
          </cell>
          <cell r="L6438" t="str">
            <v>PRIM03</v>
          </cell>
          <cell r="M6438" t="str">
            <v>Prima Tani/Candra Sanjaya</v>
          </cell>
          <cell r="N6438" t="str">
            <v>Candra Sanjaya</v>
          </cell>
          <cell r="O6438" t="str">
            <v>Basuki Rahmad No. 262, RT.002/RW.014 Mimbaan, Panji</v>
          </cell>
          <cell r="P6438" t="str">
            <v>Situbondo</v>
          </cell>
          <cell r="Q6438" t="str">
            <v>Basuki Rahmad No. 262, RT.002/RW.014 Mimbaan, Panji</v>
          </cell>
          <cell r="R6438" t="str">
            <v>Situbondo</v>
          </cell>
          <cell r="S6438" t="str">
            <v>N Bdw Stb</v>
          </cell>
          <cell r="T6438" t="str">
            <v>Wira</v>
          </cell>
          <cell r="U6438">
            <v>30</v>
          </cell>
        </row>
        <row r="6439">
          <cell r="E6439" t="str">
            <v>D25015826</v>
          </cell>
          <cell r="F6439"/>
          <cell r="G6439">
            <v>9100000000</v>
          </cell>
          <cell r="H6439" t="str">
            <v>Faris</v>
          </cell>
          <cell r="I6439" t="str">
            <v>Syahra</v>
          </cell>
          <cell r="J6439"/>
          <cell r="K6439" t="str">
            <v>BG, KU</v>
          </cell>
          <cell r="L6439" t="str">
            <v>PRIM03</v>
          </cell>
          <cell r="M6439" t="str">
            <v>Prima Tani/Candra Sanjaya</v>
          </cell>
          <cell r="N6439" t="str">
            <v>Candra Sanjaya</v>
          </cell>
          <cell r="O6439" t="str">
            <v>Basuki Rahmad No. 262, RT.002/RW.014 Mimbaan, Panji</v>
          </cell>
          <cell r="P6439" t="str">
            <v>Situbondo</v>
          </cell>
          <cell r="Q6439" t="str">
            <v>Basuki Rahmad No. 262, RT.002/RW.014 Mimbaan, Panji</v>
          </cell>
          <cell r="R6439" t="str">
            <v>Situbondo</v>
          </cell>
          <cell r="S6439" t="str">
            <v>N Bdw Stb</v>
          </cell>
          <cell r="T6439" t="str">
            <v>Wira</v>
          </cell>
          <cell r="U6439">
            <v>30</v>
          </cell>
        </row>
        <row r="6440">
          <cell r="E6440" t="str">
            <v>D25015827</v>
          </cell>
          <cell r="F6440"/>
          <cell r="G6440">
            <v>9100000000</v>
          </cell>
          <cell r="H6440" t="str">
            <v>Faris</v>
          </cell>
          <cell r="I6440" t="str">
            <v>Syahra</v>
          </cell>
          <cell r="J6440"/>
          <cell r="K6440" t="str">
            <v>BG, KU</v>
          </cell>
          <cell r="L6440" t="str">
            <v>PRIM03</v>
          </cell>
          <cell r="M6440" t="str">
            <v>Prima Tani/Candra Sanjaya</v>
          </cell>
          <cell r="N6440" t="str">
            <v>Candra Sanjaya</v>
          </cell>
          <cell r="O6440" t="str">
            <v>Basuki Rahmad No. 262, RT.002/RW.014 Mimbaan, Panji</v>
          </cell>
          <cell r="P6440" t="str">
            <v>Situbondo</v>
          </cell>
          <cell r="Q6440" t="str">
            <v>Basuki Rahmad No. 262, RT.002/RW.014 Mimbaan, Panji</v>
          </cell>
          <cell r="R6440" t="str">
            <v>Situbondo</v>
          </cell>
          <cell r="S6440" t="str">
            <v>N Bdw Stb</v>
          </cell>
          <cell r="T6440" t="str">
            <v>Wira</v>
          </cell>
          <cell r="U6440">
            <v>14</v>
          </cell>
        </row>
        <row r="6441">
          <cell r="E6441" t="str">
            <v>D25015904</v>
          </cell>
          <cell r="F6441"/>
          <cell r="G6441">
            <v>9100000000</v>
          </cell>
          <cell r="H6441" t="str">
            <v>Faris</v>
          </cell>
          <cell r="I6441" t="str">
            <v>Syahra</v>
          </cell>
          <cell r="J6441"/>
          <cell r="K6441" t="str">
            <v>BG, KU</v>
          </cell>
          <cell r="L6441" t="str">
            <v>PRIM03</v>
          </cell>
          <cell r="M6441" t="str">
            <v>Prima Tani/Candra Sanjaya</v>
          </cell>
          <cell r="N6441" t="str">
            <v>Candra Sanjaya</v>
          </cell>
          <cell r="O6441" t="str">
            <v>Basuki Rahmad No. 262, RT.002/RW.014 Mimbaan, Panji</v>
          </cell>
          <cell r="P6441" t="str">
            <v>Situbondo</v>
          </cell>
          <cell r="Q6441" t="str">
            <v>Basuki Rahmad No. 262, RT.002/RW.014 Mimbaan, Panji</v>
          </cell>
          <cell r="R6441" t="str">
            <v>Situbondo</v>
          </cell>
          <cell r="S6441" t="str">
            <v>N Bdw Stb</v>
          </cell>
          <cell r="T6441" t="str">
            <v>Wira</v>
          </cell>
          <cell r="U6441">
            <v>30</v>
          </cell>
        </row>
        <row r="6442">
          <cell r="E6442" t="str">
            <v>D25015913</v>
          </cell>
          <cell r="F6442"/>
          <cell r="G6442">
            <v>9100000000</v>
          </cell>
          <cell r="H6442" t="str">
            <v>Faris</v>
          </cell>
          <cell r="I6442" t="str">
            <v>Syahra</v>
          </cell>
          <cell r="J6442"/>
          <cell r="K6442" t="str">
            <v>BG, KU</v>
          </cell>
          <cell r="L6442" t="str">
            <v>PRIM03</v>
          </cell>
          <cell r="M6442" t="str">
            <v>Prima Tani/Candra Sanjaya</v>
          </cell>
          <cell r="N6442" t="str">
            <v>Candra Sanjaya</v>
          </cell>
          <cell r="O6442" t="str">
            <v>Basuki Rahmad No. 262, RT.002/RW.014 Mimbaan, Panji</v>
          </cell>
          <cell r="P6442" t="str">
            <v>Situbondo</v>
          </cell>
          <cell r="Q6442" t="str">
            <v>Basuki Rahmad No. 262, RT.002/RW.014 Mimbaan, Panji</v>
          </cell>
          <cell r="R6442" t="str">
            <v>Situbondo</v>
          </cell>
          <cell r="S6442" t="str">
            <v>N Bdw Stb</v>
          </cell>
          <cell r="T6442" t="str">
            <v>Wira</v>
          </cell>
          <cell r="U6442">
            <v>30</v>
          </cell>
        </row>
        <row r="6443">
          <cell r="E6443" t="str">
            <v>D25016002</v>
          </cell>
          <cell r="F6443"/>
          <cell r="G6443">
            <v>9100000000</v>
          </cell>
          <cell r="H6443" t="str">
            <v>Faris</v>
          </cell>
          <cell r="I6443" t="str">
            <v>Syahra</v>
          </cell>
          <cell r="J6443"/>
          <cell r="K6443" t="str">
            <v>BG, KU</v>
          </cell>
          <cell r="L6443" t="str">
            <v>PRIM03</v>
          </cell>
          <cell r="M6443" t="str">
            <v>Prima Tani/Candra Sanjaya</v>
          </cell>
          <cell r="N6443" t="str">
            <v>Candra Sanjaya</v>
          </cell>
          <cell r="O6443" t="str">
            <v>Basuki Rahmad No. 262, RT.002/RW.014 Mimbaan, Panji</v>
          </cell>
          <cell r="P6443" t="str">
            <v>Situbondo</v>
          </cell>
          <cell r="Q6443" t="str">
            <v>Basuki Rahmad No. 262, RT.002/RW.014 Mimbaan, Panji</v>
          </cell>
          <cell r="R6443" t="str">
            <v>Situbondo</v>
          </cell>
          <cell r="S6443" t="str">
            <v>N Bdw Stb</v>
          </cell>
          <cell r="T6443" t="str">
            <v>Wira</v>
          </cell>
          <cell r="U6443">
            <v>30</v>
          </cell>
        </row>
        <row r="6444">
          <cell r="E6444" t="str">
            <v>D25016091</v>
          </cell>
          <cell r="F6444"/>
          <cell r="G6444">
            <v>9100000000</v>
          </cell>
          <cell r="H6444" t="str">
            <v>Faris</v>
          </cell>
          <cell r="I6444" t="str">
            <v>Syahra</v>
          </cell>
          <cell r="J6444"/>
          <cell r="K6444" t="str">
            <v>BG, KU</v>
          </cell>
          <cell r="L6444" t="str">
            <v>PRIM03</v>
          </cell>
          <cell r="M6444" t="str">
            <v>Prima Tani/Candra Sanjaya</v>
          </cell>
          <cell r="N6444" t="str">
            <v>Candra Sanjaya</v>
          </cell>
          <cell r="O6444" t="str">
            <v>Basuki Rahmad No. 262, RT.002/RW.014 Mimbaan, Panji</v>
          </cell>
          <cell r="P6444" t="str">
            <v>Situbondo</v>
          </cell>
          <cell r="Q6444" t="str">
            <v>Basuki Rahmad No. 262, RT.002/RW.014 Mimbaan, Panji</v>
          </cell>
          <cell r="R6444" t="str">
            <v>Situbondo</v>
          </cell>
          <cell r="S6444" t="str">
            <v>N Bdw Stb</v>
          </cell>
          <cell r="T6444" t="str">
            <v>Wira</v>
          </cell>
          <cell r="U6444">
            <v>30</v>
          </cell>
        </row>
        <row r="6445">
          <cell r="E6445" t="str">
            <v>B25013760</v>
          </cell>
          <cell r="F6445"/>
          <cell r="G6445">
            <v>9100000000</v>
          </cell>
          <cell r="H6445" t="str">
            <v>Faris</v>
          </cell>
          <cell r="I6445" t="str">
            <v>Syahra</v>
          </cell>
          <cell r="J6445"/>
          <cell r="K6445" t="str">
            <v>BG, KU</v>
          </cell>
          <cell r="L6445" t="str">
            <v>PRIM03</v>
          </cell>
          <cell r="M6445" t="str">
            <v>Prima Tani/Candra Sanjaya</v>
          </cell>
          <cell r="N6445" t="str">
            <v>Candra Sanjaya</v>
          </cell>
          <cell r="O6445" t="str">
            <v>Basuki Rahmad No. 262, RT.002/RW.014 Mimbaan, Panji</v>
          </cell>
          <cell r="P6445" t="str">
            <v>Situbondo</v>
          </cell>
          <cell r="Q6445" t="str">
            <v>Basuki Rahmad No. 262, RT.002/RW.014 Mimbaan, Panji</v>
          </cell>
          <cell r="R6445" t="str">
            <v>Situbondo</v>
          </cell>
          <cell r="S6445" t="str">
            <v>N Bdw Stb</v>
          </cell>
          <cell r="T6445" t="str">
            <v>Wira</v>
          </cell>
          <cell r="U6445">
            <v>30</v>
          </cell>
        </row>
        <row r="6446">
          <cell r="E6446" t="str">
            <v>D25016116</v>
          </cell>
          <cell r="F6446"/>
          <cell r="G6446">
            <v>9100000000</v>
          </cell>
          <cell r="H6446" t="str">
            <v>Faris</v>
          </cell>
          <cell r="I6446" t="str">
            <v>Syahra</v>
          </cell>
          <cell r="J6446"/>
          <cell r="K6446" t="str">
            <v>BG, KU</v>
          </cell>
          <cell r="L6446" t="str">
            <v>PRIM03</v>
          </cell>
          <cell r="M6446" t="str">
            <v>Prima Tani/Candra Sanjaya</v>
          </cell>
          <cell r="N6446" t="str">
            <v>Candra Sanjaya</v>
          </cell>
          <cell r="O6446" t="str">
            <v>Basuki Rahmad No. 262, RT.002/RW.014 Mimbaan, Panji</v>
          </cell>
          <cell r="P6446" t="str">
            <v>Situbondo</v>
          </cell>
          <cell r="Q6446" t="str">
            <v>Basuki Rahmad No. 262, RT.002/RW.014 Mimbaan, Panji</v>
          </cell>
          <cell r="R6446" t="str">
            <v>Situbondo</v>
          </cell>
          <cell r="S6446" t="str">
            <v>N Bdw Stb</v>
          </cell>
          <cell r="T6446" t="str">
            <v>Wira</v>
          </cell>
          <cell r="U6446">
            <v>30</v>
          </cell>
        </row>
        <row r="6447">
          <cell r="E6447" t="str">
            <v>B25013832</v>
          </cell>
          <cell r="F6447"/>
          <cell r="G6447">
            <v>9100000000</v>
          </cell>
          <cell r="H6447" t="str">
            <v>Faris</v>
          </cell>
          <cell r="I6447" t="str">
            <v>Syahra</v>
          </cell>
          <cell r="J6447"/>
          <cell r="K6447" t="str">
            <v>BG, KU</v>
          </cell>
          <cell r="L6447" t="str">
            <v>PRIM03</v>
          </cell>
          <cell r="M6447" t="str">
            <v>Prima Tani/Candra Sanjaya</v>
          </cell>
          <cell r="N6447" t="str">
            <v>Candra Sanjaya</v>
          </cell>
          <cell r="O6447" t="str">
            <v>Basuki Rahmad No. 262, RT.002/RW.014 Mimbaan, Panji</v>
          </cell>
          <cell r="P6447" t="str">
            <v>Situbondo</v>
          </cell>
          <cell r="Q6447" t="str">
            <v>Basuki Rahmad No. 262, RT.002/RW.014 Mimbaan, Panji</v>
          </cell>
          <cell r="R6447" t="str">
            <v>Situbondo</v>
          </cell>
          <cell r="S6447" t="str">
            <v>N Bdw Stb</v>
          </cell>
          <cell r="T6447" t="str">
            <v>Wira</v>
          </cell>
          <cell r="U6447">
            <v>30</v>
          </cell>
        </row>
        <row r="6448">
          <cell r="E6448" t="str">
            <v>B25013860</v>
          </cell>
          <cell r="F6448"/>
          <cell r="G6448">
            <v>9100000000</v>
          </cell>
          <cell r="H6448" t="str">
            <v>Faris</v>
          </cell>
          <cell r="I6448" t="str">
            <v>Syahra</v>
          </cell>
          <cell r="J6448"/>
          <cell r="K6448" t="str">
            <v>BG, KU</v>
          </cell>
          <cell r="L6448" t="str">
            <v>PRIM03</v>
          </cell>
          <cell r="M6448" t="str">
            <v>Prima Tani/Candra Sanjaya</v>
          </cell>
          <cell r="N6448" t="str">
            <v>Candra Sanjaya</v>
          </cell>
          <cell r="O6448" t="str">
            <v>Basuki Rahmad No. 262, RT.002/RW.014 Mimbaan, Panji</v>
          </cell>
          <cell r="P6448" t="str">
            <v>Situbondo</v>
          </cell>
          <cell r="Q6448" t="str">
            <v>Basuki Rahmad No. 262, RT.002/RW.014 Mimbaan, Panji</v>
          </cell>
          <cell r="R6448" t="str">
            <v>Situbondo</v>
          </cell>
          <cell r="S6448" t="str">
            <v>N Bdw Stb</v>
          </cell>
          <cell r="T6448" t="str">
            <v>Wira</v>
          </cell>
          <cell r="U6448">
            <v>30</v>
          </cell>
        </row>
        <row r="6449">
          <cell r="E6449" t="str">
            <v>D25016180</v>
          </cell>
          <cell r="F6449"/>
          <cell r="G6449">
            <v>9100000000</v>
          </cell>
          <cell r="H6449" t="str">
            <v>Faris</v>
          </cell>
          <cell r="I6449" t="str">
            <v>Syahra</v>
          </cell>
          <cell r="J6449"/>
          <cell r="K6449" t="str">
            <v>BG, KU</v>
          </cell>
          <cell r="L6449" t="str">
            <v>PRIM03</v>
          </cell>
          <cell r="M6449" t="str">
            <v>Prima Tani/Candra Sanjaya</v>
          </cell>
          <cell r="N6449" t="str">
            <v>Candra Sanjaya</v>
          </cell>
          <cell r="O6449" t="str">
            <v>Basuki Rahmad No. 262, RT.002/RW.014 Mimbaan, Panji</v>
          </cell>
          <cell r="P6449" t="str">
            <v>Situbondo</v>
          </cell>
          <cell r="Q6449" t="str">
            <v>Basuki Rahmad No. 262, RT.002/RW.014 Mimbaan, Panji</v>
          </cell>
          <cell r="R6449" t="str">
            <v>Situbondo</v>
          </cell>
          <cell r="S6449" t="str">
            <v>N Bdw Stb</v>
          </cell>
          <cell r="T6449" t="str">
            <v>Wira</v>
          </cell>
          <cell r="U6449">
            <v>30</v>
          </cell>
        </row>
        <row r="6450">
          <cell r="E6450" t="str">
            <v>B25013941</v>
          </cell>
          <cell r="F6450"/>
          <cell r="G6450">
            <v>9100000000</v>
          </cell>
          <cell r="H6450" t="str">
            <v>Faris</v>
          </cell>
          <cell r="I6450" t="str">
            <v>Syahra</v>
          </cell>
          <cell r="J6450"/>
          <cell r="K6450" t="str">
            <v>BG, KU</v>
          </cell>
          <cell r="L6450" t="str">
            <v>PRIM03</v>
          </cell>
          <cell r="M6450" t="str">
            <v>Prima Tani/Candra Sanjaya</v>
          </cell>
          <cell r="N6450" t="str">
            <v>Candra Sanjaya</v>
          </cell>
          <cell r="O6450" t="str">
            <v>Basuki Rahmad No. 262, RT.002/RW.014 Mimbaan, Panji</v>
          </cell>
          <cell r="P6450" t="str">
            <v>Situbondo</v>
          </cell>
          <cell r="Q6450" t="str">
            <v>Basuki Rahmad No. 262, RT.002/RW.014 Mimbaan, Panji</v>
          </cell>
          <cell r="R6450" t="str">
            <v>Situbondo</v>
          </cell>
          <cell r="S6450" t="str">
            <v>N Bdw Stb</v>
          </cell>
          <cell r="T6450" t="str">
            <v>Wira</v>
          </cell>
          <cell r="U6450">
            <v>30</v>
          </cell>
        </row>
        <row r="6451">
          <cell r="E6451" t="str">
            <v>B25014006</v>
          </cell>
          <cell r="F6451"/>
          <cell r="G6451">
            <v>9100000000</v>
          </cell>
          <cell r="H6451" t="str">
            <v>Faris</v>
          </cell>
          <cell r="I6451" t="str">
            <v>Syahra</v>
          </cell>
          <cell r="J6451"/>
          <cell r="K6451" t="str">
            <v>BG, KU</v>
          </cell>
          <cell r="L6451" t="str">
            <v>PRIM03</v>
          </cell>
          <cell r="M6451" t="str">
            <v>Prima Tani/Candra Sanjaya</v>
          </cell>
          <cell r="N6451" t="str">
            <v>Candra Sanjaya</v>
          </cell>
          <cell r="O6451" t="str">
            <v>Basuki Rahmad No. 262, RT.002/RW.014 Mimbaan, Panji</v>
          </cell>
          <cell r="P6451" t="str">
            <v>Situbondo</v>
          </cell>
          <cell r="Q6451" t="str">
            <v>Basuki Rahmad No. 262, RT.002/RW.014 Mimbaan, Panji</v>
          </cell>
          <cell r="R6451" t="str">
            <v>Situbondo</v>
          </cell>
          <cell r="S6451" t="str">
            <v>N Bdw Stb</v>
          </cell>
          <cell r="T6451" t="str">
            <v>Wira</v>
          </cell>
          <cell r="U6451">
            <v>30</v>
          </cell>
        </row>
        <row r="6452">
          <cell r="E6452" t="str">
            <v>D25016298</v>
          </cell>
          <cell r="F6452"/>
          <cell r="G6452">
            <v>9100000000</v>
          </cell>
          <cell r="H6452" t="str">
            <v>Faris</v>
          </cell>
          <cell r="I6452" t="str">
            <v>Syahra</v>
          </cell>
          <cell r="J6452"/>
          <cell r="K6452" t="str">
            <v>BG, KU</v>
          </cell>
          <cell r="L6452" t="str">
            <v>PRIM03</v>
          </cell>
          <cell r="M6452" t="str">
            <v>Prima Tani/Candra Sanjaya</v>
          </cell>
          <cell r="N6452" t="str">
            <v>Candra Sanjaya</v>
          </cell>
          <cell r="O6452" t="str">
            <v>Basuki Rahmad No. 262, RT.002/RW.014 Mimbaan, Panji</v>
          </cell>
          <cell r="P6452" t="str">
            <v>Situbondo</v>
          </cell>
          <cell r="Q6452" t="str">
            <v>Basuki Rahmad No. 262, RT.002/RW.014 Mimbaan, Panji</v>
          </cell>
          <cell r="R6452" t="str">
            <v>Situbondo</v>
          </cell>
          <cell r="S6452" t="str">
            <v>N Bdw Stb</v>
          </cell>
          <cell r="T6452" t="str">
            <v>Wira</v>
          </cell>
          <cell r="U6452">
            <v>30</v>
          </cell>
        </row>
        <row r="6453">
          <cell r="E6453" t="str">
            <v>D25016299</v>
          </cell>
          <cell r="F6453"/>
          <cell r="G6453">
            <v>9100000000</v>
          </cell>
          <cell r="H6453" t="str">
            <v>Faris</v>
          </cell>
          <cell r="I6453" t="str">
            <v>Syahra</v>
          </cell>
          <cell r="J6453"/>
          <cell r="K6453" t="str">
            <v>BG, KU</v>
          </cell>
          <cell r="L6453" t="str">
            <v>PRIM03</v>
          </cell>
          <cell r="M6453" t="str">
            <v>Prima Tani/Candra Sanjaya</v>
          </cell>
          <cell r="N6453" t="str">
            <v>Candra Sanjaya</v>
          </cell>
          <cell r="O6453" t="str">
            <v>Basuki Rahmad No. 262, RT.002/RW.014 Mimbaan, Panji</v>
          </cell>
          <cell r="P6453" t="str">
            <v>Situbondo</v>
          </cell>
          <cell r="Q6453" t="str">
            <v>Basuki Rahmad No. 262, RT.002/RW.014 Mimbaan, Panji</v>
          </cell>
          <cell r="R6453" t="str">
            <v>Situbondo</v>
          </cell>
          <cell r="S6453" t="str">
            <v>N Bdw Stb</v>
          </cell>
          <cell r="T6453" t="str">
            <v>Wira</v>
          </cell>
          <cell r="U6453">
            <v>30</v>
          </cell>
        </row>
        <row r="6454">
          <cell r="E6454" t="str">
            <v>D25016126</v>
          </cell>
          <cell r="F6454"/>
          <cell r="G6454">
            <v>1000</v>
          </cell>
          <cell r="H6454" t="str">
            <v>Reni</v>
          </cell>
          <cell r="I6454" t="str">
            <v>Farida</v>
          </cell>
          <cell r="J6454"/>
          <cell r="K6454" t="str">
            <v>KU</v>
          </cell>
          <cell r="L6454" t="str">
            <v>PRIM04</v>
          </cell>
          <cell r="M6454" t="str">
            <v>Prima Tani/Tekat</v>
          </cell>
          <cell r="N6454" t="str">
            <v>Titin Lianawati</v>
          </cell>
          <cell r="O6454" t="str">
            <v>Kabuh</v>
          </cell>
          <cell r="P6454" t="str">
            <v>Jombang</v>
          </cell>
          <cell r="Q6454" t="str">
            <v>Kabuh</v>
          </cell>
          <cell r="R6454" t="str">
            <v>Jombang</v>
          </cell>
          <cell r="S6454" t="str">
            <v>D Barat2</v>
          </cell>
          <cell r="T6454" t="str">
            <v>Tomi</v>
          </cell>
          <cell r="U6454">
            <v>0</v>
          </cell>
        </row>
        <row r="6455">
          <cell r="E6455" t="str">
            <v>D25015140</v>
          </cell>
          <cell r="F6455"/>
          <cell r="G6455">
            <v>5000000000</v>
          </cell>
          <cell r="H6455" t="str">
            <v>Hendra</v>
          </cell>
          <cell r="I6455" t="str">
            <v>Tiya</v>
          </cell>
          <cell r="J6455"/>
          <cell r="K6455" t="str">
            <v>KU</v>
          </cell>
          <cell r="L6455" t="str">
            <v>SUMB92</v>
          </cell>
          <cell r="M6455" t="str">
            <v>Primus Tani, UD</v>
          </cell>
          <cell r="N6455" t="str">
            <v>Agrosim, CV</v>
          </cell>
          <cell r="O6455" t="str">
            <v>Jalan Kartini No.7, Bada, Dompu</v>
          </cell>
          <cell r="P6455" t="str">
            <v>Dompu</v>
          </cell>
          <cell r="Q6455" t="str">
            <v>Ling Ncera RT. 9 RW. 4 Simpasai Kec. Woja Kab. Dompu</v>
          </cell>
          <cell r="R6455" t="str">
            <v>NTB</v>
          </cell>
          <cell r="S6455" t="str">
            <v>E Luar Pulau2</v>
          </cell>
          <cell r="T6455" t="str">
            <v>Muhlisin</v>
          </cell>
          <cell r="U6455">
            <v>15</v>
          </cell>
        </row>
        <row r="6456">
          <cell r="E6456" t="str">
            <v>D25015277</v>
          </cell>
          <cell r="F6456"/>
          <cell r="G6456">
            <v>5000000000</v>
          </cell>
          <cell r="H6456" t="str">
            <v>Hendra</v>
          </cell>
          <cell r="I6456" t="str">
            <v>Tiya</v>
          </cell>
          <cell r="J6456"/>
          <cell r="K6456" t="str">
            <v>KU</v>
          </cell>
          <cell r="L6456" t="str">
            <v>SUMB92</v>
          </cell>
          <cell r="M6456" t="str">
            <v>Primus Tani, UD</v>
          </cell>
          <cell r="N6456" t="str">
            <v>Agrosim, CV</v>
          </cell>
          <cell r="O6456" t="str">
            <v>Jalan Kartini No.7, Bada, Dompu</v>
          </cell>
          <cell r="P6456" t="str">
            <v>Dompu</v>
          </cell>
          <cell r="Q6456" t="str">
            <v>Ling Ncera RT. 9 RW. 4 Simpasai Kec. Woja Kab. Dompu</v>
          </cell>
          <cell r="R6456" t="str">
            <v>NTB</v>
          </cell>
          <cell r="S6456" t="str">
            <v>E Luar Pulau2</v>
          </cell>
          <cell r="T6456" t="str">
            <v>Muhlisin</v>
          </cell>
          <cell r="U6456">
            <v>15</v>
          </cell>
        </row>
        <row r="6457">
          <cell r="E6457" t="str">
            <v>B25013163</v>
          </cell>
          <cell r="F6457"/>
          <cell r="G6457">
            <v>5000000000</v>
          </cell>
          <cell r="H6457" t="str">
            <v>Hendra</v>
          </cell>
          <cell r="I6457" t="str">
            <v>Tiya</v>
          </cell>
          <cell r="J6457"/>
          <cell r="K6457" t="str">
            <v>KU</v>
          </cell>
          <cell r="L6457" t="str">
            <v>SUMB92</v>
          </cell>
          <cell r="M6457" t="str">
            <v>Primus Tani, UD</v>
          </cell>
          <cell r="N6457" t="str">
            <v>Agrosim, CV</v>
          </cell>
          <cell r="O6457" t="str">
            <v>Jalan Kartini No.7, Bada, Dompu</v>
          </cell>
          <cell r="P6457" t="str">
            <v>Dompu</v>
          </cell>
          <cell r="Q6457" t="str">
            <v>Ling Ncera RT. 9 RW. 4 Simpasai Kec. Woja Kab. Dompu</v>
          </cell>
          <cell r="R6457" t="str">
            <v>NTB</v>
          </cell>
          <cell r="S6457" t="str">
            <v>E Luar Pulau2</v>
          </cell>
          <cell r="T6457" t="str">
            <v>Muhlisin</v>
          </cell>
          <cell r="U6457">
            <v>45</v>
          </cell>
        </row>
        <row r="6458">
          <cell r="E6458" t="str">
            <v>D24013266</v>
          </cell>
          <cell r="F6458"/>
          <cell r="G6458">
            <v>1000</v>
          </cell>
          <cell r="H6458" t="str">
            <v>Hendra</v>
          </cell>
          <cell r="I6458" t="str">
            <v>Tiya</v>
          </cell>
          <cell r="J6458" t="str">
            <v>New 12/10/24</v>
          </cell>
          <cell r="K6458" t="str">
            <v>KU</v>
          </cell>
          <cell r="L6458" t="str">
            <v>PRIM17</v>
          </cell>
          <cell r="M6458" t="str">
            <v>Primus Tani, UD III</v>
          </cell>
          <cell r="N6458" t="str">
            <v>Cristianto Agusto Simbolon</v>
          </cell>
          <cell r="O6458" t="str">
            <v>Jln. Kartini No. 95 RT.003/RW.002, Bada, Dompu</v>
          </cell>
          <cell r="P6458" t="str">
            <v>Dompu - NTB</v>
          </cell>
          <cell r="Q6458" t="str">
            <v>Jln. Kartini No. 95 RT.003/RW.002, Bada, Dompu</v>
          </cell>
          <cell r="R6458" t="str">
            <v>Dompu - NTB</v>
          </cell>
          <cell r="S6458" t="str">
            <v>E Luar Pulau2</v>
          </cell>
          <cell r="T6458" t="str">
            <v>Muhlisin</v>
          </cell>
          <cell r="U6458">
            <v>323</v>
          </cell>
        </row>
        <row r="6459">
          <cell r="E6459" t="str">
            <v>B25010793</v>
          </cell>
          <cell r="F6459"/>
          <cell r="G6459">
            <v>1000</v>
          </cell>
          <cell r="H6459" t="str">
            <v>Hendra</v>
          </cell>
          <cell r="I6459" t="str">
            <v>Tiya</v>
          </cell>
          <cell r="J6459" t="str">
            <v>New 30/05/25</v>
          </cell>
          <cell r="K6459" t="str">
            <v>KU</v>
          </cell>
          <cell r="L6459" t="str">
            <v>PROF01</v>
          </cell>
          <cell r="M6459" t="str">
            <v>Profita Agro Sarana</v>
          </cell>
          <cell r="N6459" t="str">
            <v>Profita Agro Sarana</v>
          </cell>
          <cell r="O6459" t="str">
            <v>Jalan Terminal Induk , (Samping Perumahan Agung Lestari)Sungai Wie, Singkawang</v>
          </cell>
          <cell r="P6459" t="str">
            <v>Kalimantan Barat</v>
          </cell>
          <cell r="Q6459" t="str">
            <v>Jalan Terminal Induk , Kel. Sungai Wie Kec. Singkawang Tengah (Samping Perumahan Agung Lestari) Singkawang</v>
          </cell>
          <cell r="R6459" t="str">
            <v>Kalimantan Barat</v>
          </cell>
          <cell r="S6459" t="str">
            <v>E Luar Pulau2</v>
          </cell>
          <cell r="T6459" t="str">
            <v>Non SE &amp; JSE</v>
          </cell>
          <cell r="U6459">
            <v>15</v>
          </cell>
        </row>
        <row r="6460">
          <cell r="E6460" t="str">
            <v>B25013105</v>
          </cell>
          <cell r="F6460"/>
          <cell r="G6460">
            <v>1000</v>
          </cell>
          <cell r="H6460" t="str">
            <v>Hendra</v>
          </cell>
          <cell r="I6460" t="str">
            <v>Tiya</v>
          </cell>
          <cell r="J6460" t="str">
            <v>New 30/05/25</v>
          </cell>
          <cell r="K6460" t="str">
            <v>KU</v>
          </cell>
          <cell r="L6460" t="str">
            <v>PROF01</v>
          </cell>
          <cell r="M6460" t="str">
            <v>Profita Agro Sarana</v>
          </cell>
          <cell r="N6460" t="str">
            <v>Profita Agro Sarana</v>
          </cell>
          <cell r="O6460" t="str">
            <v>Jalan Terminal Induk , (Samping Perumahan Agung Lestari)Sungai Wie, Singkawang</v>
          </cell>
          <cell r="P6460" t="str">
            <v>Kalimantan Barat</v>
          </cell>
          <cell r="Q6460" t="str">
            <v>Jalan Terminal Induk , Kel. Sungai Wie Kec. Singkawang Tengah (Samping Perumahan Agung Lestari) Singkawang</v>
          </cell>
          <cell r="R6460" t="str">
            <v>Kalimantan Barat</v>
          </cell>
          <cell r="S6460" t="str">
            <v>E Luar Pulau2</v>
          </cell>
          <cell r="T6460" t="str">
            <v>Non SE &amp; JSE</v>
          </cell>
          <cell r="U6460">
            <v>15</v>
          </cell>
        </row>
        <row r="6461">
          <cell r="E6461" t="str">
            <v>B25013521</v>
          </cell>
          <cell r="F6461"/>
          <cell r="G6461">
            <v>1000</v>
          </cell>
          <cell r="H6461" t="str">
            <v>Hendra</v>
          </cell>
          <cell r="I6461" t="str">
            <v>Tiya</v>
          </cell>
          <cell r="J6461"/>
          <cell r="K6461" t="str">
            <v>KU</v>
          </cell>
          <cell r="L6461" t="str">
            <v>PUAJ01</v>
          </cell>
          <cell r="M6461" t="str">
            <v>Pua Jaya, UD</v>
          </cell>
          <cell r="N6461" t="str">
            <v>Masni</v>
          </cell>
          <cell r="O6461" t="str">
            <v>SMAN 1 Palibelo, RW.- Cenggu Cenggu Belo, Kab. Bima NTB</v>
          </cell>
          <cell r="P6461" t="str">
            <v>Bima</v>
          </cell>
          <cell r="Q6461" t="str">
            <v>SMAN 1 Palibelo, RW.- Cenggu Cenggu Belo, Kab. Bima NTB</v>
          </cell>
          <cell r="R6461" t="str">
            <v>Bima</v>
          </cell>
          <cell r="S6461" t="str">
            <v>E Luar Pulau2</v>
          </cell>
          <cell r="T6461" t="str">
            <v>Muhlisin</v>
          </cell>
          <cell r="U6461">
            <v>15</v>
          </cell>
        </row>
        <row r="6462">
          <cell r="E6462" t="str">
            <v>D25012779</v>
          </cell>
          <cell r="F6462"/>
          <cell r="G6462">
            <v>300000000</v>
          </cell>
          <cell r="H6462" t="str">
            <v>Zakia</v>
          </cell>
          <cell r="I6462" t="str">
            <v>Tiya</v>
          </cell>
          <cell r="J6462"/>
          <cell r="K6462" t="str">
            <v>KU</v>
          </cell>
          <cell r="L6462" t="str">
            <v>PUJA01</v>
          </cell>
          <cell r="M6462" t="str">
            <v>Puja Tani, UD</v>
          </cell>
          <cell r="N6462" t="str">
            <v>I Gusti Ngurah Ketut Withadarma</v>
          </cell>
          <cell r="O6462" t="str">
            <v>Br Tinungan, Desa Apuan Kec Baturiti, Kab Tabanan</v>
          </cell>
          <cell r="P6462" t="str">
            <v>Bali</v>
          </cell>
          <cell r="Q6462" t="str">
            <v>Ds. Tinungan, Kec. Baturiti, Tabanan</v>
          </cell>
          <cell r="R6462" t="str">
            <v>Bali</v>
          </cell>
          <cell r="S6462" t="str">
            <v>S Bali2</v>
          </cell>
          <cell r="T6462" t="str">
            <v>Wira</v>
          </cell>
          <cell r="U6462">
            <v>30</v>
          </cell>
        </row>
        <row r="6463">
          <cell r="E6463" t="str">
            <v>D25012780</v>
          </cell>
          <cell r="F6463"/>
          <cell r="G6463">
            <v>300000000</v>
          </cell>
          <cell r="H6463" t="str">
            <v>Zakia</v>
          </cell>
          <cell r="I6463" t="str">
            <v>Tiya</v>
          </cell>
          <cell r="J6463"/>
          <cell r="K6463" t="str">
            <v>KU</v>
          </cell>
          <cell r="L6463" t="str">
            <v>PUJA01</v>
          </cell>
          <cell r="M6463" t="str">
            <v>Puja Tani, UD</v>
          </cell>
          <cell r="N6463" t="str">
            <v>I Gusti Ngurah Ketut Withadarma</v>
          </cell>
          <cell r="O6463" t="str">
            <v>Br Tinungan, Desa Apuan Kec Baturiti, Kab Tabanan</v>
          </cell>
          <cell r="P6463" t="str">
            <v>Bali</v>
          </cell>
          <cell r="Q6463" t="str">
            <v>Ds. Tinungan, Kec. Baturiti, Tabanan</v>
          </cell>
          <cell r="R6463" t="str">
            <v>Bali</v>
          </cell>
          <cell r="S6463" t="str">
            <v>S Bali2</v>
          </cell>
          <cell r="T6463" t="str">
            <v>Wira</v>
          </cell>
          <cell r="U6463">
            <v>30</v>
          </cell>
        </row>
        <row r="6464">
          <cell r="E6464" t="str">
            <v>D25012862</v>
          </cell>
          <cell r="F6464"/>
          <cell r="G6464">
            <v>300000000</v>
          </cell>
          <cell r="H6464" t="str">
            <v>Zakia</v>
          </cell>
          <cell r="I6464" t="str">
            <v>Tiya</v>
          </cell>
          <cell r="J6464"/>
          <cell r="K6464" t="str">
            <v>KU</v>
          </cell>
          <cell r="L6464" t="str">
            <v>PUJA01</v>
          </cell>
          <cell r="M6464" t="str">
            <v>Puja Tani, UD</v>
          </cell>
          <cell r="N6464" t="str">
            <v>I Gusti Ngurah Ketut Withadarma</v>
          </cell>
          <cell r="O6464" t="str">
            <v>Br Tinungan, Desa Apuan Kec Baturiti, Kab Tabanan</v>
          </cell>
          <cell r="P6464" t="str">
            <v>Bali</v>
          </cell>
          <cell r="Q6464" t="str">
            <v>Ds. Tinungan, Kec. Baturiti, Tabanan</v>
          </cell>
          <cell r="R6464" t="str">
            <v>Bali</v>
          </cell>
          <cell r="S6464" t="str">
            <v>S Bali2</v>
          </cell>
          <cell r="T6464" t="str">
            <v>Wira</v>
          </cell>
          <cell r="U6464">
            <v>30</v>
          </cell>
        </row>
        <row r="6465">
          <cell r="E6465" t="str">
            <v>B25011022</v>
          </cell>
          <cell r="F6465"/>
          <cell r="G6465">
            <v>300000000</v>
          </cell>
          <cell r="H6465" t="str">
            <v>Zakia</v>
          </cell>
          <cell r="I6465" t="str">
            <v>Tiya</v>
          </cell>
          <cell r="J6465"/>
          <cell r="K6465" t="str">
            <v>KU</v>
          </cell>
          <cell r="L6465" t="str">
            <v>PUJA01</v>
          </cell>
          <cell r="M6465" t="str">
            <v>Puja Tani, UD</v>
          </cell>
          <cell r="N6465" t="str">
            <v>I Gusti Ngurah Ketut Withadarma</v>
          </cell>
          <cell r="O6465" t="str">
            <v>Br Tinungan, Desa Apuan Kec Baturiti, Kab Tabanan</v>
          </cell>
          <cell r="P6465" t="str">
            <v>Bali</v>
          </cell>
          <cell r="Q6465" t="str">
            <v>Ds. Tinungan, Kec. Baturiti, Tabanan</v>
          </cell>
          <cell r="R6465" t="str">
            <v>Bali</v>
          </cell>
          <cell r="S6465" t="str">
            <v>S Bali2</v>
          </cell>
          <cell r="T6465" t="str">
            <v>Wira</v>
          </cell>
          <cell r="U6465">
            <v>30</v>
          </cell>
        </row>
        <row r="6466">
          <cell r="E6466" t="str">
            <v>D25013719</v>
          </cell>
          <cell r="F6466"/>
          <cell r="G6466">
            <v>300000000</v>
          </cell>
          <cell r="H6466" t="str">
            <v>Zakia</v>
          </cell>
          <cell r="I6466" t="str">
            <v>Tiya</v>
          </cell>
          <cell r="J6466"/>
          <cell r="K6466" t="str">
            <v>KU</v>
          </cell>
          <cell r="L6466" t="str">
            <v>PUJA01</v>
          </cell>
          <cell r="M6466" t="str">
            <v>Puja Tani, UD</v>
          </cell>
          <cell r="N6466" t="str">
            <v>I Gusti Ngurah Ketut Withadarma</v>
          </cell>
          <cell r="O6466" t="str">
            <v>Br Tinungan, Desa Apuan Kec Baturiti, Kab Tabanan</v>
          </cell>
          <cell r="P6466" t="str">
            <v>Bali</v>
          </cell>
          <cell r="Q6466" t="str">
            <v>Ds. Tinungan, Kec. Baturiti, Tabanan</v>
          </cell>
          <cell r="R6466" t="str">
            <v>Bali</v>
          </cell>
          <cell r="S6466" t="str">
            <v>S Bali2</v>
          </cell>
          <cell r="T6466" t="str">
            <v>Wira</v>
          </cell>
          <cell r="U6466">
            <v>30</v>
          </cell>
        </row>
        <row r="6467">
          <cell r="E6467" t="str">
            <v>T25001380</v>
          </cell>
          <cell r="F6467"/>
          <cell r="G6467">
            <v>300000000</v>
          </cell>
          <cell r="H6467" t="str">
            <v>Zakia</v>
          </cell>
          <cell r="I6467" t="str">
            <v>Tiya</v>
          </cell>
          <cell r="J6467"/>
          <cell r="K6467" t="str">
            <v>KU</v>
          </cell>
          <cell r="L6467" t="str">
            <v>PUJA01</v>
          </cell>
          <cell r="M6467" t="str">
            <v>Puja Tani, UD</v>
          </cell>
          <cell r="N6467" t="str">
            <v>I Gusti Ngurah Ketut Withadarma</v>
          </cell>
          <cell r="O6467" t="str">
            <v>Br Tinungan, Desa Apuan Kec Baturiti, Kab Tabanan</v>
          </cell>
          <cell r="P6467" t="str">
            <v>Bali</v>
          </cell>
          <cell r="Q6467" t="str">
            <v>Ds. Tinungan, Kec. Baturiti, Tabanan</v>
          </cell>
          <cell r="R6467" t="str">
            <v>Bali</v>
          </cell>
          <cell r="S6467" t="str">
            <v>S Bali2</v>
          </cell>
          <cell r="T6467" t="str">
            <v>Wira</v>
          </cell>
          <cell r="U6467">
            <v>60</v>
          </cell>
        </row>
        <row r="6468">
          <cell r="E6468" t="str">
            <v>D25013911</v>
          </cell>
          <cell r="F6468"/>
          <cell r="G6468">
            <v>300000000</v>
          </cell>
          <cell r="H6468" t="str">
            <v>Zakia</v>
          </cell>
          <cell r="I6468" t="str">
            <v>Tiya</v>
          </cell>
          <cell r="J6468"/>
          <cell r="K6468" t="str">
            <v>KU</v>
          </cell>
          <cell r="L6468" t="str">
            <v>PUJA01</v>
          </cell>
          <cell r="M6468" t="str">
            <v>Puja Tani, UD</v>
          </cell>
          <cell r="N6468" t="str">
            <v>I Gusti Ngurah Ketut Withadarma</v>
          </cell>
          <cell r="O6468" t="str">
            <v>Br Tinungan, Desa Apuan Kec Baturiti, Kab Tabanan</v>
          </cell>
          <cell r="P6468" t="str">
            <v>Bali</v>
          </cell>
          <cell r="Q6468" t="str">
            <v>Ds. Tinungan, Kec. Baturiti, Tabanan</v>
          </cell>
          <cell r="R6468" t="str">
            <v>Bali</v>
          </cell>
          <cell r="S6468" t="str">
            <v>S Bali2</v>
          </cell>
          <cell r="T6468" t="str">
            <v>Wira</v>
          </cell>
          <cell r="U6468">
            <v>30</v>
          </cell>
        </row>
        <row r="6469">
          <cell r="E6469" t="str">
            <v>D25010795</v>
          </cell>
          <cell r="F6469"/>
          <cell r="G6469">
            <v>200000000</v>
          </cell>
          <cell r="H6469" t="str">
            <v>Zakia</v>
          </cell>
          <cell r="I6469" t="str">
            <v>Tiya</v>
          </cell>
          <cell r="J6469"/>
          <cell r="K6469" t="str">
            <v>KU, Tunai</v>
          </cell>
          <cell r="L6469" t="str">
            <v>UMAT01</v>
          </cell>
          <cell r="M6469" t="str">
            <v>Puma Tani</v>
          </cell>
          <cell r="N6469" t="str">
            <v>Sumartini</v>
          </cell>
          <cell r="O6469" t="str">
            <v>Dsn. Kerca, Kel. Karanganyar, Kec. Proppo</v>
          </cell>
          <cell r="P6469" t="str">
            <v>Pamekasan</v>
          </cell>
          <cell r="Q6469" t="str">
            <v>Jl. Veteran No. 48</v>
          </cell>
          <cell r="R6469" t="str">
            <v>Pamekasan</v>
          </cell>
          <cell r="S6469" t="str">
            <v>M Madura</v>
          </cell>
          <cell r="T6469" t="str">
            <v>Tomi</v>
          </cell>
          <cell r="U6469">
            <v>30</v>
          </cell>
        </row>
        <row r="6470">
          <cell r="E6470" t="str">
            <v>D25010795</v>
          </cell>
          <cell r="F6470"/>
          <cell r="G6470">
            <v>200000000</v>
          </cell>
          <cell r="H6470" t="str">
            <v>Zakia</v>
          </cell>
          <cell r="I6470" t="str">
            <v>Tiya</v>
          </cell>
          <cell r="J6470"/>
          <cell r="K6470" t="str">
            <v>KU, Tunai</v>
          </cell>
          <cell r="L6470" t="str">
            <v>UMAT01</v>
          </cell>
          <cell r="M6470" t="str">
            <v>Puma Tani</v>
          </cell>
          <cell r="N6470" t="str">
            <v>Sumartini</v>
          </cell>
          <cell r="O6470" t="str">
            <v>Dsn. Kerca, Kel. Karanganyar, Kec. Proppo</v>
          </cell>
          <cell r="P6470" t="str">
            <v>Pamekasan</v>
          </cell>
          <cell r="Q6470" t="str">
            <v>Jl. Veteran No. 48</v>
          </cell>
          <cell r="R6470" t="str">
            <v>Pamekasan</v>
          </cell>
          <cell r="S6470" t="str">
            <v>M Madura</v>
          </cell>
          <cell r="T6470" t="str">
            <v>Tomi</v>
          </cell>
          <cell r="U6470">
            <v>30</v>
          </cell>
        </row>
        <row r="6471">
          <cell r="E6471" t="str">
            <v>D25010795</v>
          </cell>
          <cell r="F6471"/>
          <cell r="G6471">
            <v>200000000</v>
          </cell>
          <cell r="H6471" t="str">
            <v>Zakia</v>
          </cell>
          <cell r="I6471" t="str">
            <v>Tiya</v>
          </cell>
          <cell r="J6471"/>
          <cell r="K6471" t="str">
            <v>KU, Tunai</v>
          </cell>
          <cell r="L6471" t="str">
            <v>UMAT01</v>
          </cell>
          <cell r="M6471" t="str">
            <v>Puma Tani</v>
          </cell>
          <cell r="N6471" t="str">
            <v>Sumartini</v>
          </cell>
          <cell r="O6471" t="str">
            <v>Dsn. Kerca, Kel. Karanganyar, Kec. Proppo</v>
          </cell>
          <cell r="P6471" t="str">
            <v>Pamekasan</v>
          </cell>
          <cell r="Q6471" t="str">
            <v>Jl. Veteran No. 48</v>
          </cell>
          <cell r="R6471" t="str">
            <v>Pamekasan</v>
          </cell>
          <cell r="S6471" t="str">
            <v>M Madura</v>
          </cell>
          <cell r="T6471" t="str">
            <v>Tomi</v>
          </cell>
          <cell r="U6471">
            <v>30</v>
          </cell>
        </row>
        <row r="6472">
          <cell r="E6472" t="str">
            <v>D25010809</v>
          </cell>
          <cell r="F6472"/>
          <cell r="G6472">
            <v>200000000</v>
          </cell>
          <cell r="H6472" t="str">
            <v>Zakia</v>
          </cell>
          <cell r="I6472" t="str">
            <v>Tiya</v>
          </cell>
          <cell r="J6472"/>
          <cell r="K6472" t="str">
            <v>KU, Tunai</v>
          </cell>
          <cell r="L6472" t="str">
            <v>UMAT01</v>
          </cell>
          <cell r="M6472" t="str">
            <v>Puma Tani</v>
          </cell>
          <cell r="N6472" t="str">
            <v>Sumartini</v>
          </cell>
          <cell r="O6472" t="str">
            <v>Dsn. Kerca, Kel. Karanganyar, Kec. Proppo</v>
          </cell>
          <cell r="P6472" t="str">
            <v>Pamekasan</v>
          </cell>
          <cell r="Q6472" t="str">
            <v>Jl. Veteran No. 48</v>
          </cell>
          <cell r="R6472" t="str">
            <v>Pamekasan</v>
          </cell>
          <cell r="S6472" t="str">
            <v>M Madura</v>
          </cell>
          <cell r="T6472" t="str">
            <v>Tomi</v>
          </cell>
          <cell r="U6472">
            <v>30</v>
          </cell>
        </row>
        <row r="6473">
          <cell r="E6473" t="str">
            <v>D25011218</v>
          </cell>
          <cell r="F6473"/>
          <cell r="G6473">
            <v>200000000</v>
          </cell>
          <cell r="H6473" t="str">
            <v>Zakia</v>
          </cell>
          <cell r="I6473" t="str">
            <v>Tiya</v>
          </cell>
          <cell r="J6473"/>
          <cell r="K6473" t="str">
            <v>KU, Tunai</v>
          </cell>
          <cell r="L6473" t="str">
            <v>UMAT01</v>
          </cell>
          <cell r="M6473" t="str">
            <v>Puma Tani</v>
          </cell>
          <cell r="N6473" t="str">
            <v>Sumartini</v>
          </cell>
          <cell r="O6473" t="str">
            <v>Dsn. Kerca, Kel. Karanganyar, Kec. Proppo</v>
          </cell>
          <cell r="P6473" t="str">
            <v>Pamekasan</v>
          </cell>
          <cell r="Q6473" t="str">
            <v>Jl. Veteran No. 48</v>
          </cell>
          <cell r="R6473" t="str">
            <v>Pamekasan</v>
          </cell>
          <cell r="S6473" t="str">
            <v>M Madura</v>
          </cell>
          <cell r="T6473" t="str">
            <v>Tomi</v>
          </cell>
          <cell r="U6473">
            <v>30</v>
          </cell>
        </row>
        <row r="6474">
          <cell r="E6474" t="str">
            <v>B25010968</v>
          </cell>
          <cell r="F6474"/>
          <cell r="G6474">
            <v>200000000</v>
          </cell>
          <cell r="H6474" t="str">
            <v>Zakia</v>
          </cell>
          <cell r="I6474" t="str">
            <v>Tiya</v>
          </cell>
          <cell r="J6474"/>
          <cell r="K6474" t="str">
            <v>KU, Tunai</v>
          </cell>
          <cell r="L6474" t="str">
            <v>UMAT01</v>
          </cell>
          <cell r="M6474" t="str">
            <v>Puma Tani</v>
          </cell>
          <cell r="N6474" t="str">
            <v>Sumartini</v>
          </cell>
          <cell r="O6474" t="str">
            <v>Dsn. Kerca, Kel. Karanganyar, Kec. Proppo</v>
          </cell>
          <cell r="P6474" t="str">
            <v>Pamekasan</v>
          </cell>
          <cell r="Q6474" t="str">
            <v>Jl. Veteran No. 48</v>
          </cell>
          <cell r="R6474" t="str">
            <v>Pamekasan</v>
          </cell>
          <cell r="S6474" t="str">
            <v>M Madura</v>
          </cell>
          <cell r="T6474" t="str">
            <v>Tomi</v>
          </cell>
          <cell r="U6474">
            <v>30</v>
          </cell>
        </row>
        <row r="6475">
          <cell r="E6475" t="str">
            <v>B25010972</v>
          </cell>
          <cell r="F6475"/>
          <cell r="G6475">
            <v>200000000</v>
          </cell>
          <cell r="H6475" t="str">
            <v>Zakia</v>
          </cell>
          <cell r="I6475" t="str">
            <v>Tiya</v>
          </cell>
          <cell r="J6475"/>
          <cell r="K6475" t="str">
            <v>KU, Tunai</v>
          </cell>
          <cell r="L6475" t="str">
            <v>UMAT01</v>
          </cell>
          <cell r="M6475" t="str">
            <v>Puma Tani</v>
          </cell>
          <cell r="N6475" t="str">
            <v>Sumartini</v>
          </cell>
          <cell r="O6475" t="str">
            <v>Dsn. Kerca, Kel. Karanganyar, Kec. Proppo</v>
          </cell>
          <cell r="P6475" t="str">
            <v>Pamekasan</v>
          </cell>
          <cell r="Q6475" t="str">
            <v>Jl. Veteran No. 48</v>
          </cell>
          <cell r="R6475" t="str">
            <v>Pamekasan</v>
          </cell>
          <cell r="S6475" t="str">
            <v>M Madura</v>
          </cell>
          <cell r="T6475" t="str">
            <v>Tomi</v>
          </cell>
          <cell r="U6475">
            <v>30</v>
          </cell>
        </row>
        <row r="6476">
          <cell r="E6476" t="str">
            <v>B25011381</v>
          </cell>
          <cell r="F6476"/>
          <cell r="G6476">
            <v>200000000</v>
          </cell>
          <cell r="H6476" t="str">
            <v>Zakia</v>
          </cell>
          <cell r="I6476" t="str">
            <v>Tiya</v>
          </cell>
          <cell r="J6476"/>
          <cell r="K6476" t="str">
            <v>KU, Tunai</v>
          </cell>
          <cell r="L6476" t="str">
            <v>UMAT01</v>
          </cell>
          <cell r="M6476" t="str">
            <v>Puma Tani</v>
          </cell>
          <cell r="N6476" t="str">
            <v>Sumartini</v>
          </cell>
          <cell r="O6476" t="str">
            <v>Dsn. Kerca, Kel. Karanganyar, Kec. Proppo</v>
          </cell>
          <cell r="P6476" t="str">
            <v>Pamekasan</v>
          </cell>
          <cell r="Q6476" t="str">
            <v>Jl. Veteran No. 48</v>
          </cell>
          <cell r="R6476" t="str">
            <v>Pamekasan</v>
          </cell>
          <cell r="S6476" t="str">
            <v>M Madura</v>
          </cell>
          <cell r="T6476" t="str">
            <v>Tomi</v>
          </cell>
          <cell r="U6476">
            <v>30</v>
          </cell>
        </row>
        <row r="6477">
          <cell r="E6477" t="str">
            <v>D25013583</v>
          </cell>
          <cell r="F6477"/>
          <cell r="G6477">
            <v>200000000</v>
          </cell>
          <cell r="H6477" t="str">
            <v>Zakia</v>
          </cell>
          <cell r="I6477" t="str">
            <v>Tiya</v>
          </cell>
          <cell r="J6477"/>
          <cell r="K6477" t="str">
            <v>KU, Tunai</v>
          </cell>
          <cell r="L6477" t="str">
            <v>UMAT01</v>
          </cell>
          <cell r="M6477" t="str">
            <v>Puma Tani</v>
          </cell>
          <cell r="N6477" t="str">
            <v>Sumartini</v>
          </cell>
          <cell r="O6477" t="str">
            <v>Dsn. Kerca, Kel. Karanganyar, Kec. Proppo</v>
          </cell>
          <cell r="P6477" t="str">
            <v>Pamekasan</v>
          </cell>
          <cell r="Q6477" t="str">
            <v>Jl. Veteran No. 48</v>
          </cell>
          <cell r="R6477" t="str">
            <v>Pamekasan</v>
          </cell>
          <cell r="S6477" t="str">
            <v>M Madura</v>
          </cell>
          <cell r="T6477" t="str">
            <v>Tomi</v>
          </cell>
          <cell r="U6477">
            <v>30</v>
          </cell>
        </row>
        <row r="6478">
          <cell r="E6478" t="str">
            <v>B25011883</v>
          </cell>
          <cell r="F6478"/>
          <cell r="G6478">
            <v>200000000</v>
          </cell>
          <cell r="H6478" t="str">
            <v>Zakia</v>
          </cell>
          <cell r="I6478" t="str">
            <v>Tiya</v>
          </cell>
          <cell r="J6478"/>
          <cell r="K6478" t="str">
            <v>KU, Tunai</v>
          </cell>
          <cell r="L6478" t="str">
            <v>UMAT01</v>
          </cell>
          <cell r="M6478" t="str">
            <v>Puma Tani</v>
          </cell>
          <cell r="N6478" t="str">
            <v>Sumartini</v>
          </cell>
          <cell r="O6478" t="str">
            <v>Dsn. Kerca, Kel. Karanganyar, Kec. Proppo</v>
          </cell>
          <cell r="P6478" t="str">
            <v>Pamekasan</v>
          </cell>
          <cell r="Q6478" t="str">
            <v>Jl. Veteran No. 48</v>
          </cell>
          <cell r="R6478" t="str">
            <v>Pamekasan</v>
          </cell>
          <cell r="S6478" t="str">
            <v>M Madura</v>
          </cell>
          <cell r="T6478" t="str">
            <v>Tomi</v>
          </cell>
          <cell r="U6478">
            <v>30</v>
          </cell>
        </row>
        <row r="6479">
          <cell r="E6479" t="str">
            <v>B25012052</v>
          </cell>
          <cell r="F6479"/>
          <cell r="G6479">
            <v>200000000</v>
          </cell>
          <cell r="H6479" t="str">
            <v>Zakia</v>
          </cell>
          <cell r="I6479" t="str">
            <v>Tiya</v>
          </cell>
          <cell r="J6479"/>
          <cell r="K6479" t="str">
            <v>KU, Tunai</v>
          </cell>
          <cell r="L6479" t="str">
            <v>UMAT01</v>
          </cell>
          <cell r="M6479" t="str">
            <v>Puma Tani</v>
          </cell>
          <cell r="N6479" t="str">
            <v>Sumartini</v>
          </cell>
          <cell r="O6479" t="str">
            <v>Dsn. Kerca, Kel. Karanganyar, Kec. Proppo</v>
          </cell>
          <cell r="P6479" t="str">
            <v>Pamekasan</v>
          </cell>
          <cell r="Q6479" t="str">
            <v>Jl. Veteran No. 48</v>
          </cell>
          <cell r="R6479" t="str">
            <v>Pamekasan</v>
          </cell>
          <cell r="S6479" t="str">
            <v>M Madura</v>
          </cell>
          <cell r="T6479" t="str">
            <v>Tomi</v>
          </cell>
          <cell r="U6479">
            <v>30</v>
          </cell>
        </row>
        <row r="6480">
          <cell r="E6480" t="str">
            <v>D25014287</v>
          </cell>
          <cell r="F6480"/>
          <cell r="G6480">
            <v>200000000</v>
          </cell>
          <cell r="H6480" t="str">
            <v>Zakia</v>
          </cell>
          <cell r="I6480" t="str">
            <v>Tiya</v>
          </cell>
          <cell r="J6480"/>
          <cell r="K6480" t="str">
            <v>KU, Tunai</v>
          </cell>
          <cell r="L6480" t="str">
            <v>UMAT01</v>
          </cell>
          <cell r="M6480" t="str">
            <v>Puma Tani</v>
          </cell>
          <cell r="N6480" t="str">
            <v>Sumartini</v>
          </cell>
          <cell r="O6480" t="str">
            <v>Dsn. Kerca, Kel. Karanganyar, Kec. Proppo</v>
          </cell>
          <cell r="P6480" t="str">
            <v>Pamekasan</v>
          </cell>
          <cell r="Q6480" t="str">
            <v>Jl. Veteran No. 48</v>
          </cell>
          <cell r="R6480" t="str">
            <v>Pamekasan</v>
          </cell>
          <cell r="S6480" t="str">
            <v>M Madura</v>
          </cell>
          <cell r="T6480" t="str">
            <v>Tomi</v>
          </cell>
          <cell r="U6480">
            <v>30</v>
          </cell>
        </row>
        <row r="6481">
          <cell r="E6481" t="str">
            <v>B25012727</v>
          </cell>
          <cell r="F6481"/>
          <cell r="G6481">
            <v>200000000</v>
          </cell>
          <cell r="H6481" t="str">
            <v>Zakia</v>
          </cell>
          <cell r="I6481" t="str">
            <v>Tiya</v>
          </cell>
          <cell r="J6481"/>
          <cell r="K6481" t="str">
            <v>KU, Tunai</v>
          </cell>
          <cell r="L6481" t="str">
            <v>UMAT01</v>
          </cell>
          <cell r="M6481" t="str">
            <v>Puma Tani</v>
          </cell>
          <cell r="N6481" t="str">
            <v>Sumartini</v>
          </cell>
          <cell r="O6481" t="str">
            <v>Dsn. Kerca, Kel. Karanganyar, Kec. Proppo</v>
          </cell>
          <cell r="P6481" t="str">
            <v>Pamekasan</v>
          </cell>
          <cell r="Q6481" t="str">
            <v>Jl. Veteran No. 48</v>
          </cell>
          <cell r="R6481" t="str">
            <v>Pamekasan</v>
          </cell>
          <cell r="S6481" t="str">
            <v>M Madura</v>
          </cell>
          <cell r="T6481" t="str">
            <v>Tomi</v>
          </cell>
          <cell r="U6481">
            <v>30</v>
          </cell>
        </row>
        <row r="6482">
          <cell r="E6482" t="str">
            <v>Z25002567</v>
          </cell>
          <cell r="F6482"/>
          <cell r="G6482">
            <v>200000000</v>
          </cell>
          <cell r="H6482" t="str">
            <v>Zakia</v>
          </cell>
          <cell r="I6482" t="str">
            <v>Tiya</v>
          </cell>
          <cell r="J6482"/>
          <cell r="K6482" t="str">
            <v>KU, Tunai</v>
          </cell>
          <cell r="L6482" t="str">
            <v>UMAT01</v>
          </cell>
          <cell r="M6482" t="str">
            <v>Puma Tani</v>
          </cell>
          <cell r="N6482" t="str">
            <v>Sumartini</v>
          </cell>
          <cell r="O6482" t="str">
            <v>Dsn. Kerca, Kel. Karanganyar, Kec. Proppo</v>
          </cell>
          <cell r="P6482" t="str">
            <v>Pamekasan</v>
          </cell>
          <cell r="Q6482" t="str">
            <v>Jl. Veteran No. 48</v>
          </cell>
          <cell r="R6482" t="str">
            <v>Pamekasan</v>
          </cell>
          <cell r="S6482" t="str">
            <v>M Madura</v>
          </cell>
          <cell r="T6482" t="str">
            <v>Tomi</v>
          </cell>
          <cell r="U6482">
            <v>30</v>
          </cell>
        </row>
        <row r="6483">
          <cell r="E6483" t="str">
            <v>D25015351</v>
          </cell>
          <cell r="F6483"/>
          <cell r="G6483">
            <v>200000000</v>
          </cell>
          <cell r="H6483" t="str">
            <v>Zakia</v>
          </cell>
          <cell r="I6483" t="str">
            <v>Tiya</v>
          </cell>
          <cell r="J6483"/>
          <cell r="K6483" t="str">
            <v>KU, Tunai</v>
          </cell>
          <cell r="L6483" t="str">
            <v>UMAT01</v>
          </cell>
          <cell r="M6483" t="str">
            <v>Puma Tani</v>
          </cell>
          <cell r="N6483" t="str">
            <v>Sumartini</v>
          </cell>
          <cell r="O6483" t="str">
            <v>Dsn. Kerca, Kel. Karanganyar, Kec. Proppo</v>
          </cell>
          <cell r="P6483" t="str">
            <v>Pamekasan</v>
          </cell>
          <cell r="Q6483" t="str">
            <v>Jl. Veteran No. 48</v>
          </cell>
          <cell r="R6483" t="str">
            <v>Pamekasan</v>
          </cell>
          <cell r="S6483" t="str">
            <v>M Madura</v>
          </cell>
          <cell r="T6483" t="str">
            <v>Tomi</v>
          </cell>
          <cell r="U6483">
            <v>30</v>
          </cell>
        </row>
        <row r="6484">
          <cell r="E6484" t="str">
            <v>B25013481</v>
          </cell>
          <cell r="F6484"/>
          <cell r="G6484">
            <v>200000000</v>
          </cell>
          <cell r="H6484" t="str">
            <v>Zakia</v>
          </cell>
          <cell r="I6484" t="str">
            <v>Tiya</v>
          </cell>
          <cell r="J6484"/>
          <cell r="K6484" t="str">
            <v>KU, Tunai</v>
          </cell>
          <cell r="L6484" t="str">
            <v>UMAT01</v>
          </cell>
          <cell r="M6484" t="str">
            <v>Puma Tani</v>
          </cell>
          <cell r="N6484" t="str">
            <v>Sumartini</v>
          </cell>
          <cell r="O6484" t="str">
            <v>Dsn. Kerca, Kel. Karanganyar, Kec. Proppo</v>
          </cell>
          <cell r="P6484" t="str">
            <v>Pamekasan</v>
          </cell>
          <cell r="Q6484" t="str">
            <v>Jl. Veteran No. 48</v>
          </cell>
          <cell r="R6484" t="str">
            <v>Pamekasan</v>
          </cell>
          <cell r="S6484" t="str">
            <v>M Madura</v>
          </cell>
          <cell r="T6484" t="str">
            <v>Tomi</v>
          </cell>
          <cell r="U6484">
            <v>30</v>
          </cell>
        </row>
        <row r="6485">
          <cell r="E6485" t="str">
            <v>D25016259</v>
          </cell>
          <cell r="F6485"/>
          <cell r="G6485">
            <v>200000000</v>
          </cell>
          <cell r="H6485" t="str">
            <v>Zakia</v>
          </cell>
          <cell r="I6485" t="str">
            <v>Tiya</v>
          </cell>
          <cell r="J6485"/>
          <cell r="K6485" t="str">
            <v>KU, Tunai</v>
          </cell>
          <cell r="L6485" t="str">
            <v>UMAT01</v>
          </cell>
          <cell r="M6485" t="str">
            <v>Puma Tani</v>
          </cell>
          <cell r="N6485" t="str">
            <v>Sumartini</v>
          </cell>
          <cell r="O6485" t="str">
            <v>Dsn. Kerca, Kel. Karanganyar, Kec. Proppo</v>
          </cell>
          <cell r="P6485" t="str">
            <v>Pamekasan</v>
          </cell>
          <cell r="Q6485" t="str">
            <v>Jl. Veteran No. 48</v>
          </cell>
          <cell r="R6485" t="str">
            <v>Pamekasan</v>
          </cell>
          <cell r="S6485" t="str">
            <v>M Madura</v>
          </cell>
          <cell r="T6485" t="str">
            <v>Tomi</v>
          </cell>
          <cell r="U6485">
            <v>30</v>
          </cell>
        </row>
        <row r="6486">
          <cell r="E6486" t="str">
            <v>D25014940</v>
          </cell>
          <cell r="F6486"/>
          <cell r="G6486">
            <v>1400000000</v>
          </cell>
          <cell r="H6486" t="str">
            <v>Reni</v>
          </cell>
          <cell r="I6486" t="str">
            <v>Farida</v>
          </cell>
          <cell r="J6486"/>
          <cell r="K6486" t="str">
            <v>KU</v>
          </cell>
          <cell r="L6486" t="str">
            <v>PURB01</v>
          </cell>
          <cell r="M6486" t="str">
            <v>Purbaya</v>
          </cell>
          <cell r="N6486" t="str">
            <v>Djaiman Purba</v>
          </cell>
          <cell r="O6486" t="str">
            <v>Brantas No. 112</v>
          </cell>
          <cell r="P6486" t="str">
            <v>Batu</v>
          </cell>
          <cell r="Q6486" t="str">
            <v>Brantas No. 112</v>
          </cell>
          <cell r="R6486" t="str">
            <v>Batu</v>
          </cell>
          <cell r="S6486" t="str">
            <v>F Utara1</v>
          </cell>
          <cell r="T6486" t="str">
            <v>Tomi</v>
          </cell>
          <cell r="U6486">
            <v>30</v>
          </cell>
        </row>
        <row r="6487">
          <cell r="E6487" t="str">
            <v>D25015713</v>
          </cell>
          <cell r="F6487"/>
          <cell r="G6487">
            <v>1400000000</v>
          </cell>
          <cell r="H6487" t="str">
            <v>Reni</v>
          </cell>
          <cell r="I6487" t="str">
            <v>Farida</v>
          </cell>
          <cell r="J6487"/>
          <cell r="K6487" t="str">
            <v>KU</v>
          </cell>
          <cell r="L6487" t="str">
            <v>PURB01</v>
          </cell>
          <cell r="M6487" t="str">
            <v>Purbaya</v>
          </cell>
          <cell r="N6487" t="str">
            <v>Djaiman Purba</v>
          </cell>
          <cell r="O6487" t="str">
            <v>Brantas No. 112</v>
          </cell>
          <cell r="P6487" t="str">
            <v>Batu</v>
          </cell>
          <cell r="Q6487" t="str">
            <v>Brantas No. 112</v>
          </cell>
          <cell r="R6487" t="str">
            <v>Batu</v>
          </cell>
          <cell r="S6487" t="str">
            <v>F Utara1</v>
          </cell>
          <cell r="T6487" t="str">
            <v>Tomi</v>
          </cell>
          <cell r="U6487">
            <v>30</v>
          </cell>
        </row>
        <row r="6488">
          <cell r="E6488" t="str">
            <v>D25015800</v>
          </cell>
          <cell r="F6488"/>
          <cell r="G6488">
            <v>1400000000</v>
          </cell>
          <cell r="H6488" t="str">
            <v>Reni</v>
          </cell>
          <cell r="I6488" t="str">
            <v>Farida</v>
          </cell>
          <cell r="J6488"/>
          <cell r="K6488" t="str">
            <v>KU</v>
          </cell>
          <cell r="L6488" t="str">
            <v>PURB01</v>
          </cell>
          <cell r="M6488" t="str">
            <v>Purbaya</v>
          </cell>
          <cell r="N6488" t="str">
            <v>Djaiman Purba</v>
          </cell>
          <cell r="O6488" t="str">
            <v>Brantas No. 112</v>
          </cell>
          <cell r="P6488" t="str">
            <v>Batu</v>
          </cell>
          <cell r="Q6488" t="str">
            <v>Brantas No. 112</v>
          </cell>
          <cell r="R6488" t="str">
            <v>Batu</v>
          </cell>
          <cell r="S6488" t="str">
            <v>F Utara1</v>
          </cell>
          <cell r="T6488" t="str">
            <v>Tomi</v>
          </cell>
          <cell r="U6488">
            <v>30</v>
          </cell>
        </row>
        <row r="6489">
          <cell r="E6489" t="str">
            <v>B25008196</v>
          </cell>
          <cell r="F6489"/>
          <cell r="G6489">
            <v>500000000</v>
          </cell>
          <cell r="H6489" t="str">
            <v>Hendra</v>
          </cell>
          <cell r="I6489" t="str">
            <v>Tiya</v>
          </cell>
          <cell r="J6489"/>
          <cell r="K6489" t="str">
            <v>KU</v>
          </cell>
          <cell r="L6489" t="str">
            <v>PURN05</v>
          </cell>
          <cell r="M6489" t="str">
            <v>Purnama, Toko/Haris</v>
          </cell>
          <cell r="N6489" t="str">
            <v>A. Haris H. Arajak (Toko Purnama)</v>
          </cell>
          <cell r="O6489" t="str">
            <v>Kananga RT.06 Kananga, Kananga Bolo, Kab. Bima NTB</v>
          </cell>
          <cell r="P6489" t="str">
            <v>Bima - NTB</v>
          </cell>
          <cell r="Q6489" t="str">
            <v>Kananga RT.06 Kananga, Kananga Bolo, Kab. Bima NTB</v>
          </cell>
          <cell r="R6489" t="str">
            <v>Bima - NTB</v>
          </cell>
          <cell r="S6489" t="str">
            <v>E Luar Pulau2</v>
          </cell>
          <cell r="T6489" t="str">
            <v>Muhlisin</v>
          </cell>
          <cell r="U6489">
            <v>45</v>
          </cell>
        </row>
        <row r="6490">
          <cell r="E6490" t="str">
            <v>B25008277</v>
          </cell>
          <cell r="F6490"/>
          <cell r="G6490">
            <v>500000000</v>
          </cell>
          <cell r="H6490" t="str">
            <v>Hendra</v>
          </cell>
          <cell r="I6490" t="str">
            <v>Tiya</v>
          </cell>
          <cell r="J6490"/>
          <cell r="K6490" t="str">
            <v>KU</v>
          </cell>
          <cell r="L6490" t="str">
            <v>PURN05</v>
          </cell>
          <cell r="M6490" t="str">
            <v>Purnama, Toko/Haris</v>
          </cell>
          <cell r="N6490" t="str">
            <v>A. Haris H. Arajak (Toko Purnama)</v>
          </cell>
          <cell r="O6490" t="str">
            <v>Kananga RT.06 Kananga, Kananga Bolo, Kab. Bima NTB</v>
          </cell>
          <cell r="P6490" t="str">
            <v>Bima - NTB</v>
          </cell>
          <cell r="Q6490" t="str">
            <v>Kananga RT.06 Kananga, Kananga Bolo, Kab. Bima NTB</v>
          </cell>
          <cell r="R6490" t="str">
            <v>Bima - NTB</v>
          </cell>
          <cell r="S6490" t="str">
            <v>E Luar Pulau2</v>
          </cell>
          <cell r="T6490" t="str">
            <v>Muhlisin</v>
          </cell>
          <cell r="U6490">
            <v>45</v>
          </cell>
        </row>
        <row r="6491">
          <cell r="E6491" t="str">
            <v>B25008277</v>
          </cell>
          <cell r="F6491"/>
          <cell r="G6491">
            <v>500000000</v>
          </cell>
          <cell r="H6491" t="str">
            <v>Hendra</v>
          </cell>
          <cell r="I6491" t="str">
            <v>Tiya</v>
          </cell>
          <cell r="J6491"/>
          <cell r="K6491" t="str">
            <v>KU</v>
          </cell>
          <cell r="L6491" t="str">
            <v>PURN05</v>
          </cell>
          <cell r="M6491" t="str">
            <v>Purnama, Toko/Haris</v>
          </cell>
          <cell r="N6491" t="str">
            <v>A. Haris H. Arajak (Toko Purnama)</v>
          </cell>
          <cell r="O6491" t="str">
            <v>Kananga RT.06 Kananga, Kananga Bolo, Kab. Bima NTB</v>
          </cell>
          <cell r="P6491" t="str">
            <v>Bima - NTB</v>
          </cell>
          <cell r="Q6491" t="str">
            <v>Kananga RT.06 Kananga, Kananga Bolo, Kab. Bima NTB</v>
          </cell>
          <cell r="R6491" t="str">
            <v>Bima - NTB</v>
          </cell>
          <cell r="S6491" t="str">
            <v>E Luar Pulau2</v>
          </cell>
          <cell r="T6491" t="str">
            <v>Muhlisin</v>
          </cell>
          <cell r="U6491">
            <v>45</v>
          </cell>
        </row>
        <row r="6492">
          <cell r="E6492" t="str">
            <v>D25012344</v>
          </cell>
          <cell r="F6492"/>
          <cell r="G6492">
            <v>500000000</v>
          </cell>
          <cell r="H6492" t="str">
            <v>Hendra</v>
          </cell>
          <cell r="I6492" t="str">
            <v>Tiya</v>
          </cell>
          <cell r="J6492"/>
          <cell r="K6492" t="str">
            <v>KU</v>
          </cell>
          <cell r="L6492" t="str">
            <v>PURN05</v>
          </cell>
          <cell r="M6492" t="str">
            <v>Purnama, Toko/Haris</v>
          </cell>
          <cell r="N6492" t="str">
            <v>A. Haris H. Arajak (Toko Purnama)</v>
          </cell>
          <cell r="O6492" t="str">
            <v>Kananga RT.06 Kananga, Kananga Bolo, Kab. Bima NTB</v>
          </cell>
          <cell r="P6492" t="str">
            <v>Bima - NTB</v>
          </cell>
          <cell r="Q6492" t="str">
            <v>Kananga RT.06 Kananga, Kananga Bolo, Kab. Bima NTB</v>
          </cell>
          <cell r="R6492" t="str">
            <v>Bima - NTB</v>
          </cell>
          <cell r="S6492" t="str">
            <v>E Luar Pulau2</v>
          </cell>
          <cell r="T6492" t="str">
            <v>Muhlisin</v>
          </cell>
          <cell r="U6492">
            <v>60</v>
          </cell>
        </row>
        <row r="6493">
          <cell r="E6493" t="str">
            <v>D25013381</v>
          </cell>
          <cell r="F6493"/>
          <cell r="G6493">
            <v>500000000</v>
          </cell>
          <cell r="H6493" t="str">
            <v>Hendra</v>
          </cell>
          <cell r="I6493" t="str">
            <v>Tiya</v>
          </cell>
          <cell r="J6493"/>
          <cell r="K6493" t="str">
            <v>KU</v>
          </cell>
          <cell r="L6493" t="str">
            <v>PURN05</v>
          </cell>
          <cell r="M6493" t="str">
            <v>Purnama, Toko/Haris</v>
          </cell>
          <cell r="N6493" t="str">
            <v>A. Haris H. Arajak (Toko Purnama)</v>
          </cell>
          <cell r="O6493" t="str">
            <v>Kananga RT.06 Kananga, Kananga Bolo, Kab. Bima NTB</v>
          </cell>
          <cell r="P6493" t="str">
            <v>Bima - NTB</v>
          </cell>
          <cell r="Q6493" t="str">
            <v>Kananga RT.06 Kananga, Kananga Bolo, Kab. Bima NTB</v>
          </cell>
          <cell r="R6493" t="str">
            <v>Bima - NTB</v>
          </cell>
          <cell r="S6493" t="str">
            <v>E Luar Pulau2</v>
          </cell>
          <cell r="T6493" t="str">
            <v>Muhlisin</v>
          </cell>
          <cell r="U6493">
            <v>45</v>
          </cell>
        </row>
        <row r="6494">
          <cell r="E6494" t="str">
            <v>D25013382</v>
          </cell>
          <cell r="F6494"/>
          <cell r="G6494">
            <v>500000000</v>
          </cell>
          <cell r="H6494" t="str">
            <v>Hendra</v>
          </cell>
          <cell r="I6494" t="str">
            <v>Tiya</v>
          </cell>
          <cell r="J6494"/>
          <cell r="K6494" t="str">
            <v>KU</v>
          </cell>
          <cell r="L6494" t="str">
            <v>PURN05</v>
          </cell>
          <cell r="M6494" t="str">
            <v>Purnama, Toko/Haris</v>
          </cell>
          <cell r="N6494" t="str">
            <v>A. Haris H. Arajak (Toko Purnama)</v>
          </cell>
          <cell r="O6494" t="str">
            <v>Kananga RT.06 Kananga, Kananga Bolo, Kab. Bima NTB</v>
          </cell>
          <cell r="P6494" t="str">
            <v>Bima - NTB</v>
          </cell>
          <cell r="Q6494" t="str">
            <v>Kananga RT.06 Kananga, Kananga Bolo, Kab. Bima NTB</v>
          </cell>
          <cell r="R6494" t="str">
            <v>Bima - NTB</v>
          </cell>
          <cell r="S6494" t="str">
            <v>E Luar Pulau2</v>
          </cell>
          <cell r="T6494" t="str">
            <v>Muhlisin</v>
          </cell>
          <cell r="U6494">
            <v>60</v>
          </cell>
        </row>
        <row r="6495">
          <cell r="E6495" t="str">
            <v>B25011983</v>
          </cell>
          <cell r="F6495"/>
          <cell r="G6495">
            <v>500000000</v>
          </cell>
          <cell r="H6495" t="str">
            <v>Hendra</v>
          </cell>
          <cell r="I6495" t="str">
            <v>Tiya</v>
          </cell>
          <cell r="J6495"/>
          <cell r="K6495" t="str">
            <v>KU</v>
          </cell>
          <cell r="L6495" t="str">
            <v>PURN05</v>
          </cell>
          <cell r="M6495" t="str">
            <v>Purnama, Toko/Haris</v>
          </cell>
          <cell r="N6495" t="str">
            <v>A. Haris H. Arajak (Toko Purnama)</v>
          </cell>
          <cell r="O6495" t="str">
            <v>Kananga RT.06 Kananga, Kananga Bolo, Kab. Bima NTB</v>
          </cell>
          <cell r="P6495" t="str">
            <v>Bima - NTB</v>
          </cell>
          <cell r="Q6495" t="str">
            <v>Kananga RT.06 Kananga, Kananga Bolo, Kab. Bima NTB</v>
          </cell>
          <cell r="R6495" t="str">
            <v>Bima - NTB</v>
          </cell>
          <cell r="S6495" t="str">
            <v>E Luar Pulau2</v>
          </cell>
          <cell r="T6495" t="str">
            <v>Muhlisin</v>
          </cell>
          <cell r="U6495">
            <v>45</v>
          </cell>
        </row>
        <row r="6496">
          <cell r="E6496" t="str">
            <v>D25014789</v>
          </cell>
          <cell r="F6496"/>
          <cell r="G6496">
            <v>500000000</v>
          </cell>
          <cell r="H6496" t="str">
            <v>Hendra</v>
          </cell>
          <cell r="I6496" t="str">
            <v>Tiya</v>
          </cell>
          <cell r="J6496"/>
          <cell r="K6496" t="str">
            <v>KU</v>
          </cell>
          <cell r="L6496" t="str">
            <v>PURN05</v>
          </cell>
          <cell r="M6496" t="str">
            <v>Purnama, Toko/Haris</v>
          </cell>
          <cell r="N6496" t="str">
            <v>A. Haris H. Arajak (Toko Purnama)</v>
          </cell>
          <cell r="O6496" t="str">
            <v>Kananga RT.06 Kananga, Kananga Bolo, Kab. Bima NTB</v>
          </cell>
          <cell r="P6496" t="str">
            <v>Bima - NTB</v>
          </cell>
          <cell r="Q6496" t="str">
            <v>Kananga RT.06 Kananga, Kananga Bolo, Kab. Bima NTB</v>
          </cell>
          <cell r="R6496" t="str">
            <v>Bima - NTB</v>
          </cell>
          <cell r="S6496" t="str">
            <v>E Luar Pulau2</v>
          </cell>
          <cell r="T6496" t="str">
            <v>Muhlisin</v>
          </cell>
          <cell r="U6496">
            <v>45</v>
          </cell>
        </row>
        <row r="6497">
          <cell r="E6497" t="str">
            <v>B25012657</v>
          </cell>
          <cell r="F6497"/>
          <cell r="G6497">
            <v>500000000</v>
          </cell>
          <cell r="H6497" t="str">
            <v>Hendra</v>
          </cell>
          <cell r="I6497" t="str">
            <v>Tiya</v>
          </cell>
          <cell r="J6497"/>
          <cell r="K6497" t="str">
            <v>KU</v>
          </cell>
          <cell r="L6497" t="str">
            <v>PURN05</v>
          </cell>
          <cell r="M6497" t="str">
            <v>Purnama, Toko/Haris</v>
          </cell>
          <cell r="N6497" t="str">
            <v>A. Haris H. Arajak (Toko Purnama)</v>
          </cell>
          <cell r="O6497" t="str">
            <v>Kananga RT.06 Kananga, Kananga Bolo, Kab. Bima NTB</v>
          </cell>
          <cell r="P6497" t="str">
            <v>Bima - NTB</v>
          </cell>
          <cell r="Q6497" t="str">
            <v>Kananga RT.06 Kananga, Kananga Bolo, Kab. Bima NTB</v>
          </cell>
          <cell r="R6497" t="str">
            <v>Bima - NTB</v>
          </cell>
          <cell r="S6497" t="str">
            <v>E Luar Pulau2</v>
          </cell>
          <cell r="T6497" t="str">
            <v>Muhlisin</v>
          </cell>
          <cell r="U6497">
            <v>60</v>
          </cell>
        </row>
        <row r="6498">
          <cell r="E6498" t="str">
            <v>D25014946</v>
          </cell>
          <cell r="F6498"/>
          <cell r="G6498">
            <v>500000000</v>
          </cell>
          <cell r="H6498" t="str">
            <v>Hendra</v>
          </cell>
          <cell r="I6498" t="str">
            <v>Tiya</v>
          </cell>
          <cell r="J6498"/>
          <cell r="K6498" t="str">
            <v>KU</v>
          </cell>
          <cell r="L6498" t="str">
            <v>PURN05</v>
          </cell>
          <cell r="M6498" t="str">
            <v>Purnama, Toko/Haris</v>
          </cell>
          <cell r="N6498" t="str">
            <v>A. Haris H. Arajak (Toko Purnama)</v>
          </cell>
          <cell r="O6498" t="str">
            <v>Kananga RT.06 Kananga, Kananga Bolo, Kab. Bima NTB</v>
          </cell>
          <cell r="P6498" t="str">
            <v>Bima - NTB</v>
          </cell>
          <cell r="Q6498" t="str">
            <v>Kananga RT.06 Kananga, Kananga Bolo, Kab. Bima NTB</v>
          </cell>
          <cell r="R6498" t="str">
            <v>Bima - NTB</v>
          </cell>
          <cell r="S6498" t="str">
            <v>E Luar Pulau2</v>
          </cell>
          <cell r="T6498" t="str">
            <v>Muhlisin</v>
          </cell>
          <cell r="U6498">
            <v>45</v>
          </cell>
        </row>
        <row r="6499">
          <cell r="E6499" t="str">
            <v>B25013904</v>
          </cell>
          <cell r="F6499"/>
          <cell r="G6499">
            <v>500000000</v>
          </cell>
          <cell r="H6499" t="str">
            <v>Hendra</v>
          </cell>
          <cell r="I6499" t="str">
            <v>Tiya</v>
          </cell>
          <cell r="J6499"/>
          <cell r="K6499" t="str">
            <v>KU</v>
          </cell>
          <cell r="L6499" t="str">
            <v>PURN05</v>
          </cell>
          <cell r="M6499" t="str">
            <v>Purnama, Toko/Haris</v>
          </cell>
          <cell r="N6499" t="str">
            <v>A. Haris H. Arajak (Toko Purnama)</v>
          </cell>
          <cell r="O6499" t="str">
            <v>Kananga RT.06 Kananga, Kananga Bolo, Kab. Bima NTB</v>
          </cell>
          <cell r="P6499" t="str">
            <v>Bima - NTB</v>
          </cell>
          <cell r="Q6499" t="str">
            <v>Kananga RT.06 Kananga, Kananga Bolo, Kab. Bima NTB</v>
          </cell>
          <cell r="R6499" t="str">
            <v>Bima - NTB</v>
          </cell>
          <cell r="S6499" t="str">
            <v>E Luar Pulau2</v>
          </cell>
          <cell r="T6499" t="str">
            <v>Muhlisin</v>
          </cell>
          <cell r="U6499">
            <v>45</v>
          </cell>
        </row>
        <row r="6500">
          <cell r="E6500" t="str">
            <v>B25013993</v>
          </cell>
          <cell r="F6500"/>
          <cell r="G6500">
            <v>500000000</v>
          </cell>
          <cell r="H6500" t="str">
            <v>Hendra</v>
          </cell>
          <cell r="I6500" t="str">
            <v>Tiya</v>
          </cell>
          <cell r="J6500"/>
          <cell r="K6500" t="str">
            <v>KU</v>
          </cell>
          <cell r="L6500" t="str">
            <v>PURN05</v>
          </cell>
          <cell r="M6500" t="str">
            <v>Purnama, Toko/Haris</v>
          </cell>
          <cell r="N6500" t="str">
            <v>A. Haris H. Arajak (Toko Purnama)</v>
          </cell>
          <cell r="O6500" t="str">
            <v>Kananga RT.06 Kananga, Kananga Bolo, Kab. Bima NTB</v>
          </cell>
          <cell r="P6500" t="str">
            <v>Bima - NTB</v>
          </cell>
          <cell r="Q6500" t="str">
            <v>Kananga RT.06 Kananga, Kananga Bolo, Kab. Bima NTB</v>
          </cell>
          <cell r="R6500" t="str">
            <v>Bima - NTB</v>
          </cell>
          <cell r="S6500" t="str">
            <v>E Luar Pulau2</v>
          </cell>
          <cell r="T6500" t="str">
            <v>Muhlisin</v>
          </cell>
          <cell r="U6500">
            <v>60</v>
          </cell>
        </row>
        <row r="6501">
          <cell r="E6501" t="str">
            <v>B25013994</v>
          </cell>
          <cell r="F6501"/>
          <cell r="G6501">
            <v>500000000</v>
          </cell>
          <cell r="H6501" t="str">
            <v>Hendra</v>
          </cell>
          <cell r="I6501" t="str">
            <v>Tiya</v>
          </cell>
          <cell r="J6501"/>
          <cell r="K6501" t="str">
            <v>KU</v>
          </cell>
          <cell r="L6501" t="str">
            <v>PURN05</v>
          </cell>
          <cell r="M6501" t="str">
            <v>Purnama, Toko/Haris</v>
          </cell>
          <cell r="N6501" t="str">
            <v>A. Haris H. Arajak (Toko Purnama)</v>
          </cell>
          <cell r="O6501" t="str">
            <v>Kananga RT.06 Kananga, Kananga Bolo, Kab. Bima NTB</v>
          </cell>
          <cell r="P6501" t="str">
            <v>Bima - NTB</v>
          </cell>
          <cell r="Q6501" t="str">
            <v>Kananga RT.06 Kananga, Kananga Bolo, Kab. Bima NTB</v>
          </cell>
          <cell r="R6501" t="str">
            <v>Bima - NTB</v>
          </cell>
          <cell r="S6501" t="str">
            <v>E Luar Pulau2</v>
          </cell>
          <cell r="T6501" t="str">
            <v>Muhlisin</v>
          </cell>
          <cell r="U6501">
            <v>45</v>
          </cell>
        </row>
        <row r="6502">
          <cell r="E6502" t="str">
            <v>B25014005</v>
          </cell>
          <cell r="F6502"/>
          <cell r="G6502">
            <v>500000000</v>
          </cell>
          <cell r="H6502" t="str">
            <v>Hendra</v>
          </cell>
          <cell r="I6502" t="str">
            <v>Tiya</v>
          </cell>
          <cell r="J6502"/>
          <cell r="K6502" t="str">
            <v>KU</v>
          </cell>
          <cell r="L6502" t="str">
            <v>PURN05</v>
          </cell>
          <cell r="M6502" t="str">
            <v>Purnama, Toko/Haris</v>
          </cell>
          <cell r="N6502" t="str">
            <v>A. Haris H. Arajak (Toko Purnama)</v>
          </cell>
          <cell r="O6502" t="str">
            <v>Kananga RT.06 Kananga, Kananga Bolo, Kab. Bima NTB</v>
          </cell>
          <cell r="P6502" t="str">
            <v>Bima - NTB</v>
          </cell>
          <cell r="Q6502" t="str">
            <v>Kananga RT.06 Kananga, Kananga Bolo, Kab. Bima NTB</v>
          </cell>
          <cell r="R6502" t="str">
            <v>Bima - NTB</v>
          </cell>
          <cell r="S6502" t="str">
            <v>E Luar Pulau2</v>
          </cell>
          <cell r="T6502" t="str">
            <v>Muhlisin</v>
          </cell>
          <cell r="U6502">
            <v>45</v>
          </cell>
        </row>
        <row r="6503">
          <cell r="E6503" t="str">
            <v>D25009802</v>
          </cell>
          <cell r="F6503"/>
          <cell r="G6503">
            <v>30000000</v>
          </cell>
          <cell r="H6503" t="str">
            <v>Faris</v>
          </cell>
          <cell r="I6503" t="str">
            <v>Syahra</v>
          </cell>
          <cell r="J6503"/>
          <cell r="K6503" t="str">
            <v>KU, Tunai</v>
          </cell>
          <cell r="L6503" t="str">
            <v>PUSA02</v>
          </cell>
          <cell r="M6503" t="str">
            <v>Pusaka Tani Jaya/Supri</v>
          </cell>
          <cell r="N6503" t="str">
            <v>Supriyadi, SP</v>
          </cell>
          <cell r="O6503" t="str">
            <v>Dusun Bulurejo, RT.003/RW.002, Kel. Bulurejo, Kec. Purwoharjo</v>
          </cell>
          <cell r="P6503" t="str">
            <v>Banyuwangi</v>
          </cell>
          <cell r="Q6503" t="str">
            <v>Jl. Raya Grajagan Dsn. Gumukrejo RT. 05 RW. 02, Purwoharjo</v>
          </cell>
          <cell r="R6503" t="str">
            <v>Banyuwangi</v>
          </cell>
          <cell r="S6503" t="str">
            <v>H Bwi3</v>
          </cell>
          <cell r="T6503" t="str">
            <v>Hafid</v>
          </cell>
          <cell r="U6503">
            <v>30</v>
          </cell>
        </row>
        <row r="6504">
          <cell r="E6504" t="str">
            <v>D25009921</v>
          </cell>
          <cell r="F6504"/>
          <cell r="G6504">
            <v>30000000</v>
          </cell>
          <cell r="H6504" t="str">
            <v>Faris</v>
          </cell>
          <cell r="I6504" t="str">
            <v>Syahra</v>
          </cell>
          <cell r="J6504"/>
          <cell r="K6504" t="str">
            <v>KU, Tunai</v>
          </cell>
          <cell r="L6504" t="str">
            <v>PUSA02</v>
          </cell>
          <cell r="M6504" t="str">
            <v>Pusaka Tani Jaya/Supri</v>
          </cell>
          <cell r="N6504" t="str">
            <v>Supriyadi, SP</v>
          </cell>
          <cell r="O6504" t="str">
            <v>Dusun Bulurejo, RT.003/RW.002, Kel. Bulurejo, Kec. Purwoharjo</v>
          </cell>
          <cell r="P6504" t="str">
            <v>Banyuwangi</v>
          </cell>
          <cell r="Q6504" t="str">
            <v>Jl. Raya Grajagan Dsn. Gumukrejo RT. 05 RW. 02, Purwoharjo</v>
          </cell>
          <cell r="R6504" t="str">
            <v>Banyuwangi</v>
          </cell>
          <cell r="S6504" t="str">
            <v>H Bwi3</v>
          </cell>
          <cell r="T6504" t="str">
            <v>Hafid</v>
          </cell>
          <cell r="U6504">
            <v>60</v>
          </cell>
        </row>
        <row r="6505">
          <cell r="E6505" t="str">
            <v>D25010371</v>
          </cell>
          <cell r="F6505"/>
          <cell r="G6505">
            <v>30000000</v>
          </cell>
          <cell r="H6505" t="str">
            <v>Faris</v>
          </cell>
          <cell r="I6505" t="str">
            <v>Syahra</v>
          </cell>
          <cell r="J6505"/>
          <cell r="K6505" t="str">
            <v>KU, Tunai</v>
          </cell>
          <cell r="L6505" t="str">
            <v>PUSA02</v>
          </cell>
          <cell r="M6505" t="str">
            <v>Pusaka Tani Jaya/Supri</v>
          </cell>
          <cell r="N6505" t="str">
            <v>Supriyadi, SP</v>
          </cell>
          <cell r="O6505" t="str">
            <v>Dusun Bulurejo, RT.003/RW.002, Kel. Bulurejo, Kec. Purwoharjo</v>
          </cell>
          <cell r="P6505" t="str">
            <v>Banyuwangi</v>
          </cell>
          <cell r="Q6505" t="str">
            <v>Jl. Raya Grajagan Dsn. Gumukrejo RT. 05 RW. 02, Purwoharjo</v>
          </cell>
          <cell r="R6505" t="str">
            <v>Banyuwangi</v>
          </cell>
          <cell r="S6505" t="str">
            <v>H Bwi3</v>
          </cell>
          <cell r="T6505" t="str">
            <v>Hafid</v>
          </cell>
          <cell r="U6505">
            <v>60</v>
          </cell>
        </row>
        <row r="6506">
          <cell r="E6506" t="str">
            <v>B25008565</v>
          </cell>
          <cell r="F6506"/>
          <cell r="G6506">
            <v>30000000</v>
          </cell>
          <cell r="H6506" t="str">
            <v>Faris</v>
          </cell>
          <cell r="I6506" t="str">
            <v>Syahra</v>
          </cell>
          <cell r="J6506"/>
          <cell r="K6506" t="str">
            <v>KU, Tunai</v>
          </cell>
          <cell r="L6506" t="str">
            <v>PUSA02</v>
          </cell>
          <cell r="M6506" t="str">
            <v>Pusaka Tani Jaya/Supri</v>
          </cell>
          <cell r="N6506" t="str">
            <v>Supriyadi, SP</v>
          </cell>
          <cell r="O6506" t="str">
            <v>Dusun Bulurejo, RT.003/RW.002, Kel. Bulurejo, Kec. Purwoharjo</v>
          </cell>
          <cell r="P6506" t="str">
            <v>Banyuwangi</v>
          </cell>
          <cell r="Q6506" t="str">
            <v>Jl. Raya Grajagan Dsn. Gumukrejo RT. 05 RW. 02, Purwoharjo</v>
          </cell>
          <cell r="R6506" t="str">
            <v>Banyuwangi</v>
          </cell>
          <cell r="S6506" t="str">
            <v>H Bwi3</v>
          </cell>
          <cell r="T6506" t="str">
            <v>Hafid</v>
          </cell>
          <cell r="U6506">
            <v>30</v>
          </cell>
        </row>
        <row r="6507">
          <cell r="E6507" t="str">
            <v>B25008714</v>
          </cell>
          <cell r="F6507"/>
          <cell r="G6507">
            <v>30000000</v>
          </cell>
          <cell r="H6507" t="str">
            <v>Faris</v>
          </cell>
          <cell r="I6507" t="str">
            <v>Syahra</v>
          </cell>
          <cell r="J6507"/>
          <cell r="K6507" t="str">
            <v>KU, Tunai</v>
          </cell>
          <cell r="L6507" t="str">
            <v>PUSA02</v>
          </cell>
          <cell r="M6507" t="str">
            <v>Pusaka Tani Jaya/Supri</v>
          </cell>
          <cell r="N6507" t="str">
            <v>Supriyadi, SP</v>
          </cell>
          <cell r="O6507" t="str">
            <v>Dusun Bulurejo, RT.003/RW.002, Kel. Bulurejo, Kec. Purwoharjo</v>
          </cell>
          <cell r="P6507" t="str">
            <v>Banyuwangi</v>
          </cell>
          <cell r="Q6507" t="str">
            <v>Jl. Raya Grajagan Dsn. Gumukrejo RT. 05 RW. 02, Purwoharjo</v>
          </cell>
          <cell r="R6507" t="str">
            <v>Banyuwangi</v>
          </cell>
          <cell r="S6507" t="str">
            <v>H Bwi3</v>
          </cell>
          <cell r="T6507" t="str">
            <v>Hafid</v>
          </cell>
          <cell r="U6507">
            <v>30</v>
          </cell>
        </row>
        <row r="6508">
          <cell r="E6508" t="str">
            <v>D25010573</v>
          </cell>
          <cell r="F6508"/>
          <cell r="G6508">
            <v>30000000</v>
          </cell>
          <cell r="H6508" t="str">
            <v>Faris</v>
          </cell>
          <cell r="I6508" t="str">
            <v>Syahra</v>
          </cell>
          <cell r="J6508"/>
          <cell r="K6508" t="str">
            <v>KU, Tunai</v>
          </cell>
          <cell r="L6508" t="str">
            <v>PUSA02</v>
          </cell>
          <cell r="M6508" t="str">
            <v>Pusaka Tani Jaya/Supri</v>
          </cell>
          <cell r="N6508" t="str">
            <v>Supriyadi, SP</v>
          </cell>
          <cell r="O6508" t="str">
            <v>Dusun Bulurejo, RT.003/RW.002, Kel. Bulurejo, Kec. Purwoharjo</v>
          </cell>
          <cell r="P6508" t="str">
            <v>Banyuwangi</v>
          </cell>
          <cell r="Q6508" t="str">
            <v>Jl. Raya Grajagan Dsn. Gumukrejo RT. 05 RW. 02, Purwoharjo</v>
          </cell>
          <cell r="R6508" t="str">
            <v>Banyuwangi</v>
          </cell>
          <cell r="S6508" t="str">
            <v>H Bwi3</v>
          </cell>
          <cell r="T6508" t="str">
            <v>Hafid</v>
          </cell>
          <cell r="U6508">
            <v>30</v>
          </cell>
        </row>
        <row r="6509">
          <cell r="E6509" t="str">
            <v>D25011381</v>
          </cell>
          <cell r="F6509"/>
          <cell r="G6509">
            <v>30000000</v>
          </cell>
          <cell r="H6509" t="str">
            <v>Faris</v>
          </cell>
          <cell r="I6509" t="str">
            <v>Syahra</v>
          </cell>
          <cell r="J6509"/>
          <cell r="K6509" t="str">
            <v>KU, Tunai</v>
          </cell>
          <cell r="L6509" t="str">
            <v>PUSA02</v>
          </cell>
          <cell r="M6509" t="str">
            <v>Pusaka Tani Jaya/Supri</v>
          </cell>
          <cell r="N6509" t="str">
            <v>Supriyadi, SP</v>
          </cell>
          <cell r="O6509" t="str">
            <v>Dusun Bulurejo, RT.003/RW.002, Kel. Bulurejo, Kec. Purwoharjo</v>
          </cell>
          <cell r="P6509" t="str">
            <v>Banyuwangi</v>
          </cell>
          <cell r="Q6509" t="str">
            <v>Jl. Raya Grajagan Dsn. Gumukrejo RT. 05 RW. 02, Purwoharjo</v>
          </cell>
          <cell r="R6509" t="str">
            <v>Banyuwangi</v>
          </cell>
          <cell r="S6509" t="str">
            <v>H Bwi3</v>
          </cell>
          <cell r="T6509" t="str">
            <v>Hafid</v>
          </cell>
          <cell r="U6509">
            <v>30</v>
          </cell>
        </row>
        <row r="6510">
          <cell r="E6510" t="str">
            <v>D25011695</v>
          </cell>
          <cell r="F6510"/>
          <cell r="G6510">
            <v>30000000</v>
          </cell>
          <cell r="H6510" t="str">
            <v>Faris</v>
          </cell>
          <cell r="I6510" t="str">
            <v>Syahra</v>
          </cell>
          <cell r="J6510"/>
          <cell r="K6510" t="str">
            <v>KU, Tunai</v>
          </cell>
          <cell r="L6510" t="str">
            <v>PUSA02</v>
          </cell>
          <cell r="M6510" t="str">
            <v>Pusaka Tani Jaya/Supri</v>
          </cell>
          <cell r="N6510" t="str">
            <v>Supriyadi, SP</v>
          </cell>
          <cell r="O6510" t="str">
            <v>Dusun Bulurejo, RT.003/RW.002, Kel. Bulurejo, Kec. Purwoharjo</v>
          </cell>
          <cell r="P6510" t="str">
            <v>Banyuwangi</v>
          </cell>
          <cell r="Q6510" t="str">
            <v>Jl. Raya Grajagan Dsn. Gumukrejo RT. 05 RW. 02, Purwoharjo</v>
          </cell>
          <cell r="R6510" t="str">
            <v>Banyuwangi</v>
          </cell>
          <cell r="S6510" t="str">
            <v>H Bwi3</v>
          </cell>
          <cell r="T6510" t="str">
            <v>Hafid</v>
          </cell>
          <cell r="U6510">
            <v>60</v>
          </cell>
        </row>
        <row r="6511">
          <cell r="E6511" t="str">
            <v>T25001324</v>
          </cell>
          <cell r="F6511"/>
          <cell r="G6511">
            <v>30000000</v>
          </cell>
          <cell r="H6511" t="str">
            <v>Faris</v>
          </cell>
          <cell r="I6511" t="str">
            <v>Syahra</v>
          </cell>
          <cell r="J6511"/>
          <cell r="K6511" t="str">
            <v>KU, Tunai</v>
          </cell>
          <cell r="L6511" t="str">
            <v>PUSA02</v>
          </cell>
          <cell r="M6511" t="str">
            <v>Pusaka Tani Jaya/Supri</v>
          </cell>
          <cell r="N6511" t="str">
            <v>Supriyadi, SP</v>
          </cell>
          <cell r="O6511" t="str">
            <v>Dusun Bulurejo, RT.003/RW.002, Kel. Bulurejo, Kec. Purwoharjo</v>
          </cell>
          <cell r="P6511" t="str">
            <v>Banyuwangi</v>
          </cell>
          <cell r="Q6511" t="str">
            <v>Jl. Raya Grajagan Dsn. Gumukrejo RT. 05 RW. 02, Purwoharjo</v>
          </cell>
          <cell r="R6511" t="str">
            <v>Banyuwangi</v>
          </cell>
          <cell r="S6511" t="str">
            <v>H Bwi3</v>
          </cell>
          <cell r="T6511" t="str">
            <v>Hafid</v>
          </cell>
          <cell r="U6511">
            <v>60</v>
          </cell>
        </row>
        <row r="6512">
          <cell r="E6512" t="str">
            <v>B25012204</v>
          </cell>
          <cell r="F6512"/>
          <cell r="G6512">
            <v>30000000</v>
          </cell>
          <cell r="H6512" t="str">
            <v>Faris</v>
          </cell>
          <cell r="I6512" t="str">
            <v>Syahra</v>
          </cell>
          <cell r="J6512"/>
          <cell r="K6512" t="str">
            <v>KU, Tunai</v>
          </cell>
          <cell r="L6512" t="str">
            <v>PUSA02</v>
          </cell>
          <cell r="M6512" t="str">
            <v>Pusaka Tani Jaya/Supri</v>
          </cell>
          <cell r="N6512" t="str">
            <v>Supriyadi, SP</v>
          </cell>
          <cell r="O6512" t="str">
            <v>Dusun Bulurejo, RT.003/RW.002, Kel. Bulurejo, Kec. Purwoharjo</v>
          </cell>
          <cell r="P6512" t="str">
            <v>Banyuwangi</v>
          </cell>
          <cell r="Q6512" t="str">
            <v>Jl. Raya Grajagan Dsn. Gumukrejo RT. 05 RW. 02, Purwoharjo</v>
          </cell>
          <cell r="R6512" t="str">
            <v>Banyuwangi</v>
          </cell>
          <cell r="S6512" t="str">
            <v>H Bwi3</v>
          </cell>
          <cell r="T6512" t="str">
            <v>Hafid</v>
          </cell>
          <cell r="U6512">
            <v>30</v>
          </cell>
        </row>
        <row r="6513">
          <cell r="E6513">
            <v>250151</v>
          </cell>
          <cell r="F6513"/>
          <cell r="G6513">
            <v>30000000</v>
          </cell>
          <cell r="H6513" t="str">
            <v>Faris</v>
          </cell>
          <cell r="I6513" t="str">
            <v>Syahra</v>
          </cell>
          <cell r="J6513"/>
          <cell r="K6513" t="str">
            <v>KU, Tunai</v>
          </cell>
          <cell r="L6513" t="str">
            <v>PUSA02</v>
          </cell>
          <cell r="M6513" t="str">
            <v>Pusaka Tani Jaya/Supri</v>
          </cell>
          <cell r="N6513" t="str">
            <v>Supriyadi, SP</v>
          </cell>
          <cell r="O6513" t="str">
            <v>Dusun Bulurejo, RT.003/RW.002, Kel. Bulurejo, Kec. Purwoharjo</v>
          </cell>
          <cell r="P6513" t="str">
            <v>Banyuwangi</v>
          </cell>
          <cell r="Q6513" t="str">
            <v>Jl. Raya Grajagan Dsn. Gumukrejo RT. 05 RW. 02, Purwoharjo</v>
          </cell>
          <cell r="R6513" t="str">
            <v>Banyuwangi</v>
          </cell>
          <cell r="S6513" t="str">
            <v>H Bwi3</v>
          </cell>
          <cell r="T6513" t="str">
            <v>Hafid</v>
          </cell>
          <cell r="U6513">
            <v>30</v>
          </cell>
        </row>
        <row r="6514">
          <cell r="E6514" t="str">
            <v>D25016205</v>
          </cell>
          <cell r="F6514"/>
          <cell r="G6514">
            <v>30000000</v>
          </cell>
          <cell r="H6514" t="str">
            <v>Faris</v>
          </cell>
          <cell r="I6514" t="str">
            <v>Syahra</v>
          </cell>
          <cell r="J6514"/>
          <cell r="K6514" t="str">
            <v>KU, Tunai</v>
          </cell>
          <cell r="L6514" t="str">
            <v>PUSA02</v>
          </cell>
          <cell r="M6514" t="str">
            <v>Pusaka Tani Jaya/Supri</v>
          </cell>
          <cell r="N6514" t="str">
            <v>Supriyadi, SP</v>
          </cell>
          <cell r="O6514" t="str">
            <v>Dusun Bulurejo, RT.003/RW.002, Kel. Bulurejo, Kec. Purwoharjo</v>
          </cell>
          <cell r="P6514" t="str">
            <v>Banyuwangi</v>
          </cell>
          <cell r="Q6514" t="str">
            <v>Jl. Raya Grajagan Dsn. Gumukrejo RT. 05 RW. 02, Purwoharjo</v>
          </cell>
          <cell r="R6514" t="str">
            <v>Banyuwangi</v>
          </cell>
          <cell r="S6514" t="str">
            <v>H Bwi3</v>
          </cell>
          <cell r="T6514" t="str">
            <v>Hafid</v>
          </cell>
          <cell r="U6514">
            <v>30</v>
          </cell>
        </row>
        <row r="6515">
          <cell r="E6515" t="str">
            <v>T25001600</v>
          </cell>
          <cell r="F6515"/>
          <cell r="G6515">
            <v>30000000</v>
          </cell>
          <cell r="H6515" t="str">
            <v>Faris</v>
          </cell>
          <cell r="I6515" t="str">
            <v>Syahra</v>
          </cell>
          <cell r="J6515"/>
          <cell r="K6515" t="str">
            <v>KU, Tunai</v>
          </cell>
          <cell r="L6515" t="str">
            <v>PUSA02</v>
          </cell>
          <cell r="M6515" t="str">
            <v>Pusaka Tani Jaya/Supri</v>
          </cell>
          <cell r="N6515" t="str">
            <v>Supriyadi, SP</v>
          </cell>
          <cell r="O6515" t="str">
            <v>Dusun Bulurejo, RT.003/RW.002, Kel. Bulurejo, Kec. Purwoharjo</v>
          </cell>
          <cell r="P6515" t="str">
            <v>Banyuwangi</v>
          </cell>
          <cell r="Q6515" t="str">
            <v>Jl. Raya Grajagan Dsn. Gumukrejo RT. 05 RW. 02, Purwoharjo</v>
          </cell>
          <cell r="R6515" t="str">
            <v>Banyuwangi</v>
          </cell>
          <cell r="S6515" t="str">
            <v>H Bwi3</v>
          </cell>
          <cell r="T6515" t="str">
            <v>Hafid</v>
          </cell>
          <cell r="U6515">
            <v>60</v>
          </cell>
        </row>
        <row r="6516">
          <cell r="E6516" t="str">
            <v>B25013238</v>
          </cell>
          <cell r="F6516"/>
          <cell r="G6516">
            <v>1000</v>
          </cell>
          <cell r="H6516" t="str">
            <v>Ariyani</v>
          </cell>
          <cell r="I6516" t="str">
            <v>Fira</v>
          </cell>
          <cell r="J6516" t="str">
            <v>New 16/10/25</v>
          </cell>
          <cell r="K6516" t="str">
            <v>KU</v>
          </cell>
          <cell r="L6516" t="str">
            <v>PUSA10</v>
          </cell>
          <cell r="M6516" t="str">
            <v>Pusaka Tani, CV/Agus Priyanto</v>
          </cell>
          <cell r="N6516" t="str">
            <v>Pusaka Tani, CV</v>
          </cell>
          <cell r="O6516" t="str">
            <v>Jl. Watu Ulo, Ambulu, Ambulu</v>
          </cell>
          <cell r="P6516" t="str">
            <v>Jember</v>
          </cell>
          <cell r="Q6516" t="str">
            <v>Watu Ulo No. 25 Ambulu</v>
          </cell>
          <cell r="R6516" t="str">
            <v>Jember</v>
          </cell>
          <cell r="S6516" t="str">
            <v>L Kota2</v>
          </cell>
          <cell r="T6516" t="str">
            <v>Wira</v>
          </cell>
          <cell r="U6516">
            <v>0</v>
          </cell>
        </row>
        <row r="6517">
          <cell r="E6517" t="str">
            <v>D25015678</v>
          </cell>
          <cell r="F6517"/>
          <cell r="G6517">
            <v>1000</v>
          </cell>
          <cell r="H6517" t="str">
            <v>Ariyani</v>
          </cell>
          <cell r="I6517" t="str">
            <v>Fira</v>
          </cell>
          <cell r="J6517" t="str">
            <v>New 16/10/25</v>
          </cell>
          <cell r="K6517" t="str">
            <v>KU</v>
          </cell>
          <cell r="L6517" t="str">
            <v>PUSA10</v>
          </cell>
          <cell r="M6517" t="str">
            <v>Pusaka Tani, CV/Agus Priyanto</v>
          </cell>
          <cell r="N6517" t="str">
            <v>Pusaka Tani, CV</v>
          </cell>
          <cell r="O6517" t="str">
            <v>Jl. Watu Ulo, Ambulu, Ambulu</v>
          </cell>
          <cell r="P6517" t="str">
            <v>Jember</v>
          </cell>
          <cell r="Q6517" t="str">
            <v>Watu Ulo No. 25 Ambulu</v>
          </cell>
          <cell r="R6517" t="str">
            <v>Jember</v>
          </cell>
          <cell r="S6517" t="str">
            <v>L Kota2</v>
          </cell>
          <cell r="T6517" t="str">
            <v>Wira</v>
          </cell>
          <cell r="U6517">
            <v>0</v>
          </cell>
        </row>
        <row r="6518">
          <cell r="E6518" t="str">
            <v>D25014165</v>
          </cell>
          <cell r="F6518"/>
          <cell r="G6518">
            <v>300000000</v>
          </cell>
          <cell r="H6518" t="str">
            <v>Zakia</v>
          </cell>
          <cell r="I6518" t="str">
            <v>Tiya</v>
          </cell>
          <cell r="J6518"/>
          <cell r="K6518" t="str">
            <v>KU</v>
          </cell>
          <cell r="L6518" t="str">
            <v>PUSA08</v>
          </cell>
          <cell r="M6518" t="str">
            <v>Pusaka Tani/Ashari</v>
          </cell>
          <cell r="N6518" t="str">
            <v>Muhammad Ashari</v>
          </cell>
          <cell r="O6518" t="str">
            <v>Dsn. Satreyan RT.001/RW.003, Kel. Kayen Kidul, Kec. Kayen Kidul</v>
          </cell>
          <cell r="P6518" t="str">
            <v>Kediri</v>
          </cell>
          <cell r="Q6518" t="str">
            <v>Dsn. Satreyan RT.001/RW.003, Kel. Kayen Kidul, Kec. Kayen Kidul</v>
          </cell>
          <cell r="R6518" t="str">
            <v>Kediri</v>
          </cell>
          <cell r="S6518" t="str">
            <v>D Barat2</v>
          </cell>
          <cell r="T6518" t="str">
            <v>Tomi</v>
          </cell>
          <cell r="U6518">
            <v>30</v>
          </cell>
        </row>
        <row r="6519">
          <cell r="E6519" t="str">
            <v>D25014165</v>
          </cell>
          <cell r="F6519"/>
          <cell r="G6519">
            <v>300000000</v>
          </cell>
          <cell r="H6519" t="str">
            <v>Zakia</v>
          </cell>
          <cell r="I6519" t="str">
            <v>Tiya</v>
          </cell>
          <cell r="J6519"/>
          <cell r="K6519" t="str">
            <v>KU</v>
          </cell>
          <cell r="L6519" t="str">
            <v>PUSA08</v>
          </cell>
          <cell r="M6519" t="str">
            <v>Pusaka Tani/Ashari</v>
          </cell>
          <cell r="N6519" t="str">
            <v>Muhammad Ashari</v>
          </cell>
          <cell r="O6519" t="str">
            <v>Dsn. Satreyan RT.001/RW.003, Kel. Kayen Kidul, Kec. Kayen Kidul</v>
          </cell>
          <cell r="P6519" t="str">
            <v>Kediri</v>
          </cell>
          <cell r="Q6519" t="str">
            <v>Dsn. Satreyan RT.001/RW.003, Kel. Kayen Kidul, Kec. Kayen Kidul</v>
          </cell>
          <cell r="R6519" t="str">
            <v>Kediri</v>
          </cell>
          <cell r="S6519" t="str">
            <v>D Barat2</v>
          </cell>
          <cell r="T6519" t="str">
            <v>Tomi</v>
          </cell>
          <cell r="U6519">
            <v>30</v>
          </cell>
        </row>
        <row r="6520">
          <cell r="E6520" t="str">
            <v>D25014165</v>
          </cell>
          <cell r="F6520"/>
          <cell r="G6520">
            <v>300000000</v>
          </cell>
          <cell r="H6520" t="str">
            <v>Zakia</v>
          </cell>
          <cell r="I6520" t="str">
            <v>Tiya</v>
          </cell>
          <cell r="J6520"/>
          <cell r="K6520" t="str">
            <v>KU</v>
          </cell>
          <cell r="L6520" t="str">
            <v>PUSA08</v>
          </cell>
          <cell r="M6520" t="str">
            <v>Pusaka Tani/Ashari</v>
          </cell>
          <cell r="N6520" t="str">
            <v>Muhammad Ashari</v>
          </cell>
          <cell r="O6520" t="str">
            <v>Dsn. Satreyan RT.001/RW.003, Kel. Kayen Kidul, Kec. Kayen Kidul</v>
          </cell>
          <cell r="P6520" t="str">
            <v>Kediri</v>
          </cell>
          <cell r="Q6520" t="str">
            <v>Dsn. Satreyan RT.001/RW.003, Kel. Kayen Kidul, Kec. Kayen Kidul</v>
          </cell>
          <cell r="R6520" t="str">
            <v>Kediri</v>
          </cell>
          <cell r="S6520" t="str">
            <v>D Barat2</v>
          </cell>
          <cell r="T6520" t="str">
            <v>Tomi</v>
          </cell>
          <cell r="U6520">
            <v>30</v>
          </cell>
        </row>
        <row r="6521">
          <cell r="E6521" t="str">
            <v>D25014165</v>
          </cell>
          <cell r="F6521"/>
          <cell r="G6521">
            <v>300000000</v>
          </cell>
          <cell r="H6521" t="str">
            <v>Zakia</v>
          </cell>
          <cell r="I6521" t="str">
            <v>Tiya</v>
          </cell>
          <cell r="J6521"/>
          <cell r="K6521" t="str">
            <v>KU</v>
          </cell>
          <cell r="L6521" t="str">
            <v>PUSA08</v>
          </cell>
          <cell r="M6521" t="str">
            <v>Pusaka Tani/Ashari</v>
          </cell>
          <cell r="N6521" t="str">
            <v>Muhammad Ashari</v>
          </cell>
          <cell r="O6521" t="str">
            <v>Dsn. Satreyan RT.001/RW.003, Kel. Kayen Kidul, Kec. Kayen Kidul</v>
          </cell>
          <cell r="P6521" t="str">
            <v>Kediri</v>
          </cell>
          <cell r="Q6521" t="str">
            <v>Dsn. Satreyan RT.001/RW.003, Kel. Kayen Kidul, Kec. Kayen Kidul</v>
          </cell>
          <cell r="R6521" t="str">
            <v>Kediri</v>
          </cell>
          <cell r="S6521" t="str">
            <v>D Barat2</v>
          </cell>
          <cell r="T6521" t="str">
            <v>Tomi</v>
          </cell>
          <cell r="U6521">
            <v>30</v>
          </cell>
        </row>
        <row r="6522">
          <cell r="E6522" t="str">
            <v>D25014165</v>
          </cell>
          <cell r="F6522"/>
          <cell r="G6522">
            <v>300000000</v>
          </cell>
          <cell r="H6522" t="str">
            <v>Zakia</v>
          </cell>
          <cell r="I6522" t="str">
            <v>Tiya</v>
          </cell>
          <cell r="J6522"/>
          <cell r="K6522" t="str">
            <v>KU</v>
          </cell>
          <cell r="L6522" t="str">
            <v>PUSA08</v>
          </cell>
          <cell r="M6522" t="str">
            <v>Pusaka Tani/Ashari</v>
          </cell>
          <cell r="N6522" t="str">
            <v>Muhammad Ashari</v>
          </cell>
          <cell r="O6522" t="str">
            <v>Dsn. Satreyan RT.001/RW.003, Kel. Kayen Kidul, Kec. Kayen Kidul</v>
          </cell>
          <cell r="P6522" t="str">
            <v>Kediri</v>
          </cell>
          <cell r="Q6522" t="str">
            <v>Dsn. Satreyan RT.001/RW.003, Kel. Kayen Kidul, Kec. Kayen Kidul</v>
          </cell>
          <cell r="R6522" t="str">
            <v>Kediri</v>
          </cell>
          <cell r="S6522" t="str">
            <v>D Barat2</v>
          </cell>
          <cell r="T6522" t="str">
            <v>Tomi</v>
          </cell>
          <cell r="U6522">
            <v>30</v>
          </cell>
        </row>
        <row r="6523">
          <cell r="E6523" t="str">
            <v>D25014165</v>
          </cell>
          <cell r="F6523"/>
          <cell r="G6523">
            <v>300000000</v>
          </cell>
          <cell r="H6523" t="str">
            <v>Zakia</v>
          </cell>
          <cell r="I6523" t="str">
            <v>Tiya</v>
          </cell>
          <cell r="J6523"/>
          <cell r="K6523" t="str">
            <v>KU</v>
          </cell>
          <cell r="L6523" t="str">
            <v>PUSA08</v>
          </cell>
          <cell r="M6523" t="str">
            <v>Pusaka Tani/Ashari</v>
          </cell>
          <cell r="N6523" t="str">
            <v>Muhammad Ashari</v>
          </cell>
          <cell r="O6523" t="str">
            <v>Dsn. Satreyan RT.001/RW.003, Kel. Kayen Kidul, Kec. Kayen Kidul</v>
          </cell>
          <cell r="P6523" t="str">
            <v>Kediri</v>
          </cell>
          <cell r="Q6523" t="str">
            <v>Dsn. Satreyan RT.001/RW.003, Kel. Kayen Kidul, Kec. Kayen Kidul</v>
          </cell>
          <cell r="R6523" t="str">
            <v>Kediri</v>
          </cell>
          <cell r="S6523" t="str">
            <v>D Barat2</v>
          </cell>
          <cell r="T6523" t="str">
            <v>Tomi</v>
          </cell>
          <cell r="U6523">
            <v>30</v>
          </cell>
        </row>
        <row r="6524">
          <cell r="E6524" t="str">
            <v>D25014165</v>
          </cell>
          <cell r="F6524"/>
          <cell r="G6524">
            <v>300000000</v>
          </cell>
          <cell r="H6524" t="str">
            <v>Zakia</v>
          </cell>
          <cell r="I6524" t="str">
            <v>Tiya</v>
          </cell>
          <cell r="J6524"/>
          <cell r="K6524" t="str">
            <v>KU</v>
          </cell>
          <cell r="L6524" t="str">
            <v>PUSA08</v>
          </cell>
          <cell r="M6524" t="str">
            <v>Pusaka Tani/Ashari</v>
          </cell>
          <cell r="N6524" t="str">
            <v>Muhammad Ashari</v>
          </cell>
          <cell r="O6524" t="str">
            <v>Dsn. Satreyan RT.001/RW.003, Kel. Kayen Kidul, Kec. Kayen Kidul</v>
          </cell>
          <cell r="P6524" t="str">
            <v>Kediri</v>
          </cell>
          <cell r="Q6524" t="str">
            <v>Dsn. Satreyan RT.001/RW.003, Kel. Kayen Kidul, Kec. Kayen Kidul</v>
          </cell>
          <cell r="R6524" t="str">
            <v>Kediri</v>
          </cell>
          <cell r="S6524" t="str">
            <v>D Barat2</v>
          </cell>
          <cell r="T6524" t="str">
            <v>Tomi</v>
          </cell>
          <cell r="U6524">
            <v>30</v>
          </cell>
        </row>
        <row r="6525">
          <cell r="E6525" t="str">
            <v>D25014165</v>
          </cell>
          <cell r="F6525"/>
          <cell r="G6525">
            <v>300000000</v>
          </cell>
          <cell r="H6525" t="str">
            <v>Zakia</v>
          </cell>
          <cell r="I6525" t="str">
            <v>Tiya</v>
          </cell>
          <cell r="J6525"/>
          <cell r="K6525" t="str">
            <v>KU</v>
          </cell>
          <cell r="L6525" t="str">
            <v>PUSA08</v>
          </cell>
          <cell r="M6525" t="str">
            <v>Pusaka Tani/Ashari</v>
          </cell>
          <cell r="N6525" t="str">
            <v>Muhammad Ashari</v>
          </cell>
          <cell r="O6525" t="str">
            <v>Dsn. Satreyan RT.001/RW.003, Kel. Kayen Kidul, Kec. Kayen Kidul</v>
          </cell>
          <cell r="P6525" t="str">
            <v>Kediri</v>
          </cell>
          <cell r="Q6525" t="str">
            <v>Dsn. Satreyan RT.001/RW.003, Kel. Kayen Kidul, Kec. Kayen Kidul</v>
          </cell>
          <cell r="R6525" t="str">
            <v>Kediri</v>
          </cell>
          <cell r="S6525" t="str">
            <v>D Barat2</v>
          </cell>
          <cell r="T6525" t="str">
            <v>Tomi</v>
          </cell>
          <cell r="U6525">
            <v>30</v>
          </cell>
        </row>
        <row r="6526">
          <cell r="E6526" t="str">
            <v>D25014214</v>
          </cell>
          <cell r="F6526"/>
          <cell r="G6526">
            <v>300000000</v>
          </cell>
          <cell r="H6526" t="str">
            <v>Zakia</v>
          </cell>
          <cell r="I6526" t="str">
            <v>Tiya</v>
          </cell>
          <cell r="J6526"/>
          <cell r="K6526" t="str">
            <v>KU</v>
          </cell>
          <cell r="L6526" t="str">
            <v>PUSA08</v>
          </cell>
          <cell r="M6526" t="str">
            <v>Pusaka Tani/Ashari</v>
          </cell>
          <cell r="N6526" t="str">
            <v>Muhammad Ashari</v>
          </cell>
          <cell r="O6526" t="str">
            <v>Dsn. Satreyan RT.001/RW.003, Kel. Kayen Kidul, Kec. Kayen Kidul</v>
          </cell>
          <cell r="P6526" t="str">
            <v>Kediri</v>
          </cell>
          <cell r="Q6526" t="str">
            <v>Dsn. Satreyan RT.001/RW.003, Kel. Kayen Kidul, Kec. Kayen Kidul</v>
          </cell>
          <cell r="R6526" t="str">
            <v>Kediri</v>
          </cell>
          <cell r="S6526" t="str">
            <v>D Barat2</v>
          </cell>
          <cell r="T6526" t="str">
            <v>Tomi</v>
          </cell>
          <cell r="U6526">
            <v>30</v>
          </cell>
        </row>
        <row r="6527">
          <cell r="E6527" t="str">
            <v>T25001416</v>
          </cell>
          <cell r="F6527"/>
          <cell r="G6527">
            <v>300000000</v>
          </cell>
          <cell r="H6527" t="str">
            <v>Zakia</v>
          </cell>
          <cell r="I6527" t="str">
            <v>Tiya</v>
          </cell>
          <cell r="J6527"/>
          <cell r="K6527" t="str">
            <v>KU</v>
          </cell>
          <cell r="L6527" t="str">
            <v>PUSA08</v>
          </cell>
          <cell r="M6527" t="str">
            <v>Pusaka Tani/Ashari</v>
          </cell>
          <cell r="N6527" t="str">
            <v>Muhammad Ashari</v>
          </cell>
          <cell r="O6527" t="str">
            <v>Dsn. Satreyan RT.001/RW.003, Kel. Kayen Kidul, Kec. Kayen Kidul</v>
          </cell>
          <cell r="P6527" t="str">
            <v>Kediri</v>
          </cell>
          <cell r="Q6527" t="str">
            <v>Dsn. Satreyan RT.001/RW.003, Kel. Kayen Kidul, Kec. Kayen Kidul</v>
          </cell>
          <cell r="R6527" t="str">
            <v>Kediri</v>
          </cell>
          <cell r="S6527" t="str">
            <v>D Barat2</v>
          </cell>
          <cell r="T6527" t="str">
            <v>Tomi</v>
          </cell>
          <cell r="U6527">
            <v>60</v>
          </cell>
        </row>
        <row r="6528">
          <cell r="E6528" t="str">
            <v>D25014437</v>
          </cell>
          <cell r="F6528"/>
          <cell r="G6528">
            <v>300000000</v>
          </cell>
          <cell r="H6528" t="str">
            <v>Zakia</v>
          </cell>
          <cell r="I6528" t="str">
            <v>Tiya</v>
          </cell>
          <cell r="J6528"/>
          <cell r="K6528" t="str">
            <v>KU</v>
          </cell>
          <cell r="L6528" t="str">
            <v>PUSA08</v>
          </cell>
          <cell r="M6528" t="str">
            <v>Pusaka Tani/Ashari</v>
          </cell>
          <cell r="N6528" t="str">
            <v>Muhammad Ashari</v>
          </cell>
          <cell r="O6528" t="str">
            <v>Dsn. Satreyan RT.001/RW.003, Kel. Kayen Kidul, Kec. Kayen Kidul</v>
          </cell>
          <cell r="P6528" t="str">
            <v>Kediri</v>
          </cell>
          <cell r="Q6528" t="str">
            <v>Dsn. Satreyan RT.001/RW.003, Kel. Kayen Kidul, Kec. Kayen Kidul</v>
          </cell>
          <cell r="R6528" t="str">
            <v>Kediri</v>
          </cell>
          <cell r="S6528" t="str">
            <v>D Barat2</v>
          </cell>
          <cell r="T6528" t="str">
            <v>Tomi</v>
          </cell>
          <cell r="U6528">
            <v>30</v>
          </cell>
        </row>
        <row r="6529">
          <cell r="E6529" t="str">
            <v>B25012239</v>
          </cell>
          <cell r="F6529"/>
          <cell r="G6529">
            <v>300000000</v>
          </cell>
          <cell r="H6529" t="str">
            <v>Zakia</v>
          </cell>
          <cell r="I6529" t="str">
            <v>Tiya</v>
          </cell>
          <cell r="J6529"/>
          <cell r="K6529" t="str">
            <v>KU</v>
          </cell>
          <cell r="L6529" t="str">
            <v>PUSA08</v>
          </cell>
          <cell r="M6529" t="str">
            <v>Pusaka Tani/Ashari</v>
          </cell>
          <cell r="N6529" t="str">
            <v>Muhammad Ashari</v>
          </cell>
          <cell r="O6529" t="str">
            <v>Dsn. Satreyan RT.001/RW.003, Kel. Kayen Kidul, Kec. Kayen Kidul</v>
          </cell>
          <cell r="P6529" t="str">
            <v>Kediri</v>
          </cell>
          <cell r="Q6529" t="str">
            <v>Dsn. Satreyan RT.001/RW.003, Kel. Kayen Kidul, Kec. Kayen Kidul</v>
          </cell>
          <cell r="R6529" t="str">
            <v>Kediri</v>
          </cell>
          <cell r="S6529" t="str">
            <v>D Barat2</v>
          </cell>
          <cell r="T6529" t="str">
            <v>Tomi</v>
          </cell>
          <cell r="U6529">
            <v>30</v>
          </cell>
        </row>
        <row r="6530">
          <cell r="E6530" t="str">
            <v>D25014523</v>
          </cell>
          <cell r="F6530"/>
          <cell r="G6530">
            <v>300000000</v>
          </cell>
          <cell r="H6530" t="str">
            <v>Zakia</v>
          </cell>
          <cell r="I6530" t="str">
            <v>Tiya</v>
          </cell>
          <cell r="J6530"/>
          <cell r="K6530" t="str">
            <v>KU</v>
          </cell>
          <cell r="L6530" t="str">
            <v>PUSA08</v>
          </cell>
          <cell r="M6530" t="str">
            <v>Pusaka Tani/Ashari</v>
          </cell>
          <cell r="N6530" t="str">
            <v>Muhammad Ashari</v>
          </cell>
          <cell r="O6530" t="str">
            <v>Dsn. Satreyan RT.001/RW.003, Kel. Kayen Kidul, Kec. Kayen Kidul</v>
          </cell>
          <cell r="P6530" t="str">
            <v>Kediri</v>
          </cell>
          <cell r="Q6530" t="str">
            <v>Dsn. Satreyan RT.001/RW.003, Kel. Kayen Kidul, Kec. Kayen Kidul</v>
          </cell>
          <cell r="R6530" t="str">
            <v>Kediri</v>
          </cell>
          <cell r="S6530" t="str">
            <v>D Barat2</v>
          </cell>
          <cell r="T6530" t="str">
            <v>Tomi</v>
          </cell>
          <cell r="U6530">
            <v>30</v>
          </cell>
        </row>
        <row r="6531">
          <cell r="E6531" t="str">
            <v>B25012342</v>
          </cell>
          <cell r="F6531"/>
          <cell r="G6531">
            <v>300000000</v>
          </cell>
          <cell r="H6531" t="str">
            <v>Zakia</v>
          </cell>
          <cell r="I6531" t="str">
            <v>Tiya</v>
          </cell>
          <cell r="J6531"/>
          <cell r="K6531" t="str">
            <v>KU</v>
          </cell>
          <cell r="L6531" t="str">
            <v>PUSA08</v>
          </cell>
          <cell r="M6531" t="str">
            <v>Pusaka Tani/Ashari</v>
          </cell>
          <cell r="N6531" t="str">
            <v>Muhammad Ashari</v>
          </cell>
          <cell r="O6531" t="str">
            <v>Dsn. Satreyan RT.001/RW.003, Kel. Kayen Kidul, Kec. Kayen Kidul</v>
          </cell>
          <cell r="P6531" t="str">
            <v>Kediri</v>
          </cell>
          <cell r="Q6531" t="str">
            <v>Dsn. Satreyan RT.001/RW.003, Kel. Kayen Kidul, Kec. Kayen Kidul</v>
          </cell>
          <cell r="R6531" t="str">
            <v>Kediri</v>
          </cell>
          <cell r="S6531" t="str">
            <v>D Barat2</v>
          </cell>
          <cell r="T6531" t="str">
            <v>Tomi</v>
          </cell>
          <cell r="U6531">
            <v>30</v>
          </cell>
        </row>
        <row r="6532">
          <cell r="E6532" t="str">
            <v>B25012342</v>
          </cell>
          <cell r="F6532"/>
          <cell r="G6532">
            <v>300000000</v>
          </cell>
          <cell r="H6532" t="str">
            <v>Zakia</v>
          </cell>
          <cell r="I6532" t="str">
            <v>Tiya</v>
          </cell>
          <cell r="J6532"/>
          <cell r="K6532" t="str">
            <v>KU</v>
          </cell>
          <cell r="L6532" t="str">
            <v>PUSA08</v>
          </cell>
          <cell r="M6532" t="str">
            <v>Pusaka Tani/Ashari</v>
          </cell>
          <cell r="N6532" t="str">
            <v>Muhammad Ashari</v>
          </cell>
          <cell r="O6532" t="str">
            <v>Dsn. Satreyan RT.001/RW.003, Kel. Kayen Kidul, Kec. Kayen Kidul</v>
          </cell>
          <cell r="P6532" t="str">
            <v>Kediri</v>
          </cell>
          <cell r="Q6532" t="str">
            <v>Dsn. Satreyan RT.001/RW.003, Kel. Kayen Kidul, Kec. Kayen Kidul</v>
          </cell>
          <cell r="R6532" t="str">
            <v>Kediri</v>
          </cell>
          <cell r="S6532" t="str">
            <v>D Barat2</v>
          </cell>
          <cell r="T6532" t="str">
            <v>Tomi</v>
          </cell>
          <cell r="U6532">
            <v>30</v>
          </cell>
        </row>
        <row r="6533">
          <cell r="E6533" t="str">
            <v>B25012342</v>
          </cell>
          <cell r="F6533"/>
          <cell r="G6533">
            <v>300000000</v>
          </cell>
          <cell r="H6533" t="str">
            <v>Zakia</v>
          </cell>
          <cell r="I6533" t="str">
            <v>Tiya</v>
          </cell>
          <cell r="J6533"/>
          <cell r="K6533" t="str">
            <v>KU</v>
          </cell>
          <cell r="L6533" t="str">
            <v>PUSA08</v>
          </cell>
          <cell r="M6533" t="str">
            <v>Pusaka Tani/Ashari</v>
          </cell>
          <cell r="N6533" t="str">
            <v>Muhammad Ashari</v>
          </cell>
          <cell r="O6533" t="str">
            <v>Dsn. Satreyan RT.001/RW.003, Kel. Kayen Kidul, Kec. Kayen Kidul</v>
          </cell>
          <cell r="P6533" t="str">
            <v>Kediri</v>
          </cell>
          <cell r="Q6533" t="str">
            <v>Dsn. Satreyan RT.001/RW.003, Kel. Kayen Kidul, Kec. Kayen Kidul</v>
          </cell>
          <cell r="R6533" t="str">
            <v>Kediri</v>
          </cell>
          <cell r="S6533" t="str">
            <v>D Barat2</v>
          </cell>
          <cell r="T6533" t="str">
            <v>Tomi</v>
          </cell>
          <cell r="U6533">
            <v>30</v>
          </cell>
        </row>
        <row r="6534">
          <cell r="E6534" t="str">
            <v>B25012342</v>
          </cell>
          <cell r="F6534"/>
          <cell r="G6534">
            <v>300000000</v>
          </cell>
          <cell r="H6534" t="str">
            <v>Zakia</v>
          </cell>
          <cell r="I6534" t="str">
            <v>Tiya</v>
          </cell>
          <cell r="J6534"/>
          <cell r="K6534" t="str">
            <v>KU</v>
          </cell>
          <cell r="L6534" t="str">
            <v>PUSA08</v>
          </cell>
          <cell r="M6534" t="str">
            <v>Pusaka Tani/Ashari</v>
          </cell>
          <cell r="N6534" t="str">
            <v>Muhammad Ashari</v>
          </cell>
          <cell r="O6534" t="str">
            <v>Dsn. Satreyan RT.001/RW.003, Kel. Kayen Kidul, Kec. Kayen Kidul</v>
          </cell>
          <cell r="P6534" t="str">
            <v>Kediri</v>
          </cell>
          <cell r="Q6534" t="str">
            <v>Dsn. Satreyan RT.001/RW.003, Kel. Kayen Kidul, Kec. Kayen Kidul</v>
          </cell>
          <cell r="R6534" t="str">
            <v>Kediri</v>
          </cell>
          <cell r="S6534" t="str">
            <v>D Barat2</v>
          </cell>
          <cell r="T6534" t="str">
            <v>Tomi</v>
          </cell>
          <cell r="U6534">
            <v>30</v>
          </cell>
        </row>
        <row r="6535">
          <cell r="E6535" t="str">
            <v>B25012342</v>
          </cell>
          <cell r="F6535"/>
          <cell r="G6535">
            <v>300000000</v>
          </cell>
          <cell r="H6535" t="str">
            <v>Zakia</v>
          </cell>
          <cell r="I6535" t="str">
            <v>Tiya</v>
          </cell>
          <cell r="J6535"/>
          <cell r="K6535" t="str">
            <v>KU</v>
          </cell>
          <cell r="L6535" t="str">
            <v>PUSA08</v>
          </cell>
          <cell r="M6535" t="str">
            <v>Pusaka Tani/Ashari</v>
          </cell>
          <cell r="N6535" t="str">
            <v>Muhammad Ashari</v>
          </cell>
          <cell r="O6535" t="str">
            <v>Dsn. Satreyan RT.001/RW.003, Kel. Kayen Kidul, Kec. Kayen Kidul</v>
          </cell>
          <cell r="P6535" t="str">
            <v>Kediri</v>
          </cell>
          <cell r="Q6535" t="str">
            <v>Dsn. Satreyan RT.001/RW.003, Kel. Kayen Kidul, Kec. Kayen Kidul</v>
          </cell>
          <cell r="R6535" t="str">
            <v>Kediri</v>
          </cell>
          <cell r="S6535" t="str">
            <v>D Barat2</v>
          </cell>
          <cell r="T6535" t="str">
            <v>Tomi</v>
          </cell>
          <cell r="U6535">
            <v>30</v>
          </cell>
        </row>
        <row r="6536">
          <cell r="E6536" t="str">
            <v>B25012342</v>
          </cell>
          <cell r="F6536"/>
          <cell r="G6536">
            <v>300000000</v>
          </cell>
          <cell r="H6536" t="str">
            <v>Zakia</v>
          </cell>
          <cell r="I6536" t="str">
            <v>Tiya</v>
          </cell>
          <cell r="J6536"/>
          <cell r="K6536" t="str">
            <v>KU</v>
          </cell>
          <cell r="L6536" t="str">
            <v>PUSA08</v>
          </cell>
          <cell r="M6536" t="str">
            <v>Pusaka Tani/Ashari</v>
          </cell>
          <cell r="N6536" t="str">
            <v>Muhammad Ashari</v>
          </cell>
          <cell r="O6536" t="str">
            <v>Dsn. Satreyan RT.001/RW.003, Kel. Kayen Kidul, Kec. Kayen Kidul</v>
          </cell>
          <cell r="P6536" t="str">
            <v>Kediri</v>
          </cell>
          <cell r="Q6536" t="str">
            <v>Dsn. Satreyan RT.001/RW.003, Kel. Kayen Kidul, Kec. Kayen Kidul</v>
          </cell>
          <cell r="R6536" t="str">
            <v>Kediri</v>
          </cell>
          <cell r="S6536" t="str">
            <v>D Barat2</v>
          </cell>
          <cell r="T6536" t="str">
            <v>Tomi</v>
          </cell>
          <cell r="U6536">
            <v>30</v>
          </cell>
        </row>
        <row r="6537">
          <cell r="E6537" t="str">
            <v>B25012342</v>
          </cell>
          <cell r="F6537"/>
          <cell r="G6537">
            <v>300000000</v>
          </cell>
          <cell r="H6537" t="str">
            <v>Zakia</v>
          </cell>
          <cell r="I6537" t="str">
            <v>Tiya</v>
          </cell>
          <cell r="J6537"/>
          <cell r="K6537" t="str">
            <v>KU</v>
          </cell>
          <cell r="L6537" t="str">
            <v>PUSA08</v>
          </cell>
          <cell r="M6537" t="str">
            <v>Pusaka Tani/Ashari</v>
          </cell>
          <cell r="N6537" t="str">
            <v>Muhammad Ashari</v>
          </cell>
          <cell r="O6537" t="str">
            <v>Dsn. Satreyan RT.001/RW.003, Kel. Kayen Kidul, Kec. Kayen Kidul</v>
          </cell>
          <cell r="P6537" t="str">
            <v>Kediri</v>
          </cell>
          <cell r="Q6537" t="str">
            <v>Dsn. Satreyan RT.001/RW.003, Kel. Kayen Kidul, Kec. Kayen Kidul</v>
          </cell>
          <cell r="R6537" t="str">
            <v>Kediri</v>
          </cell>
          <cell r="S6537" t="str">
            <v>D Barat2</v>
          </cell>
          <cell r="T6537" t="str">
            <v>Tomi</v>
          </cell>
          <cell r="U6537">
            <v>30</v>
          </cell>
        </row>
        <row r="6538">
          <cell r="E6538" t="str">
            <v>B25012343</v>
          </cell>
          <cell r="F6538"/>
          <cell r="G6538">
            <v>300000000</v>
          </cell>
          <cell r="H6538" t="str">
            <v>Zakia</v>
          </cell>
          <cell r="I6538" t="str">
            <v>Tiya</v>
          </cell>
          <cell r="J6538"/>
          <cell r="K6538" t="str">
            <v>KU</v>
          </cell>
          <cell r="L6538" t="str">
            <v>PUSA08</v>
          </cell>
          <cell r="M6538" t="str">
            <v>Pusaka Tani/Ashari</v>
          </cell>
          <cell r="N6538" t="str">
            <v>Muhammad Ashari</v>
          </cell>
          <cell r="O6538" t="str">
            <v>Dsn. Satreyan RT.001/RW.003, Kel. Kayen Kidul, Kec. Kayen Kidul</v>
          </cell>
          <cell r="P6538" t="str">
            <v>Kediri</v>
          </cell>
          <cell r="Q6538" t="str">
            <v>Dsn. Satreyan RT.001/RW.003, Kel. Kayen Kidul, Kec. Kayen Kidul</v>
          </cell>
          <cell r="R6538" t="str">
            <v>Kediri</v>
          </cell>
          <cell r="S6538" t="str">
            <v>D Barat2</v>
          </cell>
          <cell r="T6538" t="str">
            <v>Tomi</v>
          </cell>
          <cell r="U6538">
            <v>30</v>
          </cell>
        </row>
        <row r="6539">
          <cell r="E6539" t="str">
            <v>D25014651</v>
          </cell>
          <cell r="F6539"/>
          <cell r="G6539">
            <v>300000000</v>
          </cell>
          <cell r="H6539" t="str">
            <v>Zakia</v>
          </cell>
          <cell r="I6539" t="str">
            <v>Tiya</v>
          </cell>
          <cell r="J6539"/>
          <cell r="K6539" t="str">
            <v>KU</v>
          </cell>
          <cell r="L6539" t="str">
            <v>PUSA08</v>
          </cell>
          <cell r="M6539" t="str">
            <v>Pusaka Tani/Ashari</v>
          </cell>
          <cell r="N6539" t="str">
            <v>Muhammad Ashari</v>
          </cell>
          <cell r="O6539" t="str">
            <v>Dsn. Satreyan RT.001/RW.003, Kel. Kayen Kidul, Kec. Kayen Kidul</v>
          </cell>
          <cell r="P6539" t="str">
            <v>Kediri</v>
          </cell>
          <cell r="Q6539" t="str">
            <v>Dsn. Satreyan RT.001/RW.003, Kel. Kayen Kidul, Kec. Kayen Kidul</v>
          </cell>
          <cell r="R6539" t="str">
            <v>Kediri</v>
          </cell>
          <cell r="S6539" t="str">
            <v>D Barat2</v>
          </cell>
          <cell r="T6539" t="str">
            <v>Tomi</v>
          </cell>
          <cell r="U6539">
            <v>0</v>
          </cell>
        </row>
        <row r="6540">
          <cell r="E6540" t="str">
            <v>D25014651</v>
          </cell>
          <cell r="F6540"/>
          <cell r="G6540">
            <v>300000000</v>
          </cell>
          <cell r="H6540" t="str">
            <v>Zakia</v>
          </cell>
          <cell r="I6540" t="str">
            <v>Tiya</v>
          </cell>
          <cell r="J6540"/>
          <cell r="K6540" t="str">
            <v>KU</v>
          </cell>
          <cell r="L6540" t="str">
            <v>PUSA08</v>
          </cell>
          <cell r="M6540" t="str">
            <v>Pusaka Tani/Ashari</v>
          </cell>
          <cell r="N6540" t="str">
            <v>Muhammad Ashari</v>
          </cell>
          <cell r="O6540" t="str">
            <v>Dsn. Satreyan RT.001/RW.003, Kel. Kayen Kidul, Kec. Kayen Kidul</v>
          </cell>
          <cell r="P6540" t="str">
            <v>Kediri</v>
          </cell>
          <cell r="Q6540" t="str">
            <v>Dsn. Satreyan RT.001/RW.003, Kel. Kayen Kidul, Kec. Kayen Kidul</v>
          </cell>
          <cell r="R6540" t="str">
            <v>Kediri</v>
          </cell>
          <cell r="S6540" t="str">
            <v>D Barat2</v>
          </cell>
          <cell r="T6540" t="str">
            <v>Tomi</v>
          </cell>
          <cell r="U6540">
            <v>0</v>
          </cell>
        </row>
        <row r="6541">
          <cell r="E6541" t="str">
            <v>D25014820</v>
          </cell>
          <cell r="F6541"/>
          <cell r="G6541">
            <v>300000000</v>
          </cell>
          <cell r="H6541" t="str">
            <v>Zakia</v>
          </cell>
          <cell r="I6541" t="str">
            <v>Tiya</v>
          </cell>
          <cell r="J6541"/>
          <cell r="K6541" t="str">
            <v>KU</v>
          </cell>
          <cell r="L6541" t="str">
            <v>PUSA08</v>
          </cell>
          <cell r="M6541" t="str">
            <v>Pusaka Tani/Ashari</v>
          </cell>
          <cell r="N6541" t="str">
            <v>Muhammad Ashari</v>
          </cell>
          <cell r="O6541" t="str">
            <v>Dsn. Satreyan RT.001/RW.003, Kel. Kayen Kidul, Kec. Kayen Kidul</v>
          </cell>
          <cell r="P6541" t="str">
            <v>Kediri</v>
          </cell>
          <cell r="Q6541" t="str">
            <v>Dsn. Satreyan RT.001/RW.003, Kel. Kayen Kidul, Kec. Kayen Kidul</v>
          </cell>
          <cell r="R6541" t="str">
            <v>Kediri</v>
          </cell>
          <cell r="S6541" t="str">
            <v>D Barat2</v>
          </cell>
          <cell r="T6541" t="str">
            <v>Tomi</v>
          </cell>
          <cell r="U6541">
            <v>30</v>
          </cell>
        </row>
        <row r="6542">
          <cell r="E6542" t="str">
            <v>D25014841</v>
          </cell>
          <cell r="F6542"/>
          <cell r="G6542">
            <v>300000000</v>
          </cell>
          <cell r="H6542" t="str">
            <v>Zakia</v>
          </cell>
          <cell r="I6542" t="str">
            <v>Tiya</v>
          </cell>
          <cell r="J6542"/>
          <cell r="K6542" t="str">
            <v>KU</v>
          </cell>
          <cell r="L6542" t="str">
            <v>PUSA08</v>
          </cell>
          <cell r="M6542" t="str">
            <v>Pusaka Tani/Ashari</v>
          </cell>
          <cell r="N6542" t="str">
            <v>Muhammad Ashari</v>
          </cell>
          <cell r="O6542" t="str">
            <v>Dsn. Satreyan RT.001/RW.003, Kel. Kayen Kidul, Kec. Kayen Kidul</v>
          </cell>
          <cell r="P6542" t="str">
            <v>Kediri</v>
          </cell>
          <cell r="Q6542" t="str">
            <v>Dsn. Satreyan RT.001/RW.003, Kel. Kayen Kidul, Kec. Kayen Kidul</v>
          </cell>
          <cell r="R6542" t="str">
            <v>Kediri</v>
          </cell>
          <cell r="S6542" t="str">
            <v>D Barat2</v>
          </cell>
          <cell r="T6542" t="str">
            <v>Tomi</v>
          </cell>
          <cell r="U6542">
            <v>30</v>
          </cell>
        </row>
        <row r="6543">
          <cell r="E6543" t="str">
            <v>D25014857</v>
          </cell>
          <cell r="F6543"/>
          <cell r="G6543">
            <v>300000000</v>
          </cell>
          <cell r="H6543" t="str">
            <v>Zakia</v>
          </cell>
          <cell r="I6543" t="str">
            <v>Tiya</v>
          </cell>
          <cell r="J6543"/>
          <cell r="K6543" t="str">
            <v>KU</v>
          </cell>
          <cell r="L6543" t="str">
            <v>PUSA08</v>
          </cell>
          <cell r="M6543" t="str">
            <v>Pusaka Tani/Ashari</v>
          </cell>
          <cell r="N6543" t="str">
            <v>Muhammad Ashari</v>
          </cell>
          <cell r="O6543" t="str">
            <v>Dsn. Satreyan RT.001/RW.003, Kel. Kayen Kidul, Kec. Kayen Kidul</v>
          </cell>
          <cell r="P6543" t="str">
            <v>Kediri</v>
          </cell>
          <cell r="Q6543" t="str">
            <v>Dsn. Satreyan RT.001/RW.003, Kel. Kayen Kidul, Kec. Kayen Kidul</v>
          </cell>
          <cell r="R6543" t="str">
            <v>Kediri</v>
          </cell>
          <cell r="S6543" t="str">
            <v>D Barat2</v>
          </cell>
          <cell r="T6543" t="str">
            <v>Tomi</v>
          </cell>
          <cell r="U6543">
            <v>30</v>
          </cell>
        </row>
        <row r="6544">
          <cell r="E6544" t="str">
            <v>D25014866</v>
          </cell>
          <cell r="F6544"/>
          <cell r="G6544">
            <v>300000000</v>
          </cell>
          <cell r="H6544" t="str">
            <v>Zakia</v>
          </cell>
          <cell r="I6544" t="str">
            <v>Tiya</v>
          </cell>
          <cell r="J6544"/>
          <cell r="K6544" t="str">
            <v>KU</v>
          </cell>
          <cell r="L6544" t="str">
            <v>PUSA08</v>
          </cell>
          <cell r="M6544" t="str">
            <v>Pusaka Tani/Ashari</v>
          </cell>
          <cell r="N6544" t="str">
            <v>Muhammad Ashari</v>
          </cell>
          <cell r="O6544" t="str">
            <v>Dsn. Satreyan RT.001/RW.003, Kel. Kayen Kidul, Kec. Kayen Kidul</v>
          </cell>
          <cell r="P6544" t="str">
            <v>Kediri</v>
          </cell>
          <cell r="Q6544" t="str">
            <v>Dsn. Satreyan RT.001/RW.003, Kel. Kayen Kidul, Kec. Kayen Kidul</v>
          </cell>
          <cell r="R6544" t="str">
            <v>Kediri</v>
          </cell>
          <cell r="S6544" t="str">
            <v>D Barat2</v>
          </cell>
          <cell r="T6544" t="str">
            <v>Tomi</v>
          </cell>
          <cell r="U6544">
            <v>30</v>
          </cell>
        </row>
        <row r="6545">
          <cell r="E6545" t="str">
            <v>B25012739</v>
          </cell>
          <cell r="F6545"/>
          <cell r="G6545">
            <v>300000000</v>
          </cell>
          <cell r="H6545" t="str">
            <v>Zakia</v>
          </cell>
          <cell r="I6545" t="str">
            <v>Tiya</v>
          </cell>
          <cell r="J6545"/>
          <cell r="K6545" t="str">
            <v>KU</v>
          </cell>
          <cell r="L6545" t="str">
            <v>PUSA08</v>
          </cell>
          <cell r="M6545" t="str">
            <v>Pusaka Tani/Ashari</v>
          </cell>
          <cell r="N6545" t="str">
            <v>Muhammad Ashari</v>
          </cell>
          <cell r="O6545" t="str">
            <v>Dsn. Satreyan RT.001/RW.003, Kel. Kayen Kidul, Kec. Kayen Kidul</v>
          </cell>
          <cell r="P6545" t="str">
            <v>Kediri</v>
          </cell>
          <cell r="Q6545" t="str">
            <v>Dsn. Satreyan RT.001/RW.003, Kel. Kayen Kidul, Kec. Kayen Kidul</v>
          </cell>
          <cell r="R6545" t="str">
            <v>Kediri</v>
          </cell>
          <cell r="S6545" t="str">
            <v>D Barat2</v>
          </cell>
          <cell r="T6545" t="str">
            <v>Tomi</v>
          </cell>
          <cell r="U6545">
            <v>30</v>
          </cell>
        </row>
        <row r="6546">
          <cell r="E6546" t="str">
            <v>D25015184</v>
          </cell>
          <cell r="F6546"/>
          <cell r="G6546">
            <v>300000000</v>
          </cell>
          <cell r="H6546" t="str">
            <v>Zakia</v>
          </cell>
          <cell r="I6546" t="str">
            <v>Tiya</v>
          </cell>
          <cell r="J6546"/>
          <cell r="K6546" t="str">
            <v>KU</v>
          </cell>
          <cell r="L6546" t="str">
            <v>PUSA08</v>
          </cell>
          <cell r="M6546" t="str">
            <v>Pusaka Tani/Ashari</v>
          </cell>
          <cell r="N6546" t="str">
            <v>Muhammad Ashari</v>
          </cell>
          <cell r="O6546" t="str">
            <v>Dsn. Satreyan RT.001/RW.003, Kel. Kayen Kidul, Kec. Kayen Kidul</v>
          </cell>
          <cell r="P6546" t="str">
            <v>Kediri</v>
          </cell>
          <cell r="Q6546" t="str">
            <v>Dsn. Satreyan RT.001/RW.003, Kel. Kayen Kidul, Kec. Kayen Kidul</v>
          </cell>
          <cell r="R6546" t="str">
            <v>Kediri</v>
          </cell>
          <cell r="S6546" t="str">
            <v>D Barat2</v>
          </cell>
          <cell r="T6546" t="str">
            <v>Tomi</v>
          </cell>
          <cell r="U6546">
            <v>30</v>
          </cell>
        </row>
        <row r="6547">
          <cell r="E6547" t="str">
            <v>D25015211</v>
          </cell>
          <cell r="F6547"/>
          <cell r="G6547">
            <v>300000000</v>
          </cell>
          <cell r="H6547" t="str">
            <v>Zakia</v>
          </cell>
          <cell r="I6547" t="str">
            <v>Tiya</v>
          </cell>
          <cell r="J6547"/>
          <cell r="K6547" t="str">
            <v>KU</v>
          </cell>
          <cell r="L6547" t="str">
            <v>PUSA08</v>
          </cell>
          <cell r="M6547" t="str">
            <v>Pusaka Tani/Ashari</v>
          </cell>
          <cell r="N6547" t="str">
            <v>Muhammad Ashari</v>
          </cell>
          <cell r="O6547" t="str">
            <v>Dsn. Satreyan RT.001/RW.003, Kel. Kayen Kidul, Kec. Kayen Kidul</v>
          </cell>
          <cell r="P6547" t="str">
            <v>Kediri</v>
          </cell>
          <cell r="Q6547" t="str">
            <v>Dsn. Satreyan RT.001/RW.003, Kel. Kayen Kidul, Kec. Kayen Kidul</v>
          </cell>
          <cell r="R6547" t="str">
            <v>Kediri</v>
          </cell>
          <cell r="S6547" t="str">
            <v>D Barat2</v>
          </cell>
          <cell r="T6547" t="str">
            <v>Tomi</v>
          </cell>
          <cell r="U6547">
            <v>30</v>
          </cell>
        </row>
        <row r="6548">
          <cell r="E6548" t="str">
            <v>D25015270</v>
          </cell>
          <cell r="F6548"/>
          <cell r="G6548">
            <v>300000000</v>
          </cell>
          <cell r="H6548" t="str">
            <v>Zakia</v>
          </cell>
          <cell r="I6548" t="str">
            <v>Tiya</v>
          </cell>
          <cell r="J6548"/>
          <cell r="K6548" t="str">
            <v>KU</v>
          </cell>
          <cell r="L6548" t="str">
            <v>PUSA08</v>
          </cell>
          <cell r="M6548" t="str">
            <v>Pusaka Tani/Ashari</v>
          </cell>
          <cell r="N6548" t="str">
            <v>Muhammad Ashari</v>
          </cell>
          <cell r="O6548" t="str">
            <v>Dsn. Satreyan RT.001/RW.003, Kel. Kayen Kidul, Kec. Kayen Kidul</v>
          </cell>
          <cell r="P6548" t="str">
            <v>Kediri</v>
          </cell>
          <cell r="Q6548" t="str">
            <v>Dsn. Satreyan RT.001/RW.003, Kel. Kayen Kidul, Kec. Kayen Kidul</v>
          </cell>
          <cell r="R6548" t="str">
            <v>Kediri</v>
          </cell>
          <cell r="S6548" t="str">
            <v>D Barat2</v>
          </cell>
          <cell r="T6548" t="str">
            <v>Tomi</v>
          </cell>
          <cell r="U6548">
            <v>30</v>
          </cell>
        </row>
        <row r="6549">
          <cell r="E6549" t="str">
            <v>B25013007</v>
          </cell>
          <cell r="F6549"/>
          <cell r="G6549">
            <v>300000000</v>
          </cell>
          <cell r="H6549" t="str">
            <v>Zakia</v>
          </cell>
          <cell r="I6549" t="str">
            <v>Tiya</v>
          </cell>
          <cell r="J6549"/>
          <cell r="K6549" t="str">
            <v>KU</v>
          </cell>
          <cell r="L6549" t="str">
            <v>PUSA08</v>
          </cell>
          <cell r="M6549" t="str">
            <v>Pusaka Tani/Ashari</v>
          </cell>
          <cell r="N6549" t="str">
            <v>Muhammad Ashari</v>
          </cell>
          <cell r="O6549" t="str">
            <v>Dsn. Satreyan RT.001/RW.003, Kel. Kayen Kidul, Kec. Kayen Kidul</v>
          </cell>
          <cell r="P6549" t="str">
            <v>Kediri</v>
          </cell>
          <cell r="Q6549" t="str">
            <v>Dsn. Satreyan RT.001/RW.003, Kel. Kayen Kidul, Kec. Kayen Kidul</v>
          </cell>
          <cell r="R6549" t="str">
            <v>Kediri</v>
          </cell>
          <cell r="S6549" t="str">
            <v>D Barat2</v>
          </cell>
          <cell r="T6549" t="str">
            <v>Tomi</v>
          </cell>
          <cell r="U6549">
            <v>30</v>
          </cell>
        </row>
        <row r="6550">
          <cell r="E6550" t="str">
            <v>D25015354</v>
          </cell>
          <cell r="F6550"/>
          <cell r="G6550">
            <v>300000000</v>
          </cell>
          <cell r="H6550" t="str">
            <v>Zakia</v>
          </cell>
          <cell r="I6550" t="str">
            <v>Tiya</v>
          </cell>
          <cell r="J6550"/>
          <cell r="K6550" t="str">
            <v>KU</v>
          </cell>
          <cell r="L6550" t="str">
            <v>PUSA08</v>
          </cell>
          <cell r="M6550" t="str">
            <v>Pusaka Tani/Ashari</v>
          </cell>
          <cell r="N6550" t="str">
            <v>Muhammad Ashari</v>
          </cell>
          <cell r="O6550" t="str">
            <v>Dsn. Satreyan RT.001/RW.003, Kel. Kayen Kidul, Kec. Kayen Kidul</v>
          </cell>
          <cell r="P6550" t="str">
            <v>Kediri</v>
          </cell>
          <cell r="Q6550" t="str">
            <v>Dsn. Satreyan RT.001/RW.003, Kel. Kayen Kidul, Kec. Kayen Kidul</v>
          </cell>
          <cell r="R6550" t="str">
            <v>Kediri</v>
          </cell>
          <cell r="S6550" t="str">
            <v>D Barat2</v>
          </cell>
          <cell r="T6550" t="str">
            <v>Tomi</v>
          </cell>
          <cell r="U6550">
            <v>0</v>
          </cell>
        </row>
        <row r="6551">
          <cell r="E6551" t="str">
            <v>D25015409</v>
          </cell>
          <cell r="F6551"/>
          <cell r="G6551">
            <v>300000000</v>
          </cell>
          <cell r="H6551" t="str">
            <v>Zakia</v>
          </cell>
          <cell r="I6551" t="str">
            <v>Tiya</v>
          </cell>
          <cell r="J6551"/>
          <cell r="K6551" t="str">
            <v>KU</v>
          </cell>
          <cell r="L6551" t="str">
            <v>PUSA08</v>
          </cell>
          <cell r="M6551" t="str">
            <v>Pusaka Tani/Ashari</v>
          </cell>
          <cell r="N6551" t="str">
            <v>Muhammad Ashari</v>
          </cell>
          <cell r="O6551" t="str">
            <v>Dsn. Satreyan RT.001/RW.003, Kel. Kayen Kidul, Kec. Kayen Kidul</v>
          </cell>
          <cell r="P6551" t="str">
            <v>Kediri</v>
          </cell>
          <cell r="Q6551" t="str">
            <v>Dsn. Satreyan RT.001/RW.003, Kel. Kayen Kidul, Kec. Kayen Kidul</v>
          </cell>
          <cell r="R6551" t="str">
            <v>Kediri</v>
          </cell>
          <cell r="S6551" t="str">
            <v>D Barat2</v>
          </cell>
          <cell r="T6551" t="str">
            <v>Tomi</v>
          </cell>
          <cell r="U6551">
            <v>0</v>
          </cell>
        </row>
        <row r="6552">
          <cell r="E6552" t="str">
            <v>B25013375</v>
          </cell>
          <cell r="F6552"/>
          <cell r="G6552">
            <v>300000000</v>
          </cell>
          <cell r="H6552" t="str">
            <v>Zakia</v>
          </cell>
          <cell r="I6552" t="str">
            <v>Tiya</v>
          </cell>
          <cell r="J6552"/>
          <cell r="K6552" t="str">
            <v>KU</v>
          </cell>
          <cell r="L6552" t="str">
            <v>PUSA08</v>
          </cell>
          <cell r="M6552" t="str">
            <v>Pusaka Tani/Ashari</v>
          </cell>
          <cell r="N6552" t="str">
            <v>Muhammad Ashari</v>
          </cell>
          <cell r="O6552" t="str">
            <v>Dsn. Satreyan RT.001/RW.003, Kel. Kayen Kidul, Kec. Kayen Kidul</v>
          </cell>
          <cell r="P6552" t="str">
            <v>Kediri</v>
          </cell>
          <cell r="Q6552" t="str">
            <v>Dsn. Satreyan RT.001/RW.003, Kel. Kayen Kidul, Kec. Kayen Kidul</v>
          </cell>
          <cell r="R6552" t="str">
            <v>Kediri</v>
          </cell>
          <cell r="S6552" t="str">
            <v>D Barat2</v>
          </cell>
          <cell r="T6552" t="str">
            <v>Tomi</v>
          </cell>
          <cell r="U6552">
            <v>30</v>
          </cell>
        </row>
        <row r="6553">
          <cell r="E6553" t="str">
            <v>D25015608</v>
          </cell>
          <cell r="F6553"/>
          <cell r="G6553">
            <v>300000000</v>
          </cell>
          <cell r="H6553" t="str">
            <v>Zakia</v>
          </cell>
          <cell r="I6553" t="str">
            <v>Tiya</v>
          </cell>
          <cell r="J6553"/>
          <cell r="K6553" t="str">
            <v>KU</v>
          </cell>
          <cell r="L6553" t="str">
            <v>PUSA08</v>
          </cell>
          <cell r="M6553" t="str">
            <v>Pusaka Tani/Ashari</v>
          </cell>
          <cell r="N6553" t="str">
            <v>Muhammad Ashari</v>
          </cell>
          <cell r="O6553" t="str">
            <v>Dsn. Satreyan RT.001/RW.003, Kel. Kayen Kidul, Kec. Kayen Kidul</v>
          </cell>
          <cell r="P6553" t="str">
            <v>Kediri</v>
          </cell>
          <cell r="Q6553" t="str">
            <v>Dsn. Satreyan RT.001/RW.003, Kel. Kayen Kidul, Kec. Kayen Kidul</v>
          </cell>
          <cell r="R6553" t="str">
            <v>Kediri</v>
          </cell>
          <cell r="S6553" t="str">
            <v>D Barat2</v>
          </cell>
          <cell r="T6553" t="str">
            <v>Tomi</v>
          </cell>
          <cell r="U6553">
            <v>30</v>
          </cell>
        </row>
        <row r="6554">
          <cell r="E6554" t="str">
            <v>B25013389</v>
          </cell>
          <cell r="F6554"/>
          <cell r="G6554">
            <v>300000000</v>
          </cell>
          <cell r="H6554" t="str">
            <v>Zakia</v>
          </cell>
          <cell r="I6554" t="str">
            <v>Tiya</v>
          </cell>
          <cell r="J6554"/>
          <cell r="K6554" t="str">
            <v>KU</v>
          </cell>
          <cell r="L6554" t="str">
            <v>PUSA08</v>
          </cell>
          <cell r="M6554" t="str">
            <v>Pusaka Tani/Ashari</v>
          </cell>
          <cell r="N6554" t="str">
            <v>Muhammad Ashari</v>
          </cell>
          <cell r="O6554" t="str">
            <v>Dsn. Satreyan RT.001/RW.003, Kel. Kayen Kidul, Kec. Kayen Kidul</v>
          </cell>
          <cell r="P6554" t="str">
            <v>Kediri</v>
          </cell>
          <cell r="Q6554" t="str">
            <v>Dsn. Satreyan RT.001/RW.003, Kel. Kayen Kidul, Kec. Kayen Kidul</v>
          </cell>
          <cell r="R6554" t="str">
            <v>Kediri</v>
          </cell>
          <cell r="S6554" t="str">
            <v>D Barat2</v>
          </cell>
          <cell r="T6554" t="str">
            <v>Tomi</v>
          </cell>
          <cell r="U6554">
            <v>30</v>
          </cell>
        </row>
        <row r="6555">
          <cell r="E6555" t="str">
            <v>D25015719</v>
          </cell>
          <cell r="F6555"/>
          <cell r="G6555">
            <v>300000000</v>
          </cell>
          <cell r="H6555" t="str">
            <v>Zakia</v>
          </cell>
          <cell r="I6555" t="str">
            <v>Tiya</v>
          </cell>
          <cell r="J6555"/>
          <cell r="K6555" t="str">
            <v>KU</v>
          </cell>
          <cell r="L6555" t="str">
            <v>PUSA08</v>
          </cell>
          <cell r="M6555" t="str">
            <v>Pusaka Tani/Ashari</v>
          </cell>
          <cell r="N6555" t="str">
            <v>Muhammad Ashari</v>
          </cell>
          <cell r="O6555" t="str">
            <v>Dsn. Satreyan RT.001/RW.003, Kel. Kayen Kidul, Kec. Kayen Kidul</v>
          </cell>
          <cell r="P6555" t="str">
            <v>Kediri</v>
          </cell>
          <cell r="Q6555" t="str">
            <v>Dsn. Satreyan RT.001/RW.003, Kel. Kayen Kidul, Kec. Kayen Kidul</v>
          </cell>
          <cell r="R6555" t="str">
            <v>Kediri</v>
          </cell>
          <cell r="S6555" t="str">
            <v>D Barat2</v>
          </cell>
          <cell r="T6555" t="str">
            <v>Tomi</v>
          </cell>
          <cell r="U6555">
            <v>30</v>
          </cell>
        </row>
        <row r="6556">
          <cell r="E6556" t="str">
            <v>D25015792</v>
          </cell>
          <cell r="F6556"/>
          <cell r="G6556">
            <v>300000000</v>
          </cell>
          <cell r="H6556" t="str">
            <v>Zakia</v>
          </cell>
          <cell r="I6556" t="str">
            <v>Tiya</v>
          </cell>
          <cell r="J6556"/>
          <cell r="K6556" t="str">
            <v>KU</v>
          </cell>
          <cell r="L6556" t="str">
            <v>PUSA08</v>
          </cell>
          <cell r="M6556" t="str">
            <v>Pusaka Tani/Ashari</v>
          </cell>
          <cell r="N6556" t="str">
            <v>Muhammad Ashari</v>
          </cell>
          <cell r="O6556" t="str">
            <v>Dsn. Satreyan RT.001/RW.003, Kel. Kayen Kidul, Kec. Kayen Kidul</v>
          </cell>
          <cell r="P6556" t="str">
            <v>Kediri</v>
          </cell>
          <cell r="Q6556" t="str">
            <v>Dsn. Satreyan RT.001/RW.003, Kel. Kayen Kidul, Kec. Kayen Kidul</v>
          </cell>
          <cell r="R6556" t="str">
            <v>Kediri</v>
          </cell>
          <cell r="S6556" t="str">
            <v>D Barat2</v>
          </cell>
          <cell r="T6556" t="str">
            <v>Tomi</v>
          </cell>
          <cell r="U6556">
            <v>30</v>
          </cell>
        </row>
        <row r="6557">
          <cell r="E6557" t="str">
            <v>D25015885</v>
          </cell>
          <cell r="F6557"/>
          <cell r="G6557">
            <v>300000000</v>
          </cell>
          <cell r="H6557" t="str">
            <v>Zakia</v>
          </cell>
          <cell r="I6557" t="str">
            <v>Tiya</v>
          </cell>
          <cell r="J6557"/>
          <cell r="K6557" t="str">
            <v>KU</v>
          </cell>
          <cell r="L6557" t="str">
            <v>PUSA08</v>
          </cell>
          <cell r="M6557" t="str">
            <v>Pusaka Tani/Ashari</v>
          </cell>
          <cell r="N6557" t="str">
            <v>Muhammad Ashari</v>
          </cell>
          <cell r="O6557" t="str">
            <v>Dsn. Satreyan RT.001/RW.003, Kel. Kayen Kidul, Kec. Kayen Kidul</v>
          </cell>
          <cell r="P6557" t="str">
            <v>Kediri</v>
          </cell>
          <cell r="Q6557" t="str">
            <v>Dsn. Satreyan RT.001/RW.003, Kel. Kayen Kidul, Kec. Kayen Kidul</v>
          </cell>
          <cell r="R6557" t="str">
            <v>Kediri</v>
          </cell>
          <cell r="S6557" t="str">
            <v>D Barat2</v>
          </cell>
          <cell r="T6557" t="str">
            <v>Tomi</v>
          </cell>
          <cell r="U6557">
            <v>30</v>
          </cell>
        </row>
        <row r="6558">
          <cell r="E6558" t="str">
            <v>D25016312</v>
          </cell>
          <cell r="F6558"/>
          <cell r="G6558">
            <v>300000000</v>
          </cell>
          <cell r="H6558" t="str">
            <v>Zakia</v>
          </cell>
          <cell r="I6558" t="str">
            <v>Tiya</v>
          </cell>
          <cell r="J6558"/>
          <cell r="K6558" t="str">
            <v>KU</v>
          </cell>
          <cell r="L6558" t="str">
            <v>PUSA08</v>
          </cell>
          <cell r="M6558" t="str">
            <v>Pusaka Tani/Ashari</v>
          </cell>
          <cell r="N6558" t="str">
            <v>Muhammad Ashari</v>
          </cell>
          <cell r="O6558" t="str">
            <v>Dsn. Satreyan RT.001/RW.003, Kel. Kayen Kidul, Kec. Kayen Kidul</v>
          </cell>
          <cell r="P6558" t="str">
            <v>Kediri</v>
          </cell>
          <cell r="Q6558" t="str">
            <v>Dsn. Satreyan RT.001/RW.003, Kel. Kayen Kidul, Kec. Kayen Kidul</v>
          </cell>
          <cell r="R6558" t="str">
            <v>Kediri</v>
          </cell>
          <cell r="S6558" t="str">
            <v>D Barat2</v>
          </cell>
          <cell r="T6558" t="str">
            <v>Tomi</v>
          </cell>
          <cell r="U6558">
            <v>30</v>
          </cell>
        </row>
        <row r="6559">
          <cell r="E6559" t="str">
            <v>D25016313</v>
          </cell>
          <cell r="F6559"/>
          <cell r="G6559">
            <v>300000000</v>
          </cell>
          <cell r="H6559" t="str">
            <v>Zakia</v>
          </cell>
          <cell r="I6559" t="str">
            <v>Tiya</v>
          </cell>
          <cell r="J6559"/>
          <cell r="K6559" t="str">
            <v>KU</v>
          </cell>
          <cell r="L6559" t="str">
            <v>PUSA08</v>
          </cell>
          <cell r="M6559" t="str">
            <v>Pusaka Tani/Ashari</v>
          </cell>
          <cell r="N6559" t="str">
            <v>Muhammad Ashari</v>
          </cell>
          <cell r="O6559" t="str">
            <v>Dsn. Satreyan RT.001/RW.003, Kel. Kayen Kidul, Kec. Kayen Kidul</v>
          </cell>
          <cell r="P6559" t="str">
            <v>Kediri</v>
          </cell>
          <cell r="Q6559" t="str">
            <v>Dsn. Satreyan RT.001/RW.003, Kel. Kayen Kidul, Kec. Kayen Kidul</v>
          </cell>
          <cell r="R6559" t="str">
            <v>Kediri</v>
          </cell>
          <cell r="S6559" t="str">
            <v>D Barat2</v>
          </cell>
          <cell r="T6559" t="str">
            <v>Tomi</v>
          </cell>
          <cell r="U6559">
            <v>0</v>
          </cell>
        </row>
        <row r="6560">
          <cell r="E6560" t="str">
            <v>B25007660</v>
          </cell>
          <cell r="F6560"/>
          <cell r="G6560">
            <v>1000000000</v>
          </cell>
          <cell r="H6560" t="str">
            <v>Hendra</v>
          </cell>
          <cell r="I6560" t="str">
            <v>Tiya</v>
          </cell>
          <cell r="J6560"/>
          <cell r="K6560" t="str">
            <v>BG, KU</v>
          </cell>
          <cell r="L6560" t="str">
            <v>PUSA03</v>
          </cell>
          <cell r="M6560" t="str">
            <v>Pusaka Tani/Budhi Yintoro</v>
          </cell>
          <cell r="N6560" t="str">
            <v>Pusaka Agro Indo, CV</v>
          </cell>
          <cell r="O6560" t="str">
            <v>Jl. Stasiun 16 RT.06/RW.01 Cigedog Kersana</v>
          </cell>
          <cell r="P6560" t="str">
            <v>Brebes</v>
          </cell>
          <cell r="Q6560" t="str">
            <v>Jl. Stasiun 16 RT.06/RW.01 Cigedog Kersana</v>
          </cell>
          <cell r="R6560" t="str">
            <v>Brebes</v>
          </cell>
          <cell r="S6560" t="str">
            <v>I Jabar Jateng</v>
          </cell>
          <cell r="T6560" t="str">
            <v>Non SE &amp; JSE</v>
          </cell>
          <cell r="U6560">
            <v>60</v>
          </cell>
        </row>
        <row r="6561">
          <cell r="E6561" t="str">
            <v>B25007660</v>
          </cell>
          <cell r="F6561"/>
          <cell r="G6561">
            <v>1000000000</v>
          </cell>
          <cell r="H6561" t="str">
            <v>Hendra</v>
          </cell>
          <cell r="I6561" t="str">
            <v>Tiya</v>
          </cell>
          <cell r="J6561"/>
          <cell r="K6561" t="str">
            <v>BG, KU</v>
          </cell>
          <cell r="L6561" t="str">
            <v>PUSA03</v>
          </cell>
          <cell r="M6561" t="str">
            <v>Pusaka Tani/Budhi Yintoro</v>
          </cell>
          <cell r="N6561" t="str">
            <v>Pusaka Agro Indo, CV</v>
          </cell>
          <cell r="O6561" t="str">
            <v>Jl. Stasiun 16 RT.06/RW.01 Cigedog Kersana</v>
          </cell>
          <cell r="P6561" t="str">
            <v>Brebes</v>
          </cell>
          <cell r="Q6561" t="str">
            <v>Jl. Stasiun 16 RT.06/RW.01 Cigedog Kersana</v>
          </cell>
          <cell r="R6561" t="str">
            <v>Brebes</v>
          </cell>
          <cell r="S6561" t="str">
            <v>I Jabar Jateng</v>
          </cell>
          <cell r="T6561" t="str">
            <v>Non SE &amp; JSE</v>
          </cell>
          <cell r="U6561">
            <v>60</v>
          </cell>
        </row>
        <row r="6562">
          <cell r="E6562" t="str">
            <v>D25011595</v>
          </cell>
          <cell r="F6562"/>
          <cell r="G6562">
            <v>1000000000</v>
          </cell>
          <cell r="H6562" t="str">
            <v>Hendra</v>
          </cell>
          <cell r="I6562" t="str">
            <v>Tiya</v>
          </cell>
          <cell r="J6562"/>
          <cell r="K6562" t="str">
            <v>BG, KU</v>
          </cell>
          <cell r="L6562" t="str">
            <v>PUSA03</v>
          </cell>
          <cell r="M6562" t="str">
            <v>Pusaka Tani/Budhi Yintoro</v>
          </cell>
          <cell r="N6562" t="str">
            <v>Pusaka Agro Indo, CV</v>
          </cell>
          <cell r="O6562" t="str">
            <v>Jl. Stasiun 16 RT.06/RW.01 Cigedog Kersana</v>
          </cell>
          <cell r="P6562" t="str">
            <v>Brebes</v>
          </cell>
          <cell r="Q6562" t="str">
            <v>Jl. Stasiun 16 RT.06/RW.01 Cigedog Kersana</v>
          </cell>
          <cell r="R6562" t="str">
            <v>Brebes</v>
          </cell>
          <cell r="S6562" t="str">
            <v>I Jabar Jateng</v>
          </cell>
          <cell r="T6562" t="str">
            <v>Non SE &amp; JSE</v>
          </cell>
          <cell r="U6562">
            <v>60</v>
          </cell>
        </row>
        <row r="6563">
          <cell r="E6563" t="str">
            <v>T25001461k</v>
          </cell>
          <cell r="F6563"/>
          <cell r="G6563">
            <v>1000</v>
          </cell>
          <cell r="H6563" t="str">
            <v>Yuyun</v>
          </cell>
          <cell r="I6563" t="str">
            <v>Farida</v>
          </cell>
          <cell r="J6563" t="str">
            <v>New 04/07/22</v>
          </cell>
          <cell r="K6563" t="str">
            <v>Lobi</v>
          </cell>
          <cell r="L6563" t="str">
            <v>PUTR039</v>
          </cell>
          <cell r="M6563" t="str">
            <v>Putra Ababil, UD/Moh. Lukmannul</v>
          </cell>
          <cell r="N6563" t="str">
            <v>Moh. Lukmannul Hakim</v>
          </cell>
          <cell r="O6563" t="str">
            <v>Dusun Lengkong RT.001/RW.027, Kel. Wonosari Kec. Puger</v>
          </cell>
          <cell r="P6563" t="str">
            <v>Jember</v>
          </cell>
          <cell r="Q6563" t="str">
            <v>Dusun Lengkong RT.001/RW.027, Kel. Wonosari Kec. Puger</v>
          </cell>
          <cell r="R6563" t="str">
            <v>Jember</v>
          </cell>
          <cell r="S6563" t="str">
            <v>L Kota2</v>
          </cell>
          <cell r="T6563" t="str">
            <v>Wira</v>
          </cell>
          <cell r="U6563">
            <v>120</v>
          </cell>
        </row>
        <row r="6564">
          <cell r="E6564" t="str">
            <v>B25012561</v>
          </cell>
          <cell r="F6564"/>
          <cell r="G6564">
            <v>1000</v>
          </cell>
          <cell r="H6564" t="str">
            <v>Yuyun</v>
          </cell>
          <cell r="I6564" t="str">
            <v>Farida</v>
          </cell>
          <cell r="J6564" t="str">
            <v>New 04/07/22</v>
          </cell>
          <cell r="K6564" t="str">
            <v>Lobi</v>
          </cell>
          <cell r="L6564" t="str">
            <v>PUTR039</v>
          </cell>
          <cell r="M6564" t="str">
            <v>Putra Ababil, UD/Moh. Lukmannul</v>
          </cell>
          <cell r="N6564" t="str">
            <v>Moh. Lukmannul Hakim</v>
          </cell>
          <cell r="O6564" t="str">
            <v>Dusun Lengkong RT.001/RW.027, Kel. Wonosari Kec. Puger</v>
          </cell>
          <cell r="P6564" t="str">
            <v>Jember</v>
          </cell>
          <cell r="Q6564" t="str">
            <v>Dusun Lengkong RT.001/RW.027, Kel. Wonosari Kec. Puger</v>
          </cell>
          <cell r="R6564" t="str">
            <v>Jember</v>
          </cell>
          <cell r="S6564" t="str">
            <v>L Kota2</v>
          </cell>
          <cell r="T6564" t="str">
            <v>Wira</v>
          </cell>
          <cell r="U6564">
            <v>0</v>
          </cell>
        </row>
        <row r="6565">
          <cell r="E6565" t="str">
            <v>D25010858</v>
          </cell>
          <cell r="F6565"/>
          <cell r="G6565">
            <v>200000000</v>
          </cell>
          <cell r="H6565" t="str">
            <v>Reni</v>
          </cell>
          <cell r="I6565" t="str">
            <v>Fira</v>
          </cell>
          <cell r="J6565"/>
          <cell r="K6565" t="str">
            <v>KU, Tunai</v>
          </cell>
          <cell r="L6565" t="str">
            <v>PUTR16</v>
          </cell>
          <cell r="M6565" t="str">
            <v>Putra Jaya/Sholeh</v>
          </cell>
          <cell r="N6565" t="str">
            <v>M. Sholeh</v>
          </cell>
          <cell r="O6565" t="str">
            <v>Wadang RT.022/RW.005 Kel. Wadang Kec. Ngasem</v>
          </cell>
          <cell r="P6565" t="str">
            <v>Bojonegoro</v>
          </cell>
          <cell r="Q6565" t="str">
            <v>Ds. Wadang, Kec. Ngasem</v>
          </cell>
          <cell r="R6565" t="str">
            <v>Bojonegoro</v>
          </cell>
          <cell r="S6565" t="str">
            <v>F Utara1</v>
          </cell>
          <cell r="T6565" t="str">
            <v>Dian</v>
          </cell>
          <cell r="U6565">
            <v>60</v>
          </cell>
        </row>
        <row r="6566">
          <cell r="E6566" t="str">
            <v>B25008947</v>
          </cell>
          <cell r="F6566"/>
          <cell r="G6566">
            <v>200000000</v>
          </cell>
          <cell r="H6566" t="str">
            <v>Reni</v>
          </cell>
          <cell r="I6566" t="str">
            <v>Fira</v>
          </cell>
          <cell r="J6566"/>
          <cell r="K6566" t="str">
            <v>KU, Tunai</v>
          </cell>
          <cell r="L6566" t="str">
            <v>PUTR16</v>
          </cell>
          <cell r="M6566" t="str">
            <v>Putra Jaya/Sholeh</v>
          </cell>
          <cell r="N6566" t="str">
            <v>M. Sholeh</v>
          </cell>
          <cell r="O6566" t="str">
            <v>Wadang RT.022/RW.005 Kel. Wadang Kec. Ngasem</v>
          </cell>
          <cell r="P6566" t="str">
            <v>Bojonegoro</v>
          </cell>
          <cell r="Q6566" t="str">
            <v>Ds. Wadang, Kec. Ngasem</v>
          </cell>
          <cell r="R6566" t="str">
            <v>Bojonegoro</v>
          </cell>
          <cell r="S6566" t="str">
            <v>F Utara1</v>
          </cell>
          <cell r="T6566" t="str">
            <v>Dian</v>
          </cell>
          <cell r="U6566">
            <v>60</v>
          </cell>
        </row>
        <row r="6567">
          <cell r="E6567" t="str">
            <v>B25009785</v>
          </cell>
          <cell r="F6567"/>
          <cell r="G6567">
            <v>200000000</v>
          </cell>
          <cell r="H6567" t="str">
            <v>Reni</v>
          </cell>
          <cell r="I6567" t="str">
            <v>Fira</v>
          </cell>
          <cell r="J6567"/>
          <cell r="K6567" t="str">
            <v>KU, Tunai</v>
          </cell>
          <cell r="L6567" t="str">
            <v>PUTR16</v>
          </cell>
          <cell r="M6567" t="str">
            <v>Putra Jaya/Sholeh</v>
          </cell>
          <cell r="N6567" t="str">
            <v>M. Sholeh</v>
          </cell>
          <cell r="O6567" t="str">
            <v>Wadang RT.022/RW.005 Kel. Wadang Kec. Ngasem</v>
          </cell>
          <cell r="P6567" t="str">
            <v>Bojonegoro</v>
          </cell>
          <cell r="Q6567" t="str">
            <v>Ds. Wadang, Kec. Ngasem</v>
          </cell>
          <cell r="R6567" t="str">
            <v>Bojonegoro</v>
          </cell>
          <cell r="S6567" t="str">
            <v>F Utara1</v>
          </cell>
          <cell r="T6567" t="str">
            <v>Dian</v>
          </cell>
          <cell r="U6567">
            <v>60</v>
          </cell>
        </row>
        <row r="6568">
          <cell r="E6568" t="str">
            <v>D25011306</v>
          </cell>
          <cell r="F6568"/>
          <cell r="G6568">
            <v>100000000</v>
          </cell>
          <cell r="H6568" t="str">
            <v>Faris</v>
          </cell>
          <cell r="I6568" t="str">
            <v>Syahra</v>
          </cell>
          <cell r="J6568"/>
          <cell r="K6568" t="str">
            <v>KU, Tunai</v>
          </cell>
          <cell r="L6568" t="str">
            <v>PUTR06</v>
          </cell>
          <cell r="M6568" t="str">
            <v>Putra Makmur Abadi, UD</v>
          </cell>
          <cell r="N6568" t="str">
            <v>Eko Suprayitno</v>
          </cell>
          <cell r="O6568" t="str">
            <v>Dsn. Kalipait, RT.002/RW.001, Purwosari, Tegaldlimo</v>
          </cell>
          <cell r="P6568" t="str">
            <v>Banyuwangi</v>
          </cell>
          <cell r="Q6568" t="str">
            <v>Dsn. Kalipait, RT.002/RW.001, Purwosari, Tegaldlimo</v>
          </cell>
          <cell r="R6568" t="str">
            <v>Banyuwangi</v>
          </cell>
          <cell r="S6568" t="str">
            <v>H Bwi3</v>
          </cell>
          <cell r="T6568" t="str">
            <v>Hafid</v>
          </cell>
          <cell r="U6568">
            <v>60</v>
          </cell>
        </row>
        <row r="6569">
          <cell r="E6569" t="str">
            <v>D25012688</v>
          </cell>
          <cell r="F6569"/>
          <cell r="G6569">
            <v>100000000</v>
          </cell>
          <cell r="H6569" t="str">
            <v>Faris</v>
          </cell>
          <cell r="I6569" t="str">
            <v>Syahra</v>
          </cell>
          <cell r="J6569"/>
          <cell r="K6569" t="str">
            <v>KU, Tunai</v>
          </cell>
          <cell r="L6569" t="str">
            <v>PUTR06</v>
          </cell>
          <cell r="M6569" t="str">
            <v>Putra Makmur Abadi, UD</v>
          </cell>
          <cell r="N6569" t="str">
            <v>Eko Suprayitno</v>
          </cell>
          <cell r="O6569" t="str">
            <v>Dsn. Kalipait, RT.002/RW.001, Purwosari, Tegaldlimo</v>
          </cell>
          <cell r="P6569" t="str">
            <v>Banyuwangi</v>
          </cell>
          <cell r="Q6569" t="str">
            <v>Dsn. Kalipait, RT.002/RW.001, Purwosari, Tegaldlimo</v>
          </cell>
          <cell r="R6569" t="str">
            <v>Banyuwangi</v>
          </cell>
          <cell r="S6569" t="str">
            <v>H Bwi3</v>
          </cell>
          <cell r="T6569" t="str">
            <v>Hafid</v>
          </cell>
          <cell r="U6569">
            <v>30</v>
          </cell>
        </row>
        <row r="6570">
          <cell r="E6570" t="str">
            <v>D25012688</v>
          </cell>
          <cell r="F6570"/>
          <cell r="G6570">
            <v>100000000</v>
          </cell>
          <cell r="H6570" t="str">
            <v>Faris</v>
          </cell>
          <cell r="I6570" t="str">
            <v>Syahra</v>
          </cell>
          <cell r="J6570"/>
          <cell r="K6570" t="str">
            <v>KU, Tunai</v>
          </cell>
          <cell r="L6570" t="str">
            <v>PUTR06</v>
          </cell>
          <cell r="M6570" t="str">
            <v>Putra Makmur Abadi, UD</v>
          </cell>
          <cell r="N6570" t="str">
            <v>Eko Suprayitno</v>
          </cell>
          <cell r="O6570" t="str">
            <v>Dsn. Kalipait, RT.002/RW.001, Purwosari, Tegaldlimo</v>
          </cell>
          <cell r="P6570" t="str">
            <v>Banyuwangi</v>
          </cell>
          <cell r="Q6570" t="str">
            <v>Dsn. Kalipait, RT.002/RW.001, Purwosari, Tegaldlimo</v>
          </cell>
          <cell r="R6570" t="str">
            <v>Banyuwangi</v>
          </cell>
          <cell r="S6570" t="str">
            <v>H Bwi3</v>
          </cell>
          <cell r="T6570" t="str">
            <v>Hafid</v>
          </cell>
          <cell r="U6570">
            <v>30</v>
          </cell>
        </row>
        <row r="6571">
          <cell r="E6571" t="str">
            <v>B25011411</v>
          </cell>
          <cell r="F6571"/>
          <cell r="G6571">
            <v>100000000</v>
          </cell>
          <cell r="H6571" t="str">
            <v>Faris</v>
          </cell>
          <cell r="I6571" t="str">
            <v>Syahra</v>
          </cell>
          <cell r="J6571"/>
          <cell r="K6571" t="str">
            <v>KU, Tunai</v>
          </cell>
          <cell r="L6571" t="str">
            <v>PUTR06</v>
          </cell>
          <cell r="M6571" t="str">
            <v>Putra Makmur Abadi, UD</v>
          </cell>
          <cell r="N6571" t="str">
            <v>Eko Suprayitno</v>
          </cell>
          <cell r="O6571" t="str">
            <v>Dsn. Kalipait, RT.002/RW.001, Purwosari, Tegaldlimo</v>
          </cell>
          <cell r="P6571" t="str">
            <v>Banyuwangi</v>
          </cell>
          <cell r="Q6571" t="str">
            <v>Dsn. Kalipait, RT.002/RW.001, Purwosari, Tegaldlimo</v>
          </cell>
          <cell r="R6571" t="str">
            <v>Banyuwangi</v>
          </cell>
          <cell r="S6571" t="str">
            <v>H Bwi3</v>
          </cell>
          <cell r="T6571" t="str">
            <v>Hafid</v>
          </cell>
          <cell r="U6571">
            <v>60</v>
          </cell>
        </row>
        <row r="6572">
          <cell r="E6572">
            <v>250102</v>
          </cell>
          <cell r="F6572"/>
          <cell r="G6572">
            <v>100000000</v>
          </cell>
          <cell r="H6572" t="str">
            <v>Faris</v>
          </cell>
          <cell r="I6572" t="str">
            <v>Syahra</v>
          </cell>
          <cell r="J6572"/>
          <cell r="K6572" t="str">
            <v>KU, Tunai</v>
          </cell>
          <cell r="L6572" t="str">
            <v>PUTR06</v>
          </cell>
          <cell r="M6572" t="str">
            <v>Putra Makmur Abadi, UD</v>
          </cell>
          <cell r="N6572" t="str">
            <v>Eko Suprayitno</v>
          </cell>
          <cell r="O6572" t="str">
            <v>Dsn. Kalipait, RT.002/RW.001, Purwosari, Tegaldlimo</v>
          </cell>
          <cell r="P6572" t="str">
            <v>Banyuwangi</v>
          </cell>
          <cell r="Q6572" t="str">
            <v>Dsn. Kalipait, RT.002/RW.001, Purwosari, Tegaldlimo</v>
          </cell>
          <cell r="R6572" t="str">
            <v>Banyuwangi</v>
          </cell>
          <cell r="S6572" t="str">
            <v>H Bwi3</v>
          </cell>
          <cell r="T6572" t="str">
            <v>Hafid</v>
          </cell>
          <cell r="U6572">
            <v>30</v>
          </cell>
        </row>
        <row r="6573">
          <cell r="E6573" t="str">
            <v>B25012491</v>
          </cell>
          <cell r="F6573"/>
          <cell r="G6573">
            <v>100000000</v>
          </cell>
          <cell r="H6573" t="str">
            <v>Faris</v>
          </cell>
          <cell r="I6573" t="str">
            <v>Syahra</v>
          </cell>
          <cell r="J6573"/>
          <cell r="K6573" t="str">
            <v>KU, Tunai</v>
          </cell>
          <cell r="L6573" t="str">
            <v>PUTR06</v>
          </cell>
          <cell r="M6573" t="str">
            <v>Putra Makmur Abadi, UD</v>
          </cell>
          <cell r="N6573" t="str">
            <v>Eko Suprayitno</v>
          </cell>
          <cell r="O6573" t="str">
            <v>Dsn. Kalipait, RT.002/RW.001, Purwosari, Tegaldlimo</v>
          </cell>
          <cell r="P6573" t="str">
            <v>Banyuwangi</v>
          </cell>
          <cell r="Q6573" t="str">
            <v>Dsn. Kalipait, RT.002/RW.001, Purwosari, Tegaldlimo</v>
          </cell>
          <cell r="R6573" t="str">
            <v>Banyuwangi</v>
          </cell>
          <cell r="S6573" t="str">
            <v>H Bwi3</v>
          </cell>
          <cell r="T6573" t="str">
            <v>Hafid</v>
          </cell>
          <cell r="U6573">
            <v>60</v>
          </cell>
        </row>
        <row r="6574">
          <cell r="E6574" t="str">
            <v>D25015242</v>
          </cell>
          <cell r="F6574"/>
          <cell r="G6574">
            <v>100000000</v>
          </cell>
          <cell r="H6574" t="str">
            <v>Faris</v>
          </cell>
          <cell r="I6574" t="str">
            <v>Syahra</v>
          </cell>
          <cell r="J6574"/>
          <cell r="K6574" t="str">
            <v>KU, Tunai</v>
          </cell>
          <cell r="L6574" t="str">
            <v>PUTR06</v>
          </cell>
          <cell r="M6574" t="str">
            <v>Putra Makmur Abadi, UD</v>
          </cell>
          <cell r="N6574" t="str">
            <v>Eko Suprayitno</v>
          </cell>
          <cell r="O6574" t="str">
            <v>Dsn. Kalipait, RT.002/RW.001, Purwosari, Tegaldlimo</v>
          </cell>
          <cell r="P6574" t="str">
            <v>Banyuwangi</v>
          </cell>
          <cell r="Q6574" t="str">
            <v>Dsn. Kalipait, RT.002/RW.001, Purwosari, Tegaldlimo</v>
          </cell>
          <cell r="R6574" t="str">
            <v>Banyuwangi</v>
          </cell>
          <cell r="S6574" t="str">
            <v>H Bwi3</v>
          </cell>
          <cell r="T6574" t="str">
            <v>Hafid</v>
          </cell>
          <cell r="U6574">
            <v>30</v>
          </cell>
        </row>
        <row r="6575">
          <cell r="E6575" t="str">
            <v>B25014077</v>
          </cell>
          <cell r="F6575"/>
          <cell r="G6575">
            <v>100000000</v>
          </cell>
          <cell r="H6575" t="str">
            <v>Faris</v>
          </cell>
          <cell r="I6575" t="str">
            <v>Syahra</v>
          </cell>
          <cell r="J6575"/>
          <cell r="K6575" t="str">
            <v>KU, Tunai</v>
          </cell>
          <cell r="L6575" t="str">
            <v>PUTR06</v>
          </cell>
          <cell r="M6575" t="str">
            <v>Putra Makmur Abadi, UD</v>
          </cell>
          <cell r="N6575" t="str">
            <v>Eko Suprayitno</v>
          </cell>
          <cell r="O6575" t="str">
            <v>Dsn. Kalipait, RT.002/RW.001, Purwosari, Tegaldlimo</v>
          </cell>
          <cell r="P6575" t="str">
            <v>Banyuwangi</v>
          </cell>
          <cell r="Q6575" t="str">
            <v>Dsn. Kalipait, RT.002/RW.001, Purwosari, Tegaldlimo</v>
          </cell>
          <cell r="R6575" t="str">
            <v>Banyuwangi</v>
          </cell>
          <cell r="S6575" t="str">
            <v>H Bwi3</v>
          </cell>
          <cell r="T6575" t="str">
            <v>Hafid</v>
          </cell>
          <cell r="U6575">
            <v>30</v>
          </cell>
        </row>
        <row r="6576">
          <cell r="E6576" t="str">
            <v>T25001618</v>
          </cell>
          <cell r="F6576"/>
          <cell r="G6576">
            <v>100000000</v>
          </cell>
          <cell r="H6576" t="str">
            <v>Faris</v>
          </cell>
          <cell r="I6576" t="str">
            <v>Syahra</v>
          </cell>
          <cell r="J6576"/>
          <cell r="K6576" t="str">
            <v>KU, Tunai</v>
          </cell>
          <cell r="L6576" t="str">
            <v>PUTR06</v>
          </cell>
          <cell r="M6576" t="str">
            <v>Putra Makmur Abadi, UD</v>
          </cell>
          <cell r="N6576" t="str">
            <v>Eko Suprayitno</v>
          </cell>
          <cell r="O6576" t="str">
            <v>Dsn. Kalipait, RT.002/RW.001, Purwosari, Tegaldlimo</v>
          </cell>
          <cell r="P6576" t="str">
            <v>Banyuwangi</v>
          </cell>
          <cell r="Q6576" t="str">
            <v>Dsn. Kalipait, RT.002/RW.001, Purwosari, Tegaldlimo</v>
          </cell>
          <cell r="R6576" t="str">
            <v>Banyuwangi</v>
          </cell>
          <cell r="S6576" t="str">
            <v>H Bwi3</v>
          </cell>
          <cell r="T6576" t="str">
            <v>Hafid</v>
          </cell>
          <cell r="U6576">
            <v>60</v>
          </cell>
        </row>
        <row r="6577">
          <cell r="E6577" t="str">
            <v>B25010976</v>
          </cell>
          <cell r="F6577"/>
          <cell r="G6577">
            <v>450000000</v>
          </cell>
          <cell r="H6577" t="str">
            <v>Hendra</v>
          </cell>
          <cell r="I6577" t="str">
            <v>Tiya</v>
          </cell>
          <cell r="J6577" t="str">
            <v>New 05/08/20</v>
          </cell>
          <cell r="K6577" t="str">
            <v>KU</v>
          </cell>
          <cell r="L6577" t="str">
            <v>PUTR30</v>
          </cell>
          <cell r="M6577" t="str">
            <v>Putra Pelita Jaya, CV</v>
          </cell>
          <cell r="N6577" t="str">
            <v>Putra Pelita Jaya, CV</v>
          </cell>
          <cell r="O6577" t="str">
            <v>Jl. Sultan Muhammad No. 200 RT.001/RW.002 Kel. Benua Melayu Laut, Kec. Pontianak Selatan</v>
          </cell>
          <cell r="P6577" t="str">
            <v>Pontianak-Kalbar</v>
          </cell>
          <cell r="Q6577" t="str">
            <v>Jl. Sultan Muhammad No. 200 RT.001/RW.002 Kel. Benua Melayu Laut, Kec. Pontianak Selatan</v>
          </cell>
          <cell r="R6577" t="str">
            <v>Pontianak-Kalbar</v>
          </cell>
          <cell r="S6577" t="str">
            <v>E Luar Pulau2</v>
          </cell>
          <cell r="T6577" t="str">
            <v>Non SE &amp; JSE</v>
          </cell>
          <cell r="U6577">
            <v>60</v>
          </cell>
        </row>
        <row r="6578">
          <cell r="E6578" t="str">
            <v>B25010977</v>
          </cell>
          <cell r="F6578"/>
          <cell r="G6578">
            <v>450000000</v>
          </cell>
          <cell r="H6578" t="str">
            <v>Hendra</v>
          </cell>
          <cell r="I6578" t="str">
            <v>Tiya</v>
          </cell>
          <cell r="J6578" t="str">
            <v>New 05/08/20</v>
          </cell>
          <cell r="K6578" t="str">
            <v>KU</v>
          </cell>
          <cell r="L6578" t="str">
            <v>PUTR30</v>
          </cell>
          <cell r="M6578" t="str">
            <v>Putra Pelita Jaya, CV</v>
          </cell>
          <cell r="N6578" t="str">
            <v>Putra Pelita Jaya, CV</v>
          </cell>
          <cell r="O6578" t="str">
            <v>Jl. Sultan Muhammad No. 200 RT.001/RW.002 Kel. Benua Melayu Laut, Kec. Pontianak Selatan</v>
          </cell>
          <cell r="P6578" t="str">
            <v>Pontianak-Kalbar</v>
          </cell>
          <cell r="Q6578" t="str">
            <v>Jl. Sultan Muhammad No. 200 RT.001/RW.002 Kel. Benua Melayu Laut, Kec. Pontianak Selatan</v>
          </cell>
          <cell r="R6578" t="str">
            <v>Pontianak-Kalbar</v>
          </cell>
          <cell r="S6578" t="str">
            <v>E Luar Pulau2</v>
          </cell>
          <cell r="T6578" t="str">
            <v>Non SE &amp; JSE</v>
          </cell>
          <cell r="U6578">
            <v>60</v>
          </cell>
        </row>
        <row r="6579">
          <cell r="E6579" t="str">
            <v>D25015268</v>
          </cell>
          <cell r="F6579"/>
          <cell r="G6579">
            <v>85000000</v>
          </cell>
          <cell r="H6579" t="str">
            <v>Zakia</v>
          </cell>
          <cell r="I6579" t="str">
            <v>Tiya</v>
          </cell>
          <cell r="J6579" t="str">
            <v>New 22/04/22</v>
          </cell>
          <cell r="K6579" t="str">
            <v>KU, Tunai</v>
          </cell>
          <cell r="L6579" t="str">
            <v>PUTR38</v>
          </cell>
          <cell r="M6579" t="str">
            <v>Putra Pertiwi</v>
          </cell>
          <cell r="N6579" t="str">
            <v>I Nyoman Udayana</v>
          </cell>
          <cell r="O6579" t="str">
            <v>BR. Tanah DahaKel. Sukawana, Kec. Kintamani, Bangli</v>
          </cell>
          <cell r="P6579" t="str">
            <v>Bali</v>
          </cell>
          <cell r="Q6579" t="str">
            <v>BR. Tanah DahaKel. Sukawana, Kec. Kintamani, Bangli</v>
          </cell>
          <cell r="R6579" t="str">
            <v>Bali</v>
          </cell>
          <cell r="S6579" t="str">
            <v>S Bali1</v>
          </cell>
          <cell r="T6579" t="str">
            <v>Wira</v>
          </cell>
          <cell r="U6579">
            <v>0</v>
          </cell>
        </row>
        <row r="6580">
          <cell r="E6580" t="str">
            <v>B25013151</v>
          </cell>
          <cell r="F6580"/>
          <cell r="G6580">
            <v>85000000</v>
          </cell>
          <cell r="H6580" t="str">
            <v>Zakia</v>
          </cell>
          <cell r="I6580" t="str">
            <v>Tiya</v>
          </cell>
          <cell r="J6580" t="str">
            <v>New 22/04/22</v>
          </cell>
          <cell r="K6580" t="str">
            <v>KU, Tunai</v>
          </cell>
          <cell r="L6580" t="str">
            <v>PUTR38</v>
          </cell>
          <cell r="M6580" t="str">
            <v>Putra Pertiwi</v>
          </cell>
          <cell r="N6580" t="str">
            <v>I Nyoman Udayana</v>
          </cell>
          <cell r="O6580" t="str">
            <v>BR. Tanah DahaKel. Sukawana, Kec. Kintamani, Bangli</v>
          </cell>
          <cell r="P6580" t="str">
            <v>Bali</v>
          </cell>
          <cell r="Q6580" t="str">
            <v>BR. Tanah DahaKel. Sukawana, Kec. Kintamani, Bangli</v>
          </cell>
          <cell r="R6580" t="str">
            <v>Bali</v>
          </cell>
          <cell r="S6580" t="str">
            <v>S Bali1</v>
          </cell>
          <cell r="T6580" t="str">
            <v>Wira</v>
          </cell>
          <cell r="U6580">
            <v>0</v>
          </cell>
        </row>
        <row r="6581">
          <cell r="E6581" t="str">
            <v>B25011426</v>
          </cell>
          <cell r="F6581"/>
          <cell r="G6581">
            <v>500000000</v>
          </cell>
          <cell r="H6581" t="str">
            <v>Ariyani</v>
          </cell>
          <cell r="I6581" t="str">
            <v>Fira</v>
          </cell>
          <cell r="J6581"/>
          <cell r="K6581" t="str">
            <v>KU</v>
          </cell>
          <cell r="L6581" t="str">
            <v>PUTR18</v>
          </cell>
          <cell r="M6581" t="str">
            <v>Putra Podomoro, CV</v>
          </cell>
          <cell r="N6581" t="str">
            <v>Putra Podomoro, CV</v>
          </cell>
          <cell r="O6581" t="str">
            <v>Dsn. Krajan RT.014/RW.003 Yosowilangun Kidul, Yosowilangun</v>
          </cell>
          <cell r="P6581" t="str">
            <v>Lumajang</v>
          </cell>
          <cell r="Q6581" t="str">
            <v>Dsn. Krajan RT.014/RW.003 Yosowilangun Kidul, Yosowilangun</v>
          </cell>
          <cell r="R6581" t="str">
            <v>Lumajang</v>
          </cell>
          <cell r="S6581" t="str">
            <v>C Lumajang</v>
          </cell>
          <cell r="T6581" t="str">
            <v>Wira</v>
          </cell>
          <cell r="U6581">
            <v>30</v>
          </cell>
        </row>
        <row r="6582">
          <cell r="E6582" t="str">
            <v>D25014188</v>
          </cell>
          <cell r="F6582"/>
          <cell r="G6582">
            <v>500000000</v>
          </cell>
          <cell r="H6582" t="str">
            <v>Ariyani</v>
          </cell>
          <cell r="I6582" t="str">
            <v>Fira</v>
          </cell>
          <cell r="J6582"/>
          <cell r="K6582" t="str">
            <v>KU</v>
          </cell>
          <cell r="L6582" t="str">
            <v>PUTR18</v>
          </cell>
          <cell r="M6582" t="str">
            <v>Putra Podomoro, CV</v>
          </cell>
          <cell r="N6582" t="str">
            <v>Putra Podomoro, CV</v>
          </cell>
          <cell r="O6582" t="str">
            <v>Dsn. Krajan RT.014/RW.003 Yosowilangun Kidul, Yosowilangun</v>
          </cell>
          <cell r="P6582" t="str">
            <v>Lumajang</v>
          </cell>
          <cell r="Q6582" t="str">
            <v>Dsn. Krajan RT.014/RW.003 Yosowilangun Kidul, Yosowilangun</v>
          </cell>
          <cell r="R6582" t="str">
            <v>Lumajang</v>
          </cell>
          <cell r="S6582" t="str">
            <v>C Lumajang</v>
          </cell>
          <cell r="T6582" t="str">
            <v>Wira</v>
          </cell>
          <cell r="U6582">
            <v>30</v>
          </cell>
        </row>
        <row r="6583">
          <cell r="E6583" t="str">
            <v>B25012683</v>
          </cell>
          <cell r="F6583"/>
          <cell r="G6583">
            <v>500000000</v>
          </cell>
          <cell r="H6583" t="str">
            <v>Ariyani</v>
          </cell>
          <cell r="I6583" t="str">
            <v>Fira</v>
          </cell>
          <cell r="J6583"/>
          <cell r="K6583" t="str">
            <v>KU</v>
          </cell>
          <cell r="L6583" t="str">
            <v>PUTR18</v>
          </cell>
          <cell r="M6583" t="str">
            <v>Putra Podomoro, CV</v>
          </cell>
          <cell r="N6583" t="str">
            <v>Putra Podomoro, CV</v>
          </cell>
          <cell r="O6583" t="str">
            <v>Dsn. Krajan RT.014/RW.003 Yosowilangun Kidul, Yosowilangun</v>
          </cell>
          <cell r="P6583" t="str">
            <v>Lumajang</v>
          </cell>
          <cell r="Q6583" t="str">
            <v>Dsn. Krajan RT.014/RW.003 Yosowilangun Kidul, Yosowilangun</v>
          </cell>
          <cell r="R6583" t="str">
            <v>Lumajang</v>
          </cell>
          <cell r="S6583" t="str">
            <v>C Lumajang</v>
          </cell>
          <cell r="T6583" t="str">
            <v>Wira</v>
          </cell>
          <cell r="U6583">
            <v>30</v>
          </cell>
        </row>
        <row r="6584">
          <cell r="E6584" t="str">
            <v>D25011037</v>
          </cell>
          <cell r="F6584"/>
          <cell r="G6584">
            <v>10000000</v>
          </cell>
          <cell r="H6584" t="str">
            <v>Reni</v>
          </cell>
          <cell r="I6584" t="str">
            <v>Fira</v>
          </cell>
          <cell r="J6584" t="str">
            <v>New 28/09/24</v>
          </cell>
          <cell r="K6584" t="str">
            <v>CBD</v>
          </cell>
          <cell r="L6584" t="str">
            <v>PUTR53</v>
          </cell>
          <cell r="M6584" t="str">
            <v>Putra Putri/Abdul Rohman</v>
          </cell>
          <cell r="N6584" t="str">
            <v>Abdul Rohman</v>
          </cell>
          <cell r="O6584" t="str">
            <v>Pengkol RT.002/RW.005, Kel. Kedungpengaron, Kec. Modo</v>
          </cell>
          <cell r="P6584" t="str">
            <v>Lamongan</v>
          </cell>
          <cell r="Q6584" t="str">
            <v>Pengkol RT.002/RW.005, Kel. Kedungpengaron, Kec. Modo</v>
          </cell>
          <cell r="R6584" t="str">
            <v>Lamongan</v>
          </cell>
          <cell r="S6584" t="str">
            <v>F Utara2</v>
          </cell>
          <cell r="T6584" t="str">
            <v>Dian</v>
          </cell>
          <cell r="U6584">
            <v>60</v>
          </cell>
        </row>
        <row r="6585">
          <cell r="E6585" t="str">
            <v>D25015848</v>
          </cell>
          <cell r="F6585"/>
          <cell r="G6585">
            <v>10000000</v>
          </cell>
          <cell r="H6585" t="str">
            <v>Reni</v>
          </cell>
          <cell r="I6585" t="str">
            <v>Fira</v>
          </cell>
          <cell r="J6585" t="str">
            <v>New 28/09/24</v>
          </cell>
          <cell r="K6585" t="str">
            <v>CBD</v>
          </cell>
          <cell r="L6585" t="str">
            <v>PUTR53</v>
          </cell>
          <cell r="M6585" t="str">
            <v>Putra Putri/Abdul Rohman</v>
          </cell>
          <cell r="N6585" t="str">
            <v>Abdul Rohman</v>
          </cell>
          <cell r="O6585" t="str">
            <v>Pengkol RT.002/RW.005, Kel. Kedungpengaron, Kec. Modo</v>
          </cell>
          <cell r="P6585" t="str">
            <v>Lamongan</v>
          </cell>
          <cell r="Q6585" t="str">
            <v>Pengkol RT.002/RW.005, Kel. Kedungpengaron, Kec. Modo</v>
          </cell>
          <cell r="R6585" t="str">
            <v>Lamongan</v>
          </cell>
          <cell r="S6585" t="str">
            <v>F Utara2</v>
          </cell>
          <cell r="T6585" t="str">
            <v>Dian</v>
          </cell>
          <cell r="U6585">
            <v>60</v>
          </cell>
        </row>
        <row r="6586">
          <cell r="E6586" t="str">
            <v>B25010710</v>
          </cell>
          <cell r="F6586"/>
          <cell r="G6586">
            <v>70000000</v>
          </cell>
          <cell r="H6586" t="str">
            <v>Ariyani</v>
          </cell>
          <cell r="I6586" t="str">
            <v>Fira</v>
          </cell>
          <cell r="J6586" t="str">
            <v>New 21/09/22</v>
          </cell>
          <cell r="K6586" t="str">
            <v>KU</v>
          </cell>
          <cell r="L6586" t="str">
            <v>PUTR40</v>
          </cell>
          <cell r="M6586" t="str">
            <v>Putra Tani/Bayu</v>
          </cell>
          <cell r="N6586" t="str">
            <v>Supadi Ridwan</v>
          </cell>
          <cell r="O6586" t="str">
            <v>Dusun Sumberejo RT.002/RW.002, Kel. Gondoruso Kec. Pasirian</v>
          </cell>
          <cell r="P6586" t="str">
            <v>Lumajang</v>
          </cell>
          <cell r="Q6586" t="str">
            <v>Dusun Sumberejo RT.002/RW.002, Kel. Gondoruso Kec. Pasirian</v>
          </cell>
          <cell r="R6586" t="str">
            <v>Lumajang</v>
          </cell>
          <cell r="S6586" t="str">
            <v>C Lumajang</v>
          </cell>
          <cell r="T6586" t="str">
            <v>Efendi</v>
          </cell>
          <cell r="U6586">
            <v>30</v>
          </cell>
        </row>
        <row r="6587">
          <cell r="E6587" t="str">
            <v>D25012744</v>
          </cell>
          <cell r="F6587"/>
          <cell r="G6587">
            <v>70000000</v>
          </cell>
          <cell r="H6587" t="str">
            <v>Ariyani</v>
          </cell>
          <cell r="I6587" t="str">
            <v>Fira</v>
          </cell>
          <cell r="J6587" t="str">
            <v>New 21/09/22</v>
          </cell>
          <cell r="K6587" t="str">
            <v>KU</v>
          </cell>
          <cell r="L6587" t="str">
            <v>PUTR40</v>
          </cell>
          <cell r="M6587" t="str">
            <v>Putra Tani/Bayu</v>
          </cell>
          <cell r="N6587" t="str">
            <v>Supadi Ridwan</v>
          </cell>
          <cell r="O6587" t="str">
            <v>Dusun Sumberejo RT.002/RW.002, Kel. Gondoruso Kec. Pasirian</v>
          </cell>
          <cell r="P6587" t="str">
            <v>Lumajang</v>
          </cell>
          <cell r="Q6587" t="str">
            <v>Dusun Sumberejo RT.002/RW.002, Kel. Gondoruso Kec. Pasirian</v>
          </cell>
          <cell r="R6587" t="str">
            <v>Lumajang</v>
          </cell>
          <cell r="S6587" t="str">
            <v>C Lumajang</v>
          </cell>
          <cell r="T6587" t="str">
            <v>Efendi</v>
          </cell>
          <cell r="U6587">
            <v>30</v>
          </cell>
        </row>
        <row r="6588">
          <cell r="E6588" t="str">
            <v>D25012768</v>
          </cell>
          <cell r="F6588"/>
          <cell r="G6588">
            <v>70000000</v>
          </cell>
          <cell r="H6588" t="str">
            <v>Ariyani</v>
          </cell>
          <cell r="I6588" t="str">
            <v>Fira</v>
          </cell>
          <cell r="J6588" t="str">
            <v>New 21/09/22</v>
          </cell>
          <cell r="K6588" t="str">
            <v>KU</v>
          </cell>
          <cell r="L6588" t="str">
            <v>PUTR40</v>
          </cell>
          <cell r="M6588" t="str">
            <v>Putra Tani/Bayu</v>
          </cell>
          <cell r="N6588" t="str">
            <v>Supadi Ridwan</v>
          </cell>
          <cell r="O6588" t="str">
            <v>Dusun Sumberejo RT.002/RW.002, Kel. Gondoruso Kec. Pasirian</v>
          </cell>
          <cell r="P6588" t="str">
            <v>Lumajang</v>
          </cell>
          <cell r="Q6588" t="str">
            <v>Dusun Sumberejo RT.002/RW.002, Kel. Gondoruso Kec. Pasirian</v>
          </cell>
          <cell r="R6588" t="str">
            <v>Lumajang</v>
          </cell>
          <cell r="S6588" t="str">
            <v>C Lumajang</v>
          </cell>
          <cell r="T6588" t="str">
            <v>Efendi</v>
          </cell>
          <cell r="U6588">
            <v>30</v>
          </cell>
        </row>
        <row r="6589">
          <cell r="E6589" t="str">
            <v>D25012768</v>
          </cell>
          <cell r="F6589"/>
          <cell r="G6589">
            <v>70000000</v>
          </cell>
          <cell r="H6589" t="str">
            <v>Ariyani</v>
          </cell>
          <cell r="I6589" t="str">
            <v>Fira</v>
          </cell>
          <cell r="J6589" t="str">
            <v>New 21/09/22</v>
          </cell>
          <cell r="K6589" t="str">
            <v>KU</v>
          </cell>
          <cell r="L6589" t="str">
            <v>PUTR40</v>
          </cell>
          <cell r="M6589" t="str">
            <v>Putra Tani/Bayu</v>
          </cell>
          <cell r="N6589" t="str">
            <v>Supadi Ridwan</v>
          </cell>
          <cell r="O6589" t="str">
            <v>Dusun Sumberejo RT.002/RW.002, Kel. Gondoruso Kec. Pasirian</v>
          </cell>
          <cell r="P6589" t="str">
            <v>Lumajang</v>
          </cell>
          <cell r="Q6589" t="str">
            <v>Dusun Sumberejo RT.002/RW.002, Kel. Gondoruso Kec. Pasirian</v>
          </cell>
          <cell r="R6589" t="str">
            <v>Lumajang</v>
          </cell>
          <cell r="S6589" t="str">
            <v>C Lumajang</v>
          </cell>
          <cell r="T6589" t="str">
            <v>Efendi</v>
          </cell>
          <cell r="U6589">
            <v>30</v>
          </cell>
        </row>
        <row r="6590">
          <cell r="E6590" t="str">
            <v>D25012804</v>
          </cell>
          <cell r="F6590"/>
          <cell r="G6590">
            <v>70000000</v>
          </cell>
          <cell r="H6590" t="str">
            <v>Ariyani</v>
          </cell>
          <cell r="I6590" t="str">
            <v>Fira</v>
          </cell>
          <cell r="J6590" t="str">
            <v>New 21/09/22</v>
          </cell>
          <cell r="K6590" t="str">
            <v>KU</v>
          </cell>
          <cell r="L6590" t="str">
            <v>PUTR40</v>
          </cell>
          <cell r="M6590" t="str">
            <v>Putra Tani/Bayu</v>
          </cell>
          <cell r="N6590" t="str">
            <v>Supadi Ridwan</v>
          </cell>
          <cell r="O6590" t="str">
            <v>Dusun Sumberejo RT.002/RW.002, Kel. Gondoruso Kec. Pasirian</v>
          </cell>
          <cell r="P6590" t="str">
            <v>Lumajang</v>
          </cell>
          <cell r="Q6590" t="str">
            <v>Dusun Sumberejo RT.002/RW.002, Kel. Gondoruso Kec. Pasirian</v>
          </cell>
          <cell r="R6590" t="str">
            <v>Lumajang</v>
          </cell>
          <cell r="S6590" t="str">
            <v>C Lumajang</v>
          </cell>
          <cell r="T6590" t="str">
            <v>Efendi</v>
          </cell>
          <cell r="U6590">
            <v>30</v>
          </cell>
        </row>
        <row r="6591">
          <cell r="E6591" t="str">
            <v>D25013079</v>
          </cell>
          <cell r="F6591"/>
          <cell r="G6591">
            <v>70000000</v>
          </cell>
          <cell r="H6591" t="str">
            <v>Ariyani</v>
          </cell>
          <cell r="I6591" t="str">
            <v>Fira</v>
          </cell>
          <cell r="J6591" t="str">
            <v>New 21/09/22</v>
          </cell>
          <cell r="K6591" t="str">
            <v>KU</v>
          </cell>
          <cell r="L6591" t="str">
            <v>PUTR40</v>
          </cell>
          <cell r="M6591" t="str">
            <v>Putra Tani/Bayu</v>
          </cell>
          <cell r="N6591" t="str">
            <v>Supadi Ridwan</v>
          </cell>
          <cell r="O6591" t="str">
            <v>Dusun Sumberejo RT.002/RW.002, Kel. Gondoruso Kec. Pasirian</v>
          </cell>
          <cell r="P6591" t="str">
            <v>Lumajang</v>
          </cell>
          <cell r="Q6591" t="str">
            <v>Dusun Sumberejo RT.002/RW.002, Kel. Gondoruso Kec. Pasirian</v>
          </cell>
          <cell r="R6591" t="str">
            <v>Lumajang</v>
          </cell>
          <cell r="S6591" t="str">
            <v>C Lumajang</v>
          </cell>
          <cell r="T6591" t="str">
            <v>Efendi</v>
          </cell>
          <cell r="U6591">
            <v>30</v>
          </cell>
        </row>
        <row r="6592">
          <cell r="E6592" t="str">
            <v>B25011038</v>
          </cell>
          <cell r="F6592"/>
          <cell r="G6592">
            <v>70000000</v>
          </cell>
          <cell r="H6592" t="str">
            <v>Ariyani</v>
          </cell>
          <cell r="I6592" t="str">
            <v>Fira</v>
          </cell>
          <cell r="J6592" t="str">
            <v>New 21/09/22</v>
          </cell>
          <cell r="K6592" t="str">
            <v>KU</v>
          </cell>
          <cell r="L6592" t="str">
            <v>PUTR40</v>
          </cell>
          <cell r="M6592" t="str">
            <v>Putra Tani/Bayu</v>
          </cell>
          <cell r="N6592" t="str">
            <v>Supadi Ridwan</v>
          </cell>
          <cell r="O6592" t="str">
            <v>Dusun Sumberejo RT.002/RW.002, Kel. Gondoruso Kec. Pasirian</v>
          </cell>
          <cell r="P6592" t="str">
            <v>Lumajang</v>
          </cell>
          <cell r="Q6592" t="str">
            <v>Dusun Sumberejo RT.002/RW.002, Kel. Gondoruso Kec. Pasirian</v>
          </cell>
          <cell r="R6592" t="str">
            <v>Lumajang</v>
          </cell>
          <cell r="S6592" t="str">
            <v>C Lumajang</v>
          </cell>
          <cell r="T6592" t="str">
            <v>Efendi</v>
          </cell>
          <cell r="U6592">
            <v>30</v>
          </cell>
        </row>
        <row r="6593">
          <cell r="E6593" t="str">
            <v>D25013234</v>
          </cell>
          <cell r="F6593"/>
          <cell r="G6593">
            <v>70000000</v>
          </cell>
          <cell r="H6593" t="str">
            <v>Ariyani</v>
          </cell>
          <cell r="I6593" t="str">
            <v>Fira</v>
          </cell>
          <cell r="J6593" t="str">
            <v>New 21/09/22</v>
          </cell>
          <cell r="K6593" t="str">
            <v>KU</v>
          </cell>
          <cell r="L6593" t="str">
            <v>PUTR40</v>
          </cell>
          <cell r="M6593" t="str">
            <v>Putra Tani/Bayu</v>
          </cell>
          <cell r="N6593" t="str">
            <v>Supadi Ridwan</v>
          </cell>
          <cell r="O6593" t="str">
            <v>Dusun Sumberejo RT.002/RW.002, Kel. Gondoruso Kec. Pasirian</v>
          </cell>
          <cell r="P6593" t="str">
            <v>Lumajang</v>
          </cell>
          <cell r="Q6593" t="str">
            <v>Dusun Sumberejo RT.002/RW.002, Kel. Gondoruso Kec. Pasirian</v>
          </cell>
          <cell r="R6593" t="str">
            <v>Lumajang</v>
          </cell>
          <cell r="S6593" t="str">
            <v>C Lumajang</v>
          </cell>
          <cell r="T6593" t="str">
            <v>Efendi</v>
          </cell>
          <cell r="U6593">
            <v>30</v>
          </cell>
        </row>
        <row r="6594">
          <cell r="E6594" t="str">
            <v>B25012059</v>
          </cell>
          <cell r="F6594"/>
          <cell r="G6594">
            <v>70000000</v>
          </cell>
          <cell r="H6594" t="str">
            <v>Ariyani</v>
          </cell>
          <cell r="I6594" t="str">
            <v>Fira</v>
          </cell>
          <cell r="J6594" t="str">
            <v>New 21/09/22</v>
          </cell>
          <cell r="K6594" t="str">
            <v>KU</v>
          </cell>
          <cell r="L6594" t="str">
            <v>PUTR40</v>
          </cell>
          <cell r="M6594" t="str">
            <v>Putra Tani/Bayu</v>
          </cell>
          <cell r="N6594" t="str">
            <v>Supadi Ridwan</v>
          </cell>
          <cell r="O6594" t="str">
            <v>Dusun Sumberejo RT.002/RW.002, Kel. Gondoruso Kec. Pasirian</v>
          </cell>
          <cell r="P6594" t="str">
            <v>Lumajang</v>
          </cell>
          <cell r="Q6594" t="str">
            <v>Dusun Sumberejo RT.002/RW.002, Kel. Gondoruso Kec. Pasirian</v>
          </cell>
          <cell r="R6594" t="str">
            <v>Lumajang</v>
          </cell>
          <cell r="S6594" t="str">
            <v>C Lumajang</v>
          </cell>
          <cell r="T6594" t="str">
            <v>Efendi</v>
          </cell>
          <cell r="U6594">
            <v>30</v>
          </cell>
        </row>
        <row r="6595">
          <cell r="E6595" t="str">
            <v>B25012179</v>
          </cell>
          <cell r="F6595"/>
          <cell r="G6595">
            <v>70000000</v>
          </cell>
          <cell r="H6595" t="str">
            <v>Ariyani</v>
          </cell>
          <cell r="I6595" t="str">
            <v>Fira</v>
          </cell>
          <cell r="J6595" t="str">
            <v>New 21/09/22</v>
          </cell>
          <cell r="K6595" t="str">
            <v>KU</v>
          </cell>
          <cell r="L6595" t="str">
            <v>PUTR40</v>
          </cell>
          <cell r="M6595" t="str">
            <v>Putra Tani/Bayu</v>
          </cell>
          <cell r="N6595" t="str">
            <v>Supadi Ridwan</v>
          </cell>
          <cell r="O6595" t="str">
            <v>Dusun Sumberejo RT.002/RW.002, Kel. Gondoruso Kec. Pasirian</v>
          </cell>
          <cell r="P6595" t="str">
            <v>Lumajang</v>
          </cell>
          <cell r="Q6595" t="str">
            <v>Dusun Sumberejo RT.002/RW.002, Kel. Gondoruso Kec. Pasirian</v>
          </cell>
          <cell r="R6595" t="str">
            <v>Lumajang</v>
          </cell>
          <cell r="S6595" t="str">
            <v>C Lumajang</v>
          </cell>
          <cell r="T6595" t="str">
            <v>Efendi</v>
          </cell>
          <cell r="U6595">
            <v>30</v>
          </cell>
        </row>
        <row r="6596">
          <cell r="E6596" t="str">
            <v>D25014436</v>
          </cell>
          <cell r="F6596"/>
          <cell r="G6596">
            <v>70000000</v>
          </cell>
          <cell r="H6596" t="str">
            <v>Ariyani</v>
          </cell>
          <cell r="I6596" t="str">
            <v>Fira</v>
          </cell>
          <cell r="J6596" t="str">
            <v>New 21/09/22</v>
          </cell>
          <cell r="K6596" t="str">
            <v>KU</v>
          </cell>
          <cell r="L6596" t="str">
            <v>PUTR40</v>
          </cell>
          <cell r="M6596" t="str">
            <v>Putra Tani/Bayu</v>
          </cell>
          <cell r="N6596" t="str">
            <v>Supadi Ridwan</v>
          </cell>
          <cell r="O6596" t="str">
            <v>Dusun Sumberejo RT.002/RW.002, Kel. Gondoruso Kec. Pasirian</v>
          </cell>
          <cell r="P6596" t="str">
            <v>Lumajang</v>
          </cell>
          <cell r="Q6596" t="str">
            <v>Dusun Sumberejo RT.002/RW.002, Kel. Gondoruso Kec. Pasirian</v>
          </cell>
          <cell r="R6596" t="str">
            <v>Lumajang</v>
          </cell>
          <cell r="S6596" t="str">
            <v>C Lumajang</v>
          </cell>
          <cell r="T6596" t="str">
            <v>Efendi</v>
          </cell>
          <cell r="U6596">
            <v>30</v>
          </cell>
        </row>
        <row r="6597">
          <cell r="E6597" t="str">
            <v>D25014537</v>
          </cell>
          <cell r="F6597"/>
          <cell r="G6597">
            <v>70000000</v>
          </cell>
          <cell r="H6597" t="str">
            <v>Ariyani</v>
          </cell>
          <cell r="I6597" t="str">
            <v>Fira</v>
          </cell>
          <cell r="J6597" t="str">
            <v>New 21/09/22</v>
          </cell>
          <cell r="K6597" t="str">
            <v>KU</v>
          </cell>
          <cell r="L6597" t="str">
            <v>PUTR40</v>
          </cell>
          <cell r="M6597" t="str">
            <v>Putra Tani/Bayu</v>
          </cell>
          <cell r="N6597" t="str">
            <v>Supadi Ridwan</v>
          </cell>
          <cell r="O6597" t="str">
            <v>Dusun Sumberejo RT.002/RW.002, Kel. Gondoruso Kec. Pasirian</v>
          </cell>
          <cell r="P6597" t="str">
            <v>Lumajang</v>
          </cell>
          <cell r="Q6597" t="str">
            <v>Dusun Sumberejo RT.002/RW.002, Kel. Gondoruso Kec. Pasirian</v>
          </cell>
          <cell r="R6597" t="str">
            <v>Lumajang</v>
          </cell>
          <cell r="S6597" t="str">
            <v>C Lumajang</v>
          </cell>
          <cell r="T6597" t="str">
            <v>Efendi</v>
          </cell>
          <cell r="U6597">
            <v>30</v>
          </cell>
        </row>
        <row r="6598">
          <cell r="E6598" t="str">
            <v>D25014610</v>
          </cell>
          <cell r="F6598"/>
          <cell r="G6598">
            <v>70000000</v>
          </cell>
          <cell r="H6598" t="str">
            <v>Ariyani</v>
          </cell>
          <cell r="I6598" t="str">
            <v>Fira</v>
          </cell>
          <cell r="J6598" t="str">
            <v>New 21/09/22</v>
          </cell>
          <cell r="K6598" t="str">
            <v>KU</v>
          </cell>
          <cell r="L6598" t="str">
            <v>PUTR40</v>
          </cell>
          <cell r="M6598" t="str">
            <v>Putra Tani/Bayu</v>
          </cell>
          <cell r="N6598" t="str">
            <v>Supadi Ridwan</v>
          </cell>
          <cell r="O6598" t="str">
            <v>Dusun Sumberejo RT.002/RW.002, Kel. Gondoruso Kec. Pasirian</v>
          </cell>
          <cell r="P6598" t="str">
            <v>Lumajang</v>
          </cell>
          <cell r="Q6598" t="str">
            <v>Dusun Sumberejo RT.002/RW.002, Kel. Gondoruso Kec. Pasirian</v>
          </cell>
          <cell r="R6598" t="str">
            <v>Lumajang</v>
          </cell>
          <cell r="S6598" t="str">
            <v>C Lumajang</v>
          </cell>
          <cell r="T6598" t="str">
            <v>Efendi</v>
          </cell>
          <cell r="U6598">
            <v>30</v>
          </cell>
        </row>
        <row r="6599">
          <cell r="E6599" t="str">
            <v>D25014647</v>
          </cell>
          <cell r="F6599"/>
          <cell r="G6599">
            <v>70000000</v>
          </cell>
          <cell r="H6599" t="str">
            <v>Ariyani</v>
          </cell>
          <cell r="I6599" t="str">
            <v>Fira</v>
          </cell>
          <cell r="J6599" t="str">
            <v>New 21/09/22</v>
          </cell>
          <cell r="K6599" t="str">
            <v>KU</v>
          </cell>
          <cell r="L6599" t="str">
            <v>PUTR40</v>
          </cell>
          <cell r="M6599" t="str">
            <v>Putra Tani/Bayu</v>
          </cell>
          <cell r="N6599" t="str">
            <v>Supadi Ridwan</v>
          </cell>
          <cell r="O6599" t="str">
            <v>Dusun Sumberejo RT.002/RW.002, Kel. Gondoruso Kec. Pasirian</v>
          </cell>
          <cell r="P6599" t="str">
            <v>Lumajang</v>
          </cell>
          <cell r="Q6599" t="str">
            <v>Dusun Sumberejo RT.002/RW.002, Kel. Gondoruso Kec. Pasirian</v>
          </cell>
          <cell r="R6599" t="str">
            <v>Lumajang</v>
          </cell>
          <cell r="S6599" t="str">
            <v>C Lumajang</v>
          </cell>
          <cell r="T6599" t="str">
            <v>Efendi</v>
          </cell>
          <cell r="U6599">
            <v>30</v>
          </cell>
        </row>
        <row r="6600">
          <cell r="E6600" t="str">
            <v>B25012537</v>
          </cell>
          <cell r="F6600"/>
          <cell r="G6600">
            <v>70000000</v>
          </cell>
          <cell r="H6600" t="str">
            <v>Ariyani</v>
          </cell>
          <cell r="I6600" t="str">
            <v>Fira</v>
          </cell>
          <cell r="J6600" t="str">
            <v>New 21/09/22</v>
          </cell>
          <cell r="K6600" t="str">
            <v>KU</v>
          </cell>
          <cell r="L6600" t="str">
            <v>PUTR40</v>
          </cell>
          <cell r="M6600" t="str">
            <v>Putra Tani/Bayu</v>
          </cell>
          <cell r="N6600" t="str">
            <v>Supadi Ridwan</v>
          </cell>
          <cell r="O6600" t="str">
            <v>Dusun Sumberejo RT.002/RW.002, Kel. Gondoruso Kec. Pasirian</v>
          </cell>
          <cell r="P6600" t="str">
            <v>Lumajang</v>
          </cell>
          <cell r="Q6600" t="str">
            <v>Dusun Sumberejo RT.002/RW.002, Kel. Gondoruso Kec. Pasirian</v>
          </cell>
          <cell r="R6600" t="str">
            <v>Lumajang</v>
          </cell>
          <cell r="S6600" t="str">
            <v>C Lumajang</v>
          </cell>
          <cell r="T6600" t="str">
            <v>Efendi</v>
          </cell>
          <cell r="U6600">
            <v>30</v>
          </cell>
        </row>
        <row r="6601">
          <cell r="E6601" t="str">
            <v>B25012702</v>
          </cell>
          <cell r="F6601"/>
          <cell r="G6601">
            <v>70000000</v>
          </cell>
          <cell r="H6601" t="str">
            <v>Ariyani</v>
          </cell>
          <cell r="I6601" t="str">
            <v>Fira</v>
          </cell>
          <cell r="J6601" t="str">
            <v>New 21/09/22</v>
          </cell>
          <cell r="K6601" t="str">
            <v>KU</v>
          </cell>
          <cell r="L6601" t="str">
            <v>PUTR40</v>
          </cell>
          <cell r="M6601" t="str">
            <v>Putra Tani/Bayu</v>
          </cell>
          <cell r="N6601" t="str">
            <v>Supadi Ridwan</v>
          </cell>
          <cell r="O6601" t="str">
            <v>Dusun Sumberejo RT.002/RW.002, Kel. Gondoruso Kec. Pasirian</v>
          </cell>
          <cell r="P6601" t="str">
            <v>Lumajang</v>
          </cell>
          <cell r="Q6601" t="str">
            <v>Dusun Sumberejo RT.002/RW.002, Kel. Gondoruso Kec. Pasirian</v>
          </cell>
          <cell r="R6601" t="str">
            <v>Lumajang</v>
          </cell>
          <cell r="S6601" t="str">
            <v>C Lumajang</v>
          </cell>
          <cell r="T6601" t="str">
            <v>Efendi</v>
          </cell>
          <cell r="U6601">
            <v>30</v>
          </cell>
        </row>
        <row r="6602">
          <cell r="E6602" t="str">
            <v>D25015164</v>
          </cell>
          <cell r="F6602"/>
          <cell r="G6602">
            <v>70000000</v>
          </cell>
          <cell r="H6602" t="str">
            <v>Ariyani</v>
          </cell>
          <cell r="I6602" t="str">
            <v>Fira</v>
          </cell>
          <cell r="J6602" t="str">
            <v>New 21/09/22</v>
          </cell>
          <cell r="K6602" t="str">
            <v>KU</v>
          </cell>
          <cell r="L6602" t="str">
            <v>PUTR40</v>
          </cell>
          <cell r="M6602" t="str">
            <v>Putra Tani/Bayu</v>
          </cell>
          <cell r="N6602" t="str">
            <v>Supadi Ridwan</v>
          </cell>
          <cell r="O6602" t="str">
            <v>Dusun Sumberejo RT.002/RW.002, Kel. Gondoruso Kec. Pasirian</v>
          </cell>
          <cell r="P6602" t="str">
            <v>Lumajang</v>
          </cell>
          <cell r="Q6602" t="str">
            <v>Dusun Sumberejo RT.002/RW.002, Kel. Gondoruso Kec. Pasirian</v>
          </cell>
          <cell r="R6602" t="str">
            <v>Lumajang</v>
          </cell>
          <cell r="S6602" t="str">
            <v>C Lumajang</v>
          </cell>
          <cell r="T6602" t="str">
            <v>Efendi</v>
          </cell>
          <cell r="U6602">
            <v>30</v>
          </cell>
        </row>
        <row r="6603">
          <cell r="E6603" t="str">
            <v>D25015165</v>
          </cell>
          <cell r="F6603"/>
          <cell r="G6603">
            <v>70000000</v>
          </cell>
          <cell r="H6603" t="str">
            <v>Ariyani</v>
          </cell>
          <cell r="I6603" t="str">
            <v>Fira</v>
          </cell>
          <cell r="J6603" t="str">
            <v>New 21/09/22</v>
          </cell>
          <cell r="K6603" t="str">
            <v>KU</v>
          </cell>
          <cell r="L6603" t="str">
            <v>PUTR40</v>
          </cell>
          <cell r="M6603" t="str">
            <v>Putra Tani/Bayu</v>
          </cell>
          <cell r="N6603" t="str">
            <v>Supadi Ridwan</v>
          </cell>
          <cell r="O6603" t="str">
            <v>Dusun Sumberejo RT.002/RW.002, Kel. Gondoruso Kec. Pasirian</v>
          </cell>
          <cell r="P6603" t="str">
            <v>Lumajang</v>
          </cell>
          <cell r="Q6603" t="str">
            <v>Dusun Sumberejo RT.002/RW.002, Kel. Gondoruso Kec. Pasirian</v>
          </cell>
          <cell r="R6603" t="str">
            <v>Lumajang</v>
          </cell>
          <cell r="S6603" t="str">
            <v>C Lumajang</v>
          </cell>
          <cell r="T6603" t="str">
            <v>Efendi</v>
          </cell>
          <cell r="U6603">
            <v>30</v>
          </cell>
        </row>
        <row r="6604">
          <cell r="E6604" t="str">
            <v>D25015359</v>
          </cell>
          <cell r="F6604"/>
          <cell r="G6604">
            <v>70000000</v>
          </cell>
          <cell r="H6604" t="str">
            <v>Ariyani</v>
          </cell>
          <cell r="I6604" t="str">
            <v>Fira</v>
          </cell>
          <cell r="J6604" t="str">
            <v>New 21/09/22</v>
          </cell>
          <cell r="K6604" t="str">
            <v>KU</v>
          </cell>
          <cell r="L6604" t="str">
            <v>PUTR40</v>
          </cell>
          <cell r="M6604" t="str">
            <v>Putra Tani/Bayu</v>
          </cell>
          <cell r="N6604" t="str">
            <v>Supadi Ridwan</v>
          </cell>
          <cell r="O6604" t="str">
            <v>Dusun Sumberejo RT.002/RW.002, Kel. Gondoruso Kec. Pasirian</v>
          </cell>
          <cell r="P6604" t="str">
            <v>Lumajang</v>
          </cell>
          <cell r="Q6604" t="str">
            <v>Dusun Sumberejo RT.002/RW.002, Kel. Gondoruso Kec. Pasirian</v>
          </cell>
          <cell r="R6604" t="str">
            <v>Lumajang</v>
          </cell>
          <cell r="S6604" t="str">
            <v>C Lumajang</v>
          </cell>
          <cell r="T6604" t="str">
            <v>Efendi</v>
          </cell>
          <cell r="U6604">
            <v>30</v>
          </cell>
        </row>
        <row r="6605">
          <cell r="E6605" t="str">
            <v>D25015425</v>
          </cell>
          <cell r="F6605"/>
          <cell r="G6605">
            <v>70000000</v>
          </cell>
          <cell r="H6605" t="str">
            <v>Ariyani</v>
          </cell>
          <cell r="I6605" t="str">
            <v>Fira</v>
          </cell>
          <cell r="J6605" t="str">
            <v>New 21/09/22</v>
          </cell>
          <cell r="K6605" t="str">
            <v>KU</v>
          </cell>
          <cell r="L6605" t="str">
            <v>PUTR40</v>
          </cell>
          <cell r="M6605" t="str">
            <v>Putra Tani/Bayu</v>
          </cell>
          <cell r="N6605" t="str">
            <v>Supadi Ridwan</v>
          </cell>
          <cell r="O6605" t="str">
            <v>Dusun Sumberejo RT.002/RW.002, Kel. Gondoruso Kec. Pasirian</v>
          </cell>
          <cell r="P6605" t="str">
            <v>Lumajang</v>
          </cell>
          <cell r="Q6605" t="str">
            <v>Dusun Sumberejo RT.002/RW.002, Kel. Gondoruso Kec. Pasirian</v>
          </cell>
          <cell r="R6605" t="str">
            <v>Lumajang</v>
          </cell>
          <cell r="S6605" t="str">
            <v>C Lumajang</v>
          </cell>
          <cell r="T6605" t="str">
            <v>Efendi</v>
          </cell>
          <cell r="U6605">
            <v>0</v>
          </cell>
        </row>
        <row r="6606">
          <cell r="E6606" t="str">
            <v>B25013580</v>
          </cell>
          <cell r="F6606"/>
          <cell r="G6606">
            <v>70000000</v>
          </cell>
          <cell r="H6606" t="str">
            <v>Ariyani</v>
          </cell>
          <cell r="I6606" t="str">
            <v>Fira</v>
          </cell>
          <cell r="J6606" t="str">
            <v>New 21/09/22</v>
          </cell>
          <cell r="K6606" t="str">
            <v>KU</v>
          </cell>
          <cell r="L6606" t="str">
            <v>PUTR40</v>
          </cell>
          <cell r="M6606" t="str">
            <v>Putra Tani/Bayu</v>
          </cell>
          <cell r="N6606" t="str">
            <v>Supadi Ridwan</v>
          </cell>
          <cell r="O6606" t="str">
            <v>Dusun Sumberejo RT.002/RW.002, Kel. Gondoruso Kec. Pasirian</v>
          </cell>
          <cell r="P6606" t="str">
            <v>Lumajang</v>
          </cell>
          <cell r="Q6606" t="str">
            <v>Dusun Sumberejo RT.002/RW.002, Kel. Gondoruso Kec. Pasirian</v>
          </cell>
          <cell r="R6606" t="str">
            <v>Lumajang</v>
          </cell>
          <cell r="S6606" t="str">
            <v>C Lumajang</v>
          </cell>
          <cell r="T6606" t="str">
            <v>Efendi</v>
          </cell>
          <cell r="U6606">
            <v>30</v>
          </cell>
        </row>
        <row r="6607">
          <cell r="E6607" t="str">
            <v>D25016058</v>
          </cell>
          <cell r="F6607"/>
          <cell r="G6607">
            <v>70000000</v>
          </cell>
          <cell r="H6607" t="str">
            <v>Ariyani</v>
          </cell>
          <cell r="I6607" t="str">
            <v>Fira</v>
          </cell>
          <cell r="J6607" t="str">
            <v>New 21/09/22</v>
          </cell>
          <cell r="K6607" t="str">
            <v>KU</v>
          </cell>
          <cell r="L6607" t="str">
            <v>PUTR40</v>
          </cell>
          <cell r="M6607" t="str">
            <v>Putra Tani/Bayu</v>
          </cell>
          <cell r="N6607" t="str">
            <v>Supadi Ridwan</v>
          </cell>
          <cell r="O6607" t="str">
            <v>Dusun Sumberejo RT.002/RW.002, Kel. Gondoruso Kec. Pasirian</v>
          </cell>
          <cell r="P6607" t="str">
            <v>Lumajang</v>
          </cell>
          <cell r="Q6607" t="str">
            <v>Dusun Sumberejo RT.002/RW.002, Kel. Gondoruso Kec. Pasirian</v>
          </cell>
          <cell r="R6607" t="str">
            <v>Lumajang</v>
          </cell>
          <cell r="S6607" t="str">
            <v>C Lumajang</v>
          </cell>
          <cell r="T6607" t="str">
            <v>Efendi</v>
          </cell>
          <cell r="U6607">
            <v>30</v>
          </cell>
        </row>
        <row r="6608">
          <cell r="E6608" t="str">
            <v>D25016254</v>
          </cell>
          <cell r="F6608"/>
          <cell r="G6608">
            <v>70000000</v>
          </cell>
          <cell r="H6608" t="str">
            <v>Ariyani</v>
          </cell>
          <cell r="I6608" t="str">
            <v>Fira</v>
          </cell>
          <cell r="J6608" t="str">
            <v>New 21/09/22</v>
          </cell>
          <cell r="K6608" t="str">
            <v>KU</v>
          </cell>
          <cell r="L6608" t="str">
            <v>PUTR40</v>
          </cell>
          <cell r="M6608" t="str">
            <v>Putra Tani/Bayu</v>
          </cell>
          <cell r="N6608" t="str">
            <v>Supadi Ridwan</v>
          </cell>
          <cell r="O6608" t="str">
            <v>Dusun Sumberejo RT.002/RW.002, Kel. Gondoruso Kec. Pasirian</v>
          </cell>
          <cell r="P6608" t="str">
            <v>Lumajang</v>
          </cell>
          <cell r="Q6608" t="str">
            <v>Dusun Sumberejo RT.002/RW.002, Kel. Gondoruso Kec. Pasirian</v>
          </cell>
          <cell r="R6608" t="str">
            <v>Lumajang</v>
          </cell>
          <cell r="S6608" t="str">
            <v>C Lumajang</v>
          </cell>
          <cell r="T6608" t="str">
            <v>Efendi</v>
          </cell>
          <cell r="U6608">
            <v>30</v>
          </cell>
        </row>
        <row r="6609">
          <cell r="E6609" t="str">
            <v>D25016255</v>
          </cell>
          <cell r="F6609"/>
          <cell r="G6609">
            <v>70000000</v>
          </cell>
          <cell r="H6609" t="str">
            <v>Ariyani</v>
          </cell>
          <cell r="I6609" t="str">
            <v>Fira</v>
          </cell>
          <cell r="J6609" t="str">
            <v>New 21/09/22</v>
          </cell>
          <cell r="K6609" t="str">
            <v>KU</v>
          </cell>
          <cell r="L6609" t="str">
            <v>PUTR40</v>
          </cell>
          <cell r="M6609" t="str">
            <v>Putra Tani/Bayu</v>
          </cell>
          <cell r="N6609" t="str">
            <v>Supadi Ridwan</v>
          </cell>
          <cell r="O6609" t="str">
            <v>Dusun Sumberejo RT.002/RW.002, Kel. Gondoruso Kec. Pasirian</v>
          </cell>
          <cell r="P6609" t="str">
            <v>Lumajang</v>
          </cell>
          <cell r="Q6609" t="str">
            <v>Dusun Sumberejo RT.002/RW.002, Kel. Gondoruso Kec. Pasirian</v>
          </cell>
          <cell r="R6609" t="str">
            <v>Lumajang</v>
          </cell>
          <cell r="S6609" t="str">
            <v>C Lumajang</v>
          </cell>
          <cell r="T6609" t="str">
            <v>Efendi</v>
          </cell>
          <cell r="U6609">
            <v>30</v>
          </cell>
        </row>
        <row r="6610">
          <cell r="E6610" t="str">
            <v>D25016256</v>
          </cell>
          <cell r="F6610"/>
          <cell r="G6610">
            <v>70000000</v>
          </cell>
          <cell r="H6610" t="str">
            <v>Ariyani</v>
          </cell>
          <cell r="I6610" t="str">
            <v>Fira</v>
          </cell>
          <cell r="J6610" t="str">
            <v>New 21/09/22</v>
          </cell>
          <cell r="K6610" t="str">
            <v>KU</v>
          </cell>
          <cell r="L6610" t="str">
            <v>PUTR40</v>
          </cell>
          <cell r="M6610" t="str">
            <v>Putra Tani/Bayu</v>
          </cell>
          <cell r="N6610" t="str">
            <v>Supadi Ridwan</v>
          </cell>
          <cell r="O6610" t="str">
            <v>Dusun Sumberejo RT.002/RW.002, Kel. Gondoruso Kec. Pasirian</v>
          </cell>
          <cell r="P6610" t="str">
            <v>Lumajang</v>
          </cell>
          <cell r="Q6610" t="str">
            <v>Dusun Sumberejo RT.002/RW.002, Kel. Gondoruso Kec. Pasirian</v>
          </cell>
          <cell r="R6610" t="str">
            <v>Lumajang</v>
          </cell>
          <cell r="S6610" t="str">
            <v>C Lumajang</v>
          </cell>
          <cell r="T6610" t="str">
            <v>Efendi</v>
          </cell>
          <cell r="U6610">
            <v>30</v>
          </cell>
        </row>
        <row r="6611">
          <cell r="E6611" t="str">
            <v>B25014045</v>
          </cell>
          <cell r="F6611"/>
          <cell r="G6611">
            <v>70000000</v>
          </cell>
          <cell r="H6611" t="str">
            <v>Ariyani</v>
          </cell>
          <cell r="I6611" t="str">
            <v>Fira</v>
          </cell>
          <cell r="J6611" t="str">
            <v>New 21/09/22</v>
          </cell>
          <cell r="K6611" t="str">
            <v>KU</v>
          </cell>
          <cell r="L6611" t="str">
            <v>PUTR40</v>
          </cell>
          <cell r="M6611" t="str">
            <v>Putra Tani/Bayu</v>
          </cell>
          <cell r="N6611" t="str">
            <v>Supadi Ridwan</v>
          </cell>
          <cell r="O6611" t="str">
            <v>Dusun Sumberejo RT.002/RW.002, Kel. Gondoruso Kec. Pasirian</v>
          </cell>
          <cell r="P6611" t="str">
            <v>Lumajang</v>
          </cell>
          <cell r="Q6611" t="str">
            <v>Dusun Sumberejo RT.002/RW.002, Kel. Gondoruso Kec. Pasirian</v>
          </cell>
          <cell r="R6611" t="str">
            <v>Lumajang</v>
          </cell>
          <cell r="S6611" t="str">
            <v>C Lumajang</v>
          </cell>
          <cell r="T6611" t="str">
            <v>Efendi</v>
          </cell>
          <cell r="U6611">
            <v>0</v>
          </cell>
        </row>
        <row r="6612">
          <cell r="E6612" t="str">
            <v>B25011435</v>
          </cell>
          <cell r="F6612"/>
          <cell r="G6612">
            <v>200000000</v>
          </cell>
          <cell r="H6612" t="str">
            <v>Zakia</v>
          </cell>
          <cell r="I6612" t="str">
            <v>Tiya</v>
          </cell>
          <cell r="J6612"/>
          <cell r="K6612" t="str">
            <v>KU</v>
          </cell>
          <cell r="L6612" t="str">
            <v>PUTR42</v>
          </cell>
          <cell r="M6612" t="str">
            <v>Putra Tani/I Putu Agus</v>
          </cell>
          <cell r="N6612" t="str">
            <v>I Putu Agus Adi Putra</v>
          </cell>
          <cell r="O6612" t="str">
            <v>Banjar Anyar Tembles, Kel. Penyaringan, Kec. Mendoyo</v>
          </cell>
          <cell r="P6612" t="str">
            <v>Jembrana -Bali</v>
          </cell>
          <cell r="Q6612" t="str">
            <v>Banjar Anyar Tembles, Kel. Penyaringan, Kec. Mendoyo</v>
          </cell>
          <cell r="R6612" t="str">
            <v>Jembrana -Bali</v>
          </cell>
          <cell r="S6612" t="str">
            <v>S Bali1</v>
          </cell>
          <cell r="T6612" t="str">
            <v>Wira</v>
          </cell>
          <cell r="U6612">
            <v>30</v>
          </cell>
        </row>
        <row r="6613">
          <cell r="E6613" t="str">
            <v>B25012128</v>
          </cell>
          <cell r="F6613"/>
          <cell r="G6613">
            <v>200000000</v>
          </cell>
          <cell r="H6613" t="str">
            <v>Zakia</v>
          </cell>
          <cell r="I6613" t="str">
            <v>Tiya</v>
          </cell>
          <cell r="J6613"/>
          <cell r="K6613" t="str">
            <v>KU</v>
          </cell>
          <cell r="L6613" t="str">
            <v>PUTR42</v>
          </cell>
          <cell r="M6613" t="str">
            <v>Putra Tani/I Putu Agus</v>
          </cell>
          <cell r="N6613" t="str">
            <v>I Putu Agus Adi Putra</v>
          </cell>
          <cell r="O6613" t="str">
            <v>Banjar Anyar Tembles, Kel. Penyaringan, Kec. Mendoyo</v>
          </cell>
          <cell r="P6613" t="str">
            <v>Jembrana -Bali</v>
          </cell>
          <cell r="Q6613" t="str">
            <v>Banjar Anyar Tembles, Kel. Penyaringan, Kec. Mendoyo</v>
          </cell>
          <cell r="R6613" t="str">
            <v>Jembrana -Bali</v>
          </cell>
          <cell r="S6613" t="str">
            <v>S Bali1</v>
          </cell>
          <cell r="T6613" t="str">
            <v>Wira</v>
          </cell>
          <cell r="U6613">
            <v>30</v>
          </cell>
        </row>
        <row r="6614">
          <cell r="E6614" t="str">
            <v>B25012923</v>
          </cell>
          <cell r="F6614"/>
          <cell r="G6614">
            <v>200000000</v>
          </cell>
          <cell r="H6614" t="str">
            <v>Zakia</v>
          </cell>
          <cell r="I6614" t="str">
            <v>Tiya</v>
          </cell>
          <cell r="J6614"/>
          <cell r="K6614" t="str">
            <v>KU</v>
          </cell>
          <cell r="L6614" t="str">
            <v>PUTR42</v>
          </cell>
          <cell r="M6614" t="str">
            <v>Putra Tani/I Putu Agus</v>
          </cell>
          <cell r="N6614" t="str">
            <v>I Putu Agus Adi Putra</v>
          </cell>
          <cell r="O6614" t="str">
            <v>Banjar Anyar Tembles, Kel. Penyaringan, Kec. Mendoyo</v>
          </cell>
          <cell r="P6614" t="str">
            <v>Jembrana -Bali</v>
          </cell>
          <cell r="Q6614" t="str">
            <v>Banjar Anyar Tembles, Kel. Penyaringan, Kec. Mendoyo</v>
          </cell>
          <cell r="R6614" t="str">
            <v>Jembrana -Bali</v>
          </cell>
          <cell r="S6614" t="str">
            <v>S Bali1</v>
          </cell>
          <cell r="T6614" t="str">
            <v>Wira</v>
          </cell>
          <cell r="U6614">
            <v>60</v>
          </cell>
        </row>
        <row r="6615">
          <cell r="E6615" t="str">
            <v>B25012931</v>
          </cell>
          <cell r="F6615"/>
          <cell r="G6615">
            <v>200000000</v>
          </cell>
          <cell r="H6615" t="str">
            <v>Zakia</v>
          </cell>
          <cell r="I6615" t="str">
            <v>Tiya</v>
          </cell>
          <cell r="J6615"/>
          <cell r="K6615" t="str">
            <v>KU</v>
          </cell>
          <cell r="L6615" t="str">
            <v>PUTR42</v>
          </cell>
          <cell r="M6615" t="str">
            <v>Putra Tani/I Putu Agus</v>
          </cell>
          <cell r="N6615" t="str">
            <v>I Putu Agus Adi Putra</v>
          </cell>
          <cell r="O6615" t="str">
            <v>Banjar Anyar Tembles, Kel. Penyaringan, Kec. Mendoyo</v>
          </cell>
          <cell r="P6615" t="str">
            <v>Jembrana -Bali</v>
          </cell>
          <cell r="Q6615" t="str">
            <v>Banjar Anyar Tembles, Kel. Penyaringan, Kec. Mendoyo</v>
          </cell>
          <cell r="R6615" t="str">
            <v>Jembrana -Bali</v>
          </cell>
          <cell r="S6615" t="str">
            <v>S Bali1</v>
          </cell>
          <cell r="T6615" t="str">
            <v>Wira</v>
          </cell>
          <cell r="U6615">
            <v>30</v>
          </cell>
        </row>
        <row r="6616">
          <cell r="E6616" t="str">
            <v>B25012939</v>
          </cell>
          <cell r="F6616"/>
          <cell r="G6616">
            <v>200000000</v>
          </cell>
          <cell r="H6616" t="str">
            <v>Zakia</v>
          </cell>
          <cell r="I6616" t="str">
            <v>Tiya</v>
          </cell>
          <cell r="J6616"/>
          <cell r="K6616" t="str">
            <v>KU</v>
          </cell>
          <cell r="L6616" t="str">
            <v>PUTR42</v>
          </cell>
          <cell r="M6616" t="str">
            <v>Putra Tani/I Putu Agus</v>
          </cell>
          <cell r="N6616" t="str">
            <v>I Putu Agus Adi Putra</v>
          </cell>
          <cell r="O6616" t="str">
            <v>Banjar Anyar Tembles, Kel. Penyaringan, Kec. Mendoyo</v>
          </cell>
          <cell r="P6616" t="str">
            <v>Jembrana -Bali</v>
          </cell>
          <cell r="Q6616" t="str">
            <v>Banjar Anyar Tembles, Kel. Penyaringan, Kec. Mendoyo</v>
          </cell>
          <cell r="R6616" t="str">
            <v>Jembrana -Bali</v>
          </cell>
          <cell r="S6616" t="str">
            <v>S Bali1</v>
          </cell>
          <cell r="T6616" t="str">
            <v>Wira</v>
          </cell>
          <cell r="U6616">
            <v>30</v>
          </cell>
        </row>
        <row r="6617">
          <cell r="E6617" t="str">
            <v>B25013471</v>
          </cell>
          <cell r="F6617"/>
          <cell r="G6617">
            <v>200000000</v>
          </cell>
          <cell r="H6617" t="str">
            <v>Zakia</v>
          </cell>
          <cell r="I6617" t="str">
            <v>Tiya</v>
          </cell>
          <cell r="J6617"/>
          <cell r="K6617" t="str">
            <v>KU</v>
          </cell>
          <cell r="L6617" t="str">
            <v>PUTR42</v>
          </cell>
          <cell r="M6617" t="str">
            <v>Putra Tani/I Putu Agus</v>
          </cell>
          <cell r="N6617" t="str">
            <v>I Putu Agus Adi Putra</v>
          </cell>
          <cell r="O6617" t="str">
            <v>Banjar Anyar Tembles, Kel. Penyaringan, Kec. Mendoyo</v>
          </cell>
          <cell r="P6617" t="str">
            <v>Jembrana -Bali</v>
          </cell>
          <cell r="Q6617" t="str">
            <v>Banjar Anyar Tembles, Kel. Penyaringan, Kec. Mendoyo</v>
          </cell>
          <cell r="R6617" t="str">
            <v>Jembrana -Bali</v>
          </cell>
          <cell r="S6617" t="str">
            <v>S Bali1</v>
          </cell>
          <cell r="T6617" t="str">
            <v>Wira</v>
          </cell>
          <cell r="U6617">
            <v>60</v>
          </cell>
        </row>
        <row r="6618">
          <cell r="E6618" t="str">
            <v>B25013472</v>
          </cell>
          <cell r="F6618"/>
          <cell r="G6618">
            <v>200000000</v>
          </cell>
          <cell r="H6618" t="str">
            <v>Zakia</v>
          </cell>
          <cell r="I6618" t="str">
            <v>Tiya</v>
          </cell>
          <cell r="J6618"/>
          <cell r="K6618" t="str">
            <v>KU</v>
          </cell>
          <cell r="L6618" t="str">
            <v>PUTR42</v>
          </cell>
          <cell r="M6618" t="str">
            <v>Putra Tani/I Putu Agus</v>
          </cell>
          <cell r="N6618" t="str">
            <v>I Putu Agus Adi Putra</v>
          </cell>
          <cell r="O6618" t="str">
            <v>Banjar Anyar Tembles, Kel. Penyaringan, Kec. Mendoyo</v>
          </cell>
          <cell r="P6618" t="str">
            <v>Jembrana -Bali</v>
          </cell>
          <cell r="Q6618" t="str">
            <v>Banjar Anyar Tembles, Kel. Penyaringan, Kec. Mendoyo</v>
          </cell>
          <cell r="R6618" t="str">
            <v>Jembrana -Bali</v>
          </cell>
          <cell r="S6618" t="str">
            <v>S Bali1</v>
          </cell>
          <cell r="T6618" t="str">
            <v>Wira</v>
          </cell>
          <cell r="U6618">
            <v>30</v>
          </cell>
        </row>
        <row r="6619">
          <cell r="E6619" t="str">
            <v>D25016314</v>
          </cell>
          <cell r="F6619"/>
          <cell r="G6619">
            <v>200000000</v>
          </cell>
          <cell r="H6619" t="str">
            <v>Zakia</v>
          </cell>
          <cell r="I6619" t="str">
            <v>Tiya</v>
          </cell>
          <cell r="J6619"/>
          <cell r="K6619" t="str">
            <v>KU</v>
          </cell>
          <cell r="L6619" t="str">
            <v>PUTR42</v>
          </cell>
          <cell r="M6619" t="str">
            <v>Putra Tani/I Putu Agus</v>
          </cell>
          <cell r="N6619" t="str">
            <v>I Putu Agus Adi Putra</v>
          </cell>
          <cell r="O6619" t="str">
            <v>Banjar Anyar Tembles, Kel. Penyaringan, Kec. Mendoyo</v>
          </cell>
          <cell r="P6619" t="str">
            <v>Jembrana -Bali</v>
          </cell>
          <cell r="Q6619" t="str">
            <v>Banjar Anyar Tembles, Kel. Penyaringan, Kec. Mendoyo</v>
          </cell>
          <cell r="R6619" t="str">
            <v>Jembrana -Bali</v>
          </cell>
          <cell r="S6619" t="str">
            <v>S Bali1</v>
          </cell>
          <cell r="T6619" t="str">
            <v>Wira</v>
          </cell>
          <cell r="U6619">
            <v>30</v>
          </cell>
        </row>
        <row r="6620">
          <cell r="E6620" t="str">
            <v>D25016315</v>
          </cell>
          <cell r="F6620"/>
          <cell r="G6620">
            <v>200000000</v>
          </cell>
          <cell r="H6620" t="str">
            <v>Zakia</v>
          </cell>
          <cell r="I6620" t="str">
            <v>Tiya</v>
          </cell>
          <cell r="J6620"/>
          <cell r="K6620" t="str">
            <v>KU</v>
          </cell>
          <cell r="L6620" t="str">
            <v>PUTR42</v>
          </cell>
          <cell r="M6620" t="str">
            <v>Putra Tani/I Putu Agus</v>
          </cell>
          <cell r="N6620" t="str">
            <v>I Putu Agus Adi Putra</v>
          </cell>
          <cell r="O6620" t="str">
            <v>Banjar Anyar Tembles, Kel. Penyaringan, Kec. Mendoyo</v>
          </cell>
          <cell r="P6620" t="str">
            <v>Jembrana -Bali</v>
          </cell>
          <cell r="Q6620" t="str">
            <v>Banjar Anyar Tembles, Kel. Penyaringan, Kec. Mendoyo</v>
          </cell>
          <cell r="R6620" t="str">
            <v>Jembrana -Bali</v>
          </cell>
          <cell r="S6620" t="str">
            <v>S Bali1</v>
          </cell>
          <cell r="T6620" t="str">
            <v>Wira</v>
          </cell>
          <cell r="U6620">
            <v>30</v>
          </cell>
        </row>
        <row r="6621">
          <cell r="E6621" t="str">
            <v>D24016371</v>
          </cell>
          <cell r="F6621"/>
          <cell r="G6621">
            <v>25000000</v>
          </cell>
          <cell r="H6621" t="str">
            <v>Yuyun</v>
          </cell>
          <cell r="I6621" t="str">
            <v>Farida</v>
          </cell>
          <cell r="J6621"/>
          <cell r="K6621" t="str">
            <v>KU</v>
          </cell>
          <cell r="L6621" t="str">
            <v>PUTR08</v>
          </cell>
          <cell r="M6621" t="str">
            <v>Putra Tani/Muzaiyin</v>
          </cell>
          <cell r="N6621" t="str">
            <v>Ach. Muzaiyin</v>
          </cell>
          <cell r="O6621" t="str">
            <v>Jl. Raya Langkap, dsn. Krajan, RT.001/RW.007 Ds. Langkap, Kec. Bangsalsari, Kab. Jember</v>
          </cell>
          <cell r="P6621" t="str">
            <v>Jember</v>
          </cell>
          <cell r="Q6621" t="str">
            <v>Jl. Raya Langkap, dsn. Krajan, RT.001/RW.007 Ds. Langkap, Kec. Bangsalsari, Kab. Jember</v>
          </cell>
          <cell r="R6621" t="str">
            <v>Jember</v>
          </cell>
          <cell r="S6621" t="str">
            <v>L Kota3</v>
          </cell>
          <cell r="T6621" t="str">
            <v>Wira</v>
          </cell>
          <cell r="U6621">
            <v>241</v>
          </cell>
        </row>
        <row r="6622">
          <cell r="E6622" t="str">
            <v>D24016371</v>
          </cell>
          <cell r="F6622"/>
          <cell r="G6622">
            <v>25000000</v>
          </cell>
          <cell r="H6622" t="str">
            <v>Yuyun</v>
          </cell>
          <cell r="I6622" t="str">
            <v>Farida</v>
          </cell>
          <cell r="J6622"/>
          <cell r="K6622" t="str">
            <v>KU</v>
          </cell>
          <cell r="L6622" t="str">
            <v>PUTR08</v>
          </cell>
          <cell r="M6622" t="str">
            <v>Putra Tani/Muzaiyin</v>
          </cell>
          <cell r="N6622" t="str">
            <v>Ach. Muzaiyin</v>
          </cell>
          <cell r="O6622" t="str">
            <v>Jl. Raya Langkap, dsn. Krajan, RT.001/RW.007 Ds. Langkap, Kec. Bangsalsari, Kab. Jember</v>
          </cell>
          <cell r="P6622" t="str">
            <v>Jember</v>
          </cell>
          <cell r="Q6622" t="str">
            <v>Jl. Raya Langkap, dsn. Krajan, RT.001/RW.007 Ds. Langkap, Kec. Bangsalsari, Kab. Jember</v>
          </cell>
          <cell r="R6622" t="str">
            <v>Jember</v>
          </cell>
          <cell r="S6622" t="str">
            <v>L Kota3</v>
          </cell>
          <cell r="T6622" t="str">
            <v>Wira</v>
          </cell>
          <cell r="U6622">
            <v>241</v>
          </cell>
        </row>
        <row r="6623">
          <cell r="E6623" t="str">
            <v>D24016371</v>
          </cell>
          <cell r="F6623"/>
          <cell r="G6623">
            <v>25000000</v>
          </cell>
          <cell r="H6623" t="str">
            <v>Yuyun</v>
          </cell>
          <cell r="I6623" t="str">
            <v>Farida</v>
          </cell>
          <cell r="J6623"/>
          <cell r="K6623" t="str">
            <v>KU</v>
          </cell>
          <cell r="L6623" t="str">
            <v>PUTR08</v>
          </cell>
          <cell r="M6623" t="str">
            <v>Putra Tani/Muzaiyin</v>
          </cell>
          <cell r="N6623" t="str">
            <v>Ach. Muzaiyin</v>
          </cell>
          <cell r="O6623" t="str">
            <v>Jl. Raya Langkap, dsn. Krajan, RT.001/RW.007 Ds. Langkap, Kec. Bangsalsari, Kab. Jember</v>
          </cell>
          <cell r="P6623" t="str">
            <v>Jember</v>
          </cell>
          <cell r="Q6623" t="str">
            <v>Jl. Raya Langkap, dsn. Krajan, RT.001/RW.007 Ds. Langkap, Kec. Bangsalsari, Kab. Jember</v>
          </cell>
          <cell r="R6623" t="str">
            <v>Jember</v>
          </cell>
          <cell r="S6623" t="str">
            <v>L Kota3</v>
          </cell>
          <cell r="T6623" t="str">
            <v>Wira</v>
          </cell>
          <cell r="U6623">
            <v>241</v>
          </cell>
        </row>
        <row r="6624">
          <cell r="E6624" t="str">
            <v>D25010433</v>
          </cell>
          <cell r="F6624"/>
          <cell r="G6624">
            <v>25000000</v>
          </cell>
          <cell r="H6624" t="str">
            <v>Yuyun</v>
          </cell>
          <cell r="I6624" t="str">
            <v>Farida</v>
          </cell>
          <cell r="J6624"/>
          <cell r="K6624" t="str">
            <v>KU</v>
          </cell>
          <cell r="L6624" t="str">
            <v>PUTR08</v>
          </cell>
          <cell r="M6624" t="str">
            <v>Putra Tani/Muzaiyin</v>
          </cell>
          <cell r="N6624" t="str">
            <v>Ach. Muzaiyin</v>
          </cell>
          <cell r="O6624" t="str">
            <v>Jl. Raya Langkap, dsn. Krajan, RT.001/RW.007 Ds. Langkap, Kec. Bangsalsari, Kab. Jember</v>
          </cell>
          <cell r="P6624" t="str">
            <v>Jember</v>
          </cell>
          <cell r="Q6624" t="str">
            <v>Jl. Raya Langkap, dsn. Krajan, RT.001/RW.007 Ds. Langkap, Kec. Bangsalsari, Kab. Jember</v>
          </cell>
          <cell r="R6624" t="str">
            <v>Jember</v>
          </cell>
          <cell r="S6624" t="str">
            <v>L Kota3</v>
          </cell>
          <cell r="T6624" t="str">
            <v>Wira</v>
          </cell>
          <cell r="U6624">
            <v>60</v>
          </cell>
        </row>
        <row r="6625">
          <cell r="E6625" t="str">
            <v>B25009063</v>
          </cell>
          <cell r="F6625"/>
          <cell r="G6625">
            <v>25000000</v>
          </cell>
          <cell r="H6625" t="str">
            <v>Yuyun</v>
          </cell>
          <cell r="I6625" t="str">
            <v>Farida</v>
          </cell>
          <cell r="J6625"/>
          <cell r="K6625" t="str">
            <v>KU</v>
          </cell>
          <cell r="L6625" t="str">
            <v>PUTR08</v>
          </cell>
          <cell r="M6625" t="str">
            <v>Putra Tani/Muzaiyin</v>
          </cell>
          <cell r="N6625" t="str">
            <v>Ach. Muzaiyin</v>
          </cell>
          <cell r="O6625" t="str">
            <v>Jl. Raya Langkap, dsn. Krajan, RT.001/RW.007 Ds. Langkap, Kec. Bangsalsari, Kab. Jember</v>
          </cell>
          <cell r="P6625" t="str">
            <v>Jember</v>
          </cell>
          <cell r="Q6625" t="str">
            <v>Jl. Raya Langkap, dsn. Krajan, RT.001/RW.007 Ds. Langkap, Kec. Bangsalsari, Kab. Jember</v>
          </cell>
          <cell r="R6625" t="str">
            <v>Jember</v>
          </cell>
          <cell r="S6625" t="str">
            <v>L Kota3</v>
          </cell>
          <cell r="T6625" t="str">
            <v>Wira</v>
          </cell>
          <cell r="U6625">
            <v>30</v>
          </cell>
        </row>
        <row r="6626">
          <cell r="E6626" t="str">
            <v>B25009063</v>
          </cell>
          <cell r="F6626"/>
          <cell r="G6626">
            <v>25000000</v>
          </cell>
          <cell r="H6626" t="str">
            <v>Yuyun</v>
          </cell>
          <cell r="I6626" t="str">
            <v>Farida</v>
          </cell>
          <cell r="J6626"/>
          <cell r="K6626" t="str">
            <v>KU</v>
          </cell>
          <cell r="L6626" t="str">
            <v>PUTR08</v>
          </cell>
          <cell r="M6626" t="str">
            <v>Putra Tani/Muzaiyin</v>
          </cell>
          <cell r="N6626" t="str">
            <v>Ach. Muzaiyin</v>
          </cell>
          <cell r="O6626" t="str">
            <v>Jl. Raya Langkap, dsn. Krajan, RT.001/RW.007 Ds. Langkap, Kec. Bangsalsari, Kab. Jember</v>
          </cell>
          <cell r="P6626" t="str">
            <v>Jember</v>
          </cell>
          <cell r="Q6626" t="str">
            <v>Jl. Raya Langkap, dsn. Krajan, RT.001/RW.007 Ds. Langkap, Kec. Bangsalsari, Kab. Jember</v>
          </cell>
          <cell r="R6626" t="str">
            <v>Jember</v>
          </cell>
          <cell r="S6626" t="str">
            <v>L Kota3</v>
          </cell>
          <cell r="T6626" t="str">
            <v>Wira</v>
          </cell>
          <cell r="U6626">
            <v>30</v>
          </cell>
        </row>
        <row r="6627">
          <cell r="E6627" t="str">
            <v>B25009849</v>
          </cell>
          <cell r="F6627"/>
          <cell r="G6627">
            <v>25000000</v>
          </cell>
          <cell r="H6627" t="str">
            <v>Yuyun</v>
          </cell>
          <cell r="I6627" t="str">
            <v>Farida</v>
          </cell>
          <cell r="J6627"/>
          <cell r="K6627" t="str">
            <v>KU</v>
          </cell>
          <cell r="L6627" t="str">
            <v>PUTR08</v>
          </cell>
          <cell r="M6627" t="str">
            <v>Putra Tani/Muzaiyin</v>
          </cell>
          <cell r="N6627" t="str">
            <v>Ach. Muzaiyin</v>
          </cell>
          <cell r="O6627" t="str">
            <v>Jl. Raya Langkap, dsn. Krajan, RT.001/RW.007 Ds. Langkap, Kec. Bangsalsari, Kab. Jember</v>
          </cell>
          <cell r="P6627" t="str">
            <v>Jember</v>
          </cell>
          <cell r="Q6627" t="str">
            <v>Jl. Raya Langkap, dsn. Krajan, RT.001/RW.007 Ds. Langkap, Kec. Bangsalsari, Kab. Jember</v>
          </cell>
          <cell r="R6627" t="str">
            <v>Jember</v>
          </cell>
          <cell r="S6627" t="str">
            <v>L Kota3</v>
          </cell>
          <cell r="T6627" t="str">
            <v>Wira</v>
          </cell>
          <cell r="U6627">
            <v>30</v>
          </cell>
        </row>
        <row r="6628">
          <cell r="E6628" t="str">
            <v>D25013294</v>
          </cell>
          <cell r="F6628"/>
          <cell r="G6628">
            <v>25000000</v>
          </cell>
          <cell r="H6628" t="str">
            <v>Yuyun</v>
          </cell>
          <cell r="I6628" t="str">
            <v>Farida</v>
          </cell>
          <cell r="J6628"/>
          <cell r="K6628" t="str">
            <v>KU</v>
          </cell>
          <cell r="L6628" t="str">
            <v>PUTR08</v>
          </cell>
          <cell r="M6628" t="str">
            <v>Putra Tani/Muzaiyin</v>
          </cell>
          <cell r="N6628" t="str">
            <v>Ach. Muzaiyin</v>
          </cell>
          <cell r="O6628" t="str">
            <v>Jl. Raya Langkap, dsn. Krajan, RT.001/RW.007 Ds. Langkap, Kec. Bangsalsari, Kab. Jember</v>
          </cell>
          <cell r="P6628" t="str">
            <v>Jember</v>
          </cell>
          <cell r="Q6628" t="str">
            <v>Jl. Raya Langkap, dsn. Krajan, RT.001/RW.007 Ds. Langkap, Kec. Bangsalsari, Kab. Jember</v>
          </cell>
          <cell r="R6628" t="str">
            <v>Jember</v>
          </cell>
          <cell r="S6628" t="str">
            <v>L Kota3</v>
          </cell>
          <cell r="T6628" t="str">
            <v>Wira</v>
          </cell>
          <cell r="U6628">
            <v>30</v>
          </cell>
        </row>
        <row r="6629">
          <cell r="E6629" t="str">
            <v>D25013670</v>
          </cell>
          <cell r="F6629"/>
          <cell r="G6629">
            <v>25000000</v>
          </cell>
          <cell r="H6629" t="str">
            <v>Yuyun</v>
          </cell>
          <cell r="I6629" t="str">
            <v>Farida</v>
          </cell>
          <cell r="J6629"/>
          <cell r="K6629" t="str">
            <v>KU</v>
          </cell>
          <cell r="L6629" t="str">
            <v>PUTR08</v>
          </cell>
          <cell r="M6629" t="str">
            <v>Putra Tani/Muzaiyin</v>
          </cell>
          <cell r="N6629" t="str">
            <v>Ach. Muzaiyin</v>
          </cell>
          <cell r="O6629" t="str">
            <v>Jl. Raya Langkap, dsn. Krajan, RT.001/RW.007 Ds. Langkap, Kec. Bangsalsari, Kab. Jember</v>
          </cell>
          <cell r="P6629" t="str">
            <v>Jember</v>
          </cell>
          <cell r="Q6629" t="str">
            <v>Jl. Raya Langkap, dsn. Krajan, RT.001/RW.007 Ds. Langkap, Kec. Bangsalsari, Kab. Jember</v>
          </cell>
          <cell r="R6629" t="str">
            <v>Jember</v>
          </cell>
          <cell r="S6629" t="str">
            <v>L Kota3</v>
          </cell>
          <cell r="T6629" t="str">
            <v>Wira</v>
          </cell>
          <cell r="U6629">
            <v>30</v>
          </cell>
        </row>
        <row r="6630">
          <cell r="E6630" t="str">
            <v>D25013676</v>
          </cell>
          <cell r="F6630"/>
          <cell r="G6630">
            <v>25000000</v>
          </cell>
          <cell r="H6630" t="str">
            <v>Yuyun</v>
          </cell>
          <cell r="I6630" t="str">
            <v>Farida</v>
          </cell>
          <cell r="J6630"/>
          <cell r="K6630" t="str">
            <v>KU</v>
          </cell>
          <cell r="L6630" t="str">
            <v>PUTR08</v>
          </cell>
          <cell r="M6630" t="str">
            <v>Putra Tani/Muzaiyin</v>
          </cell>
          <cell r="N6630" t="str">
            <v>Ach. Muzaiyin</v>
          </cell>
          <cell r="O6630" t="str">
            <v>Jl. Raya Langkap, dsn. Krajan, RT.001/RW.007 Ds. Langkap, Kec. Bangsalsari, Kab. Jember</v>
          </cell>
          <cell r="P6630" t="str">
            <v>Jember</v>
          </cell>
          <cell r="Q6630" t="str">
            <v>Jl. Raya Langkap, dsn. Krajan, RT.001/RW.007 Ds. Langkap, Kec. Bangsalsari, Kab. Jember</v>
          </cell>
          <cell r="R6630" t="str">
            <v>Jember</v>
          </cell>
          <cell r="S6630" t="str">
            <v>L Kota3</v>
          </cell>
          <cell r="T6630" t="str">
            <v>Wira</v>
          </cell>
          <cell r="U6630">
            <v>30</v>
          </cell>
        </row>
        <row r="6631">
          <cell r="E6631" t="str">
            <v>D25014388</v>
          </cell>
          <cell r="F6631"/>
          <cell r="G6631">
            <v>25000000</v>
          </cell>
          <cell r="H6631" t="str">
            <v>Yuyun</v>
          </cell>
          <cell r="I6631" t="str">
            <v>Farida</v>
          </cell>
          <cell r="J6631"/>
          <cell r="K6631" t="str">
            <v>KU</v>
          </cell>
          <cell r="L6631" t="str">
            <v>PUTR08</v>
          </cell>
          <cell r="M6631" t="str">
            <v>Putra Tani/Muzaiyin</v>
          </cell>
          <cell r="N6631" t="str">
            <v>Ach. Muzaiyin</v>
          </cell>
          <cell r="O6631" t="str">
            <v>Jl. Raya Langkap, dsn. Krajan, RT.001/RW.007 Ds. Langkap, Kec. Bangsalsari, Kab. Jember</v>
          </cell>
          <cell r="P6631" t="str">
            <v>Jember</v>
          </cell>
          <cell r="Q6631" t="str">
            <v>Jl. Raya Langkap, dsn. Krajan, RT.001/RW.007 Ds. Langkap, Kec. Bangsalsari, Kab. Jember</v>
          </cell>
          <cell r="R6631" t="str">
            <v>Jember</v>
          </cell>
          <cell r="S6631" t="str">
            <v>L Kota3</v>
          </cell>
          <cell r="T6631" t="str">
            <v>Wira</v>
          </cell>
          <cell r="U6631">
            <v>60</v>
          </cell>
        </row>
        <row r="6632">
          <cell r="E6632" t="str">
            <v>D25014389</v>
          </cell>
          <cell r="F6632"/>
          <cell r="G6632">
            <v>25000000</v>
          </cell>
          <cell r="H6632" t="str">
            <v>Yuyun</v>
          </cell>
          <cell r="I6632" t="str">
            <v>Farida</v>
          </cell>
          <cell r="J6632"/>
          <cell r="K6632" t="str">
            <v>KU</v>
          </cell>
          <cell r="L6632" t="str">
            <v>PUTR08</v>
          </cell>
          <cell r="M6632" t="str">
            <v>Putra Tani/Muzaiyin</v>
          </cell>
          <cell r="N6632" t="str">
            <v>Ach. Muzaiyin</v>
          </cell>
          <cell r="O6632" t="str">
            <v>Jl. Raya Langkap, dsn. Krajan, RT.001/RW.007 Ds. Langkap, Kec. Bangsalsari, Kab. Jember</v>
          </cell>
          <cell r="P6632" t="str">
            <v>Jember</v>
          </cell>
          <cell r="Q6632" t="str">
            <v>Jl. Raya Langkap, dsn. Krajan, RT.001/RW.007 Ds. Langkap, Kec. Bangsalsari, Kab. Jember</v>
          </cell>
          <cell r="R6632" t="str">
            <v>Jember</v>
          </cell>
          <cell r="S6632" t="str">
            <v>L Kota3</v>
          </cell>
          <cell r="T6632" t="str">
            <v>Wira</v>
          </cell>
          <cell r="U6632">
            <v>30</v>
          </cell>
        </row>
        <row r="6633">
          <cell r="E6633" t="str">
            <v>T25001425</v>
          </cell>
          <cell r="F6633"/>
          <cell r="G6633">
            <v>25000000</v>
          </cell>
          <cell r="H6633" t="str">
            <v>Yuyun</v>
          </cell>
          <cell r="I6633" t="str">
            <v>Farida</v>
          </cell>
          <cell r="J6633"/>
          <cell r="K6633" t="str">
            <v>KU</v>
          </cell>
          <cell r="L6633" t="str">
            <v>PUTR08</v>
          </cell>
          <cell r="M6633" t="str">
            <v>Putra Tani/Muzaiyin</v>
          </cell>
          <cell r="N6633" t="str">
            <v>Ach. Muzaiyin</v>
          </cell>
          <cell r="O6633" t="str">
            <v>Jl. Raya Langkap, dsn. Krajan, RT.001/RW.007 Ds. Langkap, Kec. Bangsalsari, Kab. Jember</v>
          </cell>
          <cell r="P6633" t="str">
            <v>Jember</v>
          </cell>
          <cell r="Q6633" t="str">
            <v>Jl. Raya Langkap, dsn. Krajan, RT.001/RW.007 Ds. Langkap, Kec. Bangsalsari, Kab. Jember</v>
          </cell>
          <cell r="R6633" t="str">
            <v>Jember</v>
          </cell>
          <cell r="S6633" t="str">
            <v>L Kota3</v>
          </cell>
          <cell r="T6633" t="str">
            <v>Wira</v>
          </cell>
          <cell r="U6633">
            <v>60</v>
          </cell>
        </row>
        <row r="6634">
          <cell r="E6634" t="str">
            <v>B25012684</v>
          </cell>
          <cell r="F6634"/>
          <cell r="G6634">
            <v>1000</v>
          </cell>
          <cell r="H6634" t="str">
            <v>Reni</v>
          </cell>
          <cell r="I6634" t="str">
            <v>Farida</v>
          </cell>
          <cell r="J6634" t="str">
            <v>New 01/12/23</v>
          </cell>
          <cell r="K6634" t="str">
            <v>KU</v>
          </cell>
          <cell r="L6634" t="str">
            <v>PUTR49</v>
          </cell>
          <cell r="M6634" t="str">
            <v>Putra Tani/Sumali</v>
          </cell>
          <cell r="N6634" t="str">
            <v>Sumali</v>
          </cell>
          <cell r="O6634" t="str">
            <v>Dusun Glidah RT.002/RW.001, Kel. Gampeng, Kec. Ngluyu</v>
          </cell>
          <cell r="P6634" t="str">
            <v>Nganjuk</v>
          </cell>
          <cell r="Q6634" t="str">
            <v>Glidah, Kel. Gampeng, Kec. Ngluyu</v>
          </cell>
          <cell r="R6634" t="str">
            <v>Nganjuk</v>
          </cell>
          <cell r="S6634" t="str">
            <v>D Barat2</v>
          </cell>
          <cell r="T6634" t="str">
            <v>Dian</v>
          </cell>
          <cell r="U6634">
            <v>0</v>
          </cell>
        </row>
        <row r="6635">
          <cell r="E6635" t="str">
            <v>T25001530</v>
          </cell>
          <cell r="F6635"/>
          <cell r="G6635">
            <v>1000</v>
          </cell>
          <cell r="H6635" t="str">
            <v>Reni</v>
          </cell>
          <cell r="I6635" t="str">
            <v>Farida</v>
          </cell>
          <cell r="J6635" t="str">
            <v>New 01/12/23</v>
          </cell>
          <cell r="K6635" t="str">
            <v>KU</v>
          </cell>
          <cell r="L6635" t="str">
            <v>PUTR49</v>
          </cell>
          <cell r="M6635" t="str">
            <v>Putra Tani/Sumali</v>
          </cell>
          <cell r="N6635" t="str">
            <v>Sumali</v>
          </cell>
          <cell r="O6635" t="str">
            <v>Dusun Glidah RT.002/RW.001, Kel. Gampeng, Kec. Ngluyu</v>
          </cell>
          <cell r="P6635" t="str">
            <v>Nganjuk</v>
          </cell>
          <cell r="Q6635" t="str">
            <v>Glidah, Kel. Gampeng, Kec. Ngluyu</v>
          </cell>
          <cell r="R6635" t="str">
            <v>Nganjuk</v>
          </cell>
          <cell r="S6635" t="str">
            <v>D Barat2</v>
          </cell>
          <cell r="T6635" t="str">
            <v>Dian</v>
          </cell>
          <cell r="U6635">
            <v>0</v>
          </cell>
        </row>
        <row r="6636">
          <cell r="E6636" t="str">
            <v>D25014145</v>
          </cell>
          <cell r="F6636"/>
          <cell r="G6636">
            <v>250000000</v>
          </cell>
          <cell r="H6636" t="str">
            <v>Zakia</v>
          </cell>
          <cell r="I6636" t="str">
            <v>Tiya</v>
          </cell>
          <cell r="J6636"/>
          <cell r="K6636" t="str">
            <v>KU</v>
          </cell>
          <cell r="L6636" t="str">
            <v>PUTR11</v>
          </cell>
          <cell r="M6636" t="str">
            <v>Putra Utama, UD/Pramono</v>
          </cell>
          <cell r="N6636" t="str">
            <v>Admi Dwi Ningsih</v>
          </cell>
          <cell r="O6636" t="str">
            <v>Jl. Peselakan I/01, RT.003/RW.004, Kel. Kemayoran, Kec. Bangkalan</v>
          </cell>
          <cell r="P6636" t="str">
            <v>Bangkalan</v>
          </cell>
          <cell r="Q6636" t="str">
            <v>Jl. Halim Perdana Kusuma, Kec. Bangkalan Kab. Bangkalan</v>
          </cell>
          <cell r="R6636" t="str">
            <v>Bangkalan</v>
          </cell>
          <cell r="S6636" t="str">
            <v>M Madura</v>
          </cell>
          <cell r="T6636" t="str">
            <v>Tomi</v>
          </cell>
          <cell r="U6636">
            <v>30</v>
          </cell>
        </row>
        <row r="6637">
          <cell r="E6637" t="str">
            <v>B25013398</v>
          </cell>
          <cell r="F6637"/>
          <cell r="G6637">
            <v>250000000</v>
          </cell>
          <cell r="H6637" t="str">
            <v>Zakia</v>
          </cell>
          <cell r="I6637" t="str">
            <v>Tiya</v>
          </cell>
          <cell r="J6637"/>
          <cell r="K6637" t="str">
            <v>KU</v>
          </cell>
          <cell r="L6637" t="str">
            <v>PUTR11</v>
          </cell>
          <cell r="M6637" t="str">
            <v>Putra Utama, UD/Pramono</v>
          </cell>
          <cell r="N6637" t="str">
            <v>Admi Dwi Ningsih</v>
          </cell>
          <cell r="O6637" t="str">
            <v>Jl. Peselakan I/01, RT.003/RW.004, Kel. Kemayoran, Kec. Bangkalan</v>
          </cell>
          <cell r="P6637" t="str">
            <v>Bangkalan</v>
          </cell>
          <cell r="Q6637" t="str">
            <v>Jl. Halim Perdana Kusuma, Kec. Bangkalan Kab. Bangkalan</v>
          </cell>
          <cell r="R6637" t="str">
            <v>Bangkalan</v>
          </cell>
          <cell r="S6637" t="str">
            <v>M Madura</v>
          </cell>
          <cell r="T6637" t="str">
            <v>Tomi</v>
          </cell>
          <cell r="U6637">
            <v>30</v>
          </cell>
        </row>
        <row r="6638">
          <cell r="E6638" t="str">
            <v>D25014486</v>
          </cell>
          <cell r="F6638"/>
          <cell r="G6638">
            <v>20000000</v>
          </cell>
          <cell r="H6638" t="str">
            <v>Zakia</v>
          </cell>
          <cell r="I6638" t="str">
            <v>Tiya</v>
          </cell>
          <cell r="J6638" t="str">
            <v>New 20/09/22</v>
          </cell>
          <cell r="K6638" t="str">
            <v>COD</v>
          </cell>
          <cell r="L6638" t="str">
            <v>PUTR39</v>
          </cell>
          <cell r="M6638" t="str">
            <v>Putri Dewi/Fatma</v>
          </cell>
          <cell r="N6638" t="str">
            <v>Fatma Lailia Rahma</v>
          </cell>
          <cell r="O6638" t="str">
            <v>Dusun Ringinanom RT.002/RW.004, Kel. Sumberjati Kec. Kademangan</v>
          </cell>
          <cell r="P6638" t="str">
            <v>Blitar</v>
          </cell>
          <cell r="Q6638" t="str">
            <v>Dusun Ringinanom RT.002/RW.004, Kel. Sumberjati Kec. Kademangan</v>
          </cell>
          <cell r="R6638" t="str">
            <v>Blitar</v>
          </cell>
          <cell r="S6638" t="str">
            <v>D Barat2</v>
          </cell>
          <cell r="T6638" t="str">
            <v>Tomi</v>
          </cell>
          <cell r="U6638">
            <v>30</v>
          </cell>
        </row>
        <row r="6639">
          <cell r="E6639" t="str">
            <v>T25001374</v>
          </cell>
          <cell r="F6639"/>
          <cell r="G6639">
            <v>10000000</v>
          </cell>
          <cell r="H6639" t="str">
            <v>Ariyani</v>
          </cell>
          <cell r="I6639" t="str">
            <v>Fira</v>
          </cell>
          <cell r="J6639" t="str">
            <v>New 03/09/21</v>
          </cell>
          <cell r="K6639" t="str">
            <v>KU</v>
          </cell>
          <cell r="L6639" t="str">
            <v>PUTR34</v>
          </cell>
          <cell r="M6639" t="str">
            <v>Putri Rejeki/Saman</v>
          </cell>
          <cell r="N6639" t="str">
            <v>Saman</v>
          </cell>
          <cell r="O6639" t="str">
            <v>Dusun Krajan, RT.004/RW.001, Kel. Sumbersuko, Kec. Dringu</v>
          </cell>
          <cell r="P6639" t="str">
            <v>Probolinggo</v>
          </cell>
          <cell r="Q6639" t="str">
            <v>Dusun Krajan, RT.004/RW.001, Kel. Sumbersuko, Kec. Dringu</v>
          </cell>
          <cell r="R6639" t="str">
            <v>Probolinggo</v>
          </cell>
          <cell r="S6639" t="str">
            <v>G Prob2</v>
          </cell>
          <cell r="T6639" t="str">
            <v>Wira</v>
          </cell>
          <cell r="U6639">
            <v>60</v>
          </cell>
        </row>
        <row r="6640">
          <cell r="E6640" t="str">
            <v>D25014923</v>
          </cell>
          <cell r="F6640"/>
          <cell r="G6640">
            <v>1000</v>
          </cell>
          <cell r="H6640" t="str">
            <v>Yuyun</v>
          </cell>
          <cell r="I6640" t="str">
            <v>Syahra</v>
          </cell>
          <cell r="J6640" t="str">
            <v>New 23/03/20</v>
          </cell>
          <cell r="K6640" t="str">
            <v>KU</v>
          </cell>
          <cell r="L6640" t="str">
            <v>IFOS01</v>
          </cell>
          <cell r="M6640" t="str">
            <v>Putri Tani/Ivo</v>
          </cell>
          <cell r="N6640" t="str">
            <v>Ivo Bastian</v>
          </cell>
          <cell r="O6640" t="str">
            <v>Trotosari, RT.001/RW.001 Kel. Trotosari, Kec. Tlogosari</v>
          </cell>
          <cell r="P6640" t="str">
            <v>Bondowoso</v>
          </cell>
          <cell r="Q6640" t="str">
            <v>Jember</v>
          </cell>
          <cell r="R6640" t="str">
            <v>Jember</v>
          </cell>
          <cell r="S6640" t="str">
            <v>B Agronomis</v>
          </cell>
          <cell r="T6640" t="str">
            <v>Wira</v>
          </cell>
          <cell r="U6640">
            <v>0</v>
          </cell>
        </row>
        <row r="6641">
          <cell r="E6641" t="str">
            <v>T25001291</v>
          </cell>
          <cell r="F6641"/>
          <cell r="G6641">
            <v>10000000</v>
          </cell>
          <cell r="H6641" t="str">
            <v>Reni</v>
          </cell>
          <cell r="I6641" t="str">
            <v>Farida</v>
          </cell>
          <cell r="J6641" t="str">
            <v>New 24/06/20</v>
          </cell>
          <cell r="K6641" t="str">
            <v>KU, Tunai</v>
          </cell>
          <cell r="L6641" t="str">
            <v>PUTR28</v>
          </cell>
          <cell r="M6641" t="str">
            <v>Putro Tani/Supriyanto</v>
          </cell>
          <cell r="N6641" t="str">
            <v>Supriyanto</v>
          </cell>
          <cell r="O6641" t="str">
            <v>Dusun SriketRT.038/RW.004 Kel. Tambakmas, Kec. Kebonsari</v>
          </cell>
          <cell r="P6641" t="str">
            <v>Madiun</v>
          </cell>
          <cell r="Q6641" t="str">
            <v>Dusun SriketRT.038/RW.004 Kel. Tambakmas, Kec. Kebonsari</v>
          </cell>
          <cell r="R6641" t="str">
            <v>Madiun</v>
          </cell>
          <cell r="S6641" t="str">
            <v>D Barat2</v>
          </cell>
          <cell r="T6641" t="str">
            <v>Dian</v>
          </cell>
          <cell r="U6641">
            <v>60</v>
          </cell>
        </row>
        <row r="6642">
          <cell r="E6642" t="str">
            <v>B25012691</v>
          </cell>
          <cell r="F6642"/>
          <cell r="G6642">
            <v>10000000</v>
          </cell>
          <cell r="H6642" t="str">
            <v>Reni</v>
          </cell>
          <cell r="I6642" t="str">
            <v>Farida</v>
          </cell>
          <cell r="J6642" t="str">
            <v>New 24/06/20</v>
          </cell>
          <cell r="K6642" t="str">
            <v>KU, Tunai</v>
          </cell>
          <cell r="L6642" t="str">
            <v>PUTR28</v>
          </cell>
          <cell r="M6642" t="str">
            <v>Putro Tani/Supriyanto</v>
          </cell>
          <cell r="N6642" t="str">
            <v>Supriyanto</v>
          </cell>
          <cell r="O6642" t="str">
            <v>Dusun SriketRT.038/RW.004 Kel. Tambakmas, Kec. Kebonsari</v>
          </cell>
          <cell r="P6642" t="str">
            <v>Madiun</v>
          </cell>
          <cell r="Q6642" t="str">
            <v>Dusun SriketRT.038/RW.004 Kel. Tambakmas, Kec. Kebonsari</v>
          </cell>
          <cell r="R6642" t="str">
            <v>Madiun</v>
          </cell>
          <cell r="S6642" t="str">
            <v>D Barat2</v>
          </cell>
          <cell r="T6642" t="str">
            <v>Dian</v>
          </cell>
          <cell r="U6642">
            <v>60</v>
          </cell>
        </row>
        <row r="6643">
          <cell r="E6643" t="str">
            <v>T25000837</v>
          </cell>
          <cell r="F6643"/>
          <cell r="G6643">
            <v>55000000</v>
          </cell>
          <cell r="H6643" t="str">
            <v>Reni</v>
          </cell>
          <cell r="I6643" t="str">
            <v>Farida</v>
          </cell>
          <cell r="J6643" t="str">
            <v>New 21/02/20</v>
          </cell>
          <cell r="K6643" t="str">
            <v>KU</v>
          </cell>
          <cell r="L6643" t="str">
            <v>RADE01</v>
          </cell>
          <cell r="M6643" t="str">
            <v>Radel Tani</v>
          </cell>
          <cell r="N6643" t="str">
            <v>Suwarno</v>
          </cell>
          <cell r="O6643" t="str">
            <v>Dsn. Sempayang, RT.007/RW.001 Kel. Jaan, Kec. Gondang</v>
          </cell>
          <cell r="P6643" t="str">
            <v>Nganjuk</v>
          </cell>
          <cell r="Q6643" t="str">
            <v>Dsn. Sempayang, RT.007/RW.001 Kel. Jaan, Kec. Gondang</v>
          </cell>
          <cell r="R6643" t="str">
            <v>Nganjuk</v>
          </cell>
          <cell r="S6643" t="str">
            <v>D Barat2</v>
          </cell>
          <cell r="T6643" t="str">
            <v>Dian</v>
          </cell>
          <cell r="U6643">
            <v>60</v>
          </cell>
        </row>
        <row r="6644">
          <cell r="E6644" t="str">
            <v>D25013248</v>
          </cell>
          <cell r="F6644"/>
          <cell r="G6644">
            <v>55000000</v>
          </cell>
          <cell r="H6644" t="str">
            <v>Reni</v>
          </cell>
          <cell r="I6644" t="str">
            <v>Farida</v>
          </cell>
          <cell r="J6644" t="str">
            <v>New 21/02/20</v>
          </cell>
          <cell r="K6644" t="str">
            <v>KU</v>
          </cell>
          <cell r="L6644" t="str">
            <v>RADE01</v>
          </cell>
          <cell r="M6644" t="str">
            <v>Radel Tani</v>
          </cell>
          <cell r="N6644" t="str">
            <v>Suwarno</v>
          </cell>
          <cell r="O6644" t="str">
            <v>Dsn. Sempayang, RT.007/RW.001 Kel. Jaan, Kec. Gondang</v>
          </cell>
          <cell r="P6644" t="str">
            <v>Nganjuk</v>
          </cell>
          <cell r="Q6644" t="str">
            <v>Dsn. Sempayang, RT.007/RW.001 Kel. Jaan, Kec. Gondang</v>
          </cell>
          <cell r="R6644" t="str">
            <v>Nganjuk</v>
          </cell>
          <cell r="S6644" t="str">
            <v>D Barat2</v>
          </cell>
          <cell r="T6644" t="str">
            <v>Dian</v>
          </cell>
          <cell r="U6644">
            <v>60</v>
          </cell>
        </row>
        <row r="6645">
          <cell r="E6645" t="str">
            <v>D25013249</v>
          </cell>
          <cell r="F6645"/>
          <cell r="G6645">
            <v>55000000</v>
          </cell>
          <cell r="H6645" t="str">
            <v>Reni</v>
          </cell>
          <cell r="I6645" t="str">
            <v>Farida</v>
          </cell>
          <cell r="J6645" t="str">
            <v>New 21/02/20</v>
          </cell>
          <cell r="K6645" t="str">
            <v>KU</v>
          </cell>
          <cell r="L6645" t="str">
            <v>RADE01</v>
          </cell>
          <cell r="M6645" t="str">
            <v>Radel Tani</v>
          </cell>
          <cell r="N6645" t="str">
            <v>Suwarno</v>
          </cell>
          <cell r="O6645" t="str">
            <v>Dsn. Sempayang, RT.007/RW.001 Kel. Jaan, Kec. Gondang</v>
          </cell>
          <cell r="P6645" t="str">
            <v>Nganjuk</v>
          </cell>
          <cell r="Q6645" t="str">
            <v>Dsn. Sempayang, RT.007/RW.001 Kel. Jaan, Kec. Gondang</v>
          </cell>
          <cell r="R6645" t="str">
            <v>Nganjuk</v>
          </cell>
          <cell r="S6645" t="str">
            <v>D Barat2</v>
          </cell>
          <cell r="T6645" t="str">
            <v>Dian</v>
          </cell>
          <cell r="U6645">
            <v>60</v>
          </cell>
        </row>
        <row r="6646">
          <cell r="E6646" t="str">
            <v>D25015983</v>
          </cell>
          <cell r="F6646"/>
          <cell r="G6646">
            <v>55000000</v>
          </cell>
          <cell r="H6646" t="str">
            <v>Reni</v>
          </cell>
          <cell r="I6646" t="str">
            <v>Farida</v>
          </cell>
          <cell r="J6646" t="str">
            <v>New 21/02/20</v>
          </cell>
          <cell r="K6646" t="str">
            <v>KU</v>
          </cell>
          <cell r="L6646" t="str">
            <v>RADE01</v>
          </cell>
          <cell r="M6646" t="str">
            <v>Radel Tani</v>
          </cell>
          <cell r="N6646" t="str">
            <v>Suwarno</v>
          </cell>
          <cell r="O6646" t="str">
            <v>Dsn. Sempayang, RT.007/RW.001 Kel. Jaan, Kec. Gondang</v>
          </cell>
          <cell r="P6646" t="str">
            <v>Nganjuk</v>
          </cell>
          <cell r="Q6646" t="str">
            <v>Dsn. Sempayang, RT.007/RW.001 Kel. Jaan, Kec. Gondang</v>
          </cell>
          <cell r="R6646" t="str">
            <v>Nganjuk</v>
          </cell>
          <cell r="S6646" t="str">
            <v>D Barat2</v>
          </cell>
          <cell r="T6646" t="str">
            <v>Dian</v>
          </cell>
          <cell r="U6646">
            <v>60</v>
          </cell>
        </row>
        <row r="6647">
          <cell r="E6647" t="str">
            <v>B25013781</v>
          </cell>
          <cell r="F6647"/>
          <cell r="G6647">
            <v>55000000</v>
          </cell>
          <cell r="H6647" t="str">
            <v>Reni</v>
          </cell>
          <cell r="I6647" t="str">
            <v>Farida</v>
          </cell>
          <cell r="J6647" t="str">
            <v>New 21/02/20</v>
          </cell>
          <cell r="K6647" t="str">
            <v>KU</v>
          </cell>
          <cell r="L6647" t="str">
            <v>RADE01</v>
          </cell>
          <cell r="M6647" t="str">
            <v>Radel Tani</v>
          </cell>
          <cell r="N6647" t="str">
            <v>Suwarno</v>
          </cell>
          <cell r="O6647" t="str">
            <v>Dsn. Sempayang, RT.007/RW.001 Kel. Jaan, Kec. Gondang</v>
          </cell>
          <cell r="P6647" t="str">
            <v>Nganjuk</v>
          </cell>
          <cell r="Q6647" t="str">
            <v>Dsn. Sempayang, RT.007/RW.001 Kel. Jaan, Kec. Gondang</v>
          </cell>
          <cell r="R6647" t="str">
            <v>Nganjuk</v>
          </cell>
          <cell r="S6647" t="str">
            <v>D Barat2</v>
          </cell>
          <cell r="T6647" t="str">
            <v>Dian</v>
          </cell>
          <cell r="U6647">
            <v>60</v>
          </cell>
        </row>
        <row r="6648">
          <cell r="E6648" t="str">
            <v>D25015749</v>
          </cell>
          <cell r="F6648"/>
          <cell r="G6648">
            <v>1000</v>
          </cell>
          <cell r="H6648" t="str">
            <v>Zakia</v>
          </cell>
          <cell r="I6648" t="str">
            <v>Tiya</v>
          </cell>
          <cell r="J6648" t="str">
            <v>New 05/10/22</v>
          </cell>
          <cell r="K6648" t="str">
            <v>KU</v>
          </cell>
          <cell r="L6648" t="str">
            <v>RAGI01</v>
          </cell>
          <cell r="M6648" t="str">
            <v>Ragil tani/Sulistyo</v>
          </cell>
          <cell r="N6648" t="str">
            <v>Sulistyo Utami</v>
          </cell>
          <cell r="O6648" t="str">
            <v>Dsn Gambar RT.002/RW.003, Kel. Wonodadi, Kec. Wonodadi</v>
          </cell>
          <cell r="P6648" t="str">
            <v>Blitar</v>
          </cell>
          <cell r="Q6648" t="str">
            <v>Jl Mh Thamrin, Kec. Wonodadi</v>
          </cell>
          <cell r="R6648" t="str">
            <v>Blitar</v>
          </cell>
          <cell r="S6648" t="str">
            <v>D Barat2</v>
          </cell>
          <cell r="T6648" t="str">
            <v>Tomi</v>
          </cell>
          <cell r="U6648">
            <v>0</v>
          </cell>
        </row>
        <row r="6649">
          <cell r="E6649" t="str">
            <v>D25015759</v>
          </cell>
          <cell r="F6649"/>
          <cell r="G6649">
            <v>1000</v>
          </cell>
          <cell r="H6649" t="str">
            <v>Zakia</v>
          </cell>
          <cell r="I6649" t="str">
            <v>Tiya</v>
          </cell>
          <cell r="J6649" t="str">
            <v>New 05/10/22</v>
          </cell>
          <cell r="K6649" t="str">
            <v>KU</v>
          </cell>
          <cell r="L6649" t="str">
            <v>RAGI01</v>
          </cell>
          <cell r="M6649" t="str">
            <v>Ragil tani/Sulistyo</v>
          </cell>
          <cell r="N6649" t="str">
            <v>Sulistyo Utami</v>
          </cell>
          <cell r="O6649" t="str">
            <v>Dsn Gambar RT.002/RW.003, Kel. Wonodadi, Kec. Wonodadi</v>
          </cell>
          <cell r="P6649" t="str">
            <v>Blitar</v>
          </cell>
          <cell r="Q6649" t="str">
            <v>Jl Mh Thamrin, Kec. Wonodadi</v>
          </cell>
          <cell r="R6649" t="str">
            <v>Blitar</v>
          </cell>
          <cell r="S6649" t="str">
            <v>D Barat2</v>
          </cell>
          <cell r="T6649" t="str">
            <v>Tomi</v>
          </cell>
          <cell r="U6649">
            <v>0</v>
          </cell>
        </row>
        <row r="6650">
          <cell r="E6650" t="str">
            <v>D25016280</v>
          </cell>
          <cell r="F6650"/>
          <cell r="G6650">
            <v>1000</v>
          </cell>
          <cell r="H6650" t="str">
            <v>Reni</v>
          </cell>
          <cell r="I6650" t="str">
            <v>Farida</v>
          </cell>
          <cell r="J6650" t="str">
            <v>New 26/11/19</v>
          </cell>
          <cell r="K6650" t="str">
            <v>KU</v>
          </cell>
          <cell r="L6650" t="str">
            <v>RAHA05</v>
          </cell>
          <cell r="M6650" t="str">
            <v>Rahayu Tani</v>
          </cell>
          <cell r="N6650" t="str">
            <v>Suwito</v>
          </cell>
          <cell r="O6650" t="str">
            <v>Brangkal, RT.007/RW.003 Kel. Banjaransari, Kec. Padas</v>
          </cell>
          <cell r="P6650" t="str">
            <v>Ngawi</v>
          </cell>
          <cell r="Q6650" t="str">
            <v>Brangkal, RT.007/RW.003 Kel. Banjaransari, Kec. Padas</v>
          </cell>
          <cell r="R6650" t="str">
            <v>Ngawi</v>
          </cell>
          <cell r="S6650" t="str">
            <v>D Barat2</v>
          </cell>
          <cell r="T6650" t="str">
            <v>Dian</v>
          </cell>
          <cell r="U6650">
            <v>0</v>
          </cell>
        </row>
        <row r="6651">
          <cell r="E6651" t="str">
            <v>D25014970</v>
          </cell>
          <cell r="F6651"/>
          <cell r="G6651">
            <v>1000</v>
          </cell>
          <cell r="H6651" t="str">
            <v>Zakia</v>
          </cell>
          <cell r="I6651" t="str">
            <v>Tiya</v>
          </cell>
          <cell r="J6651" t="str">
            <v>New 20/02/24</v>
          </cell>
          <cell r="K6651" t="str">
            <v>KU</v>
          </cell>
          <cell r="L6651" t="str">
            <v>RAHA06</v>
          </cell>
          <cell r="M6651" t="str">
            <v>Rahayu, Toko/Hera</v>
          </cell>
          <cell r="N6651" t="str">
            <v>Hera Bhakti Sulistyawan</v>
          </cell>
          <cell r="O6651" t="str">
            <v>Dsn. Mojo RT.001/RW.002, Kel. Mojo, Kec. Mojo</v>
          </cell>
          <cell r="P6651" t="str">
            <v>Kediri</v>
          </cell>
          <cell r="Q6651" t="str">
            <v>Jl. Besuki No. 122A, Kel. Mojo, Kec. Mojo</v>
          </cell>
          <cell r="R6651" t="str">
            <v>Kediri</v>
          </cell>
          <cell r="S6651" t="str">
            <v>D Barat2</v>
          </cell>
          <cell r="T6651" t="str">
            <v>Tomi</v>
          </cell>
          <cell r="U6651">
            <v>0</v>
          </cell>
        </row>
        <row r="6652">
          <cell r="E6652" t="str">
            <v>B25012844</v>
          </cell>
          <cell r="F6652"/>
          <cell r="G6652">
            <v>1000</v>
          </cell>
          <cell r="H6652" t="str">
            <v>Zakia</v>
          </cell>
          <cell r="I6652" t="str">
            <v>Tiya</v>
          </cell>
          <cell r="J6652" t="str">
            <v>New 20/02/24</v>
          </cell>
          <cell r="K6652" t="str">
            <v>KU</v>
          </cell>
          <cell r="L6652" t="str">
            <v>RAHA06</v>
          </cell>
          <cell r="M6652" t="str">
            <v>Rahayu, Toko/Hera</v>
          </cell>
          <cell r="N6652" t="str">
            <v>Hera Bhakti Sulistyawan</v>
          </cell>
          <cell r="O6652" t="str">
            <v>Dsn. Mojo RT.001/RW.002, Kel. Mojo, Kec. Mojo</v>
          </cell>
          <cell r="P6652" t="str">
            <v>Kediri</v>
          </cell>
          <cell r="Q6652" t="str">
            <v>Jl. Besuki No. 122A, Kel. Mojo, Kec. Mojo</v>
          </cell>
          <cell r="R6652" t="str">
            <v>Kediri</v>
          </cell>
          <cell r="S6652" t="str">
            <v>D Barat2</v>
          </cell>
          <cell r="T6652" t="str">
            <v>Tomi</v>
          </cell>
          <cell r="U6652">
            <v>0</v>
          </cell>
        </row>
        <row r="6653">
          <cell r="E6653" t="str">
            <v>B25012982</v>
          </cell>
          <cell r="F6653"/>
          <cell r="G6653">
            <v>1000</v>
          </cell>
          <cell r="H6653" t="str">
            <v>Zakia</v>
          </cell>
          <cell r="I6653" t="str">
            <v>Tiya</v>
          </cell>
          <cell r="J6653" t="str">
            <v>New 20/02/24</v>
          </cell>
          <cell r="K6653" t="str">
            <v>KU</v>
          </cell>
          <cell r="L6653" t="str">
            <v>RAHA06</v>
          </cell>
          <cell r="M6653" t="str">
            <v>Rahayu, Toko/Hera</v>
          </cell>
          <cell r="N6653" t="str">
            <v>Hera Bhakti Sulistyawan</v>
          </cell>
          <cell r="O6653" t="str">
            <v>Dsn. Mojo RT.001/RW.002, Kel. Mojo, Kec. Mojo</v>
          </cell>
          <cell r="P6653" t="str">
            <v>Kediri</v>
          </cell>
          <cell r="Q6653" t="str">
            <v>Jl. Besuki No. 122A, Kel. Mojo, Kec. Mojo</v>
          </cell>
          <cell r="R6653" t="str">
            <v>Kediri</v>
          </cell>
          <cell r="S6653" t="str">
            <v>D Barat2</v>
          </cell>
          <cell r="T6653" t="str">
            <v>Tomi</v>
          </cell>
          <cell r="U6653">
            <v>0</v>
          </cell>
        </row>
        <row r="6654">
          <cell r="E6654" t="str">
            <v>D25015513</v>
          </cell>
          <cell r="F6654"/>
          <cell r="G6654">
            <v>1000</v>
          </cell>
          <cell r="H6654" t="str">
            <v>Zakia</v>
          </cell>
          <cell r="I6654" t="str">
            <v>Tiya</v>
          </cell>
          <cell r="J6654" t="str">
            <v>New 20/02/24</v>
          </cell>
          <cell r="K6654" t="str">
            <v>KU</v>
          </cell>
          <cell r="L6654" t="str">
            <v>RAHA06</v>
          </cell>
          <cell r="M6654" t="str">
            <v>Rahayu, Toko/Hera</v>
          </cell>
          <cell r="N6654" t="str">
            <v>Hera Bhakti Sulistyawan</v>
          </cell>
          <cell r="O6654" t="str">
            <v>Dsn. Mojo RT.001/RW.002, Kel. Mojo, Kec. Mojo</v>
          </cell>
          <cell r="P6654" t="str">
            <v>Kediri</v>
          </cell>
          <cell r="Q6654" t="str">
            <v>Jl. Besuki No. 122A, Kel. Mojo, Kec. Mojo</v>
          </cell>
          <cell r="R6654" t="str">
            <v>Kediri</v>
          </cell>
          <cell r="S6654" t="str">
            <v>D Barat2</v>
          </cell>
          <cell r="T6654" t="str">
            <v>Tomi</v>
          </cell>
          <cell r="U6654">
            <v>0</v>
          </cell>
        </row>
        <row r="6655">
          <cell r="E6655" t="str">
            <v>D25015514</v>
          </cell>
          <cell r="F6655"/>
          <cell r="G6655">
            <v>1000</v>
          </cell>
          <cell r="H6655" t="str">
            <v>Zakia</v>
          </cell>
          <cell r="I6655" t="str">
            <v>Tiya</v>
          </cell>
          <cell r="J6655" t="str">
            <v>New 20/02/24</v>
          </cell>
          <cell r="K6655" t="str">
            <v>KU</v>
          </cell>
          <cell r="L6655" t="str">
            <v>RAHA06</v>
          </cell>
          <cell r="M6655" t="str">
            <v>Rahayu, Toko/Hera</v>
          </cell>
          <cell r="N6655" t="str">
            <v>Hera Bhakti Sulistyawan</v>
          </cell>
          <cell r="O6655" t="str">
            <v>Dsn. Mojo RT.001/RW.002, Kel. Mojo, Kec. Mojo</v>
          </cell>
          <cell r="P6655" t="str">
            <v>Kediri</v>
          </cell>
          <cell r="Q6655" t="str">
            <v>Jl. Besuki No. 122A, Kel. Mojo, Kec. Mojo</v>
          </cell>
          <cell r="R6655" t="str">
            <v>Kediri</v>
          </cell>
          <cell r="S6655" t="str">
            <v>D Barat2</v>
          </cell>
          <cell r="T6655" t="str">
            <v>Tomi</v>
          </cell>
          <cell r="U6655">
            <v>0</v>
          </cell>
        </row>
        <row r="6656">
          <cell r="E6656" t="str">
            <v>B25006464</v>
          </cell>
          <cell r="F6656"/>
          <cell r="G6656">
            <v>5000000</v>
          </cell>
          <cell r="H6656" t="str">
            <v>Reni</v>
          </cell>
          <cell r="I6656" t="str">
            <v>Farida</v>
          </cell>
          <cell r="J6656"/>
          <cell r="K6656" t="str">
            <v>KU, Tunai</v>
          </cell>
          <cell r="L6656" t="str">
            <v>RAHA03</v>
          </cell>
          <cell r="M6656" t="str">
            <v>Rahayu/Sutadji</v>
          </cell>
          <cell r="N6656" t="str">
            <v>Sutadji</v>
          </cell>
          <cell r="O6656" t="str">
            <v>Dsn. Sukomulyo, RT.002/RW.002 Kel. Blimbing, Kec. Gudo</v>
          </cell>
          <cell r="P6656" t="str">
            <v>Jombang</v>
          </cell>
          <cell r="Q6656" t="str">
            <v>Dsn. Sukomulyo, RT.002/RW.002 Kel. Blimbing, Kec. Gudo</v>
          </cell>
          <cell r="R6656" t="str">
            <v>Jombang</v>
          </cell>
          <cell r="S6656" t="str">
            <v>D Barat2</v>
          </cell>
          <cell r="T6656" t="str">
            <v>Tomi</v>
          </cell>
          <cell r="U6656">
            <v>60</v>
          </cell>
        </row>
        <row r="6657">
          <cell r="E6657" t="str">
            <v>B25012726</v>
          </cell>
          <cell r="F6657"/>
          <cell r="G6657">
            <v>5000000</v>
          </cell>
          <cell r="H6657" t="str">
            <v>Reni</v>
          </cell>
          <cell r="I6657" t="str">
            <v>Farida</v>
          </cell>
          <cell r="J6657"/>
          <cell r="K6657" t="str">
            <v>KU, Tunai</v>
          </cell>
          <cell r="L6657" t="str">
            <v>RAHA03</v>
          </cell>
          <cell r="M6657" t="str">
            <v>Rahayu/Sutadji</v>
          </cell>
          <cell r="N6657" t="str">
            <v>Sutadji</v>
          </cell>
          <cell r="O6657" t="str">
            <v>Dsn. Sukomulyo, RT.002/RW.002 Kel. Blimbing, Kec. Gudo</v>
          </cell>
          <cell r="P6657" t="str">
            <v>Jombang</v>
          </cell>
          <cell r="Q6657" t="str">
            <v>Dsn. Sukomulyo, RT.002/RW.002 Kel. Blimbing, Kec. Gudo</v>
          </cell>
          <cell r="R6657" t="str">
            <v>Jombang</v>
          </cell>
          <cell r="S6657" t="str">
            <v>D Barat2</v>
          </cell>
          <cell r="T6657" t="str">
            <v>Tomi</v>
          </cell>
          <cell r="U6657">
            <v>60</v>
          </cell>
        </row>
        <row r="6658">
          <cell r="E6658" t="str">
            <v>D25006531</v>
          </cell>
          <cell r="F6658"/>
          <cell r="G6658">
            <v>100000000</v>
          </cell>
          <cell r="H6658" t="str">
            <v>Yuyun</v>
          </cell>
          <cell r="I6658" t="str">
            <v>Farida</v>
          </cell>
          <cell r="J6658"/>
          <cell r="K6658" t="str">
            <v>KU</v>
          </cell>
          <cell r="L6658" t="str">
            <v>RAHM02</v>
          </cell>
          <cell r="M6658" t="str">
            <v>Rahma Tani, CV</v>
          </cell>
          <cell r="N6658" t="str">
            <v>Ghufron</v>
          </cell>
          <cell r="O6658" t="str">
            <v>Jl. Jayanegara Krajan, RT.001/RW.021 Pecoro - Rambipuji</v>
          </cell>
          <cell r="P6658" t="str">
            <v>Jember</v>
          </cell>
          <cell r="Q6658" t="str">
            <v>Ds. Pecoro, Kec. Rambi</v>
          </cell>
          <cell r="R6658" t="str">
            <v>Jember</v>
          </cell>
          <cell r="S6658" t="str">
            <v>L Kota3</v>
          </cell>
          <cell r="T6658" t="str">
            <v>Wira</v>
          </cell>
          <cell r="U6658">
            <v>178</v>
          </cell>
        </row>
        <row r="6659">
          <cell r="E6659" t="str">
            <v>B25005697</v>
          </cell>
          <cell r="F6659"/>
          <cell r="G6659">
            <v>100000000</v>
          </cell>
          <cell r="H6659" t="str">
            <v>Yuyun</v>
          </cell>
          <cell r="I6659" t="str">
            <v>Farida</v>
          </cell>
          <cell r="J6659"/>
          <cell r="K6659" t="str">
            <v>KU</v>
          </cell>
          <cell r="L6659" t="str">
            <v>RAHM02</v>
          </cell>
          <cell r="M6659" t="str">
            <v>Rahma Tani, CV</v>
          </cell>
          <cell r="N6659" t="str">
            <v>Ghufron</v>
          </cell>
          <cell r="O6659" t="str">
            <v>Jl. Jayanegara Krajan, RT.001/RW.021 Pecoro - Rambipuji</v>
          </cell>
          <cell r="P6659" t="str">
            <v>Jember</v>
          </cell>
          <cell r="Q6659" t="str">
            <v>Ds. Pecoro, Kec. Rambi</v>
          </cell>
          <cell r="R6659" t="str">
            <v>Jember</v>
          </cell>
          <cell r="S6659" t="str">
            <v>L Kota3</v>
          </cell>
          <cell r="T6659" t="str">
            <v>Wira</v>
          </cell>
          <cell r="U6659">
            <v>150</v>
          </cell>
        </row>
        <row r="6660">
          <cell r="E6660" t="str">
            <v>D25008325</v>
          </cell>
          <cell r="F6660"/>
          <cell r="G6660">
            <v>100000000</v>
          </cell>
          <cell r="H6660" t="str">
            <v>Yuyun</v>
          </cell>
          <cell r="I6660" t="str">
            <v>Farida</v>
          </cell>
          <cell r="J6660"/>
          <cell r="K6660" t="str">
            <v>KU</v>
          </cell>
          <cell r="L6660" t="str">
            <v>RAHM02</v>
          </cell>
          <cell r="M6660" t="str">
            <v>Rahma Tani, CV</v>
          </cell>
          <cell r="N6660" t="str">
            <v>Ghufron</v>
          </cell>
          <cell r="O6660" t="str">
            <v>Jl. Jayanegara Krajan, RT.001/RW.021 Pecoro - Rambipuji</v>
          </cell>
          <cell r="P6660" t="str">
            <v>Jember</v>
          </cell>
          <cell r="Q6660" t="str">
            <v>Ds. Pecoro, Kec. Rambi</v>
          </cell>
          <cell r="R6660" t="str">
            <v>Jember</v>
          </cell>
          <cell r="S6660" t="str">
            <v>L Kota3</v>
          </cell>
          <cell r="T6660" t="str">
            <v>Wira</v>
          </cell>
          <cell r="U6660">
            <v>149</v>
          </cell>
        </row>
        <row r="6661">
          <cell r="E6661" t="str">
            <v>B25007869</v>
          </cell>
          <cell r="F6661"/>
          <cell r="G6661">
            <v>100000000</v>
          </cell>
          <cell r="H6661" t="str">
            <v>Yuyun</v>
          </cell>
          <cell r="I6661" t="str">
            <v>Farida</v>
          </cell>
          <cell r="J6661"/>
          <cell r="K6661" t="str">
            <v>KU</v>
          </cell>
          <cell r="L6661" t="str">
            <v>RAHM02</v>
          </cell>
          <cell r="M6661" t="str">
            <v>Rahma Tani, CV</v>
          </cell>
          <cell r="N6661" t="str">
            <v>Ghufron</v>
          </cell>
          <cell r="O6661" t="str">
            <v>Jl. Jayanegara Krajan, RT.001/RW.021 Pecoro - Rambipuji</v>
          </cell>
          <cell r="P6661" t="str">
            <v>Jember</v>
          </cell>
          <cell r="Q6661" t="str">
            <v>Ds. Pecoro, Kec. Rambi</v>
          </cell>
          <cell r="R6661" t="str">
            <v>Jember</v>
          </cell>
          <cell r="S6661" t="str">
            <v>L Kota3</v>
          </cell>
          <cell r="T6661" t="str">
            <v>Wira</v>
          </cell>
          <cell r="U6661">
            <v>150</v>
          </cell>
        </row>
        <row r="6662">
          <cell r="E6662" t="str">
            <v>D25011164</v>
          </cell>
          <cell r="F6662"/>
          <cell r="G6662">
            <v>100000000</v>
          </cell>
          <cell r="H6662" t="str">
            <v>Yuyun</v>
          </cell>
          <cell r="I6662" t="str">
            <v>Farida</v>
          </cell>
          <cell r="J6662"/>
          <cell r="K6662" t="str">
            <v>KU</v>
          </cell>
          <cell r="L6662" t="str">
            <v>RAHM02</v>
          </cell>
          <cell r="M6662" t="str">
            <v>Rahma Tani, CV</v>
          </cell>
          <cell r="N6662" t="str">
            <v>Ghufron</v>
          </cell>
          <cell r="O6662" t="str">
            <v>Jl. Jayanegara Krajan, RT.001/RW.021 Pecoro - Rambipuji</v>
          </cell>
          <cell r="P6662" t="str">
            <v>Jember</v>
          </cell>
          <cell r="Q6662" t="str">
            <v>Ds. Pecoro, Kec. Rambi</v>
          </cell>
          <cell r="R6662" t="str">
            <v>Jember</v>
          </cell>
          <cell r="S6662" t="str">
            <v>L Kota3</v>
          </cell>
          <cell r="T6662" t="str">
            <v>Wira</v>
          </cell>
          <cell r="U6662">
            <v>97</v>
          </cell>
        </row>
        <row r="6663">
          <cell r="E6663" t="str">
            <v>D25011165</v>
          </cell>
          <cell r="F6663"/>
          <cell r="G6663">
            <v>100000000</v>
          </cell>
          <cell r="H6663" t="str">
            <v>Yuyun</v>
          </cell>
          <cell r="I6663" t="str">
            <v>Farida</v>
          </cell>
          <cell r="J6663"/>
          <cell r="K6663" t="str">
            <v>KU</v>
          </cell>
          <cell r="L6663" t="str">
            <v>RAHM02</v>
          </cell>
          <cell r="M6663" t="str">
            <v>Rahma Tani, CV</v>
          </cell>
          <cell r="N6663" t="str">
            <v>Ghufron</v>
          </cell>
          <cell r="O6663" t="str">
            <v>Jl. Jayanegara Krajan, RT.001/RW.021 Pecoro - Rambipuji</v>
          </cell>
          <cell r="P6663" t="str">
            <v>Jember</v>
          </cell>
          <cell r="Q6663" t="str">
            <v>Ds. Pecoro, Kec. Rambi</v>
          </cell>
          <cell r="R6663" t="str">
            <v>Jember</v>
          </cell>
          <cell r="S6663" t="str">
            <v>L Kota3</v>
          </cell>
          <cell r="T6663" t="str">
            <v>Wira</v>
          </cell>
          <cell r="U6663">
            <v>60</v>
          </cell>
        </row>
        <row r="6664">
          <cell r="E6664" t="str">
            <v>D25012943</v>
          </cell>
          <cell r="F6664"/>
          <cell r="G6664">
            <v>100000000</v>
          </cell>
          <cell r="H6664" t="str">
            <v>Yuyun</v>
          </cell>
          <cell r="I6664" t="str">
            <v>Farida</v>
          </cell>
          <cell r="J6664"/>
          <cell r="K6664" t="str">
            <v>KU</v>
          </cell>
          <cell r="L6664" t="str">
            <v>RAHM02</v>
          </cell>
          <cell r="M6664" t="str">
            <v>Rahma Tani, CV</v>
          </cell>
          <cell r="N6664" t="str">
            <v>Ghufron</v>
          </cell>
          <cell r="O6664" t="str">
            <v>Jl. Jayanegara Krajan, RT.001/RW.021 Pecoro - Rambipuji</v>
          </cell>
          <cell r="P6664" t="str">
            <v>Jember</v>
          </cell>
          <cell r="Q6664" t="str">
            <v>Ds. Pecoro, Kec. Rambi</v>
          </cell>
          <cell r="R6664" t="str">
            <v>Jember</v>
          </cell>
          <cell r="S6664" t="str">
            <v>L Kota3</v>
          </cell>
          <cell r="T6664" t="str">
            <v>Wira</v>
          </cell>
          <cell r="U6664">
            <v>30</v>
          </cell>
        </row>
        <row r="6665">
          <cell r="E6665" t="str">
            <v>D25013482</v>
          </cell>
          <cell r="F6665"/>
          <cell r="G6665">
            <v>100000000</v>
          </cell>
          <cell r="H6665" t="str">
            <v>Yuyun</v>
          </cell>
          <cell r="I6665" t="str">
            <v>Farida</v>
          </cell>
          <cell r="J6665"/>
          <cell r="K6665" t="str">
            <v>KU</v>
          </cell>
          <cell r="L6665" t="str">
            <v>RAHM02</v>
          </cell>
          <cell r="M6665" t="str">
            <v>Rahma Tani, CV</v>
          </cell>
          <cell r="N6665" t="str">
            <v>Ghufron</v>
          </cell>
          <cell r="O6665" t="str">
            <v>Jl. Jayanegara Krajan, RT.001/RW.021 Pecoro - Rambipuji</v>
          </cell>
          <cell r="P6665" t="str">
            <v>Jember</v>
          </cell>
          <cell r="Q6665" t="str">
            <v>Ds. Pecoro, Kec. Rambi</v>
          </cell>
          <cell r="R6665" t="str">
            <v>Jember</v>
          </cell>
          <cell r="S6665" t="str">
            <v>L Kota3</v>
          </cell>
          <cell r="T6665" t="str">
            <v>Wira</v>
          </cell>
          <cell r="U6665">
            <v>30</v>
          </cell>
        </row>
        <row r="6666">
          <cell r="E6666" t="str">
            <v>B25013799</v>
          </cell>
          <cell r="F6666"/>
          <cell r="G6666">
            <v>200000000</v>
          </cell>
          <cell r="H6666" t="str">
            <v>Zakia</v>
          </cell>
          <cell r="I6666" t="str">
            <v>Tiya</v>
          </cell>
          <cell r="J6666"/>
          <cell r="K6666" t="str">
            <v>KU</v>
          </cell>
          <cell r="L6666" t="str">
            <v>RAHM03</v>
          </cell>
          <cell r="M6666" t="str">
            <v>Rahma Tani/Rahma</v>
          </cell>
          <cell r="N6666" t="str">
            <v>Gunawan Setyono, SP</v>
          </cell>
          <cell r="O6666" t="str">
            <v>Dinas Kehutanan Prov. Bali, Sumerta Klod Denpasar Timur</v>
          </cell>
          <cell r="P6666" t="str">
            <v>Denpasar</v>
          </cell>
          <cell r="Q6666" t="str">
            <v>Seririt</v>
          </cell>
          <cell r="R6666" t="str">
            <v>Bali</v>
          </cell>
          <cell r="S6666" t="str">
            <v>S Bali1</v>
          </cell>
          <cell r="T6666" t="str">
            <v>Wira</v>
          </cell>
          <cell r="U6666">
            <v>30</v>
          </cell>
        </row>
        <row r="6667">
          <cell r="E6667" t="str">
            <v>B25011977</v>
          </cell>
          <cell r="F6667"/>
          <cell r="G6667">
            <v>75000000</v>
          </cell>
          <cell r="H6667" t="str">
            <v>Ariyani</v>
          </cell>
          <cell r="I6667" t="str">
            <v>Fira</v>
          </cell>
          <cell r="J6667"/>
          <cell r="K6667" t="str">
            <v>KU</v>
          </cell>
          <cell r="L6667" t="str">
            <v>RAHM04</v>
          </cell>
          <cell r="M6667" t="str">
            <v>Rahma, UD</v>
          </cell>
          <cell r="N6667" t="str">
            <v>Fatmawati</v>
          </cell>
          <cell r="O6667" t="str">
            <v>Jl. Raya Anyar, RT.013/RW.003 Kalanganyar, Sedati, Kab. Sidoarjo</v>
          </cell>
          <cell r="P6667" t="str">
            <v>Sidoarjo</v>
          </cell>
          <cell r="Q6667" t="str">
            <v>Raya Kalanganyar, RT.013/RW.003 Kec. Sedati</v>
          </cell>
          <cell r="R6667" t="str">
            <v>Sidoarjo</v>
          </cell>
          <cell r="S6667" t="str">
            <v>F Utara1</v>
          </cell>
          <cell r="T6667" t="str">
            <v>Tomi</v>
          </cell>
          <cell r="U6667">
            <v>30</v>
          </cell>
        </row>
        <row r="6668">
          <cell r="E6668" t="str">
            <v>B25012020</v>
          </cell>
          <cell r="F6668"/>
          <cell r="G6668">
            <v>75000000</v>
          </cell>
          <cell r="H6668" t="str">
            <v>Ariyani</v>
          </cell>
          <cell r="I6668" t="str">
            <v>Fira</v>
          </cell>
          <cell r="J6668"/>
          <cell r="K6668" t="str">
            <v>KU</v>
          </cell>
          <cell r="L6668" t="str">
            <v>RAHM04</v>
          </cell>
          <cell r="M6668" t="str">
            <v>Rahma, UD</v>
          </cell>
          <cell r="N6668" t="str">
            <v>Fatmawati</v>
          </cell>
          <cell r="O6668" t="str">
            <v>Jl. Raya Anyar, RT.013/RW.003 Kalanganyar, Sedati, Kab. Sidoarjo</v>
          </cell>
          <cell r="P6668" t="str">
            <v>Sidoarjo</v>
          </cell>
          <cell r="Q6668" t="str">
            <v>Raya Kalanganyar, RT.013/RW.003 Kec. Sedati</v>
          </cell>
          <cell r="R6668" t="str">
            <v>Sidoarjo</v>
          </cell>
          <cell r="S6668" t="str">
            <v>F Utara1</v>
          </cell>
          <cell r="T6668" t="str">
            <v>Tomi</v>
          </cell>
          <cell r="U6668">
            <v>30</v>
          </cell>
        </row>
        <row r="6669">
          <cell r="E6669" t="str">
            <v>D25015046</v>
          </cell>
          <cell r="F6669"/>
          <cell r="G6669">
            <v>1000</v>
          </cell>
          <cell r="H6669" t="str">
            <v>Yuyun</v>
          </cell>
          <cell r="I6669" t="str">
            <v>Syahra</v>
          </cell>
          <cell r="J6669"/>
          <cell r="K6669" t="str">
            <v>KU</v>
          </cell>
          <cell r="L6669" t="str">
            <v>RAHM22</v>
          </cell>
          <cell r="M6669" t="str">
            <v>Rahmat Suyudi/Excel</v>
          </cell>
          <cell r="N6669" t="str">
            <v>Rahmat Suyudi</v>
          </cell>
          <cell r="O6669" t="str">
            <v>Perum Karangrejo Asri Blok B 34 RT.004/RW.006, Kel. Karangrejo, Kec. Sumbersari</v>
          </cell>
          <cell r="P6669" t="str">
            <v>Jember</v>
          </cell>
          <cell r="Q6669" t="str">
            <v>Sumbersari</v>
          </cell>
          <cell r="R6669" t="str">
            <v>Jember</v>
          </cell>
          <cell r="S6669" t="str">
            <v>B Agronomis</v>
          </cell>
          <cell r="T6669" t="str">
            <v>Wira</v>
          </cell>
          <cell r="U6669">
            <v>0</v>
          </cell>
        </row>
        <row r="6670">
          <cell r="E6670" t="str">
            <v>D25013576</v>
          </cell>
          <cell r="F6670"/>
          <cell r="G6670">
            <v>5000000000</v>
          </cell>
          <cell r="H6670" t="str">
            <v>Yuyun</v>
          </cell>
          <cell r="I6670" t="str">
            <v>Farida</v>
          </cell>
          <cell r="J6670"/>
          <cell r="K6670" t="str">
            <v>KU</v>
          </cell>
          <cell r="L6670" t="str">
            <v>RAJA02</v>
          </cell>
          <cell r="M6670" t="str">
            <v>Rajawali/Arif</v>
          </cell>
          <cell r="N6670" t="str">
            <v>Arif Widiarto Witjaksono</v>
          </cell>
          <cell r="O6670" t="str">
            <v>Puger 29, RT.001/RW.002, Balung Lor Balung</v>
          </cell>
          <cell r="P6670" t="str">
            <v>Jember</v>
          </cell>
          <cell r="Q6670" t="str">
            <v>Puger 29, RT.001/RW.002, Balung Lor Balung</v>
          </cell>
          <cell r="R6670" t="str">
            <v>Jember</v>
          </cell>
          <cell r="S6670" t="str">
            <v>L Kota3</v>
          </cell>
          <cell r="T6670" t="str">
            <v>Wira</v>
          </cell>
          <cell r="U6670">
            <v>30</v>
          </cell>
        </row>
        <row r="6671">
          <cell r="E6671" t="str">
            <v>D25013805</v>
          </cell>
          <cell r="F6671"/>
          <cell r="G6671">
            <v>5000000000</v>
          </cell>
          <cell r="H6671" t="str">
            <v>Yuyun</v>
          </cell>
          <cell r="I6671" t="str">
            <v>Farida</v>
          </cell>
          <cell r="J6671"/>
          <cell r="K6671" t="str">
            <v>KU</v>
          </cell>
          <cell r="L6671" t="str">
            <v>RAJA02</v>
          </cell>
          <cell r="M6671" t="str">
            <v>Rajawali/Arif</v>
          </cell>
          <cell r="N6671" t="str">
            <v>Arif Widiarto Witjaksono</v>
          </cell>
          <cell r="O6671" t="str">
            <v>Puger 29, RT.001/RW.002, Balung Lor Balung</v>
          </cell>
          <cell r="P6671" t="str">
            <v>Jember</v>
          </cell>
          <cell r="Q6671" t="str">
            <v>Puger 29, RT.001/RW.002, Balung Lor Balung</v>
          </cell>
          <cell r="R6671" t="str">
            <v>Jember</v>
          </cell>
          <cell r="S6671" t="str">
            <v>L Kota3</v>
          </cell>
          <cell r="T6671" t="str">
            <v>Wira</v>
          </cell>
          <cell r="U6671">
            <v>30</v>
          </cell>
        </row>
        <row r="6672">
          <cell r="E6672" t="str">
            <v>D25013805</v>
          </cell>
          <cell r="F6672"/>
          <cell r="G6672">
            <v>5000000000</v>
          </cell>
          <cell r="H6672" t="str">
            <v>Yuyun</v>
          </cell>
          <cell r="I6672" t="str">
            <v>Farida</v>
          </cell>
          <cell r="J6672"/>
          <cell r="K6672" t="str">
            <v>KU</v>
          </cell>
          <cell r="L6672" t="str">
            <v>RAJA02</v>
          </cell>
          <cell r="M6672" t="str">
            <v>Rajawali/Arif</v>
          </cell>
          <cell r="N6672" t="str">
            <v>Arif Widiarto Witjaksono</v>
          </cell>
          <cell r="O6672" t="str">
            <v>Puger 29, RT.001/RW.002, Balung Lor Balung</v>
          </cell>
          <cell r="P6672" t="str">
            <v>Jember</v>
          </cell>
          <cell r="Q6672" t="str">
            <v>Puger 29, RT.001/RW.002, Balung Lor Balung</v>
          </cell>
          <cell r="R6672" t="str">
            <v>Jember</v>
          </cell>
          <cell r="S6672" t="str">
            <v>L Kota3</v>
          </cell>
          <cell r="T6672" t="str">
            <v>Wira</v>
          </cell>
          <cell r="U6672">
            <v>30</v>
          </cell>
        </row>
        <row r="6673">
          <cell r="E6673" t="str">
            <v>D25013805</v>
          </cell>
          <cell r="F6673"/>
          <cell r="G6673">
            <v>5000000000</v>
          </cell>
          <cell r="H6673" t="str">
            <v>Yuyun</v>
          </cell>
          <cell r="I6673" t="str">
            <v>Farida</v>
          </cell>
          <cell r="J6673"/>
          <cell r="K6673" t="str">
            <v>KU</v>
          </cell>
          <cell r="L6673" t="str">
            <v>RAJA02</v>
          </cell>
          <cell r="M6673" t="str">
            <v>Rajawali/Arif</v>
          </cell>
          <cell r="N6673" t="str">
            <v>Arif Widiarto Witjaksono</v>
          </cell>
          <cell r="O6673" t="str">
            <v>Puger 29, RT.001/RW.002, Balung Lor Balung</v>
          </cell>
          <cell r="P6673" t="str">
            <v>Jember</v>
          </cell>
          <cell r="Q6673" t="str">
            <v>Puger 29, RT.001/RW.002, Balung Lor Balung</v>
          </cell>
          <cell r="R6673" t="str">
            <v>Jember</v>
          </cell>
          <cell r="S6673" t="str">
            <v>L Kota3</v>
          </cell>
          <cell r="T6673" t="str">
            <v>Wira</v>
          </cell>
          <cell r="U6673">
            <v>30</v>
          </cell>
        </row>
        <row r="6674">
          <cell r="E6674" t="str">
            <v>D25015867</v>
          </cell>
          <cell r="F6674"/>
          <cell r="G6674">
            <v>5000000000</v>
          </cell>
          <cell r="H6674" t="str">
            <v>Yuyun</v>
          </cell>
          <cell r="I6674" t="str">
            <v>Farida</v>
          </cell>
          <cell r="J6674"/>
          <cell r="K6674" t="str">
            <v>KU</v>
          </cell>
          <cell r="L6674" t="str">
            <v>RAJA02</v>
          </cell>
          <cell r="M6674" t="str">
            <v>Rajawali/Arif</v>
          </cell>
          <cell r="N6674" t="str">
            <v>Arif Widiarto Witjaksono</v>
          </cell>
          <cell r="O6674" t="str">
            <v>Puger 29, RT.001/RW.002, Balung Lor Balung</v>
          </cell>
          <cell r="P6674" t="str">
            <v>Jember</v>
          </cell>
          <cell r="Q6674" t="str">
            <v>Puger 29, RT.001/RW.002, Balung Lor Balung</v>
          </cell>
          <cell r="R6674" t="str">
            <v>Jember</v>
          </cell>
          <cell r="S6674" t="str">
            <v>L Kota3</v>
          </cell>
          <cell r="T6674" t="str">
            <v>Wira</v>
          </cell>
          <cell r="U6674">
            <v>30</v>
          </cell>
        </row>
        <row r="6675">
          <cell r="E6675" t="str">
            <v>B25012874</v>
          </cell>
          <cell r="F6675"/>
          <cell r="G6675">
            <v>30000000</v>
          </cell>
          <cell r="H6675" t="str">
            <v>Yuyun</v>
          </cell>
          <cell r="I6675" t="str">
            <v>Syahra</v>
          </cell>
          <cell r="J6675"/>
          <cell r="K6675" t="str">
            <v>KU</v>
          </cell>
          <cell r="L6675" t="str">
            <v>TRI02</v>
          </cell>
          <cell r="M6675" t="str">
            <v>Ramai Jaya/Tri</v>
          </cell>
          <cell r="N6675" t="str">
            <v>Mei Triyono</v>
          </cell>
          <cell r="O6675" t="str">
            <v>Dsn. Godan Barat, RT.002/RW.001 Godan, Tawangharjo</v>
          </cell>
          <cell r="P6675" t="str">
            <v>Grobogan</v>
          </cell>
          <cell r="Q6675" t="str">
            <v>Gumukmas</v>
          </cell>
          <cell r="R6675" t="str">
            <v>Jember</v>
          </cell>
          <cell r="S6675" t="str">
            <v>B Agronomis</v>
          </cell>
          <cell r="T6675" t="str">
            <v>Efendi</v>
          </cell>
          <cell r="U6675">
            <v>0</v>
          </cell>
        </row>
        <row r="6676">
          <cell r="E6676" t="str">
            <v>B25013021</v>
          </cell>
          <cell r="F6676"/>
          <cell r="G6676">
            <v>30000000</v>
          </cell>
          <cell r="H6676" t="str">
            <v>Yuyun</v>
          </cell>
          <cell r="I6676" t="str">
            <v>Syahra</v>
          </cell>
          <cell r="J6676"/>
          <cell r="K6676" t="str">
            <v>KU</v>
          </cell>
          <cell r="L6676" t="str">
            <v>TRI02</v>
          </cell>
          <cell r="M6676" t="str">
            <v>Ramai Jaya/Tri</v>
          </cell>
          <cell r="N6676" t="str">
            <v>Mei Triyono</v>
          </cell>
          <cell r="O6676" t="str">
            <v>Dsn. Godan Barat, RT.002/RW.001 Godan, Tawangharjo</v>
          </cell>
          <cell r="P6676" t="str">
            <v>Grobogan</v>
          </cell>
          <cell r="Q6676" t="str">
            <v>Gumukmas</v>
          </cell>
          <cell r="R6676" t="str">
            <v>Jember</v>
          </cell>
          <cell r="S6676" t="str">
            <v>B Agronomis</v>
          </cell>
          <cell r="T6676" t="str">
            <v>Efendi</v>
          </cell>
          <cell r="U6676">
            <v>30</v>
          </cell>
        </row>
        <row r="6677">
          <cell r="E6677" t="str">
            <v>B25013061</v>
          </cell>
          <cell r="F6677"/>
          <cell r="G6677">
            <v>1000</v>
          </cell>
          <cell r="H6677" t="str">
            <v>Yuyun</v>
          </cell>
          <cell r="I6677" t="str">
            <v>Syahra</v>
          </cell>
          <cell r="J6677" t="str">
            <v>New 17/05/24</v>
          </cell>
          <cell r="K6677" t="str">
            <v>COD</v>
          </cell>
          <cell r="L6677" t="str">
            <v>RAME01</v>
          </cell>
          <cell r="M6677" t="str">
            <v>Rame Jaya/Cholisoh</v>
          </cell>
          <cell r="N6677" t="str">
            <v>Cholisoh</v>
          </cell>
          <cell r="O6677" t="str">
            <v>Dusun Teko'an RT.003/RW.010, Kel. Tanggul Kulon, Kec. Tanggul</v>
          </cell>
          <cell r="P6677" t="str">
            <v>Jember</v>
          </cell>
          <cell r="Q6677" t="str">
            <v>Randu Agung</v>
          </cell>
          <cell r="R6677" t="str">
            <v>Lumajang</v>
          </cell>
          <cell r="S6677" t="str">
            <v>C Lumajang</v>
          </cell>
          <cell r="T6677" t="str">
            <v>Wira</v>
          </cell>
          <cell r="U6677">
            <v>0</v>
          </cell>
        </row>
        <row r="6678">
          <cell r="E6678" t="str">
            <v>Z25002157</v>
          </cell>
          <cell r="F6678"/>
          <cell r="G6678">
            <v>150000000</v>
          </cell>
          <cell r="H6678" t="str">
            <v>Yuyun</v>
          </cell>
          <cell r="I6678" t="str">
            <v>Farida</v>
          </cell>
          <cell r="J6678"/>
          <cell r="K6678" t="str">
            <v>Tunai</v>
          </cell>
          <cell r="L6678" t="str">
            <v>RASK01</v>
          </cell>
          <cell r="M6678" t="str">
            <v>Raska, UD</v>
          </cell>
          <cell r="N6678" t="str">
            <v>Doni Sumariyono</v>
          </cell>
          <cell r="O6678" t="str">
            <v>Perum Sumbersari Permai II Blok. K-1, RT.001/RW.021, Kel. Karanjingan, Kec. Sumbersari</v>
          </cell>
          <cell r="P6678" t="str">
            <v>Jember</v>
          </cell>
          <cell r="Q6678" t="str">
            <v>Promo Ampel, Wuluhan</v>
          </cell>
          <cell r="R6678" t="str">
            <v>Jember</v>
          </cell>
          <cell r="S6678" t="str">
            <v>L Kota2</v>
          </cell>
          <cell r="T6678" t="str">
            <v>Wira</v>
          </cell>
          <cell r="U6678">
            <v>30</v>
          </cell>
        </row>
        <row r="6679">
          <cell r="E6679" t="str">
            <v>Z25002177</v>
          </cell>
          <cell r="F6679"/>
          <cell r="G6679">
            <v>150000000</v>
          </cell>
          <cell r="H6679" t="str">
            <v>Yuyun</v>
          </cell>
          <cell r="I6679" t="str">
            <v>Farida</v>
          </cell>
          <cell r="J6679"/>
          <cell r="K6679" t="str">
            <v>Tunai</v>
          </cell>
          <cell r="L6679" t="str">
            <v>RASK01</v>
          </cell>
          <cell r="M6679" t="str">
            <v>Raska, UD</v>
          </cell>
          <cell r="N6679" t="str">
            <v>Doni Sumariyono</v>
          </cell>
          <cell r="O6679" t="str">
            <v>Perum Sumbersari Permai II Blok. K-1, RT.001/RW.021, Kel. Karanjingan, Kec. Sumbersari</v>
          </cell>
          <cell r="P6679" t="str">
            <v>Jember</v>
          </cell>
          <cell r="Q6679" t="str">
            <v>Promo Ampel, Wuluhan</v>
          </cell>
          <cell r="R6679" t="str">
            <v>Jember</v>
          </cell>
          <cell r="S6679" t="str">
            <v>L Kota2</v>
          </cell>
          <cell r="T6679" t="str">
            <v>Wira</v>
          </cell>
          <cell r="U6679">
            <v>30</v>
          </cell>
        </row>
        <row r="6680">
          <cell r="E6680" t="str">
            <v>Z25002201</v>
          </cell>
          <cell r="F6680"/>
          <cell r="G6680">
            <v>150000000</v>
          </cell>
          <cell r="H6680" t="str">
            <v>Yuyun</v>
          </cell>
          <cell r="I6680" t="str">
            <v>Farida</v>
          </cell>
          <cell r="J6680"/>
          <cell r="K6680" t="str">
            <v>Tunai</v>
          </cell>
          <cell r="L6680" t="str">
            <v>RASK01</v>
          </cell>
          <cell r="M6680" t="str">
            <v>Raska, UD</v>
          </cell>
          <cell r="N6680" t="str">
            <v>Doni Sumariyono</v>
          </cell>
          <cell r="O6680" t="str">
            <v>Perum Sumbersari Permai II Blok. K-1, RT.001/RW.021, Kel. Karanjingan, Kec. Sumbersari</v>
          </cell>
          <cell r="P6680" t="str">
            <v>Jember</v>
          </cell>
          <cell r="Q6680" t="str">
            <v>Promo Ampel, Wuluhan</v>
          </cell>
          <cell r="R6680" t="str">
            <v>Jember</v>
          </cell>
          <cell r="S6680" t="str">
            <v>L Kota2</v>
          </cell>
          <cell r="T6680" t="str">
            <v>Wira</v>
          </cell>
          <cell r="U6680">
            <v>30</v>
          </cell>
        </row>
        <row r="6681">
          <cell r="E6681" t="str">
            <v>Z25002222</v>
          </cell>
          <cell r="F6681"/>
          <cell r="G6681">
            <v>150000000</v>
          </cell>
          <cell r="H6681" t="str">
            <v>Yuyun</v>
          </cell>
          <cell r="I6681" t="str">
            <v>Farida</v>
          </cell>
          <cell r="J6681"/>
          <cell r="K6681" t="str">
            <v>Tunai</v>
          </cell>
          <cell r="L6681" t="str">
            <v>RASK01</v>
          </cell>
          <cell r="M6681" t="str">
            <v>Raska, UD</v>
          </cell>
          <cell r="N6681" t="str">
            <v>Doni Sumariyono</v>
          </cell>
          <cell r="O6681" t="str">
            <v>Perum Sumbersari Permai II Blok. K-1, RT.001/RW.021, Kel. Karanjingan, Kec. Sumbersari</v>
          </cell>
          <cell r="P6681" t="str">
            <v>Jember</v>
          </cell>
          <cell r="Q6681" t="str">
            <v>Promo Ampel, Wuluhan</v>
          </cell>
          <cell r="R6681" t="str">
            <v>Jember</v>
          </cell>
          <cell r="S6681" t="str">
            <v>L Kota2</v>
          </cell>
          <cell r="T6681" t="str">
            <v>Wira</v>
          </cell>
          <cell r="U6681">
            <v>30</v>
          </cell>
        </row>
        <row r="6682">
          <cell r="E6682" t="str">
            <v>Z25002253</v>
          </cell>
          <cell r="F6682"/>
          <cell r="G6682">
            <v>150000000</v>
          </cell>
          <cell r="H6682" t="str">
            <v>Yuyun</v>
          </cell>
          <cell r="I6682" t="str">
            <v>Farida</v>
          </cell>
          <cell r="J6682"/>
          <cell r="K6682" t="str">
            <v>Tunai</v>
          </cell>
          <cell r="L6682" t="str">
            <v>RASK01</v>
          </cell>
          <cell r="M6682" t="str">
            <v>Raska, UD</v>
          </cell>
          <cell r="N6682" t="str">
            <v>Doni Sumariyono</v>
          </cell>
          <cell r="O6682" t="str">
            <v>Perum Sumbersari Permai II Blok. K-1, RT.001/RW.021, Kel. Karanjingan, Kec. Sumbersari</v>
          </cell>
          <cell r="P6682" t="str">
            <v>Jember</v>
          </cell>
          <cell r="Q6682" t="str">
            <v>Promo Ampel, Wuluhan</v>
          </cell>
          <cell r="R6682" t="str">
            <v>Jember</v>
          </cell>
          <cell r="S6682" t="str">
            <v>L Kota2</v>
          </cell>
          <cell r="T6682" t="str">
            <v>Wira</v>
          </cell>
          <cell r="U6682">
            <v>30</v>
          </cell>
        </row>
        <row r="6683">
          <cell r="E6683" t="str">
            <v>Z25002293</v>
          </cell>
          <cell r="F6683"/>
          <cell r="G6683">
            <v>150000000</v>
          </cell>
          <cell r="H6683" t="str">
            <v>Yuyun</v>
          </cell>
          <cell r="I6683" t="str">
            <v>Farida</v>
          </cell>
          <cell r="J6683"/>
          <cell r="K6683" t="str">
            <v>Tunai</v>
          </cell>
          <cell r="L6683" t="str">
            <v>RASK01</v>
          </cell>
          <cell r="M6683" t="str">
            <v>Raska, UD</v>
          </cell>
          <cell r="N6683" t="str">
            <v>Doni Sumariyono</v>
          </cell>
          <cell r="O6683" t="str">
            <v>Perum Sumbersari Permai II Blok. K-1, RT.001/RW.021, Kel. Karanjingan, Kec. Sumbersari</v>
          </cell>
          <cell r="P6683" t="str">
            <v>Jember</v>
          </cell>
          <cell r="Q6683" t="str">
            <v>Promo Ampel, Wuluhan</v>
          </cell>
          <cell r="R6683" t="str">
            <v>Jember</v>
          </cell>
          <cell r="S6683" t="str">
            <v>L Kota2</v>
          </cell>
          <cell r="T6683" t="str">
            <v>Wira</v>
          </cell>
          <cell r="U6683">
            <v>30</v>
          </cell>
        </row>
        <row r="6684">
          <cell r="E6684" t="str">
            <v>Z25002307</v>
          </cell>
          <cell r="F6684"/>
          <cell r="G6684">
            <v>150000000</v>
          </cell>
          <cell r="H6684" t="str">
            <v>Yuyun</v>
          </cell>
          <cell r="I6684" t="str">
            <v>Farida</v>
          </cell>
          <cell r="J6684"/>
          <cell r="K6684" t="str">
            <v>Tunai</v>
          </cell>
          <cell r="L6684" t="str">
            <v>RASK01</v>
          </cell>
          <cell r="M6684" t="str">
            <v>Raska, UD</v>
          </cell>
          <cell r="N6684" t="str">
            <v>Doni Sumariyono</v>
          </cell>
          <cell r="O6684" t="str">
            <v>Perum Sumbersari Permai II Blok. K-1, RT.001/RW.021, Kel. Karanjingan, Kec. Sumbersari</v>
          </cell>
          <cell r="P6684" t="str">
            <v>Jember</v>
          </cell>
          <cell r="Q6684" t="str">
            <v>Promo Ampel, Wuluhan</v>
          </cell>
          <cell r="R6684" t="str">
            <v>Jember</v>
          </cell>
          <cell r="S6684" t="str">
            <v>L Kota2</v>
          </cell>
          <cell r="T6684" t="str">
            <v>Wira</v>
          </cell>
          <cell r="U6684">
            <v>30</v>
          </cell>
        </row>
        <row r="6685">
          <cell r="E6685" t="str">
            <v>Z25002314</v>
          </cell>
          <cell r="F6685"/>
          <cell r="G6685">
            <v>150000000</v>
          </cell>
          <cell r="H6685" t="str">
            <v>Yuyun</v>
          </cell>
          <cell r="I6685" t="str">
            <v>Farida</v>
          </cell>
          <cell r="J6685"/>
          <cell r="K6685" t="str">
            <v>Tunai</v>
          </cell>
          <cell r="L6685" t="str">
            <v>RASK01</v>
          </cell>
          <cell r="M6685" t="str">
            <v>Raska, UD</v>
          </cell>
          <cell r="N6685" t="str">
            <v>Doni Sumariyono</v>
          </cell>
          <cell r="O6685" t="str">
            <v>Perum Sumbersari Permai II Blok. K-1, RT.001/RW.021, Kel. Karanjingan, Kec. Sumbersari</v>
          </cell>
          <cell r="P6685" t="str">
            <v>Jember</v>
          </cell>
          <cell r="Q6685" t="str">
            <v>Promo Ampel, Wuluhan</v>
          </cell>
          <cell r="R6685" t="str">
            <v>Jember</v>
          </cell>
          <cell r="S6685" t="str">
            <v>L Kota2</v>
          </cell>
          <cell r="T6685" t="str">
            <v>Wira</v>
          </cell>
          <cell r="U6685">
            <v>30</v>
          </cell>
        </row>
        <row r="6686">
          <cell r="E6686" t="str">
            <v>Z25002332</v>
          </cell>
          <cell r="F6686"/>
          <cell r="G6686">
            <v>150000000</v>
          </cell>
          <cell r="H6686" t="str">
            <v>Yuyun</v>
          </cell>
          <cell r="I6686" t="str">
            <v>Farida</v>
          </cell>
          <cell r="J6686"/>
          <cell r="K6686" t="str">
            <v>Tunai</v>
          </cell>
          <cell r="L6686" t="str">
            <v>RASK01</v>
          </cell>
          <cell r="M6686" t="str">
            <v>Raska, UD</v>
          </cell>
          <cell r="N6686" t="str">
            <v>Doni Sumariyono</v>
          </cell>
          <cell r="O6686" t="str">
            <v>Perum Sumbersari Permai II Blok. K-1, RT.001/RW.021, Kel. Karanjingan, Kec. Sumbersari</v>
          </cell>
          <cell r="P6686" t="str">
            <v>Jember</v>
          </cell>
          <cell r="Q6686" t="str">
            <v>Promo Ampel, Wuluhan</v>
          </cell>
          <cell r="R6686" t="str">
            <v>Jember</v>
          </cell>
          <cell r="S6686" t="str">
            <v>L Kota2</v>
          </cell>
          <cell r="T6686" t="str">
            <v>Wira</v>
          </cell>
          <cell r="U6686">
            <v>30</v>
          </cell>
        </row>
        <row r="6687">
          <cell r="E6687" t="str">
            <v>Z25002349</v>
          </cell>
          <cell r="F6687"/>
          <cell r="G6687">
            <v>150000000</v>
          </cell>
          <cell r="H6687" t="str">
            <v>Yuyun</v>
          </cell>
          <cell r="I6687" t="str">
            <v>Farida</v>
          </cell>
          <cell r="J6687"/>
          <cell r="K6687" t="str">
            <v>Tunai</v>
          </cell>
          <cell r="L6687" t="str">
            <v>RASK01</v>
          </cell>
          <cell r="M6687" t="str">
            <v>Raska, UD</v>
          </cell>
          <cell r="N6687" t="str">
            <v>Doni Sumariyono</v>
          </cell>
          <cell r="O6687" t="str">
            <v>Perum Sumbersari Permai II Blok. K-1, RT.001/RW.021, Kel. Karanjingan, Kec. Sumbersari</v>
          </cell>
          <cell r="P6687" t="str">
            <v>Jember</v>
          </cell>
          <cell r="Q6687" t="str">
            <v>Promo Ampel, Wuluhan</v>
          </cell>
          <cell r="R6687" t="str">
            <v>Jember</v>
          </cell>
          <cell r="S6687" t="str">
            <v>L Kota2</v>
          </cell>
          <cell r="T6687" t="str">
            <v>Wira</v>
          </cell>
          <cell r="U6687">
            <v>30</v>
          </cell>
        </row>
        <row r="6688">
          <cell r="E6688" t="str">
            <v>Z25002350</v>
          </cell>
          <cell r="F6688"/>
          <cell r="G6688">
            <v>150000000</v>
          </cell>
          <cell r="H6688" t="str">
            <v>Yuyun</v>
          </cell>
          <cell r="I6688" t="str">
            <v>Farida</v>
          </cell>
          <cell r="J6688"/>
          <cell r="K6688" t="str">
            <v>Tunai</v>
          </cell>
          <cell r="L6688" t="str">
            <v>RASK01</v>
          </cell>
          <cell r="M6688" t="str">
            <v>Raska, UD</v>
          </cell>
          <cell r="N6688" t="str">
            <v>Doni Sumariyono</v>
          </cell>
          <cell r="O6688" t="str">
            <v>Perum Sumbersari Permai II Blok. K-1, RT.001/RW.021, Kel. Karanjingan, Kec. Sumbersari</v>
          </cell>
          <cell r="P6688" t="str">
            <v>Jember</v>
          </cell>
          <cell r="Q6688" t="str">
            <v>Promo Ampel, Wuluhan</v>
          </cell>
          <cell r="R6688" t="str">
            <v>Jember</v>
          </cell>
          <cell r="S6688" t="str">
            <v>L Kota2</v>
          </cell>
          <cell r="T6688" t="str">
            <v>Wira</v>
          </cell>
          <cell r="U6688">
            <v>30</v>
          </cell>
        </row>
        <row r="6689">
          <cell r="E6689" t="str">
            <v>Z25002426</v>
          </cell>
          <cell r="F6689"/>
          <cell r="G6689">
            <v>150000000</v>
          </cell>
          <cell r="H6689" t="str">
            <v>Yuyun</v>
          </cell>
          <cell r="I6689" t="str">
            <v>Farida</v>
          </cell>
          <cell r="J6689"/>
          <cell r="K6689" t="str">
            <v>Tunai</v>
          </cell>
          <cell r="L6689" t="str">
            <v>RASK01</v>
          </cell>
          <cell r="M6689" t="str">
            <v>Raska, UD</v>
          </cell>
          <cell r="N6689" t="str">
            <v>Doni Sumariyono</v>
          </cell>
          <cell r="O6689" t="str">
            <v>Perum Sumbersari Permai II Blok. K-1, RT.001/RW.021, Kel. Karanjingan, Kec. Sumbersari</v>
          </cell>
          <cell r="P6689" t="str">
            <v>Jember</v>
          </cell>
          <cell r="Q6689" t="str">
            <v>Promo Ampel, Wuluhan</v>
          </cell>
          <cell r="R6689" t="str">
            <v>Jember</v>
          </cell>
          <cell r="S6689" t="str">
            <v>L Kota2</v>
          </cell>
          <cell r="T6689" t="str">
            <v>Wira</v>
          </cell>
          <cell r="U6689">
            <v>30</v>
          </cell>
        </row>
        <row r="6690">
          <cell r="E6690" t="str">
            <v>Z25002478</v>
          </cell>
          <cell r="F6690"/>
          <cell r="G6690">
            <v>150000000</v>
          </cell>
          <cell r="H6690" t="str">
            <v>Yuyun</v>
          </cell>
          <cell r="I6690" t="str">
            <v>Farida</v>
          </cell>
          <cell r="J6690"/>
          <cell r="K6690" t="str">
            <v>Tunai</v>
          </cell>
          <cell r="L6690" t="str">
            <v>RASK01</v>
          </cell>
          <cell r="M6690" t="str">
            <v>Raska, UD</v>
          </cell>
          <cell r="N6690" t="str">
            <v>Doni Sumariyono</v>
          </cell>
          <cell r="O6690" t="str">
            <v>Perum Sumbersari Permai II Blok. K-1, RT.001/RW.021, Kel. Karanjingan, Kec. Sumbersari</v>
          </cell>
          <cell r="P6690" t="str">
            <v>Jember</v>
          </cell>
          <cell r="Q6690" t="str">
            <v>Promo Ampel, Wuluhan</v>
          </cell>
          <cell r="R6690" t="str">
            <v>Jember</v>
          </cell>
          <cell r="S6690" t="str">
            <v>L Kota2</v>
          </cell>
          <cell r="T6690" t="str">
            <v>Wira</v>
          </cell>
          <cell r="U6690">
            <v>30</v>
          </cell>
        </row>
        <row r="6691">
          <cell r="E6691" t="str">
            <v>Z25002532</v>
          </cell>
          <cell r="F6691"/>
          <cell r="G6691">
            <v>150000000</v>
          </cell>
          <cell r="H6691" t="str">
            <v>Yuyun</v>
          </cell>
          <cell r="I6691" t="str">
            <v>Farida</v>
          </cell>
          <cell r="J6691"/>
          <cell r="K6691" t="str">
            <v>Tunai</v>
          </cell>
          <cell r="L6691" t="str">
            <v>RASK01</v>
          </cell>
          <cell r="M6691" t="str">
            <v>Raska, UD</v>
          </cell>
          <cell r="N6691" t="str">
            <v>Doni Sumariyono</v>
          </cell>
          <cell r="O6691" t="str">
            <v>Perum Sumbersari Permai II Blok. K-1, RT.001/RW.021, Kel. Karanjingan, Kec. Sumbersari</v>
          </cell>
          <cell r="P6691" t="str">
            <v>Jember</v>
          </cell>
          <cell r="Q6691" t="str">
            <v>Promo Ampel, Wuluhan</v>
          </cell>
          <cell r="R6691" t="str">
            <v>Jember</v>
          </cell>
          <cell r="S6691" t="str">
            <v>L Kota2</v>
          </cell>
          <cell r="T6691" t="str">
            <v>Wira</v>
          </cell>
          <cell r="U6691">
            <v>30</v>
          </cell>
        </row>
        <row r="6692">
          <cell r="E6692" t="str">
            <v>Z25002825</v>
          </cell>
          <cell r="F6692"/>
          <cell r="G6692">
            <v>150000000</v>
          </cell>
          <cell r="H6692" t="str">
            <v>Yuyun</v>
          </cell>
          <cell r="I6692" t="str">
            <v>Farida</v>
          </cell>
          <cell r="J6692"/>
          <cell r="K6692" t="str">
            <v>Tunai</v>
          </cell>
          <cell r="L6692" t="str">
            <v>RASK01</v>
          </cell>
          <cell r="M6692" t="str">
            <v>Raska, UD</v>
          </cell>
          <cell r="N6692" t="str">
            <v>Doni Sumariyono</v>
          </cell>
          <cell r="O6692" t="str">
            <v>Perum Sumbersari Permai II Blok. K-1, RT.001/RW.021, Kel. Karanjingan, Kec. Sumbersari</v>
          </cell>
          <cell r="P6692" t="str">
            <v>Jember</v>
          </cell>
          <cell r="Q6692" t="str">
            <v>Promo Ampel, Wuluhan</v>
          </cell>
          <cell r="R6692" t="str">
            <v>Jember</v>
          </cell>
          <cell r="S6692" t="str">
            <v>L Kota2</v>
          </cell>
          <cell r="T6692" t="str">
            <v>Wira</v>
          </cell>
          <cell r="U6692">
            <v>30</v>
          </cell>
        </row>
        <row r="6693">
          <cell r="E6693" t="str">
            <v>B25011182</v>
          </cell>
          <cell r="F6693"/>
          <cell r="G6693">
            <v>50000000</v>
          </cell>
          <cell r="H6693" t="str">
            <v>Ariyani</v>
          </cell>
          <cell r="I6693" t="str">
            <v>Fira</v>
          </cell>
          <cell r="J6693"/>
          <cell r="K6693" t="str">
            <v>KU</v>
          </cell>
          <cell r="L6693" t="str">
            <v>RAWA01</v>
          </cell>
          <cell r="M6693" t="str">
            <v>Rawa Indah</v>
          </cell>
          <cell r="N6693" t="str">
            <v>Izzudin</v>
          </cell>
          <cell r="O6693" t="str">
            <v>Jl. Moh. Hatta No.04, RT.001/RW.001 Sembungan Kidul, Dukun, Kab. Gresik</v>
          </cell>
          <cell r="P6693" t="str">
            <v>Gresik</v>
          </cell>
          <cell r="Q6693" t="str">
            <v>Padang, Bandung, Dukun</v>
          </cell>
          <cell r="R6693" t="str">
            <v>Gresik</v>
          </cell>
          <cell r="S6693" t="str">
            <v>F Utara1</v>
          </cell>
          <cell r="T6693" t="str">
            <v>Tomi</v>
          </cell>
          <cell r="U6693">
            <v>60</v>
          </cell>
        </row>
        <row r="6694">
          <cell r="E6694" t="str">
            <v>D25014161</v>
          </cell>
          <cell r="F6694"/>
          <cell r="G6694">
            <v>50000000</v>
          </cell>
          <cell r="H6694" t="str">
            <v>Ariyani</v>
          </cell>
          <cell r="I6694" t="str">
            <v>Fira</v>
          </cell>
          <cell r="J6694"/>
          <cell r="K6694" t="str">
            <v>KU</v>
          </cell>
          <cell r="L6694" t="str">
            <v>RAWA01</v>
          </cell>
          <cell r="M6694" t="str">
            <v>Rawa Indah</v>
          </cell>
          <cell r="N6694" t="str">
            <v>Izzudin</v>
          </cell>
          <cell r="O6694" t="str">
            <v>Jl. Moh. Hatta No.04, RT.001/RW.001 Sembungan Kidul, Dukun, Kab. Gresik</v>
          </cell>
          <cell r="P6694" t="str">
            <v>Gresik</v>
          </cell>
          <cell r="Q6694" t="str">
            <v>Padang, Bandung, Dukun</v>
          </cell>
          <cell r="R6694" t="str">
            <v>Gresik</v>
          </cell>
          <cell r="S6694" t="str">
            <v>F Utara1</v>
          </cell>
          <cell r="T6694" t="str">
            <v>Tomi</v>
          </cell>
          <cell r="U6694">
            <v>30</v>
          </cell>
        </row>
        <row r="6695">
          <cell r="E6695" t="str">
            <v>D25014304</v>
          </cell>
          <cell r="F6695"/>
          <cell r="G6695">
            <v>50000000</v>
          </cell>
          <cell r="H6695" t="str">
            <v>Ariyani</v>
          </cell>
          <cell r="I6695" t="str">
            <v>Fira</v>
          </cell>
          <cell r="J6695"/>
          <cell r="K6695" t="str">
            <v>KU</v>
          </cell>
          <cell r="L6695" t="str">
            <v>RAWA01</v>
          </cell>
          <cell r="M6695" t="str">
            <v>Rawa Indah</v>
          </cell>
          <cell r="N6695" t="str">
            <v>Izzudin</v>
          </cell>
          <cell r="O6695" t="str">
            <v>Jl. Moh. Hatta No.04, RT.001/RW.001 Sembungan Kidul, Dukun, Kab. Gresik</v>
          </cell>
          <cell r="P6695" t="str">
            <v>Gresik</v>
          </cell>
          <cell r="Q6695" t="str">
            <v>Padang, Bandung, Dukun</v>
          </cell>
          <cell r="R6695" t="str">
            <v>Gresik</v>
          </cell>
          <cell r="S6695" t="str">
            <v>F Utara1</v>
          </cell>
          <cell r="T6695" t="str">
            <v>Tomi</v>
          </cell>
          <cell r="U6695">
            <v>0</v>
          </cell>
        </row>
        <row r="6696">
          <cell r="E6696" t="str">
            <v>B25012645</v>
          </cell>
          <cell r="F6696"/>
          <cell r="G6696">
            <v>50000000</v>
          </cell>
          <cell r="H6696" t="str">
            <v>Ariyani</v>
          </cell>
          <cell r="I6696" t="str">
            <v>Fira</v>
          </cell>
          <cell r="J6696"/>
          <cell r="K6696" t="str">
            <v>KU</v>
          </cell>
          <cell r="L6696" t="str">
            <v>RAWA01</v>
          </cell>
          <cell r="M6696" t="str">
            <v>Rawa Indah</v>
          </cell>
          <cell r="N6696" t="str">
            <v>Izzudin</v>
          </cell>
          <cell r="O6696" t="str">
            <v>Jl. Moh. Hatta No.04, RT.001/RW.001 Sembungan Kidul, Dukun, Kab. Gresik</v>
          </cell>
          <cell r="P6696" t="str">
            <v>Gresik</v>
          </cell>
          <cell r="Q6696" t="str">
            <v>Padang, Bandung, Dukun</v>
          </cell>
          <cell r="R6696" t="str">
            <v>Gresik</v>
          </cell>
          <cell r="S6696" t="str">
            <v>F Utara1</v>
          </cell>
          <cell r="T6696" t="str">
            <v>Tomi</v>
          </cell>
          <cell r="U6696">
            <v>0</v>
          </cell>
        </row>
        <row r="6697">
          <cell r="E6697" t="str">
            <v>B25013367</v>
          </cell>
          <cell r="F6697"/>
          <cell r="G6697">
            <v>50000000</v>
          </cell>
          <cell r="H6697" t="str">
            <v>Ariyani</v>
          </cell>
          <cell r="I6697" t="str">
            <v>Fira</v>
          </cell>
          <cell r="J6697"/>
          <cell r="K6697" t="str">
            <v>KU</v>
          </cell>
          <cell r="L6697" t="str">
            <v>RAWA01</v>
          </cell>
          <cell r="M6697" t="str">
            <v>Rawa Indah</v>
          </cell>
          <cell r="N6697" t="str">
            <v>Izzudin</v>
          </cell>
          <cell r="O6697" t="str">
            <v>Jl. Moh. Hatta No.04, RT.001/RW.001 Sembungan Kidul, Dukun, Kab. Gresik</v>
          </cell>
          <cell r="P6697" t="str">
            <v>Gresik</v>
          </cell>
          <cell r="Q6697" t="str">
            <v>Padang, Bandung, Dukun</v>
          </cell>
          <cell r="R6697" t="str">
            <v>Gresik</v>
          </cell>
          <cell r="S6697" t="str">
            <v>F Utara1</v>
          </cell>
          <cell r="T6697" t="str">
            <v>Tomi</v>
          </cell>
          <cell r="U6697">
            <v>0</v>
          </cell>
        </row>
        <row r="6698">
          <cell r="E6698" t="str">
            <v>B25013493</v>
          </cell>
          <cell r="F6698"/>
          <cell r="G6698">
            <v>50000000</v>
          </cell>
          <cell r="H6698" t="str">
            <v>Ariyani</v>
          </cell>
          <cell r="I6698" t="str">
            <v>Fira</v>
          </cell>
          <cell r="J6698"/>
          <cell r="K6698" t="str">
            <v>KU</v>
          </cell>
          <cell r="L6698" t="str">
            <v>RAWA01</v>
          </cell>
          <cell r="M6698" t="str">
            <v>Rawa Indah</v>
          </cell>
          <cell r="N6698" t="str">
            <v>Izzudin</v>
          </cell>
          <cell r="O6698" t="str">
            <v>Jl. Moh. Hatta No.04, RT.001/RW.001 Sembungan Kidul, Dukun, Kab. Gresik</v>
          </cell>
          <cell r="P6698" t="str">
            <v>Gresik</v>
          </cell>
          <cell r="Q6698" t="str">
            <v>Padang, Bandung, Dukun</v>
          </cell>
          <cell r="R6698" t="str">
            <v>Gresik</v>
          </cell>
          <cell r="S6698" t="str">
            <v>F Utara1</v>
          </cell>
          <cell r="T6698" t="str">
            <v>Tomi</v>
          </cell>
          <cell r="U6698">
            <v>30</v>
          </cell>
        </row>
        <row r="6699">
          <cell r="E6699" t="str">
            <v>D25016038</v>
          </cell>
          <cell r="F6699"/>
          <cell r="G6699">
            <v>50000000</v>
          </cell>
          <cell r="H6699" t="str">
            <v>Ariyani</v>
          </cell>
          <cell r="I6699" t="str">
            <v>Fira</v>
          </cell>
          <cell r="J6699"/>
          <cell r="K6699" t="str">
            <v>KU</v>
          </cell>
          <cell r="L6699" t="str">
            <v>RAWA01</v>
          </cell>
          <cell r="M6699" t="str">
            <v>Rawa Indah</v>
          </cell>
          <cell r="N6699" t="str">
            <v>Izzudin</v>
          </cell>
          <cell r="O6699" t="str">
            <v>Jl. Moh. Hatta No.04, RT.001/RW.001 Sembungan Kidul, Dukun, Kab. Gresik</v>
          </cell>
          <cell r="P6699" t="str">
            <v>Gresik</v>
          </cell>
          <cell r="Q6699" t="str">
            <v>Padang, Bandung, Dukun</v>
          </cell>
          <cell r="R6699" t="str">
            <v>Gresik</v>
          </cell>
          <cell r="S6699" t="str">
            <v>F Utara1</v>
          </cell>
          <cell r="T6699" t="str">
            <v>Tomi</v>
          </cell>
          <cell r="U6699">
            <v>0</v>
          </cell>
        </row>
        <row r="6700">
          <cell r="E6700" t="str">
            <v>D25016089</v>
          </cell>
          <cell r="F6700"/>
          <cell r="G6700">
            <v>50000000</v>
          </cell>
          <cell r="H6700" t="str">
            <v>Ariyani</v>
          </cell>
          <cell r="I6700" t="str">
            <v>Fira</v>
          </cell>
          <cell r="J6700"/>
          <cell r="K6700" t="str">
            <v>KU</v>
          </cell>
          <cell r="L6700" t="str">
            <v>RAWA01</v>
          </cell>
          <cell r="M6700" t="str">
            <v>Rawa Indah</v>
          </cell>
          <cell r="N6700" t="str">
            <v>Izzudin</v>
          </cell>
          <cell r="O6700" t="str">
            <v>Jl. Moh. Hatta No.04, RT.001/RW.001 Sembungan Kidul, Dukun, Kab. Gresik</v>
          </cell>
          <cell r="P6700" t="str">
            <v>Gresik</v>
          </cell>
          <cell r="Q6700" t="str">
            <v>Padang, Bandung, Dukun</v>
          </cell>
          <cell r="R6700" t="str">
            <v>Gresik</v>
          </cell>
          <cell r="S6700" t="str">
            <v>F Utara1</v>
          </cell>
          <cell r="T6700" t="str">
            <v>Tomi</v>
          </cell>
          <cell r="U6700">
            <v>30</v>
          </cell>
        </row>
        <row r="6701">
          <cell r="E6701" t="str">
            <v>B25013754</v>
          </cell>
          <cell r="F6701"/>
          <cell r="G6701">
            <v>50000000</v>
          </cell>
          <cell r="H6701" t="str">
            <v>Ariyani</v>
          </cell>
          <cell r="I6701" t="str">
            <v>Fira</v>
          </cell>
          <cell r="J6701"/>
          <cell r="K6701" t="str">
            <v>KU</v>
          </cell>
          <cell r="L6701" t="str">
            <v>RAWA01</v>
          </cell>
          <cell r="M6701" t="str">
            <v>Rawa Indah</v>
          </cell>
          <cell r="N6701" t="str">
            <v>Izzudin</v>
          </cell>
          <cell r="O6701" t="str">
            <v>Jl. Moh. Hatta No.04, RT.001/RW.001 Sembungan Kidul, Dukun, Kab. Gresik</v>
          </cell>
          <cell r="P6701" t="str">
            <v>Gresik</v>
          </cell>
          <cell r="Q6701" t="str">
            <v>Padang, Bandung, Dukun</v>
          </cell>
          <cell r="R6701" t="str">
            <v>Gresik</v>
          </cell>
          <cell r="S6701" t="str">
            <v>F Utara1</v>
          </cell>
          <cell r="T6701" t="str">
            <v>Tomi</v>
          </cell>
          <cell r="U6701">
            <v>30</v>
          </cell>
        </row>
        <row r="6702">
          <cell r="E6702" t="str">
            <v>B25013866</v>
          </cell>
          <cell r="F6702"/>
          <cell r="G6702">
            <v>50000000</v>
          </cell>
          <cell r="H6702" t="str">
            <v>Ariyani</v>
          </cell>
          <cell r="I6702" t="str">
            <v>Fira</v>
          </cell>
          <cell r="J6702"/>
          <cell r="K6702" t="str">
            <v>KU</v>
          </cell>
          <cell r="L6702" t="str">
            <v>RAWA01</v>
          </cell>
          <cell r="M6702" t="str">
            <v>Rawa Indah</v>
          </cell>
          <cell r="N6702" t="str">
            <v>Izzudin</v>
          </cell>
          <cell r="O6702" t="str">
            <v>Jl. Moh. Hatta No.04, RT.001/RW.001 Sembungan Kidul, Dukun, Kab. Gresik</v>
          </cell>
          <cell r="P6702" t="str">
            <v>Gresik</v>
          </cell>
          <cell r="Q6702" t="str">
            <v>Padang, Bandung, Dukun</v>
          </cell>
          <cell r="R6702" t="str">
            <v>Gresik</v>
          </cell>
          <cell r="S6702" t="str">
            <v>F Utara1</v>
          </cell>
          <cell r="T6702" t="str">
            <v>Tomi</v>
          </cell>
          <cell r="U6702">
            <v>30</v>
          </cell>
        </row>
        <row r="6703">
          <cell r="E6703" t="str">
            <v>D25016252</v>
          </cell>
          <cell r="F6703"/>
          <cell r="G6703">
            <v>50000000</v>
          </cell>
          <cell r="H6703" t="str">
            <v>Ariyani</v>
          </cell>
          <cell r="I6703" t="str">
            <v>Fira</v>
          </cell>
          <cell r="J6703"/>
          <cell r="K6703" t="str">
            <v>KU</v>
          </cell>
          <cell r="L6703" t="str">
            <v>RAWA01</v>
          </cell>
          <cell r="M6703" t="str">
            <v>Rawa Indah</v>
          </cell>
          <cell r="N6703" t="str">
            <v>Izzudin</v>
          </cell>
          <cell r="O6703" t="str">
            <v>Jl. Moh. Hatta No.04, RT.001/RW.001 Sembungan Kidul, Dukun, Kab. Gresik</v>
          </cell>
          <cell r="P6703" t="str">
            <v>Gresik</v>
          </cell>
          <cell r="Q6703" t="str">
            <v>Padang, Bandung, Dukun</v>
          </cell>
          <cell r="R6703" t="str">
            <v>Gresik</v>
          </cell>
          <cell r="S6703" t="str">
            <v>F Utara1</v>
          </cell>
          <cell r="T6703" t="str">
            <v>Tomi</v>
          </cell>
          <cell r="U6703">
            <v>30</v>
          </cell>
        </row>
        <row r="6704">
          <cell r="E6704" t="str">
            <v>B25013564</v>
          </cell>
          <cell r="F6704"/>
          <cell r="G6704">
            <v>1000</v>
          </cell>
          <cell r="H6704" t="str">
            <v>Sheila</v>
          </cell>
          <cell r="I6704" t="str">
            <v>Exclusive</v>
          </cell>
          <cell r="J6704" t="str">
            <v>New 08/07/25</v>
          </cell>
          <cell r="K6704" t="str">
            <v>CBD</v>
          </cell>
          <cell r="L6704" t="str">
            <v>REIZ01</v>
          </cell>
          <cell r="M6704" t="str">
            <v>Reizka Tani 2</v>
          </cell>
          <cell r="N6704" t="str">
            <v>Muharam Fajri</v>
          </cell>
          <cell r="O6704" t="str">
            <v>Perumahan Maskarebet, Jalan Jati Lorong Bungur 4 RT.007/RW.003 , Kel. Talang Kelapa Kec. Alang-alang Lebar</v>
          </cell>
          <cell r="P6704" t="str">
            <v>Palembang</v>
          </cell>
          <cell r="Q6704" t="str">
            <v>Perumahan Maskarebet, Jalan Jati Lorong Bungur 4 RT.007/RW.003 , Kel. Talang Kelapa Kec. Alang-alang Lebar</v>
          </cell>
          <cell r="R6704" t="str">
            <v>Palembang</v>
          </cell>
          <cell r="S6704" t="str">
            <v>E Luar Pulau2</v>
          </cell>
          <cell r="T6704" t="str">
            <v>Non SE &amp; JSE</v>
          </cell>
          <cell r="U6704">
            <v>15</v>
          </cell>
        </row>
        <row r="6705">
          <cell r="E6705" t="str">
            <v>R25000101</v>
          </cell>
          <cell r="F6705"/>
          <cell r="G6705">
            <v>1000</v>
          </cell>
          <cell r="H6705" t="str">
            <v>Others</v>
          </cell>
          <cell r="I6705" t="str">
            <v>Exclusive</v>
          </cell>
          <cell r="J6705" t="str">
            <v>New 08/09/25</v>
          </cell>
          <cell r="K6705" t="str">
            <v>KU</v>
          </cell>
          <cell r="L6705" t="str">
            <v>REJE12</v>
          </cell>
          <cell r="M6705" t="str">
            <v>Rejeki Indo Agrotec, PT</v>
          </cell>
          <cell r="N6705" t="str">
            <v>Rejeki Indo Agrotec, PT</v>
          </cell>
          <cell r="O6705" t="str">
            <v>Jl. P Karimun, Komp. Medan Mas Karimun Blok &amp;23, KIM-Il, Saentis, Percut Sei Tuan</v>
          </cell>
          <cell r="P6705" t="str">
            <v>Deli-Serdang</v>
          </cell>
          <cell r="Q6705" t="str">
            <v>Jl. P Karimun, Komp. Medan Mas Karimun Blok &amp;23, KIM-Il, Saentis, Percut Sei Tuan</v>
          </cell>
          <cell r="R6705" t="str">
            <v>Deli-Serdang</v>
          </cell>
          <cell r="S6705" t="str">
            <v>E Luar Pulau1</v>
          </cell>
          <cell r="T6705" t="str">
            <v>Non SE &amp; JSE</v>
          </cell>
          <cell r="U6705">
            <v>15</v>
          </cell>
        </row>
        <row r="6706">
          <cell r="E6706" t="str">
            <v>B25009268</v>
          </cell>
          <cell r="F6706"/>
          <cell r="G6706">
            <v>1000</v>
          </cell>
          <cell r="H6706" t="str">
            <v>Hendra</v>
          </cell>
          <cell r="I6706" t="str">
            <v>Tiya</v>
          </cell>
          <cell r="J6706" t="str">
            <v>New 17/05/25</v>
          </cell>
          <cell r="K6706" t="str">
            <v>CBD</v>
          </cell>
          <cell r="L6706" t="str">
            <v>REJE11</v>
          </cell>
          <cell r="M6706" t="str">
            <v>Rejeki Tani, UD/Christina</v>
          </cell>
          <cell r="N6706" t="str">
            <v>Christina Aurelia</v>
          </cell>
          <cell r="O6706" t="str">
            <v>Perumahan The Menganti Blok I No. 11R RT.002/RW.001 , Kel. Hulaan Kec. Menganti</v>
          </cell>
          <cell r="P6706" t="str">
            <v>Gresik</v>
          </cell>
          <cell r="Q6706" t="str">
            <v>Lingkar Permata Residence JPG TMRD No. 05 RT.006 , Kel. Jempongbaru Kec. Sekarbela</v>
          </cell>
          <cell r="R6706" t="str">
            <v>Mataram</v>
          </cell>
          <cell r="S6706" t="str">
            <v>E Luar Pulau2</v>
          </cell>
          <cell r="T6706" t="str">
            <v>Muhlisin</v>
          </cell>
          <cell r="U6706">
            <v>45</v>
          </cell>
        </row>
        <row r="6707">
          <cell r="E6707" t="str">
            <v>D25010945</v>
          </cell>
          <cell r="F6707"/>
          <cell r="G6707">
            <v>250000000</v>
          </cell>
          <cell r="H6707" t="str">
            <v>Zakia</v>
          </cell>
          <cell r="I6707" t="str">
            <v>Tiya</v>
          </cell>
          <cell r="J6707"/>
          <cell r="K6707" t="str">
            <v>KU</v>
          </cell>
          <cell r="L6707" t="str">
            <v>REJE07</v>
          </cell>
          <cell r="M6707" t="str">
            <v>Rejeki Tani/Sulantrini</v>
          </cell>
          <cell r="N6707" t="str">
            <v>Parjono</v>
          </cell>
          <cell r="O6707" t="str">
            <v>Ds. Kampung Gelgel, Kampung Gelgel, Kec. Klungkung, Klungkung</v>
          </cell>
          <cell r="P6707" t="str">
            <v>Bali</v>
          </cell>
          <cell r="Q6707" t="str">
            <v>Ds. Kampung Gelgel, Kampung Gelgel, Kec. Klungkung, Klungkung</v>
          </cell>
          <cell r="R6707" t="str">
            <v>Bali</v>
          </cell>
          <cell r="S6707" t="str">
            <v>S Bali3</v>
          </cell>
          <cell r="T6707" t="str">
            <v>Wira</v>
          </cell>
          <cell r="U6707">
            <v>60</v>
          </cell>
        </row>
        <row r="6708">
          <cell r="E6708" t="str">
            <v>B25009376</v>
          </cell>
          <cell r="F6708"/>
          <cell r="G6708">
            <v>250000000</v>
          </cell>
          <cell r="H6708" t="str">
            <v>Zakia</v>
          </cell>
          <cell r="I6708" t="str">
            <v>Tiya</v>
          </cell>
          <cell r="J6708"/>
          <cell r="K6708" t="str">
            <v>KU</v>
          </cell>
          <cell r="L6708" t="str">
            <v>REJE07</v>
          </cell>
          <cell r="M6708" t="str">
            <v>Rejeki Tani/Sulantrini</v>
          </cell>
          <cell r="N6708" t="str">
            <v>Parjono</v>
          </cell>
          <cell r="O6708" t="str">
            <v>Ds. Kampung Gelgel, Kampung Gelgel, Kec. Klungkung, Klungkung</v>
          </cell>
          <cell r="P6708" t="str">
            <v>Bali</v>
          </cell>
          <cell r="Q6708" t="str">
            <v>Ds. Kampung Gelgel, Kampung Gelgel, Kec. Klungkung, Klungkung</v>
          </cell>
          <cell r="R6708" t="str">
            <v>Bali</v>
          </cell>
          <cell r="S6708" t="str">
            <v>S Bali3</v>
          </cell>
          <cell r="T6708" t="str">
            <v>Wira</v>
          </cell>
          <cell r="U6708">
            <v>60</v>
          </cell>
        </row>
        <row r="6709">
          <cell r="E6709" t="str">
            <v>D25013457</v>
          </cell>
          <cell r="F6709"/>
          <cell r="G6709">
            <v>250000000</v>
          </cell>
          <cell r="H6709" t="str">
            <v>Zakia</v>
          </cell>
          <cell r="I6709" t="str">
            <v>Tiya</v>
          </cell>
          <cell r="J6709"/>
          <cell r="K6709" t="str">
            <v>KU</v>
          </cell>
          <cell r="L6709" t="str">
            <v>REJE07</v>
          </cell>
          <cell r="M6709" t="str">
            <v>Rejeki Tani/Sulantrini</v>
          </cell>
          <cell r="N6709" t="str">
            <v>Parjono</v>
          </cell>
          <cell r="O6709" t="str">
            <v>Ds. Kampung Gelgel, Kampung Gelgel, Kec. Klungkung, Klungkung</v>
          </cell>
          <cell r="P6709" t="str">
            <v>Bali</v>
          </cell>
          <cell r="Q6709" t="str">
            <v>Ds. Kampung Gelgel, Kampung Gelgel, Kec. Klungkung, Klungkung</v>
          </cell>
          <cell r="R6709" t="str">
            <v>Bali</v>
          </cell>
          <cell r="S6709" t="str">
            <v>S Bali3</v>
          </cell>
          <cell r="T6709" t="str">
            <v>Wira</v>
          </cell>
          <cell r="U6709">
            <v>30</v>
          </cell>
        </row>
        <row r="6710">
          <cell r="E6710" t="str">
            <v>T25001372</v>
          </cell>
          <cell r="F6710"/>
          <cell r="G6710">
            <v>250000000</v>
          </cell>
          <cell r="H6710" t="str">
            <v>Zakia</v>
          </cell>
          <cell r="I6710" t="str">
            <v>Tiya</v>
          </cell>
          <cell r="J6710"/>
          <cell r="K6710" t="str">
            <v>KU</v>
          </cell>
          <cell r="L6710" t="str">
            <v>REJE07</v>
          </cell>
          <cell r="M6710" t="str">
            <v>Rejeki Tani/Sulantrini</v>
          </cell>
          <cell r="N6710" t="str">
            <v>Parjono</v>
          </cell>
          <cell r="O6710" t="str">
            <v>Ds. Kampung Gelgel, Kampung Gelgel, Kec. Klungkung, Klungkung</v>
          </cell>
          <cell r="P6710" t="str">
            <v>Bali</v>
          </cell>
          <cell r="Q6710" t="str">
            <v>Ds. Kampung Gelgel, Kampung Gelgel, Kec. Klungkung, Klungkung</v>
          </cell>
          <cell r="R6710" t="str">
            <v>Bali</v>
          </cell>
          <cell r="S6710" t="str">
            <v>S Bali3</v>
          </cell>
          <cell r="T6710" t="str">
            <v>Wira</v>
          </cell>
          <cell r="U6710">
            <v>60</v>
          </cell>
        </row>
        <row r="6711">
          <cell r="E6711" t="str">
            <v>B25012611</v>
          </cell>
          <cell r="F6711"/>
          <cell r="G6711">
            <v>250000000</v>
          </cell>
          <cell r="H6711" t="str">
            <v>Zakia</v>
          </cell>
          <cell r="I6711" t="str">
            <v>Tiya</v>
          </cell>
          <cell r="J6711"/>
          <cell r="K6711" t="str">
            <v>KU</v>
          </cell>
          <cell r="L6711" t="str">
            <v>REJE07</v>
          </cell>
          <cell r="M6711" t="str">
            <v>Rejeki Tani/Sulantrini</v>
          </cell>
          <cell r="N6711" t="str">
            <v>Parjono</v>
          </cell>
          <cell r="O6711" t="str">
            <v>Ds. Kampung Gelgel, Kampung Gelgel, Kec. Klungkung, Klungkung</v>
          </cell>
          <cell r="P6711" t="str">
            <v>Bali</v>
          </cell>
          <cell r="Q6711" t="str">
            <v>Ds. Kampung Gelgel, Kampung Gelgel, Kec. Klungkung, Klungkung</v>
          </cell>
          <cell r="R6711" t="str">
            <v>Bali</v>
          </cell>
          <cell r="S6711" t="str">
            <v>S Bali3</v>
          </cell>
          <cell r="T6711" t="str">
            <v>Wira</v>
          </cell>
          <cell r="U6711">
            <v>60</v>
          </cell>
        </row>
        <row r="6712">
          <cell r="E6712" t="str">
            <v>D25015760</v>
          </cell>
          <cell r="F6712"/>
          <cell r="G6712">
            <v>250000000</v>
          </cell>
          <cell r="H6712" t="str">
            <v>Zakia</v>
          </cell>
          <cell r="I6712" t="str">
            <v>Tiya</v>
          </cell>
          <cell r="J6712"/>
          <cell r="K6712" t="str">
            <v>KU</v>
          </cell>
          <cell r="L6712" t="str">
            <v>REJE07</v>
          </cell>
          <cell r="M6712" t="str">
            <v>Rejeki Tani/Sulantrini</v>
          </cell>
          <cell r="N6712" t="str">
            <v>Parjono</v>
          </cell>
          <cell r="O6712" t="str">
            <v>Ds. Kampung Gelgel, Kampung Gelgel, Kec. Klungkung, Klungkung</v>
          </cell>
          <cell r="P6712" t="str">
            <v>Bali</v>
          </cell>
          <cell r="Q6712" t="str">
            <v>Ds. Kampung Gelgel, Kampung Gelgel, Kec. Klungkung, Klungkung</v>
          </cell>
          <cell r="R6712" t="str">
            <v>Bali</v>
          </cell>
          <cell r="S6712" t="str">
            <v>S Bali3</v>
          </cell>
          <cell r="T6712" t="str">
            <v>Wira</v>
          </cell>
          <cell r="U6712">
            <v>0</v>
          </cell>
        </row>
        <row r="6713">
          <cell r="E6713" t="str">
            <v>D25016238</v>
          </cell>
          <cell r="F6713"/>
          <cell r="G6713">
            <v>250000000</v>
          </cell>
          <cell r="H6713" t="str">
            <v>Zakia</v>
          </cell>
          <cell r="I6713" t="str">
            <v>Tiya</v>
          </cell>
          <cell r="J6713"/>
          <cell r="K6713" t="str">
            <v>KU</v>
          </cell>
          <cell r="L6713" t="str">
            <v>REJE07</v>
          </cell>
          <cell r="M6713" t="str">
            <v>Rejeki Tani/Sulantrini</v>
          </cell>
          <cell r="N6713" t="str">
            <v>Parjono</v>
          </cell>
          <cell r="O6713" t="str">
            <v>Ds. Kampung Gelgel, Kampung Gelgel, Kec. Klungkung, Klungkung</v>
          </cell>
          <cell r="P6713" t="str">
            <v>Bali</v>
          </cell>
          <cell r="Q6713" t="str">
            <v>Ds. Kampung Gelgel, Kampung Gelgel, Kec. Klungkung, Klungkung</v>
          </cell>
          <cell r="R6713" t="str">
            <v>Bali</v>
          </cell>
          <cell r="S6713" t="str">
            <v>S Bali3</v>
          </cell>
          <cell r="T6713" t="str">
            <v>Wira</v>
          </cell>
          <cell r="U6713">
            <v>30</v>
          </cell>
        </row>
        <row r="6714">
          <cell r="E6714" t="str">
            <v>D25014248</v>
          </cell>
          <cell r="F6714"/>
          <cell r="G6714">
            <v>65000000</v>
          </cell>
          <cell r="H6714" t="str">
            <v>Zakia</v>
          </cell>
          <cell r="I6714" t="str">
            <v>Tiya</v>
          </cell>
          <cell r="J6714"/>
          <cell r="K6714" t="str">
            <v>Tunai</v>
          </cell>
          <cell r="L6714" t="str">
            <v>REJO01</v>
          </cell>
          <cell r="M6714" t="str">
            <v>Rejo Tani/Sutikno</v>
          </cell>
          <cell r="N6714" t="str">
            <v>Sutikno</v>
          </cell>
          <cell r="O6714" t="str">
            <v>Dsn. Kepung Timur, RT.009/RW.002, Kepung, Kab. Kediri</v>
          </cell>
          <cell r="P6714" t="str">
            <v>Kediri</v>
          </cell>
          <cell r="Q6714" t="str">
            <v>Kepung</v>
          </cell>
          <cell r="R6714" t="str">
            <v>Kediri</v>
          </cell>
          <cell r="S6714" t="str">
            <v>D Barat2</v>
          </cell>
          <cell r="T6714" t="str">
            <v>Tomi</v>
          </cell>
          <cell r="U6714">
            <v>30</v>
          </cell>
        </row>
        <row r="6715">
          <cell r="E6715" t="str">
            <v>D25015065</v>
          </cell>
          <cell r="F6715"/>
          <cell r="G6715">
            <v>65000000</v>
          </cell>
          <cell r="H6715" t="str">
            <v>Zakia</v>
          </cell>
          <cell r="I6715" t="str">
            <v>Tiya</v>
          </cell>
          <cell r="J6715"/>
          <cell r="K6715" t="str">
            <v>Tunai</v>
          </cell>
          <cell r="L6715" t="str">
            <v>REJO01</v>
          </cell>
          <cell r="M6715" t="str">
            <v>Rejo Tani/Sutikno</v>
          </cell>
          <cell r="N6715" t="str">
            <v>Sutikno</v>
          </cell>
          <cell r="O6715" t="str">
            <v>Dsn. Kepung Timur, RT.009/RW.002, Kepung, Kab. Kediri</v>
          </cell>
          <cell r="P6715" t="str">
            <v>Kediri</v>
          </cell>
          <cell r="Q6715" t="str">
            <v>Kepung</v>
          </cell>
          <cell r="R6715" t="str">
            <v>Kediri</v>
          </cell>
          <cell r="S6715" t="str">
            <v>D Barat2</v>
          </cell>
          <cell r="T6715" t="str">
            <v>Tomi</v>
          </cell>
          <cell r="U6715">
            <v>30</v>
          </cell>
        </row>
        <row r="6716">
          <cell r="E6716" t="str">
            <v>D25015066</v>
          </cell>
          <cell r="F6716"/>
          <cell r="G6716">
            <v>65000000</v>
          </cell>
          <cell r="H6716" t="str">
            <v>Zakia</v>
          </cell>
          <cell r="I6716" t="str">
            <v>Tiya</v>
          </cell>
          <cell r="J6716"/>
          <cell r="K6716" t="str">
            <v>Tunai</v>
          </cell>
          <cell r="L6716" t="str">
            <v>REJO01</v>
          </cell>
          <cell r="M6716" t="str">
            <v>Rejo Tani/Sutikno</v>
          </cell>
          <cell r="N6716" t="str">
            <v>Sutikno</v>
          </cell>
          <cell r="O6716" t="str">
            <v>Dsn. Kepung Timur, RT.009/RW.002, Kepung, Kab. Kediri</v>
          </cell>
          <cell r="P6716" t="str">
            <v>Kediri</v>
          </cell>
          <cell r="Q6716" t="str">
            <v>Kepung</v>
          </cell>
          <cell r="R6716" t="str">
            <v>Kediri</v>
          </cell>
          <cell r="S6716" t="str">
            <v>D Barat2</v>
          </cell>
          <cell r="T6716" t="str">
            <v>Tomi</v>
          </cell>
          <cell r="U6716">
            <v>0</v>
          </cell>
        </row>
        <row r="6717">
          <cell r="E6717" t="str">
            <v>B25012884</v>
          </cell>
          <cell r="F6717"/>
          <cell r="G6717">
            <v>65000000</v>
          </cell>
          <cell r="H6717" t="str">
            <v>Zakia</v>
          </cell>
          <cell r="I6717" t="str">
            <v>Tiya</v>
          </cell>
          <cell r="J6717"/>
          <cell r="K6717" t="str">
            <v>Tunai</v>
          </cell>
          <cell r="L6717" t="str">
            <v>REJO01</v>
          </cell>
          <cell r="M6717" t="str">
            <v>Rejo Tani/Sutikno</v>
          </cell>
          <cell r="N6717" t="str">
            <v>Sutikno</v>
          </cell>
          <cell r="O6717" t="str">
            <v>Dsn. Kepung Timur, RT.009/RW.002, Kepung, Kab. Kediri</v>
          </cell>
          <cell r="P6717" t="str">
            <v>Kediri</v>
          </cell>
          <cell r="Q6717" t="str">
            <v>Kepung</v>
          </cell>
          <cell r="R6717" t="str">
            <v>Kediri</v>
          </cell>
          <cell r="S6717" t="str">
            <v>D Barat2</v>
          </cell>
          <cell r="T6717" t="str">
            <v>Tomi</v>
          </cell>
          <cell r="U6717">
            <v>30</v>
          </cell>
        </row>
        <row r="6718">
          <cell r="E6718" t="str">
            <v>B25012884</v>
          </cell>
          <cell r="F6718"/>
          <cell r="G6718">
            <v>65000000</v>
          </cell>
          <cell r="H6718" t="str">
            <v>Zakia</v>
          </cell>
          <cell r="I6718" t="str">
            <v>Tiya</v>
          </cell>
          <cell r="J6718"/>
          <cell r="K6718" t="str">
            <v>Tunai</v>
          </cell>
          <cell r="L6718" t="str">
            <v>REJO01</v>
          </cell>
          <cell r="M6718" t="str">
            <v>Rejo Tani/Sutikno</v>
          </cell>
          <cell r="N6718" t="str">
            <v>Sutikno</v>
          </cell>
          <cell r="O6718" t="str">
            <v>Dsn. Kepung Timur, RT.009/RW.002, Kepung, Kab. Kediri</v>
          </cell>
          <cell r="P6718" t="str">
            <v>Kediri</v>
          </cell>
          <cell r="Q6718" t="str">
            <v>Kepung</v>
          </cell>
          <cell r="R6718" t="str">
            <v>Kediri</v>
          </cell>
          <cell r="S6718" t="str">
            <v>D Barat2</v>
          </cell>
          <cell r="T6718" t="str">
            <v>Tomi</v>
          </cell>
          <cell r="U6718">
            <v>30</v>
          </cell>
        </row>
        <row r="6719">
          <cell r="E6719" t="str">
            <v>D25015696</v>
          </cell>
          <cell r="F6719"/>
          <cell r="G6719">
            <v>65000000</v>
          </cell>
          <cell r="H6719" t="str">
            <v>Zakia</v>
          </cell>
          <cell r="I6719" t="str">
            <v>Tiya</v>
          </cell>
          <cell r="J6719"/>
          <cell r="K6719" t="str">
            <v>Tunai</v>
          </cell>
          <cell r="L6719" t="str">
            <v>REJO01</v>
          </cell>
          <cell r="M6719" t="str">
            <v>Rejo Tani/Sutikno</v>
          </cell>
          <cell r="N6719" t="str">
            <v>Sutikno</v>
          </cell>
          <cell r="O6719" t="str">
            <v>Dsn. Kepung Timur, RT.009/RW.002, Kepung, Kab. Kediri</v>
          </cell>
          <cell r="P6719" t="str">
            <v>Kediri</v>
          </cell>
          <cell r="Q6719" t="str">
            <v>Kepung</v>
          </cell>
          <cell r="R6719" t="str">
            <v>Kediri</v>
          </cell>
          <cell r="S6719" t="str">
            <v>D Barat2</v>
          </cell>
          <cell r="T6719" t="str">
            <v>Tomi</v>
          </cell>
          <cell r="U6719">
            <v>30</v>
          </cell>
        </row>
        <row r="6720">
          <cell r="E6720" t="str">
            <v>D25015697</v>
          </cell>
          <cell r="F6720"/>
          <cell r="G6720">
            <v>65000000</v>
          </cell>
          <cell r="H6720" t="str">
            <v>Zakia</v>
          </cell>
          <cell r="I6720" t="str">
            <v>Tiya</v>
          </cell>
          <cell r="J6720"/>
          <cell r="K6720" t="str">
            <v>Tunai</v>
          </cell>
          <cell r="L6720" t="str">
            <v>REJO01</v>
          </cell>
          <cell r="M6720" t="str">
            <v>Rejo Tani/Sutikno</v>
          </cell>
          <cell r="N6720" t="str">
            <v>Sutikno</v>
          </cell>
          <cell r="O6720" t="str">
            <v>Dsn. Kepung Timur, RT.009/RW.002, Kepung, Kab. Kediri</v>
          </cell>
          <cell r="P6720" t="str">
            <v>Kediri</v>
          </cell>
          <cell r="Q6720" t="str">
            <v>Kepung</v>
          </cell>
          <cell r="R6720" t="str">
            <v>Kediri</v>
          </cell>
          <cell r="S6720" t="str">
            <v>D Barat2</v>
          </cell>
          <cell r="T6720" t="str">
            <v>Tomi</v>
          </cell>
          <cell r="U6720">
            <v>30</v>
          </cell>
        </row>
        <row r="6721">
          <cell r="E6721" t="str">
            <v>B25013546</v>
          </cell>
          <cell r="F6721"/>
          <cell r="G6721">
            <v>65000000</v>
          </cell>
          <cell r="H6721" t="str">
            <v>Zakia</v>
          </cell>
          <cell r="I6721" t="str">
            <v>Tiya</v>
          </cell>
          <cell r="J6721"/>
          <cell r="K6721" t="str">
            <v>Tunai</v>
          </cell>
          <cell r="L6721" t="str">
            <v>REJO01</v>
          </cell>
          <cell r="M6721" t="str">
            <v>Rejo Tani/Sutikno</v>
          </cell>
          <cell r="N6721" t="str">
            <v>Sutikno</v>
          </cell>
          <cell r="O6721" t="str">
            <v>Dsn. Kepung Timur, RT.009/RW.002, Kepung, Kab. Kediri</v>
          </cell>
          <cell r="P6721" t="str">
            <v>Kediri</v>
          </cell>
          <cell r="Q6721" t="str">
            <v>Kepung</v>
          </cell>
          <cell r="R6721" t="str">
            <v>Kediri</v>
          </cell>
          <cell r="S6721" t="str">
            <v>D Barat2</v>
          </cell>
          <cell r="T6721" t="str">
            <v>Tomi</v>
          </cell>
          <cell r="U6721">
            <v>30</v>
          </cell>
        </row>
        <row r="6722">
          <cell r="E6722" t="str">
            <v>B25007694</v>
          </cell>
          <cell r="F6722"/>
          <cell r="G6722">
            <v>4000000000</v>
          </cell>
          <cell r="H6722" t="str">
            <v>Hendra</v>
          </cell>
          <cell r="I6722" t="str">
            <v>Tiya</v>
          </cell>
          <cell r="J6722"/>
          <cell r="K6722" t="str">
            <v>KU</v>
          </cell>
          <cell r="L6722" t="str">
            <v>REKA02</v>
          </cell>
          <cell r="M6722" t="str">
            <v>Rekan Tani Indonesia, CV</v>
          </cell>
          <cell r="N6722" t="str">
            <v>Rekan Tani Sukses Makmur, PT</v>
          </cell>
          <cell r="O6722" t="str">
            <v>Citralend RT.000/RW.000, Winangun Satu, Malalayang</v>
          </cell>
          <cell r="P6722" t="str">
            <v>Manado</v>
          </cell>
          <cell r="Q6722" t="str">
            <v>Jl. Re Martadinata No. 18 A, Dendengan Luar Paal Dua</v>
          </cell>
          <cell r="R6722" t="str">
            <v>Manado</v>
          </cell>
          <cell r="S6722" t="str">
            <v>E Luar Pulau2</v>
          </cell>
          <cell r="T6722" t="str">
            <v>Non SE &amp; JSE</v>
          </cell>
          <cell r="U6722">
            <v>45</v>
          </cell>
        </row>
        <row r="6723">
          <cell r="E6723" t="str">
            <v>D25012441</v>
          </cell>
          <cell r="F6723"/>
          <cell r="G6723">
            <v>4000000000</v>
          </cell>
          <cell r="H6723" t="str">
            <v>Hendra</v>
          </cell>
          <cell r="I6723" t="str">
            <v>Tiya</v>
          </cell>
          <cell r="J6723"/>
          <cell r="K6723" t="str">
            <v>KU</v>
          </cell>
          <cell r="L6723" t="str">
            <v>REKA02</v>
          </cell>
          <cell r="M6723" t="str">
            <v>Rekan Tani Indonesia, CV</v>
          </cell>
          <cell r="N6723" t="str">
            <v>Rekan Tani Sukses Makmur, PT</v>
          </cell>
          <cell r="O6723" t="str">
            <v>Citralend RT.000/RW.000, Winangun Satu, Malalayang</v>
          </cell>
          <cell r="P6723" t="str">
            <v>Manado</v>
          </cell>
          <cell r="Q6723" t="str">
            <v>Jl. Re Martadinata No. 18 A, Dendengan Luar Paal Dua</v>
          </cell>
          <cell r="R6723" t="str">
            <v>Manado</v>
          </cell>
          <cell r="S6723" t="str">
            <v>E Luar Pulau2</v>
          </cell>
          <cell r="T6723" t="str">
            <v>Non SE &amp; JSE</v>
          </cell>
          <cell r="U6723">
            <v>45</v>
          </cell>
        </row>
        <row r="6724">
          <cell r="E6724" t="str">
            <v>D25012468</v>
          </cell>
          <cell r="F6724"/>
          <cell r="G6724">
            <v>4000000000</v>
          </cell>
          <cell r="H6724" t="str">
            <v>Hendra</v>
          </cell>
          <cell r="I6724" t="str">
            <v>Tiya</v>
          </cell>
          <cell r="J6724"/>
          <cell r="K6724" t="str">
            <v>KU</v>
          </cell>
          <cell r="L6724" t="str">
            <v>REKA02</v>
          </cell>
          <cell r="M6724" t="str">
            <v>Rekan Tani Indonesia, CV</v>
          </cell>
          <cell r="N6724" t="str">
            <v>Rekan Tani Sukses Makmur, PT</v>
          </cell>
          <cell r="O6724" t="str">
            <v>Citralend RT.000/RW.000, Winangun Satu, Malalayang</v>
          </cell>
          <cell r="P6724" t="str">
            <v>Manado</v>
          </cell>
          <cell r="Q6724" t="str">
            <v>Jl. Re Martadinata No. 18 A, Dendengan Luar Paal Dua</v>
          </cell>
          <cell r="R6724" t="str">
            <v>Manado</v>
          </cell>
          <cell r="S6724" t="str">
            <v>E Luar Pulau2</v>
          </cell>
          <cell r="T6724" t="str">
            <v>Non SE &amp; JSE</v>
          </cell>
          <cell r="U6724">
            <v>45</v>
          </cell>
        </row>
        <row r="6725">
          <cell r="E6725" t="str">
            <v>B25010612</v>
          </cell>
          <cell r="F6725"/>
          <cell r="G6725">
            <v>4000000000</v>
          </cell>
          <cell r="H6725" t="str">
            <v>Hendra</v>
          </cell>
          <cell r="I6725" t="str">
            <v>Tiya</v>
          </cell>
          <cell r="J6725"/>
          <cell r="K6725" t="str">
            <v>KU</v>
          </cell>
          <cell r="L6725" t="str">
            <v>REKA02</v>
          </cell>
          <cell r="M6725" t="str">
            <v>Rekan Tani Indonesia, CV</v>
          </cell>
          <cell r="N6725" t="str">
            <v>Rekan Tani Sukses Makmur, PT</v>
          </cell>
          <cell r="O6725" t="str">
            <v>Citralend RT.000/RW.000, Winangun Satu, Malalayang</v>
          </cell>
          <cell r="P6725" t="str">
            <v>Manado</v>
          </cell>
          <cell r="Q6725" t="str">
            <v>Jl. Re Martadinata No. 18 A, Dendengan Luar Paal Dua</v>
          </cell>
          <cell r="R6725" t="str">
            <v>Manado</v>
          </cell>
          <cell r="S6725" t="str">
            <v>E Luar Pulau2</v>
          </cell>
          <cell r="T6725" t="str">
            <v>Non SE &amp; JSE</v>
          </cell>
          <cell r="U6725">
            <v>45</v>
          </cell>
        </row>
        <row r="6726">
          <cell r="E6726" t="str">
            <v>D25012601</v>
          </cell>
          <cell r="F6726"/>
          <cell r="G6726">
            <v>4000000000</v>
          </cell>
          <cell r="H6726" t="str">
            <v>Hendra</v>
          </cell>
          <cell r="I6726" t="str">
            <v>Tiya</v>
          </cell>
          <cell r="J6726"/>
          <cell r="K6726" t="str">
            <v>KU</v>
          </cell>
          <cell r="L6726" t="str">
            <v>REKA02</v>
          </cell>
          <cell r="M6726" t="str">
            <v>Rekan Tani Indonesia, CV</v>
          </cell>
          <cell r="N6726" t="str">
            <v>Rekan Tani Sukses Makmur, PT</v>
          </cell>
          <cell r="O6726" t="str">
            <v>Citralend RT.000/RW.000, Winangun Satu, Malalayang</v>
          </cell>
          <cell r="P6726" t="str">
            <v>Manado</v>
          </cell>
          <cell r="Q6726" t="str">
            <v>Jl. Re Martadinata No. 18 A, Dendengan Luar Paal Dua</v>
          </cell>
          <cell r="R6726" t="str">
            <v>Manado</v>
          </cell>
          <cell r="S6726" t="str">
            <v>E Luar Pulau2</v>
          </cell>
          <cell r="T6726" t="str">
            <v>Non SE &amp; JSE</v>
          </cell>
          <cell r="U6726">
            <v>45</v>
          </cell>
        </row>
        <row r="6727">
          <cell r="E6727" t="str">
            <v>D25012666</v>
          </cell>
          <cell r="F6727"/>
          <cell r="G6727">
            <v>4000000000</v>
          </cell>
          <cell r="H6727" t="str">
            <v>Hendra</v>
          </cell>
          <cell r="I6727" t="str">
            <v>Tiya</v>
          </cell>
          <cell r="J6727"/>
          <cell r="K6727" t="str">
            <v>KU</v>
          </cell>
          <cell r="L6727" t="str">
            <v>REKA02</v>
          </cell>
          <cell r="M6727" t="str">
            <v>Rekan Tani Indonesia, CV</v>
          </cell>
          <cell r="N6727" t="str">
            <v>Rekan Tani Sukses Makmur, PT</v>
          </cell>
          <cell r="O6727" t="str">
            <v>Citralend RT.000/RW.000, Winangun Satu, Malalayang</v>
          </cell>
          <cell r="P6727" t="str">
            <v>Manado</v>
          </cell>
          <cell r="Q6727" t="str">
            <v>Jl. Re Martadinata No. 18 A, Dendengan Luar Paal Dua</v>
          </cell>
          <cell r="R6727" t="str">
            <v>Manado</v>
          </cell>
          <cell r="S6727" t="str">
            <v>E Luar Pulau2</v>
          </cell>
          <cell r="T6727" t="str">
            <v>Non SE &amp; JSE</v>
          </cell>
          <cell r="U6727">
            <v>15</v>
          </cell>
        </row>
        <row r="6728">
          <cell r="E6728" t="str">
            <v>B25010855</v>
          </cell>
          <cell r="F6728"/>
          <cell r="G6728">
            <v>4000000000</v>
          </cell>
          <cell r="H6728" t="str">
            <v>Hendra</v>
          </cell>
          <cell r="I6728" t="str">
            <v>Tiya</v>
          </cell>
          <cell r="J6728"/>
          <cell r="K6728" t="str">
            <v>KU</v>
          </cell>
          <cell r="L6728" t="str">
            <v>REKA02</v>
          </cell>
          <cell r="M6728" t="str">
            <v>Rekan Tani Indonesia, CV</v>
          </cell>
          <cell r="N6728" t="str">
            <v>Rekan Tani Sukses Makmur, PT</v>
          </cell>
          <cell r="O6728" t="str">
            <v>Citralend RT.000/RW.000, Winangun Satu, Malalayang</v>
          </cell>
          <cell r="P6728" t="str">
            <v>Manado</v>
          </cell>
          <cell r="Q6728" t="str">
            <v>Jl. Re Martadinata No. 18 A, Dendengan Luar Paal Dua</v>
          </cell>
          <cell r="R6728" t="str">
            <v>Manado</v>
          </cell>
          <cell r="S6728" t="str">
            <v>E Luar Pulau2</v>
          </cell>
          <cell r="T6728" t="str">
            <v>Non SE &amp; JSE</v>
          </cell>
          <cell r="U6728">
            <v>15</v>
          </cell>
        </row>
        <row r="6729">
          <cell r="E6729" t="str">
            <v>B25010862</v>
          </cell>
          <cell r="F6729"/>
          <cell r="G6729">
            <v>4000000000</v>
          </cell>
          <cell r="H6729" t="str">
            <v>Hendra</v>
          </cell>
          <cell r="I6729" t="str">
            <v>Tiya</v>
          </cell>
          <cell r="J6729"/>
          <cell r="K6729" t="str">
            <v>KU</v>
          </cell>
          <cell r="L6729" t="str">
            <v>REKA02</v>
          </cell>
          <cell r="M6729" t="str">
            <v>Rekan Tani Indonesia, CV</v>
          </cell>
          <cell r="N6729" t="str">
            <v>Rekan Tani Sukses Makmur, PT</v>
          </cell>
          <cell r="O6729" t="str">
            <v>Citralend RT.000/RW.000, Winangun Satu, Malalayang</v>
          </cell>
          <cell r="P6729" t="str">
            <v>Manado</v>
          </cell>
          <cell r="Q6729" t="str">
            <v>Jl. Re Martadinata No. 18 A, Dendengan Luar Paal Dua</v>
          </cell>
          <cell r="R6729" t="str">
            <v>Manado</v>
          </cell>
          <cell r="S6729" t="str">
            <v>E Luar Pulau2</v>
          </cell>
          <cell r="T6729" t="str">
            <v>Non SE &amp; JSE</v>
          </cell>
          <cell r="U6729">
            <v>45</v>
          </cell>
        </row>
        <row r="6730">
          <cell r="E6730" t="str">
            <v>B25010863</v>
          </cell>
          <cell r="F6730"/>
          <cell r="G6730">
            <v>4000000000</v>
          </cell>
          <cell r="H6730" t="str">
            <v>Hendra</v>
          </cell>
          <cell r="I6730" t="str">
            <v>Tiya</v>
          </cell>
          <cell r="J6730"/>
          <cell r="K6730" t="str">
            <v>KU</v>
          </cell>
          <cell r="L6730" t="str">
            <v>REKA02</v>
          </cell>
          <cell r="M6730" t="str">
            <v>Rekan Tani Indonesia, CV</v>
          </cell>
          <cell r="N6730" t="str">
            <v>Rekan Tani Sukses Makmur, PT</v>
          </cell>
          <cell r="O6730" t="str">
            <v>Citralend RT.000/RW.000, Winangun Satu, Malalayang</v>
          </cell>
          <cell r="P6730" t="str">
            <v>Manado</v>
          </cell>
          <cell r="Q6730" t="str">
            <v>Jl. Re Martadinata No. 18 A, Dendengan Luar Paal Dua</v>
          </cell>
          <cell r="R6730" t="str">
            <v>Manado</v>
          </cell>
          <cell r="S6730" t="str">
            <v>E Luar Pulau2</v>
          </cell>
          <cell r="T6730" t="str">
            <v>Non SE &amp; JSE</v>
          </cell>
          <cell r="U6730">
            <v>45</v>
          </cell>
        </row>
        <row r="6731">
          <cell r="E6731" t="str">
            <v>D25013100</v>
          </cell>
          <cell r="F6731"/>
          <cell r="G6731">
            <v>4000000000</v>
          </cell>
          <cell r="H6731" t="str">
            <v>Hendra</v>
          </cell>
          <cell r="I6731" t="str">
            <v>Tiya</v>
          </cell>
          <cell r="J6731"/>
          <cell r="K6731" t="str">
            <v>KU</v>
          </cell>
          <cell r="L6731" t="str">
            <v>REKA02</v>
          </cell>
          <cell r="M6731" t="str">
            <v>Rekan Tani Indonesia, CV</v>
          </cell>
          <cell r="N6731" t="str">
            <v>Rekan Tani Sukses Makmur, PT</v>
          </cell>
          <cell r="O6731" t="str">
            <v>Citralend RT.000/RW.000, Winangun Satu, Malalayang</v>
          </cell>
          <cell r="P6731" t="str">
            <v>Manado</v>
          </cell>
          <cell r="Q6731" t="str">
            <v>Jl. Re Martadinata No. 18 A, Dendengan Luar Paal Dua</v>
          </cell>
          <cell r="R6731" t="str">
            <v>Manado</v>
          </cell>
          <cell r="S6731" t="str">
            <v>E Luar Pulau2</v>
          </cell>
          <cell r="T6731" t="str">
            <v>Non SE &amp; JSE</v>
          </cell>
          <cell r="U6731">
            <v>45</v>
          </cell>
        </row>
        <row r="6732">
          <cell r="E6732" t="str">
            <v>B25011036</v>
          </cell>
          <cell r="F6732"/>
          <cell r="G6732">
            <v>4000000000</v>
          </cell>
          <cell r="H6732" t="str">
            <v>Hendra</v>
          </cell>
          <cell r="I6732" t="str">
            <v>Tiya</v>
          </cell>
          <cell r="J6732"/>
          <cell r="K6732" t="str">
            <v>KU</v>
          </cell>
          <cell r="L6732" t="str">
            <v>REKA02</v>
          </cell>
          <cell r="M6732" t="str">
            <v>Rekan Tani Indonesia, CV</v>
          </cell>
          <cell r="N6732" t="str">
            <v>Rekan Tani Sukses Makmur, PT</v>
          </cell>
          <cell r="O6732" t="str">
            <v>Citralend RT.000/RW.000, Winangun Satu, Malalayang</v>
          </cell>
          <cell r="P6732" t="str">
            <v>Manado</v>
          </cell>
          <cell r="Q6732" t="str">
            <v>Jl. Re Martadinata No. 18 A, Dendengan Luar Paal Dua</v>
          </cell>
          <cell r="R6732" t="str">
            <v>Manado</v>
          </cell>
          <cell r="S6732" t="str">
            <v>E Luar Pulau2</v>
          </cell>
          <cell r="T6732" t="str">
            <v>Non SE &amp; JSE</v>
          </cell>
          <cell r="U6732">
            <v>45</v>
          </cell>
        </row>
        <row r="6733">
          <cell r="E6733" t="str">
            <v>D25013242</v>
          </cell>
          <cell r="F6733"/>
          <cell r="G6733">
            <v>4000000000</v>
          </cell>
          <cell r="H6733" t="str">
            <v>Hendra</v>
          </cell>
          <cell r="I6733" t="str">
            <v>Tiya</v>
          </cell>
          <cell r="J6733"/>
          <cell r="K6733" t="str">
            <v>KU</v>
          </cell>
          <cell r="L6733" t="str">
            <v>REKA02</v>
          </cell>
          <cell r="M6733" t="str">
            <v>Rekan Tani Indonesia, CV</v>
          </cell>
          <cell r="N6733" t="str">
            <v>Rekan Tani Sukses Makmur, PT</v>
          </cell>
          <cell r="O6733" t="str">
            <v>Citralend RT.000/RW.000, Winangun Satu, Malalayang</v>
          </cell>
          <cell r="P6733" t="str">
            <v>Manado</v>
          </cell>
          <cell r="Q6733" t="str">
            <v>Jl. Re Martadinata No. 18 A, Dendengan Luar Paal Dua</v>
          </cell>
          <cell r="R6733" t="str">
            <v>Manado</v>
          </cell>
          <cell r="S6733" t="str">
            <v>E Luar Pulau2</v>
          </cell>
          <cell r="T6733" t="str">
            <v>Non SE &amp; JSE</v>
          </cell>
          <cell r="U6733">
            <v>45</v>
          </cell>
        </row>
        <row r="6734">
          <cell r="E6734" t="str">
            <v>D25013280</v>
          </cell>
          <cell r="F6734"/>
          <cell r="G6734">
            <v>4000000000</v>
          </cell>
          <cell r="H6734" t="str">
            <v>Hendra</v>
          </cell>
          <cell r="I6734" t="str">
            <v>Tiya</v>
          </cell>
          <cell r="J6734"/>
          <cell r="K6734" t="str">
            <v>KU</v>
          </cell>
          <cell r="L6734" t="str">
            <v>REKA02</v>
          </cell>
          <cell r="M6734" t="str">
            <v>Rekan Tani Indonesia, CV</v>
          </cell>
          <cell r="N6734" t="str">
            <v>Rekan Tani Sukses Makmur, PT</v>
          </cell>
          <cell r="O6734" t="str">
            <v>Citralend RT.000/RW.000, Winangun Satu, Malalayang</v>
          </cell>
          <cell r="P6734" t="str">
            <v>Manado</v>
          </cell>
          <cell r="Q6734" t="str">
            <v>Jl. Re Martadinata No. 18 A, Dendengan Luar Paal Dua</v>
          </cell>
          <cell r="R6734" t="str">
            <v>Manado</v>
          </cell>
          <cell r="S6734" t="str">
            <v>E Luar Pulau2</v>
          </cell>
          <cell r="T6734" t="str">
            <v>Non SE &amp; JSE</v>
          </cell>
          <cell r="U6734">
            <v>45</v>
          </cell>
        </row>
        <row r="6735">
          <cell r="E6735">
            <v>250115</v>
          </cell>
          <cell r="F6735"/>
          <cell r="G6735">
            <v>4000000000</v>
          </cell>
          <cell r="H6735" t="str">
            <v>Hendra</v>
          </cell>
          <cell r="I6735" t="str">
            <v>Tiya</v>
          </cell>
          <cell r="J6735"/>
          <cell r="K6735" t="str">
            <v>KU</v>
          </cell>
          <cell r="L6735" t="str">
            <v>REKA02</v>
          </cell>
          <cell r="M6735" t="str">
            <v>Rekan Tani Indonesia, CV</v>
          </cell>
          <cell r="N6735" t="str">
            <v>Rekan Tani Sukses Makmur, PT</v>
          </cell>
          <cell r="O6735" t="str">
            <v>Citralend RT.000/RW.000, Winangun Satu, Malalayang</v>
          </cell>
          <cell r="P6735" t="str">
            <v>Manado</v>
          </cell>
          <cell r="Q6735" t="str">
            <v>Jl. Re Martadinata No. 18 A, Dendengan Luar Paal Dua</v>
          </cell>
          <cell r="R6735" t="str">
            <v>Manado</v>
          </cell>
          <cell r="S6735" t="str">
            <v>E Luar Pulau2</v>
          </cell>
          <cell r="T6735" t="str">
            <v>Non SE &amp; JSE</v>
          </cell>
          <cell r="U6735">
            <v>45</v>
          </cell>
        </row>
        <row r="6736">
          <cell r="E6736" t="str">
            <v>D25014501</v>
          </cell>
          <cell r="F6736"/>
          <cell r="G6736">
            <v>4000000000</v>
          </cell>
          <cell r="H6736" t="str">
            <v>Hendra</v>
          </cell>
          <cell r="I6736" t="str">
            <v>Tiya</v>
          </cell>
          <cell r="J6736"/>
          <cell r="K6736" t="str">
            <v>KU</v>
          </cell>
          <cell r="L6736" t="str">
            <v>REKA02</v>
          </cell>
          <cell r="M6736" t="str">
            <v>Rekan Tani Indonesia, CV</v>
          </cell>
          <cell r="N6736" t="str">
            <v>Rekan Tani Sukses Makmur, PT</v>
          </cell>
          <cell r="O6736" t="str">
            <v>Citralend RT.000/RW.000, Winangun Satu, Malalayang</v>
          </cell>
          <cell r="P6736" t="str">
            <v>Manado</v>
          </cell>
          <cell r="Q6736" t="str">
            <v>Jl. Re Martadinata No. 18 A, Dendengan Luar Paal Dua</v>
          </cell>
          <cell r="R6736" t="str">
            <v>Manado</v>
          </cell>
          <cell r="S6736" t="str">
            <v>E Luar Pulau2</v>
          </cell>
          <cell r="T6736" t="str">
            <v>Non SE &amp; JSE</v>
          </cell>
          <cell r="U6736">
            <v>45</v>
          </cell>
        </row>
        <row r="6737">
          <cell r="E6737" t="str">
            <v>D25014502</v>
          </cell>
          <cell r="F6737"/>
          <cell r="G6737">
            <v>4000000000</v>
          </cell>
          <cell r="H6737" t="str">
            <v>Hendra</v>
          </cell>
          <cell r="I6737" t="str">
            <v>Tiya</v>
          </cell>
          <cell r="J6737"/>
          <cell r="K6737" t="str">
            <v>KU</v>
          </cell>
          <cell r="L6737" t="str">
            <v>REKA02</v>
          </cell>
          <cell r="M6737" t="str">
            <v>Rekan Tani Indonesia, CV</v>
          </cell>
          <cell r="N6737" t="str">
            <v>Rekan Tani Sukses Makmur, PT</v>
          </cell>
          <cell r="O6737" t="str">
            <v>Citralend RT.000/RW.000, Winangun Satu, Malalayang</v>
          </cell>
          <cell r="P6737" t="str">
            <v>Manado</v>
          </cell>
          <cell r="Q6737" t="str">
            <v>Jl. Re Martadinata No. 18 A, Dendengan Luar Paal Dua</v>
          </cell>
          <cell r="R6737" t="str">
            <v>Manado</v>
          </cell>
          <cell r="S6737" t="str">
            <v>E Luar Pulau2</v>
          </cell>
          <cell r="T6737" t="str">
            <v>Non SE &amp; JSE</v>
          </cell>
          <cell r="U6737">
            <v>45</v>
          </cell>
        </row>
        <row r="6738">
          <cell r="E6738" t="str">
            <v>D25014503</v>
          </cell>
          <cell r="F6738"/>
          <cell r="G6738">
            <v>4000000000</v>
          </cell>
          <cell r="H6738" t="str">
            <v>Hendra</v>
          </cell>
          <cell r="I6738" t="str">
            <v>Tiya</v>
          </cell>
          <cell r="J6738"/>
          <cell r="K6738" t="str">
            <v>KU</v>
          </cell>
          <cell r="L6738" t="str">
            <v>REKA02</v>
          </cell>
          <cell r="M6738" t="str">
            <v>Rekan Tani Indonesia, CV</v>
          </cell>
          <cell r="N6738" t="str">
            <v>Rekan Tani Sukses Makmur, PT</v>
          </cell>
          <cell r="O6738" t="str">
            <v>Citralend RT.000/RW.000, Winangun Satu, Malalayang</v>
          </cell>
          <cell r="P6738" t="str">
            <v>Manado</v>
          </cell>
          <cell r="Q6738" t="str">
            <v>Jl. Re Martadinata No. 18 A, Dendengan Luar Paal Dua</v>
          </cell>
          <cell r="R6738" t="str">
            <v>Manado</v>
          </cell>
          <cell r="S6738" t="str">
            <v>E Luar Pulau2</v>
          </cell>
          <cell r="T6738" t="str">
            <v>Non SE &amp; JSE</v>
          </cell>
          <cell r="U6738">
            <v>45</v>
          </cell>
        </row>
        <row r="6739">
          <cell r="E6739" t="str">
            <v>D25014524</v>
          </cell>
          <cell r="F6739"/>
          <cell r="G6739">
            <v>4000000000</v>
          </cell>
          <cell r="H6739" t="str">
            <v>Hendra</v>
          </cell>
          <cell r="I6739" t="str">
            <v>Tiya</v>
          </cell>
          <cell r="J6739"/>
          <cell r="K6739" t="str">
            <v>KU</v>
          </cell>
          <cell r="L6739" t="str">
            <v>REKA02</v>
          </cell>
          <cell r="M6739" t="str">
            <v>Rekan Tani Indonesia, CV</v>
          </cell>
          <cell r="N6739" t="str">
            <v>Rekan Tani Sukses Makmur, PT</v>
          </cell>
          <cell r="O6739" t="str">
            <v>Citralend RT.000/RW.000, Winangun Satu, Malalayang</v>
          </cell>
          <cell r="P6739" t="str">
            <v>Manado</v>
          </cell>
          <cell r="Q6739" t="str">
            <v>Jl. Re Martadinata No. 18 A, Dendengan Luar Paal Dua</v>
          </cell>
          <cell r="R6739" t="str">
            <v>Manado</v>
          </cell>
          <cell r="S6739" t="str">
            <v>E Luar Pulau2</v>
          </cell>
          <cell r="T6739" t="str">
            <v>Non SE &amp; JSE</v>
          </cell>
          <cell r="U6739">
            <v>45</v>
          </cell>
        </row>
        <row r="6740">
          <cell r="E6740" t="str">
            <v>B25012452</v>
          </cell>
          <cell r="F6740"/>
          <cell r="G6740">
            <v>4000000000</v>
          </cell>
          <cell r="H6740" t="str">
            <v>Hendra</v>
          </cell>
          <cell r="I6740" t="str">
            <v>Tiya</v>
          </cell>
          <cell r="J6740"/>
          <cell r="K6740" t="str">
            <v>KU</v>
          </cell>
          <cell r="L6740" t="str">
            <v>REKA02</v>
          </cell>
          <cell r="M6740" t="str">
            <v>Rekan Tani Indonesia, CV</v>
          </cell>
          <cell r="N6740" t="str">
            <v>Rekan Tani Sukses Makmur, PT</v>
          </cell>
          <cell r="O6740" t="str">
            <v>Citralend RT.000/RW.000, Winangun Satu, Malalayang</v>
          </cell>
          <cell r="P6740" t="str">
            <v>Manado</v>
          </cell>
          <cell r="Q6740" t="str">
            <v>Jl. Re Martadinata No. 18 A, Dendengan Luar Paal Dua</v>
          </cell>
          <cell r="R6740" t="str">
            <v>Manado</v>
          </cell>
          <cell r="S6740" t="str">
            <v>E Luar Pulau2</v>
          </cell>
          <cell r="T6740" t="str">
            <v>Non SE &amp; JSE</v>
          </cell>
          <cell r="U6740">
            <v>45</v>
          </cell>
        </row>
        <row r="6741">
          <cell r="E6741" t="str">
            <v>D25014792</v>
          </cell>
          <cell r="F6741"/>
          <cell r="G6741">
            <v>4000000000</v>
          </cell>
          <cell r="H6741" t="str">
            <v>Hendra</v>
          </cell>
          <cell r="I6741" t="str">
            <v>Tiya</v>
          </cell>
          <cell r="J6741"/>
          <cell r="K6741" t="str">
            <v>KU</v>
          </cell>
          <cell r="L6741" t="str">
            <v>REKA02</v>
          </cell>
          <cell r="M6741" t="str">
            <v>Rekan Tani Indonesia, CV</v>
          </cell>
          <cell r="N6741" t="str">
            <v>Rekan Tani Sukses Makmur, PT</v>
          </cell>
          <cell r="O6741" t="str">
            <v>Citralend RT.000/RW.000, Winangun Satu, Malalayang</v>
          </cell>
          <cell r="P6741" t="str">
            <v>Manado</v>
          </cell>
          <cell r="Q6741" t="str">
            <v>Jl. Re Martadinata No. 18 A, Dendengan Luar Paal Dua</v>
          </cell>
          <cell r="R6741" t="str">
            <v>Manado</v>
          </cell>
          <cell r="S6741" t="str">
            <v>E Luar Pulau2</v>
          </cell>
          <cell r="T6741" t="str">
            <v>Non SE &amp; JSE</v>
          </cell>
          <cell r="U6741">
            <v>45</v>
          </cell>
        </row>
        <row r="6742">
          <cell r="E6742" t="str">
            <v>B25012914</v>
          </cell>
          <cell r="F6742"/>
          <cell r="G6742">
            <v>4000000000</v>
          </cell>
          <cell r="H6742" t="str">
            <v>Hendra</v>
          </cell>
          <cell r="I6742" t="str">
            <v>Tiya</v>
          </cell>
          <cell r="J6742"/>
          <cell r="K6742" t="str">
            <v>KU</v>
          </cell>
          <cell r="L6742" t="str">
            <v>REKA02</v>
          </cell>
          <cell r="M6742" t="str">
            <v>Rekan Tani Indonesia, CV</v>
          </cell>
          <cell r="N6742" t="str">
            <v>Rekan Tani Sukses Makmur, PT</v>
          </cell>
          <cell r="O6742" t="str">
            <v>Citralend RT.000/RW.000, Winangun Satu, Malalayang</v>
          </cell>
          <cell r="P6742" t="str">
            <v>Manado</v>
          </cell>
          <cell r="Q6742" t="str">
            <v>Jl. Re Martadinata No. 18 A, Dendengan Luar Paal Dua</v>
          </cell>
          <cell r="R6742" t="str">
            <v>Manado</v>
          </cell>
          <cell r="S6742" t="str">
            <v>E Luar Pulau2</v>
          </cell>
          <cell r="T6742" t="str">
            <v>Non SE &amp; JSE</v>
          </cell>
          <cell r="U6742">
            <v>45</v>
          </cell>
        </row>
        <row r="6743">
          <cell r="E6743" t="str">
            <v>B25012915</v>
          </cell>
          <cell r="F6743"/>
          <cell r="G6743">
            <v>4000000000</v>
          </cell>
          <cell r="H6743" t="str">
            <v>Hendra</v>
          </cell>
          <cell r="I6743" t="str">
            <v>Tiya</v>
          </cell>
          <cell r="J6743"/>
          <cell r="K6743" t="str">
            <v>KU</v>
          </cell>
          <cell r="L6743" t="str">
            <v>REKA02</v>
          </cell>
          <cell r="M6743" t="str">
            <v>Rekan Tani Indonesia, CV</v>
          </cell>
          <cell r="N6743" t="str">
            <v>Rekan Tani Sukses Makmur, PT</v>
          </cell>
          <cell r="O6743" t="str">
            <v>Citralend RT.000/RW.000, Winangun Satu, Malalayang</v>
          </cell>
          <cell r="P6743" t="str">
            <v>Manado</v>
          </cell>
          <cell r="Q6743" t="str">
            <v>Jl. Re Martadinata No. 18 A, Dendengan Luar Paal Dua</v>
          </cell>
          <cell r="R6743" t="str">
            <v>Manado</v>
          </cell>
          <cell r="S6743" t="str">
            <v>E Luar Pulau2</v>
          </cell>
          <cell r="T6743" t="str">
            <v>Non SE &amp; JSE</v>
          </cell>
          <cell r="U6743">
            <v>45</v>
          </cell>
        </row>
        <row r="6744">
          <cell r="E6744" t="str">
            <v>B25012928</v>
          </cell>
          <cell r="F6744"/>
          <cell r="G6744">
            <v>4000000000</v>
          </cell>
          <cell r="H6744" t="str">
            <v>Hendra</v>
          </cell>
          <cell r="I6744" t="str">
            <v>Tiya</v>
          </cell>
          <cell r="J6744"/>
          <cell r="K6744" t="str">
            <v>KU</v>
          </cell>
          <cell r="L6744" t="str">
            <v>REKA02</v>
          </cell>
          <cell r="M6744" t="str">
            <v>Rekan Tani Indonesia, CV</v>
          </cell>
          <cell r="N6744" t="str">
            <v>Rekan Tani Sukses Makmur, PT</v>
          </cell>
          <cell r="O6744" t="str">
            <v>Citralend RT.000/RW.000, Winangun Satu, Malalayang</v>
          </cell>
          <cell r="P6744" t="str">
            <v>Manado</v>
          </cell>
          <cell r="Q6744" t="str">
            <v>Jl. Re Martadinata No. 18 A, Dendengan Luar Paal Dua</v>
          </cell>
          <cell r="R6744" t="str">
            <v>Manado</v>
          </cell>
          <cell r="S6744" t="str">
            <v>E Luar Pulau2</v>
          </cell>
          <cell r="T6744" t="str">
            <v>Non SE &amp; JSE</v>
          </cell>
          <cell r="U6744">
            <v>45</v>
          </cell>
        </row>
        <row r="6745">
          <cell r="E6745" t="str">
            <v>B25013502</v>
          </cell>
          <cell r="F6745"/>
          <cell r="G6745">
            <v>4000000000</v>
          </cell>
          <cell r="H6745" t="str">
            <v>Hendra</v>
          </cell>
          <cell r="I6745" t="str">
            <v>Tiya</v>
          </cell>
          <cell r="J6745"/>
          <cell r="K6745" t="str">
            <v>KU</v>
          </cell>
          <cell r="L6745" t="str">
            <v>REKA02</v>
          </cell>
          <cell r="M6745" t="str">
            <v>Rekan Tani Indonesia, CV</v>
          </cell>
          <cell r="N6745" t="str">
            <v>Rekan Tani Sukses Makmur, PT</v>
          </cell>
          <cell r="O6745" t="str">
            <v>Citralend RT.000/RW.000, Winangun Satu, Malalayang</v>
          </cell>
          <cell r="P6745" t="str">
            <v>Manado</v>
          </cell>
          <cell r="Q6745" t="str">
            <v>Jl. Re Martadinata No. 18 A, Dendengan Luar Paal Dua</v>
          </cell>
          <cell r="R6745" t="str">
            <v>Manado</v>
          </cell>
          <cell r="S6745" t="str">
            <v>E Luar Pulau2</v>
          </cell>
          <cell r="T6745" t="str">
            <v>Non SE &amp; JSE</v>
          </cell>
          <cell r="U6745">
            <v>45</v>
          </cell>
        </row>
        <row r="6746">
          <cell r="E6746" t="str">
            <v>B25013503</v>
          </cell>
          <cell r="F6746"/>
          <cell r="G6746">
            <v>4000000000</v>
          </cell>
          <cell r="H6746" t="str">
            <v>Hendra</v>
          </cell>
          <cell r="I6746" t="str">
            <v>Tiya</v>
          </cell>
          <cell r="J6746"/>
          <cell r="K6746" t="str">
            <v>KU</v>
          </cell>
          <cell r="L6746" t="str">
            <v>REKA02</v>
          </cell>
          <cell r="M6746" t="str">
            <v>Rekan Tani Indonesia, CV</v>
          </cell>
          <cell r="N6746" t="str">
            <v>Rekan Tani Sukses Makmur, PT</v>
          </cell>
          <cell r="O6746" t="str">
            <v>Citralend RT.000/RW.000, Winangun Satu, Malalayang</v>
          </cell>
          <cell r="P6746" t="str">
            <v>Manado</v>
          </cell>
          <cell r="Q6746" t="str">
            <v>Jl. Re Martadinata No. 18 A, Dendengan Luar Paal Dua</v>
          </cell>
          <cell r="R6746" t="str">
            <v>Manado</v>
          </cell>
          <cell r="S6746" t="str">
            <v>E Luar Pulau2</v>
          </cell>
          <cell r="T6746" t="str">
            <v>Non SE &amp; JSE</v>
          </cell>
          <cell r="U6746">
            <v>45</v>
          </cell>
        </row>
        <row r="6747">
          <cell r="E6747" t="str">
            <v>D25015799</v>
          </cell>
          <cell r="F6747"/>
          <cell r="G6747">
            <v>4000000000</v>
          </cell>
          <cell r="H6747" t="str">
            <v>Hendra</v>
          </cell>
          <cell r="I6747" t="str">
            <v>Tiya</v>
          </cell>
          <cell r="J6747"/>
          <cell r="K6747" t="str">
            <v>KU</v>
          </cell>
          <cell r="L6747" t="str">
            <v>REKA02</v>
          </cell>
          <cell r="M6747" t="str">
            <v>Rekan Tani Indonesia, CV</v>
          </cell>
          <cell r="N6747" t="str">
            <v>Rekan Tani Sukses Makmur, PT</v>
          </cell>
          <cell r="O6747" t="str">
            <v>Citralend RT.000/RW.000, Winangun Satu, Malalayang</v>
          </cell>
          <cell r="P6747" t="str">
            <v>Manado</v>
          </cell>
          <cell r="Q6747" t="str">
            <v>Jl. Re Martadinata No. 18 A, Dendengan Luar Paal Dua</v>
          </cell>
          <cell r="R6747" t="str">
            <v>Manado</v>
          </cell>
          <cell r="S6747" t="str">
            <v>E Luar Pulau2</v>
          </cell>
          <cell r="T6747" t="str">
            <v>Non SE &amp; JSE</v>
          </cell>
          <cell r="U6747">
            <v>45</v>
          </cell>
        </row>
        <row r="6748">
          <cell r="E6748">
            <v>250141</v>
          </cell>
          <cell r="F6748"/>
          <cell r="G6748">
            <v>4000000000</v>
          </cell>
          <cell r="H6748" t="str">
            <v>Hendra</v>
          </cell>
          <cell r="I6748" t="str">
            <v>Tiya</v>
          </cell>
          <cell r="J6748"/>
          <cell r="K6748" t="str">
            <v>KU</v>
          </cell>
          <cell r="L6748" t="str">
            <v>REKA02</v>
          </cell>
          <cell r="M6748" t="str">
            <v>Rekan Tani Indonesia, CV</v>
          </cell>
          <cell r="N6748" t="str">
            <v>Rekan Tani Sukses Makmur, PT</v>
          </cell>
          <cell r="O6748" t="str">
            <v>Citralend RT.000/RW.000, Winangun Satu, Malalayang</v>
          </cell>
          <cell r="P6748" t="str">
            <v>Manado</v>
          </cell>
          <cell r="Q6748" t="str">
            <v>Jl. Re Martadinata No. 18 A, Dendengan Luar Paal Dua</v>
          </cell>
          <cell r="R6748" t="str">
            <v>Manado</v>
          </cell>
          <cell r="S6748" t="str">
            <v>E Luar Pulau2</v>
          </cell>
          <cell r="T6748" t="str">
            <v>Non SE &amp; JSE</v>
          </cell>
          <cell r="U6748">
            <v>45</v>
          </cell>
        </row>
        <row r="6749">
          <cell r="E6749" t="str">
            <v>D25015869</v>
          </cell>
          <cell r="F6749"/>
          <cell r="G6749">
            <v>4000000000</v>
          </cell>
          <cell r="H6749" t="str">
            <v>Hendra</v>
          </cell>
          <cell r="I6749" t="str">
            <v>Tiya</v>
          </cell>
          <cell r="J6749"/>
          <cell r="K6749" t="str">
            <v>KU</v>
          </cell>
          <cell r="L6749" t="str">
            <v>REKA02</v>
          </cell>
          <cell r="M6749" t="str">
            <v>Rekan Tani Indonesia, CV</v>
          </cell>
          <cell r="N6749" t="str">
            <v>Rekan Tani Sukses Makmur, PT</v>
          </cell>
          <cell r="O6749" t="str">
            <v>Citralend RT.000/RW.000, Winangun Satu, Malalayang</v>
          </cell>
          <cell r="P6749" t="str">
            <v>Manado</v>
          </cell>
          <cell r="Q6749" t="str">
            <v>Jl. Re Martadinata No. 18 A, Dendengan Luar Paal Dua</v>
          </cell>
          <cell r="R6749" t="str">
            <v>Manado</v>
          </cell>
          <cell r="S6749" t="str">
            <v>E Luar Pulau2</v>
          </cell>
          <cell r="T6749" t="str">
            <v>Non SE &amp; JSE</v>
          </cell>
          <cell r="U6749">
            <v>45</v>
          </cell>
        </row>
        <row r="6750">
          <cell r="E6750" t="str">
            <v>D25012696</v>
          </cell>
          <cell r="F6750"/>
          <cell r="G6750">
            <v>50000000</v>
          </cell>
          <cell r="H6750" t="str">
            <v>Faris</v>
          </cell>
          <cell r="I6750" t="str">
            <v>Syahra</v>
          </cell>
          <cell r="J6750" t="str">
            <v>New 07/07/23</v>
          </cell>
          <cell r="K6750" t="str">
            <v>KU</v>
          </cell>
          <cell r="L6750" t="str">
            <v>RENG01</v>
          </cell>
          <cell r="M6750" t="str">
            <v>Rengganis Agro/Nabilatus</v>
          </cell>
          <cell r="N6750" t="str">
            <v>Nabilatus Syarifah</v>
          </cell>
          <cell r="O6750" t="str">
            <v>Dusun Kramat RT.002/RW.001, Jetis, Curahdami</v>
          </cell>
          <cell r="P6750" t="str">
            <v>Bondowoso</v>
          </cell>
          <cell r="Q6750" t="str">
            <v>Jl. Rengganis, Kramat I, Jetis, Curah Dami</v>
          </cell>
          <cell r="R6750" t="str">
            <v>Bondowoso</v>
          </cell>
          <cell r="S6750" t="str">
            <v>N Bdw Stb</v>
          </cell>
          <cell r="T6750" t="str">
            <v>Wira</v>
          </cell>
          <cell r="U6750">
            <v>30</v>
          </cell>
        </row>
        <row r="6751">
          <cell r="E6751" t="str">
            <v>D25012696</v>
          </cell>
          <cell r="F6751"/>
          <cell r="G6751">
            <v>50000000</v>
          </cell>
          <cell r="H6751" t="str">
            <v>Faris</v>
          </cell>
          <cell r="I6751" t="str">
            <v>Syahra</v>
          </cell>
          <cell r="J6751" t="str">
            <v>New 07/07/23</v>
          </cell>
          <cell r="K6751" t="str">
            <v>KU</v>
          </cell>
          <cell r="L6751" t="str">
            <v>RENG01</v>
          </cell>
          <cell r="M6751" t="str">
            <v>Rengganis Agro/Nabilatus</v>
          </cell>
          <cell r="N6751" t="str">
            <v>Nabilatus Syarifah</v>
          </cell>
          <cell r="O6751" t="str">
            <v>Dusun Kramat RT.002/RW.001, Jetis, Curahdami</v>
          </cell>
          <cell r="P6751" t="str">
            <v>Bondowoso</v>
          </cell>
          <cell r="Q6751" t="str">
            <v>Jl. Rengganis, Kramat I, Jetis, Curah Dami</v>
          </cell>
          <cell r="R6751" t="str">
            <v>Bondowoso</v>
          </cell>
          <cell r="S6751" t="str">
            <v>N Bdw Stb</v>
          </cell>
          <cell r="T6751" t="str">
            <v>Wira</v>
          </cell>
          <cell r="U6751">
            <v>30</v>
          </cell>
        </row>
        <row r="6752">
          <cell r="E6752" t="str">
            <v>D25012696</v>
          </cell>
          <cell r="F6752"/>
          <cell r="G6752">
            <v>50000000</v>
          </cell>
          <cell r="H6752" t="str">
            <v>Faris</v>
          </cell>
          <cell r="I6752" t="str">
            <v>Syahra</v>
          </cell>
          <cell r="J6752" t="str">
            <v>New 07/07/23</v>
          </cell>
          <cell r="K6752" t="str">
            <v>KU</v>
          </cell>
          <cell r="L6752" t="str">
            <v>RENG01</v>
          </cell>
          <cell r="M6752" t="str">
            <v>Rengganis Agro/Nabilatus</v>
          </cell>
          <cell r="N6752" t="str">
            <v>Nabilatus Syarifah</v>
          </cell>
          <cell r="O6752" t="str">
            <v>Dusun Kramat RT.002/RW.001, Jetis, Curahdami</v>
          </cell>
          <cell r="P6752" t="str">
            <v>Bondowoso</v>
          </cell>
          <cell r="Q6752" t="str">
            <v>Jl. Rengganis, Kramat I, Jetis, Curah Dami</v>
          </cell>
          <cell r="R6752" t="str">
            <v>Bondowoso</v>
          </cell>
          <cell r="S6752" t="str">
            <v>N Bdw Stb</v>
          </cell>
          <cell r="T6752" t="str">
            <v>Wira</v>
          </cell>
          <cell r="U6752">
            <v>30</v>
          </cell>
        </row>
        <row r="6753">
          <cell r="E6753" t="str">
            <v>D25013691</v>
          </cell>
          <cell r="F6753"/>
          <cell r="G6753">
            <v>50000000</v>
          </cell>
          <cell r="H6753" t="str">
            <v>Faris</v>
          </cell>
          <cell r="I6753" t="str">
            <v>Syahra</v>
          </cell>
          <cell r="J6753" t="str">
            <v>New 07/07/23</v>
          </cell>
          <cell r="K6753" t="str">
            <v>KU</v>
          </cell>
          <cell r="L6753" t="str">
            <v>RENG01</v>
          </cell>
          <cell r="M6753" t="str">
            <v>Rengganis Agro/Nabilatus</v>
          </cell>
          <cell r="N6753" t="str">
            <v>Nabilatus Syarifah</v>
          </cell>
          <cell r="O6753" t="str">
            <v>Dusun Kramat RT.002/RW.001, Jetis, Curahdami</v>
          </cell>
          <cell r="P6753" t="str">
            <v>Bondowoso</v>
          </cell>
          <cell r="Q6753" t="str">
            <v>Jl. Rengganis, Kramat I, Jetis, Curah Dami</v>
          </cell>
          <cell r="R6753" t="str">
            <v>Bondowoso</v>
          </cell>
          <cell r="S6753" t="str">
            <v>N Bdw Stb</v>
          </cell>
          <cell r="T6753" t="str">
            <v>Wira</v>
          </cell>
          <cell r="U6753">
            <v>30</v>
          </cell>
        </row>
        <row r="6754">
          <cell r="E6754" t="str">
            <v>D25015181</v>
          </cell>
          <cell r="F6754"/>
          <cell r="G6754">
            <v>50000000</v>
          </cell>
          <cell r="H6754" t="str">
            <v>Faris</v>
          </cell>
          <cell r="I6754" t="str">
            <v>Syahra</v>
          </cell>
          <cell r="J6754" t="str">
            <v>New 07/07/23</v>
          </cell>
          <cell r="K6754" t="str">
            <v>KU</v>
          </cell>
          <cell r="L6754" t="str">
            <v>RENG01</v>
          </cell>
          <cell r="M6754" t="str">
            <v>Rengganis Agro/Nabilatus</v>
          </cell>
          <cell r="N6754" t="str">
            <v>Nabilatus Syarifah</v>
          </cell>
          <cell r="O6754" t="str">
            <v>Dusun Kramat RT.002/RW.001, Jetis, Curahdami</v>
          </cell>
          <cell r="P6754" t="str">
            <v>Bondowoso</v>
          </cell>
          <cell r="Q6754" t="str">
            <v>Jl. Rengganis, Kramat I, Jetis, Curah Dami</v>
          </cell>
          <cell r="R6754" t="str">
            <v>Bondowoso</v>
          </cell>
          <cell r="S6754" t="str">
            <v>N Bdw Stb</v>
          </cell>
          <cell r="T6754" t="str">
            <v>Wira</v>
          </cell>
          <cell r="U6754">
            <v>30</v>
          </cell>
        </row>
        <row r="6755">
          <cell r="E6755" t="str">
            <v>D25015528</v>
          </cell>
          <cell r="F6755"/>
          <cell r="G6755">
            <v>50000000</v>
          </cell>
          <cell r="H6755" t="str">
            <v>Faris</v>
          </cell>
          <cell r="I6755" t="str">
            <v>Syahra</v>
          </cell>
          <cell r="J6755" t="str">
            <v>New 07/07/23</v>
          </cell>
          <cell r="K6755" t="str">
            <v>KU</v>
          </cell>
          <cell r="L6755" t="str">
            <v>RENG01</v>
          </cell>
          <cell r="M6755" t="str">
            <v>Rengganis Agro/Nabilatus</v>
          </cell>
          <cell r="N6755" t="str">
            <v>Nabilatus Syarifah</v>
          </cell>
          <cell r="O6755" t="str">
            <v>Dusun Kramat RT.002/RW.001, Jetis, Curahdami</v>
          </cell>
          <cell r="P6755" t="str">
            <v>Bondowoso</v>
          </cell>
          <cell r="Q6755" t="str">
            <v>Jl. Rengganis, Kramat I, Jetis, Curah Dami</v>
          </cell>
          <cell r="R6755" t="str">
            <v>Bondowoso</v>
          </cell>
          <cell r="S6755" t="str">
            <v>N Bdw Stb</v>
          </cell>
          <cell r="T6755" t="str">
            <v>Wira</v>
          </cell>
          <cell r="U6755">
            <v>30</v>
          </cell>
        </row>
        <row r="6756">
          <cell r="E6756" t="str">
            <v>D25015528</v>
          </cell>
          <cell r="F6756"/>
          <cell r="G6756">
            <v>50000000</v>
          </cell>
          <cell r="H6756" t="str">
            <v>Faris</v>
          </cell>
          <cell r="I6756" t="str">
            <v>Syahra</v>
          </cell>
          <cell r="J6756" t="str">
            <v>New 07/07/23</v>
          </cell>
          <cell r="K6756" t="str">
            <v>KU</v>
          </cell>
          <cell r="L6756" t="str">
            <v>RENG01</v>
          </cell>
          <cell r="M6756" t="str">
            <v>Rengganis Agro/Nabilatus</v>
          </cell>
          <cell r="N6756" t="str">
            <v>Nabilatus Syarifah</v>
          </cell>
          <cell r="O6756" t="str">
            <v>Dusun Kramat RT.002/RW.001, Jetis, Curahdami</v>
          </cell>
          <cell r="P6756" t="str">
            <v>Bondowoso</v>
          </cell>
          <cell r="Q6756" t="str">
            <v>Jl. Rengganis, Kramat I, Jetis, Curah Dami</v>
          </cell>
          <cell r="R6756" t="str">
            <v>Bondowoso</v>
          </cell>
          <cell r="S6756" t="str">
            <v>N Bdw Stb</v>
          </cell>
          <cell r="T6756" t="str">
            <v>Wira</v>
          </cell>
          <cell r="U6756">
            <v>30</v>
          </cell>
        </row>
        <row r="6757">
          <cell r="E6757" t="str">
            <v>D25015619</v>
          </cell>
          <cell r="F6757"/>
          <cell r="G6757">
            <v>50000000</v>
          </cell>
          <cell r="H6757" t="str">
            <v>Faris</v>
          </cell>
          <cell r="I6757" t="str">
            <v>Syahra</v>
          </cell>
          <cell r="J6757" t="str">
            <v>New 07/07/23</v>
          </cell>
          <cell r="K6757" t="str">
            <v>KU</v>
          </cell>
          <cell r="L6757" t="str">
            <v>RENG01</v>
          </cell>
          <cell r="M6757" t="str">
            <v>Rengganis Agro/Nabilatus</v>
          </cell>
          <cell r="N6757" t="str">
            <v>Nabilatus Syarifah</v>
          </cell>
          <cell r="O6757" t="str">
            <v>Dusun Kramat RT.002/RW.001, Jetis, Curahdami</v>
          </cell>
          <cell r="P6757" t="str">
            <v>Bondowoso</v>
          </cell>
          <cell r="Q6757" t="str">
            <v>Jl. Rengganis, Kramat I, Jetis, Curah Dami</v>
          </cell>
          <cell r="R6757" t="str">
            <v>Bondowoso</v>
          </cell>
          <cell r="S6757" t="str">
            <v>N Bdw Stb</v>
          </cell>
          <cell r="T6757" t="str">
            <v>Wira</v>
          </cell>
          <cell r="U6757">
            <v>30</v>
          </cell>
        </row>
        <row r="6758">
          <cell r="E6758" t="str">
            <v>B25013526</v>
          </cell>
          <cell r="F6758"/>
          <cell r="G6758">
            <v>50000000</v>
          </cell>
          <cell r="H6758" t="str">
            <v>Faris</v>
          </cell>
          <cell r="I6758" t="str">
            <v>Syahra</v>
          </cell>
          <cell r="J6758" t="str">
            <v>New 07/07/23</v>
          </cell>
          <cell r="K6758" t="str">
            <v>KU</v>
          </cell>
          <cell r="L6758" t="str">
            <v>RENG01</v>
          </cell>
          <cell r="M6758" t="str">
            <v>Rengganis Agro/Nabilatus</v>
          </cell>
          <cell r="N6758" t="str">
            <v>Nabilatus Syarifah</v>
          </cell>
          <cell r="O6758" t="str">
            <v>Dusun Kramat RT.002/RW.001, Jetis, Curahdami</v>
          </cell>
          <cell r="P6758" t="str">
            <v>Bondowoso</v>
          </cell>
          <cell r="Q6758" t="str">
            <v>Jl. Rengganis, Kramat I, Jetis, Curah Dami</v>
          </cell>
          <cell r="R6758" t="str">
            <v>Bondowoso</v>
          </cell>
          <cell r="S6758" t="str">
            <v>N Bdw Stb</v>
          </cell>
          <cell r="T6758" t="str">
            <v>Wira</v>
          </cell>
          <cell r="U6758">
            <v>30</v>
          </cell>
        </row>
        <row r="6759">
          <cell r="E6759" t="str">
            <v>B25013527</v>
          </cell>
          <cell r="F6759"/>
          <cell r="G6759">
            <v>50000000</v>
          </cell>
          <cell r="H6759" t="str">
            <v>Faris</v>
          </cell>
          <cell r="I6759" t="str">
            <v>Syahra</v>
          </cell>
          <cell r="J6759" t="str">
            <v>New 07/07/23</v>
          </cell>
          <cell r="K6759" t="str">
            <v>KU</v>
          </cell>
          <cell r="L6759" t="str">
            <v>RENG01</v>
          </cell>
          <cell r="M6759" t="str">
            <v>Rengganis Agro/Nabilatus</v>
          </cell>
          <cell r="N6759" t="str">
            <v>Nabilatus Syarifah</v>
          </cell>
          <cell r="O6759" t="str">
            <v>Dusun Kramat RT.002/RW.001, Jetis, Curahdami</v>
          </cell>
          <cell r="P6759" t="str">
            <v>Bondowoso</v>
          </cell>
          <cell r="Q6759" t="str">
            <v>Jl. Rengganis, Kramat I, Jetis, Curah Dami</v>
          </cell>
          <cell r="R6759" t="str">
            <v>Bondowoso</v>
          </cell>
          <cell r="S6759" t="str">
            <v>N Bdw Stb</v>
          </cell>
          <cell r="T6759" t="str">
            <v>Wira</v>
          </cell>
          <cell r="U6759">
            <v>30</v>
          </cell>
        </row>
        <row r="6760">
          <cell r="E6760" t="str">
            <v>R25000082</v>
          </cell>
          <cell r="F6760"/>
          <cell r="G6760">
            <v>1000</v>
          </cell>
          <cell r="H6760" t="str">
            <v>Others</v>
          </cell>
          <cell r="I6760" t="str">
            <v>Exclusive</v>
          </cell>
          <cell r="J6760" t="str">
            <v>New 22/01/25</v>
          </cell>
          <cell r="K6760" t="str">
            <v>KU</v>
          </cell>
          <cell r="L6760" t="str">
            <v>REST14</v>
          </cell>
          <cell r="M6760" t="str">
            <v>Restu Agropro Jayamas, PT</v>
          </cell>
          <cell r="N6760" t="str">
            <v>Restu Agropro Jayamas, PT</v>
          </cell>
          <cell r="O6760" t="str">
            <v>Semarang</v>
          </cell>
          <cell r="P6760" t="str">
            <v>Semarang</v>
          </cell>
          <cell r="Q6760" t="str">
            <v>Semarang</v>
          </cell>
          <cell r="R6760" t="str">
            <v>Semarang</v>
          </cell>
          <cell r="S6760" t="str">
            <v>I Jabar Jateng</v>
          </cell>
          <cell r="T6760" t="str">
            <v>Non SE &amp; JSE</v>
          </cell>
          <cell r="U6760">
            <v>15</v>
          </cell>
        </row>
        <row r="6761">
          <cell r="E6761" t="str">
            <v>B25013364</v>
          </cell>
          <cell r="F6761"/>
          <cell r="G6761">
            <v>1000</v>
          </cell>
          <cell r="H6761" t="str">
            <v>Sheila</v>
          </cell>
          <cell r="I6761" t="str">
            <v>Exclusive</v>
          </cell>
          <cell r="J6761" t="str">
            <v>New 20/08/24</v>
          </cell>
          <cell r="K6761" t="str">
            <v>KU</v>
          </cell>
          <cell r="L6761" t="str">
            <v>REST13</v>
          </cell>
          <cell r="M6761" t="str">
            <v>Restu Bunda/Zuhri</v>
          </cell>
          <cell r="N6761" t="str">
            <v>Zuhri</v>
          </cell>
          <cell r="O6761" t="str">
            <v>Jangkong RT.003, Kel. Kalijaga, Kec. Aikmel</v>
          </cell>
          <cell r="P6761" t="str">
            <v>Lombok Timur</v>
          </cell>
          <cell r="Q6761" t="str">
            <v>Jangkong RT.003, Kel. Kalijaga, Kec. Aikmel</v>
          </cell>
          <cell r="R6761" t="str">
            <v>Lombok Timur</v>
          </cell>
          <cell r="S6761" t="str">
            <v>E Luar Pulau2</v>
          </cell>
          <cell r="T6761" t="str">
            <v>Muhlisin</v>
          </cell>
          <cell r="U6761">
            <v>15</v>
          </cell>
        </row>
        <row r="6762">
          <cell r="E6762" t="str">
            <v>T25001236</v>
          </cell>
          <cell r="F6762"/>
          <cell r="G6762">
            <v>1000</v>
          </cell>
          <cell r="H6762" t="str">
            <v>Reni</v>
          </cell>
          <cell r="I6762" t="str">
            <v>Farida</v>
          </cell>
          <cell r="J6762" t="str">
            <v>New 20/03/24</v>
          </cell>
          <cell r="K6762" t="str">
            <v>COD</v>
          </cell>
          <cell r="L6762" t="str">
            <v>REST12</v>
          </cell>
          <cell r="M6762" t="str">
            <v>Restu Jaya/Haris</v>
          </cell>
          <cell r="N6762" t="str">
            <v>Nur Walid Akhsany</v>
          </cell>
          <cell r="O6762" t="str">
            <v>Jl. K Mahfud Yahya RT.001/RW.002, Kel. Josari, Kec. Jetis</v>
          </cell>
          <cell r="P6762" t="str">
            <v>Ponorogo</v>
          </cell>
          <cell r="Q6762" t="str">
            <v>Jl. Loceret - Nganjuk, Kel. Patihan, Kec. Loceret</v>
          </cell>
          <cell r="R6762" t="str">
            <v>Nganjuk</v>
          </cell>
          <cell r="S6762" t="str">
            <v>D Barat2</v>
          </cell>
          <cell r="T6762" t="str">
            <v>Dian</v>
          </cell>
          <cell r="U6762">
            <v>60</v>
          </cell>
        </row>
        <row r="6763">
          <cell r="E6763" t="str">
            <v>B25013506</v>
          </cell>
          <cell r="F6763"/>
          <cell r="G6763">
            <v>1000</v>
          </cell>
          <cell r="H6763" t="str">
            <v>Reni</v>
          </cell>
          <cell r="I6763" t="str">
            <v>Farida</v>
          </cell>
          <cell r="J6763" t="str">
            <v>New 20/03/24</v>
          </cell>
          <cell r="K6763" t="str">
            <v>COD</v>
          </cell>
          <cell r="L6763" t="str">
            <v>REST12</v>
          </cell>
          <cell r="M6763" t="str">
            <v>Restu Jaya/Haris</v>
          </cell>
          <cell r="N6763" t="str">
            <v>Nur Walid Akhsany</v>
          </cell>
          <cell r="O6763" t="str">
            <v>Jl. K Mahfud Yahya RT.001/RW.002, Kel. Josari, Kec. Jetis</v>
          </cell>
          <cell r="P6763" t="str">
            <v>Ponorogo</v>
          </cell>
          <cell r="Q6763" t="str">
            <v>Jl. Loceret - Nganjuk, Kel. Patihan, Kec. Loceret</v>
          </cell>
          <cell r="R6763" t="str">
            <v>Nganjuk</v>
          </cell>
          <cell r="S6763" t="str">
            <v>D Barat2</v>
          </cell>
          <cell r="T6763" t="str">
            <v>Dian</v>
          </cell>
          <cell r="U6763">
            <v>0</v>
          </cell>
        </row>
        <row r="6764">
          <cell r="E6764" t="str">
            <v>B25012034</v>
          </cell>
          <cell r="F6764"/>
          <cell r="G6764">
            <v>10000000</v>
          </cell>
          <cell r="H6764" t="str">
            <v>Faris</v>
          </cell>
          <cell r="I6764" t="str">
            <v>Syahra</v>
          </cell>
          <cell r="J6764"/>
          <cell r="K6764" t="str">
            <v>KU</v>
          </cell>
          <cell r="L6764" t="str">
            <v>REST10</v>
          </cell>
          <cell r="M6764" t="str">
            <v>Restu Rahayu/Yunita</v>
          </cell>
          <cell r="N6764" t="str">
            <v>Yunita Rinasari</v>
          </cell>
          <cell r="O6764" t="str">
            <v>Griya Panji Mulya Blok O-9 RT.005/RW.012, Kel. Curah Jeru, Kec. Panji</v>
          </cell>
          <cell r="P6764" t="str">
            <v>Situbondo</v>
          </cell>
          <cell r="Q6764" t="str">
            <v>Griya Panji Mulya Blok O-9 RT.005/RW.012, Kel. Curah Jeru, Kec. Panji</v>
          </cell>
          <cell r="R6764" t="str">
            <v>Situbondo</v>
          </cell>
          <cell r="S6764" t="str">
            <v>N Bdw Stb</v>
          </cell>
          <cell r="T6764" t="str">
            <v>Wira</v>
          </cell>
          <cell r="U6764">
            <v>30</v>
          </cell>
        </row>
        <row r="6765">
          <cell r="E6765" t="str">
            <v>B25012107</v>
          </cell>
          <cell r="F6765"/>
          <cell r="G6765">
            <v>10000000</v>
          </cell>
          <cell r="H6765" t="str">
            <v>Faris</v>
          </cell>
          <cell r="I6765" t="str">
            <v>Syahra</v>
          </cell>
          <cell r="J6765"/>
          <cell r="K6765" t="str">
            <v>KU</v>
          </cell>
          <cell r="L6765" t="str">
            <v>REST10</v>
          </cell>
          <cell r="M6765" t="str">
            <v>Restu Rahayu/Yunita</v>
          </cell>
          <cell r="N6765" t="str">
            <v>Yunita Rinasari</v>
          </cell>
          <cell r="O6765" t="str">
            <v>Griya Panji Mulya Blok O-9 RT.005/RW.012, Kel. Curah Jeru, Kec. Panji</v>
          </cell>
          <cell r="P6765" t="str">
            <v>Situbondo</v>
          </cell>
          <cell r="Q6765" t="str">
            <v>Griya Panji Mulya Blok O-9 RT.005/RW.012, Kel. Curah Jeru, Kec. Panji</v>
          </cell>
          <cell r="R6765" t="str">
            <v>Situbondo</v>
          </cell>
          <cell r="S6765" t="str">
            <v>N Bdw Stb</v>
          </cell>
          <cell r="T6765" t="str">
            <v>Wira</v>
          </cell>
          <cell r="U6765">
            <v>30</v>
          </cell>
        </row>
        <row r="6766">
          <cell r="E6766" t="str">
            <v>D25014571</v>
          </cell>
          <cell r="F6766"/>
          <cell r="G6766">
            <v>10000000</v>
          </cell>
          <cell r="H6766" t="str">
            <v>Faris</v>
          </cell>
          <cell r="I6766" t="str">
            <v>Syahra</v>
          </cell>
          <cell r="J6766"/>
          <cell r="K6766" t="str">
            <v>KU</v>
          </cell>
          <cell r="L6766" t="str">
            <v>REST10</v>
          </cell>
          <cell r="M6766" t="str">
            <v>Restu Rahayu/Yunita</v>
          </cell>
          <cell r="N6766" t="str">
            <v>Yunita Rinasari</v>
          </cell>
          <cell r="O6766" t="str">
            <v>Griya Panji Mulya Blok O-9 RT.005/RW.012, Kel. Curah Jeru, Kec. Panji</v>
          </cell>
          <cell r="P6766" t="str">
            <v>Situbondo</v>
          </cell>
          <cell r="Q6766" t="str">
            <v>Griya Panji Mulya Blok O-9 RT.005/RW.012, Kel. Curah Jeru, Kec. Panji</v>
          </cell>
          <cell r="R6766" t="str">
            <v>Situbondo</v>
          </cell>
          <cell r="S6766" t="str">
            <v>N Bdw Stb</v>
          </cell>
          <cell r="T6766" t="str">
            <v>Wira</v>
          </cell>
          <cell r="U6766">
            <v>30</v>
          </cell>
        </row>
        <row r="6767">
          <cell r="E6767" t="str">
            <v>T25000562</v>
          </cell>
          <cell r="F6767"/>
          <cell r="G6767">
            <v>1000</v>
          </cell>
          <cell r="H6767" t="str">
            <v>Others</v>
          </cell>
          <cell r="I6767" t="str">
            <v>Exclusive</v>
          </cell>
          <cell r="J6767" t="str">
            <v>New 11/04/25</v>
          </cell>
          <cell r="K6767" t="str">
            <v>KU</v>
          </cell>
          <cell r="L6767" t="str">
            <v>REST16</v>
          </cell>
          <cell r="M6767" t="str">
            <v>Restu Tani, CV</v>
          </cell>
          <cell r="N6767" t="str">
            <v>Restu Tani, CV</v>
          </cell>
          <cell r="O6767" t="str">
            <v>Dsn. Kandang Rejo RT.03 RW.017, Ds. Sukorejo, Kec. Umbulsari</v>
          </cell>
          <cell r="P6767" t="str">
            <v>Jember</v>
          </cell>
          <cell r="Q6767" t="str">
            <v>Dsn. Kandang Rejo RT.03 RW.017, Ds. Sukorejo, Kec. Umbulsari</v>
          </cell>
          <cell r="R6767" t="str">
            <v>Jember</v>
          </cell>
          <cell r="S6767" t="str">
            <v>L Kota3</v>
          </cell>
          <cell r="T6767" t="str">
            <v>Hafid</v>
          </cell>
          <cell r="U6767">
            <v>0</v>
          </cell>
        </row>
        <row r="6768">
          <cell r="E6768" t="str">
            <v>T25000648</v>
          </cell>
          <cell r="F6768"/>
          <cell r="G6768">
            <v>1000</v>
          </cell>
          <cell r="H6768" t="str">
            <v>Others</v>
          </cell>
          <cell r="I6768" t="str">
            <v>Exclusive</v>
          </cell>
          <cell r="J6768" t="str">
            <v>New 11/04/25</v>
          </cell>
          <cell r="K6768" t="str">
            <v>KU</v>
          </cell>
          <cell r="L6768" t="str">
            <v>REST16</v>
          </cell>
          <cell r="M6768" t="str">
            <v>Restu Tani, CV</v>
          </cell>
          <cell r="N6768" t="str">
            <v>Restu Tani, CV</v>
          </cell>
          <cell r="O6768" t="str">
            <v>Dsn. Kandang Rejo RT.03 RW.017, Ds. Sukorejo, Kec. Umbulsari</v>
          </cell>
          <cell r="P6768" t="str">
            <v>Jember</v>
          </cell>
          <cell r="Q6768" t="str">
            <v>Dsn. Kandang Rejo RT.03 RW.017, Ds. Sukorejo, Kec. Umbulsari</v>
          </cell>
          <cell r="R6768" t="str">
            <v>Jember</v>
          </cell>
          <cell r="S6768" t="str">
            <v>L Kota3</v>
          </cell>
          <cell r="T6768" t="str">
            <v>Hafid</v>
          </cell>
          <cell r="U6768">
            <v>0</v>
          </cell>
        </row>
        <row r="6769">
          <cell r="E6769" t="str">
            <v>T25000708</v>
          </cell>
          <cell r="F6769"/>
          <cell r="G6769">
            <v>1000</v>
          </cell>
          <cell r="H6769" t="str">
            <v>Others</v>
          </cell>
          <cell r="I6769" t="str">
            <v>Exclusive</v>
          </cell>
          <cell r="J6769" t="str">
            <v>New 11/04/25</v>
          </cell>
          <cell r="K6769" t="str">
            <v>KU</v>
          </cell>
          <cell r="L6769" t="str">
            <v>REST16</v>
          </cell>
          <cell r="M6769" t="str">
            <v>Restu Tani, CV</v>
          </cell>
          <cell r="N6769" t="str">
            <v>Restu Tani, CV</v>
          </cell>
          <cell r="O6769" t="str">
            <v>Dsn. Kandang Rejo RT.03 RW.017, Ds. Sukorejo, Kec. Umbulsari</v>
          </cell>
          <cell r="P6769" t="str">
            <v>Jember</v>
          </cell>
          <cell r="Q6769" t="str">
            <v>Dsn. Kandang Rejo RT.03 RW.017, Ds. Sukorejo, Kec. Umbulsari</v>
          </cell>
          <cell r="R6769" t="str">
            <v>Jember</v>
          </cell>
          <cell r="S6769" t="str">
            <v>L Kota3</v>
          </cell>
          <cell r="T6769" t="str">
            <v>Wira</v>
          </cell>
          <cell r="U6769">
            <v>0</v>
          </cell>
        </row>
        <row r="6770">
          <cell r="E6770" t="str">
            <v>R25000111</v>
          </cell>
          <cell r="F6770"/>
          <cell r="G6770">
            <v>1000</v>
          </cell>
          <cell r="H6770" t="str">
            <v>Others</v>
          </cell>
          <cell r="I6770" t="str">
            <v>Exclusive</v>
          </cell>
          <cell r="J6770" t="str">
            <v>New 11/04/25</v>
          </cell>
          <cell r="K6770" t="str">
            <v>KU</v>
          </cell>
          <cell r="L6770" t="str">
            <v>REST16</v>
          </cell>
          <cell r="M6770" t="str">
            <v>Restu Tani, CV</v>
          </cell>
          <cell r="N6770" t="str">
            <v>Restu Tani, CV</v>
          </cell>
          <cell r="O6770" t="str">
            <v>Dsn. Kandang Rejo RT.03 RW.017, Ds. Sukorejo, Kec. Umbulsari</v>
          </cell>
          <cell r="P6770" t="str">
            <v>Jember</v>
          </cell>
          <cell r="Q6770" t="str">
            <v>Dsn. Kandang Rejo RT.03 RW.017, Ds. Sukorejo, Kec. Umbulsari</v>
          </cell>
          <cell r="R6770" t="str">
            <v>Jember</v>
          </cell>
          <cell r="S6770" t="str">
            <v>L Kota3</v>
          </cell>
          <cell r="T6770" t="str">
            <v>Hafid</v>
          </cell>
          <cell r="U6770">
            <v>0</v>
          </cell>
        </row>
        <row r="6771">
          <cell r="E6771" t="str">
            <v>R25000116</v>
          </cell>
          <cell r="F6771"/>
          <cell r="G6771">
            <v>1000</v>
          </cell>
          <cell r="H6771" t="str">
            <v>Others</v>
          </cell>
          <cell r="I6771" t="str">
            <v>Exclusive</v>
          </cell>
          <cell r="J6771" t="str">
            <v>New 11/04/25</v>
          </cell>
          <cell r="K6771" t="str">
            <v>KU</v>
          </cell>
          <cell r="L6771" t="str">
            <v>REST16</v>
          </cell>
          <cell r="M6771" t="str">
            <v>Restu Tani, CV</v>
          </cell>
          <cell r="N6771" t="str">
            <v>Restu Tani, CV</v>
          </cell>
          <cell r="O6771" t="str">
            <v>Dsn. Kandang Rejo RT.03 RW.017, Ds. Sukorejo, Kec. Umbulsari</v>
          </cell>
          <cell r="P6771" t="str">
            <v>Jember</v>
          </cell>
          <cell r="Q6771" t="str">
            <v>Dsn. Kandang Rejo RT.03 RW.017, Ds. Sukorejo, Kec. Umbulsari</v>
          </cell>
          <cell r="R6771" t="str">
            <v>Jember</v>
          </cell>
          <cell r="S6771" t="str">
            <v>L Kota3</v>
          </cell>
          <cell r="T6771" t="str">
            <v>Hafid</v>
          </cell>
          <cell r="U6771">
            <v>0</v>
          </cell>
        </row>
        <row r="6772">
          <cell r="E6772" t="str">
            <v>R25000129</v>
          </cell>
          <cell r="F6772"/>
          <cell r="G6772">
            <v>1000</v>
          </cell>
          <cell r="H6772" t="str">
            <v>Others</v>
          </cell>
          <cell r="I6772" t="str">
            <v>Exclusive</v>
          </cell>
          <cell r="J6772" t="str">
            <v>New 11/04/25</v>
          </cell>
          <cell r="K6772" t="str">
            <v>KU</v>
          </cell>
          <cell r="L6772" t="str">
            <v>REST16</v>
          </cell>
          <cell r="M6772" t="str">
            <v>Restu Tani, CV</v>
          </cell>
          <cell r="N6772" t="str">
            <v>Restu Tani, CV</v>
          </cell>
          <cell r="O6772" t="str">
            <v>Dsn. Kandang Rejo RT.03 RW.017, Ds. Sukorejo, Kec. Umbulsari</v>
          </cell>
          <cell r="P6772" t="str">
            <v>Jember</v>
          </cell>
          <cell r="Q6772" t="str">
            <v>Dsn. Kandang Rejo RT.03 RW.017, Ds. Sukorejo, Kec. Umbulsari</v>
          </cell>
          <cell r="R6772" t="str">
            <v>Jember</v>
          </cell>
          <cell r="S6772" t="str">
            <v>L Kota3</v>
          </cell>
          <cell r="T6772" t="str">
            <v>Hafid</v>
          </cell>
          <cell r="U6772">
            <v>0</v>
          </cell>
        </row>
        <row r="6773">
          <cell r="E6773" t="str">
            <v>R25000130</v>
          </cell>
          <cell r="F6773"/>
          <cell r="G6773">
            <v>1000</v>
          </cell>
          <cell r="H6773" t="str">
            <v>Others</v>
          </cell>
          <cell r="I6773" t="str">
            <v>Exclusive</v>
          </cell>
          <cell r="J6773" t="str">
            <v>New 11/04/25</v>
          </cell>
          <cell r="K6773" t="str">
            <v>KU</v>
          </cell>
          <cell r="L6773" t="str">
            <v>REST16</v>
          </cell>
          <cell r="M6773" t="str">
            <v>Restu Tani, CV</v>
          </cell>
          <cell r="N6773" t="str">
            <v>Restu Tani, CV</v>
          </cell>
          <cell r="O6773" t="str">
            <v>Dsn. Kandang Rejo RT.03 RW.017, Ds. Sukorejo, Kec. Umbulsari</v>
          </cell>
          <cell r="P6773" t="str">
            <v>Jember</v>
          </cell>
          <cell r="Q6773" t="str">
            <v>Dsn. Kandang Rejo RT.03 RW.017, Ds. Sukorejo, Kec. Umbulsari</v>
          </cell>
          <cell r="R6773" t="str">
            <v>Jember</v>
          </cell>
          <cell r="S6773" t="str">
            <v>L Kota3</v>
          </cell>
          <cell r="T6773" t="str">
            <v>Hafid</v>
          </cell>
          <cell r="U6773">
            <v>0</v>
          </cell>
        </row>
        <row r="6774">
          <cell r="E6774" t="str">
            <v>R25000131</v>
          </cell>
          <cell r="F6774"/>
          <cell r="G6774">
            <v>1000</v>
          </cell>
          <cell r="H6774" t="str">
            <v>Others</v>
          </cell>
          <cell r="I6774" t="str">
            <v>Exclusive</v>
          </cell>
          <cell r="J6774" t="str">
            <v>New 11/04/25</v>
          </cell>
          <cell r="K6774" t="str">
            <v>KU</v>
          </cell>
          <cell r="L6774" t="str">
            <v>REST16</v>
          </cell>
          <cell r="M6774" t="str">
            <v>Restu Tani, CV</v>
          </cell>
          <cell r="N6774" t="str">
            <v>Restu Tani, CV</v>
          </cell>
          <cell r="O6774" t="str">
            <v>Dsn. Kandang Rejo RT.03 RW.017, Ds. Sukorejo, Kec. Umbulsari</v>
          </cell>
          <cell r="P6774" t="str">
            <v>Jember</v>
          </cell>
          <cell r="Q6774" t="str">
            <v>Dsn. Kandang Rejo RT.03 RW.017, Ds. Sukorejo, Kec. Umbulsari</v>
          </cell>
          <cell r="R6774" t="str">
            <v>Jember</v>
          </cell>
          <cell r="S6774" t="str">
            <v>L Kota3</v>
          </cell>
          <cell r="T6774" t="str">
            <v>Hafid</v>
          </cell>
          <cell r="U6774">
            <v>0</v>
          </cell>
        </row>
        <row r="6775">
          <cell r="E6775" t="str">
            <v>T25001260</v>
          </cell>
          <cell r="F6775"/>
          <cell r="G6775">
            <v>50000000</v>
          </cell>
          <cell r="H6775" t="str">
            <v>Faris</v>
          </cell>
          <cell r="I6775" t="str">
            <v>Syahra</v>
          </cell>
          <cell r="J6775"/>
          <cell r="K6775" t="str">
            <v>KU</v>
          </cell>
          <cell r="L6775" t="str">
            <v>REST02</v>
          </cell>
          <cell r="M6775" t="str">
            <v>Restu Tani, UD/Ahmad</v>
          </cell>
          <cell r="N6775" t="str">
            <v>Akhmad Nurhidayat</v>
          </cell>
          <cell r="O6775" t="str">
            <v>Dusun Dadapan Utara RT.001/RW.001, Kel. Dadapan, Kec. Kabat</v>
          </cell>
          <cell r="P6775" t="str">
            <v>Banyuwangi</v>
          </cell>
          <cell r="Q6775" t="str">
            <v>Kabat</v>
          </cell>
          <cell r="R6775" t="str">
            <v>Banyuwangi</v>
          </cell>
          <cell r="S6775" t="str">
            <v>H Bwi1</v>
          </cell>
          <cell r="T6775" t="str">
            <v>Hafid</v>
          </cell>
          <cell r="U6775">
            <v>60</v>
          </cell>
        </row>
        <row r="6776">
          <cell r="E6776" t="str">
            <v>D25012850</v>
          </cell>
          <cell r="F6776"/>
          <cell r="G6776">
            <v>50000000</v>
          </cell>
          <cell r="H6776" t="str">
            <v>Faris</v>
          </cell>
          <cell r="I6776" t="str">
            <v>Syahra</v>
          </cell>
          <cell r="J6776"/>
          <cell r="K6776" t="str">
            <v>KU</v>
          </cell>
          <cell r="L6776" t="str">
            <v>REST02</v>
          </cell>
          <cell r="M6776" t="str">
            <v>Restu Tani, UD/Ahmad</v>
          </cell>
          <cell r="N6776" t="str">
            <v>Akhmad Nurhidayat</v>
          </cell>
          <cell r="O6776" t="str">
            <v>Dusun Dadapan Utara RT.001/RW.001, Kel. Dadapan, Kec. Kabat</v>
          </cell>
          <cell r="P6776" t="str">
            <v>Banyuwangi</v>
          </cell>
          <cell r="Q6776" t="str">
            <v>Kabat</v>
          </cell>
          <cell r="R6776" t="str">
            <v>Banyuwangi</v>
          </cell>
          <cell r="S6776" t="str">
            <v>H Bwi1</v>
          </cell>
          <cell r="T6776" t="str">
            <v>Hafid</v>
          </cell>
          <cell r="U6776">
            <v>30</v>
          </cell>
        </row>
        <row r="6777">
          <cell r="E6777" t="str">
            <v>D25013039</v>
          </cell>
          <cell r="F6777"/>
          <cell r="G6777">
            <v>50000000</v>
          </cell>
          <cell r="H6777" t="str">
            <v>Faris</v>
          </cell>
          <cell r="I6777" t="str">
            <v>Syahra</v>
          </cell>
          <cell r="J6777"/>
          <cell r="K6777" t="str">
            <v>KU</v>
          </cell>
          <cell r="L6777" t="str">
            <v>REST02</v>
          </cell>
          <cell r="M6777" t="str">
            <v>Restu Tani, UD/Ahmad</v>
          </cell>
          <cell r="N6777" t="str">
            <v>Akhmad Nurhidayat</v>
          </cell>
          <cell r="O6777" t="str">
            <v>Dusun Dadapan Utara RT.001/RW.001, Kel. Dadapan, Kec. Kabat</v>
          </cell>
          <cell r="P6777" t="str">
            <v>Banyuwangi</v>
          </cell>
          <cell r="Q6777" t="str">
            <v>Kabat</v>
          </cell>
          <cell r="R6777" t="str">
            <v>Banyuwangi</v>
          </cell>
          <cell r="S6777" t="str">
            <v>H Bwi1</v>
          </cell>
          <cell r="T6777" t="str">
            <v>Hafid</v>
          </cell>
          <cell r="U6777">
            <v>30</v>
          </cell>
        </row>
        <row r="6778">
          <cell r="E6778">
            <v>250078</v>
          </cell>
          <cell r="F6778"/>
          <cell r="G6778">
            <v>50000000</v>
          </cell>
          <cell r="H6778" t="str">
            <v>Faris</v>
          </cell>
          <cell r="I6778" t="str">
            <v>Syahra</v>
          </cell>
          <cell r="J6778"/>
          <cell r="K6778" t="str">
            <v>KU</v>
          </cell>
          <cell r="L6778" t="str">
            <v>REST02</v>
          </cell>
          <cell r="M6778" t="str">
            <v>Restu Tani, UD/Ahmad</v>
          </cell>
          <cell r="N6778" t="str">
            <v>Akhmad Nurhidayat</v>
          </cell>
          <cell r="O6778" t="str">
            <v>Dusun Dadapan Utara RT.001/RW.001, Kel. Dadapan, Kec. Kabat</v>
          </cell>
          <cell r="P6778" t="str">
            <v>Banyuwangi</v>
          </cell>
          <cell r="Q6778" t="str">
            <v>Kabat</v>
          </cell>
          <cell r="R6778" t="str">
            <v>Banyuwangi</v>
          </cell>
          <cell r="S6778" t="str">
            <v>H Bwi1</v>
          </cell>
          <cell r="T6778" t="str">
            <v>Hafid</v>
          </cell>
          <cell r="U6778">
            <v>30</v>
          </cell>
        </row>
        <row r="6779">
          <cell r="E6779" t="str">
            <v>D25013161</v>
          </cell>
          <cell r="F6779"/>
          <cell r="G6779">
            <v>50000000</v>
          </cell>
          <cell r="H6779" t="str">
            <v>Faris</v>
          </cell>
          <cell r="I6779" t="str">
            <v>Syahra</v>
          </cell>
          <cell r="J6779"/>
          <cell r="K6779" t="str">
            <v>KU</v>
          </cell>
          <cell r="L6779" t="str">
            <v>REST02</v>
          </cell>
          <cell r="M6779" t="str">
            <v>Restu Tani, UD/Ahmad</v>
          </cell>
          <cell r="N6779" t="str">
            <v>Akhmad Nurhidayat</v>
          </cell>
          <cell r="O6779" t="str">
            <v>Dusun Dadapan Utara RT.001/RW.001, Kel. Dadapan, Kec. Kabat</v>
          </cell>
          <cell r="P6779" t="str">
            <v>Banyuwangi</v>
          </cell>
          <cell r="Q6779" t="str">
            <v>Kabat</v>
          </cell>
          <cell r="R6779" t="str">
            <v>Banyuwangi</v>
          </cell>
          <cell r="S6779" t="str">
            <v>H Bwi1</v>
          </cell>
          <cell r="T6779" t="str">
            <v>Hafid</v>
          </cell>
          <cell r="U6779">
            <v>30</v>
          </cell>
        </row>
        <row r="6780">
          <cell r="E6780" t="str">
            <v>D25013171</v>
          </cell>
          <cell r="F6780"/>
          <cell r="G6780">
            <v>50000000</v>
          </cell>
          <cell r="H6780" t="str">
            <v>Faris</v>
          </cell>
          <cell r="I6780" t="str">
            <v>Syahra</v>
          </cell>
          <cell r="J6780"/>
          <cell r="K6780" t="str">
            <v>KU</v>
          </cell>
          <cell r="L6780" t="str">
            <v>REST02</v>
          </cell>
          <cell r="M6780" t="str">
            <v>Restu Tani, UD/Ahmad</v>
          </cell>
          <cell r="N6780" t="str">
            <v>Akhmad Nurhidayat</v>
          </cell>
          <cell r="O6780" t="str">
            <v>Dusun Dadapan Utara RT.001/RW.001, Kel. Dadapan, Kec. Kabat</v>
          </cell>
          <cell r="P6780" t="str">
            <v>Banyuwangi</v>
          </cell>
          <cell r="Q6780" t="str">
            <v>Kabat</v>
          </cell>
          <cell r="R6780" t="str">
            <v>Banyuwangi</v>
          </cell>
          <cell r="S6780" t="str">
            <v>H Bwi1</v>
          </cell>
          <cell r="T6780" t="str">
            <v>Hafid</v>
          </cell>
          <cell r="U6780">
            <v>30</v>
          </cell>
        </row>
        <row r="6781">
          <cell r="E6781" t="str">
            <v>B25011192</v>
          </cell>
          <cell r="F6781"/>
          <cell r="G6781">
            <v>50000000</v>
          </cell>
          <cell r="H6781" t="str">
            <v>Faris</v>
          </cell>
          <cell r="I6781" t="str">
            <v>Syahra</v>
          </cell>
          <cell r="J6781"/>
          <cell r="K6781" t="str">
            <v>KU</v>
          </cell>
          <cell r="L6781" t="str">
            <v>REST02</v>
          </cell>
          <cell r="M6781" t="str">
            <v>Restu Tani, UD/Ahmad</v>
          </cell>
          <cell r="N6781" t="str">
            <v>Akhmad Nurhidayat</v>
          </cell>
          <cell r="O6781" t="str">
            <v>Dusun Dadapan Utara RT.001/RW.001, Kel. Dadapan, Kec. Kabat</v>
          </cell>
          <cell r="P6781" t="str">
            <v>Banyuwangi</v>
          </cell>
          <cell r="Q6781" t="str">
            <v>Kabat</v>
          </cell>
          <cell r="R6781" t="str">
            <v>Banyuwangi</v>
          </cell>
          <cell r="S6781" t="str">
            <v>H Bwi1</v>
          </cell>
          <cell r="T6781" t="str">
            <v>Hafid</v>
          </cell>
          <cell r="U6781">
            <v>30</v>
          </cell>
        </row>
        <row r="6782">
          <cell r="E6782">
            <v>250112</v>
          </cell>
          <cell r="F6782"/>
          <cell r="G6782">
            <v>50000000</v>
          </cell>
          <cell r="H6782" t="str">
            <v>Faris</v>
          </cell>
          <cell r="I6782" t="str">
            <v>Syahra</v>
          </cell>
          <cell r="J6782"/>
          <cell r="K6782" t="str">
            <v>KU</v>
          </cell>
          <cell r="L6782" t="str">
            <v>REST02</v>
          </cell>
          <cell r="M6782" t="str">
            <v>Restu Tani, UD/Ahmad</v>
          </cell>
          <cell r="N6782" t="str">
            <v>Akhmad Nurhidayat</v>
          </cell>
          <cell r="O6782" t="str">
            <v>Dusun Dadapan Utara RT.001/RW.001, Kel. Dadapan, Kec. Kabat</v>
          </cell>
          <cell r="P6782" t="str">
            <v>Banyuwangi</v>
          </cell>
          <cell r="Q6782" t="str">
            <v>Kabat</v>
          </cell>
          <cell r="R6782" t="str">
            <v>Banyuwangi</v>
          </cell>
          <cell r="S6782" t="str">
            <v>H Bwi1</v>
          </cell>
          <cell r="T6782" t="str">
            <v>Hafid</v>
          </cell>
          <cell r="U6782">
            <v>30</v>
          </cell>
        </row>
        <row r="6783">
          <cell r="E6783" t="str">
            <v>D25014500</v>
          </cell>
          <cell r="F6783"/>
          <cell r="G6783">
            <v>50000000</v>
          </cell>
          <cell r="H6783" t="str">
            <v>Faris</v>
          </cell>
          <cell r="I6783" t="str">
            <v>Syahra</v>
          </cell>
          <cell r="J6783"/>
          <cell r="K6783" t="str">
            <v>KU</v>
          </cell>
          <cell r="L6783" t="str">
            <v>REST02</v>
          </cell>
          <cell r="M6783" t="str">
            <v>Restu Tani, UD/Ahmad</v>
          </cell>
          <cell r="N6783" t="str">
            <v>Akhmad Nurhidayat</v>
          </cell>
          <cell r="O6783" t="str">
            <v>Dusun Dadapan Utara RT.001/RW.001, Kel. Dadapan, Kec. Kabat</v>
          </cell>
          <cell r="P6783" t="str">
            <v>Banyuwangi</v>
          </cell>
          <cell r="Q6783" t="str">
            <v>Kabat</v>
          </cell>
          <cell r="R6783" t="str">
            <v>Banyuwangi</v>
          </cell>
          <cell r="S6783" t="str">
            <v>H Bwi1</v>
          </cell>
          <cell r="T6783" t="str">
            <v>Hafid</v>
          </cell>
          <cell r="U6783">
            <v>60</v>
          </cell>
        </row>
        <row r="6784">
          <cell r="E6784" t="str">
            <v>D25014534</v>
          </cell>
          <cell r="F6784"/>
          <cell r="G6784">
            <v>50000000</v>
          </cell>
          <cell r="H6784" t="str">
            <v>Faris</v>
          </cell>
          <cell r="I6784" t="str">
            <v>Syahra</v>
          </cell>
          <cell r="J6784"/>
          <cell r="K6784" t="str">
            <v>KU</v>
          </cell>
          <cell r="L6784" t="str">
            <v>REST02</v>
          </cell>
          <cell r="M6784" t="str">
            <v>Restu Tani, UD/Ahmad</v>
          </cell>
          <cell r="N6784" t="str">
            <v>Akhmad Nurhidayat</v>
          </cell>
          <cell r="O6784" t="str">
            <v>Dusun Dadapan Utara RT.001/RW.001, Kel. Dadapan, Kec. Kabat</v>
          </cell>
          <cell r="P6784" t="str">
            <v>Banyuwangi</v>
          </cell>
          <cell r="Q6784" t="str">
            <v>Kabat</v>
          </cell>
          <cell r="R6784" t="str">
            <v>Banyuwangi</v>
          </cell>
          <cell r="S6784" t="str">
            <v>H Bwi1</v>
          </cell>
          <cell r="T6784" t="str">
            <v>Hafid</v>
          </cell>
          <cell r="U6784">
            <v>30</v>
          </cell>
        </row>
        <row r="6785">
          <cell r="E6785" t="str">
            <v>B25013829</v>
          </cell>
          <cell r="F6785"/>
          <cell r="G6785">
            <v>50000000</v>
          </cell>
          <cell r="H6785" t="str">
            <v>Faris</v>
          </cell>
          <cell r="I6785" t="str">
            <v>Syahra</v>
          </cell>
          <cell r="J6785"/>
          <cell r="K6785" t="str">
            <v>KU</v>
          </cell>
          <cell r="L6785" t="str">
            <v>REST02</v>
          </cell>
          <cell r="M6785" t="str">
            <v>Restu Tani, UD/Ahmad</v>
          </cell>
          <cell r="N6785" t="str">
            <v>Akhmad Nurhidayat</v>
          </cell>
          <cell r="O6785" t="str">
            <v>Dusun Dadapan Utara RT.001/RW.001, Kel. Dadapan, Kec. Kabat</v>
          </cell>
          <cell r="P6785" t="str">
            <v>Banyuwangi</v>
          </cell>
          <cell r="Q6785" t="str">
            <v>Kabat</v>
          </cell>
          <cell r="R6785" t="str">
            <v>Banyuwangi</v>
          </cell>
          <cell r="S6785" t="str">
            <v>H Bwi1</v>
          </cell>
          <cell r="T6785" t="str">
            <v>Hafid</v>
          </cell>
          <cell r="U6785">
            <v>30</v>
          </cell>
        </row>
        <row r="6786">
          <cell r="E6786" t="str">
            <v>B25011277</v>
          </cell>
          <cell r="F6786"/>
          <cell r="G6786">
            <v>150000000</v>
          </cell>
          <cell r="H6786" t="str">
            <v>Yuyun</v>
          </cell>
          <cell r="I6786" t="str">
            <v>Farida</v>
          </cell>
          <cell r="J6786"/>
          <cell r="K6786" t="str">
            <v>Tunai</v>
          </cell>
          <cell r="L6786" t="str">
            <v>REST03</v>
          </cell>
          <cell r="M6786" t="str">
            <v>Restu Tani/Didik</v>
          </cell>
          <cell r="N6786" t="str">
            <v>Didik Sudarmadi</v>
          </cell>
          <cell r="O6786" t="str">
            <v>Dsn. Kandangrejo, RT.01/RW.06 Sukoreno, Umbulsari</v>
          </cell>
          <cell r="P6786" t="str">
            <v>Jember</v>
          </cell>
          <cell r="Q6786" t="str">
            <v>Dsn. Kandangrejo, RT.01/RW.06 Sukoreno, Umbulsari</v>
          </cell>
          <cell r="R6786" t="str">
            <v>Jember</v>
          </cell>
          <cell r="S6786" t="str">
            <v>L Kota3</v>
          </cell>
          <cell r="T6786" t="str">
            <v>Efendi</v>
          </cell>
          <cell r="U6786">
            <v>30</v>
          </cell>
        </row>
        <row r="6787">
          <cell r="E6787" t="str">
            <v>D25013671</v>
          </cell>
          <cell r="F6787"/>
          <cell r="G6787">
            <v>150000000</v>
          </cell>
          <cell r="H6787" t="str">
            <v>Yuyun</v>
          </cell>
          <cell r="I6787" t="str">
            <v>Farida</v>
          </cell>
          <cell r="J6787"/>
          <cell r="K6787" t="str">
            <v>Tunai</v>
          </cell>
          <cell r="L6787" t="str">
            <v>REST03</v>
          </cell>
          <cell r="M6787" t="str">
            <v>Restu Tani/Didik</v>
          </cell>
          <cell r="N6787" t="str">
            <v>Didik Sudarmadi</v>
          </cell>
          <cell r="O6787" t="str">
            <v>Dsn. Kandangrejo, RT.01/RW.06 Sukoreno, Umbulsari</v>
          </cell>
          <cell r="P6787" t="str">
            <v>Jember</v>
          </cell>
          <cell r="Q6787" t="str">
            <v>Dsn. Kandangrejo, RT.01/RW.06 Sukoreno, Umbulsari</v>
          </cell>
          <cell r="R6787" t="str">
            <v>Jember</v>
          </cell>
          <cell r="S6787" t="str">
            <v>L Kota3</v>
          </cell>
          <cell r="T6787" t="str">
            <v>Efendi</v>
          </cell>
          <cell r="U6787">
            <v>30</v>
          </cell>
        </row>
        <row r="6788">
          <cell r="E6788" t="str">
            <v>D25014256</v>
          </cell>
          <cell r="F6788"/>
          <cell r="G6788">
            <v>150000000</v>
          </cell>
          <cell r="H6788" t="str">
            <v>Yuyun</v>
          </cell>
          <cell r="I6788" t="str">
            <v>Farida</v>
          </cell>
          <cell r="J6788"/>
          <cell r="K6788" t="str">
            <v>Tunai</v>
          </cell>
          <cell r="L6788" t="str">
            <v>REST03</v>
          </cell>
          <cell r="M6788" t="str">
            <v>Restu Tani/Didik</v>
          </cell>
          <cell r="N6788" t="str">
            <v>Didik Sudarmadi</v>
          </cell>
          <cell r="O6788" t="str">
            <v>Dsn. Kandangrejo, RT.01/RW.06 Sukoreno, Umbulsari</v>
          </cell>
          <cell r="P6788" t="str">
            <v>Jember</v>
          </cell>
          <cell r="Q6788" t="str">
            <v>Dsn. Kandangrejo, RT.01/RW.06 Sukoreno, Umbulsari</v>
          </cell>
          <cell r="R6788" t="str">
            <v>Jember</v>
          </cell>
          <cell r="S6788" t="str">
            <v>L Kota3</v>
          </cell>
          <cell r="T6788" t="str">
            <v>Efendi</v>
          </cell>
          <cell r="U6788">
            <v>30</v>
          </cell>
        </row>
        <row r="6789">
          <cell r="E6789" t="str">
            <v>D25015023</v>
          </cell>
          <cell r="F6789"/>
          <cell r="G6789">
            <v>150000000</v>
          </cell>
          <cell r="H6789" t="str">
            <v>Yuyun</v>
          </cell>
          <cell r="I6789" t="str">
            <v>Farida</v>
          </cell>
          <cell r="J6789"/>
          <cell r="K6789" t="str">
            <v>Tunai</v>
          </cell>
          <cell r="L6789" t="str">
            <v>REST03</v>
          </cell>
          <cell r="M6789" t="str">
            <v>Restu Tani/Didik</v>
          </cell>
          <cell r="N6789" t="str">
            <v>Didik Sudarmadi</v>
          </cell>
          <cell r="O6789" t="str">
            <v>Dsn. Kandangrejo, RT.01/RW.06 Sukoreno, Umbulsari</v>
          </cell>
          <cell r="P6789" t="str">
            <v>Jember</v>
          </cell>
          <cell r="Q6789" t="str">
            <v>Dsn. Kandangrejo, RT.01/RW.06 Sukoreno, Umbulsari</v>
          </cell>
          <cell r="R6789" t="str">
            <v>Jember</v>
          </cell>
          <cell r="S6789" t="str">
            <v>L Kota3</v>
          </cell>
          <cell r="T6789" t="str">
            <v>Efendi</v>
          </cell>
          <cell r="U6789">
            <v>30</v>
          </cell>
        </row>
        <row r="6790">
          <cell r="E6790" t="str">
            <v>D25015198</v>
          </cell>
          <cell r="F6790"/>
          <cell r="G6790">
            <v>150000000</v>
          </cell>
          <cell r="H6790" t="str">
            <v>Yuyun</v>
          </cell>
          <cell r="I6790" t="str">
            <v>Farida</v>
          </cell>
          <cell r="J6790"/>
          <cell r="K6790" t="str">
            <v>Tunai</v>
          </cell>
          <cell r="L6790" t="str">
            <v>REST03</v>
          </cell>
          <cell r="M6790" t="str">
            <v>Restu Tani/Didik</v>
          </cell>
          <cell r="N6790" t="str">
            <v>Didik Sudarmadi</v>
          </cell>
          <cell r="O6790" t="str">
            <v>Dsn. Kandangrejo, RT.01/RW.06 Sukoreno, Umbulsari</v>
          </cell>
          <cell r="P6790" t="str">
            <v>Jember</v>
          </cell>
          <cell r="Q6790" t="str">
            <v>Dsn. Kandangrejo, RT.01/RW.06 Sukoreno, Umbulsari</v>
          </cell>
          <cell r="R6790" t="str">
            <v>Jember</v>
          </cell>
          <cell r="S6790" t="str">
            <v>L Kota3</v>
          </cell>
          <cell r="T6790" t="str">
            <v>Efendi</v>
          </cell>
          <cell r="U6790">
            <v>30</v>
          </cell>
        </row>
        <row r="6791">
          <cell r="E6791" t="str">
            <v>D25015437</v>
          </cell>
          <cell r="F6791"/>
          <cell r="G6791">
            <v>150000000</v>
          </cell>
          <cell r="H6791" t="str">
            <v>Yuyun</v>
          </cell>
          <cell r="I6791" t="str">
            <v>Farida</v>
          </cell>
          <cell r="J6791"/>
          <cell r="K6791" t="str">
            <v>Tunai</v>
          </cell>
          <cell r="L6791" t="str">
            <v>REST03</v>
          </cell>
          <cell r="M6791" t="str">
            <v>Restu Tani/Didik</v>
          </cell>
          <cell r="N6791" t="str">
            <v>Didik Sudarmadi</v>
          </cell>
          <cell r="O6791" t="str">
            <v>Dsn. Kandangrejo, RT.01/RW.06 Sukoreno, Umbulsari</v>
          </cell>
          <cell r="P6791" t="str">
            <v>Jember</v>
          </cell>
          <cell r="Q6791" t="str">
            <v>Dsn. Kandangrejo, RT.01/RW.06 Sukoreno, Umbulsari</v>
          </cell>
          <cell r="R6791" t="str">
            <v>Jember</v>
          </cell>
          <cell r="S6791" t="str">
            <v>L Kota3</v>
          </cell>
          <cell r="T6791" t="str">
            <v>Efendi</v>
          </cell>
          <cell r="U6791">
            <v>60</v>
          </cell>
        </row>
        <row r="6792">
          <cell r="E6792" t="str">
            <v>D25015438</v>
          </cell>
          <cell r="F6792"/>
          <cell r="G6792">
            <v>150000000</v>
          </cell>
          <cell r="H6792" t="str">
            <v>Yuyun</v>
          </cell>
          <cell r="I6792" t="str">
            <v>Farida</v>
          </cell>
          <cell r="J6792"/>
          <cell r="K6792" t="str">
            <v>Tunai</v>
          </cell>
          <cell r="L6792" t="str">
            <v>REST03</v>
          </cell>
          <cell r="M6792" t="str">
            <v>Restu Tani/Didik</v>
          </cell>
          <cell r="N6792" t="str">
            <v>Didik Sudarmadi</v>
          </cell>
          <cell r="O6792" t="str">
            <v>Dsn. Kandangrejo, RT.01/RW.06 Sukoreno, Umbulsari</v>
          </cell>
          <cell r="P6792" t="str">
            <v>Jember</v>
          </cell>
          <cell r="Q6792" t="str">
            <v>Dsn. Kandangrejo, RT.01/RW.06 Sukoreno, Umbulsari</v>
          </cell>
          <cell r="R6792" t="str">
            <v>Jember</v>
          </cell>
          <cell r="S6792" t="str">
            <v>L Kota3</v>
          </cell>
          <cell r="T6792" t="str">
            <v>Efendi</v>
          </cell>
          <cell r="U6792">
            <v>60</v>
          </cell>
        </row>
        <row r="6793">
          <cell r="E6793" t="str">
            <v>D25016382</v>
          </cell>
          <cell r="F6793"/>
          <cell r="G6793">
            <v>150000000</v>
          </cell>
          <cell r="H6793" t="str">
            <v>Yuyun</v>
          </cell>
          <cell r="I6793" t="str">
            <v>Farida</v>
          </cell>
          <cell r="J6793"/>
          <cell r="K6793" t="str">
            <v>Tunai</v>
          </cell>
          <cell r="L6793" t="str">
            <v>REST03</v>
          </cell>
          <cell r="M6793" t="str">
            <v>Restu Tani/Didik</v>
          </cell>
          <cell r="N6793" t="str">
            <v>Didik Sudarmadi</v>
          </cell>
          <cell r="O6793" t="str">
            <v>Dsn. Kandangrejo, RT.01/RW.06 Sukoreno, Umbulsari</v>
          </cell>
          <cell r="P6793" t="str">
            <v>Jember</v>
          </cell>
          <cell r="Q6793" t="str">
            <v>Dsn. Kandangrejo, RT.01/RW.06 Sukoreno, Umbulsari</v>
          </cell>
          <cell r="R6793" t="str">
            <v>Jember</v>
          </cell>
          <cell r="S6793" t="str">
            <v>L Kota3</v>
          </cell>
          <cell r="T6793" t="str">
            <v>Efendi</v>
          </cell>
          <cell r="U6793">
            <v>30</v>
          </cell>
        </row>
        <row r="6794">
          <cell r="E6794" t="str">
            <v>D25008891</v>
          </cell>
          <cell r="F6794"/>
          <cell r="G6794">
            <v>50000000</v>
          </cell>
          <cell r="H6794" t="str">
            <v>Faris</v>
          </cell>
          <cell r="I6794" t="str">
            <v>Syahra</v>
          </cell>
          <cell r="J6794"/>
          <cell r="K6794" t="str">
            <v>KU, Tunai</v>
          </cell>
          <cell r="L6794" t="str">
            <v>REST08</v>
          </cell>
          <cell r="M6794" t="str">
            <v>Restu Tani/Rio</v>
          </cell>
          <cell r="N6794" t="str">
            <v>Rio Nusanggara</v>
          </cell>
          <cell r="O6794" t="str">
            <v>Dsn. Krajan, RT.001/RW.001 Tapanrejo, Muncar, Kab. Banyuwangi</v>
          </cell>
          <cell r="P6794" t="str">
            <v>Banyuwangi</v>
          </cell>
          <cell r="Q6794" t="str">
            <v>Dsn. Krajan, RT.001/RW.001 Tapanrejo, Muncar, Kab. Banyuwangi</v>
          </cell>
          <cell r="R6794" t="str">
            <v>Banyuwangi</v>
          </cell>
          <cell r="S6794" t="str">
            <v>H Bwi2</v>
          </cell>
          <cell r="T6794" t="str">
            <v>Hafid</v>
          </cell>
          <cell r="U6794">
            <v>60</v>
          </cell>
        </row>
        <row r="6795">
          <cell r="E6795" t="str">
            <v>D25008891</v>
          </cell>
          <cell r="F6795"/>
          <cell r="G6795">
            <v>50000000</v>
          </cell>
          <cell r="H6795" t="str">
            <v>Faris</v>
          </cell>
          <cell r="I6795" t="str">
            <v>Syahra</v>
          </cell>
          <cell r="J6795"/>
          <cell r="K6795" t="str">
            <v>KU, Tunai</v>
          </cell>
          <cell r="L6795" t="str">
            <v>REST08</v>
          </cell>
          <cell r="M6795" t="str">
            <v>Restu Tani/Rio</v>
          </cell>
          <cell r="N6795" t="str">
            <v>Rio Nusanggara</v>
          </cell>
          <cell r="O6795" t="str">
            <v>Dsn. Krajan, RT.001/RW.001 Tapanrejo, Muncar, Kab. Banyuwangi</v>
          </cell>
          <cell r="P6795" t="str">
            <v>Banyuwangi</v>
          </cell>
          <cell r="Q6795" t="str">
            <v>Dsn. Krajan, RT.001/RW.001 Tapanrejo, Muncar, Kab. Banyuwangi</v>
          </cell>
          <cell r="R6795" t="str">
            <v>Banyuwangi</v>
          </cell>
          <cell r="S6795" t="str">
            <v>H Bwi2</v>
          </cell>
          <cell r="T6795" t="str">
            <v>Hafid</v>
          </cell>
          <cell r="U6795">
            <v>60</v>
          </cell>
        </row>
        <row r="6796">
          <cell r="E6796" t="str">
            <v>T25001032</v>
          </cell>
          <cell r="F6796"/>
          <cell r="G6796">
            <v>50000000</v>
          </cell>
          <cell r="H6796" t="str">
            <v>Faris</v>
          </cell>
          <cell r="I6796" t="str">
            <v>Syahra</v>
          </cell>
          <cell r="J6796"/>
          <cell r="K6796" t="str">
            <v>KU, Tunai</v>
          </cell>
          <cell r="L6796" t="str">
            <v>REST08</v>
          </cell>
          <cell r="M6796" t="str">
            <v>Restu Tani/Rio</v>
          </cell>
          <cell r="N6796" t="str">
            <v>Rio Nusanggara</v>
          </cell>
          <cell r="O6796" t="str">
            <v>Dsn. Krajan, RT.001/RW.001 Tapanrejo, Muncar, Kab. Banyuwangi</v>
          </cell>
          <cell r="P6796" t="str">
            <v>Banyuwangi</v>
          </cell>
          <cell r="Q6796" t="str">
            <v>Dsn. Krajan, RT.001/RW.001 Tapanrejo, Muncar, Kab. Banyuwangi</v>
          </cell>
          <cell r="R6796" t="str">
            <v>Banyuwangi</v>
          </cell>
          <cell r="S6796" t="str">
            <v>H Bwi2</v>
          </cell>
          <cell r="T6796" t="str">
            <v>Hafid</v>
          </cell>
          <cell r="U6796">
            <v>60</v>
          </cell>
        </row>
        <row r="6797">
          <cell r="E6797" t="str">
            <v>T25001032</v>
          </cell>
          <cell r="F6797"/>
          <cell r="G6797">
            <v>50000000</v>
          </cell>
          <cell r="H6797" t="str">
            <v>Faris</v>
          </cell>
          <cell r="I6797" t="str">
            <v>Syahra</v>
          </cell>
          <cell r="J6797"/>
          <cell r="K6797" t="str">
            <v>KU, Tunai</v>
          </cell>
          <cell r="L6797" t="str">
            <v>REST08</v>
          </cell>
          <cell r="M6797" t="str">
            <v>Restu Tani/Rio</v>
          </cell>
          <cell r="N6797" t="str">
            <v>Rio Nusanggara</v>
          </cell>
          <cell r="O6797" t="str">
            <v>Dsn. Krajan, RT.001/RW.001 Tapanrejo, Muncar, Kab. Banyuwangi</v>
          </cell>
          <cell r="P6797" t="str">
            <v>Banyuwangi</v>
          </cell>
          <cell r="Q6797" t="str">
            <v>Dsn. Krajan, RT.001/RW.001 Tapanrejo, Muncar, Kab. Banyuwangi</v>
          </cell>
          <cell r="R6797" t="str">
            <v>Banyuwangi</v>
          </cell>
          <cell r="S6797" t="str">
            <v>H Bwi2</v>
          </cell>
          <cell r="T6797" t="str">
            <v>Hafid</v>
          </cell>
          <cell r="U6797">
            <v>60</v>
          </cell>
        </row>
        <row r="6798">
          <cell r="E6798" t="str">
            <v>B25008153</v>
          </cell>
          <cell r="F6798"/>
          <cell r="G6798">
            <v>50000000</v>
          </cell>
          <cell r="H6798" t="str">
            <v>Faris</v>
          </cell>
          <cell r="I6798" t="str">
            <v>Syahra</v>
          </cell>
          <cell r="J6798"/>
          <cell r="K6798" t="str">
            <v>KU, Tunai</v>
          </cell>
          <cell r="L6798" t="str">
            <v>REST08</v>
          </cell>
          <cell r="M6798" t="str">
            <v>Restu Tani/Rio</v>
          </cell>
          <cell r="N6798" t="str">
            <v>Rio Nusanggara</v>
          </cell>
          <cell r="O6798" t="str">
            <v>Dsn. Krajan, RT.001/RW.001 Tapanrejo, Muncar, Kab. Banyuwangi</v>
          </cell>
          <cell r="P6798" t="str">
            <v>Banyuwangi</v>
          </cell>
          <cell r="Q6798" t="str">
            <v>Dsn. Krajan, RT.001/RW.001 Tapanrejo, Muncar, Kab. Banyuwangi</v>
          </cell>
          <cell r="R6798" t="str">
            <v>Banyuwangi</v>
          </cell>
          <cell r="S6798" t="str">
            <v>H Bwi2</v>
          </cell>
          <cell r="T6798" t="str">
            <v>Hafid</v>
          </cell>
          <cell r="U6798">
            <v>60</v>
          </cell>
        </row>
        <row r="6799">
          <cell r="E6799" t="str">
            <v>D25012955</v>
          </cell>
          <cell r="F6799"/>
          <cell r="G6799">
            <v>50000000</v>
          </cell>
          <cell r="H6799" t="str">
            <v>Faris</v>
          </cell>
          <cell r="I6799" t="str">
            <v>Syahra</v>
          </cell>
          <cell r="J6799"/>
          <cell r="K6799" t="str">
            <v>KU, Tunai</v>
          </cell>
          <cell r="L6799" t="str">
            <v>REST08</v>
          </cell>
          <cell r="M6799" t="str">
            <v>Restu Tani/Rio</v>
          </cell>
          <cell r="N6799" t="str">
            <v>Rio Nusanggara</v>
          </cell>
          <cell r="O6799" t="str">
            <v>Dsn. Krajan, RT.001/RW.001 Tapanrejo, Muncar, Kab. Banyuwangi</v>
          </cell>
          <cell r="P6799" t="str">
            <v>Banyuwangi</v>
          </cell>
          <cell r="Q6799" t="str">
            <v>Dsn. Krajan, RT.001/RW.001 Tapanrejo, Muncar, Kab. Banyuwangi</v>
          </cell>
          <cell r="R6799" t="str">
            <v>Banyuwangi</v>
          </cell>
          <cell r="S6799" t="str">
            <v>H Bwi2</v>
          </cell>
          <cell r="T6799" t="str">
            <v>Hafid</v>
          </cell>
          <cell r="U6799">
            <v>60</v>
          </cell>
        </row>
        <row r="6800">
          <cell r="E6800" t="str">
            <v>T25001304</v>
          </cell>
          <cell r="F6800"/>
          <cell r="G6800">
            <v>50000000</v>
          </cell>
          <cell r="H6800" t="str">
            <v>Faris</v>
          </cell>
          <cell r="I6800" t="str">
            <v>Syahra</v>
          </cell>
          <cell r="J6800"/>
          <cell r="K6800" t="str">
            <v>KU, Tunai</v>
          </cell>
          <cell r="L6800" t="str">
            <v>REST08</v>
          </cell>
          <cell r="M6800" t="str">
            <v>Restu Tani/Rio</v>
          </cell>
          <cell r="N6800" t="str">
            <v>Rio Nusanggara</v>
          </cell>
          <cell r="O6800" t="str">
            <v>Dsn. Krajan, RT.001/RW.001 Tapanrejo, Muncar, Kab. Banyuwangi</v>
          </cell>
          <cell r="P6800" t="str">
            <v>Banyuwangi</v>
          </cell>
          <cell r="Q6800" t="str">
            <v>Dsn. Krajan, RT.001/RW.001 Tapanrejo, Muncar, Kab. Banyuwangi</v>
          </cell>
          <cell r="R6800" t="str">
            <v>Banyuwangi</v>
          </cell>
          <cell r="S6800" t="str">
            <v>H Bwi2</v>
          </cell>
          <cell r="T6800" t="str">
            <v>Hafid</v>
          </cell>
          <cell r="U6800">
            <v>60</v>
          </cell>
        </row>
        <row r="6801">
          <cell r="E6801" t="str">
            <v>D25013346</v>
          </cell>
          <cell r="F6801"/>
          <cell r="G6801">
            <v>50000000</v>
          </cell>
          <cell r="H6801" t="str">
            <v>Faris</v>
          </cell>
          <cell r="I6801" t="str">
            <v>Syahra</v>
          </cell>
          <cell r="J6801"/>
          <cell r="K6801" t="str">
            <v>KU, Tunai</v>
          </cell>
          <cell r="L6801" t="str">
            <v>REST08</v>
          </cell>
          <cell r="M6801" t="str">
            <v>Restu Tani/Rio</v>
          </cell>
          <cell r="N6801" t="str">
            <v>Rio Nusanggara</v>
          </cell>
          <cell r="O6801" t="str">
            <v>Dsn. Krajan, RT.001/RW.001 Tapanrejo, Muncar, Kab. Banyuwangi</v>
          </cell>
          <cell r="P6801" t="str">
            <v>Banyuwangi</v>
          </cell>
          <cell r="Q6801" t="str">
            <v>Dsn. Krajan, RT.001/RW.001 Tapanrejo, Muncar, Kab. Banyuwangi</v>
          </cell>
          <cell r="R6801" t="str">
            <v>Banyuwangi</v>
          </cell>
          <cell r="S6801" t="str">
            <v>H Bwi2</v>
          </cell>
          <cell r="T6801" t="str">
            <v>Hafid</v>
          </cell>
          <cell r="U6801">
            <v>60</v>
          </cell>
        </row>
        <row r="6802">
          <cell r="E6802" t="str">
            <v>T25001338</v>
          </cell>
          <cell r="F6802"/>
          <cell r="G6802">
            <v>50000000</v>
          </cell>
          <cell r="H6802" t="str">
            <v>Faris</v>
          </cell>
          <cell r="I6802" t="str">
            <v>Syahra</v>
          </cell>
          <cell r="J6802"/>
          <cell r="K6802" t="str">
            <v>KU, Tunai</v>
          </cell>
          <cell r="L6802" t="str">
            <v>REST08</v>
          </cell>
          <cell r="M6802" t="str">
            <v>Restu Tani/Rio</v>
          </cell>
          <cell r="N6802" t="str">
            <v>Rio Nusanggara</v>
          </cell>
          <cell r="O6802" t="str">
            <v>Dsn. Krajan, RT.001/RW.001 Tapanrejo, Muncar, Kab. Banyuwangi</v>
          </cell>
          <cell r="P6802" t="str">
            <v>Banyuwangi</v>
          </cell>
          <cell r="Q6802" t="str">
            <v>Dsn. Krajan, RT.001/RW.001 Tapanrejo, Muncar, Kab. Banyuwangi</v>
          </cell>
          <cell r="R6802" t="str">
            <v>Banyuwangi</v>
          </cell>
          <cell r="S6802" t="str">
            <v>H Bwi2</v>
          </cell>
          <cell r="T6802" t="str">
            <v>Hafid</v>
          </cell>
          <cell r="U6802">
            <v>60</v>
          </cell>
        </row>
        <row r="6803">
          <cell r="E6803" t="str">
            <v>D25013634</v>
          </cell>
          <cell r="F6803"/>
          <cell r="G6803">
            <v>50000000</v>
          </cell>
          <cell r="H6803" t="str">
            <v>Faris</v>
          </cell>
          <cell r="I6803" t="str">
            <v>Syahra</v>
          </cell>
          <cell r="J6803"/>
          <cell r="K6803" t="str">
            <v>KU, Tunai</v>
          </cell>
          <cell r="L6803" t="str">
            <v>REST08</v>
          </cell>
          <cell r="M6803" t="str">
            <v>Restu Tani/Rio</v>
          </cell>
          <cell r="N6803" t="str">
            <v>Rio Nusanggara</v>
          </cell>
          <cell r="O6803" t="str">
            <v>Dsn. Krajan, RT.001/RW.001 Tapanrejo, Muncar, Kab. Banyuwangi</v>
          </cell>
          <cell r="P6803" t="str">
            <v>Banyuwangi</v>
          </cell>
          <cell r="Q6803" t="str">
            <v>Dsn. Krajan, RT.001/RW.001 Tapanrejo, Muncar, Kab. Banyuwangi</v>
          </cell>
          <cell r="R6803" t="str">
            <v>Banyuwangi</v>
          </cell>
          <cell r="S6803" t="str">
            <v>H Bwi2</v>
          </cell>
          <cell r="T6803" t="str">
            <v>Hafid</v>
          </cell>
          <cell r="U6803">
            <v>30</v>
          </cell>
        </row>
        <row r="6804">
          <cell r="E6804" t="str">
            <v>T25001474</v>
          </cell>
          <cell r="F6804"/>
          <cell r="G6804">
            <v>50000000</v>
          </cell>
          <cell r="H6804" t="str">
            <v>Faris</v>
          </cell>
          <cell r="I6804" t="str">
            <v>Syahra</v>
          </cell>
          <cell r="J6804"/>
          <cell r="K6804" t="str">
            <v>KU, Tunai</v>
          </cell>
          <cell r="L6804" t="str">
            <v>REST08</v>
          </cell>
          <cell r="M6804" t="str">
            <v>Restu Tani/Rio</v>
          </cell>
          <cell r="N6804" t="str">
            <v>Rio Nusanggara</v>
          </cell>
          <cell r="O6804" t="str">
            <v>Dsn. Krajan, RT.001/RW.001 Tapanrejo, Muncar, Kab. Banyuwangi</v>
          </cell>
          <cell r="P6804" t="str">
            <v>Banyuwangi</v>
          </cell>
          <cell r="Q6804" t="str">
            <v>Dsn. Krajan, RT.001/RW.001 Tapanrejo, Muncar, Kab. Banyuwangi</v>
          </cell>
          <cell r="R6804" t="str">
            <v>Banyuwangi</v>
          </cell>
          <cell r="S6804" t="str">
            <v>H Bwi2</v>
          </cell>
          <cell r="T6804" t="str">
            <v>Hafid</v>
          </cell>
          <cell r="U6804">
            <v>60</v>
          </cell>
        </row>
        <row r="6805">
          <cell r="E6805" t="str">
            <v>B25013497</v>
          </cell>
          <cell r="F6805"/>
          <cell r="G6805">
            <v>50000000</v>
          </cell>
          <cell r="H6805" t="str">
            <v>Faris</v>
          </cell>
          <cell r="I6805" t="str">
            <v>Syahra</v>
          </cell>
          <cell r="J6805"/>
          <cell r="K6805" t="str">
            <v>KU, Tunai</v>
          </cell>
          <cell r="L6805" t="str">
            <v>REST08</v>
          </cell>
          <cell r="M6805" t="str">
            <v>Restu Tani/Rio</v>
          </cell>
          <cell r="N6805" t="str">
            <v>Rio Nusanggara</v>
          </cell>
          <cell r="O6805" t="str">
            <v>Dsn. Krajan, RT.001/RW.001 Tapanrejo, Muncar, Kab. Banyuwangi</v>
          </cell>
          <cell r="P6805" t="str">
            <v>Banyuwangi</v>
          </cell>
          <cell r="Q6805" t="str">
            <v>Dsn. Krajan, RT.001/RW.001 Tapanrejo, Muncar, Kab. Banyuwangi</v>
          </cell>
          <cell r="R6805" t="str">
            <v>Banyuwangi</v>
          </cell>
          <cell r="S6805" t="str">
            <v>H Bwi2</v>
          </cell>
          <cell r="T6805" t="str">
            <v>Hafid</v>
          </cell>
          <cell r="U6805">
            <v>60</v>
          </cell>
        </row>
        <row r="6806">
          <cell r="E6806" t="str">
            <v>D25015499</v>
          </cell>
          <cell r="F6806"/>
          <cell r="G6806">
            <v>30000000</v>
          </cell>
          <cell r="H6806" t="str">
            <v>Yuyun</v>
          </cell>
          <cell r="I6806" t="str">
            <v>Farida</v>
          </cell>
          <cell r="J6806" t="str">
            <v>New 12/10/20</v>
          </cell>
          <cell r="K6806" t="str">
            <v>KU, Tunai</v>
          </cell>
          <cell r="L6806" t="str">
            <v>REST09</v>
          </cell>
          <cell r="M6806" t="str">
            <v>Restu Tani/Samsul</v>
          </cell>
          <cell r="N6806" t="str">
            <v>Samsul Wahyudi</v>
          </cell>
          <cell r="O6806" t="str">
            <v xml:space="preserve">Dusun Krajan RT.001/RW.007, Kel. Balung Lor, Kec. Balung </v>
          </cell>
          <cell r="P6806" t="str">
            <v>Jember</v>
          </cell>
          <cell r="Q6806" t="str">
            <v xml:space="preserve">Dusun Krajan RT.001/RW.007, Kel. Balung Lor, Kec. Balung </v>
          </cell>
          <cell r="R6806" t="str">
            <v>Jember</v>
          </cell>
          <cell r="S6806" t="str">
            <v>L Kota3</v>
          </cell>
          <cell r="T6806" t="str">
            <v>Wira</v>
          </cell>
          <cell r="U6806">
            <v>30</v>
          </cell>
        </row>
        <row r="6807">
          <cell r="E6807" t="str">
            <v>B25009790</v>
          </cell>
          <cell r="F6807"/>
          <cell r="G6807">
            <v>60000000</v>
          </cell>
          <cell r="H6807" t="str">
            <v>Zakia</v>
          </cell>
          <cell r="I6807" t="str">
            <v>Tiya</v>
          </cell>
          <cell r="J6807"/>
          <cell r="K6807" t="str">
            <v>KU</v>
          </cell>
          <cell r="L6807" t="str">
            <v>REST07</v>
          </cell>
          <cell r="M6807" t="str">
            <v>Restu Tani/Yasa</v>
          </cell>
          <cell r="N6807" t="str">
            <v>Yasa I Made</v>
          </cell>
          <cell r="O6807" t="str">
            <v>BR Bernas No-, Buduk, Mengwi, Badung</v>
          </cell>
          <cell r="P6807" t="str">
            <v>Bali</v>
          </cell>
          <cell r="Q6807" t="str">
            <v>BR Bernas No-, Buduk, Mengwi, Badung</v>
          </cell>
          <cell r="R6807" t="str">
            <v>Bali</v>
          </cell>
          <cell r="S6807" t="str">
            <v>S Bali3</v>
          </cell>
          <cell r="T6807" t="str">
            <v>Wira</v>
          </cell>
          <cell r="U6807">
            <v>30</v>
          </cell>
        </row>
        <row r="6808">
          <cell r="E6808" t="str">
            <v>D25012035</v>
          </cell>
          <cell r="F6808"/>
          <cell r="G6808">
            <v>60000000</v>
          </cell>
          <cell r="H6808" t="str">
            <v>Zakia</v>
          </cell>
          <cell r="I6808" t="str">
            <v>Tiya</v>
          </cell>
          <cell r="J6808"/>
          <cell r="K6808" t="str">
            <v>KU</v>
          </cell>
          <cell r="L6808" t="str">
            <v>REST07</v>
          </cell>
          <cell r="M6808" t="str">
            <v>Restu Tani/Yasa</v>
          </cell>
          <cell r="N6808" t="str">
            <v>Yasa I Made</v>
          </cell>
          <cell r="O6808" t="str">
            <v>BR Bernas No-, Buduk, Mengwi, Badung</v>
          </cell>
          <cell r="P6808" t="str">
            <v>Bali</v>
          </cell>
          <cell r="Q6808" t="str">
            <v>BR Bernas No-, Buduk, Mengwi, Badung</v>
          </cell>
          <cell r="R6808" t="str">
            <v>Bali</v>
          </cell>
          <cell r="S6808" t="str">
            <v>S Bali3</v>
          </cell>
          <cell r="T6808" t="str">
            <v>Wira</v>
          </cell>
          <cell r="U6808">
            <v>60</v>
          </cell>
        </row>
        <row r="6809">
          <cell r="E6809" t="str">
            <v>D25012301</v>
          </cell>
          <cell r="F6809"/>
          <cell r="G6809">
            <v>60000000</v>
          </cell>
          <cell r="H6809" t="str">
            <v>Zakia</v>
          </cell>
          <cell r="I6809" t="str">
            <v>Tiya</v>
          </cell>
          <cell r="J6809"/>
          <cell r="K6809" t="str">
            <v>KU</v>
          </cell>
          <cell r="L6809" t="str">
            <v>REST07</v>
          </cell>
          <cell r="M6809" t="str">
            <v>Restu Tani/Yasa</v>
          </cell>
          <cell r="N6809" t="str">
            <v>Yasa I Made</v>
          </cell>
          <cell r="O6809" t="str">
            <v>BR Bernas No-, Buduk, Mengwi, Badung</v>
          </cell>
          <cell r="P6809" t="str">
            <v>Bali</v>
          </cell>
          <cell r="Q6809" t="str">
            <v>BR Bernas No-, Buduk, Mengwi, Badung</v>
          </cell>
          <cell r="R6809" t="str">
            <v>Bali</v>
          </cell>
          <cell r="S6809" t="str">
            <v>S Bali3</v>
          </cell>
          <cell r="T6809" t="str">
            <v>Wira</v>
          </cell>
          <cell r="U6809">
            <v>30</v>
          </cell>
        </row>
        <row r="6810">
          <cell r="E6810" t="str">
            <v>D25012453</v>
          </cell>
          <cell r="F6810"/>
          <cell r="G6810">
            <v>60000000</v>
          </cell>
          <cell r="H6810" t="str">
            <v>Zakia</v>
          </cell>
          <cell r="I6810" t="str">
            <v>Tiya</v>
          </cell>
          <cell r="J6810"/>
          <cell r="K6810" t="str">
            <v>KU</v>
          </cell>
          <cell r="L6810" t="str">
            <v>REST07</v>
          </cell>
          <cell r="M6810" t="str">
            <v>Restu Tani/Yasa</v>
          </cell>
          <cell r="N6810" t="str">
            <v>Yasa I Made</v>
          </cell>
          <cell r="O6810" t="str">
            <v>BR Bernas No-, Buduk, Mengwi, Badung</v>
          </cell>
          <cell r="P6810" t="str">
            <v>Bali</v>
          </cell>
          <cell r="Q6810" t="str">
            <v>BR Bernas No-, Buduk, Mengwi, Badung</v>
          </cell>
          <cell r="R6810" t="str">
            <v>Bali</v>
          </cell>
          <cell r="S6810" t="str">
            <v>S Bali3</v>
          </cell>
          <cell r="T6810" t="str">
            <v>Wira</v>
          </cell>
          <cell r="U6810">
            <v>30</v>
          </cell>
        </row>
        <row r="6811">
          <cell r="E6811" t="str">
            <v>B25011418</v>
          </cell>
          <cell r="F6811"/>
          <cell r="G6811">
            <v>60000000</v>
          </cell>
          <cell r="H6811" t="str">
            <v>Zakia</v>
          </cell>
          <cell r="I6811" t="str">
            <v>Tiya</v>
          </cell>
          <cell r="J6811"/>
          <cell r="K6811" t="str">
            <v>KU</v>
          </cell>
          <cell r="L6811" t="str">
            <v>REST07</v>
          </cell>
          <cell r="M6811" t="str">
            <v>Restu Tani/Yasa</v>
          </cell>
          <cell r="N6811" t="str">
            <v>Yasa I Made</v>
          </cell>
          <cell r="O6811" t="str">
            <v>BR Bernas No-, Buduk, Mengwi, Badung</v>
          </cell>
          <cell r="P6811" t="str">
            <v>Bali</v>
          </cell>
          <cell r="Q6811" t="str">
            <v>BR Bernas No-, Buduk, Mengwi, Badung</v>
          </cell>
          <cell r="R6811" t="str">
            <v>Bali</v>
          </cell>
          <cell r="S6811" t="str">
            <v>S Bali3</v>
          </cell>
          <cell r="T6811" t="str">
            <v>Wira</v>
          </cell>
          <cell r="U6811">
            <v>30</v>
          </cell>
        </row>
        <row r="6812">
          <cell r="E6812" t="str">
            <v>B25011555</v>
          </cell>
          <cell r="F6812"/>
          <cell r="G6812">
            <v>60000000</v>
          </cell>
          <cell r="H6812" t="str">
            <v>Zakia</v>
          </cell>
          <cell r="I6812" t="str">
            <v>Tiya</v>
          </cell>
          <cell r="J6812"/>
          <cell r="K6812" t="str">
            <v>KU</v>
          </cell>
          <cell r="L6812" t="str">
            <v>REST07</v>
          </cell>
          <cell r="M6812" t="str">
            <v>Restu Tani/Yasa</v>
          </cell>
          <cell r="N6812" t="str">
            <v>Yasa I Made</v>
          </cell>
          <cell r="O6812" t="str">
            <v>BR Bernas No-, Buduk, Mengwi, Badung</v>
          </cell>
          <cell r="P6812" t="str">
            <v>Bali</v>
          </cell>
          <cell r="Q6812" t="str">
            <v>BR Bernas No-, Buduk, Mengwi, Badung</v>
          </cell>
          <cell r="R6812" t="str">
            <v>Bali</v>
          </cell>
          <cell r="S6812" t="str">
            <v>S Bali3</v>
          </cell>
          <cell r="T6812" t="str">
            <v>Wira</v>
          </cell>
          <cell r="U6812">
            <v>30</v>
          </cell>
        </row>
        <row r="6813">
          <cell r="E6813" t="str">
            <v>B25011556</v>
          </cell>
          <cell r="F6813"/>
          <cell r="G6813">
            <v>60000000</v>
          </cell>
          <cell r="H6813" t="str">
            <v>Zakia</v>
          </cell>
          <cell r="I6813" t="str">
            <v>Tiya</v>
          </cell>
          <cell r="J6813"/>
          <cell r="K6813" t="str">
            <v>KU</v>
          </cell>
          <cell r="L6813" t="str">
            <v>REST07</v>
          </cell>
          <cell r="M6813" t="str">
            <v>Restu Tani/Yasa</v>
          </cell>
          <cell r="N6813" t="str">
            <v>Yasa I Made</v>
          </cell>
          <cell r="O6813" t="str">
            <v>BR Bernas No-, Buduk, Mengwi, Badung</v>
          </cell>
          <cell r="P6813" t="str">
            <v>Bali</v>
          </cell>
          <cell r="Q6813" t="str">
            <v>BR Bernas No-, Buduk, Mengwi, Badung</v>
          </cell>
          <cell r="R6813" t="str">
            <v>Bali</v>
          </cell>
          <cell r="S6813" t="str">
            <v>S Bali3</v>
          </cell>
          <cell r="T6813" t="str">
            <v>Wira</v>
          </cell>
          <cell r="U6813">
            <v>30</v>
          </cell>
        </row>
        <row r="6814">
          <cell r="E6814" t="str">
            <v>D25014370</v>
          </cell>
          <cell r="F6814"/>
          <cell r="G6814">
            <v>60000000</v>
          </cell>
          <cell r="H6814" t="str">
            <v>Zakia</v>
          </cell>
          <cell r="I6814" t="str">
            <v>Tiya</v>
          </cell>
          <cell r="J6814"/>
          <cell r="K6814" t="str">
            <v>KU</v>
          </cell>
          <cell r="L6814" t="str">
            <v>REST07</v>
          </cell>
          <cell r="M6814" t="str">
            <v>Restu Tani/Yasa</v>
          </cell>
          <cell r="N6814" t="str">
            <v>Yasa I Made</v>
          </cell>
          <cell r="O6814" t="str">
            <v>BR Bernas No-, Buduk, Mengwi, Badung</v>
          </cell>
          <cell r="P6814" t="str">
            <v>Bali</v>
          </cell>
          <cell r="Q6814" t="str">
            <v>BR Bernas No-, Buduk, Mengwi, Badung</v>
          </cell>
          <cell r="R6814" t="str">
            <v>Bali</v>
          </cell>
          <cell r="S6814" t="str">
            <v>S Bali3</v>
          </cell>
          <cell r="T6814" t="str">
            <v>Wira</v>
          </cell>
          <cell r="U6814">
            <v>30</v>
          </cell>
        </row>
        <row r="6815">
          <cell r="E6815" t="str">
            <v>D25014372</v>
          </cell>
          <cell r="F6815"/>
          <cell r="G6815">
            <v>60000000</v>
          </cell>
          <cell r="H6815" t="str">
            <v>Zakia</v>
          </cell>
          <cell r="I6815" t="str">
            <v>Tiya</v>
          </cell>
          <cell r="J6815"/>
          <cell r="K6815" t="str">
            <v>KU</v>
          </cell>
          <cell r="L6815" t="str">
            <v>REST07</v>
          </cell>
          <cell r="M6815" t="str">
            <v>Restu Tani/Yasa</v>
          </cell>
          <cell r="N6815" t="str">
            <v>Yasa I Made</v>
          </cell>
          <cell r="O6815" t="str">
            <v>BR Bernas No-, Buduk, Mengwi, Badung</v>
          </cell>
          <cell r="P6815" t="str">
            <v>Bali</v>
          </cell>
          <cell r="Q6815" t="str">
            <v>BR Bernas No-, Buduk, Mengwi, Badung</v>
          </cell>
          <cell r="R6815" t="str">
            <v>Bali</v>
          </cell>
          <cell r="S6815" t="str">
            <v>S Bali3</v>
          </cell>
          <cell r="T6815" t="str">
            <v>Wira</v>
          </cell>
          <cell r="U6815">
            <v>30</v>
          </cell>
        </row>
        <row r="6816">
          <cell r="E6816" t="str">
            <v>D25014373</v>
          </cell>
          <cell r="F6816"/>
          <cell r="G6816">
            <v>60000000</v>
          </cell>
          <cell r="H6816" t="str">
            <v>Zakia</v>
          </cell>
          <cell r="I6816" t="str">
            <v>Tiya</v>
          </cell>
          <cell r="J6816"/>
          <cell r="K6816" t="str">
            <v>KU</v>
          </cell>
          <cell r="L6816" t="str">
            <v>REST07</v>
          </cell>
          <cell r="M6816" t="str">
            <v>Restu Tani/Yasa</v>
          </cell>
          <cell r="N6816" t="str">
            <v>Yasa I Made</v>
          </cell>
          <cell r="O6816" t="str">
            <v>BR Bernas No-, Buduk, Mengwi, Badung</v>
          </cell>
          <cell r="P6816" t="str">
            <v>Bali</v>
          </cell>
          <cell r="Q6816" t="str">
            <v>BR Bernas No-, Buduk, Mengwi, Badung</v>
          </cell>
          <cell r="R6816" t="str">
            <v>Bali</v>
          </cell>
          <cell r="S6816" t="str">
            <v>S Bali3</v>
          </cell>
          <cell r="T6816" t="str">
            <v>Wira</v>
          </cell>
          <cell r="U6816">
            <v>60</v>
          </cell>
        </row>
        <row r="6817">
          <cell r="E6817" t="str">
            <v>D25014907</v>
          </cell>
          <cell r="F6817"/>
          <cell r="G6817">
            <v>60000000</v>
          </cell>
          <cell r="H6817" t="str">
            <v>Zakia</v>
          </cell>
          <cell r="I6817" t="str">
            <v>Tiya</v>
          </cell>
          <cell r="J6817"/>
          <cell r="K6817" t="str">
            <v>KU</v>
          </cell>
          <cell r="L6817" t="str">
            <v>REST07</v>
          </cell>
          <cell r="M6817" t="str">
            <v>Restu Tani/Yasa</v>
          </cell>
          <cell r="N6817" t="str">
            <v>Yasa I Made</v>
          </cell>
          <cell r="O6817" t="str">
            <v>BR Bernas No-, Buduk, Mengwi, Badung</v>
          </cell>
          <cell r="P6817" t="str">
            <v>Bali</v>
          </cell>
          <cell r="Q6817" t="str">
            <v>BR Bernas No-, Buduk, Mengwi, Badung</v>
          </cell>
          <cell r="R6817" t="str">
            <v>Bali</v>
          </cell>
          <cell r="S6817" t="str">
            <v>S Bali3</v>
          </cell>
          <cell r="T6817" t="str">
            <v>Wira</v>
          </cell>
          <cell r="U6817">
            <v>30</v>
          </cell>
        </row>
        <row r="6818">
          <cell r="E6818" t="str">
            <v>B25013302</v>
          </cell>
          <cell r="F6818"/>
          <cell r="G6818">
            <v>60000000</v>
          </cell>
          <cell r="H6818" t="str">
            <v>Zakia</v>
          </cell>
          <cell r="I6818" t="str">
            <v>Tiya</v>
          </cell>
          <cell r="J6818"/>
          <cell r="K6818" t="str">
            <v>KU</v>
          </cell>
          <cell r="L6818" t="str">
            <v>REST07</v>
          </cell>
          <cell r="M6818" t="str">
            <v>Restu Tani/Yasa</v>
          </cell>
          <cell r="N6818" t="str">
            <v>Yasa I Made</v>
          </cell>
          <cell r="O6818" t="str">
            <v>BR Bernas No-, Buduk, Mengwi, Badung</v>
          </cell>
          <cell r="P6818" t="str">
            <v>Bali</v>
          </cell>
          <cell r="Q6818" t="str">
            <v>BR Bernas No-, Buduk, Mengwi, Badung</v>
          </cell>
          <cell r="R6818" t="str">
            <v>Bali</v>
          </cell>
          <cell r="S6818" t="str">
            <v>S Bali3</v>
          </cell>
          <cell r="T6818" t="str">
            <v>Wira</v>
          </cell>
          <cell r="U6818">
            <v>60</v>
          </cell>
        </row>
        <row r="6819">
          <cell r="E6819" t="str">
            <v>T25001542</v>
          </cell>
          <cell r="F6819"/>
          <cell r="G6819">
            <v>60000000</v>
          </cell>
          <cell r="H6819" t="str">
            <v>Zakia</v>
          </cell>
          <cell r="I6819" t="str">
            <v>Tiya</v>
          </cell>
          <cell r="J6819"/>
          <cell r="K6819" t="str">
            <v>KU</v>
          </cell>
          <cell r="L6819" t="str">
            <v>REST07</v>
          </cell>
          <cell r="M6819" t="str">
            <v>Restu Tani/Yasa</v>
          </cell>
          <cell r="N6819" t="str">
            <v>Yasa I Made</v>
          </cell>
          <cell r="O6819" t="str">
            <v>BR Bernas No-, Buduk, Mengwi, Badung</v>
          </cell>
          <cell r="P6819" t="str">
            <v>Bali</v>
          </cell>
          <cell r="Q6819" t="str">
            <v>BR Bernas No-, Buduk, Mengwi, Badung</v>
          </cell>
          <cell r="R6819" t="str">
            <v>Bali</v>
          </cell>
          <cell r="S6819" t="str">
            <v>S Bali3</v>
          </cell>
          <cell r="T6819" t="str">
            <v>Wira</v>
          </cell>
          <cell r="U6819">
            <v>60</v>
          </cell>
        </row>
        <row r="6820">
          <cell r="E6820" t="str">
            <v>B25013473</v>
          </cell>
          <cell r="F6820"/>
          <cell r="G6820">
            <v>60000000</v>
          </cell>
          <cell r="H6820" t="str">
            <v>Zakia</v>
          </cell>
          <cell r="I6820" t="str">
            <v>Tiya</v>
          </cell>
          <cell r="J6820"/>
          <cell r="K6820" t="str">
            <v>KU</v>
          </cell>
          <cell r="L6820" t="str">
            <v>REST07</v>
          </cell>
          <cell r="M6820" t="str">
            <v>Restu Tani/Yasa</v>
          </cell>
          <cell r="N6820" t="str">
            <v>Yasa I Made</v>
          </cell>
          <cell r="O6820" t="str">
            <v>BR Bernas No-, Buduk, Mengwi, Badung</v>
          </cell>
          <cell r="P6820" t="str">
            <v>Bali</v>
          </cell>
          <cell r="Q6820" t="str">
            <v>BR Bernas No-, Buduk, Mengwi, Badung</v>
          </cell>
          <cell r="R6820" t="str">
            <v>Bali</v>
          </cell>
          <cell r="S6820" t="str">
            <v>S Bali3</v>
          </cell>
          <cell r="T6820" t="str">
            <v>Wira</v>
          </cell>
          <cell r="U6820">
            <v>30</v>
          </cell>
        </row>
        <row r="6821">
          <cell r="E6821" t="str">
            <v>D25014528</v>
          </cell>
          <cell r="F6821"/>
          <cell r="G6821">
            <v>1000</v>
          </cell>
          <cell r="H6821" t="str">
            <v>Reni</v>
          </cell>
          <cell r="I6821" t="str">
            <v>Farida</v>
          </cell>
          <cell r="J6821" t="str">
            <v>New 13/06/22</v>
          </cell>
          <cell r="K6821" t="str">
            <v>COD</v>
          </cell>
          <cell r="L6821" t="str">
            <v>REZE01</v>
          </cell>
          <cell r="M6821" t="str">
            <v>Rezeki Barokah/Dimas</v>
          </cell>
          <cell r="N6821" t="str">
            <v>Dimas Ivan Ipnu Umar, SH</v>
          </cell>
          <cell r="O6821" t="str">
            <v>Jalan Mojowarno 155 RT.006/RW.003 Kel. Mojorejo Kec. Junrejo</v>
          </cell>
          <cell r="P6821" t="str">
            <v>Batu</v>
          </cell>
          <cell r="Q6821" t="str">
            <v>Jalan Mojowarno 155 RT.006/RW.003 Kel. Mojorejo Kec. Junrejo</v>
          </cell>
          <cell r="R6821" t="str">
            <v>Batu</v>
          </cell>
          <cell r="S6821" t="str">
            <v>F Utara1</v>
          </cell>
          <cell r="T6821" t="str">
            <v>Tomi</v>
          </cell>
          <cell r="U6821">
            <v>0</v>
          </cell>
        </row>
        <row r="6822">
          <cell r="E6822" t="str">
            <v>B25012519</v>
          </cell>
          <cell r="F6822"/>
          <cell r="G6822">
            <v>1000</v>
          </cell>
          <cell r="H6822" t="str">
            <v>Yuyun</v>
          </cell>
          <cell r="I6822" t="str">
            <v>Farida</v>
          </cell>
          <cell r="J6822" t="str">
            <v>New 20/04/24</v>
          </cell>
          <cell r="K6822" t="str">
            <v>COD</v>
          </cell>
          <cell r="L6822" t="str">
            <v>RIDH04</v>
          </cell>
          <cell r="M6822" t="str">
            <v>Ridho Tani 2/Maulana Ishak</v>
          </cell>
          <cell r="N6822" t="str">
            <v>Maulana Ishak</v>
          </cell>
          <cell r="O6822" t="str">
            <v>Dusun Sumber Tengah RT.006/RW.011, Kel. Mumbulsari, Kec. Mubulsari</v>
          </cell>
          <cell r="P6822" t="str">
            <v>Jember</v>
          </cell>
          <cell r="Q6822" t="str">
            <v>Suco, Mumbulsari</v>
          </cell>
          <cell r="R6822" t="str">
            <v>Jember</v>
          </cell>
          <cell r="S6822" t="str">
            <v>L Kota1</v>
          </cell>
          <cell r="T6822" t="str">
            <v>Efendi</v>
          </cell>
          <cell r="U6822">
            <v>0</v>
          </cell>
        </row>
        <row r="6823">
          <cell r="E6823" t="str">
            <v>B25012520</v>
          </cell>
          <cell r="F6823"/>
          <cell r="G6823">
            <v>1000</v>
          </cell>
          <cell r="H6823" t="str">
            <v>Yuyun</v>
          </cell>
          <cell r="I6823" t="str">
            <v>Farida</v>
          </cell>
          <cell r="J6823" t="str">
            <v>New 20/04/24</v>
          </cell>
          <cell r="K6823" t="str">
            <v>COD</v>
          </cell>
          <cell r="L6823" t="str">
            <v>RIDH04</v>
          </cell>
          <cell r="M6823" t="str">
            <v>Ridho Tani 2/Maulana Ishak</v>
          </cell>
          <cell r="N6823" t="str">
            <v>Maulana Ishak</v>
          </cell>
          <cell r="O6823" t="str">
            <v>Dusun Sumber Tengah RT.006/RW.011, Kel. Mumbulsari, Kec. Mubulsari</v>
          </cell>
          <cell r="P6823" t="str">
            <v>Jember</v>
          </cell>
          <cell r="Q6823" t="str">
            <v>Suco, Mumbulsari</v>
          </cell>
          <cell r="R6823" t="str">
            <v>Jember</v>
          </cell>
          <cell r="S6823" t="str">
            <v>L Kota1</v>
          </cell>
          <cell r="T6823" t="str">
            <v>Efendi</v>
          </cell>
          <cell r="U6823">
            <v>0</v>
          </cell>
        </row>
        <row r="6824">
          <cell r="E6824" t="str">
            <v>B25013801</v>
          </cell>
          <cell r="F6824"/>
          <cell r="G6824">
            <v>1000</v>
          </cell>
          <cell r="H6824" t="str">
            <v>Yuyun</v>
          </cell>
          <cell r="I6824" t="str">
            <v>Farida</v>
          </cell>
          <cell r="J6824" t="str">
            <v>New 20/04/24</v>
          </cell>
          <cell r="K6824" t="str">
            <v>COD</v>
          </cell>
          <cell r="L6824" t="str">
            <v>RIDH04</v>
          </cell>
          <cell r="M6824" t="str">
            <v>Ridho Tani 2/Maulana Ishak</v>
          </cell>
          <cell r="N6824" t="str">
            <v>Maulana Ishak</v>
          </cell>
          <cell r="O6824" t="str">
            <v>Dusun Sumber Tengah RT.006/RW.011, Kel. Mumbulsari, Kec. Mubulsari</v>
          </cell>
          <cell r="P6824" t="str">
            <v>Jember</v>
          </cell>
          <cell r="Q6824" t="str">
            <v>Suco, Mumbulsari</v>
          </cell>
          <cell r="R6824" t="str">
            <v>Jember</v>
          </cell>
          <cell r="S6824" t="str">
            <v>L Kota1</v>
          </cell>
          <cell r="T6824" t="str">
            <v>Efendi</v>
          </cell>
          <cell r="U6824">
            <v>0</v>
          </cell>
        </row>
        <row r="6825">
          <cell r="E6825" t="str">
            <v>B25007643</v>
          </cell>
          <cell r="F6825"/>
          <cell r="G6825">
            <v>350000000</v>
          </cell>
          <cell r="H6825" t="str">
            <v>Reni</v>
          </cell>
          <cell r="I6825" t="str">
            <v>Farida</v>
          </cell>
          <cell r="J6825"/>
          <cell r="K6825" t="str">
            <v>KU</v>
          </cell>
          <cell r="L6825" t="str">
            <v>RIKA01</v>
          </cell>
          <cell r="M6825" t="str">
            <v>Rika Tani/Gimun</v>
          </cell>
          <cell r="N6825" t="str">
            <v>Rika Tani Misuwur Luhur, CV</v>
          </cell>
          <cell r="O6825" t="str">
            <v>Dsn. Wakung, RT.002/RW.001, Sukoharjo, Wilangan</v>
          </cell>
          <cell r="P6825" t="str">
            <v>Nganjuk</v>
          </cell>
          <cell r="Q6825" t="str">
            <v>Ds. Wakung, Ds. Sukoharjo, Kec. Wilangan</v>
          </cell>
          <cell r="R6825" t="str">
            <v>Nganjuk</v>
          </cell>
          <cell r="S6825" t="str">
            <v>D Barat2</v>
          </cell>
          <cell r="T6825" t="str">
            <v>Dian</v>
          </cell>
          <cell r="U6825">
            <v>60</v>
          </cell>
        </row>
        <row r="6826">
          <cell r="E6826" t="str">
            <v>B25007676</v>
          </cell>
          <cell r="F6826"/>
          <cell r="G6826">
            <v>350000000</v>
          </cell>
          <cell r="H6826" t="str">
            <v>Reni</v>
          </cell>
          <cell r="I6826" t="str">
            <v>Farida</v>
          </cell>
          <cell r="J6826"/>
          <cell r="K6826" t="str">
            <v>KU</v>
          </cell>
          <cell r="L6826" t="str">
            <v>RIKA01</v>
          </cell>
          <cell r="M6826" t="str">
            <v>Rika Tani/Gimun</v>
          </cell>
          <cell r="N6826" t="str">
            <v>Rika Tani Misuwur Luhur, CV</v>
          </cell>
          <cell r="O6826" t="str">
            <v>Dsn. Wakung, RT.002/RW.001, Sukoharjo, Wilangan</v>
          </cell>
          <cell r="P6826" t="str">
            <v>Nganjuk</v>
          </cell>
          <cell r="Q6826" t="str">
            <v>Ds. Wakung, Ds. Sukoharjo, Kec. Wilangan</v>
          </cell>
          <cell r="R6826" t="str">
            <v>Nganjuk</v>
          </cell>
          <cell r="S6826" t="str">
            <v>D Barat2</v>
          </cell>
          <cell r="T6826" t="str">
            <v>Dian</v>
          </cell>
          <cell r="U6826">
            <v>60</v>
          </cell>
        </row>
        <row r="6827">
          <cell r="E6827" t="str">
            <v>T25001344</v>
          </cell>
          <cell r="F6827"/>
          <cell r="G6827">
            <v>350000000</v>
          </cell>
          <cell r="H6827" t="str">
            <v>Reni</v>
          </cell>
          <cell r="I6827" t="str">
            <v>Farida</v>
          </cell>
          <cell r="J6827"/>
          <cell r="K6827" t="str">
            <v>KU</v>
          </cell>
          <cell r="L6827" t="str">
            <v>RIKA01</v>
          </cell>
          <cell r="M6827" t="str">
            <v>Rika Tani/Gimun</v>
          </cell>
          <cell r="N6827" t="str">
            <v>Rika Tani Misuwur Luhur, CV</v>
          </cell>
          <cell r="O6827" t="str">
            <v>Dsn. Wakung, RT.002/RW.001, Sukoharjo, Wilangan</v>
          </cell>
          <cell r="P6827" t="str">
            <v>Nganjuk</v>
          </cell>
          <cell r="Q6827" t="str">
            <v>Ds. Wakung, Ds. Sukoharjo, Kec. Wilangan</v>
          </cell>
          <cell r="R6827" t="str">
            <v>Nganjuk</v>
          </cell>
          <cell r="S6827" t="str">
            <v>D Barat2</v>
          </cell>
          <cell r="T6827" t="str">
            <v>Dian</v>
          </cell>
          <cell r="U6827">
            <v>60</v>
          </cell>
        </row>
        <row r="6828">
          <cell r="E6828" t="str">
            <v>D25013821</v>
          </cell>
          <cell r="F6828"/>
          <cell r="G6828">
            <v>350000000</v>
          </cell>
          <cell r="H6828" t="str">
            <v>Reni</v>
          </cell>
          <cell r="I6828" t="str">
            <v>Farida</v>
          </cell>
          <cell r="J6828"/>
          <cell r="K6828" t="str">
            <v>KU</v>
          </cell>
          <cell r="L6828" t="str">
            <v>RIKA01</v>
          </cell>
          <cell r="M6828" t="str">
            <v>Rika Tani/Gimun</v>
          </cell>
          <cell r="N6828" t="str">
            <v>Rika Tani Misuwur Luhur, CV</v>
          </cell>
          <cell r="O6828" t="str">
            <v>Dsn. Wakung, RT.002/RW.001, Sukoharjo, Wilangan</v>
          </cell>
          <cell r="P6828" t="str">
            <v>Nganjuk</v>
          </cell>
          <cell r="Q6828" t="str">
            <v>Ds. Wakung, Ds. Sukoharjo, Kec. Wilangan</v>
          </cell>
          <cell r="R6828" t="str">
            <v>Nganjuk</v>
          </cell>
          <cell r="S6828" t="str">
            <v>D Barat2</v>
          </cell>
          <cell r="T6828" t="str">
            <v>Dian</v>
          </cell>
          <cell r="U6828">
            <v>30</v>
          </cell>
        </row>
        <row r="6829">
          <cell r="E6829" t="str">
            <v>D25013821</v>
          </cell>
          <cell r="F6829"/>
          <cell r="G6829">
            <v>350000000</v>
          </cell>
          <cell r="H6829" t="str">
            <v>Reni</v>
          </cell>
          <cell r="I6829" t="str">
            <v>Farida</v>
          </cell>
          <cell r="J6829"/>
          <cell r="K6829" t="str">
            <v>KU</v>
          </cell>
          <cell r="L6829" t="str">
            <v>RIKA01</v>
          </cell>
          <cell r="M6829" t="str">
            <v>Rika Tani/Gimun</v>
          </cell>
          <cell r="N6829" t="str">
            <v>Rika Tani Misuwur Luhur, CV</v>
          </cell>
          <cell r="O6829" t="str">
            <v>Dsn. Wakung, RT.002/RW.001, Sukoharjo, Wilangan</v>
          </cell>
          <cell r="P6829" t="str">
            <v>Nganjuk</v>
          </cell>
          <cell r="Q6829" t="str">
            <v>Ds. Wakung, Ds. Sukoharjo, Kec. Wilangan</v>
          </cell>
          <cell r="R6829" t="str">
            <v>Nganjuk</v>
          </cell>
          <cell r="S6829" t="str">
            <v>D Barat2</v>
          </cell>
          <cell r="T6829" t="str">
            <v>Dian</v>
          </cell>
          <cell r="U6829">
            <v>30</v>
          </cell>
        </row>
        <row r="6830">
          <cell r="E6830" t="str">
            <v>B25012090</v>
          </cell>
          <cell r="F6830"/>
          <cell r="G6830">
            <v>350000000</v>
          </cell>
          <cell r="H6830" t="str">
            <v>Reni</v>
          </cell>
          <cell r="I6830" t="str">
            <v>Farida</v>
          </cell>
          <cell r="J6830"/>
          <cell r="K6830" t="str">
            <v>KU</v>
          </cell>
          <cell r="L6830" t="str">
            <v>RIKA01</v>
          </cell>
          <cell r="M6830" t="str">
            <v>Rika Tani/Gimun</v>
          </cell>
          <cell r="N6830" t="str">
            <v>Rika Tani Misuwur Luhur, CV</v>
          </cell>
          <cell r="O6830" t="str">
            <v>Dsn. Wakung, RT.002/RW.001, Sukoharjo, Wilangan</v>
          </cell>
          <cell r="P6830" t="str">
            <v>Nganjuk</v>
          </cell>
          <cell r="Q6830" t="str">
            <v>Ds. Wakung, Ds. Sukoharjo, Kec. Wilangan</v>
          </cell>
          <cell r="R6830" t="str">
            <v>Nganjuk</v>
          </cell>
          <cell r="S6830" t="str">
            <v>D Barat2</v>
          </cell>
          <cell r="T6830" t="str">
            <v>Dian</v>
          </cell>
          <cell r="U6830">
            <v>30</v>
          </cell>
        </row>
        <row r="6831">
          <cell r="E6831" t="str">
            <v>B25012466</v>
          </cell>
          <cell r="F6831"/>
          <cell r="G6831">
            <v>350000000</v>
          </cell>
          <cell r="H6831" t="str">
            <v>Reni</v>
          </cell>
          <cell r="I6831" t="str">
            <v>Farida</v>
          </cell>
          <cell r="J6831"/>
          <cell r="K6831" t="str">
            <v>KU</v>
          </cell>
          <cell r="L6831" t="str">
            <v>RIKA01</v>
          </cell>
          <cell r="M6831" t="str">
            <v>Rika Tani/Gimun</v>
          </cell>
          <cell r="N6831" t="str">
            <v>Rika Tani Misuwur Luhur, CV</v>
          </cell>
          <cell r="O6831" t="str">
            <v>Dsn. Wakung, RT.002/RW.001, Sukoharjo, Wilangan</v>
          </cell>
          <cell r="P6831" t="str">
            <v>Nganjuk</v>
          </cell>
          <cell r="Q6831" t="str">
            <v>Ds. Wakung, Ds. Sukoharjo, Kec. Wilangan</v>
          </cell>
          <cell r="R6831" t="str">
            <v>Nganjuk</v>
          </cell>
          <cell r="S6831" t="str">
            <v>D Barat2</v>
          </cell>
          <cell r="T6831" t="str">
            <v>Dian</v>
          </cell>
          <cell r="U6831">
            <v>60</v>
          </cell>
        </row>
        <row r="6832">
          <cell r="E6832" t="str">
            <v>D25015336</v>
          </cell>
          <cell r="F6832"/>
          <cell r="G6832">
            <v>350000000</v>
          </cell>
          <cell r="H6832" t="str">
            <v>Reni</v>
          </cell>
          <cell r="I6832" t="str">
            <v>Farida</v>
          </cell>
          <cell r="J6832"/>
          <cell r="K6832" t="str">
            <v>KU</v>
          </cell>
          <cell r="L6832" t="str">
            <v>RIKA01</v>
          </cell>
          <cell r="M6832" t="str">
            <v>Rika Tani/Gimun</v>
          </cell>
          <cell r="N6832" t="str">
            <v>Rika Tani Misuwur Luhur, CV</v>
          </cell>
          <cell r="O6832" t="str">
            <v>Dsn. Wakung, RT.002/RW.001, Sukoharjo, Wilangan</v>
          </cell>
          <cell r="P6832" t="str">
            <v>Nganjuk</v>
          </cell>
          <cell r="Q6832" t="str">
            <v>Ds. Wakung, Ds. Sukoharjo, Kec. Wilangan</v>
          </cell>
          <cell r="R6832" t="str">
            <v>Nganjuk</v>
          </cell>
          <cell r="S6832" t="str">
            <v>D Barat2</v>
          </cell>
          <cell r="T6832" t="str">
            <v>Dian</v>
          </cell>
          <cell r="U6832">
            <v>60</v>
          </cell>
        </row>
        <row r="6833">
          <cell r="E6833" t="str">
            <v>T25001523</v>
          </cell>
          <cell r="F6833"/>
          <cell r="G6833">
            <v>350000000</v>
          </cell>
          <cell r="H6833" t="str">
            <v>Reni</v>
          </cell>
          <cell r="I6833" t="str">
            <v>Farida</v>
          </cell>
          <cell r="J6833"/>
          <cell r="K6833" t="str">
            <v>KU</v>
          </cell>
          <cell r="L6833" t="str">
            <v>RIKA01</v>
          </cell>
          <cell r="M6833" t="str">
            <v>Rika Tani/Gimun</v>
          </cell>
          <cell r="N6833" t="str">
            <v>Rika Tani Misuwur Luhur, CV</v>
          </cell>
          <cell r="O6833" t="str">
            <v>Dsn. Wakung, RT.002/RW.001, Sukoharjo, Wilangan</v>
          </cell>
          <cell r="P6833" t="str">
            <v>Nganjuk</v>
          </cell>
          <cell r="Q6833" t="str">
            <v>Ds. Wakung, Ds. Sukoharjo, Kec. Wilangan</v>
          </cell>
          <cell r="R6833" t="str">
            <v>Nganjuk</v>
          </cell>
          <cell r="S6833" t="str">
            <v>D Barat2</v>
          </cell>
          <cell r="T6833" t="str">
            <v>Dian</v>
          </cell>
          <cell r="U6833">
            <v>60</v>
          </cell>
        </row>
        <row r="6834">
          <cell r="E6834" t="str">
            <v>B25007346</v>
          </cell>
          <cell r="F6834"/>
          <cell r="G6834">
            <v>225000000</v>
          </cell>
          <cell r="H6834" t="str">
            <v>Faris</v>
          </cell>
          <cell r="I6834" t="str">
            <v>Syahra</v>
          </cell>
          <cell r="J6834"/>
          <cell r="K6834" t="str">
            <v>KU</v>
          </cell>
          <cell r="L6834" t="str">
            <v>RIMB02</v>
          </cell>
          <cell r="M6834" t="str">
            <v>Rimba Kelapa/Ribut Aminah</v>
          </cell>
          <cell r="N6834" t="str">
            <v>Ribut Aminah</v>
          </cell>
          <cell r="O6834" t="str">
            <v>Dsn. Krajan Wetan, RT.002/RW.001 Kel. Wonosobo, Kec. Srono</v>
          </cell>
          <cell r="P6834" t="str">
            <v>Banyuwangi</v>
          </cell>
          <cell r="Q6834" t="str">
            <v>Kirim ke kios utara / Rimba Kelapa 2 Ko Ricky</v>
          </cell>
          <cell r="R6834" t="str">
            <v>Banyuwangi</v>
          </cell>
          <cell r="S6834" t="str">
            <v>H Bwi1</v>
          </cell>
          <cell r="T6834" t="str">
            <v>Hafid</v>
          </cell>
          <cell r="U6834">
            <v>60</v>
          </cell>
        </row>
        <row r="6835">
          <cell r="E6835" t="str">
            <v>D25009665</v>
          </cell>
          <cell r="F6835"/>
          <cell r="G6835">
            <v>225000000</v>
          </cell>
          <cell r="H6835" t="str">
            <v>Faris</v>
          </cell>
          <cell r="I6835" t="str">
            <v>Syahra</v>
          </cell>
          <cell r="J6835"/>
          <cell r="K6835" t="str">
            <v>KU</v>
          </cell>
          <cell r="L6835" t="str">
            <v>RIMB02</v>
          </cell>
          <cell r="M6835" t="str">
            <v>Rimba Kelapa/Ribut Aminah</v>
          </cell>
          <cell r="N6835" t="str">
            <v>Ribut Aminah</v>
          </cell>
          <cell r="O6835" t="str">
            <v>Dsn. Krajan Wetan, RT.002/RW.001 Kel. Wonosobo, Kec. Srono</v>
          </cell>
          <cell r="P6835" t="str">
            <v>Banyuwangi</v>
          </cell>
          <cell r="Q6835" t="str">
            <v>Kirim ke kios utara / Rimba Kelapa 2 Ko Ricky</v>
          </cell>
          <cell r="R6835" t="str">
            <v>Banyuwangi</v>
          </cell>
          <cell r="S6835" t="str">
            <v>H Bwi1</v>
          </cell>
          <cell r="T6835" t="str">
            <v>Hafid</v>
          </cell>
          <cell r="U6835">
            <v>60</v>
          </cell>
        </row>
        <row r="6836">
          <cell r="E6836" t="str">
            <v>D25009665</v>
          </cell>
          <cell r="F6836"/>
          <cell r="G6836">
            <v>225000000</v>
          </cell>
          <cell r="H6836" t="str">
            <v>Faris</v>
          </cell>
          <cell r="I6836" t="str">
            <v>Syahra</v>
          </cell>
          <cell r="J6836"/>
          <cell r="K6836" t="str">
            <v>KU</v>
          </cell>
          <cell r="L6836" t="str">
            <v>RIMB02</v>
          </cell>
          <cell r="M6836" t="str">
            <v>Rimba Kelapa/Ribut Aminah</v>
          </cell>
          <cell r="N6836" t="str">
            <v>Ribut Aminah</v>
          </cell>
          <cell r="O6836" t="str">
            <v>Dsn. Krajan Wetan, RT.002/RW.001 Kel. Wonosobo, Kec. Srono</v>
          </cell>
          <cell r="P6836" t="str">
            <v>Banyuwangi</v>
          </cell>
          <cell r="Q6836" t="str">
            <v>Kirim ke kios utara / Rimba Kelapa 2 Ko Ricky</v>
          </cell>
          <cell r="R6836" t="str">
            <v>Banyuwangi</v>
          </cell>
          <cell r="S6836" t="str">
            <v>H Bwi1</v>
          </cell>
          <cell r="T6836" t="str">
            <v>Hafid</v>
          </cell>
          <cell r="U6836">
            <v>60</v>
          </cell>
        </row>
        <row r="6837">
          <cell r="E6837" t="str">
            <v>D25010157</v>
          </cell>
          <cell r="F6837"/>
          <cell r="G6837">
            <v>225000000</v>
          </cell>
          <cell r="H6837" t="str">
            <v>Faris</v>
          </cell>
          <cell r="I6837" t="str">
            <v>Syahra</v>
          </cell>
          <cell r="J6837"/>
          <cell r="K6837" t="str">
            <v>KU</v>
          </cell>
          <cell r="L6837" t="str">
            <v>RIMB02</v>
          </cell>
          <cell r="M6837" t="str">
            <v>Rimba Kelapa/Ribut Aminah</v>
          </cell>
          <cell r="N6837" t="str">
            <v>Ribut Aminah</v>
          </cell>
          <cell r="O6837" t="str">
            <v>Dsn. Krajan Wetan, RT.002/RW.001 Kel. Wonosobo, Kec. Srono</v>
          </cell>
          <cell r="P6837" t="str">
            <v>Banyuwangi</v>
          </cell>
          <cell r="Q6837" t="str">
            <v>Kirim ke kios utara / Rimba Kelapa 2 Ko Ricky</v>
          </cell>
          <cell r="R6837" t="str">
            <v>Banyuwangi</v>
          </cell>
          <cell r="S6837" t="str">
            <v>H Bwi1</v>
          </cell>
          <cell r="T6837" t="str">
            <v>Hafid</v>
          </cell>
          <cell r="U6837">
            <v>60</v>
          </cell>
        </row>
        <row r="6838">
          <cell r="E6838" t="str">
            <v>D25011437</v>
          </cell>
          <cell r="F6838"/>
          <cell r="G6838">
            <v>225000000</v>
          </cell>
          <cell r="H6838" t="str">
            <v>Faris</v>
          </cell>
          <cell r="I6838" t="str">
            <v>Syahra</v>
          </cell>
          <cell r="J6838"/>
          <cell r="K6838" t="str">
            <v>KU</v>
          </cell>
          <cell r="L6838" t="str">
            <v>RIMB02</v>
          </cell>
          <cell r="M6838" t="str">
            <v>Rimba Kelapa/Ribut Aminah</v>
          </cell>
          <cell r="N6838" t="str">
            <v>Ribut Aminah</v>
          </cell>
          <cell r="O6838" t="str">
            <v>Dsn. Krajan Wetan, RT.002/RW.001 Kel. Wonosobo, Kec. Srono</v>
          </cell>
          <cell r="P6838" t="str">
            <v>Banyuwangi</v>
          </cell>
          <cell r="Q6838" t="str">
            <v>Kirim ke kios utara / Rimba Kelapa 2 Ko Ricky</v>
          </cell>
          <cell r="R6838" t="str">
            <v>Banyuwangi</v>
          </cell>
          <cell r="S6838" t="str">
            <v>H Bwi1</v>
          </cell>
          <cell r="T6838" t="str">
            <v>Hafid</v>
          </cell>
          <cell r="U6838">
            <v>60</v>
          </cell>
        </row>
        <row r="6839">
          <cell r="E6839" t="str">
            <v>T25001188</v>
          </cell>
          <cell r="F6839"/>
          <cell r="G6839">
            <v>225000000</v>
          </cell>
          <cell r="H6839" t="str">
            <v>Faris</v>
          </cell>
          <cell r="I6839" t="str">
            <v>Syahra</v>
          </cell>
          <cell r="J6839"/>
          <cell r="K6839" t="str">
            <v>KU</v>
          </cell>
          <cell r="L6839" t="str">
            <v>RIMB02</v>
          </cell>
          <cell r="M6839" t="str">
            <v>Rimba Kelapa/Ribut Aminah</v>
          </cell>
          <cell r="N6839" t="str">
            <v>Ribut Aminah</v>
          </cell>
          <cell r="O6839" t="str">
            <v>Dsn. Krajan Wetan, RT.002/RW.001 Kel. Wonosobo, Kec. Srono</v>
          </cell>
          <cell r="P6839" t="str">
            <v>Banyuwangi</v>
          </cell>
          <cell r="Q6839" t="str">
            <v>Kirim ke kios utara / Rimba Kelapa 2 Ko Ricky</v>
          </cell>
          <cell r="R6839" t="str">
            <v>Banyuwangi</v>
          </cell>
          <cell r="S6839" t="str">
            <v>H Bwi1</v>
          </cell>
          <cell r="T6839" t="str">
            <v>Hafid</v>
          </cell>
          <cell r="U6839">
            <v>60</v>
          </cell>
        </row>
        <row r="6840">
          <cell r="E6840" t="str">
            <v>B25009749</v>
          </cell>
          <cell r="F6840"/>
          <cell r="G6840">
            <v>225000000</v>
          </cell>
          <cell r="H6840" t="str">
            <v>Faris</v>
          </cell>
          <cell r="I6840" t="str">
            <v>Syahra</v>
          </cell>
          <cell r="J6840"/>
          <cell r="K6840" t="str">
            <v>KU</v>
          </cell>
          <cell r="L6840" t="str">
            <v>RIMB02</v>
          </cell>
          <cell r="M6840" t="str">
            <v>Rimba Kelapa/Ribut Aminah</v>
          </cell>
          <cell r="N6840" t="str">
            <v>Ribut Aminah</v>
          </cell>
          <cell r="O6840" t="str">
            <v>Dsn. Krajan Wetan, RT.002/RW.001 Kel. Wonosobo, Kec. Srono</v>
          </cell>
          <cell r="P6840" t="str">
            <v>Banyuwangi</v>
          </cell>
          <cell r="Q6840" t="str">
            <v>Kirim ke kios utara / Rimba Kelapa 2 Ko Ricky</v>
          </cell>
          <cell r="R6840" t="str">
            <v>Banyuwangi</v>
          </cell>
          <cell r="S6840" t="str">
            <v>H Bwi1</v>
          </cell>
          <cell r="T6840" t="str">
            <v>Hafid</v>
          </cell>
          <cell r="U6840">
            <v>60</v>
          </cell>
        </row>
        <row r="6841">
          <cell r="E6841" t="str">
            <v>B25009758</v>
          </cell>
          <cell r="F6841"/>
          <cell r="G6841">
            <v>225000000</v>
          </cell>
          <cell r="H6841" t="str">
            <v>Faris</v>
          </cell>
          <cell r="I6841" t="str">
            <v>Syahra</v>
          </cell>
          <cell r="J6841"/>
          <cell r="K6841" t="str">
            <v>KU</v>
          </cell>
          <cell r="L6841" t="str">
            <v>RIMB02</v>
          </cell>
          <cell r="M6841" t="str">
            <v>Rimba Kelapa/Ribut Aminah</v>
          </cell>
          <cell r="N6841" t="str">
            <v>Ribut Aminah</v>
          </cell>
          <cell r="O6841" t="str">
            <v>Dsn. Krajan Wetan, RT.002/RW.001 Kel. Wonosobo, Kec. Srono</v>
          </cell>
          <cell r="P6841" t="str">
            <v>Banyuwangi</v>
          </cell>
          <cell r="Q6841" t="str">
            <v>Kirim ke kios utara / Rimba Kelapa 2 Ko Ricky</v>
          </cell>
          <cell r="R6841" t="str">
            <v>Banyuwangi</v>
          </cell>
          <cell r="S6841" t="str">
            <v>H Bwi1</v>
          </cell>
          <cell r="T6841" t="str">
            <v>Hafid</v>
          </cell>
          <cell r="U6841">
            <v>30</v>
          </cell>
        </row>
        <row r="6842">
          <cell r="E6842" t="str">
            <v>T25001209</v>
          </cell>
          <cell r="F6842"/>
          <cell r="G6842">
            <v>225000000</v>
          </cell>
          <cell r="H6842" t="str">
            <v>Faris</v>
          </cell>
          <cell r="I6842" t="str">
            <v>Syahra</v>
          </cell>
          <cell r="J6842"/>
          <cell r="K6842" t="str">
            <v>KU</v>
          </cell>
          <cell r="L6842" t="str">
            <v>RIMB02</v>
          </cell>
          <cell r="M6842" t="str">
            <v>Rimba Kelapa/Ribut Aminah</v>
          </cell>
          <cell r="N6842" t="str">
            <v>Ribut Aminah</v>
          </cell>
          <cell r="O6842" t="str">
            <v>Dsn. Krajan Wetan, RT.002/RW.001 Kel. Wonosobo, Kec. Srono</v>
          </cell>
          <cell r="P6842" t="str">
            <v>Banyuwangi</v>
          </cell>
          <cell r="Q6842" t="str">
            <v>Kirim ke kios utara / Rimba Kelapa 2 Ko Ricky</v>
          </cell>
          <cell r="R6842" t="str">
            <v>Banyuwangi</v>
          </cell>
          <cell r="S6842" t="str">
            <v>H Bwi1</v>
          </cell>
          <cell r="T6842" t="str">
            <v>Hafid</v>
          </cell>
          <cell r="U6842">
            <v>60</v>
          </cell>
        </row>
        <row r="6843">
          <cell r="E6843">
            <v>250053</v>
          </cell>
          <cell r="F6843"/>
          <cell r="G6843">
            <v>225000000</v>
          </cell>
          <cell r="H6843" t="str">
            <v>Faris</v>
          </cell>
          <cell r="I6843" t="str">
            <v>Syahra</v>
          </cell>
          <cell r="J6843"/>
          <cell r="K6843" t="str">
            <v>KU</v>
          </cell>
          <cell r="L6843" t="str">
            <v>RIMB02</v>
          </cell>
          <cell r="M6843" t="str">
            <v>Rimba Kelapa/Ribut Aminah</v>
          </cell>
          <cell r="N6843" t="str">
            <v>Ribut Aminah</v>
          </cell>
          <cell r="O6843" t="str">
            <v>Dsn. Krajan Wetan, RT.002/RW.001 Kel. Wonosobo, Kec. Srono</v>
          </cell>
          <cell r="P6843" t="str">
            <v>Banyuwangi</v>
          </cell>
          <cell r="Q6843" t="str">
            <v>Kirim ke kios utara / Rimba Kelapa 2 Ko Ricky</v>
          </cell>
          <cell r="R6843" t="str">
            <v>Banyuwangi</v>
          </cell>
          <cell r="S6843" t="str">
            <v>H Bwi1</v>
          </cell>
          <cell r="T6843" t="str">
            <v>Hafid</v>
          </cell>
          <cell r="U6843">
            <v>30</v>
          </cell>
        </row>
        <row r="6844">
          <cell r="E6844">
            <v>250053</v>
          </cell>
          <cell r="F6844"/>
          <cell r="G6844">
            <v>225000000</v>
          </cell>
          <cell r="H6844" t="str">
            <v>Faris</v>
          </cell>
          <cell r="I6844" t="str">
            <v>Syahra</v>
          </cell>
          <cell r="J6844"/>
          <cell r="K6844" t="str">
            <v>KU</v>
          </cell>
          <cell r="L6844" t="str">
            <v>RIMB02</v>
          </cell>
          <cell r="M6844" t="str">
            <v>Rimba Kelapa/Ribut Aminah</v>
          </cell>
          <cell r="N6844" t="str">
            <v>Ribut Aminah</v>
          </cell>
          <cell r="O6844" t="str">
            <v>Dsn. Krajan Wetan, RT.002/RW.001 Kel. Wonosobo, Kec. Srono</v>
          </cell>
          <cell r="P6844" t="str">
            <v>Banyuwangi</v>
          </cell>
          <cell r="Q6844" t="str">
            <v>Kirim ke kios utara / Rimba Kelapa 2 Ko Ricky</v>
          </cell>
          <cell r="R6844" t="str">
            <v>Banyuwangi</v>
          </cell>
          <cell r="S6844" t="str">
            <v>H Bwi1</v>
          </cell>
          <cell r="T6844" t="str">
            <v>Hafid</v>
          </cell>
          <cell r="U6844">
            <v>30</v>
          </cell>
        </row>
        <row r="6845">
          <cell r="E6845" t="str">
            <v>B25010408</v>
          </cell>
          <cell r="F6845"/>
          <cell r="G6845">
            <v>225000000</v>
          </cell>
          <cell r="H6845" t="str">
            <v>Faris</v>
          </cell>
          <cell r="I6845" t="str">
            <v>Syahra</v>
          </cell>
          <cell r="J6845"/>
          <cell r="K6845" t="str">
            <v>KU</v>
          </cell>
          <cell r="L6845" t="str">
            <v>RIMB02</v>
          </cell>
          <cell r="M6845" t="str">
            <v>Rimba Kelapa/Ribut Aminah</v>
          </cell>
          <cell r="N6845" t="str">
            <v>Ribut Aminah</v>
          </cell>
          <cell r="O6845" t="str">
            <v>Dsn. Krajan Wetan, RT.002/RW.001 Kel. Wonosobo, Kec. Srono</v>
          </cell>
          <cell r="P6845" t="str">
            <v>Banyuwangi</v>
          </cell>
          <cell r="Q6845" t="str">
            <v>Kirim ke kios utara / Rimba Kelapa 2 Ko Ricky</v>
          </cell>
          <cell r="R6845" t="str">
            <v>Banyuwangi</v>
          </cell>
          <cell r="S6845" t="str">
            <v>H Bwi1</v>
          </cell>
          <cell r="T6845" t="str">
            <v>Hafid</v>
          </cell>
          <cell r="U6845">
            <v>60</v>
          </cell>
        </row>
        <row r="6846">
          <cell r="E6846" t="str">
            <v>B25010411</v>
          </cell>
          <cell r="F6846"/>
          <cell r="G6846">
            <v>225000000</v>
          </cell>
          <cell r="H6846" t="str">
            <v>Faris</v>
          </cell>
          <cell r="I6846" t="str">
            <v>Syahra</v>
          </cell>
          <cell r="J6846"/>
          <cell r="K6846" t="str">
            <v>KU</v>
          </cell>
          <cell r="L6846" t="str">
            <v>RIMB02</v>
          </cell>
          <cell r="M6846" t="str">
            <v>Rimba Kelapa/Ribut Aminah</v>
          </cell>
          <cell r="N6846" t="str">
            <v>Ribut Aminah</v>
          </cell>
          <cell r="O6846" t="str">
            <v>Dsn. Krajan Wetan, RT.002/RW.001 Kel. Wonosobo, Kec. Srono</v>
          </cell>
          <cell r="P6846" t="str">
            <v>Banyuwangi</v>
          </cell>
          <cell r="Q6846" t="str">
            <v>Kirim ke kios utara / Rimba Kelapa 2 Ko Ricky</v>
          </cell>
          <cell r="R6846" t="str">
            <v>Banyuwangi</v>
          </cell>
          <cell r="S6846" t="str">
            <v>H Bwi1</v>
          </cell>
          <cell r="T6846" t="str">
            <v>Hafid</v>
          </cell>
          <cell r="U6846">
            <v>30</v>
          </cell>
        </row>
        <row r="6847">
          <cell r="E6847" t="str">
            <v>B25010411</v>
          </cell>
          <cell r="F6847"/>
          <cell r="G6847">
            <v>225000000</v>
          </cell>
          <cell r="H6847" t="str">
            <v>Faris</v>
          </cell>
          <cell r="I6847" t="str">
            <v>Syahra</v>
          </cell>
          <cell r="J6847"/>
          <cell r="K6847" t="str">
            <v>KU</v>
          </cell>
          <cell r="L6847" t="str">
            <v>RIMB02</v>
          </cell>
          <cell r="M6847" t="str">
            <v>Rimba Kelapa/Ribut Aminah</v>
          </cell>
          <cell r="N6847" t="str">
            <v>Ribut Aminah</v>
          </cell>
          <cell r="O6847" t="str">
            <v>Dsn. Krajan Wetan, RT.002/RW.001 Kel. Wonosobo, Kec. Srono</v>
          </cell>
          <cell r="P6847" t="str">
            <v>Banyuwangi</v>
          </cell>
          <cell r="Q6847" t="str">
            <v>Kirim ke kios utara / Rimba Kelapa 2 Ko Ricky</v>
          </cell>
          <cell r="R6847" t="str">
            <v>Banyuwangi</v>
          </cell>
          <cell r="S6847" t="str">
            <v>H Bwi1</v>
          </cell>
          <cell r="T6847" t="str">
            <v>Hafid</v>
          </cell>
          <cell r="U6847">
            <v>30</v>
          </cell>
        </row>
        <row r="6848">
          <cell r="E6848" t="str">
            <v>B25010412</v>
          </cell>
          <cell r="F6848"/>
          <cell r="G6848">
            <v>225000000</v>
          </cell>
          <cell r="H6848" t="str">
            <v>Faris</v>
          </cell>
          <cell r="I6848" t="str">
            <v>Syahra</v>
          </cell>
          <cell r="J6848"/>
          <cell r="K6848" t="str">
            <v>KU</v>
          </cell>
          <cell r="L6848" t="str">
            <v>RIMB02</v>
          </cell>
          <cell r="M6848" t="str">
            <v>Rimba Kelapa/Ribut Aminah</v>
          </cell>
          <cell r="N6848" t="str">
            <v>Ribut Aminah</v>
          </cell>
          <cell r="O6848" t="str">
            <v>Dsn. Krajan Wetan, RT.002/RW.001 Kel. Wonosobo, Kec. Srono</v>
          </cell>
          <cell r="P6848" t="str">
            <v>Banyuwangi</v>
          </cell>
          <cell r="Q6848" t="str">
            <v>Kirim ke kios utara / Rimba Kelapa 2 Ko Ricky</v>
          </cell>
          <cell r="R6848" t="str">
            <v>Banyuwangi</v>
          </cell>
          <cell r="S6848" t="str">
            <v>H Bwi1</v>
          </cell>
          <cell r="T6848" t="str">
            <v>Hafid</v>
          </cell>
          <cell r="U6848">
            <v>30</v>
          </cell>
        </row>
        <row r="6849">
          <cell r="E6849" t="str">
            <v>B25010413</v>
          </cell>
          <cell r="F6849"/>
          <cell r="G6849">
            <v>225000000</v>
          </cell>
          <cell r="H6849" t="str">
            <v>Faris</v>
          </cell>
          <cell r="I6849" t="str">
            <v>Syahra</v>
          </cell>
          <cell r="J6849"/>
          <cell r="K6849" t="str">
            <v>KU</v>
          </cell>
          <cell r="L6849" t="str">
            <v>RIMB02</v>
          </cell>
          <cell r="M6849" t="str">
            <v>Rimba Kelapa/Ribut Aminah</v>
          </cell>
          <cell r="N6849" t="str">
            <v>Ribut Aminah</v>
          </cell>
          <cell r="O6849" t="str">
            <v>Dsn. Krajan Wetan, RT.002/RW.001 Kel. Wonosobo, Kec. Srono</v>
          </cell>
          <cell r="P6849" t="str">
            <v>Banyuwangi</v>
          </cell>
          <cell r="Q6849" t="str">
            <v>Kirim ke kios utara / Rimba Kelapa 2 Ko Ricky</v>
          </cell>
          <cell r="R6849" t="str">
            <v>Banyuwangi</v>
          </cell>
          <cell r="S6849" t="str">
            <v>H Bwi1</v>
          </cell>
          <cell r="T6849" t="str">
            <v>Hafid</v>
          </cell>
          <cell r="U6849">
            <v>30</v>
          </cell>
        </row>
        <row r="6850">
          <cell r="E6850" t="str">
            <v>D25012313</v>
          </cell>
          <cell r="F6850"/>
          <cell r="G6850">
            <v>225000000</v>
          </cell>
          <cell r="H6850" t="str">
            <v>Faris</v>
          </cell>
          <cell r="I6850" t="str">
            <v>Syahra</v>
          </cell>
          <cell r="J6850"/>
          <cell r="K6850" t="str">
            <v>KU</v>
          </cell>
          <cell r="L6850" t="str">
            <v>RIMB02</v>
          </cell>
          <cell r="M6850" t="str">
            <v>Rimba Kelapa/Ribut Aminah</v>
          </cell>
          <cell r="N6850" t="str">
            <v>Ribut Aminah</v>
          </cell>
          <cell r="O6850" t="str">
            <v>Dsn. Krajan Wetan, RT.002/RW.001 Kel. Wonosobo, Kec. Srono</v>
          </cell>
          <cell r="P6850" t="str">
            <v>Banyuwangi</v>
          </cell>
          <cell r="Q6850" t="str">
            <v>Kirim ke kios utara / Rimba Kelapa 2 Ko Ricky</v>
          </cell>
          <cell r="R6850" t="str">
            <v>Banyuwangi</v>
          </cell>
          <cell r="S6850" t="str">
            <v>H Bwi1</v>
          </cell>
          <cell r="T6850" t="str">
            <v>Hafid</v>
          </cell>
          <cell r="U6850">
            <v>30</v>
          </cell>
        </row>
        <row r="6851">
          <cell r="E6851" t="str">
            <v>B25010508</v>
          </cell>
          <cell r="F6851"/>
          <cell r="G6851">
            <v>225000000</v>
          </cell>
          <cell r="H6851" t="str">
            <v>Faris</v>
          </cell>
          <cell r="I6851" t="str">
            <v>Syahra</v>
          </cell>
          <cell r="J6851"/>
          <cell r="K6851" t="str">
            <v>KU</v>
          </cell>
          <cell r="L6851" t="str">
            <v>RIMB02</v>
          </cell>
          <cell r="M6851" t="str">
            <v>Rimba Kelapa/Ribut Aminah</v>
          </cell>
          <cell r="N6851" t="str">
            <v>Ribut Aminah</v>
          </cell>
          <cell r="O6851" t="str">
            <v>Dsn. Krajan Wetan, RT.002/RW.001 Kel. Wonosobo, Kec. Srono</v>
          </cell>
          <cell r="P6851" t="str">
            <v>Banyuwangi</v>
          </cell>
          <cell r="Q6851" t="str">
            <v>Kirim ke kios utara / Rimba Kelapa 2 Ko Ricky</v>
          </cell>
          <cell r="R6851" t="str">
            <v>Banyuwangi</v>
          </cell>
          <cell r="S6851" t="str">
            <v>H Bwi1</v>
          </cell>
          <cell r="T6851" t="str">
            <v>Hafid</v>
          </cell>
          <cell r="U6851">
            <v>30</v>
          </cell>
        </row>
        <row r="6852">
          <cell r="E6852" t="str">
            <v>D25012949</v>
          </cell>
          <cell r="F6852"/>
          <cell r="G6852">
            <v>225000000</v>
          </cell>
          <cell r="H6852" t="str">
            <v>Faris</v>
          </cell>
          <cell r="I6852" t="str">
            <v>Syahra</v>
          </cell>
          <cell r="J6852"/>
          <cell r="K6852" t="str">
            <v>KU</v>
          </cell>
          <cell r="L6852" t="str">
            <v>RIMB02</v>
          </cell>
          <cell r="M6852" t="str">
            <v>Rimba Kelapa/Ribut Aminah</v>
          </cell>
          <cell r="N6852" t="str">
            <v>Ribut Aminah</v>
          </cell>
          <cell r="O6852" t="str">
            <v>Dsn. Krajan Wetan, RT.002/RW.001 Kel. Wonosobo, Kec. Srono</v>
          </cell>
          <cell r="P6852" t="str">
            <v>Banyuwangi</v>
          </cell>
          <cell r="Q6852" t="str">
            <v>Kirim ke kios utara / Rimba Kelapa 2 Ko Ricky</v>
          </cell>
          <cell r="R6852" t="str">
            <v>Banyuwangi</v>
          </cell>
          <cell r="S6852" t="str">
            <v>H Bwi1</v>
          </cell>
          <cell r="T6852" t="str">
            <v>Hafid</v>
          </cell>
          <cell r="U6852">
            <v>60</v>
          </cell>
        </row>
        <row r="6853">
          <cell r="E6853">
            <v>250081</v>
          </cell>
          <cell r="F6853"/>
          <cell r="G6853">
            <v>225000000</v>
          </cell>
          <cell r="H6853" t="str">
            <v>Faris</v>
          </cell>
          <cell r="I6853" t="str">
            <v>Syahra</v>
          </cell>
          <cell r="J6853"/>
          <cell r="K6853" t="str">
            <v>KU</v>
          </cell>
          <cell r="L6853" t="str">
            <v>RIMB02</v>
          </cell>
          <cell r="M6853" t="str">
            <v>Rimba Kelapa/Ribut Aminah</v>
          </cell>
          <cell r="N6853" t="str">
            <v>Ribut Aminah</v>
          </cell>
          <cell r="O6853" t="str">
            <v>Dsn. Krajan Wetan, RT.002/RW.001 Kel. Wonosobo, Kec. Srono</v>
          </cell>
          <cell r="P6853" t="str">
            <v>Banyuwangi</v>
          </cell>
          <cell r="Q6853" t="str">
            <v>Kirim ke kios utara / Rimba Kelapa 2 Ko Ricky</v>
          </cell>
          <cell r="R6853" t="str">
            <v>Banyuwangi</v>
          </cell>
          <cell r="S6853" t="str">
            <v>H Bwi1</v>
          </cell>
          <cell r="T6853" t="str">
            <v>Hafid</v>
          </cell>
          <cell r="U6853">
            <v>30</v>
          </cell>
        </row>
        <row r="6854">
          <cell r="E6854" t="str">
            <v>D25013330</v>
          </cell>
          <cell r="F6854"/>
          <cell r="G6854">
            <v>225000000</v>
          </cell>
          <cell r="H6854" t="str">
            <v>Faris</v>
          </cell>
          <cell r="I6854" t="str">
            <v>Syahra</v>
          </cell>
          <cell r="J6854"/>
          <cell r="K6854" t="str">
            <v>KU</v>
          </cell>
          <cell r="L6854" t="str">
            <v>RIMB02</v>
          </cell>
          <cell r="M6854" t="str">
            <v>Rimba Kelapa/Ribut Aminah</v>
          </cell>
          <cell r="N6854" t="str">
            <v>Ribut Aminah</v>
          </cell>
          <cell r="O6854" t="str">
            <v>Dsn. Krajan Wetan, RT.002/RW.001 Kel. Wonosobo, Kec. Srono</v>
          </cell>
          <cell r="P6854" t="str">
            <v>Banyuwangi</v>
          </cell>
          <cell r="Q6854" t="str">
            <v>Kirim ke kios utara / Rimba Kelapa 2 Ko Ricky</v>
          </cell>
          <cell r="R6854" t="str">
            <v>Banyuwangi</v>
          </cell>
          <cell r="S6854" t="str">
            <v>H Bwi1</v>
          </cell>
          <cell r="T6854" t="str">
            <v>Hafid</v>
          </cell>
          <cell r="U6854">
            <v>30</v>
          </cell>
        </row>
        <row r="6855">
          <cell r="E6855" t="str">
            <v>B25011442</v>
          </cell>
          <cell r="F6855"/>
          <cell r="G6855">
            <v>225000000</v>
          </cell>
          <cell r="H6855" t="str">
            <v>Faris</v>
          </cell>
          <cell r="I6855" t="str">
            <v>Syahra</v>
          </cell>
          <cell r="J6855"/>
          <cell r="K6855" t="str">
            <v>KU</v>
          </cell>
          <cell r="L6855" t="str">
            <v>RIMB02</v>
          </cell>
          <cell r="M6855" t="str">
            <v>Rimba Kelapa/Ribut Aminah</v>
          </cell>
          <cell r="N6855" t="str">
            <v>Ribut Aminah</v>
          </cell>
          <cell r="O6855" t="str">
            <v>Dsn. Krajan Wetan, RT.002/RW.001 Kel. Wonosobo, Kec. Srono</v>
          </cell>
          <cell r="P6855" t="str">
            <v>Banyuwangi</v>
          </cell>
          <cell r="Q6855" t="str">
            <v>Kirim ke kios utara / Rimba Kelapa 2 Ko Ricky</v>
          </cell>
          <cell r="R6855" t="str">
            <v>Banyuwangi</v>
          </cell>
          <cell r="S6855" t="str">
            <v>H Bwi1</v>
          </cell>
          <cell r="T6855" t="str">
            <v>Hafid</v>
          </cell>
          <cell r="U6855">
            <v>30</v>
          </cell>
        </row>
        <row r="6856">
          <cell r="E6856" t="str">
            <v>B25011443</v>
          </cell>
          <cell r="F6856"/>
          <cell r="G6856">
            <v>225000000</v>
          </cell>
          <cell r="H6856" t="str">
            <v>Faris</v>
          </cell>
          <cell r="I6856" t="str">
            <v>Syahra</v>
          </cell>
          <cell r="J6856"/>
          <cell r="K6856" t="str">
            <v>KU</v>
          </cell>
          <cell r="L6856" t="str">
            <v>RIMB02</v>
          </cell>
          <cell r="M6856" t="str">
            <v>Rimba Kelapa/Ribut Aminah</v>
          </cell>
          <cell r="N6856" t="str">
            <v>Ribut Aminah</v>
          </cell>
          <cell r="O6856" t="str">
            <v>Dsn. Krajan Wetan, RT.002/RW.001 Kel. Wonosobo, Kec. Srono</v>
          </cell>
          <cell r="P6856" t="str">
            <v>Banyuwangi</v>
          </cell>
          <cell r="Q6856" t="str">
            <v>Kirim ke kios utara / Rimba Kelapa 2 Ko Ricky</v>
          </cell>
          <cell r="R6856" t="str">
            <v>Banyuwangi</v>
          </cell>
          <cell r="S6856" t="str">
            <v>H Bwi1</v>
          </cell>
          <cell r="T6856" t="str">
            <v>Hafid</v>
          </cell>
          <cell r="U6856">
            <v>60</v>
          </cell>
        </row>
        <row r="6857">
          <cell r="E6857" t="str">
            <v>D25014245</v>
          </cell>
          <cell r="F6857"/>
          <cell r="G6857">
            <v>225000000</v>
          </cell>
          <cell r="H6857" t="str">
            <v>Faris</v>
          </cell>
          <cell r="I6857" t="str">
            <v>Syahra</v>
          </cell>
          <cell r="J6857"/>
          <cell r="K6857" t="str">
            <v>KU</v>
          </cell>
          <cell r="L6857" t="str">
            <v>RIMB02</v>
          </cell>
          <cell r="M6857" t="str">
            <v>Rimba Kelapa/Ribut Aminah</v>
          </cell>
          <cell r="N6857" t="str">
            <v>Ribut Aminah</v>
          </cell>
          <cell r="O6857" t="str">
            <v>Dsn. Krajan Wetan, RT.002/RW.001 Kel. Wonosobo, Kec. Srono</v>
          </cell>
          <cell r="P6857" t="str">
            <v>Banyuwangi</v>
          </cell>
          <cell r="Q6857" t="str">
            <v>Kirim ke kios utara / Rimba Kelapa 2 Ko Ricky</v>
          </cell>
          <cell r="R6857" t="str">
            <v>Banyuwangi</v>
          </cell>
          <cell r="S6857" t="str">
            <v>H Bwi1</v>
          </cell>
          <cell r="T6857" t="str">
            <v>Hafid</v>
          </cell>
          <cell r="U6857">
            <v>60</v>
          </cell>
        </row>
        <row r="6858">
          <cell r="E6858" t="str">
            <v>B25012258</v>
          </cell>
          <cell r="F6858"/>
          <cell r="G6858">
            <v>225000000</v>
          </cell>
          <cell r="H6858" t="str">
            <v>Faris</v>
          </cell>
          <cell r="I6858" t="str">
            <v>Syahra</v>
          </cell>
          <cell r="J6858"/>
          <cell r="K6858" t="str">
            <v>KU</v>
          </cell>
          <cell r="L6858" t="str">
            <v>RIMB02</v>
          </cell>
          <cell r="M6858" t="str">
            <v>Rimba Kelapa/Ribut Aminah</v>
          </cell>
          <cell r="N6858" t="str">
            <v>Ribut Aminah</v>
          </cell>
          <cell r="O6858" t="str">
            <v>Dsn. Krajan Wetan, RT.002/RW.001 Kel. Wonosobo, Kec. Srono</v>
          </cell>
          <cell r="P6858" t="str">
            <v>Banyuwangi</v>
          </cell>
          <cell r="Q6858" t="str">
            <v>Kirim ke kios utara / Rimba Kelapa 2 Ko Ricky</v>
          </cell>
          <cell r="R6858" t="str">
            <v>Banyuwangi</v>
          </cell>
          <cell r="S6858" t="str">
            <v>H Bwi1</v>
          </cell>
          <cell r="T6858" t="str">
            <v>Hafid</v>
          </cell>
          <cell r="U6858">
            <v>60</v>
          </cell>
        </row>
        <row r="6859">
          <cell r="E6859" t="str">
            <v>B25012259</v>
          </cell>
          <cell r="F6859"/>
          <cell r="G6859">
            <v>225000000</v>
          </cell>
          <cell r="H6859" t="str">
            <v>Faris</v>
          </cell>
          <cell r="I6859" t="str">
            <v>Syahra</v>
          </cell>
          <cell r="J6859"/>
          <cell r="K6859" t="str">
            <v>KU</v>
          </cell>
          <cell r="L6859" t="str">
            <v>RIMB02</v>
          </cell>
          <cell r="M6859" t="str">
            <v>Rimba Kelapa/Ribut Aminah</v>
          </cell>
          <cell r="N6859" t="str">
            <v>Ribut Aminah</v>
          </cell>
          <cell r="O6859" t="str">
            <v>Dsn. Krajan Wetan, RT.002/RW.001 Kel. Wonosobo, Kec. Srono</v>
          </cell>
          <cell r="P6859" t="str">
            <v>Banyuwangi</v>
          </cell>
          <cell r="Q6859" t="str">
            <v>Kirim ke kios utara / Rimba Kelapa 2 Ko Ricky</v>
          </cell>
          <cell r="R6859" t="str">
            <v>Banyuwangi</v>
          </cell>
          <cell r="S6859" t="str">
            <v>H Bwi1</v>
          </cell>
          <cell r="T6859" t="str">
            <v>Hafid</v>
          </cell>
          <cell r="U6859">
            <v>30</v>
          </cell>
        </row>
        <row r="6860">
          <cell r="E6860" t="str">
            <v>T25001442</v>
          </cell>
          <cell r="F6860"/>
          <cell r="G6860">
            <v>225000000</v>
          </cell>
          <cell r="H6860" t="str">
            <v>Faris</v>
          </cell>
          <cell r="I6860" t="str">
            <v>Syahra</v>
          </cell>
          <cell r="J6860"/>
          <cell r="K6860" t="str">
            <v>KU</v>
          </cell>
          <cell r="L6860" t="str">
            <v>RIMB02</v>
          </cell>
          <cell r="M6860" t="str">
            <v>Rimba Kelapa/Ribut Aminah</v>
          </cell>
          <cell r="N6860" t="str">
            <v>Ribut Aminah</v>
          </cell>
          <cell r="O6860" t="str">
            <v>Dsn. Krajan Wetan, RT.002/RW.001 Kel. Wonosobo, Kec. Srono</v>
          </cell>
          <cell r="P6860" t="str">
            <v>Banyuwangi</v>
          </cell>
          <cell r="Q6860" t="str">
            <v>Kirim ke kios utara / Rimba Kelapa 2 Ko Ricky</v>
          </cell>
          <cell r="R6860" t="str">
            <v>Banyuwangi</v>
          </cell>
          <cell r="S6860" t="str">
            <v>H Bwi1</v>
          </cell>
          <cell r="T6860" t="str">
            <v>Hafid</v>
          </cell>
          <cell r="U6860">
            <v>60</v>
          </cell>
        </row>
        <row r="6861">
          <cell r="E6861" t="str">
            <v>T25001453</v>
          </cell>
          <cell r="F6861"/>
          <cell r="G6861">
            <v>225000000</v>
          </cell>
          <cell r="H6861" t="str">
            <v>Faris</v>
          </cell>
          <cell r="I6861" t="str">
            <v>Syahra</v>
          </cell>
          <cell r="J6861"/>
          <cell r="K6861" t="str">
            <v>KU</v>
          </cell>
          <cell r="L6861" t="str">
            <v>RIMB02</v>
          </cell>
          <cell r="M6861" t="str">
            <v>Rimba Kelapa/Ribut Aminah</v>
          </cell>
          <cell r="N6861" t="str">
            <v>Ribut Aminah</v>
          </cell>
          <cell r="O6861" t="str">
            <v>Dsn. Krajan Wetan, RT.002/RW.001 Kel. Wonosobo, Kec. Srono</v>
          </cell>
          <cell r="P6861" t="str">
            <v>Banyuwangi</v>
          </cell>
          <cell r="Q6861" t="str">
            <v>Kirim ke kios utara / Rimba Kelapa 2 Ko Ricky</v>
          </cell>
          <cell r="R6861" t="str">
            <v>Banyuwangi</v>
          </cell>
          <cell r="S6861" t="str">
            <v>H Bwi1</v>
          </cell>
          <cell r="T6861" t="str">
            <v>Hafid</v>
          </cell>
          <cell r="U6861">
            <v>60</v>
          </cell>
        </row>
        <row r="6862">
          <cell r="E6862" t="str">
            <v>B25012632</v>
          </cell>
          <cell r="F6862"/>
          <cell r="G6862">
            <v>225000000</v>
          </cell>
          <cell r="H6862" t="str">
            <v>Faris</v>
          </cell>
          <cell r="I6862" t="str">
            <v>Syahra</v>
          </cell>
          <cell r="J6862"/>
          <cell r="K6862" t="str">
            <v>KU</v>
          </cell>
          <cell r="L6862" t="str">
            <v>RIMB02</v>
          </cell>
          <cell r="M6862" t="str">
            <v>Rimba Kelapa/Ribut Aminah</v>
          </cell>
          <cell r="N6862" t="str">
            <v>Ribut Aminah</v>
          </cell>
          <cell r="O6862" t="str">
            <v>Dsn. Krajan Wetan, RT.002/RW.001 Kel. Wonosobo, Kec. Srono</v>
          </cell>
          <cell r="P6862" t="str">
            <v>Banyuwangi</v>
          </cell>
          <cell r="Q6862" t="str">
            <v>Kirim ke kios utara / Rimba Kelapa 2 Ko Ricky</v>
          </cell>
          <cell r="R6862" t="str">
            <v>Banyuwangi</v>
          </cell>
          <cell r="S6862" t="str">
            <v>H Bwi1</v>
          </cell>
          <cell r="T6862" t="str">
            <v>Hafid</v>
          </cell>
          <cell r="U6862">
            <v>0</v>
          </cell>
        </row>
        <row r="6863">
          <cell r="E6863" t="str">
            <v>B25012740</v>
          </cell>
          <cell r="F6863"/>
          <cell r="G6863">
            <v>225000000</v>
          </cell>
          <cell r="H6863" t="str">
            <v>Faris</v>
          </cell>
          <cell r="I6863" t="str">
            <v>Syahra</v>
          </cell>
          <cell r="J6863"/>
          <cell r="K6863" t="str">
            <v>KU</v>
          </cell>
          <cell r="L6863" t="str">
            <v>RIMB02</v>
          </cell>
          <cell r="M6863" t="str">
            <v>Rimba Kelapa/Ribut Aminah</v>
          </cell>
          <cell r="N6863" t="str">
            <v>Ribut Aminah</v>
          </cell>
          <cell r="O6863" t="str">
            <v>Dsn. Krajan Wetan, RT.002/RW.001 Kel. Wonosobo, Kec. Srono</v>
          </cell>
          <cell r="P6863" t="str">
            <v>Banyuwangi</v>
          </cell>
          <cell r="Q6863" t="str">
            <v>Kirim ke kios utara / Rimba Kelapa 2 Ko Ricky</v>
          </cell>
          <cell r="R6863" t="str">
            <v>Banyuwangi</v>
          </cell>
          <cell r="S6863" t="str">
            <v>H Bwi1</v>
          </cell>
          <cell r="T6863" t="str">
            <v>Hafid</v>
          </cell>
          <cell r="U6863">
            <v>60</v>
          </cell>
        </row>
        <row r="6864">
          <cell r="E6864" t="str">
            <v>B25012741</v>
          </cell>
          <cell r="F6864"/>
          <cell r="G6864">
            <v>225000000</v>
          </cell>
          <cell r="H6864" t="str">
            <v>Faris</v>
          </cell>
          <cell r="I6864" t="str">
            <v>Syahra</v>
          </cell>
          <cell r="J6864"/>
          <cell r="K6864" t="str">
            <v>KU</v>
          </cell>
          <cell r="L6864" t="str">
            <v>RIMB02</v>
          </cell>
          <cell r="M6864" t="str">
            <v>Rimba Kelapa/Ribut Aminah</v>
          </cell>
          <cell r="N6864" t="str">
            <v>Ribut Aminah</v>
          </cell>
          <cell r="O6864" t="str">
            <v>Dsn. Krajan Wetan, RT.002/RW.001 Kel. Wonosobo, Kec. Srono</v>
          </cell>
          <cell r="P6864" t="str">
            <v>Banyuwangi</v>
          </cell>
          <cell r="Q6864" t="str">
            <v>Kirim ke kios utara / Rimba Kelapa 2 Ko Ricky</v>
          </cell>
          <cell r="R6864" t="str">
            <v>Banyuwangi</v>
          </cell>
          <cell r="S6864" t="str">
            <v>H Bwi1</v>
          </cell>
          <cell r="T6864" t="str">
            <v>Hafid</v>
          </cell>
          <cell r="U6864">
            <v>30</v>
          </cell>
        </row>
        <row r="6865">
          <cell r="E6865" t="str">
            <v>T25001499k</v>
          </cell>
          <cell r="F6865"/>
          <cell r="G6865">
            <v>225000000</v>
          </cell>
          <cell r="H6865" t="str">
            <v>Faris</v>
          </cell>
          <cell r="I6865" t="str">
            <v>Syahra</v>
          </cell>
          <cell r="J6865"/>
          <cell r="K6865" t="str">
            <v>KU</v>
          </cell>
          <cell r="L6865" t="str">
            <v>RIMB02</v>
          </cell>
          <cell r="M6865" t="str">
            <v>Rimba Kelapa/Ribut Aminah</v>
          </cell>
          <cell r="N6865" t="str">
            <v>Ribut Aminah</v>
          </cell>
          <cell r="O6865" t="str">
            <v>Dsn. Krajan Wetan, RT.002/RW.001 Kel. Wonosobo, Kec. Srono</v>
          </cell>
          <cell r="P6865" t="str">
            <v>Banyuwangi</v>
          </cell>
          <cell r="Q6865" t="str">
            <v>Kirim ke kios utara / Rimba Kelapa 2 Ko Ricky</v>
          </cell>
          <cell r="R6865" t="str">
            <v>Banyuwangi</v>
          </cell>
          <cell r="S6865" t="str">
            <v>H Bwi1</v>
          </cell>
          <cell r="T6865" t="str">
            <v>Hafid</v>
          </cell>
          <cell r="U6865">
            <v>120</v>
          </cell>
        </row>
        <row r="6866">
          <cell r="E6866" t="str">
            <v>D25015472</v>
          </cell>
          <cell r="F6866"/>
          <cell r="G6866">
            <v>225000000</v>
          </cell>
          <cell r="H6866" t="str">
            <v>Faris</v>
          </cell>
          <cell r="I6866" t="str">
            <v>Syahra</v>
          </cell>
          <cell r="J6866"/>
          <cell r="K6866" t="str">
            <v>KU</v>
          </cell>
          <cell r="L6866" t="str">
            <v>RIMB02</v>
          </cell>
          <cell r="M6866" t="str">
            <v>Rimba Kelapa/Ribut Aminah</v>
          </cell>
          <cell r="N6866" t="str">
            <v>Ribut Aminah</v>
          </cell>
          <cell r="O6866" t="str">
            <v>Dsn. Krajan Wetan, RT.002/RW.001 Kel. Wonosobo, Kec. Srono</v>
          </cell>
          <cell r="P6866" t="str">
            <v>Banyuwangi</v>
          </cell>
          <cell r="Q6866" t="str">
            <v>Kirim ke kios utara / Rimba Kelapa 2 Ko Ricky</v>
          </cell>
          <cell r="R6866" t="str">
            <v>Banyuwangi</v>
          </cell>
          <cell r="S6866" t="str">
            <v>H Bwi1</v>
          </cell>
          <cell r="T6866" t="str">
            <v>Hafid</v>
          </cell>
          <cell r="U6866">
            <v>60</v>
          </cell>
        </row>
        <row r="6867">
          <cell r="E6867" t="str">
            <v>D25015473</v>
          </cell>
          <cell r="F6867"/>
          <cell r="G6867">
            <v>225000000</v>
          </cell>
          <cell r="H6867" t="str">
            <v>Faris</v>
          </cell>
          <cell r="I6867" t="str">
            <v>Syahra</v>
          </cell>
          <cell r="J6867"/>
          <cell r="K6867" t="str">
            <v>KU</v>
          </cell>
          <cell r="L6867" t="str">
            <v>RIMB02</v>
          </cell>
          <cell r="M6867" t="str">
            <v>Rimba Kelapa/Ribut Aminah</v>
          </cell>
          <cell r="N6867" t="str">
            <v>Ribut Aminah</v>
          </cell>
          <cell r="O6867" t="str">
            <v>Dsn. Krajan Wetan, RT.002/RW.001 Kel. Wonosobo, Kec. Srono</v>
          </cell>
          <cell r="P6867" t="str">
            <v>Banyuwangi</v>
          </cell>
          <cell r="Q6867" t="str">
            <v>Kirim ke kios utara / Rimba Kelapa 2 Ko Ricky</v>
          </cell>
          <cell r="R6867" t="str">
            <v>Banyuwangi</v>
          </cell>
          <cell r="S6867" t="str">
            <v>H Bwi1</v>
          </cell>
          <cell r="T6867" t="str">
            <v>Hafid</v>
          </cell>
          <cell r="U6867">
            <v>0</v>
          </cell>
        </row>
        <row r="6868">
          <cell r="E6868" t="str">
            <v>D25015475</v>
          </cell>
          <cell r="F6868"/>
          <cell r="G6868">
            <v>225000000</v>
          </cell>
          <cell r="H6868" t="str">
            <v>Faris</v>
          </cell>
          <cell r="I6868" t="str">
            <v>Syahra</v>
          </cell>
          <cell r="J6868"/>
          <cell r="K6868" t="str">
            <v>KU</v>
          </cell>
          <cell r="L6868" t="str">
            <v>RIMB02</v>
          </cell>
          <cell r="M6868" t="str">
            <v>Rimba Kelapa/Ribut Aminah</v>
          </cell>
          <cell r="N6868" t="str">
            <v>Ribut Aminah</v>
          </cell>
          <cell r="O6868" t="str">
            <v>Dsn. Krajan Wetan, RT.002/RW.001 Kel. Wonosobo, Kec. Srono</v>
          </cell>
          <cell r="P6868" t="str">
            <v>Banyuwangi</v>
          </cell>
          <cell r="Q6868" t="str">
            <v>Kirim ke kios utara / Rimba Kelapa 2 Ko Ricky</v>
          </cell>
          <cell r="R6868" t="str">
            <v>Banyuwangi</v>
          </cell>
          <cell r="S6868" t="str">
            <v>H Bwi1</v>
          </cell>
          <cell r="T6868" t="str">
            <v>Hafid</v>
          </cell>
          <cell r="U6868">
            <v>0</v>
          </cell>
        </row>
        <row r="6869">
          <cell r="E6869" t="str">
            <v>T25001532</v>
          </cell>
          <cell r="F6869"/>
          <cell r="G6869">
            <v>225000000</v>
          </cell>
          <cell r="H6869" t="str">
            <v>Faris</v>
          </cell>
          <cell r="I6869" t="str">
            <v>Syahra</v>
          </cell>
          <cell r="J6869"/>
          <cell r="K6869" t="str">
            <v>KU</v>
          </cell>
          <cell r="L6869" t="str">
            <v>RIMB02</v>
          </cell>
          <cell r="M6869" t="str">
            <v>Rimba Kelapa/Ribut Aminah</v>
          </cell>
          <cell r="N6869" t="str">
            <v>Ribut Aminah</v>
          </cell>
          <cell r="O6869" t="str">
            <v>Dsn. Krajan Wetan, RT.002/RW.001 Kel. Wonosobo, Kec. Srono</v>
          </cell>
          <cell r="P6869" t="str">
            <v>Banyuwangi</v>
          </cell>
          <cell r="Q6869" t="str">
            <v>Kirim ke kios utara / Rimba Kelapa 2 Ko Ricky</v>
          </cell>
          <cell r="R6869" t="str">
            <v>Banyuwangi</v>
          </cell>
          <cell r="S6869" t="str">
            <v>H Bwi1</v>
          </cell>
          <cell r="T6869" t="str">
            <v>Hafid</v>
          </cell>
          <cell r="U6869">
            <v>60</v>
          </cell>
        </row>
        <row r="6870">
          <cell r="E6870" t="str">
            <v>D25015575</v>
          </cell>
          <cell r="F6870"/>
          <cell r="G6870">
            <v>225000000</v>
          </cell>
          <cell r="H6870" t="str">
            <v>Faris</v>
          </cell>
          <cell r="I6870" t="str">
            <v>Syahra</v>
          </cell>
          <cell r="J6870"/>
          <cell r="K6870" t="str">
            <v>KU</v>
          </cell>
          <cell r="L6870" t="str">
            <v>RIMB02</v>
          </cell>
          <cell r="M6870" t="str">
            <v>Rimba Kelapa/Ribut Aminah</v>
          </cell>
          <cell r="N6870" t="str">
            <v>Ribut Aminah</v>
          </cell>
          <cell r="O6870" t="str">
            <v>Dsn. Krajan Wetan, RT.002/RW.001 Kel. Wonosobo, Kec. Srono</v>
          </cell>
          <cell r="P6870" t="str">
            <v>Banyuwangi</v>
          </cell>
          <cell r="Q6870" t="str">
            <v>Kirim ke kios utara / Rimba Kelapa 2 Ko Ricky</v>
          </cell>
          <cell r="R6870" t="str">
            <v>Banyuwangi</v>
          </cell>
          <cell r="S6870" t="str">
            <v>H Bwi1</v>
          </cell>
          <cell r="T6870" t="str">
            <v>Hafid</v>
          </cell>
          <cell r="U6870">
            <v>30</v>
          </cell>
        </row>
        <row r="6871">
          <cell r="E6871">
            <v>250138</v>
          </cell>
          <cell r="F6871"/>
          <cell r="G6871">
            <v>225000000</v>
          </cell>
          <cell r="H6871" t="str">
            <v>Faris</v>
          </cell>
          <cell r="I6871" t="str">
            <v>Syahra</v>
          </cell>
          <cell r="J6871"/>
          <cell r="K6871" t="str">
            <v>KU</v>
          </cell>
          <cell r="L6871" t="str">
            <v>RIMB02</v>
          </cell>
          <cell r="M6871" t="str">
            <v>Rimba Kelapa/Ribut Aminah</v>
          </cell>
          <cell r="N6871" t="str">
            <v>Ribut Aminah</v>
          </cell>
          <cell r="O6871" t="str">
            <v>Dsn. Krajan Wetan, RT.002/RW.001 Kel. Wonosobo, Kec. Srono</v>
          </cell>
          <cell r="P6871" t="str">
            <v>Banyuwangi</v>
          </cell>
          <cell r="Q6871" t="str">
            <v>Kirim ke kios utara / Rimba Kelapa 2 Ko Ricky</v>
          </cell>
          <cell r="R6871" t="str">
            <v>Banyuwangi</v>
          </cell>
          <cell r="S6871" t="str">
            <v>H Bwi1</v>
          </cell>
          <cell r="T6871" t="str">
            <v>Hafid</v>
          </cell>
          <cell r="U6871">
            <v>30</v>
          </cell>
        </row>
        <row r="6872">
          <cell r="E6872" t="str">
            <v>D25015682</v>
          </cell>
          <cell r="F6872"/>
          <cell r="G6872">
            <v>225000000</v>
          </cell>
          <cell r="H6872" t="str">
            <v>Faris</v>
          </cell>
          <cell r="I6872" t="str">
            <v>Syahra</v>
          </cell>
          <cell r="J6872"/>
          <cell r="K6872" t="str">
            <v>KU</v>
          </cell>
          <cell r="L6872" t="str">
            <v>RIMB02</v>
          </cell>
          <cell r="M6872" t="str">
            <v>Rimba Kelapa/Ribut Aminah</v>
          </cell>
          <cell r="N6872" t="str">
            <v>Ribut Aminah</v>
          </cell>
          <cell r="O6872" t="str">
            <v>Dsn. Krajan Wetan, RT.002/RW.001 Kel. Wonosobo, Kec. Srono</v>
          </cell>
          <cell r="P6872" t="str">
            <v>Banyuwangi</v>
          </cell>
          <cell r="Q6872" t="str">
            <v>Kirim ke kios utara / Rimba Kelapa 2 Ko Ricky</v>
          </cell>
          <cell r="R6872" t="str">
            <v>Banyuwangi</v>
          </cell>
          <cell r="S6872" t="str">
            <v>H Bwi1</v>
          </cell>
          <cell r="T6872" t="str">
            <v>Hafid</v>
          </cell>
          <cell r="U6872">
            <v>30</v>
          </cell>
        </row>
        <row r="6873">
          <cell r="E6873" t="str">
            <v>T25001553</v>
          </cell>
          <cell r="F6873"/>
          <cell r="G6873">
            <v>225000000</v>
          </cell>
          <cell r="H6873" t="str">
            <v>Faris</v>
          </cell>
          <cell r="I6873" t="str">
            <v>Syahra</v>
          </cell>
          <cell r="J6873"/>
          <cell r="K6873" t="str">
            <v>KU</v>
          </cell>
          <cell r="L6873" t="str">
            <v>RIMB02</v>
          </cell>
          <cell r="M6873" t="str">
            <v>Rimba Kelapa/Ribut Aminah</v>
          </cell>
          <cell r="N6873" t="str">
            <v>Ribut Aminah</v>
          </cell>
          <cell r="O6873" t="str">
            <v>Dsn. Krajan Wetan, RT.002/RW.001 Kel. Wonosobo, Kec. Srono</v>
          </cell>
          <cell r="P6873" t="str">
            <v>Banyuwangi</v>
          </cell>
          <cell r="Q6873" t="str">
            <v>Kirim ke kios utara / Rimba Kelapa 2 Ko Ricky</v>
          </cell>
          <cell r="R6873" t="str">
            <v>Banyuwangi</v>
          </cell>
          <cell r="S6873" t="str">
            <v>H Bwi1</v>
          </cell>
          <cell r="T6873" t="str">
            <v>Hafid</v>
          </cell>
          <cell r="U6873">
            <v>60</v>
          </cell>
        </row>
        <row r="6874">
          <cell r="E6874" t="str">
            <v>D25016324</v>
          </cell>
          <cell r="F6874"/>
          <cell r="G6874">
            <v>225000000</v>
          </cell>
          <cell r="H6874" t="str">
            <v>Faris</v>
          </cell>
          <cell r="I6874" t="str">
            <v>Syahra</v>
          </cell>
          <cell r="J6874"/>
          <cell r="K6874" t="str">
            <v>KU</v>
          </cell>
          <cell r="L6874" t="str">
            <v>RIMB02</v>
          </cell>
          <cell r="M6874" t="str">
            <v>Rimba Kelapa/Ribut Aminah</v>
          </cell>
          <cell r="N6874" t="str">
            <v>Ribut Aminah</v>
          </cell>
          <cell r="O6874" t="str">
            <v>Dsn. Krajan Wetan, RT.002/RW.001 Kel. Wonosobo, Kec. Srono</v>
          </cell>
          <cell r="P6874" t="str">
            <v>Banyuwangi</v>
          </cell>
          <cell r="Q6874" t="str">
            <v>Kirim ke kios utara / Rimba Kelapa 2 Ko Ricky</v>
          </cell>
          <cell r="R6874" t="str">
            <v>Banyuwangi</v>
          </cell>
          <cell r="S6874" t="str">
            <v>H Bwi1</v>
          </cell>
          <cell r="T6874" t="str">
            <v>Hafid</v>
          </cell>
          <cell r="U6874">
            <v>60</v>
          </cell>
        </row>
        <row r="6875">
          <cell r="E6875" t="str">
            <v>B25010152</v>
          </cell>
          <cell r="F6875"/>
          <cell r="G6875">
            <v>50000000</v>
          </cell>
          <cell r="H6875" t="str">
            <v>Yuyun</v>
          </cell>
          <cell r="I6875" t="str">
            <v>Farida</v>
          </cell>
          <cell r="J6875"/>
          <cell r="K6875" t="str">
            <v>Tunai</v>
          </cell>
          <cell r="L6875" t="str">
            <v>RIND01</v>
          </cell>
          <cell r="M6875" t="str">
            <v>Rindi Tani</v>
          </cell>
          <cell r="N6875" t="str">
            <v>Kasmiran</v>
          </cell>
          <cell r="O6875" t="str">
            <v>Mangli</v>
          </cell>
          <cell r="P6875" t="str">
            <v>Jember</v>
          </cell>
          <cell r="Q6875" t="str">
            <v>Mangli</v>
          </cell>
          <cell r="R6875" t="str">
            <v>Jember</v>
          </cell>
          <cell r="S6875" t="str">
            <v>L Kota1</v>
          </cell>
          <cell r="T6875" t="str">
            <v>Wira</v>
          </cell>
          <cell r="U6875">
            <v>30</v>
          </cell>
        </row>
        <row r="6876">
          <cell r="E6876" t="str">
            <v>B25010152</v>
          </cell>
          <cell r="F6876"/>
          <cell r="G6876">
            <v>50000000</v>
          </cell>
          <cell r="H6876" t="str">
            <v>Yuyun</v>
          </cell>
          <cell r="I6876" t="str">
            <v>Farida</v>
          </cell>
          <cell r="J6876"/>
          <cell r="K6876" t="str">
            <v>Tunai</v>
          </cell>
          <cell r="L6876" t="str">
            <v>RIND01</v>
          </cell>
          <cell r="M6876" t="str">
            <v>Rindi Tani</v>
          </cell>
          <cell r="N6876" t="str">
            <v>Kasmiran</v>
          </cell>
          <cell r="O6876" t="str">
            <v>Mangli</v>
          </cell>
          <cell r="P6876" t="str">
            <v>Jember</v>
          </cell>
          <cell r="Q6876" t="str">
            <v>Mangli</v>
          </cell>
          <cell r="R6876" t="str">
            <v>Jember</v>
          </cell>
          <cell r="S6876" t="str">
            <v>L Kota1</v>
          </cell>
          <cell r="T6876" t="str">
            <v>Wira</v>
          </cell>
          <cell r="U6876">
            <v>30</v>
          </cell>
        </row>
        <row r="6877">
          <cell r="E6877" t="str">
            <v>B25010770</v>
          </cell>
          <cell r="F6877"/>
          <cell r="G6877">
            <v>50000000</v>
          </cell>
          <cell r="H6877" t="str">
            <v>Yuyun</v>
          </cell>
          <cell r="I6877" t="str">
            <v>Farida</v>
          </cell>
          <cell r="J6877"/>
          <cell r="K6877" t="str">
            <v>Tunai</v>
          </cell>
          <cell r="L6877" t="str">
            <v>RIND01</v>
          </cell>
          <cell r="M6877" t="str">
            <v>Rindi Tani</v>
          </cell>
          <cell r="N6877" t="str">
            <v>Kasmiran</v>
          </cell>
          <cell r="O6877" t="str">
            <v>Mangli</v>
          </cell>
          <cell r="P6877" t="str">
            <v>Jember</v>
          </cell>
          <cell r="Q6877" t="str">
            <v>Mangli</v>
          </cell>
          <cell r="R6877" t="str">
            <v>Jember</v>
          </cell>
          <cell r="S6877" t="str">
            <v>L Kota1</v>
          </cell>
          <cell r="T6877" t="str">
            <v>Wira</v>
          </cell>
          <cell r="U6877">
            <v>30</v>
          </cell>
        </row>
        <row r="6878">
          <cell r="E6878" t="str">
            <v>B25010770</v>
          </cell>
          <cell r="F6878"/>
          <cell r="G6878">
            <v>50000000</v>
          </cell>
          <cell r="H6878" t="str">
            <v>Yuyun</v>
          </cell>
          <cell r="I6878" t="str">
            <v>Farida</v>
          </cell>
          <cell r="J6878"/>
          <cell r="K6878" t="str">
            <v>Tunai</v>
          </cell>
          <cell r="L6878" t="str">
            <v>RIND01</v>
          </cell>
          <cell r="M6878" t="str">
            <v>Rindi Tani</v>
          </cell>
          <cell r="N6878" t="str">
            <v>Kasmiran</v>
          </cell>
          <cell r="O6878" t="str">
            <v>Mangli</v>
          </cell>
          <cell r="P6878" t="str">
            <v>Jember</v>
          </cell>
          <cell r="Q6878" t="str">
            <v>Mangli</v>
          </cell>
          <cell r="R6878" t="str">
            <v>Jember</v>
          </cell>
          <cell r="S6878" t="str">
            <v>L Kota1</v>
          </cell>
          <cell r="T6878" t="str">
            <v>Wira</v>
          </cell>
          <cell r="U6878">
            <v>30</v>
          </cell>
        </row>
        <row r="6879">
          <cell r="E6879" t="str">
            <v>B25011079</v>
          </cell>
          <cell r="F6879"/>
          <cell r="G6879">
            <v>50000000</v>
          </cell>
          <cell r="H6879" t="str">
            <v>Yuyun</v>
          </cell>
          <cell r="I6879" t="str">
            <v>Farida</v>
          </cell>
          <cell r="J6879"/>
          <cell r="K6879" t="str">
            <v>Tunai</v>
          </cell>
          <cell r="L6879" t="str">
            <v>RIND01</v>
          </cell>
          <cell r="M6879" t="str">
            <v>Rindi Tani</v>
          </cell>
          <cell r="N6879" t="str">
            <v>Kasmiran</v>
          </cell>
          <cell r="O6879" t="str">
            <v>Mangli</v>
          </cell>
          <cell r="P6879" t="str">
            <v>Jember</v>
          </cell>
          <cell r="Q6879" t="str">
            <v>Mangli</v>
          </cell>
          <cell r="R6879" t="str">
            <v>Jember</v>
          </cell>
          <cell r="S6879" t="str">
            <v>L Kota1</v>
          </cell>
          <cell r="T6879" t="str">
            <v>Wira</v>
          </cell>
          <cell r="U6879">
            <v>30</v>
          </cell>
        </row>
        <row r="6880">
          <cell r="E6880" t="str">
            <v>B25011840</v>
          </cell>
          <cell r="F6880"/>
          <cell r="G6880">
            <v>50000000</v>
          </cell>
          <cell r="H6880" t="str">
            <v>Yuyun</v>
          </cell>
          <cell r="I6880" t="str">
            <v>Farida</v>
          </cell>
          <cell r="J6880"/>
          <cell r="K6880" t="str">
            <v>Tunai</v>
          </cell>
          <cell r="L6880" t="str">
            <v>RIND01</v>
          </cell>
          <cell r="M6880" t="str">
            <v>Rindi Tani</v>
          </cell>
          <cell r="N6880" t="str">
            <v>Kasmiran</v>
          </cell>
          <cell r="O6880" t="str">
            <v>Mangli</v>
          </cell>
          <cell r="P6880" t="str">
            <v>Jember</v>
          </cell>
          <cell r="Q6880" t="str">
            <v>Mangli</v>
          </cell>
          <cell r="R6880" t="str">
            <v>Jember</v>
          </cell>
          <cell r="S6880" t="str">
            <v>L Kota1</v>
          </cell>
          <cell r="T6880" t="str">
            <v>Wira</v>
          </cell>
          <cell r="U6880">
            <v>30</v>
          </cell>
        </row>
        <row r="6881">
          <cell r="E6881" t="str">
            <v>B25011842</v>
          </cell>
          <cell r="F6881"/>
          <cell r="G6881">
            <v>50000000</v>
          </cell>
          <cell r="H6881" t="str">
            <v>Yuyun</v>
          </cell>
          <cell r="I6881" t="str">
            <v>Farida</v>
          </cell>
          <cell r="J6881"/>
          <cell r="K6881" t="str">
            <v>Tunai</v>
          </cell>
          <cell r="L6881" t="str">
            <v>RIND01</v>
          </cell>
          <cell r="M6881" t="str">
            <v>Rindi Tani</v>
          </cell>
          <cell r="N6881" t="str">
            <v>Kasmiran</v>
          </cell>
          <cell r="O6881" t="str">
            <v>Mangli</v>
          </cell>
          <cell r="P6881" t="str">
            <v>Jember</v>
          </cell>
          <cell r="Q6881" t="str">
            <v>Mangli</v>
          </cell>
          <cell r="R6881" t="str">
            <v>Jember</v>
          </cell>
          <cell r="S6881" t="str">
            <v>L Kota1</v>
          </cell>
          <cell r="T6881" t="str">
            <v>Wira</v>
          </cell>
          <cell r="U6881">
            <v>30</v>
          </cell>
        </row>
        <row r="6882">
          <cell r="E6882" t="str">
            <v>D25015958</v>
          </cell>
          <cell r="F6882"/>
          <cell r="G6882">
            <v>50000000</v>
          </cell>
          <cell r="H6882" t="str">
            <v>Yuyun</v>
          </cell>
          <cell r="I6882" t="str">
            <v>Farida</v>
          </cell>
          <cell r="J6882"/>
          <cell r="K6882" t="str">
            <v>Tunai</v>
          </cell>
          <cell r="L6882" t="str">
            <v>RIND01</v>
          </cell>
          <cell r="M6882" t="str">
            <v>Rindi Tani</v>
          </cell>
          <cell r="N6882" t="str">
            <v>Kasmiran</v>
          </cell>
          <cell r="O6882" t="str">
            <v>Mangli</v>
          </cell>
          <cell r="P6882" t="str">
            <v>Jember</v>
          </cell>
          <cell r="Q6882" t="str">
            <v>Mangli</v>
          </cell>
          <cell r="R6882" t="str">
            <v>Jember</v>
          </cell>
          <cell r="S6882" t="str">
            <v>L Kota1</v>
          </cell>
          <cell r="T6882" t="str">
            <v>Wira</v>
          </cell>
          <cell r="U6882">
            <v>30</v>
          </cell>
        </row>
        <row r="6883">
          <cell r="E6883" t="str">
            <v>B25009034</v>
          </cell>
          <cell r="F6883"/>
          <cell r="G6883">
            <v>40000000</v>
          </cell>
          <cell r="H6883" t="str">
            <v>Reni</v>
          </cell>
          <cell r="I6883" t="str">
            <v>Farida</v>
          </cell>
          <cell r="J6883" t="str">
            <v>New 16/06/20</v>
          </cell>
          <cell r="K6883" t="str">
            <v>KU</v>
          </cell>
          <cell r="L6883" t="str">
            <v>RIOT01</v>
          </cell>
          <cell r="M6883" t="str">
            <v>Rio Tani/Trio</v>
          </cell>
          <cell r="N6883" t="str">
            <v>Trio Adin Muhtadon</v>
          </cell>
          <cell r="O6883" t="str">
            <v>Jl. Yos Sudarso RT.006/RW.002, Kel. Mangunrejo, Kec. Kepanjen</v>
          </cell>
          <cell r="P6883" t="str">
            <v>Malang</v>
          </cell>
          <cell r="Q6883" t="str">
            <v>Desa Mangunrejo, Kec. Kepanjen</v>
          </cell>
          <cell r="R6883" t="str">
            <v>Malang</v>
          </cell>
          <cell r="S6883" t="str">
            <v>F Utara1</v>
          </cell>
          <cell r="T6883" t="str">
            <v>Tomi</v>
          </cell>
          <cell r="U6883">
            <v>60</v>
          </cell>
        </row>
        <row r="6884">
          <cell r="E6884" t="str">
            <v>D25010979</v>
          </cell>
          <cell r="F6884"/>
          <cell r="G6884">
            <v>40000000</v>
          </cell>
          <cell r="H6884" t="str">
            <v>Reni</v>
          </cell>
          <cell r="I6884" t="str">
            <v>Farida</v>
          </cell>
          <cell r="J6884" t="str">
            <v>New 16/06/20</v>
          </cell>
          <cell r="K6884" t="str">
            <v>KU</v>
          </cell>
          <cell r="L6884" t="str">
            <v>RIOT01</v>
          </cell>
          <cell r="M6884" t="str">
            <v>Rio Tani/Trio</v>
          </cell>
          <cell r="N6884" t="str">
            <v>Trio Adin Muhtadon</v>
          </cell>
          <cell r="O6884" t="str">
            <v>Jl. Yos Sudarso RT.006/RW.002, Kel. Mangunrejo, Kec. Kepanjen</v>
          </cell>
          <cell r="P6884" t="str">
            <v>Malang</v>
          </cell>
          <cell r="Q6884" t="str">
            <v>Desa Mangunrejo, Kec. Kepanjen</v>
          </cell>
          <cell r="R6884" t="str">
            <v>Malang</v>
          </cell>
          <cell r="S6884" t="str">
            <v>F Utara1</v>
          </cell>
          <cell r="T6884" t="str">
            <v>Tomi</v>
          </cell>
          <cell r="U6884">
            <v>60</v>
          </cell>
        </row>
        <row r="6885">
          <cell r="E6885" t="str">
            <v>D25013930</v>
          </cell>
          <cell r="F6885"/>
          <cell r="G6885">
            <v>40000000</v>
          </cell>
          <cell r="H6885" t="str">
            <v>Reni</v>
          </cell>
          <cell r="I6885" t="str">
            <v>Farida</v>
          </cell>
          <cell r="J6885" t="str">
            <v>New 16/06/20</v>
          </cell>
          <cell r="K6885" t="str">
            <v>KU</v>
          </cell>
          <cell r="L6885" t="str">
            <v>RIOT01</v>
          </cell>
          <cell r="M6885" t="str">
            <v>Rio Tani/Trio</v>
          </cell>
          <cell r="N6885" t="str">
            <v>Trio Adin Muhtadon</v>
          </cell>
          <cell r="O6885" t="str">
            <v>Jl. Yos Sudarso RT.006/RW.002, Kel. Mangunrejo, Kec. Kepanjen</v>
          </cell>
          <cell r="P6885" t="str">
            <v>Malang</v>
          </cell>
          <cell r="Q6885" t="str">
            <v>Desa Mangunrejo, Kec. Kepanjen</v>
          </cell>
          <cell r="R6885" t="str">
            <v>Malang</v>
          </cell>
          <cell r="S6885" t="str">
            <v>F Utara1</v>
          </cell>
          <cell r="T6885" t="str">
            <v>Tomi</v>
          </cell>
          <cell r="U6885">
            <v>60</v>
          </cell>
        </row>
        <row r="6886">
          <cell r="E6886" t="str">
            <v>D25015072</v>
          </cell>
          <cell r="F6886"/>
          <cell r="G6886">
            <v>40000000</v>
          </cell>
          <cell r="H6886" t="str">
            <v>Reni</v>
          </cell>
          <cell r="I6886" t="str">
            <v>Farida</v>
          </cell>
          <cell r="J6886" t="str">
            <v>New 16/06/20</v>
          </cell>
          <cell r="K6886" t="str">
            <v>KU</v>
          </cell>
          <cell r="L6886" t="str">
            <v>RIOT01</v>
          </cell>
          <cell r="M6886" t="str">
            <v>Rio Tani/Trio</v>
          </cell>
          <cell r="N6886" t="str">
            <v>Trio Adin Muhtadon</v>
          </cell>
          <cell r="O6886" t="str">
            <v>Jl. Yos Sudarso RT.006/RW.002, Kel. Mangunrejo, Kec. Kepanjen</v>
          </cell>
          <cell r="P6886" t="str">
            <v>Malang</v>
          </cell>
          <cell r="Q6886" t="str">
            <v>Desa Mangunrejo, Kec. Kepanjen</v>
          </cell>
          <cell r="R6886" t="str">
            <v>Malang</v>
          </cell>
          <cell r="S6886" t="str">
            <v>F Utara1</v>
          </cell>
          <cell r="T6886" t="str">
            <v>Tomi</v>
          </cell>
          <cell r="U6886">
            <v>60</v>
          </cell>
        </row>
        <row r="6887">
          <cell r="E6887" t="str">
            <v>T25001501</v>
          </cell>
          <cell r="F6887"/>
          <cell r="G6887">
            <v>40000000</v>
          </cell>
          <cell r="H6887" t="str">
            <v>Reni</v>
          </cell>
          <cell r="I6887" t="str">
            <v>Farida</v>
          </cell>
          <cell r="J6887" t="str">
            <v>New 16/06/20</v>
          </cell>
          <cell r="K6887" t="str">
            <v>KU</v>
          </cell>
          <cell r="L6887" t="str">
            <v>RIOT01</v>
          </cell>
          <cell r="M6887" t="str">
            <v>Rio Tani/Trio</v>
          </cell>
          <cell r="N6887" t="str">
            <v>Trio Adin Muhtadon</v>
          </cell>
          <cell r="O6887" t="str">
            <v>Jl. Yos Sudarso RT.006/RW.002, Kel. Mangunrejo, Kec. Kepanjen</v>
          </cell>
          <cell r="P6887" t="str">
            <v>Malang</v>
          </cell>
          <cell r="Q6887" t="str">
            <v>Desa Mangunrejo, Kec. Kepanjen</v>
          </cell>
          <cell r="R6887" t="str">
            <v>Malang</v>
          </cell>
          <cell r="S6887" t="str">
            <v>F Utara1</v>
          </cell>
          <cell r="T6887" t="str">
            <v>Tomi</v>
          </cell>
          <cell r="U6887">
            <v>60</v>
          </cell>
        </row>
        <row r="6888">
          <cell r="E6888" t="str">
            <v>D25010229</v>
          </cell>
          <cell r="F6888"/>
          <cell r="G6888">
            <v>200000000</v>
          </cell>
          <cell r="H6888" t="str">
            <v>Yuyun</v>
          </cell>
          <cell r="I6888" t="str">
            <v>Farida</v>
          </cell>
          <cell r="J6888"/>
          <cell r="K6888" t="str">
            <v>KU, Tunai</v>
          </cell>
          <cell r="L6888" t="str">
            <v>RISK02</v>
          </cell>
          <cell r="M6888" t="str">
            <v>Riski Tani/Hadi</v>
          </cell>
          <cell r="N6888" t="str">
            <v>Abdul Hadi</v>
          </cell>
          <cell r="O6888" t="str">
            <v>Dusun Kidul Besuk RT.004/RW.020, Kel. Ajung, Kec. Ajung</v>
          </cell>
          <cell r="P6888" t="str">
            <v>Jember</v>
          </cell>
          <cell r="Q6888" t="str">
            <v>Ds. Slateng, Kec. Ledok Ombo, Kalisat</v>
          </cell>
          <cell r="R6888" t="str">
            <v>Jember</v>
          </cell>
          <cell r="S6888" t="str">
            <v>N Bdw Stb</v>
          </cell>
          <cell r="T6888" t="str">
            <v>Wira</v>
          </cell>
          <cell r="U6888">
            <v>30</v>
          </cell>
        </row>
        <row r="6889">
          <cell r="E6889" t="str">
            <v>B25008539</v>
          </cell>
          <cell r="F6889"/>
          <cell r="G6889">
            <v>200000000</v>
          </cell>
          <cell r="H6889" t="str">
            <v>Yuyun</v>
          </cell>
          <cell r="I6889" t="str">
            <v>Farida</v>
          </cell>
          <cell r="J6889"/>
          <cell r="K6889" t="str">
            <v>KU, Tunai</v>
          </cell>
          <cell r="L6889" t="str">
            <v>RISK02</v>
          </cell>
          <cell r="M6889" t="str">
            <v>Riski Tani/Hadi</v>
          </cell>
          <cell r="N6889" t="str">
            <v>Abdul Hadi</v>
          </cell>
          <cell r="O6889" t="str">
            <v>Dusun Kidul Besuk RT.004/RW.020, Kel. Ajung, Kec. Ajung</v>
          </cell>
          <cell r="P6889" t="str">
            <v>Jember</v>
          </cell>
          <cell r="Q6889" t="str">
            <v>Ds. Slateng, Kec. Ledok Ombo, Kalisat</v>
          </cell>
          <cell r="R6889" t="str">
            <v>Jember</v>
          </cell>
          <cell r="S6889" t="str">
            <v>N Bdw Stb</v>
          </cell>
          <cell r="T6889" t="str">
            <v>Wira</v>
          </cell>
          <cell r="U6889">
            <v>30</v>
          </cell>
        </row>
        <row r="6890">
          <cell r="E6890" t="str">
            <v>D25010403</v>
          </cell>
          <cell r="F6890"/>
          <cell r="G6890">
            <v>200000000</v>
          </cell>
          <cell r="H6890" t="str">
            <v>Yuyun</v>
          </cell>
          <cell r="I6890" t="str">
            <v>Farida</v>
          </cell>
          <cell r="J6890"/>
          <cell r="K6890" t="str">
            <v>KU, Tunai</v>
          </cell>
          <cell r="L6890" t="str">
            <v>RISK02</v>
          </cell>
          <cell r="M6890" t="str">
            <v>Riski Tani/Hadi</v>
          </cell>
          <cell r="N6890" t="str">
            <v>Abdul Hadi</v>
          </cell>
          <cell r="O6890" t="str">
            <v>Dusun Kidul Besuk RT.004/RW.020, Kel. Ajung, Kec. Ajung</v>
          </cell>
          <cell r="P6890" t="str">
            <v>Jember</v>
          </cell>
          <cell r="Q6890" t="str">
            <v>Ds. Slateng, Kec. Ledok Ombo, Kalisat</v>
          </cell>
          <cell r="R6890" t="str">
            <v>Jember</v>
          </cell>
          <cell r="S6890" t="str">
            <v>N Bdw Stb</v>
          </cell>
          <cell r="T6890" t="str">
            <v>Wira</v>
          </cell>
          <cell r="U6890">
            <v>30</v>
          </cell>
        </row>
        <row r="6891">
          <cell r="E6891" t="str">
            <v>B25008934</v>
          </cell>
          <cell r="F6891"/>
          <cell r="G6891">
            <v>200000000</v>
          </cell>
          <cell r="H6891" t="str">
            <v>Yuyun</v>
          </cell>
          <cell r="I6891" t="str">
            <v>Farida</v>
          </cell>
          <cell r="J6891"/>
          <cell r="K6891" t="str">
            <v>KU, Tunai</v>
          </cell>
          <cell r="L6891" t="str">
            <v>RISK02</v>
          </cell>
          <cell r="M6891" t="str">
            <v>Riski Tani/Hadi</v>
          </cell>
          <cell r="N6891" t="str">
            <v>Abdul Hadi</v>
          </cell>
          <cell r="O6891" t="str">
            <v>Dusun Kidul Besuk RT.004/RW.020, Kel. Ajung, Kec. Ajung</v>
          </cell>
          <cell r="P6891" t="str">
            <v>Jember</v>
          </cell>
          <cell r="Q6891" t="str">
            <v>Ds. Slateng, Kec. Ledok Ombo, Kalisat</v>
          </cell>
          <cell r="R6891" t="str">
            <v>Jember</v>
          </cell>
          <cell r="S6891" t="str">
            <v>N Bdw Stb</v>
          </cell>
          <cell r="T6891" t="str">
            <v>Wira</v>
          </cell>
          <cell r="U6891">
            <v>30</v>
          </cell>
        </row>
        <row r="6892">
          <cell r="E6892" t="str">
            <v>D25010822</v>
          </cell>
          <cell r="F6892"/>
          <cell r="G6892">
            <v>200000000</v>
          </cell>
          <cell r="H6892" t="str">
            <v>Yuyun</v>
          </cell>
          <cell r="I6892" t="str">
            <v>Farida</v>
          </cell>
          <cell r="J6892"/>
          <cell r="K6892" t="str">
            <v>KU, Tunai</v>
          </cell>
          <cell r="L6892" t="str">
            <v>RISK02</v>
          </cell>
          <cell r="M6892" t="str">
            <v>Riski Tani/Hadi</v>
          </cell>
          <cell r="N6892" t="str">
            <v>Abdul Hadi</v>
          </cell>
          <cell r="O6892" t="str">
            <v>Dusun Kidul Besuk RT.004/RW.020, Kel. Ajung, Kec. Ajung</v>
          </cell>
          <cell r="P6892" t="str">
            <v>Jember</v>
          </cell>
          <cell r="Q6892" t="str">
            <v>Ds. Slateng, Kec. Ledok Ombo, Kalisat</v>
          </cell>
          <cell r="R6892" t="str">
            <v>Jember</v>
          </cell>
          <cell r="S6892" t="str">
            <v>N Bdw Stb</v>
          </cell>
          <cell r="T6892" t="str">
            <v>Wira</v>
          </cell>
          <cell r="U6892">
            <v>60</v>
          </cell>
        </row>
        <row r="6893">
          <cell r="E6893" t="str">
            <v>B25009096</v>
          </cell>
          <cell r="F6893"/>
          <cell r="G6893">
            <v>200000000</v>
          </cell>
          <cell r="H6893" t="str">
            <v>Yuyun</v>
          </cell>
          <cell r="I6893" t="str">
            <v>Farida</v>
          </cell>
          <cell r="J6893"/>
          <cell r="K6893" t="str">
            <v>KU, Tunai</v>
          </cell>
          <cell r="L6893" t="str">
            <v>RISK02</v>
          </cell>
          <cell r="M6893" t="str">
            <v>Riski Tani/Hadi</v>
          </cell>
          <cell r="N6893" t="str">
            <v>Abdul Hadi</v>
          </cell>
          <cell r="O6893" t="str">
            <v>Dusun Kidul Besuk RT.004/RW.020, Kel. Ajung, Kec. Ajung</v>
          </cell>
          <cell r="P6893" t="str">
            <v>Jember</v>
          </cell>
          <cell r="Q6893" t="str">
            <v>Ds. Slateng, Kec. Ledok Ombo, Kalisat</v>
          </cell>
          <cell r="R6893" t="str">
            <v>Jember</v>
          </cell>
          <cell r="S6893" t="str">
            <v>N Bdw Stb</v>
          </cell>
          <cell r="T6893" t="str">
            <v>Wira</v>
          </cell>
          <cell r="U6893">
            <v>30</v>
          </cell>
        </row>
        <row r="6894">
          <cell r="E6894" t="str">
            <v>B25009399</v>
          </cell>
          <cell r="F6894"/>
          <cell r="G6894">
            <v>200000000</v>
          </cell>
          <cell r="H6894" t="str">
            <v>Yuyun</v>
          </cell>
          <cell r="I6894" t="str">
            <v>Farida</v>
          </cell>
          <cell r="J6894"/>
          <cell r="K6894" t="str">
            <v>KU, Tunai</v>
          </cell>
          <cell r="L6894" t="str">
            <v>RISK02</v>
          </cell>
          <cell r="M6894" t="str">
            <v>Riski Tani/Hadi</v>
          </cell>
          <cell r="N6894" t="str">
            <v>Abdul Hadi</v>
          </cell>
          <cell r="O6894" t="str">
            <v>Dusun Kidul Besuk RT.004/RW.020, Kel. Ajung, Kec. Ajung</v>
          </cell>
          <cell r="P6894" t="str">
            <v>Jember</v>
          </cell>
          <cell r="Q6894" t="str">
            <v>Ds. Slateng, Kec. Ledok Ombo, Kalisat</v>
          </cell>
          <cell r="R6894" t="str">
            <v>Jember</v>
          </cell>
          <cell r="S6894" t="str">
            <v>N Bdw Stb</v>
          </cell>
          <cell r="T6894" t="str">
            <v>Wira</v>
          </cell>
          <cell r="U6894">
            <v>30</v>
          </cell>
        </row>
        <row r="6895">
          <cell r="E6895" t="str">
            <v>D25011598</v>
          </cell>
          <cell r="F6895"/>
          <cell r="G6895">
            <v>200000000</v>
          </cell>
          <cell r="H6895" t="str">
            <v>Yuyun</v>
          </cell>
          <cell r="I6895" t="str">
            <v>Farida</v>
          </cell>
          <cell r="J6895"/>
          <cell r="K6895" t="str">
            <v>KU, Tunai</v>
          </cell>
          <cell r="L6895" t="str">
            <v>RISK02</v>
          </cell>
          <cell r="M6895" t="str">
            <v>Riski Tani/Hadi</v>
          </cell>
          <cell r="N6895" t="str">
            <v>Abdul Hadi</v>
          </cell>
          <cell r="O6895" t="str">
            <v>Dusun Kidul Besuk RT.004/RW.020, Kel. Ajung, Kec. Ajung</v>
          </cell>
          <cell r="P6895" t="str">
            <v>Jember</v>
          </cell>
          <cell r="Q6895" t="str">
            <v>Ds. Slateng, Kec. Ledok Ombo, Kalisat</v>
          </cell>
          <cell r="R6895" t="str">
            <v>Jember</v>
          </cell>
          <cell r="S6895" t="str">
            <v>N Bdw Stb</v>
          </cell>
          <cell r="T6895" t="str">
            <v>Wira</v>
          </cell>
          <cell r="U6895">
            <v>30</v>
          </cell>
        </row>
        <row r="6896">
          <cell r="E6896" t="str">
            <v>D25011599</v>
          </cell>
          <cell r="F6896"/>
          <cell r="G6896">
            <v>200000000</v>
          </cell>
          <cell r="H6896" t="str">
            <v>Yuyun</v>
          </cell>
          <cell r="I6896" t="str">
            <v>Farida</v>
          </cell>
          <cell r="J6896"/>
          <cell r="K6896" t="str">
            <v>KU, Tunai</v>
          </cell>
          <cell r="L6896" t="str">
            <v>RISK02</v>
          </cell>
          <cell r="M6896" t="str">
            <v>Riski Tani/Hadi</v>
          </cell>
          <cell r="N6896" t="str">
            <v>Abdul Hadi</v>
          </cell>
          <cell r="O6896" t="str">
            <v>Dusun Kidul Besuk RT.004/RW.020, Kel. Ajung, Kec. Ajung</v>
          </cell>
          <cell r="P6896" t="str">
            <v>Jember</v>
          </cell>
          <cell r="Q6896" t="str">
            <v>Ds. Slateng, Kec. Ledok Ombo, Kalisat</v>
          </cell>
          <cell r="R6896" t="str">
            <v>Jember</v>
          </cell>
          <cell r="S6896" t="str">
            <v>N Bdw Stb</v>
          </cell>
          <cell r="T6896" t="str">
            <v>Wira</v>
          </cell>
          <cell r="U6896">
            <v>30</v>
          </cell>
        </row>
        <row r="6897">
          <cell r="E6897" t="str">
            <v>B25010026</v>
          </cell>
          <cell r="F6897"/>
          <cell r="G6897">
            <v>200000000</v>
          </cell>
          <cell r="H6897" t="str">
            <v>Yuyun</v>
          </cell>
          <cell r="I6897" t="str">
            <v>Farida</v>
          </cell>
          <cell r="J6897"/>
          <cell r="K6897" t="str">
            <v>KU, Tunai</v>
          </cell>
          <cell r="L6897" t="str">
            <v>RISK02</v>
          </cell>
          <cell r="M6897" t="str">
            <v>Riski Tani/Hadi</v>
          </cell>
          <cell r="N6897" t="str">
            <v>Abdul Hadi</v>
          </cell>
          <cell r="O6897" t="str">
            <v>Dusun Kidul Besuk RT.004/RW.020, Kel. Ajung, Kec. Ajung</v>
          </cell>
          <cell r="P6897" t="str">
            <v>Jember</v>
          </cell>
          <cell r="Q6897" t="str">
            <v>Ds. Slateng, Kec. Ledok Ombo, Kalisat</v>
          </cell>
          <cell r="R6897" t="str">
            <v>Jember</v>
          </cell>
          <cell r="S6897" t="str">
            <v>N Bdw Stb</v>
          </cell>
          <cell r="T6897" t="str">
            <v>Wira</v>
          </cell>
          <cell r="U6897">
            <v>30</v>
          </cell>
        </row>
        <row r="6898">
          <cell r="E6898" t="str">
            <v>B25010030</v>
          </cell>
          <cell r="F6898"/>
          <cell r="G6898">
            <v>200000000</v>
          </cell>
          <cell r="H6898" t="str">
            <v>Yuyun</v>
          </cell>
          <cell r="I6898" t="str">
            <v>Farida</v>
          </cell>
          <cell r="J6898"/>
          <cell r="K6898" t="str">
            <v>KU, Tunai</v>
          </cell>
          <cell r="L6898" t="str">
            <v>RISK02</v>
          </cell>
          <cell r="M6898" t="str">
            <v>Riski Tani/Hadi</v>
          </cell>
          <cell r="N6898" t="str">
            <v>Abdul Hadi</v>
          </cell>
          <cell r="O6898" t="str">
            <v>Dusun Kidul Besuk RT.004/RW.020, Kel. Ajung, Kec. Ajung</v>
          </cell>
          <cell r="P6898" t="str">
            <v>Jember</v>
          </cell>
          <cell r="Q6898" t="str">
            <v>Ds. Slateng, Kec. Ledok Ombo, Kalisat</v>
          </cell>
          <cell r="R6898" t="str">
            <v>Jember</v>
          </cell>
          <cell r="S6898" t="str">
            <v>N Bdw Stb</v>
          </cell>
          <cell r="T6898" t="str">
            <v>Wira</v>
          </cell>
          <cell r="U6898">
            <v>30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Penjualansaldo"/>
      <sheetName val="Penjualan"/>
      <sheetName val="Shopee"/>
      <sheetName val="Tiktok"/>
      <sheetName val="Pembayaran TT"/>
      <sheetName val="Pembayaran"/>
      <sheetName val="Sheet1"/>
      <sheetName val="Sheet2"/>
    </sheetNames>
    <sheetDataSet>
      <sheetData sheetId="0">
        <row r="9">
          <cell r="D9" t="str">
            <v>A25001896</v>
          </cell>
          <cell r="E9"/>
          <cell r="F9" t="str">
            <v>250906R7CX6B8X</v>
          </cell>
          <cell r="G9" t="str">
            <v>Aneto 50 EC 50 X 250 ml + Neptune 8 gr (M2U)*</v>
          </cell>
          <cell r="H9" t="str">
            <v>2</v>
          </cell>
          <cell r="I9" t="str">
            <v>Btl</v>
          </cell>
          <cell r="J9" t="str">
            <v>B000880, SITI AMINAH</v>
          </cell>
          <cell r="K9" t="str">
            <v>amin3341</v>
          </cell>
          <cell r="L9" t="str">
            <v>Online Shop Shopee</v>
          </cell>
          <cell r="M9"/>
          <cell r="N9">
            <v>146967.32</v>
          </cell>
          <cell r="O9">
            <v>180328</v>
          </cell>
          <cell r="P9" t="str">
            <v>Selesai</v>
          </cell>
          <cell r="Q9">
            <v>152028</v>
          </cell>
        </row>
        <row r="10">
          <cell r="D10" t="str">
            <v>A25001897</v>
          </cell>
          <cell r="E10"/>
          <cell r="F10" t="str">
            <v>250907USS7HGJ8</v>
          </cell>
          <cell r="G10" t="str">
            <v>Qiumex 36 EC 20 X 500 ml*</v>
          </cell>
          <cell r="H10" t="str">
            <v>1</v>
          </cell>
          <cell r="I10" t="str">
            <v>Btl</v>
          </cell>
          <cell r="J10" t="str">
            <v>B000876, ARDAN</v>
          </cell>
          <cell r="K10" t="str">
            <v>adammalik652</v>
          </cell>
          <cell r="L10" t="str">
            <v>Online Shop Shopee</v>
          </cell>
          <cell r="M10"/>
          <cell r="N10">
            <v>93645.945000000007</v>
          </cell>
          <cell r="O10">
            <v>114903</v>
          </cell>
          <cell r="P10" t="str">
            <v>Selesai</v>
          </cell>
          <cell r="Q10">
            <v>96417</v>
          </cell>
        </row>
        <row r="11">
          <cell r="D11" t="str">
            <v>A25001898</v>
          </cell>
          <cell r="E11"/>
          <cell r="F11" t="str">
            <v>250907TXFQB5D6</v>
          </cell>
          <cell r="G11" t="str">
            <v>Fungidex 40 WP 50 X 500 gr*</v>
          </cell>
          <cell r="H11" t="str">
            <v>1</v>
          </cell>
          <cell r="I11" t="str">
            <v>Pack</v>
          </cell>
          <cell r="J11" t="str">
            <v>B000877, LITA KADIR</v>
          </cell>
          <cell r="K11" t="str">
            <v>litakadir</v>
          </cell>
          <cell r="L11" t="str">
            <v>Online Shop Shopee</v>
          </cell>
          <cell r="M11"/>
          <cell r="N11">
            <v>59082.61</v>
          </cell>
          <cell r="O11">
            <v>72494</v>
          </cell>
          <cell r="P11" t="str">
            <v>Selesai</v>
          </cell>
          <cell r="Q11">
            <v>60370</v>
          </cell>
        </row>
        <row r="12">
          <cell r="D12" t="str">
            <v>A25001899</v>
          </cell>
          <cell r="E12"/>
          <cell r="F12" t="str">
            <v>250908UY64SH2G</v>
          </cell>
          <cell r="G12" t="str">
            <v>GG Daun 50 X 100 ml (M2U)*</v>
          </cell>
          <cell r="H12" t="str">
            <v>1</v>
          </cell>
          <cell r="I12" t="str">
            <v>Btl</v>
          </cell>
          <cell r="J12" t="str">
            <v>B000875, JIYAH</v>
          </cell>
          <cell r="K12" t="str">
            <v>fajriyahkbm000</v>
          </cell>
          <cell r="L12" t="str">
            <v>Online Shop Shopee</v>
          </cell>
          <cell r="M12"/>
          <cell r="N12">
            <v>70451.86</v>
          </cell>
          <cell r="O12">
            <v>86444</v>
          </cell>
          <cell r="P12" t="str">
            <v>Selesai</v>
          </cell>
          <cell r="Q12">
            <v>71795</v>
          </cell>
        </row>
        <row r="13">
          <cell r="D13" t="str">
            <v>A25001900</v>
          </cell>
          <cell r="E13"/>
          <cell r="F13" t="str">
            <v>250906RXC78764</v>
          </cell>
          <cell r="G13" t="str">
            <v>Vista 400 SL 50 X 200 ml*</v>
          </cell>
          <cell r="H13" t="str">
            <v>1</v>
          </cell>
          <cell r="I13" t="str">
            <v>Btl</v>
          </cell>
          <cell r="J13" t="str">
            <v>B000873, IDA NITA</v>
          </cell>
          <cell r="K13" t="str">
            <v>aiida844</v>
          </cell>
          <cell r="L13" t="str">
            <v>Online Shop Shopee</v>
          </cell>
          <cell r="M13"/>
          <cell r="N13">
            <v>18153.310000000001</v>
          </cell>
          <cell r="O13">
            <v>22274</v>
          </cell>
          <cell r="P13" t="str">
            <v>Selesai</v>
          </cell>
          <cell r="Q13">
            <v>17683</v>
          </cell>
        </row>
        <row r="14">
          <cell r="D14" t="str">
            <v>A25001901</v>
          </cell>
          <cell r="E14"/>
          <cell r="F14" t="str">
            <v>250906RKBCPM4X</v>
          </cell>
          <cell r="G14" t="str">
            <v>Kingdom 550 SC 20 X 1 ltr*</v>
          </cell>
          <cell r="H14" t="str">
            <v>1</v>
          </cell>
          <cell r="I14" t="str">
            <v>Btl</v>
          </cell>
          <cell r="J14" t="str">
            <v>B000872, HAFIZ</v>
          </cell>
          <cell r="K14" t="str">
            <v>hafizpurqeni</v>
          </cell>
          <cell r="L14" t="str">
            <v>Online Shop Shopee</v>
          </cell>
          <cell r="M14"/>
          <cell r="N14">
            <v>97759.25</v>
          </cell>
          <cell r="O14">
            <v>119950</v>
          </cell>
          <cell r="P14" t="str">
            <v>Selesai</v>
          </cell>
          <cell r="Q14">
            <v>100708</v>
          </cell>
        </row>
        <row r="15">
          <cell r="D15" t="str">
            <v>A25001902</v>
          </cell>
          <cell r="E15"/>
          <cell r="F15" t="str">
            <v>250906R5GVJYAJ</v>
          </cell>
          <cell r="G15" t="str">
            <v>Profuron 600 EC 20 X 500 ml*</v>
          </cell>
          <cell r="H15" t="str">
            <v>1</v>
          </cell>
          <cell r="I15" t="str">
            <v>Btl</v>
          </cell>
          <cell r="J15" t="str">
            <v>B000871, BPK. KEMIS</v>
          </cell>
          <cell r="K15" t="str">
            <v>ciprutnia24</v>
          </cell>
          <cell r="L15" t="str">
            <v>Online Shop Shopee</v>
          </cell>
          <cell r="M15"/>
          <cell r="N15">
            <v>197029.51</v>
          </cell>
          <cell r="O15">
            <v>241754</v>
          </cell>
          <cell r="P15" t="str">
            <v>Selesai</v>
          </cell>
          <cell r="Q15">
            <v>204241</v>
          </cell>
        </row>
        <row r="16">
          <cell r="D16" t="str">
            <v>A25001903</v>
          </cell>
          <cell r="E16"/>
          <cell r="F16" t="str">
            <v>250907TQ7VR6CD</v>
          </cell>
          <cell r="G16" t="str">
            <v>Magicxone 138 SL 20 X 1 ltr</v>
          </cell>
          <cell r="H16" t="str">
            <v>11</v>
          </cell>
          <cell r="I16" t="str">
            <v>Btl</v>
          </cell>
          <cell r="J16" t="str">
            <v>B000878, ROROROSSA</v>
          </cell>
          <cell r="K16" t="str">
            <v>ccrylarora</v>
          </cell>
          <cell r="L16" t="str">
            <v>Online Shop Shopee</v>
          </cell>
          <cell r="M16"/>
          <cell r="N16">
            <v>304361.75</v>
          </cell>
          <cell r="O16">
            <v>373450</v>
          </cell>
          <cell r="P16" t="str">
            <v>Selesai</v>
          </cell>
          <cell r="Q16">
            <v>316182</v>
          </cell>
        </row>
        <row r="17">
          <cell r="D17" t="str">
            <v>A25001904</v>
          </cell>
          <cell r="E17"/>
          <cell r="F17" t="str">
            <v>580287081088124763</v>
          </cell>
          <cell r="G17" t="str">
            <v>Petrogenol 800 L 20 X 20 X 5 ml</v>
          </cell>
          <cell r="H17" t="str">
            <v>5</v>
          </cell>
          <cell r="I17" t="str">
            <v>Btl</v>
          </cell>
          <cell r="J17" t="str">
            <v>B000883, TIMA</v>
          </cell>
          <cell r="K17" t="str">
            <v>T****</v>
          </cell>
          <cell r="L17" t="str">
            <v>Online Shop Tik tok</v>
          </cell>
          <cell r="M17"/>
          <cell r="N17">
            <v>24246.25</v>
          </cell>
          <cell r="O17">
            <v>29750</v>
          </cell>
          <cell r="P17" t="str">
            <v>Selesai</v>
          </cell>
          <cell r="Q17" t="e">
            <v>#N/A</v>
          </cell>
        </row>
        <row r="18">
          <cell r="D18" t="str">
            <v>A25001905</v>
          </cell>
          <cell r="E18"/>
          <cell r="F18" t="str">
            <v>580277479293486509</v>
          </cell>
          <cell r="G18" t="str">
            <v>Qiustar 400 EC 50 X 100 ml*</v>
          </cell>
          <cell r="H18" t="str">
            <v>1</v>
          </cell>
          <cell r="I18" t="str">
            <v>Btl</v>
          </cell>
          <cell r="J18" t="str">
            <v>B000882, ROCKY</v>
          </cell>
          <cell r="K18" t="str">
            <v>R**** C**********</v>
          </cell>
          <cell r="L18" t="str">
            <v>Online Shop Tik tok</v>
          </cell>
          <cell r="M18"/>
          <cell r="N18">
            <v>92054.25</v>
          </cell>
          <cell r="O18">
            <v>112950</v>
          </cell>
          <cell r="P18" t="str">
            <v>Selesai</v>
          </cell>
          <cell r="Q18" t="e">
            <v>#N/A</v>
          </cell>
        </row>
        <row r="19">
          <cell r="D19" t="str">
            <v>A25001906</v>
          </cell>
          <cell r="E19"/>
          <cell r="F19" t="str">
            <v>580305486935066102</v>
          </cell>
          <cell r="G19" t="str">
            <v>Bellator 265 SC 25 X 200 ml</v>
          </cell>
          <cell r="H19" t="str">
            <v>1</v>
          </cell>
          <cell r="I19" t="str">
            <v>Btl</v>
          </cell>
          <cell r="J19" t="str">
            <v>B000890, SITI</v>
          </cell>
          <cell r="K19" t="str">
            <v>S*** t** n*** m*** a**</v>
          </cell>
          <cell r="L19" t="str">
            <v>Online Shop Tik tok</v>
          </cell>
          <cell r="M19"/>
          <cell r="N19">
            <v>148996.66999999998</v>
          </cell>
          <cell r="O19">
            <v>182818</v>
          </cell>
          <cell r="P19" t="str">
            <v>Selesai</v>
          </cell>
          <cell r="Q19" t="e">
            <v>#N/A</v>
          </cell>
        </row>
        <row r="20">
          <cell r="D20" t="str">
            <v>A25001907</v>
          </cell>
          <cell r="E20"/>
          <cell r="F20" t="str">
            <v>2509080FYXEAYQ</v>
          </cell>
          <cell r="G20" t="str">
            <v>Abado 50 WP 20 X 6 X 40 gr* &amp; Macerio 52 WP 20 X 500 gr</v>
          </cell>
          <cell r="H20" t="str">
            <v>1</v>
          </cell>
          <cell r="I20" t="str">
            <v>Pack</v>
          </cell>
          <cell r="J20" t="str">
            <v>B000889, ZAINAL</v>
          </cell>
          <cell r="K20" t="str">
            <v>zainalbin.ali</v>
          </cell>
          <cell r="L20" t="str">
            <v>Online Shop Shopee</v>
          </cell>
          <cell r="M20"/>
          <cell r="N20">
            <v>28484.25</v>
          </cell>
          <cell r="O20">
            <v>34950</v>
          </cell>
          <cell r="P20" t="str">
            <v>Selesai</v>
          </cell>
          <cell r="Q20">
            <v>181414</v>
          </cell>
        </row>
        <row r="21">
          <cell r="D21" t="str">
            <v>A25001908</v>
          </cell>
          <cell r="E21"/>
          <cell r="F21" t="str">
            <v>2509080RKUJGC8</v>
          </cell>
          <cell r="G21" t="str">
            <v>Qiumex 36 EC 40 X 250 ml*</v>
          </cell>
          <cell r="H21" t="str">
            <v>1</v>
          </cell>
          <cell r="I21" t="str">
            <v>Btl</v>
          </cell>
          <cell r="J21" t="str">
            <v>B000888, AZIFATUL</v>
          </cell>
          <cell r="K21" t="str">
            <v>resty2017</v>
          </cell>
          <cell r="L21" t="str">
            <v>Online Shop Shopee</v>
          </cell>
          <cell r="M21"/>
          <cell r="N21">
            <v>51304.25</v>
          </cell>
          <cell r="O21">
            <v>62950</v>
          </cell>
          <cell r="P21" t="str">
            <v>Selesai</v>
          </cell>
          <cell r="Q21">
            <v>52258</v>
          </cell>
        </row>
        <row r="22">
          <cell r="D22" t="str">
            <v>A25001909</v>
          </cell>
          <cell r="E22"/>
          <cell r="F22" t="str">
            <v>2509080TVW0W31</v>
          </cell>
          <cell r="G22" t="str">
            <v>Money 865 SL 20 X 1 ltr*</v>
          </cell>
          <cell r="H22" t="str">
            <v>1</v>
          </cell>
          <cell r="I22" t="str">
            <v>Btl</v>
          </cell>
          <cell r="J22" t="str">
            <v>B000887, ASTI MELIA</v>
          </cell>
          <cell r="K22" t="str">
            <v>waizalqurnie26</v>
          </cell>
          <cell r="L22" t="str">
            <v>Online Shop Shopee</v>
          </cell>
          <cell r="M22"/>
          <cell r="N22">
            <v>77425</v>
          </cell>
          <cell r="O22">
            <v>95000</v>
          </cell>
          <cell r="P22" t="str">
            <v>Selesai</v>
          </cell>
          <cell r="Q22">
            <v>79500</v>
          </cell>
        </row>
        <row r="23">
          <cell r="D23" t="str">
            <v>A25001910</v>
          </cell>
          <cell r="E23"/>
          <cell r="F23" t="str">
            <v>2509091HVHGUPB</v>
          </cell>
          <cell r="G23" t="str">
            <v>Sulfaron 200/50 EC 50 X 200 ml</v>
          </cell>
          <cell r="H23" t="str">
            <v>1</v>
          </cell>
          <cell r="I23" t="str">
            <v>Btl</v>
          </cell>
          <cell r="J23" t="str">
            <v>B000886, JOKO. S</v>
          </cell>
          <cell r="K23" t="str">
            <v>jokolalana1917</v>
          </cell>
          <cell r="L23" t="str">
            <v>Online Shop Shopee</v>
          </cell>
          <cell r="M23"/>
          <cell r="N23">
            <v>101834.25</v>
          </cell>
          <cell r="O23">
            <v>124950</v>
          </cell>
          <cell r="P23" t="str">
            <v>Selesai</v>
          </cell>
          <cell r="Q23">
            <v>104958</v>
          </cell>
        </row>
        <row r="24">
          <cell r="D24" t="str">
            <v>A25001911</v>
          </cell>
          <cell r="E24"/>
          <cell r="F24" t="str">
            <v>25090814DQ85WS</v>
          </cell>
          <cell r="G24" t="str">
            <v>Fungidex 40 WP 50 X 500 gr*</v>
          </cell>
          <cell r="H24" t="str">
            <v>2</v>
          </cell>
          <cell r="I24" t="str">
            <v>Pack</v>
          </cell>
          <cell r="J24" t="str">
            <v>B000885, WAHYU ERIK</v>
          </cell>
          <cell r="K24" t="str">
            <v>wahyuerik805</v>
          </cell>
          <cell r="L24" t="str">
            <v>Online Shop Shopee</v>
          </cell>
          <cell r="M24"/>
          <cell r="N24">
            <v>127058.5</v>
          </cell>
          <cell r="O24">
            <v>155900</v>
          </cell>
          <cell r="P24" t="str">
            <v>Selesai</v>
          </cell>
          <cell r="Q24">
            <v>131264</v>
          </cell>
        </row>
        <row r="25">
          <cell r="D25" t="str">
            <v>A25001912</v>
          </cell>
          <cell r="E25"/>
          <cell r="F25" t="str">
            <v>2509093RDDCXSV</v>
          </cell>
          <cell r="G25" t="str">
            <v>GG Amino 30 X 500 ml (M2U)</v>
          </cell>
          <cell r="H25" t="str">
            <v>5</v>
          </cell>
          <cell r="I25" t="str">
            <v>Btl</v>
          </cell>
          <cell r="J25" t="str">
            <v>B000893, RIZKY</v>
          </cell>
          <cell r="K25" t="str">
            <v>mhmdrizky606</v>
          </cell>
          <cell r="L25" t="str">
            <v>Online Shop Shopee</v>
          </cell>
          <cell r="M25"/>
          <cell r="N25">
            <v>289121.25</v>
          </cell>
          <cell r="O25">
            <v>354750</v>
          </cell>
          <cell r="P25" t="str">
            <v>Selesai</v>
          </cell>
          <cell r="Q25">
            <v>298514</v>
          </cell>
        </row>
        <row r="26">
          <cell r="D26" t="str">
            <v>A25001913</v>
          </cell>
          <cell r="E26"/>
          <cell r="F26" t="str">
            <v>2509092S7VVTUJ</v>
          </cell>
          <cell r="G26" t="str">
            <v>Bellator 265 SC 25 X 200 ml</v>
          </cell>
          <cell r="H26" t="str">
            <v>10</v>
          </cell>
          <cell r="I26" t="str">
            <v>Btl</v>
          </cell>
          <cell r="J26" t="str">
            <v>B000892, WAHYU CAHYO</v>
          </cell>
          <cell r="K26" t="str">
            <v>keonkmas</v>
          </cell>
          <cell r="L26" t="str">
            <v>Online Shop Shopee</v>
          </cell>
          <cell r="M26"/>
          <cell r="N26">
            <v>586637</v>
          </cell>
          <cell r="O26">
            <v>719800</v>
          </cell>
          <cell r="P26" t="str">
            <v>Selesai</v>
          </cell>
          <cell r="Q26">
            <v>1528324</v>
          </cell>
        </row>
        <row r="27">
          <cell r="D27" t="str">
            <v>A25001914</v>
          </cell>
          <cell r="E27"/>
          <cell r="F27" t="str">
            <v>2509104JJE8UW2</v>
          </cell>
          <cell r="G27" t="str">
            <v>Akrostar 40 WP 60 X 40 gr*</v>
          </cell>
          <cell r="H27" t="str">
            <v>2</v>
          </cell>
          <cell r="I27" t="str">
            <v>Pack</v>
          </cell>
          <cell r="J27" t="str">
            <v>B000896, SUMARNI</v>
          </cell>
          <cell r="K27" t="str">
            <v>sunariyo718</v>
          </cell>
          <cell r="L27" t="str">
            <v>Online Shop Shopee</v>
          </cell>
          <cell r="M27"/>
          <cell r="N27">
            <v>81418.5</v>
          </cell>
          <cell r="O27">
            <v>99900</v>
          </cell>
          <cell r="P27" t="str">
            <v>Selesai</v>
          </cell>
          <cell r="Q27">
            <v>83165</v>
          </cell>
        </row>
        <row r="28">
          <cell r="D28" t="str">
            <v>A25001915</v>
          </cell>
          <cell r="E28"/>
          <cell r="F28" t="str">
            <v>2509104RRN5T44</v>
          </cell>
          <cell r="G28" t="str">
            <v>Aneto 50 EC 50 X 250 ml + Neptune 8 gr (M2U)*</v>
          </cell>
          <cell r="H28" t="str">
            <v>2</v>
          </cell>
          <cell r="I28" t="str">
            <v>Btl</v>
          </cell>
          <cell r="J28" t="str">
            <v>B000895, PUJIANTO</v>
          </cell>
          <cell r="K28" t="str">
            <v>au5rluay8z</v>
          </cell>
          <cell r="L28" t="str">
            <v>Online Shop Shopee</v>
          </cell>
          <cell r="M28"/>
          <cell r="N28">
            <v>158028.5</v>
          </cell>
          <cell r="O28">
            <v>193900</v>
          </cell>
          <cell r="P28" t="str">
            <v>Selesai</v>
          </cell>
          <cell r="Q28">
            <v>163564</v>
          </cell>
        </row>
        <row r="29">
          <cell r="D29" t="str">
            <v>A25001916</v>
          </cell>
          <cell r="E29"/>
          <cell r="F29" t="str">
            <v>250910653MEBH8</v>
          </cell>
          <cell r="G29" t="str">
            <v>Viaron 80 WP 40 X 250 gr</v>
          </cell>
          <cell r="H29" t="str">
            <v>1</v>
          </cell>
          <cell r="I29" t="str">
            <v>Pack</v>
          </cell>
          <cell r="J29" t="str">
            <v>B000899, MAMA NAJWA</v>
          </cell>
          <cell r="K29" t="str">
            <v>irilanwar747</v>
          </cell>
          <cell r="L29" t="str">
            <v>Online Shop Shopee</v>
          </cell>
          <cell r="M29"/>
          <cell r="N29">
            <v>51304.25</v>
          </cell>
          <cell r="O29">
            <v>62950</v>
          </cell>
          <cell r="P29" t="str">
            <v>Selesai</v>
          </cell>
          <cell r="Q29">
            <v>52258</v>
          </cell>
        </row>
        <row r="30">
          <cell r="D30" t="str">
            <v>A25001917</v>
          </cell>
          <cell r="E30"/>
          <cell r="F30" t="str">
            <v>2509118KBCHP6G</v>
          </cell>
          <cell r="G30" t="str">
            <v>Ganero 250 EC 40 X 250 ml*</v>
          </cell>
          <cell r="H30" t="str">
            <v>2</v>
          </cell>
          <cell r="I30" t="str">
            <v>Btl</v>
          </cell>
          <cell r="J30" t="str">
            <v>B000903, CIA</v>
          </cell>
          <cell r="K30" t="str">
            <v>ciaamstikaa</v>
          </cell>
          <cell r="L30" t="str">
            <v>Online Shop Shopee</v>
          </cell>
          <cell r="M30"/>
          <cell r="N30">
            <v>356888.5</v>
          </cell>
          <cell r="O30">
            <v>437900</v>
          </cell>
          <cell r="P30" t="str">
            <v>Selesai</v>
          </cell>
          <cell r="Q30">
            <v>377533</v>
          </cell>
        </row>
        <row r="31">
          <cell r="D31" t="str">
            <v>A25001918</v>
          </cell>
          <cell r="E31"/>
          <cell r="F31" t="str">
            <v>25091180UU0U9S</v>
          </cell>
          <cell r="G31" t="str">
            <v>Sintrop 80 WG 40 X 10 X 4 gr</v>
          </cell>
          <cell r="H31" t="str">
            <v>1</v>
          </cell>
          <cell r="I31" t="str">
            <v>Pack</v>
          </cell>
          <cell r="J31" t="str">
            <v>B000902, NASRUDIN</v>
          </cell>
          <cell r="K31" t="str">
            <v>j9puo8479a</v>
          </cell>
          <cell r="L31" t="str">
            <v>Online Shop Shopee</v>
          </cell>
          <cell r="M31"/>
          <cell r="N31">
            <v>17889.25</v>
          </cell>
          <cell r="O31">
            <v>21950</v>
          </cell>
          <cell r="P31" t="str">
            <v>Selesai</v>
          </cell>
          <cell r="Q31">
            <v>17847</v>
          </cell>
        </row>
        <row r="32">
          <cell r="D32" t="str">
            <v>A25001919</v>
          </cell>
          <cell r="E32"/>
          <cell r="F32" t="str">
            <v>2509129Y3XG244</v>
          </cell>
          <cell r="G32" t="str">
            <v>GG Akar 50 X 100 ml (M2U)*</v>
          </cell>
          <cell r="H32" t="str">
            <v>1</v>
          </cell>
          <cell r="I32" t="str">
            <v>Btl</v>
          </cell>
          <cell r="J32" t="str">
            <v>B000904, MARTIAM</v>
          </cell>
          <cell r="K32" t="str">
            <v>kangtiam</v>
          </cell>
          <cell r="L32" t="str">
            <v>Online Shop Shopee</v>
          </cell>
          <cell r="M32"/>
          <cell r="N32">
            <v>96944.25</v>
          </cell>
          <cell r="O32">
            <v>118950</v>
          </cell>
          <cell r="P32" t="str">
            <v>Selesai</v>
          </cell>
          <cell r="Q32">
            <v>101642</v>
          </cell>
        </row>
        <row r="33">
          <cell r="D33" t="str">
            <v>A25001922</v>
          </cell>
          <cell r="E33"/>
          <cell r="F33" t="str">
            <v>250912AMV597D7</v>
          </cell>
          <cell r="G33" t="str">
            <v>Elazaro 17/8 WG 10 X 20 X 10 gr*</v>
          </cell>
          <cell r="H33" t="str">
            <v>1</v>
          </cell>
          <cell r="I33" t="str">
            <v>Pack</v>
          </cell>
          <cell r="J33" t="str">
            <v>B000905, ABDUL MAJID</v>
          </cell>
          <cell r="K33" t="str">
            <v>dullahdullah699</v>
          </cell>
          <cell r="L33" t="str">
            <v>Online Shop Shopee</v>
          </cell>
          <cell r="M33"/>
          <cell r="N33">
            <v>32559.25</v>
          </cell>
          <cell r="O33">
            <v>39950</v>
          </cell>
          <cell r="P33" t="str">
            <v>Selesai</v>
          </cell>
          <cell r="Q33">
            <v>33507</v>
          </cell>
        </row>
        <row r="34">
          <cell r="D34" t="str">
            <v>A25001923</v>
          </cell>
          <cell r="E34"/>
          <cell r="F34" t="str">
            <v>250913CGN1T61A</v>
          </cell>
          <cell r="G34" t="str">
            <v>Gemilang 110 EC 16 X 1 ltr*</v>
          </cell>
          <cell r="H34" t="str">
            <v>2</v>
          </cell>
          <cell r="I34" t="str">
            <v>Btl</v>
          </cell>
          <cell r="J34" t="str">
            <v>B000907, ERIK KUSUMA/ HELMI</v>
          </cell>
          <cell r="K34" t="str">
            <v>kancing_emas</v>
          </cell>
          <cell r="L34" t="str">
            <v>Online Shop Shopee</v>
          </cell>
          <cell r="M34"/>
          <cell r="N34">
            <v>198778.5</v>
          </cell>
          <cell r="O34">
            <v>243900</v>
          </cell>
          <cell r="P34" t="str">
            <v>Selesai</v>
          </cell>
          <cell r="Q34">
            <v>0</v>
          </cell>
        </row>
        <row r="35">
          <cell r="D35" t="str">
            <v>A25001924</v>
          </cell>
          <cell r="E35"/>
          <cell r="F35" t="str">
            <v>250913CJB7KB83</v>
          </cell>
          <cell r="G35" t="str">
            <v>Elazaro 17/8 WG 10 X 20 X 50 gr*</v>
          </cell>
          <cell r="H35" t="str">
            <v>2</v>
          </cell>
          <cell r="I35" t="str">
            <v>Pack</v>
          </cell>
          <cell r="J35" t="str">
            <v>B000908, WIDYA KARULINA</v>
          </cell>
          <cell r="K35" t="str">
            <v>widya.kim</v>
          </cell>
          <cell r="L35" t="str">
            <v>Online Shop Shopee</v>
          </cell>
          <cell r="M35"/>
          <cell r="N35">
            <v>273758.5</v>
          </cell>
          <cell r="O35">
            <v>335900</v>
          </cell>
          <cell r="P35" t="str">
            <v>Selesai</v>
          </cell>
          <cell r="Q35">
            <v>290982</v>
          </cell>
        </row>
        <row r="36">
          <cell r="D36" t="str">
            <v>A25001925</v>
          </cell>
          <cell r="E36"/>
          <cell r="F36" t="str">
            <v>250913CRY53N9C</v>
          </cell>
          <cell r="G36" t="str">
            <v>Basfoliar Combi Stipp 20 X 500 ml*</v>
          </cell>
          <cell r="H36" t="str">
            <v>2</v>
          </cell>
          <cell r="I36" t="str">
            <v>Btl</v>
          </cell>
          <cell r="J36" t="str">
            <v>B000912, RAMZI</v>
          </cell>
          <cell r="K36" t="str">
            <v>alhadziq170</v>
          </cell>
          <cell r="L36" t="str">
            <v>Online Shop Shopee</v>
          </cell>
          <cell r="M36"/>
          <cell r="N36">
            <v>118908.5</v>
          </cell>
          <cell r="O36">
            <v>145900</v>
          </cell>
          <cell r="P36" t="str">
            <v>Selesai</v>
          </cell>
          <cell r="Q36">
            <v>124953</v>
          </cell>
        </row>
        <row r="37">
          <cell r="D37" t="str">
            <v>A25001926</v>
          </cell>
          <cell r="E37"/>
          <cell r="F37" t="str">
            <v>250913DFBAUPUT</v>
          </cell>
          <cell r="G37" t="str">
            <v>Pinamec 20 EC 40 X 250 ml (Hitam)</v>
          </cell>
          <cell r="H37" t="str">
            <v>1</v>
          </cell>
          <cell r="I37" t="str">
            <v>Btl</v>
          </cell>
          <cell r="J37" t="str">
            <v>B000911, ROBI</v>
          </cell>
          <cell r="K37" t="str">
            <v>tk0hsjmyig</v>
          </cell>
          <cell r="L37" t="str">
            <v>Online Shop Shopee</v>
          </cell>
          <cell r="M37"/>
          <cell r="N37">
            <v>51304.25</v>
          </cell>
          <cell r="O37">
            <v>62950</v>
          </cell>
          <cell r="P37" t="str">
            <v>Selesai</v>
          </cell>
          <cell r="Q37">
            <v>53517</v>
          </cell>
        </row>
        <row r="38">
          <cell r="D38" t="str">
            <v>A25001927</v>
          </cell>
          <cell r="E38"/>
          <cell r="F38" t="str">
            <v>250913DFFUVTC8</v>
          </cell>
          <cell r="G38" t="str">
            <v>Smk. Non Biji Barcelona 5 X 15 X 20 gr</v>
          </cell>
          <cell r="H38" t="str">
            <v>2</v>
          </cell>
          <cell r="I38" t="str">
            <v>Pack</v>
          </cell>
          <cell r="J38" t="str">
            <v>B000910, HERWIYANTO</v>
          </cell>
          <cell r="K38" t="str">
            <v>zy6csdhd15</v>
          </cell>
          <cell r="L38" t="str">
            <v>Online Shop Shopee</v>
          </cell>
          <cell r="M38"/>
          <cell r="N38">
            <v>391118.5</v>
          </cell>
          <cell r="O38">
            <v>479900</v>
          </cell>
          <cell r="P38" t="str">
            <v>Selesai</v>
          </cell>
          <cell r="Q38">
            <v>413863</v>
          </cell>
        </row>
        <row r="39">
          <cell r="D39" t="str">
            <v>A25001928</v>
          </cell>
          <cell r="E39"/>
          <cell r="F39" t="str">
            <v>580370924629165201</v>
          </cell>
          <cell r="G39" t="str">
            <v>Kingdom 550 SC 20 X 1 ltr*</v>
          </cell>
          <cell r="H39" t="str">
            <v>1</v>
          </cell>
          <cell r="I39" t="str">
            <v>Btl</v>
          </cell>
          <cell r="J39" t="str">
            <v>B000909, SUPIYOTO</v>
          </cell>
          <cell r="K39" t="str">
            <v>s*******</v>
          </cell>
          <cell r="L39" t="str">
            <v>Online Shop Tik tok</v>
          </cell>
          <cell r="M39"/>
          <cell r="N39">
            <v>96349.3</v>
          </cell>
          <cell r="O39">
            <v>118220</v>
          </cell>
          <cell r="P39" t="str">
            <v>Selesai</v>
          </cell>
          <cell r="Q39" t="e">
            <v>#N/A</v>
          </cell>
        </row>
        <row r="40">
          <cell r="D40" t="str">
            <v>A25001929</v>
          </cell>
          <cell r="E40"/>
          <cell r="F40" t="str">
            <v>580382876116485942</v>
          </cell>
          <cell r="G40" t="str">
            <v>Bellator 265 SC 25 X 200 ml</v>
          </cell>
          <cell r="H40" t="str">
            <v>1</v>
          </cell>
          <cell r="I40" t="str">
            <v>Btl</v>
          </cell>
          <cell r="J40" t="str">
            <v>B000913, YUSEP DIAN</v>
          </cell>
          <cell r="K40" t="str">
            <v>y**** d***</v>
          </cell>
          <cell r="L40" t="str">
            <v>Online Shop Tik tok</v>
          </cell>
          <cell r="M40"/>
          <cell r="N40">
            <v>152364.25</v>
          </cell>
          <cell r="O40">
            <v>186950</v>
          </cell>
          <cell r="P40" t="str">
            <v>Selesai</v>
          </cell>
          <cell r="Q40" t="e">
            <v>#N/A</v>
          </cell>
        </row>
        <row r="41">
          <cell r="D41" t="str">
            <v>A25001930</v>
          </cell>
          <cell r="E41"/>
          <cell r="F41" t="str">
            <v>250915JCP9DRQ8</v>
          </cell>
          <cell r="G41" t="str">
            <v>Macerio 52 WP 20 X 500 gr</v>
          </cell>
          <cell r="H41" t="str">
            <v>1</v>
          </cell>
          <cell r="I41" t="str">
            <v>Pack</v>
          </cell>
          <cell r="J41" t="str">
            <v>B000914, M. ANSORI</v>
          </cell>
          <cell r="K41" t="str">
            <v>jprig_3wia</v>
          </cell>
          <cell r="L41" t="str">
            <v>Online Shop Shopee</v>
          </cell>
          <cell r="M41"/>
          <cell r="N41">
            <v>146659.25</v>
          </cell>
          <cell r="O41">
            <v>179950</v>
          </cell>
          <cell r="P41" t="str">
            <v>Selesai</v>
          </cell>
          <cell r="Q41">
            <v>155307</v>
          </cell>
        </row>
        <row r="42">
          <cell r="D42" t="str">
            <v>A25001931</v>
          </cell>
          <cell r="E42"/>
          <cell r="F42" t="str">
            <v>250917PHN7D2YE</v>
          </cell>
          <cell r="G42" t="str">
            <v>Pinamec 20 EC 40 X 250 ml (Hitam)</v>
          </cell>
          <cell r="H42" t="str">
            <v>1</v>
          </cell>
          <cell r="I42" t="str">
            <v>Btl</v>
          </cell>
          <cell r="J42" t="str">
            <v>B000918, AHMAD RIZAL</v>
          </cell>
          <cell r="K42" t="str">
            <v>ahmadrizal078</v>
          </cell>
          <cell r="L42" t="str">
            <v>Online Shop Shopee</v>
          </cell>
          <cell r="M42"/>
          <cell r="N42">
            <v>51304.25</v>
          </cell>
          <cell r="O42">
            <v>62950</v>
          </cell>
          <cell r="P42" t="str">
            <v>Selesai</v>
          </cell>
          <cell r="Q42">
            <v>53517</v>
          </cell>
        </row>
        <row r="43">
          <cell r="D43" t="str">
            <v>A25001932</v>
          </cell>
          <cell r="E43"/>
          <cell r="F43" t="str">
            <v>250917QP2MTMG2</v>
          </cell>
          <cell r="G43" t="str">
            <v>BM Trox 200/125 SC 40 X 250 ml</v>
          </cell>
          <cell r="H43" t="str">
            <v>1</v>
          </cell>
          <cell r="I43" t="str">
            <v>Btl</v>
          </cell>
          <cell r="J43" t="str">
            <v>B000920, YULIAN AYU</v>
          </cell>
          <cell r="K43" t="str">
            <v>yulian.liand</v>
          </cell>
          <cell r="L43" t="str">
            <v>Online Shop Shopee</v>
          </cell>
          <cell r="M43"/>
          <cell r="N43">
            <v>128729.25</v>
          </cell>
          <cell r="O43">
            <v>157950</v>
          </cell>
          <cell r="P43" t="str">
            <v>Selesai</v>
          </cell>
          <cell r="Q43">
            <v>136167</v>
          </cell>
        </row>
        <row r="44">
          <cell r="D44" t="str">
            <v>A25001933</v>
          </cell>
          <cell r="E44"/>
          <cell r="F44" t="str">
            <v>250918S4WRHURH</v>
          </cell>
          <cell r="G44" t="str">
            <v>Knocker 40 X 200 ml*</v>
          </cell>
          <cell r="H44">
            <v>2</v>
          </cell>
          <cell r="I44" t="str">
            <v>Btl</v>
          </cell>
          <cell r="J44" t="str">
            <v>B000921, GIYANTO</v>
          </cell>
          <cell r="K44" t="str">
            <v>d544j6k_yp</v>
          </cell>
          <cell r="L44" t="str">
            <v>Online Shop Shopee</v>
          </cell>
          <cell r="M44"/>
          <cell r="N44">
            <v>293400</v>
          </cell>
          <cell r="O44">
            <v>360000</v>
          </cell>
          <cell r="P44" t="str">
            <v>Selesai</v>
          </cell>
          <cell r="Q44">
            <v>311950</v>
          </cell>
        </row>
        <row r="45">
          <cell r="D45" t="str">
            <v>A25001934</v>
          </cell>
          <cell r="E45"/>
          <cell r="F45" t="str">
            <v>250918TEH9SV9F</v>
          </cell>
          <cell r="G45" t="str">
            <v>Karimazu 590 EC 50 X 100 ml (Label Baru)*</v>
          </cell>
          <cell r="H45">
            <v>1</v>
          </cell>
          <cell r="I45" t="str">
            <v>Btl</v>
          </cell>
          <cell r="J45" t="str">
            <v>B000922, ELLY WAHYUDI</v>
          </cell>
          <cell r="K45" t="str">
            <v>rnb10w29od</v>
          </cell>
          <cell r="L45" t="str">
            <v>Online Shop Shopee</v>
          </cell>
          <cell r="M45"/>
          <cell r="N45">
            <v>23594.25</v>
          </cell>
          <cell r="O45">
            <v>28950</v>
          </cell>
          <cell r="P45" t="str">
            <v>Selesai</v>
          </cell>
          <cell r="Q45">
            <v>23937</v>
          </cell>
        </row>
        <row r="46">
          <cell r="D46" t="str">
            <v>A25001935</v>
          </cell>
          <cell r="E46"/>
          <cell r="F46" t="str">
            <v>250919US1SWFHK</v>
          </cell>
          <cell r="G46" t="str">
            <v>Winda 250 SC 20 X 250 ml*</v>
          </cell>
          <cell r="H46">
            <v>1</v>
          </cell>
          <cell r="I46" t="str">
            <v>Btl</v>
          </cell>
          <cell r="J46" t="str">
            <v>B000923, DYAS</v>
          </cell>
          <cell r="K46" t="str">
            <v>sahabatbonsai.id</v>
          </cell>
          <cell r="L46" t="str">
            <v>Online Shop Shopee</v>
          </cell>
          <cell r="M46"/>
          <cell r="N46">
            <v>73309.25</v>
          </cell>
          <cell r="O46">
            <v>89950</v>
          </cell>
          <cell r="P46" t="str">
            <v>Batal</v>
          </cell>
          <cell r="Q46" t="e">
            <v>#N/A</v>
          </cell>
        </row>
        <row r="47">
          <cell r="D47" t="str">
            <v>A25001938</v>
          </cell>
          <cell r="E47"/>
          <cell r="F47" t="str">
            <v>580448605003089780</v>
          </cell>
          <cell r="G47" t="str">
            <v>Oplosan 550/60 EC 20 X 400 ml</v>
          </cell>
          <cell r="H47" t="str">
            <v>1</v>
          </cell>
          <cell r="I47" t="str">
            <v>Btl</v>
          </cell>
          <cell r="J47" t="str">
            <v>B000928, ANDRI IRAWAN</v>
          </cell>
          <cell r="K47" t="str">
            <v>a**** i*****</v>
          </cell>
          <cell r="L47" t="str">
            <v>Online Shop Tik tok</v>
          </cell>
          <cell r="M47"/>
          <cell r="N47">
            <v>80644.25</v>
          </cell>
          <cell r="O47">
            <v>98950</v>
          </cell>
          <cell r="P47" t="str">
            <v>Dibatalkan</v>
          </cell>
          <cell r="Q47" t="e">
            <v>#N/A</v>
          </cell>
        </row>
        <row r="48">
          <cell r="D48" t="str">
            <v>A25001939</v>
          </cell>
          <cell r="E48"/>
          <cell r="F48" t="str">
            <v>250918TEH9SV9F</v>
          </cell>
          <cell r="G48" t="str">
            <v>Karimazu 590 EC 50 X 100 ml (Label Baru)*</v>
          </cell>
          <cell r="H48">
            <v>1</v>
          </cell>
          <cell r="I48" t="str">
            <v>Btl</v>
          </cell>
          <cell r="J48" t="str">
            <v>B000927, ELLY WAHYUDI</v>
          </cell>
          <cell r="K48" t="str">
            <v>rnb10w29od</v>
          </cell>
          <cell r="L48" t="str">
            <v>Online Shop Shopee</v>
          </cell>
          <cell r="M48"/>
          <cell r="N48">
            <v>23594.25</v>
          </cell>
          <cell r="O48">
            <v>28950</v>
          </cell>
          <cell r="P48" t="str">
            <v>Selesai</v>
          </cell>
          <cell r="Q48">
            <v>23937</v>
          </cell>
        </row>
        <row r="49">
          <cell r="D49" t="str">
            <v>A25001941</v>
          </cell>
          <cell r="E49"/>
          <cell r="F49" t="str">
            <v>250919V31PNKX6</v>
          </cell>
          <cell r="G49" t="str">
            <v>Winda 250 SC 50 X 100 ml*</v>
          </cell>
          <cell r="H49">
            <v>2</v>
          </cell>
          <cell r="I49" t="str">
            <v>Btl</v>
          </cell>
          <cell r="J49" t="str">
            <v>B000926, FITRIANTI</v>
          </cell>
          <cell r="K49" t="str">
            <v>f9upze6ljx</v>
          </cell>
          <cell r="L49" t="str">
            <v>Online Shop Shopee</v>
          </cell>
          <cell r="M49"/>
          <cell r="N49">
            <v>71638.5</v>
          </cell>
          <cell r="O49">
            <v>87900</v>
          </cell>
          <cell r="P49" t="str">
            <v>Selesai</v>
          </cell>
          <cell r="Q49">
            <v>74783</v>
          </cell>
        </row>
        <row r="50">
          <cell r="D50" t="str">
            <v>A25001943</v>
          </cell>
          <cell r="E50"/>
          <cell r="F50" t="str">
            <v>2509201DRBY15F</v>
          </cell>
          <cell r="G50" t="str">
            <v>Bellator 265 SC 25 X 200 ml</v>
          </cell>
          <cell r="H50">
            <v>1</v>
          </cell>
          <cell r="I50" t="str">
            <v>Btl</v>
          </cell>
          <cell r="J50" t="str">
            <v>B000930, YULIAN AYU</v>
          </cell>
          <cell r="K50" t="str">
            <v>yulian.liand</v>
          </cell>
          <cell r="L50" t="str">
            <v>Online Shop Shopee</v>
          </cell>
          <cell r="M50"/>
          <cell r="N50">
            <v>160962.5</v>
          </cell>
          <cell r="O50">
            <v>197500</v>
          </cell>
          <cell r="P50" t="str">
            <v>Selesai</v>
          </cell>
          <cell r="Q50">
            <v>170574</v>
          </cell>
        </row>
        <row r="51">
          <cell r="D51" t="str">
            <v>A25001944</v>
          </cell>
          <cell r="E51"/>
          <cell r="F51" t="str">
            <v>2509225X1GWAN3</v>
          </cell>
          <cell r="G51" t="str">
            <v>Winda 250 SC 20 X 250 ml*</v>
          </cell>
          <cell r="H51">
            <v>1</v>
          </cell>
          <cell r="I51" t="str">
            <v>Btl</v>
          </cell>
          <cell r="J51" t="str">
            <v>B000931, SUWARTINI</v>
          </cell>
          <cell r="K51" t="str">
            <v>niningswartini</v>
          </cell>
          <cell r="L51" t="str">
            <v>Online Shop Shopee</v>
          </cell>
          <cell r="M51"/>
          <cell r="N51">
            <v>73309.25</v>
          </cell>
          <cell r="O51">
            <v>89950</v>
          </cell>
          <cell r="P51" t="str">
            <v>Selesai</v>
          </cell>
          <cell r="Q51">
            <v>76557</v>
          </cell>
        </row>
        <row r="52">
          <cell r="D52" t="str">
            <v>A25001945</v>
          </cell>
          <cell r="E52"/>
          <cell r="F52" t="str">
            <v>2509227ANAGM54</v>
          </cell>
          <cell r="G52" t="str">
            <v>Agxanazol 200/150 SC 50 X 100 ml*</v>
          </cell>
          <cell r="H52">
            <v>1</v>
          </cell>
          <cell r="I52" t="str">
            <v>Btl</v>
          </cell>
          <cell r="J52" t="str">
            <v>B000935, AMAIK</v>
          </cell>
          <cell r="K52" t="str">
            <v>amaik_28</v>
          </cell>
          <cell r="L52" t="str">
            <v>Online Shop Shopee</v>
          </cell>
          <cell r="M52"/>
          <cell r="N52">
            <v>57009.25</v>
          </cell>
          <cell r="O52">
            <v>69950</v>
          </cell>
          <cell r="P52" t="str">
            <v>Selesai</v>
          </cell>
          <cell r="Q52">
            <v>59607</v>
          </cell>
        </row>
        <row r="53">
          <cell r="D53" t="str">
            <v>A25001946</v>
          </cell>
          <cell r="E53"/>
          <cell r="F53" t="str">
            <v>2509239E2K4XF4</v>
          </cell>
          <cell r="G53" t="str">
            <v>Basrata 150 SL 20 X 500 ml*</v>
          </cell>
          <cell r="H53">
            <v>4</v>
          </cell>
          <cell r="I53" t="str">
            <v>Btl</v>
          </cell>
          <cell r="J53" t="str">
            <v>B000936, NABILA MUBARANIS</v>
          </cell>
          <cell r="K53" t="str">
            <v>mubaranis</v>
          </cell>
          <cell r="L53" t="str">
            <v>Online Shop Shopee</v>
          </cell>
          <cell r="M53"/>
          <cell r="N53">
            <v>188917</v>
          </cell>
          <cell r="O53">
            <v>231800</v>
          </cell>
          <cell r="P53" t="str">
            <v>Selesai</v>
          </cell>
          <cell r="Q53">
            <v>200416</v>
          </cell>
        </row>
        <row r="54">
          <cell r="D54" t="str">
            <v>A25001947</v>
          </cell>
          <cell r="E54"/>
          <cell r="F54" t="str">
            <v>580503304445986333</v>
          </cell>
          <cell r="G54" t="str">
            <v>Bionik 400 EC 50 X 100 ml*</v>
          </cell>
          <cell r="H54" t="str">
            <v>1</v>
          </cell>
          <cell r="I54" t="str">
            <v>Btl</v>
          </cell>
          <cell r="J54" t="str">
            <v>B000938, PAISEH</v>
          </cell>
          <cell r="K54" t="str">
            <v>p*****</v>
          </cell>
          <cell r="L54" t="str">
            <v>Online Shop Tik tok</v>
          </cell>
          <cell r="M54"/>
          <cell r="N54">
            <v>17889.25</v>
          </cell>
          <cell r="O54">
            <v>21950</v>
          </cell>
          <cell r="P54" t="str">
            <v>Dibatalkan</v>
          </cell>
          <cell r="Q54" t="e">
            <v>#N/A</v>
          </cell>
        </row>
        <row r="55">
          <cell r="D55" t="str">
            <v>A25001948</v>
          </cell>
          <cell r="E55"/>
          <cell r="F55" t="str">
            <v>250924BHEMPKC2</v>
          </cell>
          <cell r="G55" t="str">
            <v>Money 865 SL 40 X 200 ml*</v>
          </cell>
          <cell r="H55">
            <v>15</v>
          </cell>
          <cell r="I55" t="str">
            <v>Btl</v>
          </cell>
          <cell r="J55" t="str">
            <v>B000939, TOKO ANTON</v>
          </cell>
          <cell r="K55" t="str">
            <v>c2wrgwhe40</v>
          </cell>
          <cell r="L55" t="str">
            <v>Online Shop Shopee</v>
          </cell>
          <cell r="M55"/>
          <cell r="N55">
            <v>366138.75</v>
          </cell>
          <cell r="O55">
            <v>449250</v>
          </cell>
          <cell r="P55" t="str">
            <v>Selesai</v>
          </cell>
          <cell r="Q55">
            <v>389597</v>
          </cell>
        </row>
        <row r="56">
          <cell r="D56" t="str">
            <v>A25001949</v>
          </cell>
          <cell r="E56"/>
          <cell r="F56" t="str">
            <v>250925DKT9MPVH</v>
          </cell>
          <cell r="G56" t="str">
            <v>Basfoliar Combi Stipp 20 X 500 ml*</v>
          </cell>
          <cell r="H56">
            <v>1</v>
          </cell>
          <cell r="I56" t="str">
            <v>Btl</v>
          </cell>
          <cell r="J56" t="str">
            <v>B000940, AFGAN</v>
          </cell>
          <cell r="K56" t="str">
            <v>afganfatan</v>
          </cell>
          <cell r="L56" t="str">
            <v>Online Shop Shopee</v>
          </cell>
          <cell r="M56"/>
          <cell r="N56">
            <v>61084.25</v>
          </cell>
          <cell r="O56">
            <v>74950</v>
          </cell>
          <cell r="P56" t="str">
            <v>Selesai</v>
          </cell>
          <cell r="Q56">
            <v>61852</v>
          </cell>
        </row>
        <row r="57">
          <cell r="D57" t="str">
            <v>A25001950</v>
          </cell>
          <cell r="E57"/>
          <cell r="F57" t="str">
            <v>580528185749767237</v>
          </cell>
          <cell r="G57" t="str">
            <v>Papandayan 486 SL 20 X 1 ltr</v>
          </cell>
          <cell r="H57" t="str">
            <v>8</v>
          </cell>
          <cell r="I57" t="str">
            <v>Btl</v>
          </cell>
          <cell r="J57" t="str">
            <v>B000941, MARZONI ARDIANSYAH</v>
          </cell>
          <cell r="K57" t="str">
            <v>m****** A*********</v>
          </cell>
          <cell r="L57" t="str">
            <v>Online Shop Tik tok</v>
          </cell>
          <cell r="M57"/>
          <cell r="N57">
            <v>384354</v>
          </cell>
          <cell r="O57">
            <v>471600</v>
          </cell>
          <cell r="P57" t="str">
            <v>Selesai</v>
          </cell>
          <cell r="Q57" t="e">
            <v>#N/A</v>
          </cell>
        </row>
        <row r="58">
          <cell r="D58" t="str">
            <v>A25001955</v>
          </cell>
          <cell r="E58"/>
          <cell r="F58" t="str">
            <v>250927J92YMSN8</v>
          </cell>
          <cell r="G58" t="str">
            <v>Knocker 40 X 200 ml*</v>
          </cell>
          <cell r="H58">
            <v>1</v>
          </cell>
          <cell r="I58" t="str">
            <v>Btl</v>
          </cell>
          <cell r="J58" t="str">
            <v>B000945, NOFITA</v>
          </cell>
          <cell r="K58" t="str">
            <v>1d9qp4de0r</v>
          </cell>
          <cell r="L58" t="str">
            <v>Online Shop Shopee</v>
          </cell>
          <cell r="M58"/>
          <cell r="N58">
            <v>146700</v>
          </cell>
          <cell r="O58">
            <v>180000</v>
          </cell>
          <cell r="P58" t="str">
            <v>Selesai</v>
          </cell>
          <cell r="Q58">
            <v>155350</v>
          </cell>
        </row>
        <row r="59">
          <cell r="D59" t="str">
            <v>A25001956</v>
          </cell>
          <cell r="E59"/>
          <cell r="F59" t="str">
            <v>250926H5HW57NH</v>
          </cell>
          <cell r="G59" t="str">
            <v>Amira 10 X 500 ml*</v>
          </cell>
          <cell r="H59">
            <v>1</v>
          </cell>
          <cell r="I59" t="str">
            <v>Btl</v>
          </cell>
          <cell r="J59" t="str">
            <v>B000944, ZAN AHMAD</v>
          </cell>
          <cell r="K59" t="str">
            <v>zan.ahmad</v>
          </cell>
          <cell r="L59" t="str">
            <v>Online Shop Shopee</v>
          </cell>
          <cell r="M59"/>
          <cell r="N59">
            <v>130359.25</v>
          </cell>
          <cell r="O59">
            <v>159950</v>
          </cell>
          <cell r="P59" t="str">
            <v>Selesai</v>
          </cell>
          <cell r="Q59">
            <v>137107</v>
          </cell>
        </row>
        <row r="60">
          <cell r="D60" t="str">
            <v>A25001957</v>
          </cell>
          <cell r="E60"/>
          <cell r="F60" t="str">
            <v>250927JJA6RDFC</v>
          </cell>
          <cell r="G60" t="str">
            <v>Fonium 200 SL 20 X 1 ltr</v>
          </cell>
          <cell r="H60">
            <v>20</v>
          </cell>
          <cell r="I60" t="str">
            <v>Btl</v>
          </cell>
          <cell r="J60" t="str">
            <v>B000946, HAIDIR/SARI</v>
          </cell>
          <cell r="K60" t="str">
            <v>fitriafatimah09</v>
          </cell>
          <cell r="L60" t="str">
            <v>Online Shop Shopee</v>
          </cell>
          <cell r="M60"/>
          <cell r="N60">
            <v>1287700</v>
          </cell>
          <cell r="O60">
            <v>1580000</v>
          </cell>
          <cell r="P60" t="str">
            <v>Selesai</v>
          </cell>
          <cell r="Q60">
            <v>1389150</v>
          </cell>
        </row>
        <row r="61">
          <cell r="D61" t="str">
            <v>A25001958</v>
          </cell>
          <cell r="E61"/>
          <cell r="F61" t="str">
            <v>580542521639535820</v>
          </cell>
          <cell r="G61" t="str">
            <v>Bellator 265 SC 25 X 200 ml</v>
          </cell>
          <cell r="H61" t="str">
            <v>3</v>
          </cell>
          <cell r="I61" t="str">
            <v>Btl</v>
          </cell>
          <cell r="J61" t="str">
            <v>B000947, DWI BAGUS</v>
          </cell>
          <cell r="K61" t="str">
            <v>D** B**** Y</v>
          </cell>
          <cell r="L61" t="str">
            <v>Online Shop Tik tok</v>
          </cell>
          <cell r="M61"/>
          <cell r="N61">
            <v>454647.75</v>
          </cell>
          <cell r="O61">
            <v>557850</v>
          </cell>
          <cell r="P61" t="str">
            <v>Selesai</v>
          </cell>
          <cell r="Q61" t="str">
            <v>483885</v>
          </cell>
        </row>
        <row r="62">
          <cell r="D62" t="str">
            <v>A25001959</v>
          </cell>
          <cell r="E62"/>
          <cell r="F62" t="str">
            <v>250927KM6CDXVN</v>
          </cell>
          <cell r="G62" t="str">
            <v>Aneto 50 EC 50 X 250 ml + Neptune 8 gr (M2U)*</v>
          </cell>
          <cell r="H62">
            <v>1</v>
          </cell>
          <cell r="I62" t="str">
            <v>Btl</v>
          </cell>
          <cell r="J62" t="str">
            <v>B000952, SARNO</v>
          </cell>
          <cell r="K62" t="str">
            <v>mbendueljoyo</v>
          </cell>
          <cell r="L62" t="str">
            <v>Online Shop Shopee</v>
          </cell>
          <cell r="M62"/>
          <cell r="N62">
            <v>81459.25</v>
          </cell>
          <cell r="O62">
            <v>99950</v>
          </cell>
          <cell r="P62" t="str">
            <v>Selesai</v>
          </cell>
          <cell r="Q62">
            <v>85707</v>
          </cell>
        </row>
        <row r="63">
          <cell r="D63" t="str">
            <v>A25001960</v>
          </cell>
          <cell r="E63"/>
          <cell r="F63" t="str">
            <v>250928NTAPR7GF</v>
          </cell>
          <cell r="G63" t="str">
            <v>Termikon 15 EC 20 X 400 ml</v>
          </cell>
          <cell r="H63">
            <v>4</v>
          </cell>
          <cell r="I63" t="str">
            <v>Btl</v>
          </cell>
          <cell r="J63" t="str">
            <v>B000951, AMALIA</v>
          </cell>
          <cell r="K63" t="str">
            <v>amaliafarid</v>
          </cell>
          <cell r="L63" t="str">
            <v>Online Shop Shopee</v>
          </cell>
          <cell r="M63"/>
          <cell r="N63">
            <v>143277</v>
          </cell>
          <cell r="O63">
            <v>175800</v>
          </cell>
          <cell r="P63" t="str">
            <v>Selesai</v>
          </cell>
          <cell r="Q63">
            <v>151696</v>
          </cell>
        </row>
        <row r="64">
          <cell r="D64" t="str">
            <v>A25001961</v>
          </cell>
          <cell r="E64"/>
          <cell r="F64" t="str">
            <v>250928P0RJSQSE</v>
          </cell>
          <cell r="G64" t="str">
            <v>Gallery 403 SL 30 X 500 ml + SG.02 100 gr (M2U)</v>
          </cell>
          <cell r="H64">
            <v>1</v>
          </cell>
          <cell r="I64" t="str">
            <v>Btl</v>
          </cell>
          <cell r="J64" t="str">
            <v>B000950, YULIAN AYU</v>
          </cell>
          <cell r="K64" t="str">
            <v>yulian.liand</v>
          </cell>
          <cell r="L64" t="str">
            <v>Online Shop Shopee</v>
          </cell>
          <cell r="M64"/>
          <cell r="N64">
            <v>59454.25</v>
          </cell>
          <cell r="O64">
            <v>72950</v>
          </cell>
          <cell r="P64" t="str">
            <v>Selesai</v>
          </cell>
          <cell r="Q64">
            <v>62217</v>
          </cell>
        </row>
        <row r="65">
          <cell r="D65" t="str">
            <v>A25001962</v>
          </cell>
          <cell r="E65"/>
          <cell r="F65" t="str">
            <v>580561143719364125</v>
          </cell>
          <cell r="G65" t="str">
            <v>Bionik 400 EC 50 X 100 ml*</v>
          </cell>
          <cell r="H65" t="str">
            <v>1</v>
          </cell>
          <cell r="I65" t="str">
            <v>Btl</v>
          </cell>
          <cell r="J65" t="str">
            <v>B000948, FAISEH</v>
          </cell>
          <cell r="K65" t="str">
            <v>f*****</v>
          </cell>
          <cell r="L65" t="str">
            <v>Online Shop Tik tok</v>
          </cell>
          <cell r="M65"/>
          <cell r="N65">
            <v>17889.25</v>
          </cell>
          <cell r="O65">
            <v>21950</v>
          </cell>
          <cell r="P65" t="str">
            <v>Selesai</v>
          </cell>
          <cell r="Q65">
            <v>17737</v>
          </cell>
        </row>
        <row r="66">
          <cell r="D66" t="str">
            <v>A25001963</v>
          </cell>
          <cell r="E66"/>
          <cell r="F66" t="str">
            <v>250928P5C4CW3E</v>
          </cell>
          <cell r="G66" t="str">
            <v>GA Recovery 20 X 500 ml*</v>
          </cell>
          <cell r="H66">
            <v>1</v>
          </cell>
          <cell r="I66" t="str">
            <v>Btl</v>
          </cell>
          <cell r="J66" t="str">
            <v>B000949, DEWI LAISKOOLAT</v>
          </cell>
          <cell r="K66" t="str">
            <v>hhrnr7q68d</v>
          </cell>
          <cell r="L66" t="str">
            <v>Online Shop Shopee</v>
          </cell>
          <cell r="M66"/>
          <cell r="N66">
            <v>69234.25</v>
          </cell>
          <cell r="O66">
            <v>84950</v>
          </cell>
          <cell r="P66" t="str">
            <v>Selesai</v>
          </cell>
          <cell r="Q66">
            <v>72232</v>
          </cell>
        </row>
        <row r="67">
          <cell r="D67" t="str">
            <v>A25001964</v>
          </cell>
          <cell r="E67"/>
          <cell r="F67" t="str">
            <v>250929QT8MJ48A</v>
          </cell>
          <cell r="G67" t="str">
            <v>Paket Mitiside 40/240 SC 50 X 100 ml + Qaishar 10 WP 100 gr</v>
          </cell>
          <cell r="H67">
            <v>1</v>
          </cell>
          <cell r="I67" t="str">
            <v>Paket</v>
          </cell>
          <cell r="J67" t="str">
            <v>B000954, UUT</v>
          </cell>
          <cell r="K67" t="str">
            <v>rolisprasetyo</v>
          </cell>
          <cell r="L67" t="str">
            <v>Online Shop Shopee</v>
          </cell>
          <cell r="M67"/>
          <cell r="N67">
            <v>132804.25</v>
          </cell>
          <cell r="O67">
            <v>162950</v>
          </cell>
          <cell r="P67" t="str">
            <v>Selesai</v>
          </cell>
          <cell r="Q67">
            <v>140517</v>
          </cell>
        </row>
        <row r="68">
          <cell r="D68" t="str">
            <v>A25001965</v>
          </cell>
          <cell r="E68"/>
          <cell r="F68" t="str">
            <v>250929R56KGYP8</v>
          </cell>
          <cell r="G68" t="str">
            <v>Wendry 75 WP 100 X 100 gr (M2U)</v>
          </cell>
          <cell r="H68">
            <v>1</v>
          </cell>
          <cell r="I68" t="str">
            <v>Pack</v>
          </cell>
          <cell r="J68" t="str">
            <v>B000955, I KADEK</v>
          </cell>
          <cell r="K68" t="str">
            <v>kadekjanuartha</v>
          </cell>
          <cell r="L68" t="str">
            <v>Online Shop Shopee</v>
          </cell>
          <cell r="M68"/>
          <cell r="N68">
            <v>32559.25</v>
          </cell>
          <cell r="O68">
            <v>39950</v>
          </cell>
          <cell r="P68" t="str">
            <v>Selesai</v>
          </cell>
          <cell r="Q68">
            <v>33507</v>
          </cell>
        </row>
        <row r="69">
          <cell r="D69" t="str">
            <v>A25001966</v>
          </cell>
          <cell r="E69"/>
          <cell r="F69" t="str">
            <v>580584415682660208</v>
          </cell>
          <cell r="G69" t="str">
            <v>Greenforce 20 X 500 ml*</v>
          </cell>
          <cell r="H69" t="str">
            <v>1</v>
          </cell>
          <cell r="I69" t="str">
            <v>Btl</v>
          </cell>
          <cell r="J69" t="str">
            <v>B000957, VJ OTAI</v>
          </cell>
          <cell r="K69" t="str">
            <v>v* o***</v>
          </cell>
          <cell r="L69" t="str">
            <v>Online Shop Tik tok</v>
          </cell>
          <cell r="M69"/>
          <cell r="N69">
            <v>70864.25</v>
          </cell>
          <cell r="O69">
            <v>86950</v>
          </cell>
          <cell r="P69" t="str">
            <v>Selesai</v>
          </cell>
          <cell r="Q69">
            <v>73962</v>
          </cell>
        </row>
        <row r="70">
          <cell r="D70" t="str">
            <v>A25001967</v>
          </cell>
          <cell r="E70"/>
          <cell r="F70" t="str">
            <v>250930U43Y5RVY</v>
          </cell>
          <cell r="G70" t="str">
            <v>Asia Top 288 SL 4 X 5 ltr*</v>
          </cell>
          <cell r="H70">
            <v>1</v>
          </cell>
          <cell r="I70" t="str">
            <v>Gal</v>
          </cell>
          <cell r="J70" t="str">
            <v>B000960, JUSRAYANI</v>
          </cell>
          <cell r="K70" t="str">
            <v>jusryani</v>
          </cell>
          <cell r="L70" t="str">
            <v>Online Shop Shopee</v>
          </cell>
          <cell r="M70"/>
          <cell r="N70">
            <v>211859.25</v>
          </cell>
          <cell r="O70">
            <v>259950</v>
          </cell>
          <cell r="P70" t="str">
            <v>Selesai</v>
          </cell>
          <cell r="Q70">
            <v>224907</v>
          </cell>
        </row>
        <row r="71">
          <cell r="D71" t="str">
            <v>A25001968</v>
          </cell>
          <cell r="E71"/>
          <cell r="F71" t="str">
            <v>580592155698758707</v>
          </cell>
          <cell r="G71" t="str">
            <v>Ratgone 0.005 BB 10 X 1 kg</v>
          </cell>
          <cell r="H71" t="str">
            <v>1</v>
          </cell>
          <cell r="I71" t="str">
            <v>Pack</v>
          </cell>
          <cell r="J71" t="str">
            <v>B000959, FADELA</v>
          </cell>
          <cell r="K71" t="str">
            <v>f****</v>
          </cell>
          <cell r="L71" t="str">
            <v>Online Shop Tik tok</v>
          </cell>
          <cell r="M71"/>
          <cell r="N71">
            <v>44784.25</v>
          </cell>
          <cell r="O71">
            <v>54950</v>
          </cell>
          <cell r="P71" t="str">
            <v>Selesai</v>
          </cell>
          <cell r="Q71">
            <v>46282</v>
          </cell>
        </row>
        <row r="72">
          <cell r="D72" t="str">
            <v>A25001969</v>
          </cell>
          <cell r="E72"/>
          <cell r="F72" t="str">
            <v>250930TQ47EMT9</v>
          </cell>
          <cell r="G72" t="str">
            <v>Paket Mitiside 40/240 SC 40 X 200 ml + Qaishar 10 WP 200 gr</v>
          </cell>
          <cell r="H72">
            <v>1</v>
          </cell>
          <cell r="I72" t="str">
            <v>Paket</v>
          </cell>
          <cell r="J72" t="str">
            <v>B000958, JUHARI</v>
          </cell>
          <cell r="K72" t="str">
            <v>5lkhn2ajac</v>
          </cell>
          <cell r="L72" t="str">
            <v>Online Shop Shopee</v>
          </cell>
          <cell r="M72"/>
          <cell r="N72">
            <v>242829.25</v>
          </cell>
          <cell r="O72">
            <v>297950</v>
          </cell>
          <cell r="P72" t="str">
            <v>Selesai</v>
          </cell>
          <cell r="Q72">
            <v>257967</v>
          </cell>
        </row>
        <row r="73">
          <cell r="D73" t="str">
            <v>A25001970</v>
          </cell>
          <cell r="E73"/>
          <cell r="F73" t="str">
            <v>2510021K5QH9AH</v>
          </cell>
          <cell r="G73" t="str">
            <v>Wendry 75 WP 100 X 100 gr (M2U)</v>
          </cell>
          <cell r="H73">
            <v>1</v>
          </cell>
          <cell r="I73" t="str">
            <v>Pack</v>
          </cell>
          <cell r="J73" t="str">
            <v>B000965, ANI INAYATI</v>
          </cell>
          <cell r="K73" t="str">
            <v>2l_c0m3age</v>
          </cell>
          <cell r="L73" t="str">
            <v>Online Shop Shopee</v>
          </cell>
          <cell r="M73"/>
          <cell r="N73">
            <v>25631.75</v>
          </cell>
          <cell r="O73">
            <v>31450</v>
          </cell>
          <cell r="P73" t="str">
            <v>Selesai</v>
          </cell>
          <cell r="Q73">
            <v>33507</v>
          </cell>
        </row>
        <row r="74">
          <cell r="D74" t="str">
            <v>A25001971</v>
          </cell>
          <cell r="E74"/>
          <cell r="F74" t="str">
            <v>2510010QVRGPVA</v>
          </cell>
          <cell r="G74" t="str">
            <v>Winda 250 SC 50 X 100 ml*</v>
          </cell>
          <cell r="H74">
            <v>1</v>
          </cell>
          <cell r="I74" t="str">
            <v>Btl</v>
          </cell>
          <cell r="J74" t="str">
            <v>B000964, RIS</v>
          </cell>
          <cell r="K74" t="str">
            <v>x1ws6ijq9t</v>
          </cell>
          <cell r="L74" t="str">
            <v>Online Shop Shopee</v>
          </cell>
          <cell r="M74"/>
          <cell r="N74">
            <v>34531.550000000003</v>
          </cell>
          <cell r="O74">
            <v>42370</v>
          </cell>
          <cell r="P74" t="str">
            <v>Selesai</v>
          </cell>
          <cell r="Q74">
            <v>36767</v>
          </cell>
        </row>
        <row r="75">
          <cell r="D75" t="str">
            <v>A25001972</v>
          </cell>
          <cell r="E75"/>
          <cell r="F75" t="str">
            <v>2510010D2GNTP0</v>
          </cell>
          <cell r="G75" t="str">
            <v>Money 865 SL 20 X 1 ltr*</v>
          </cell>
          <cell r="H75">
            <v>1</v>
          </cell>
          <cell r="I75" t="str">
            <v>Btl</v>
          </cell>
          <cell r="J75" t="str">
            <v>B000963, ASTI MELIA</v>
          </cell>
          <cell r="K75" t="str">
            <v>waizalqurnie26</v>
          </cell>
          <cell r="L75" t="str">
            <v>Online Shop Shopee</v>
          </cell>
          <cell r="M75"/>
          <cell r="N75">
            <v>69112</v>
          </cell>
          <cell r="O75">
            <v>84800</v>
          </cell>
          <cell r="P75" t="str">
            <v>Selesai</v>
          </cell>
          <cell r="Q75">
            <v>83967</v>
          </cell>
        </row>
        <row r="76">
          <cell r="D76" t="str">
            <v>A25001973</v>
          </cell>
          <cell r="E76"/>
          <cell r="F76" t="str">
            <v>2510034W3USHBN</v>
          </cell>
          <cell r="G76" t="str">
            <v>Score 250 EC 50 X 80 ml</v>
          </cell>
          <cell r="H76" t="e">
            <v>#N/A</v>
          </cell>
          <cell r="I76" t="str">
            <v>Btl</v>
          </cell>
          <cell r="J76" t="str">
            <v>B000967, PENDI SAPUTRA</v>
          </cell>
          <cell r="K76" t="e">
            <v>#N/A</v>
          </cell>
          <cell r="L76" t="str">
            <v>Online Shop Shopee</v>
          </cell>
          <cell r="M76"/>
          <cell r="N76">
            <v>54377.614999999998</v>
          </cell>
          <cell r="O76">
            <v>66721</v>
          </cell>
          <cell r="P76" t="str">
            <v>Selesai</v>
          </cell>
          <cell r="Q76">
            <v>208960</v>
          </cell>
        </row>
        <row r="77">
          <cell r="D77" t="str">
            <v>A25001974</v>
          </cell>
          <cell r="E77"/>
          <cell r="F77" t="str">
            <v>251003515K4BA7</v>
          </cell>
          <cell r="G77" t="str">
            <v>Vista 400 SL 50 X 200 ml*</v>
          </cell>
          <cell r="H77" t="e">
            <v>#N/A</v>
          </cell>
          <cell r="I77" t="str">
            <v>Btl</v>
          </cell>
          <cell r="J77" t="str">
            <v>B000968, MUZNA UMAM</v>
          </cell>
          <cell r="K77" t="e">
            <v>#N/A</v>
          </cell>
          <cell r="L77" t="str">
            <v>Online Shop Shopee</v>
          </cell>
          <cell r="M77"/>
          <cell r="N77">
            <v>18298.38</v>
          </cell>
          <cell r="O77">
            <v>22452</v>
          </cell>
          <cell r="P77" t="str">
            <v>Selesai</v>
          </cell>
          <cell r="Q77">
            <v>18283</v>
          </cell>
        </row>
        <row r="78">
          <cell r="D78" t="str">
            <v>A25001978</v>
          </cell>
          <cell r="E78"/>
          <cell r="F78" t="str">
            <v>251004758G4M47</v>
          </cell>
          <cell r="G78" t="str">
            <v>Termikon 15 EC 20 X 400 ml</v>
          </cell>
          <cell r="H78" t="e">
            <v>#N/A</v>
          </cell>
          <cell r="I78" t="str">
            <v>Btl</v>
          </cell>
          <cell r="J78" t="str">
            <v>B000969, ERWIN SITUMORANG</v>
          </cell>
          <cell r="K78" t="e">
            <v>#N/A</v>
          </cell>
          <cell r="L78" t="str">
            <v>Online Shop Shopee</v>
          </cell>
          <cell r="M78"/>
          <cell r="N78">
            <v>27577.154999999999</v>
          </cell>
          <cell r="O78">
            <v>33837</v>
          </cell>
          <cell r="P78" t="str">
            <v>Selesai</v>
          </cell>
          <cell r="Q78">
            <v>28188</v>
          </cell>
        </row>
        <row r="79">
          <cell r="D79" t="str">
            <v>A25001984</v>
          </cell>
          <cell r="E79"/>
          <cell r="F79" t="str">
            <v>25100596M6QT94</v>
          </cell>
          <cell r="G79" t="str">
            <v>Winda 250 SC 10 X 500 ml*</v>
          </cell>
          <cell r="H79" t="e">
            <v>#N/A</v>
          </cell>
          <cell r="I79" t="str">
            <v>Btl</v>
          </cell>
          <cell r="J79" t="str">
            <v>B000973, AAN AGUS MUSTOFA</v>
          </cell>
          <cell r="K79" t="e">
            <v>#N/A</v>
          </cell>
          <cell r="L79" t="str">
            <v>Online Shop Shopee</v>
          </cell>
          <cell r="M79"/>
          <cell r="N79">
            <v>332947.875</v>
          </cell>
          <cell r="O79">
            <v>408525</v>
          </cell>
          <cell r="P79" t="str">
            <v>Selesai</v>
          </cell>
          <cell r="Q79">
            <v>352124</v>
          </cell>
        </row>
        <row r="80">
          <cell r="D80" t="str">
            <v>A25001981</v>
          </cell>
          <cell r="E80"/>
          <cell r="F80" t="str">
            <v>251006B1FVMY7H</v>
          </cell>
          <cell r="G80" t="str">
            <v>Gemilang 110 EC 16 X 1 ltr*</v>
          </cell>
          <cell r="H80" t="e">
            <v>#N/A</v>
          </cell>
          <cell r="I80" t="str">
            <v>Btl</v>
          </cell>
          <cell r="J80" t="str">
            <v>B000974, JELOK</v>
          </cell>
          <cell r="K80" t="e">
            <v>#N/A</v>
          </cell>
          <cell r="L80" t="str">
            <v>Online Shop Shopee</v>
          </cell>
          <cell r="M80"/>
          <cell r="N80">
            <v>96320.774999999994</v>
          </cell>
          <cell r="O80">
            <v>118185</v>
          </cell>
          <cell r="P80" t="str">
            <v>Selesai</v>
          </cell>
          <cell r="Q80">
            <v>101571</v>
          </cell>
        </row>
        <row r="81">
          <cell r="D81" t="str">
            <v>A25001979</v>
          </cell>
          <cell r="E81"/>
          <cell r="F81" t="str">
            <v>251006BVQDW3K7</v>
          </cell>
          <cell r="G81" t="str">
            <v>Termikon 15 EC 20 X 400 ml</v>
          </cell>
          <cell r="H81" t="e">
            <v>#N/A</v>
          </cell>
          <cell r="I81" t="str">
            <v>Btl</v>
          </cell>
          <cell r="J81" t="str">
            <v>B000975, SYAIFULLAHYUNUSALI</v>
          </cell>
          <cell r="K81" t="e">
            <v>#N/A</v>
          </cell>
          <cell r="L81" t="str">
            <v>Online Shop Shopee</v>
          </cell>
          <cell r="M81"/>
          <cell r="N81">
            <v>27577.154999999999</v>
          </cell>
          <cell r="O81">
            <v>33837</v>
          </cell>
          <cell r="P81" t="str">
            <v>Selesai</v>
          </cell>
          <cell r="Q81">
            <v>28188</v>
          </cell>
        </row>
        <row r="82">
          <cell r="D82" t="str">
            <v>A25001982</v>
          </cell>
          <cell r="E82"/>
          <cell r="F82" t="str">
            <v>2510059FQFVX8J</v>
          </cell>
          <cell r="G82" t="str">
            <v>Viaron 80 WP 40 X 250 gr</v>
          </cell>
          <cell r="H82" t="e">
            <v>#N/A</v>
          </cell>
          <cell r="I82" t="str">
            <v>Pack</v>
          </cell>
          <cell r="J82" t="str">
            <v>B000972, MARIA SINTA</v>
          </cell>
          <cell r="K82" t="e">
            <v>#N/A</v>
          </cell>
          <cell r="L82" t="str">
            <v>Online Shop Shopee</v>
          </cell>
          <cell r="M82"/>
          <cell r="N82">
            <v>46574.805</v>
          </cell>
          <cell r="O82">
            <v>57147</v>
          </cell>
          <cell r="P82" t="str">
            <v>Selesai</v>
          </cell>
          <cell r="Q82">
            <v>48468</v>
          </cell>
        </row>
        <row r="83">
          <cell r="D83" t="str">
            <v>A25001980</v>
          </cell>
          <cell r="E83"/>
          <cell r="F83" t="str">
            <v>2510047NJ581K4</v>
          </cell>
          <cell r="G83" t="str">
            <v>Sintrop 80 WG 40 X 10 X 4 gr</v>
          </cell>
          <cell r="H83" t="e">
            <v>#N/A</v>
          </cell>
          <cell r="I83" t="str">
            <v>Pack</v>
          </cell>
          <cell r="J83" t="str">
            <v>B000970, PAK WIDI</v>
          </cell>
          <cell r="K83" t="e">
            <v>#N/A</v>
          </cell>
          <cell r="L83" t="str">
            <v>Online Shop Shopee</v>
          </cell>
          <cell r="M83"/>
          <cell r="N83">
            <v>14633.325000000001</v>
          </cell>
          <cell r="O83">
            <v>17955</v>
          </cell>
          <cell r="P83" t="str">
            <v>Selesai</v>
          </cell>
          <cell r="Q83">
            <v>14370</v>
          </cell>
        </row>
        <row r="84">
          <cell r="D84" t="str">
            <v>A25001983</v>
          </cell>
          <cell r="E84"/>
          <cell r="F84" t="str">
            <v>2510047Y8X4R6Y</v>
          </cell>
          <cell r="G84" t="str">
            <v>Pinamec 20 EC 40 X 250 ml (Hitam)</v>
          </cell>
          <cell r="H84" t="e">
            <v>#N/A</v>
          </cell>
          <cell r="I84" t="str">
            <v>Btl</v>
          </cell>
          <cell r="J84" t="str">
            <v>B000971, HAIKAL</v>
          </cell>
          <cell r="K84" t="e">
            <v>#N/A</v>
          </cell>
          <cell r="L84" t="str">
            <v>Online Shop Shopee</v>
          </cell>
          <cell r="M84"/>
          <cell r="N84">
            <v>40291.154999999999</v>
          </cell>
          <cell r="O84">
            <v>49437</v>
          </cell>
          <cell r="P84" t="str">
            <v>Selesai</v>
          </cell>
          <cell r="Q84">
            <v>41760</v>
          </cell>
        </row>
        <row r="85">
          <cell r="D85" t="str">
            <v>A25001985</v>
          </cell>
          <cell r="E85"/>
          <cell r="F85" t="str">
            <v>251007EHYUR4HJ</v>
          </cell>
          <cell r="G85" t="str">
            <v>Winda 250 SC 10 X 500 ml*</v>
          </cell>
          <cell r="H85" t="e">
            <v>#N/A</v>
          </cell>
          <cell r="I85" t="str">
            <v>Btl</v>
          </cell>
          <cell r="J85" t="str">
            <v>B000977, NUR KHOLIP</v>
          </cell>
          <cell r="K85" t="e">
            <v>#N/A</v>
          </cell>
          <cell r="L85" t="str">
            <v>Online Shop Shopee</v>
          </cell>
          <cell r="M85"/>
          <cell r="N85">
            <v>221965.25</v>
          </cell>
          <cell r="O85">
            <v>272350</v>
          </cell>
          <cell r="P85" t="str">
            <v>Selesai</v>
          </cell>
          <cell r="Q85">
            <v>234333</v>
          </cell>
        </row>
        <row r="86">
          <cell r="D86" t="str">
            <v>A25001986</v>
          </cell>
          <cell r="E86"/>
          <cell r="F86" t="str">
            <v>251007ESBSY3JU</v>
          </cell>
          <cell r="G86" t="str">
            <v>Emclopir 300/20 EC 20 X 250 ml*</v>
          </cell>
          <cell r="H86" t="e">
            <v>#N/A</v>
          </cell>
          <cell r="I86" t="str">
            <v>Btl</v>
          </cell>
          <cell r="J86" t="str">
            <v>B000980, JIHAN AZIZAH</v>
          </cell>
          <cell r="K86" t="e">
            <v>#N/A</v>
          </cell>
          <cell r="L86" t="str">
            <v>Online Shop Shopee</v>
          </cell>
          <cell r="M86"/>
          <cell r="N86">
            <v>1595362.5</v>
          </cell>
          <cell r="O86">
            <v>1957500</v>
          </cell>
          <cell r="P86" t="str">
            <v>Selesai</v>
          </cell>
          <cell r="Q86">
            <v>1701774</v>
          </cell>
        </row>
        <row r="87">
          <cell r="D87" t="str">
            <v>A25001987</v>
          </cell>
          <cell r="E87"/>
          <cell r="F87" t="str">
            <v>251007EWKG3RAG</v>
          </cell>
          <cell r="G87" t="str">
            <v>New Felo 02 30-10-10 30 X 500 gr</v>
          </cell>
          <cell r="H87" t="e">
            <v>#N/A</v>
          </cell>
          <cell r="I87" t="str">
            <v>Pack</v>
          </cell>
          <cell r="J87" t="str">
            <v>B000981, SABARITA</v>
          </cell>
          <cell r="K87" t="e">
            <v>#N/A</v>
          </cell>
          <cell r="L87" t="str">
            <v>Online Shop Shopee</v>
          </cell>
          <cell r="M87"/>
          <cell r="N87">
            <v>48146.125</v>
          </cell>
          <cell r="O87">
            <v>59075</v>
          </cell>
          <cell r="P87" t="str">
            <v>Selesai</v>
          </cell>
          <cell r="Q87">
            <v>49850</v>
          </cell>
        </row>
        <row r="88">
          <cell r="D88" t="str">
            <v>A25001988</v>
          </cell>
          <cell r="E88"/>
          <cell r="F88" t="str">
            <v>251007FUR2PARB</v>
          </cell>
          <cell r="G88" t="str">
            <v>Omni-Net 40 SP 100 X 100 gr*</v>
          </cell>
          <cell r="H88" t="e">
            <v>#N/A</v>
          </cell>
          <cell r="I88" t="str">
            <v>Pack</v>
          </cell>
          <cell r="J88" t="str">
            <v>B000982, SRI/WANDI</v>
          </cell>
          <cell r="K88" t="e">
            <v>#N/A</v>
          </cell>
          <cell r="L88" t="str">
            <v>Online Shop Shopee</v>
          </cell>
          <cell r="M88"/>
          <cell r="N88">
            <v>43928.5</v>
          </cell>
          <cell r="O88">
            <v>53900</v>
          </cell>
          <cell r="P88" t="str">
            <v>Selesai</v>
          </cell>
          <cell r="Q88">
            <v>45642</v>
          </cell>
        </row>
        <row r="89">
          <cell r="D89" t="str">
            <v>A25001989</v>
          </cell>
          <cell r="E89"/>
          <cell r="F89" t="str">
            <v>251009KERBWDQ0</v>
          </cell>
          <cell r="G89" t="str">
            <v>Megaxone 135 SL 20 X 1 ltr*</v>
          </cell>
          <cell r="H89" t="e">
            <v>#N/A</v>
          </cell>
          <cell r="I89" t="str">
            <v>Btl</v>
          </cell>
          <cell r="J89" t="str">
            <v>B000985, AMEL</v>
          </cell>
          <cell r="K89" t="e">
            <v>#N/A</v>
          </cell>
          <cell r="L89" t="str">
            <v>Online Shop Shopee</v>
          </cell>
          <cell r="M89"/>
          <cell r="N89">
            <v>31389.724999999999</v>
          </cell>
          <cell r="O89">
            <v>38515</v>
          </cell>
          <cell r="P89" t="str">
            <v>Selesai</v>
          </cell>
          <cell r="Q89">
            <v>32258</v>
          </cell>
        </row>
        <row r="90">
          <cell r="D90" t="str">
            <v>A25001990</v>
          </cell>
          <cell r="E90"/>
          <cell r="F90" t="str">
            <v>251008J91GW0P6</v>
          </cell>
          <cell r="G90" t="str">
            <v>Pinamec 20 EC 40 X 250 ml (Hitam)</v>
          </cell>
          <cell r="H90" t="e">
            <v>#N/A</v>
          </cell>
          <cell r="I90" t="str">
            <v>Btl</v>
          </cell>
          <cell r="J90" t="str">
            <v>B000986, FAUZY SYAFAK/MISTAR</v>
          </cell>
          <cell r="K90" t="e">
            <v>#N/A</v>
          </cell>
          <cell r="L90" t="str">
            <v>Online Shop Shopee</v>
          </cell>
          <cell r="M90"/>
          <cell r="N90">
            <v>40291.154999999999</v>
          </cell>
          <cell r="O90">
            <v>49437</v>
          </cell>
          <cell r="P90" t="str">
            <v>Selesai</v>
          </cell>
          <cell r="Q90">
            <v>41760</v>
          </cell>
        </row>
        <row r="91">
          <cell r="D91" t="str">
            <v>A25001991</v>
          </cell>
          <cell r="E91"/>
          <cell r="F91" t="str">
            <v>251009MFPK5PSA</v>
          </cell>
          <cell r="G91" t="str">
            <v>A-PlusCal 20 X 250 gr*</v>
          </cell>
          <cell r="H91" t="e">
            <v>#N/A</v>
          </cell>
          <cell r="I91" t="str">
            <v>Pack</v>
          </cell>
          <cell r="J91" t="str">
            <v>B000992, KOMARUDIN</v>
          </cell>
          <cell r="K91" t="e">
            <v>#N/A</v>
          </cell>
          <cell r="L91" t="str">
            <v>Online Shop Shopee</v>
          </cell>
          <cell r="M91"/>
          <cell r="N91">
            <v>159128.75</v>
          </cell>
          <cell r="O91">
            <v>195250</v>
          </cell>
          <cell r="P91" t="str">
            <v>Selesai</v>
          </cell>
          <cell r="Q91">
            <v>167641</v>
          </cell>
        </row>
        <row r="92">
          <cell r="D92" t="str">
            <v>A25001992</v>
          </cell>
          <cell r="E92"/>
          <cell r="F92" t="str">
            <v>251009MSP4HX2B</v>
          </cell>
          <cell r="G92" t="str">
            <v>Unigo 400/40 EC 25 X 400 ml*</v>
          </cell>
          <cell r="H92" t="e">
            <v>#N/A</v>
          </cell>
          <cell r="I92" t="str">
            <v>Btl</v>
          </cell>
          <cell r="J92" t="str">
            <v>B000991, WAHYO</v>
          </cell>
          <cell r="K92" t="e">
            <v>#N/A</v>
          </cell>
          <cell r="L92" t="str">
            <v>Online Shop Shopee</v>
          </cell>
          <cell r="M92"/>
          <cell r="N92">
            <v>69091.625</v>
          </cell>
          <cell r="O92">
            <v>84775</v>
          </cell>
          <cell r="P92" t="str">
            <v>Selesai</v>
          </cell>
          <cell r="Q92">
            <v>72504</v>
          </cell>
        </row>
        <row r="93">
          <cell r="D93" t="str">
            <v>A25001993</v>
          </cell>
          <cell r="E93"/>
          <cell r="F93" t="str">
            <v>251009MVMNKMRP</v>
          </cell>
          <cell r="G93" t="str">
            <v>Ambest 100 ME 40 X 250 ml</v>
          </cell>
          <cell r="H93" t="e">
            <v>#N/A</v>
          </cell>
          <cell r="I93" t="str">
            <v>Btl</v>
          </cell>
          <cell r="J93" t="str">
            <v>B000990, CHANDRA HALIM PRATAMA</v>
          </cell>
          <cell r="K93" t="e">
            <v>#N/A</v>
          </cell>
          <cell r="L93" t="str">
            <v>Online Shop Shopee</v>
          </cell>
          <cell r="M93"/>
          <cell r="N93">
            <v>189528.25</v>
          </cell>
          <cell r="O93">
            <v>232550</v>
          </cell>
          <cell r="P93" t="str">
            <v>Selesai</v>
          </cell>
          <cell r="Q93">
            <v>201069</v>
          </cell>
        </row>
        <row r="94">
          <cell r="D94" t="str">
            <v>A25001994</v>
          </cell>
          <cell r="E94"/>
          <cell r="F94" t="str">
            <v>251010PABHMWYQ</v>
          </cell>
          <cell r="G94" t="str">
            <v>Termikon 15 EC 20 X 400 ml</v>
          </cell>
          <cell r="H94" t="e">
            <v>#N/A</v>
          </cell>
          <cell r="I94" t="str">
            <v>Btl</v>
          </cell>
          <cell r="J94" t="str">
            <v>B000993, ALFI</v>
          </cell>
          <cell r="K94" t="e">
            <v>#N/A</v>
          </cell>
          <cell r="L94" t="str">
            <v>Online Shop Shopee</v>
          </cell>
          <cell r="M94"/>
          <cell r="N94">
            <v>27577.154999999999</v>
          </cell>
          <cell r="O94">
            <v>33837</v>
          </cell>
          <cell r="P94" t="str">
            <v>Selesai</v>
          </cell>
          <cell r="Q94">
            <v>28188</v>
          </cell>
        </row>
        <row r="95">
          <cell r="D95" t="str">
            <v>A25001981</v>
          </cell>
          <cell r="E95"/>
          <cell r="F95" t="str">
            <v>251006B1FVMY7H</v>
          </cell>
          <cell r="G95" t="str">
            <v>Gemilang 110 EC 16 X 1 ltr*</v>
          </cell>
          <cell r="H95" t="e">
            <v>#N/A</v>
          </cell>
          <cell r="I95" t="str">
            <v>Btl</v>
          </cell>
          <cell r="J95" t="str">
            <v>B000974, JELOK</v>
          </cell>
          <cell r="K95" t="e">
            <v>#N/A</v>
          </cell>
          <cell r="L95" t="str">
            <v>Online Shop Shopee</v>
          </cell>
          <cell r="M95"/>
          <cell r="N95">
            <v>96320.774999999994</v>
          </cell>
          <cell r="O95">
            <v>118185</v>
          </cell>
          <cell r="P95" t="str">
            <v>Selesai</v>
          </cell>
          <cell r="Q95">
            <v>101571</v>
          </cell>
        </row>
        <row r="96">
          <cell r="D96" t="str">
            <v>A25001979</v>
          </cell>
          <cell r="E96"/>
          <cell r="F96" t="str">
            <v>251006BVQDW3K7</v>
          </cell>
          <cell r="G96" t="str">
            <v>Termikon 15 EC 20 X 400 ml</v>
          </cell>
          <cell r="H96" t="e">
            <v>#N/A</v>
          </cell>
          <cell r="I96" t="str">
            <v>Btl</v>
          </cell>
          <cell r="J96" t="str">
            <v>B000975, SYAIFULLAHYUNUSALI</v>
          </cell>
          <cell r="K96" t="e">
            <v>#N/A</v>
          </cell>
          <cell r="L96" t="str">
            <v>Online Shop Shopee</v>
          </cell>
          <cell r="M96"/>
          <cell r="N96">
            <v>27577.154999999999</v>
          </cell>
          <cell r="O96">
            <v>33837</v>
          </cell>
          <cell r="P96" t="str">
            <v>Selesai</v>
          </cell>
          <cell r="Q96">
            <v>28188</v>
          </cell>
        </row>
        <row r="97">
          <cell r="D97" t="str">
            <v>A25001982</v>
          </cell>
          <cell r="E97"/>
          <cell r="F97" t="str">
            <v>2510059FQFVX8J</v>
          </cell>
          <cell r="G97" t="str">
            <v>Viaron 80 WP 40 X 250 gr</v>
          </cell>
          <cell r="H97" t="e">
            <v>#N/A</v>
          </cell>
          <cell r="I97" t="str">
            <v>Pack</v>
          </cell>
          <cell r="J97" t="str">
            <v>B000972, MARIA SINTA</v>
          </cell>
          <cell r="K97" t="e">
            <v>#N/A</v>
          </cell>
          <cell r="L97" t="str">
            <v>Online Shop Shopee</v>
          </cell>
          <cell r="M97"/>
          <cell r="N97">
            <v>46574.805</v>
          </cell>
          <cell r="O97">
            <v>57147</v>
          </cell>
          <cell r="P97" t="str">
            <v>Selesai</v>
          </cell>
          <cell r="Q97">
            <v>48468</v>
          </cell>
        </row>
        <row r="98">
          <cell r="D98" t="str">
            <v>A25001980</v>
          </cell>
          <cell r="E98"/>
          <cell r="F98" t="str">
            <v>2510047NJ581K4</v>
          </cell>
          <cell r="G98" t="str">
            <v>Sintrop 80 WG 40 X 10 X 4 gr</v>
          </cell>
          <cell r="H98" t="e">
            <v>#N/A</v>
          </cell>
          <cell r="I98" t="str">
            <v>Pack</v>
          </cell>
          <cell r="J98" t="str">
            <v>B000970, PAK WIDI</v>
          </cell>
          <cell r="K98" t="e">
            <v>#N/A</v>
          </cell>
          <cell r="L98" t="str">
            <v>Online Shop Shopee</v>
          </cell>
          <cell r="M98"/>
          <cell r="N98">
            <v>14633.325000000001</v>
          </cell>
          <cell r="O98">
            <v>17955</v>
          </cell>
          <cell r="P98" t="str">
            <v>Selesai</v>
          </cell>
          <cell r="Q98">
            <v>14370</v>
          </cell>
        </row>
        <row r="99">
          <cell r="D99" t="str">
            <v>A25001983</v>
          </cell>
          <cell r="E99"/>
          <cell r="F99" t="str">
            <v>251008J91GW0P6</v>
          </cell>
          <cell r="G99" t="str">
            <v>Pinamec 20 EC 40 X 250 ml (Hitam)</v>
          </cell>
          <cell r="H99" t="e">
            <v>#N/A</v>
          </cell>
          <cell r="I99" t="str">
            <v>Btl</v>
          </cell>
          <cell r="J99" t="str">
            <v>B000971, HAIKAL</v>
          </cell>
          <cell r="K99" t="e">
            <v>#N/A</v>
          </cell>
          <cell r="L99" t="str">
            <v>Online Shop Shopee</v>
          </cell>
          <cell r="M99"/>
          <cell r="N99">
            <v>40291.154999999999</v>
          </cell>
          <cell r="O99">
            <v>49437</v>
          </cell>
          <cell r="P99" t="str">
            <v>Selesai</v>
          </cell>
          <cell r="Q99">
            <v>41760</v>
          </cell>
        </row>
        <row r="100">
          <cell r="D100" t="str">
            <v>A25001985</v>
          </cell>
          <cell r="E100"/>
          <cell r="F100" t="str">
            <v>251007EHYUR4HJ</v>
          </cell>
          <cell r="G100" t="str">
            <v>Winda 250 SC 10 X 500 ml*</v>
          </cell>
          <cell r="H100" t="e">
            <v>#N/A</v>
          </cell>
          <cell r="I100" t="str">
            <v>Btl</v>
          </cell>
          <cell r="J100" t="str">
            <v>B000977, NUR KHOLIP</v>
          </cell>
          <cell r="K100" t="e">
            <v>#N/A</v>
          </cell>
          <cell r="L100" t="str">
            <v>Online Shop Shopee</v>
          </cell>
          <cell r="M100"/>
          <cell r="N100">
            <v>221965.25</v>
          </cell>
          <cell r="O100">
            <v>272350</v>
          </cell>
          <cell r="P100" t="str">
            <v>Selesai</v>
          </cell>
          <cell r="Q100">
            <v>234333</v>
          </cell>
        </row>
        <row r="101">
          <cell r="D101" t="str">
            <v>A25001986</v>
          </cell>
          <cell r="E101"/>
          <cell r="F101" t="str">
            <v>251007ESBSY3JU</v>
          </cell>
          <cell r="G101" t="str">
            <v>Emclopir 300/20 EC 20 X 250 ml*</v>
          </cell>
          <cell r="H101" t="e">
            <v>#N/A</v>
          </cell>
          <cell r="I101" t="str">
            <v>Btl</v>
          </cell>
          <cell r="J101" t="str">
            <v>B000980, JIHAN AZIZAH</v>
          </cell>
          <cell r="K101" t="e">
            <v>#N/A</v>
          </cell>
          <cell r="L101" t="str">
            <v>Online Shop Shopee</v>
          </cell>
          <cell r="M101"/>
          <cell r="N101">
            <v>1595362.5</v>
          </cell>
          <cell r="O101">
            <v>1957500</v>
          </cell>
          <cell r="P101" t="str">
            <v>Selesai</v>
          </cell>
          <cell r="Q101">
            <v>1701774</v>
          </cell>
        </row>
        <row r="102">
          <cell r="D102" t="str">
            <v>A25001987</v>
          </cell>
          <cell r="E102"/>
          <cell r="F102" t="str">
            <v>251007EWKG3RAG</v>
          </cell>
          <cell r="G102" t="str">
            <v>New Felo 02 30-10-10 30 X 500 gr</v>
          </cell>
          <cell r="H102" t="e">
            <v>#N/A</v>
          </cell>
          <cell r="I102" t="str">
            <v>Pack</v>
          </cell>
          <cell r="J102" t="str">
            <v>B000981, SABARITA</v>
          </cell>
          <cell r="K102" t="e">
            <v>#N/A</v>
          </cell>
          <cell r="L102" t="str">
            <v>Online Shop Shopee</v>
          </cell>
          <cell r="M102"/>
          <cell r="N102">
            <v>48146.125</v>
          </cell>
          <cell r="O102">
            <v>59075</v>
          </cell>
          <cell r="P102" t="str">
            <v>Selesai</v>
          </cell>
          <cell r="Q102">
            <v>49850</v>
          </cell>
        </row>
        <row r="103">
          <cell r="D103" t="str">
            <v>A25001988</v>
          </cell>
          <cell r="E103"/>
          <cell r="F103" t="str">
            <v>251007FUR2PARB</v>
          </cell>
          <cell r="G103" t="str">
            <v>Omni-Net 40 SP 100 X 100 gr*</v>
          </cell>
          <cell r="H103" t="e">
            <v>#N/A</v>
          </cell>
          <cell r="I103" t="str">
            <v>Pack</v>
          </cell>
          <cell r="J103" t="str">
            <v>B000982, SRI/WANDI</v>
          </cell>
          <cell r="K103" t="e">
            <v>#N/A</v>
          </cell>
          <cell r="L103" t="str">
            <v>Online Shop Shopee</v>
          </cell>
          <cell r="M103"/>
          <cell r="N103">
            <v>43928.5</v>
          </cell>
          <cell r="O103">
            <v>53900</v>
          </cell>
          <cell r="P103" t="str">
            <v>Selesai</v>
          </cell>
          <cell r="Q103">
            <v>45642</v>
          </cell>
        </row>
        <row r="104">
          <cell r="D104" t="str">
            <v>A25001989</v>
          </cell>
          <cell r="E104"/>
          <cell r="F104" t="str">
            <v>251009KERBWDQ0</v>
          </cell>
          <cell r="G104" t="str">
            <v>Megaxone 135 SL 20 X 1 ltr*</v>
          </cell>
          <cell r="H104" t="e">
            <v>#N/A</v>
          </cell>
          <cell r="I104" t="str">
            <v>Btl</v>
          </cell>
          <cell r="J104" t="str">
            <v>B000985, AMEL</v>
          </cell>
          <cell r="K104" t="e">
            <v>#N/A</v>
          </cell>
          <cell r="L104" t="str">
            <v>Online Shop Shopee</v>
          </cell>
          <cell r="M104"/>
          <cell r="N104">
            <v>31389.724999999999</v>
          </cell>
          <cell r="O104">
            <v>38515</v>
          </cell>
          <cell r="P104" t="str">
            <v>Selesai</v>
          </cell>
          <cell r="Q104">
            <v>32258</v>
          </cell>
        </row>
        <row r="105">
          <cell r="D105" t="str">
            <v>A25001990</v>
          </cell>
          <cell r="E105"/>
          <cell r="F105" t="str">
            <v>251008J91GW0P6</v>
          </cell>
          <cell r="G105" t="str">
            <v>Pinamec 20 EC 40 X 250 ml (Hitam)</v>
          </cell>
          <cell r="H105" t="e">
            <v>#N/A</v>
          </cell>
          <cell r="I105" t="str">
            <v>Btl</v>
          </cell>
          <cell r="J105" t="str">
            <v>B000986, FAUZY SYAFAK/MISTAR</v>
          </cell>
          <cell r="K105" t="e">
            <v>#N/A</v>
          </cell>
          <cell r="L105" t="str">
            <v>Online Shop Shopee</v>
          </cell>
          <cell r="M105"/>
          <cell r="N105">
            <v>40291.154999999999</v>
          </cell>
          <cell r="O105">
            <v>49437</v>
          </cell>
          <cell r="P105" t="str">
            <v>Selesai</v>
          </cell>
          <cell r="Q105">
            <v>41760</v>
          </cell>
        </row>
        <row r="106">
          <cell r="D106" t="str">
            <v>A25001991</v>
          </cell>
          <cell r="E106"/>
          <cell r="F106" t="str">
            <v>251009MFPK5PSA</v>
          </cell>
          <cell r="G106" t="str">
            <v>A-PlusCal 20 X 250 gr*</v>
          </cell>
          <cell r="H106" t="e">
            <v>#N/A</v>
          </cell>
          <cell r="I106" t="str">
            <v>Pack</v>
          </cell>
          <cell r="J106" t="str">
            <v>B000992, KOMARUDIN</v>
          </cell>
          <cell r="K106" t="e">
            <v>#N/A</v>
          </cell>
          <cell r="L106" t="str">
            <v>Online Shop Shopee</v>
          </cell>
          <cell r="M106"/>
          <cell r="N106">
            <v>159128.75</v>
          </cell>
          <cell r="O106">
            <v>195250</v>
          </cell>
          <cell r="P106" t="str">
            <v>Selesai</v>
          </cell>
          <cell r="Q106">
            <v>167641</v>
          </cell>
        </row>
        <row r="107">
          <cell r="D107" t="str">
            <v>A25001992</v>
          </cell>
          <cell r="E107"/>
          <cell r="F107" t="str">
            <v>251009MSP4HX2B</v>
          </cell>
          <cell r="G107" t="str">
            <v>Unigo 400/40 EC 25 X 400 ml*</v>
          </cell>
          <cell r="H107" t="e">
            <v>#N/A</v>
          </cell>
          <cell r="I107" t="str">
            <v>Btl</v>
          </cell>
          <cell r="J107" t="str">
            <v>B000991, WAHYO</v>
          </cell>
          <cell r="K107" t="e">
            <v>#N/A</v>
          </cell>
          <cell r="L107" t="str">
            <v>Online Shop Shopee</v>
          </cell>
          <cell r="M107"/>
          <cell r="N107">
            <v>69091.625</v>
          </cell>
          <cell r="O107">
            <v>84775</v>
          </cell>
          <cell r="P107" t="str">
            <v>Selesai</v>
          </cell>
          <cell r="Q107">
            <v>72504</v>
          </cell>
        </row>
        <row r="108">
          <cell r="D108" t="str">
            <v>A25001994</v>
          </cell>
          <cell r="E108"/>
          <cell r="F108" t="str">
            <v>251006BVQDW3K7</v>
          </cell>
          <cell r="G108" t="str">
            <v>Termikon 15 EC 20 X 400 ml</v>
          </cell>
          <cell r="H108" t="e">
            <v>#N/A</v>
          </cell>
          <cell r="I108" t="str">
            <v>Btl</v>
          </cell>
          <cell r="J108" t="str">
            <v>B000993, ALFI</v>
          </cell>
          <cell r="K108" t="e">
            <v>#N/A</v>
          </cell>
          <cell r="L108" t="str">
            <v>Online Shop Shopee</v>
          </cell>
          <cell r="M108"/>
          <cell r="N108">
            <v>27577.154999999999</v>
          </cell>
          <cell r="O108">
            <v>33837</v>
          </cell>
          <cell r="P108" t="str">
            <v>Selesai</v>
          </cell>
          <cell r="Q108">
            <v>28188</v>
          </cell>
        </row>
        <row r="109">
          <cell r="D109" t="str">
            <v>A25001993</v>
          </cell>
          <cell r="E109"/>
          <cell r="F109" t="str">
            <v>251009MVMNKMRP</v>
          </cell>
          <cell r="G109" t="str">
            <v>Ambest 100 ME 40 X 250 ml</v>
          </cell>
          <cell r="H109" t="e">
            <v>#N/A</v>
          </cell>
          <cell r="I109" t="str">
            <v>Btl</v>
          </cell>
          <cell r="J109" t="str">
            <v>B000990, CHANDRA HALIM PRATAMA</v>
          </cell>
          <cell r="K109" t="e">
            <v>#N/A</v>
          </cell>
          <cell r="L109" t="str">
            <v>Online Shop Shopee</v>
          </cell>
          <cell r="M109"/>
          <cell r="N109">
            <v>189528.25</v>
          </cell>
          <cell r="O109">
            <v>232550</v>
          </cell>
          <cell r="P109" t="str">
            <v>Selesai</v>
          </cell>
          <cell r="Q109">
            <v>201069</v>
          </cell>
        </row>
        <row r="110">
          <cell r="D110" t="str">
            <v>A25001994</v>
          </cell>
          <cell r="E110"/>
          <cell r="F110" t="str">
            <v>251011R7EPFWKB</v>
          </cell>
          <cell r="G110" t="str">
            <v>Termikon 15 EC 20 X 400 ml</v>
          </cell>
          <cell r="H110" t="e">
            <v>#N/A</v>
          </cell>
          <cell r="I110" t="str">
            <v>Btl</v>
          </cell>
          <cell r="J110" t="str">
            <v>B000993, ALFI</v>
          </cell>
          <cell r="K110" t="e">
            <v>#N/A</v>
          </cell>
          <cell r="L110" t="str">
            <v>Online Shop Shopee</v>
          </cell>
          <cell r="M110"/>
          <cell r="N110">
            <v>27577.154999999999</v>
          </cell>
          <cell r="O110">
            <v>33837</v>
          </cell>
          <cell r="P110" t="str">
            <v>Selesai</v>
          </cell>
          <cell r="Q110">
            <v>28188</v>
          </cell>
        </row>
        <row r="111">
          <cell r="D111" t="str">
            <v>A25001998</v>
          </cell>
          <cell r="E111"/>
          <cell r="F111" t="str">
            <v>251010PABHMWYQ</v>
          </cell>
          <cell r="G111" t="str">
            <v>Termikon 15 EC 20 X 400 ml</v>
          </cell>
          <cell r="H111" t="e">
            <v>#N/A</v>
          </cell>
          <cell r="I111" t="str">
            <v>Btl</v>
          </cell>
          <cell r="J111" t="str">
            <v>B000996, A. HARUN ARROSID</v>
          </cell>
          <cell r="K111" t="e">
            <v>#N/A</v>
          </cell>
          <cell r="L111" t="str">
            <v>Online Shop Shopee</v>
          </cell>
          <cell r="M111"/>
          <cell r="N111">
            <v>27577.154999999999</v>
          </cell>
          <cell r="O111">
            <v>33837</v>
          </cell>
          <cell r="P111" t="str">
            <v>Selesai</v>
          </cell>
          <cell r="Q111">
            <v>28188</v>
          </cell>
        </row>
        <row r="112">
          <cell r="D112" t="str">
            <v>A25001999</v>
          </cell>
          <cell r="E112"/>
          <cell r="F112" t="str">
            <v>251010QJ2NRE2W</v>
          </cell>
          <cell r="G112" t="str">
            <v>Herole Plus 100/20 SC 64 X 100 ml</v>
          </cell>
          <cell r="H112" t="e">
            <v>#N/A</v>
          </cell>
          <cell r="I112" t="str">
            <v>Btl</v>
          </cell>
          <cell r="J112" t="str">
            <v>B000995, HANAFI</v>
          </cell>
          <cell r="K112" t="e">
            <v>#N/A</v>
          </cell>
          <cell r="L112" t="str">
            <v>Online Shop Shopee</v>
          </cell>
          <cell r="M112"/>
          <cell r="N112">
            <v>74328</v>
          </cell>
          <cell r="O112">
            <v>91200</v>
          </cell>
          <cell r="P112" t="str">
            <v>Selesai</v>
          </cell>
          <cell r="Q112">
            <v>78094</v>
          </cell>
        </row>
        <row r="113">
          <cell r="D113" t="str">
            <v>A25002000</v>
          </cell>
          <cell r="E113"/>
          <cell r="F113" t="str">
            <v>251010QAQ4UETH</v>
          </cell>
          <cell r="G113" t="str">
            <v>Gibas 240 SL 20 X 1 ltr*</v>
          </cell>
          <cell r="H113" t="e">
            <v>#N/A</v>
          </cell>
          <cell r="I113" t="str">
            <v>Btl</v>
          </cell>
          <cell r="J113" t="str">
            <v>B000994, INA DESI DUHA</v>
          </cell>
          <cell r="K113" t="e">
            <v>#N/A</v>
          </cell>
          <cell r="L113" t="str">
            <v>Online Shop Shopee</v>
          </cell>
          <cell r="M113"/>
          <cell r="N113">
            <v>30865.68</v>
          </cell>
          <cell r="O113">
            <v>37872</v>
          </cell>
          <cell r="P113" t="str">
            <v>Selesai</v>
          </cell>
          <cell r="Q113">
            <v>31699</v>
          </cell>
        </row>
        <row r="114">
          <cell r="D114" t="str">
            <v>A25002001</v>
          </cell>
          <cell r="E114"/>
          <cell r="F114" t="str">
            <v>580724741052859486</v>
          </cell>
          <cell r="G114" t="str">
            <v>Kingdom 550 SC 20 X 1 ltr*</v>
          </cell>
          <cell r="H114" t="str">
            <v>1</v>
          </cell>
          <cell r="I114" t="str">
            <v>Btl</v>
          </cell>
          <cell r="J114" t="str">
            <v>B000997, USOP.SUP</v>
          </cell>
          <cell r="K114" t="str">
            <v>s* j**</v>
          </cell>
          <cell r="L114" t="str">
            <v>Online Shop Tik tok</v>
          </cell>
          <cell r="M114"/>
          <cell r="N114">
            <v>96349.3</v>
          </cell>
          <cell r="O114">
            <v>118220</v>
          </cell>
          <cell r="P114" t="str">
            <v>Dikirim</v>
          </cell>
          <cell r="Q114">
            <v>99047</v>
          </cell>
        </row>
        <row r="115">
          <cell r="D115" t="str">
            <v>A25002002</v>
          </cell>
          <cell r="E115"/>
          <cell r="F115" t="str">
            <v>251012UJFW7NX7</v>
          </cell>
          <cell r="G115" t="str">
            <v>Basvidor 25 WP 100 X 100 gr*</v>
          </cell>
          <cell r="H115" t="e">
            <v>#N/A</v>
          </cell>
          <cell r="I115" t="str">
            <v>Pack</v>
          </cell>
          <cell r="J115" t="str">
            <v>B000998, NUKE IRAWATIE</v>
          </cell>
          <cell r="K115" t="e">
            <v>#N/A</v>
          </cell>
          <cell r="L115" t="str">
            <v>Online Shop Shopee</v>
          </cell>
          <cell r="M115"/>
          <cell r="N115">
            <v>20376.63</v>
          </cell>
          <cell r="O115">
            <v>25002</v>
          </cell>
          <cell r="P115" t="str">
            <v>Selesai</v>
          </cell>
          <cell r="Q115">
            <v>20519</v>
          </cell>
        </row>
        <row r="116">
          <cell r="D116" t="str">
            <v>A25002003</v>
          </cell>
          <cell r="E116"/>
          <cell r="F116" t="str">
            <v>251011S3GRFEKW</v>
          </cell>
          <cell r="G116" t="str">
            <v>Throne 250 EC 48 X 100 ml</v>
          </cell>
          <cell r="H116" t="e">
            <v>#N/A</v>
          </cell>
          <cell r="I116" t="str">
            <v>Btl</v>
          </cell>
          <cell r="J116" t="str">
            <v>B000999, YANCE ABRAHAM SANGER</v>
          </cell>
          <cell r="K116" t="e">
            <v>#N/A</v>
          </cell>
          <cell r="L116" t="str">
            <v>Online Shop Shopee</v>
          </cell>
          <cell r="M116"/>
          <cell r="N116">
            <v>49307.5</v>
          </cell>
          <cell r="O116">
            <v>60500</v>
          </cell>
          <cell r="P116" t="str">
            <v>Selesai</v>
          </cell>
          <cell r="Q116">
            <v>57867</v>
          </cell>
        </row>
        <row r="117">
          <cell r="D117" t="str">
            <v>A25002004</v>
          </cell>
          <cell r="E117"/>
          <cell r="F117" t="str">
            <v>251011SC2XB1K5</v>
          </cell>
          <cell r="G117" t="str">
            <v>Basvidor 25 WP 100 X 100 gr*</v>
          </cell>
          <cell r="H117" t="e">
            <v>#N/A</v>
          </cell>
          <cell r="I117" t="str">
            <v>Pack</v>
          </cell>
          <cell r="J117" t="str">
            <v>B011001, NOER DIANA HOLIDA</v>
          </cell>
          <cell r="K117" t="e">
            <v>#N/A</v>
          </cell>
          <cell r="L117" t="str">
            <v>Online Shop Shopee</v>
          </cell>
          <cell r="M117"/>
          <cell r="N117">
            <v>20376.63</v>
          </cell>
          <cell r="O117">
            <v>25002</v>
          </cell>
          <cell r="P117" t="str">
            <v>Selesai</v>
          </cell>
          <cell r="Q117">
            <v>20519</v>
          </cell>
        </row>
        <row r="118">
          <cell r="D118" t="str">
            <v>A25002005</v>
          </cell>
          <cell r="E118"/>
          <cell r="F118" t="str">
            <v>2510059FQFVX8J</v>
          </cell>
          <cell r="G118" t="str">
            <v>Viaron 80 WP 40 X 250 gr</v>
          </cell>
          <cell r="H118" t="e">
            <v>#N/A</v>
          </cell>
          <cell r="I118" t="str">
            <v>Pack</v>
          </cell>
          <cell r="J118" t="str">
            <v>B001000, KRISNA</v>
          </cell>
          <cell r="K118" t="e">
            <v>#N/A</v>
          </cell>
          <cell r="L118" t="str">
            <v>Online Shop Shopee</v>
          </cell>
          <cell r="M118"/>
          <cell r="N118">
            <v>46574.805</v>
          </cell>
          <cell r="O118">
            <v>57147</v>
          </cell>
          <cell r="P118" t="str">
            <v>Selesai</v>
          </cell>
          <cell r="Q118">
            <v>48468</v>
          </cell>
        </row>
        <row r="119">
          <cell r="D119" t="str">
            <v>A25002006</v>
          </cell>
          <cell r="E119"/>
          <cell r="F119" t="str">
            <v>251012V8096YER</v>
          </cell>
          <cell r="G119" t="str">
            <v>Topida 25 WP 50 X 100 gr*</v>
          </cell>
          <cell r="H119" t="e">
            <v>#N/A</v>
          </cell>
          <cell r="I119" t="str">
            <v>Pack</v>
          </cell>
          <cell r="J119" t="str">
            <v>B011002, WARDA</v>
          </cell>
          <cell r="K119" t="e">
            <v>#N/A</v>
          </cell>
          <cell r="L119" t="str">
            <v>Online Shop Shopee</v>
          </cell>
          <cell r="M119"/>
          <cell r="N119">
            <v>21964.25</v>
          </cell>
          <cell r="O119">
            <v>26950</v>
          </cell>
          <cell r="P119" t="str">
            <v>Selesai</v>
          </cell>
          <cell r="Q119">
            <v>22197</v>
          </cell>
        </row>
        <row r="120">
          <cell r="D120" t="str">
            <v>A25002007</v>
          </cell>
          <cell r="E120"/>
          <cell r="F120" t="str">
            <v>25101686A26CW6</v>
          </cell>
          <cell r="G120" t="str">
            <v>Prima-Lima 555 SL 20 X 1 ltr + 1 pack Penta-Furon 5 gr</v>
          </cell>
          <cell r="H120" t="e">
            <v>#N/A</v>
          </cell>
          <cell r="I120" t="str">
            <v>Btl</v>
          </cell>
          <cell r="J120" t="str">
            <v>B011006, dovie wolunem</v>
          </cell>
          <cell r="K120" t="e">
            <v>#N/A</v>
          </cell>
          <cell r="L120" t="str">
            <v>Online Shop Shopee</v>
          </cell>
          <cell r="M120"/>
          <cell r="N120">
            <v>58618.875</v>
          </cell>
          <cell r="O120">
            <v>71925</v>
          </cell>
          <cell r="P120" t="str">
            <v>Selesai</v>
          </cell>
          <cell r="Q120">
            <v>61325</v>
          </cell>
        </row>
        <row r="121">
          <cell r="D121" t="str">
            <v>A25002008</v>
          </cell>
          <cell r="E121"/>
          <cell r="F121" t="str">
            <v>2510130HSGX2BS</v>
          </cell>
          <cell r="G121" t="str">
            <v>Braphon 488 SL 40 X 250 ml*</v>
          </cell>
          <cell r="H121" t="e">
            <v>#N/A</v>
          </cell>
          <cell r="I121" t="str">
            <v>Btl</v>
          </cell>
          <cell r="J121" t="str">
            <v>B011005, RAISA</v>
          </cell>
          <cell r="K121" t="e">
            <v>#N/A</v>
          </cell>
          <cell r="L121" t="str">
            <v>Online Shop Shopee</v>
          </cell>
          <cell r="M121"/>
          <cell r="N121">
            <v>48669.354999999996</v>
          </cell>
          <cell r="O121">
            <v>59717</v>
          </cell>
          <cell r="P121" t="str">
            <v>Selesai</v>
          </cell>
          <cell r="Q121">
            <v>50406</v>
          </cell>
        </row>
        <row r="122">
          <cell r="D122" t="str">
            <v>A25002009</v>
          </cell>
          <cell r="E122"/>
          <cell r="F122" t="str">
            <v>2510130KEFNNYC</v>
          </cell>
          <cell r="G122" t="str">
            <v>Durus 70 WG 20 X 100 gr*</v>
          </cell>
          <cell r="H122" t="e">
            <v>#N/A</v>
          </cell>
          <cell r="I122" t="str">
            <v>Pack</v>
          </cell>
          <cell r="J122" t="str">
            <v>B0011004, EDI KUSTANTO</v>
          </cell>
          <cell r="K122" t="e">
            <v>#N/A</v>
          </cell>
          <cell r="L122" t="str">
            <v>Online Shop Shopee</v>
          </cell>
          <cell r="M122"/>
          <cell r="N122">
            <v>126691.75</v>
          </cell>
          <cell r="O122">
            <v>155450</v>
          </cell>
          <cell r="P122" t="str">
            <v>Selesai</v>
          </cell>
          <cell r="Q122">
            <v>133991</v>
          </cell>
        </row>
        <row r="123">
          <cell r="D123" t="str">
            <v>A25002010</v>
          </cell>
          <cell r="E123"/>
          <cell r="F123" t="str">
            <v>2510131MNK2CV0</v>
          </cell>
          <cell r="G123" t="str">
            <v>Alfatox 50 EC 50 X 80 ml*</v>
          </cell>
          <cell r="H123" t="e">
            <v>#N/A</v>
          </cell>
          <cell r="I123" t="str">
            <v>Btl</v>
          </cell>
          <cell r="J123" t="str">
            <v>B011007, CACIH</v>
          </cell>
          <cell r="K123" t="e">
            <v>#N/A</v>
          </cell>
          <cell r="L123" t="str">
            <v>Online Shop Shopee</v>
          </cell>
          <cell r="M123"/>
          <cell r="N123">
            <v>15156.555</v>
          </cell>
          <cell r="O123">
            <v>18597</v>
          </cell>
          <cell r="P123" t="str">
            <v>Selesai</v>
          </cell>
          <cell r="Q123">
            <v>14929</v>
          </cell>
        </row>
        <row r="124">
          <cell r="D124" t="str">
            <v>A25002011</v>
          </cell>
          <cell r="E124"/>
          <cell r="F124" t="str">
            <v>2510143H7HMP4D</v>
          </cell>
          <cell r="G124" t="str">
            <v>Knocker 40 X 200 ml*</v>
          </cell>
          <cell r="H124" t="e">
            <v>#N/A</v>
          </cell>
          <cell r="I124" t="str">
            <v>Btl</v>
          </cell>
          <cell r="J124" t="str">
            <v>B011011, GIYANTO</v>
          </cell>
          <cell r="K124" t="e">
            <v>#N/A</v>
          </cell>
          <cell r="L124" t="str">
            <v>Online Shop Shopee</v>
          </cell>
          <cell r="M124"/>
          <cell r="N124">
            <v>137164.5</v>
          </cell>
          <cell r="O124">
            <v>168300</v>
          </cell>
          <cell r="P124" t="str">
            <v>Selesai</v>
          </cell>
          <cell r="Q124">
            <v>145170</v>
          </cell>
        </row>
        <row r="125">
          <cell r="D125" t="str">
            <v>A25002012</v>
          </cell>
          <cell r="E125"/>
          <cell r="F125" t="str">
            <v>580756838837356250</v>
          </cell>
          <cell r="G125" t="str">
            <v>Kingdom 550 SC 20 X 1 ltr*</v>
          </cell>
          <cell r="H125" t="str">
            <v>1</v>
          </cell>
          <cell r="I125" t="str">
            <v>Btl</v>
          </cell>
          <cell r="J125" t="str">
            <v>B011013, (CANDRA) BANGCHAND 76</v>
          </cell>
          <cell r="K125" t="str">
            <v>c*****</v>
          </cell>
          <cell r="L125" t="str">
            <v>Online Shop Tik tok</v>
          </cell>
          <cell r="M125"/>
          <cell r="N125">
            <v>96349.3</v>
          </cell>
          <cell r="O125">
            <v>118220</v>
          </cell>
          <cell r="P125" t="str">
            <v>Selesai</v>
          </cell>
          <cell r="Q125">
            <v>99047</v>
          </cell>
        </row>
        <row r="126">
          <cell r="D126" t="str">
            <v>A25002013</v>
          </cell>
          <cell r="E126"/>
          <cell r="F126" t="str">
            <v>2510155P7FM16E</v>
          </cell>
          <cell r="G126" t="str">
            <v>Tampidor 200 SL 40 X 100 ml*</v>
          </cell>
          <cell r="H126" t="e">
            <v>#N/A</v>
          </cell>
          <cell r="I126" t="str">
            <v>Btl</v>
          </cell>
          <cell r="J126" t="str">
            <v>B011014, ADE LAWINA</v>
          </cell>
          <cell r="K126" t="e">
            <v>#N/A</v>
          </cell>
          <cell r="L126" t="str">
            <v>Online Shop Shopee</v>
          </cell>
          <cell r="M126"/>
          <cell r="N126">
            <v>292992.5</v>
          </cell>
          <cell r="O126">
            <v>359500</v>
          </cell>
          <cell r="P126" t="str">
            <v>Selesai</v>
          </cell>
          <cell r="Q126">
            <v>311514</v>
          </cell>
        </row>
        <row r="127">
          <cell r="D127" t="str">
            <v>A25002014</v>
          </cell>
          <cell r="E127"/>
          <cell r="F127" t="str">
            <v>2510167TYB1DK7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#N/A</v>
          </cell>
          <cell r="K127" t="e">
            <v>#N/A</v>
          </cell>
          <cell r="L127" t="e">
            <v>#N/A</v>
          </cell>
          <cell r="M127"/>
          <cell r="N127">
            <v>195396.25</v>
          </cell>
          <cell r="O127">
            <v>239750</v>
          </cell>
          <cell r="P127" t="e">
            <v>#N/A</v>
          </cell>
          <cell r="Q127" t="e">
            <v>#N/A</v>
          </cell>
        </row>
        <row r="128">
          <cell r="D128" t="str">
            <v>A25002015</v>
          </cell>
          <cell r="E128"/>
          <cell r="F128" t="str">
            <v>2510168NPV6FYV</v>
          </cell>
          <cell r="G128" t="str">
            <v>Prima-Lima 555 SL 20 X 1 ltr + 1 pack Penta-Furon 5 gr</v>
          </cell>
          <cell r="H128" t="e">
            <v>#N/A</v>
          </cell>
          <cell r="I128" t="str">
            <v>Btl</v>
          </cell>
          <cell r="J128" t="str">
            <v>B011021, AGUS HASANUDIN</v>
          </cell>
          <cell r="K128" t="e">
            <v>#N/A</v>
          </cell>
          <cell r="L128" t="str">
            <v>Online Shop Shopee</v>
          </cell>
          <cell r="M128"/>
          <cell r="N128">
            <v>58618.875</v>
          </cell>
          <cell r="O128">
            <v>71925</v>
          </cell>
          <cell r="P128" t="str">
            <v>Selesai</v>
          </cell>
          <cell r="Q128">
            <v>61325</v>
          </cell>
        </row>
        <row r="129">
          <cell r="D129" t="str">
            <v>A25002016</v>
          </cell>
          <cell r="E129"/>
          <cell r="F129" t="str">
            <v>25101696M5SCYY</v>
          </cell>
          <cell r="G129" t="str">
            <v>Buniken 60/10 WP 20 X 100 gr*</v>
          </cell>
          <cell r="H129" t="e">
            <v>#N/A</v>
          </cell>
          <cell r="I129" t="str">
            <v>Pack</v>
          </cell>
          <cell r="J129" t="str">
            <v>B011024, TOMY HIDAYANTO</v>
          </cell>
          <cell r="K129" t="e">
            <v>#N/A</v>
          </cell>
          <cell r="L129" t="str">
            <v>Online Shop Shopee</v>
          </cell>
          <cell r="M129"/>
          <cell r="N129">
            <v>61760.7</v>
          </cell>
          <cell r="O129">
            <v>75780</v>
          </cell>
          <cell r="P129" t="str">
            <v>Selesai</v>
          </cell>
          <cell r="Q129">
            <v>64678</v>
          </cell>
        </row>
        <row r="130">
          <cell r="D130" t="str">
            <v>A25002017</v>
          </cell>
          <cell r="E130"/>
          <cell r="F130" t="str">
            <v>2510169EKFXH9Q</v>
          </cell>
          <cell r="G130" t="str">
            <v>Danaxone 135 SL 20 X 1 ltr</v>
          </cell>
          <cell r="H130" t="e">
            <v>#N/A</v>
          </cell>
          <cell r="I130" t="str">
            <v>Btl</v>
          </cell>
          <cell r="J130" t="str">
            <v>B011023, RANTI</v>
          </cell>
          <cell r="K130" t="e">
            <v>#N/A</v>
          </cell>
          <cell r="L130" t="str">
            <v>Online Shop Shopee</v>
          </cell>
          <cell r="M130"/>
          <cell r="N130">
            <v>35578.824999999997</v>
          </cell>
          <cell r="O130">
            <v>43655</v>
          </cell>
          <cell r="P130" t="str">
            <v>Selesai</v>
          </cell>
          <cell r="Q130">
            <v>36730</v>
          </cell>
        </row>
        <row r="131">
          <cell r="D131" t="str">
            <v>A25002018</v>
          </cell>
          <cell r="E131"/>
          <cell r="F131" t="str">
            <v>2510168NPV6FYV</v>
          </cell>
          <cell r="G131" t="str">
            <v>Prima-Lima 555 SL 20 X 1 ltr + 1 pack Penta-Furon 5 gr</v>
          </cell>
          <cell r="H131" t="e">
            <v>#N/A</v>
          </cell>
          <cell r="I131" t="str">
            <v>Btl</v>
          </cell>
          <cell r="J131" t="str">
            <v>B011022, WANTI</v>
          </cell>
          <cell r="K131" t="e">
            <v>#N/A</v>
          </cell>
          <cell r="L131" t="str">
            <v>Online Shop Shopee</v>
          </cell>
          <cell r="M131"/>
          <cell r="N131">
            <v>58618.875</v>
          </cell>
          <cell r="O131">
            <v>71925</v>
          </cell>
          <cell r="P131" t="str">
            <v>Selesai</v>
          </cell>
          <cell r="Q131">
            <v>61325</v>
          </cell>
        </row>
        <row r="132">
          <cell r="D132" t="str">
            <v>A25002019</v>
          </cell>
          <cell r="E132"/>
          <cell r="F132" t="str">
            <v>251017ARMWG54P</v>
          </cell>
          <cell r="G132" t="str">
            <v>Wendry 75 WP 100 X 100 gr (M2U)</v>
          </cell>
          <cell r="H132" t="e">
            <v>#N/A</v>
          </cell>
          <cell r="I132" t="str">
            <v>Pack</v>
          </cell>
          <cell r="J132" t="str">
            <v>B011026, USMAN</v>
          </cell>
          <cell r="K132" t="e">
            <v>#N/A</v>
          </cell>
          <cell r="L132" t="str">
            <v>Online Shop Shopee</v>
          </cell>
          <cell r="M132"/>
          <cell r="N132">
            <v>25629.305</v>
          </cell>
          <cell r="O132">
            <v>31447</v>
          </cell>
          <cell r="P132" t="str">
            <v>Selesai</v>
          </cell>
          <cell r="Q132">
            <v>26108</v>
          </cell>
        </row>
        <row r="133">
          <cell r="D133" t="str">
            <v>A25002020</v>
          </cell>
          <cell r="E133"/>
          <cell r="F133" t="str">
            <v>251017ASW7V1K6</v>
          </cell>
          <cell r="G133" t="str">
            <v>Pinamec 20 EC 40 X 250 ml (Hitam)</v>
          </cell>
          <cell r="H133" t="e">
            <v>#N/A</v>
          </cell>
          <cell r="I133" t="str">
            <v>Btl</v>
          </cell>
          <cell r="J133" t="str">
            <v>B011025, AHMAD RIZAL FAHMI P</v>
          </cell>
          <cell r="K133" t="e">
            <v>#N/A</v>
          </cell>
          <cell r="L133" t="str">
            <v>Online Shop Shopee</v>
          </cell>
          <cell r="M133"/>
          <cell r="N133">
            <v>40291.154999999999</v>
          </cell>
          <cell r="O133">
            <v>49437</v>
          </cell>
          <cell r="P133" t="str">
            <v>Selesai</v>
          </cell>
          <cell r="Q133">
            <v>41760</v>
          </cell>
        </row>
        <row r="134">
          <cell r="D134" t="str">
            <v>A25002022</v>
          </cell>
          <cell r="E134"/>
          <cell r="F134" t="str">
            <v>580851825681532412</v>
          </cell>
          <cell r="G134" t="str">
            <v>Amegu 200 SL 20 X 1 ltr*</v>
          </cell>
          <cell r="H134" t="str">
            <v>1</v>
          </cell>
          <cell r="I134" t="str">
            <v>Btl</v>
          </cell>
          <cell r="J134" t="str">
            <v>B011028, IMRON</v>
          </cell>
          <cell r="K134" t="str">
            <v>i****</v>
          </cell>
          <cell r="L134" t="str">
            <v>Online Shop Tik tok</v>
          </cell>
          <cell r="M134"/>
          <cell r="N134">
            <v>83089.25</v>
          </cell>
          <cell r="O134">
            <v>101950</v>
          </cell>
          <cell r="P134" t="str">
            <v>Dikirim</v>
          </cell>
          <cell r="Q134" t="str">
            <v>86937</v>
          </cell>
        </row>
        <row r="135">
          <cell r="D135" t="str">
            <v>A25002021</v>
          </cell>
          <cell r="E135"/>
          <cell r="F135" t="str">
            <v>251017BVMSYNF0</v>
          </cell>
          <cell r="G135" t="str">
            <v>Durus 70 WG 20 X 100 gr*</v>
          </cell>
          <cell r="H135" t="e">
            <v>#N/A</v>
          </cell>
          <cell r="I135" t="str">
            <v>Pack</v>
          </cell>
          <cell r="J135" t="str">
            <v>B011029, IKBAL COMURA</v>
          </cell>
          <cell r="K135" t="e">
            <v>#N/A</v>
          </cell>
          <cell r="L135" t="str">
            <v>Online Shop Shopee</v>
          </cell>
          <cell r="M135"/>
          <cell r="N135">
            <v>126691.75</v>
          </cell>
          <cell r="O135">
            <v>155450</v>
          </cell>
          <cell r="P135" t="str">
            <v>Selesai</v>
          </cell>
          <cell r="Q135">
            <v>133991</v>
          </cell>
        </row>
        <row r="136">
          <cell r="D136" t="str">
            <v>A25002023</v>
          </cell>
          <cell r="E136"/>
          <cell r="F136" t="str">
            <v>251017B10GKCB7</v>
          </cell>
          <cell r="G136" t="str">
            <v>Wendry 75 WP 100 X 100 gr (M2U)</v>
          </cell>
          <cell r="H136" t="e">
            <v>#N/A</v>
          </cell>
          <cell r="I136" t="str">
            <v>Pack</v>
          </cell>
          <cell r="J136" t="str">
            <v>B011027, TATAKUN-DARMANI</v>
          </cell>
          <cell r="K136" t="e">
            <v>#N/A</v>
          </cell>
          <cell r="L136" t="str">
            <v>Online Shop Shopee</v>
          </cell>
          <cell r="M136"/>
          <cell r="N136">
            <v>25629.305</v>
          </cell>
          <cell r="O136">
            <v>31447</v>
          </cell>
          <cell r="P136" t="str">
            <v>Selesai</v>
          </cell>
          <cell r="Q136">
            <v>26108</v>
          </cell>
        </row>
        <row r="137">
          <cell r="D137" t="str">
            <v>A25002027</v>
          </cell>
          <cell r="E137"/>
          <cell r="F137" t="str">
            <v>251018D6HTGUHS</v>
          </cell>
          <cell r="G137" t="str">
            <v>Edo 25 WG 100 X 100 gr*</v>
          </cell>
          <cell r="H137" t="e">
            <v>#N/A</v>
          </cell>
          <cell r="I137" t="str">
            <v>Pack</v>
          </cell>
          <cell r="J137" t="str">
            <v>B011030, ISAH UDIN</v>
          </cell>
          <cell r="K137" t="e">
            <v>#N/A</v>
          </cell>
          <cell r="L137" t="str">
            <v>Online Shop Shopee</v>
          </cell>
          <cell r="M137"/>
          <cell r="N137">
            <v>41361.25</v>
          </cell>
          <cell r="O137">
            <v>50750</v>
          </cell>
          <cell r="P137" t="str">
            <v>Selesai</v>
          </cell>
          <cell r="Q137">
            <v>42903</v>
          </cell>
        </row>
        <row r="138">
          <cell r="D138" t="str">
            <v>A25002028</v>
          </cell>
          <cell r="E138"/>
          <cell r="F138" t="str">
            <v>251019GDKHCCP1</v>
          </cell>
          <cell r="G138" t="str">
            <v>Agxanazol 200/150 SC 50 X 100 ml*</v>
          </cell>
          <cell r="H138" t="e">
            <v>#N/A</v>
          </cell>
          <cell r="I138" t="str">
            <v>Btl</v>
          </cell>
          <cell r="J138" t="str">
            <v>B011036, 251019GDKHCCPI</v>
          </cell>
          <cell r="K138" t="e">
            <v>#N/A</v>
          </cell>
          <cell r="L138" t="str">
            <v>Online Shop Shopee</v>
          </cell>
          <cell r="M138"/>
          <cell r="N138">
            <v>49193.4</v>
          </cell>
          <cell r="O138">
            <v>60360</v>
          </cell>
          <cell r="P138" t="str">
            <v>Selesai</v>
          </cell>
          <cell r="Q138">
            <v>51263</v>
          </cell>
        </row>
        <row r="139">
          <cell r="D139" t="str">
            <v>A25002029</v>
          </cell>
          <cell r="E139"/>
          <cell r="F139" t="str">
            <v>251019GJQFK38B</v>
          </cell>
          <cell r="G139" t="str">
            <v>Braphon 488 SL 40 X 250 ml*</v>
          </cell>
          <cell r="H139" t="e">
            <v>#N/A</v>
          </cell>
          <cell r="I139" t="str">
            <v>Btl</v>
          </cell>
          <cell r="J139" t="str">
            <v>B011035, 251019GJQFK38B</v>
          </cell>
          <cell r="K139" t="e">
            <v>#N/A</v>
          </cell>
          <cell r="L139" t="str">
            <v>Online Shop Shopee</v>
          </cell>
          <cell r="M139"/>
          <cell r="N139">
            <v>48669.354999999996</v>
          </cell>
          <cell r="O139">
            <v>59717</v>
          </cell>
          <cell r="P139" t="str">
            <v>Selesai</v>
          </cell>
          <cell r="Q139">
            <v>50406</v>
          </cell>
        </row>
        <row r="140">
          <cell r="D140" t="str">
            <v>A25002030</v>
          </cell>
          <cell r="E140"/>
          <cell r="F140" t="str">
            <v>251018DTB50VXH</v>
          </cell>
          <cell r="G140" t="str">
            <v>Dumil 40 SP 100 X 100 gr*</v>
          </cell>
          <cell r="H140" t="e">
            <v>#N/A</v>
          </cell>
          <cell r="I140" t="str">
            <v>Pack</v>
          </cell>
          <cell r="J140" t="str">
            <v>B011034, 251018DTB50VXH</v>
          </cell>
          <cell r="K140" t="e">
            <v>#N/A</v>
          </cell>
          <cell r="L140" t="str">
            <v>Online Shop Shopee</v>
          </cell>
          <cell r="M140"/>
          <cell r="N140">
            <v>20916.974999999999</v>
          </cell>
          <cell r="O140">
            <v>25665</v>
          </cell>
          <cell r="P140" t="str">
            <v>Selesai</v>
          </cell>
          <cell r="Q140">
            <v>21078</v>
          </cell>
        </row>
        <row r="141">
          <cell r="D141" t="str">
            <v>A25002031</v>
          </cell>
          <cell r="E141"/>
          <cell r="F141" t="str">
            <v>251018DVJH1KVR</v>
          </cell>
          <cell r="G141" t="str">
            <v>Prima-Lima 555 SL 20 X 1 ltr + 1 pack Penta-Furon 5 gr</v>
          </cell>
          <cell r="H141" t="e">
            <v>#N/A</v>
          </cell>
          <cell r="I141" t="str">
            <v>Btl</v>
          </cell>
          <cell r="J141" t="str">
            <v>B011033, 251018DVJH1KVR</v>
          </cell>
          <cell r="K141" t="e">
            <v>#N/A</v>
          </cell>
          <cell r="L141" t="str">
            <v>Online Shop Shopee</v>
          </cell>
          <cell r="M141"/>
          <cell r="N141">
            <v>117237.75</v>
          </cell>
          <cell r="O141">
            <v>143850</v>
          </cell>
          <cell r="P141" t="str">
            <v>Selesai</v>
          </cell>
          <cell r="Q141">
            <v>123899</v>
          </cell>
        </row>
        <row r="142">
          <cell r="D142" t="str">
            <v>A25002032</v>
          </cell>
          <cell r="E142"/>
          <cell r="F142" t="str">
            <v>251020J7T9TX2D</v>
          </cell>
          <cell r="G142" t="str">
            <v>Qiustar 400 EC 50 X 100 ml*</v>
          </cell>
          <cell r="H142" t="e">
            <v>#N/A</v>
          </cell>
          <cell r="I142" t="str">
            <v>Btl</v>
          </cell>
          <cell r="J142" t="str">
            <v>B011039, 251020J7T9TX2D</v>
          </cell>
          <cell r="K142" t="e">
            <v>#N/A</v>
          </cell>
          <cell r="L142" t="str">
            <v>Online Shop Shopee</v>
          </cell>
          <cell r="M142"/>
          <cell r="N142">
            <v>88989.85</v>
          </cell>
          <cell r="O142">
            <v>109190</v>
          </cell>
          <cell r="P142" t="str">
            <v>Selesai</v>
          </cell>
          <cell r="Q142">
            <v>93200</v>
          </cell>
        </row>
        <row r="143">
          <cell r="D143" t="str">
            <v>A25002033</v>
          </cell>
          <cell r="E143"/>
          <cell r="F143" t="str">
            <v>251020K031F0WW</v>
          </cell>
          <cell r="G143" t="str">
            <v>Lem Ajaib 50 X 100 ml*</v>
          </cell>
          <cell r="H143" t="e">
            <v>#N/A</v>
          </cell>
          <cell r="I143" t="str">
            <v>Btl</v>
          </cell>
          <cell r="J143" t="str">
            <v>B011040, 251020K031F0WXY</v>
          </cell>
          <cell r="K143" t="e">
            <v>#N/A</v>
          </cell>
          <cell r="L143" t="str">
            <v>Online Shop Shopee</v>
          </cell>
          <cell r="M143"/>
          <cell r="N143">
            <v>73803.955000000002</v>
          </cell>
          <cell r="O143">
            <v>90557</v>
          </cell>
          <cell r="P143" t="str">
            <v>Selesai</v>
          </cell>
          <cell r="Q143">
            <v>77534</v>
          </cell>
        </row>
        <row r="144">
          <cell r="D144" t="str">
            <v>A25002034</v>
          </cell>
          <cell r="E144"/>
          <cell r="F144" t="str">
            <v>251020JXH17PU1</v>
          </cell>
          <cell r="G144" t="str">
            <v>Durus 70 WG 8 X 10 X 25 gr + 5 gr*</v>
          </cell>
          <cell r="H144" t="e">
            <v>#N/A</v>
          </cell>
          <cell r="I144" t="str">
            <v>Pack</v>
          </cell>
          <cell r="J144" t="str">
            <v>B011041, 251020JXHI7PU1</v>
          </cell>
          <cell r="K144" t="e">
            <v>#N/A</v>
          </cell>
          <cell r="L144" t="str">
            <v>Online Shop Shopee</v>
          </cell>
          <cell r="M144"/>
          <cell r="N144">
            <v>39767.925000000003</v>
          </cell>
          <cell r="O144">
            <v>48795</v>
          </cell>
          <cell r="P144" t="str">
            <v>Selesai</v>
          </cell>
          <cell r="Q144">
            <v>41201</v>
          </cell>
        </row>
        <row r="145">
          <cell r="D145" t="str">
            <v>A25002035</v>
          </cell>
          <cell r="E145"/>
          <cell r="F145" t="str">
            <v>580850568675952348</v>
          </cell>
          <cell r="G145" t="str">
            <v>Viaron 80 WP 40 X 250 gr</v>
          </cell>
          <cell r="H145" t="str">
            <v>1</v>
          </cell>
          <cell r="I145" t="str">
            <v>Pack</v>
          </cell>
          <cell r="J145" t="str">
            <v>B011042, WIWIN ANISA</v>
          </cell>
          <cell r="K145" t="str">
            <v>w**** a**** u*******</v>
          </cell>
          <cell r="L145" t="str">
            <v>Online Shop Tik tok</v>
          </cell>
          <cell r="M145"/>
          <cell r="N145">
            <v>46574.805</v>
          </cell>
          <cell r="O145">
            <v>57147</v>
          </cell>
          <cell r="P145" t="str">
            <v>Dikirim</v>
          </cell>
          <cell r="Q145" t="str">
            <v>50607</v>
          </cell>
        </row>
        <row r="146">
          <cell r="D146" t="str">
            <v>A25002036</v>
          </cell>
          <cell r="E146"/>
          <cell r="F146" t="str">
            <v>251021MWXR5MYP</v>
          </cell>
          <cell r="G146" t="str">
            <v>Jagung Q-235 10 X 1 Kg + Paket GG Akar Akrostar</v>
          </cell>
          <cell r="H146" t="e">
            <v>#N/A</v>
          </cell>
          <cell r="I146" t="str">
            <v>Pack</v>
          </cell>
          <cell r="J146" t="str">
            <v>B011045, 25102MWXR5MYP</v>
          </cell>
          <cell r="K146" t="e">
            <v>#N/A</v>
          </cell>
          <cell r="L146" t="str">
            <v>Online Shop Shopee</v>
          </cell>
          <cell r="M146"/>
          <cell r="N146">
            <v>195782.56</v>
          </cell>
          <cell r="O146">
            <v>240224</v>
          </cell>
          <cell r="P146" t="str">
            <v>Selesai</v>
          </cell>
          <cell r="Q146">
            <v>206544</v>
          </cell>
        </row>
        <row r="147">
          <cell r="D147" t="str">
            <v>A25002037</v>
          </cell>
          <cell r="E147"/>
          <cell r="F147" t="str">
            <v>580851825681532412</v>
          </cell>
          <cell r="G147" t="str">
            <v>Amegu 200 SL 20 X 1 ltr*</v>
          </cell>
          <cell r="H147" t="str">
            <v>1</v>
          </cell>
          <cell r="I147" t="str">
            <v>Btl</v>
          </cell>
          <cell r="J147" t="str">
            <v>B011044, IMRON</v>
          </cell>
          <cell r="K147" t="str">
            <v>i****</v>
          </cell>
          <cell r="L147" t="str">
            <v>Online Shop Tik tok</v>
          </cell>
          <cell r="M147"/>
          <cell r="N147">
            <v>83089.25</v>
          </cell>
          <cell r="O147">
            <v>101950</v>
          </cell>
          <cell r="P147" t="str">
            <v>Dikirim</v>
          </cell>
          <cell r="Q147" t="str">
            <v>86937</v>
          </cell>
        </row>
        <row r="148">
          <cell r="D148" t="str">
            <v>A25002038</v>
          </cell>
          <cell r="E148"/>
          <cell r="F148" t="str">
            <v>251021NQMPEUBS</v>
          </cell>
          <cell r="G148" t="str">
            <v>Durus 70 WG 8 X 10 X 25 gr + 5 gr*</v>
          </cell>
          <cell r="H148" t="e">
            <v>#N/A</v>
          </cell>
          <cell r="I148" t="str">
            <v>Pack</v>
          </cell>
          <cell r="J148" t="str">
            <v>B011048, 251021NQMPEUBS</v>
          </cell>
          <cell r="K148" t="e">
            <v>#N/A</v>
          </cell>
          <cell r="L148" t="str">
            <v>Online Shop Shopee</v>
          </cell>
          <cell r="M148"/>
          <cell r="N148">
            <v>39767.925000000003</v>
          </cell>
          <cell r="O148">
            <v>48795</v>
          </cell>
          <cell r="P148" t="str">
            <v>Selesai</v>
          </cell>
          <cell r="Q148">
            <v>41201</v>
          </cell>
        </row>
        <row r="149">
          <cell r="D149" t="str">
            <v>A25002039</v>
          </cell>
          <cell r="E149"/>
          <cell r="F149" t="str">
            <v>580861333083096079</v>
          </cell>
          <cell r="G149" t="str">
            <v>Glufa 200 SL 20 X 1 ltr</v>
          </cell>
          <cell r="H149" t="str">
            <v>1</v>
          </cell>
          <cell r="I149" t="str">
            <v>Btl</v>
          </cell>
          <cell r="J149" t="str">
            <v>B011049, RONIYANA</v>
          </cell>
          <cell r="K149" t="str">
            <v>R******</v>
          </cell>
          <cell r="L149" t="str">
            <v>Online Shop Tik tok</v>
          </cell>
          <cell r="M149"/>
          <cell r="N149">
            <v>74939.25</v>
          </cell>
          <cell r="O149">
            <v>91950</v>
          </cell>
          <cell r="P149" t="str">
            <v>Dikirim</v>
          </cell>
          <cell r="Q149" t="str">
            <v>78287</v>
          </cell>
        </row>
        <row r="150">
          <cell r="D150" t="str">
            <v>A25002040</v>
          </cell>
          <cell r="E150"/>
          <cell r="F150" t="str">
            <v>251023S9T97V7J</v>
          </cell>
          <cell r="G150" t="str">
            <v>Wendry 75 WP 100 X 100 gr (M2U)</v>
          </cell>
          <cell r="H150" t="e">
            <v>#N/A</v>
          </cell>
          <cell r="I150" t="str">
            <v>Pack</v>
          </cell>
          <cell r="J150" t="str">
            <v>B011052, 251023S9T97V7J</v>
          </cell>
          <cell r="K150" t="e">
            <v>#N/A</v>
          </cell>
          <cell r="L150" t="str">
            <v>Online Shop Shopee</v>
          </cell>
          <cell r="M150"/>
          <cell r="N150">
            <v>25629.305</v>
          </cell>
          <cell r="O150">
            <v>31447</v>
          </cell>
          <cell r="P150" t="str">
            <v>Selesai</v>
          </cell>
          <cell r="Q150">
            <v>26108</v>
          </cell>
        </row>
        <row r="151">
          <cell r="D151" t="str">
            <v>A25002041</v>
          </cell>
          <cell r="E151"/>
          <cell r="F151" t="str">
            <v>251022R97UKF09</v>
          </cell>
          <cell r="G151" t="str">
            <v>Sofia 200/70/30 OD 32 X 250 ml*</v>
          </cell>
          <cell r="H151" t="e">
            <v>#N/A</v>
          </cell>
          <cell r="I151" t="str">
            <v>Btl</v>
          </cell>
          <cell r="J151" t="str">
            <v>B011054, 251022R97UKF09</v>
          </cell>
          <cell r="K151" t="e">
            <v>#N/A</v>
          </cell>
          <cell r="L151" t="str">
            <v>Online Shop Shopee</v>
          </cell>
          <cell r="M151"/>
          <cell r="N151">
            <v>87942.574999999997</v>
          </cell>
          <cell r="O151">
            <v>107905</v>
          </cell>
          <cell r="P151" t="str">
            <v>Telah Dikirim</v>
          </cell>
          <cell r="Q151" t="e">
            <v>#N/A</v>
          </cell>
        </row>
        <row r="152">
          <cell r="D152" t="str">
            <v>A25002042</v>
          </cell>
          <cell r="E152"/>
          <cell r="F152" t="str">
            <v>251022RD1Q5B7E</v>
          </cell>
          <cell r="G152" t="str">
            <v>Bellator 265 SC 25 X 200 ml</v>
          </cell>
          <cell r="H152" t="e">
            <v>#N/A</v>
          </cell>
          <cell r="I152" t="str">
            <v>Btl</v>
          </cell>
          <cell r="J152" t="str">
            <v>B011053, 251022RDIQ5B7E</v>
          </cell>
          <cell r="K152" t="e">
            <v>#N/A</v>
          </cell>
          <cell r="L152" t="str">
            <v>Online Shop Shopee</v>
          </cell>
          <cell r="M152"/>
          <cell r="N152">
            <v>158110</v>
          </cell>
          <cell r="O152">
            <v>194000</v>
          </cell>
          <cell r="P152" t="str">
            <v>Selesai</v>
          </cell>
          <cell r="Q152">
            <v>167530</v>
          </cell>
        </row>
        <row r="153">
          <cell r="D153" t="str">
            <v>A25002043</v>
          </cell>
          <cell r="E153"/>
          <cell r="F153" t="str">
            <v>580867498313484128</v>
          </cell>
          <cell r="G153" t="str">
            <v>Qiuvita Hijau 32.11.11 20 X 500 gr*</v>
          </cell>
          <cell r="H153" t="str">
            <v>1</v>
          </cell>
          <cell r="I153" t="str">
            <v>Pack</v>
          </cell>
          <cell r="J153" t="str">
            <v>B011058, NASKI 69</v>
          </cell>
          <cell r="K153" t="str">
            <v>c*** b****</v>
          </cell>
          <cell r="L153" t="str">
            <v>Online Shop Tik tok</v>
          </cell>
          <cell r="M153"/>
          <cell r="N153">
            <v>51304.25</v>
          </cell>
          <cell r="O153">
            <v>62950</v>
          </cell>
          <cell r="P153" t="str">
            <v>Dikirim</v>
          </cell>
          <cell r="Q153" t="str">
            <v>53202</v>
          </cell>
        </row>
        <row r="154">
          <cell r="D154" t="str">
            <v>A25002044</v>
          </cell>
          <cell r="E154"/>
          <cell r="F154" t="str">
            <v>251023T3P4DHJP</v>
          </cell>
          <cell r="G154" t="str">
            <v>Cowin 550 EC 25 X 400 ml*</v>
          </cell>
          <cell r="H154" t="e">
            <v>#N/A</v>
          </cell>
          <cell r="I154" t="str">
            <v>Btl</v>
          </cell>
          <cell r="J154" t="str">
            <v>B011059, 251023T3P4DHJP</v>
          </cell>
          <cell r="K154" t="e">
            <v>#N/A</v>
          </cell>
          <cell r="L154" t="str">
            <v>Online Shop Shopee</v>
          </cell>
          <cell r="M154"/>
          <cell r="N154">
            <v>60717.5</v>
          </cell>
          <cell r="O154">
            <v>74500</v>
          </cell>
          <cell r="P154" t="str">
            <v>Selesai</v>
          </cell>
          <cell r="Q154">
            <v>63564</v>
          </cell>
        </row>
        <row r="155">
          <cell r="D155" t="str">
            <v>A25002045</v>
          </cell>
          <cell r="E155"/>
          <cell r="F155" t="str">
            <v>251023T3CFDMD5</v>
          </cell>
          <cell r="G155" t="str">
            <v>Numectin 20 EC 15 X 1 ltr*</v>
          </cell>
          <cell r="H155" t="e">
            <v>#N/A</v>
          </cell>
          <cell r="I155" t="str">
            <v>Btl</v>
          </cell>
          <cell r="J155" t="str">
            <v>B011063, 251023T3CFDMD5</v>
          </cell>
          <cell r="K155" t="e">
            <v>#N/A</v>
          </cell>
          <cell r="L155" t="str">
            <v>Online Shop Shopee</v>
          </cell>
          <cell r="M155"/>
          <cell r="N155" t="e">
            <v>#N/A</v>
          </cell>
          <cell r="O155" t="e">
            <v>#N/A</v>
          </cell>
          <cell r="P155" t="str">
            <v>Selesai</v>
          </cell>
          <cell r="Q155">
            <v>150761</v>
          </cell>
        </row>
        <row r="156">
          <cell r="D156" t="str">
            <v>A25002046</v>
          </cell>
          <cell r="E156"/>
          <cell r="F156" t="str">
            <v>251023TPR81UJT</v>
          </cell>
          <cell r="G156" t="str">
            <v>Calcium 99 20 X 1 kg*</v>
          </cell>
          <cell r="H156" t="e">
            <v>#N/A</v>
          </cell>
          <cell r="I156" t="str">
            <v>Pack</v>
          </cell>
          <cell r="J156" t="str">
            <v>B011062, 251023TPR8IUJT</v>
          </cell>
          <cell r="K156" t="e">
            <v>#N/A</v>
          </cell>
          <cell r="L156" t="str">
            <v>Online Shop Shopee</v>
          </cell>
          <cell r="M156"/>
          <cell r="N156" t="e">
            <v>#N/A</v>
          </cell>
          <cell r="O156" t="e">
            <v>#N/A</v>
          </cell>
          <cell r="P156" t="str">
            <v>Selesai</v>
          </cell>
          <cell r="Q156">
            <v>34258</v>
          </cell>
        </row>
        <row r="157">
          <cell r="D157" t="str">
            <v>A25002047</v>
          </cell>
          <cell r="E157"/>
          <cell r="F157" t="str">
            <v>251023TV6BCDBV</v>
          </cell>
          <cell r="G157" t="str">
            <v>Ganero 250 EC 40 X 250 ml*</v>
          </cell>
          <cell r="H157" t="e">
            <v>#N/A</v>
          </cell>
          <cell r="I157" t="str">
            <v>Btl</v>
          </cell>
          <cell r="J157" t="str">
            <v>B011061, 251023TV6BCDBV</v>
          </cell>
          <cell r="K157" t="e">
            <v>#N/A</v>
          </cell>
          <cell r="L157" t="str">
            <v>Online Shop Shopee</v>
          </cell>
          <cell r="M157"/>
          <cell r="N157" t="e">
            <v>#N/A</v>
          </cell>
          <cell r="O157" t="e">
            <v>#N/A</v>
          </cell>
          <cell r="P157" t="str">
            <v>Selesai</v>
          </cell>
          <cell r="Q157">
            <v>183233</v>
          </cell>
        </row>
        <row r="158">
          <cell r="D158" t="str">
            <v>A25002048</v>
          </cell>
          <cell r="E158"/>
          <cell r="F158" t="str">
            <v>251024UTB2SBE3</v>
          </cell>
          <cell r="G158" t="str">
            <v>Glove 240 EC 40 X 250 ml*</v>
          </cell>
          <cell r="H158" t="e">
            <v>#N/A</v>
          </cell>
          <cell r="I158" t="str">
            <v>Btl</v>
          </cell>
          <cell r="J158" t="str">
            <v>B011060, 251024UTB2SBE3</v>
          </cell>
          <cell r="K158" t="e">
            <v>#N/A</v>
          </cell>
          <cell r="L158" t="str">
            <v>Online Shop Shopee</v>
          </cell>
          <cell r="M158"/>
          <cell r="N158" t="e">
            <v>#N/A</v>
          </cell>
          <cell r="O158" t="e">
            <v>#N/A</v>
          </cell>
          <cell r="P158" t="str">
            <v>Selesai</v>
          </cell>
          <cell r="Q158">
            <v>88156</v>
          </cell>
        </row>
        <row r="159">
          <cell r="D159" t="str">
            <v>A25002049</v>
          </cell>
          <cell r="E159"/>
          <cell r="F159" t="str">
            <v>580877948708488780</v>
          </cell>
          <cell r="G159" t="str">
            <v>Qiustar 400 EC 50 X 100 ml*</v>
          </cell>
          <cell r="H159" t="str">
            <v>1</v>
          </cell>
          <cell r="I159" t="str">
            <v>Btl</v>
          </cell>
          <cell r="J159" t="str">
            <v>B011064, RAHMAT HIDAYAT</v>
          </cell>
          <cell r="K159" t="str">
            <v>r***** h****** R*</v>
          </cell>
          <cell r="L159" t="str">
            <v>Online Shop Tik tok</v>
          </cell>
          <cell r="M159"/>
          <cell r="N159" t="e">
            <v>#N/A</v>
          </cell>
          <cell r="O159" t="e">
            <v>#N/A</v>
          </cell>
          <cell r="P159" t="str">
            <v>Dikirim</v>
          </cell>
          <cell r="Q159" t="str">
            <v>96452</v>
          </cell>
        </row>
        <row r="160">
          <cell r="D160" t="str">
            <v>A25002050</v>
          </cell>
          <cell r="E160"/>
          <cell r="F160" t="str">
            <v>25102404J6WBKK</v>
          </cell>
          <cell r="G160" t="str">
            <v>Gold Stick 20 X 1 ltr*</v>
          </cell>
          <cell r="H160" t="e">
            <v>#N/A</v>
          </cell>
          <cell r="I160" t="str">
            <v>Btl</v>
          </cell>
          <cell r="J160" t="str">
            <v>B011067, 25102404J6WBKK</v>
          </cell>
          <cell r="K160" t="e">
            <v>#N/A</v>
          </cell>
          <cell r="L160" t="str">
            <v>Online Shop Shopee</v>
          </cell>
          <cell r="M160"/>
          <cell r="N160" t="e">
            <v>#N/A</v>
          </cell>
          <cell r="O160" t="e">
            <v>#N/A</v>
          </cell>
          <cell r="P160" t="str">
            <v>Selesai</v>
          </cell>
          <cell r="Q160">
            <v>70009</v>
          </cell>
        </row>
        <row r="161">
          <cell r="D161" t="str">
            <v>A25002051</v>
          </cell>
          <cell r="E161"/>
          <cell r="F161" t="str">
            <v>2510250KTA8KSF</v>
          </cell>
          <cell r="G161" t="str">
            <v>Oplosan 550/60 EC 40 X 200 ml</v>
          </cell>
          <cell r="H161" t="e">
            <v>#N/A</v>
          </cell>
          <cell r="I161" t="str">
            <v>Btl</v>
          </cell>
          <cell r="J161" t="str">
            <v>B011066, 2510250KTA8KSF</v>
          </cell>
          <cell r="K161" t="e">
            <v>#N/A</v>
          </cell>
          <cell r="L161" t="str">
            <v>Online Shop Shopee</v>
          </cell>
          <cell r="M161"/>
          <cell r="N161" t="e">
            <v>#N/A</v>
          </cell>
          <cell r="O161" t="e">
            <v>#N/A</v>
          </cell>
          <cell r="P161" t="str">
            <v>Sedang Dikirim</v>
          </cell>
          <cell r="Q161" t="e">
            <v>#N/A</v>
          </cell>
        </row>
        <row r="162">
          <cell r="D162" t="str">
            <v>A25002052</v>
          </cell>
          <cell r="E162"/>
          <cell r="F162" t="str">
            <v>580894380932433824</v>
          </cell>
          <cell r="G162" t="str">
            <v>Ratol 80 P 10 X 100 X 10 gr*</v>
          </cell>
          <cell r="H162" t="str">
            <v>10</v>
          </cell>
          <cell r="I162" t="str">
            <v>Pack</v>
          </cell>
          <cell r="J162" t="str">
            <v>B011070, RARA INDRIA</v>
          </cell>
          <cell r="K162" t="str">
            <v>R*** I***** S*******</v>
          </cell>
          <cell r="L162" t="str">
            <v>Online Shop Tik tok</v>
          </cell>
          <cell r="M162"/>
          <cell r="N162" t="e">
            <v>#N/A</v>
          </cell>
          <cell r="O162" t="e">
            <v>#N/A</v>
          </cell>
          <cell r="P162" t="str">
            <v>Perlu dikirim</v>
          </cell>
          <cell r="Q162" t="str">
            <v>29458</v>
          </cell>
        </row>
        <row r="163">
          <cell r="D163" t="str">
            <v>A25002053</v>
          </cell>
          <cell r="E163"/>
          <cell r="F163" t="str">
            <v>580894654528849421</v>
          </cell>
          <cell r="G163" t="str">
            <v>Amegu 200 SL 20 X 1 ltr*</v>
          </cell>
          <cell r="H163" t="str">
            <v>1</v>
          </cell>
          <cell r="I163" t="str">
            <v>Btl</v>
          </cell>
          <cell r="J163" t="str">
            <v>B011069, DINA VICTORIA</v>
          </cell>
          <cell r="K163" t="str">
            <v>D*** V*******</v>
          </cell>
          <cell r="L163" t="str">
            <v>Online Shop Tik tok</v>
          </cell>
          <cell r="M163"/>
          <cell r="N163" t="e">
            <v>#N/A</v>
          </cell>
          <cell r="O163" t="e">
            <v>#N/A</v>
          </cell>
          <cell r="P163" t="str">
            <v>Perlu dikirim</v>
          </cell>
          <cell r="Q163" t="str">
            <v>86937</v>
          </cell>
        </row>
        <row r="164">
          <cell r="D164" t="str">
            <v>A25002057</v>
          </cell>
          <cell r="E164"/>
          <cell r="F164" t="str">
            <v>25102655EBH8AK</v>
          </cell>
          <cell r="G164" t="str">
            <v>Topida 25 WP 50 X 100 gr*</v>
          </cell>
          <cell r="H164" t="e">
            <v>#N/A</v>
          </cell>
          <cell r="I164" t="str">
            <v>Pack</v>
          </cell>
          <cell r="J164" t="str">
            <v>B011071, 25102655EBH8AK</v>
          </cell>
          <cell r="K164" t="e">
            <v>#N/A</v>
          </cell>
          <cell r="L164" t="str">
            <v>Online Shop Shopee</v>
          </cell>
          <cell r="M164"/>
          <cell r="N164" t="e">
            <v>#N/A</v>
          </cell>
          <cell r="O164" t="e">
            <v>#N/A</v>
          </cell>
          <cell r="P164" t="str">
            <v>Sedang Dikirim</v>
          </cell>
          <cell r="Q164" t="e">
            <v>#N/A</v>
          </cell>
        </row>
        <row r="165">
          <cell r="D165" t="str">
            <v>A25002058</v>
          </cell>
          <cell r="E165"/>
          <cell r="F165" t="str">
            <v>2510264FMJ8FO</v>
          </cell>
          <cell r="G165" t="str">
            <v>Oplosan 550/60 EC 20 X 400 ml</v>
          </cell>
          <cell r="H165" t="e">
            <v>#N/A</v>
          </cell>
          <cell r="I165" t="str">
            <v>Btl</v>
          </cell>
          <cell r="J165" t="str">
            <v>B011072, 2510264FMJ78FO</v>
          </cell>
          <cell r="K165" t="e">
            <v>#N/A</v>
          </cell>
          <cell r="L165" t="str">
            <v>Online Shop Shopee</v>
          </cell>
          <cell r="M165"/>
          <cell r="N165" t="e">
            <v>#N/A</v>
          </cell>
          <cell r="O165" t="e">
            <v>#N/A</v>
          </cell>
          <cell r="P165" t="e">
            <v>#N/A</v>
          </cell>
          <cell r="Q165" t="e">
            <v>#N/A</v>
          </cell>
        </row>
        <row r="166">
          <cell r="D166" t="str">
            <v>A25002059</v>
          </cell>
          <cell r="E166"/>
          <cell r="F166" t="str">
            <v>251026479POBXQ</v>
          </cell>
          <cell r="G166" t="str">
            <v>Knocker 40 X 200 ml*</v>
          </cell>
          <cell r="H166" t="e">
            <v>#N/A</v>
          </cell>
          <cell r="I166" t="str">
            <v>Btl</v>
          </cell>
          <cell r="J166" t="str">
            <v>B011073, 251026479POBXQ</v>
          </cell>
          <cell r="K166" t="e">
            <v>#N/A</v>
          </cell>
          <cell r="L166" t="str">
            <v>Online Shop Shopee</v>
          </cell>
          <cell r="M166"/>
          <cell r="N166" t="e">
            <v>#N/A</v>
          </cell>
          <cell r="O166" t="e">
            <v>#N/A</v>
          </cell>
          <cell r="P166" t="e">
            <v>#N/A</v>
          </cell>
          <cell r="Q166" t="e">
            <v>#N/A</v>
          </cell>
        </row>
        <row r="167">
          <cell r="D167" t="str">
            <v>A25002060</v>
          </cell>
          <cell r="E167"/>
          <cell r="F167" t="str">
            <v>251025E5IEVGJ</v>
          </cell>
          <cell r="G167" t="str">
            <v>Gibas 240 SL 20 X 1 ltr*</v>
          </cell>
          <cell r="H167" t="e">
            <v>#N/A</v>
          </cell>
          <cell r="I167" t="str">
            <v>Btl</v>
          </cell>
          <cell r="J167" t="str">
            <v>B011074, 251025E5IEVGJ</v>
          </cell>
          <cell r="K167" t="e">
            <v>#N/A</v>
          </cell>
          <cell r="L167" t="str">
            <v>Online Shop Shopee</v>
          </cell>
          <cell r="M167"/>
          <cell r="N167" t="e">
            <v>#N/A</v>
          </cell>
          <cell r="O167" t="e">
            <v>#N/A</v>
          </cell>
          <cell r="P167" t="e">
            <v>#N/A</v>
          </cell>
          <cell r="Q167" t="e">
            <v>#N/A</v>
          </cell>
        </row>
        <row r="168">
          <cell r="D168" t="str">
            <v>A25002061</v>
          </cell>
          <cell r="E168"/>
          <cell r="F168" t="str">
            <v>251027697GDMRN</v>
          </cell>
          <cell r="G168" t="str">
            <v>Alfatox 50 EC 50 X 80 ml*</v>
          </cell>
          <cell r="H168" t="e">
            <v>#N/A</v>
          </cell>
          <cell r="I168" t="str">
            <v>Btl</v>
          </cell>
          <cell r="J168" t="str">
            <v>B011075, 251027697GDMRN</v>
          </cell>
          <cell r="K168" t="e">
            <v>#N/A</v>
          </cell>
          <cell r="L168" t="str">
            <v>Online Shop Shopee</v>
          </cell>
          <cell r="M168"/>
          <cell r="N168" t="e">
            <v>#N/A</v>
          </cell>
          <cell r="O168" t="e">
            <v>#N/A</v>
          </cell>
          <cell r="P168" t="str">
            <v>Selesai</v>
          </cell>
          <cell r="Q168">
            <v>14929</v>
          </cell>
        </row>
        <row r="169">
          <cell r="D169" t="str">
            <v>A25002062</v>
          </cell>
          <cell r="E169"/>
          <cell r="F169" t="str">
            <v>580867498313484128</v>
          </cell>
          <cell r="G169" t="str">
            <v>Qiuvita Hijau 32.11.11 20 X 500 gr*</v>
          </cell>
          <cell r="H169" t="str">
            <v>1</v>
          </cell>
          <cell r="I169" t="str">
            <v>Pack</v>
          </cell>
          <cell r="J169" t="str">
            <v>B011076, SURYA AHMAD</v>
          </cell>
          <cell r="K169" t="str">
            <v>c*** b****</v>
          </cell>
          <cell r="L169" t="str">
            <v>Online Shop Tik tok</v>
          </cell>
          <cell r="M169"/>
          <cell r="N169" t="e">
            <v>#N/A</v>
          </cell>
          <cell r="O169" t="e">
            <v>#N/A</v>
          </cell>
          <cell r="P169" t="str">
            <v>Dikirim</v>
          </cell>
          <cell r="Q169" t="str">
            <v>53202</v>
          </cell>
        </row>
        <row r="170">
          <cell r="D170" t="str">
            <v>A25002063</v>
          </cell>
          <cell r="E170"/>
          <cell r="F170" t="str">
            <v>580909116852569099</v>
          </cell>
          <cell r="G170" t="str">
            <v>Ratol 80 P 10 X 100 X 10 gr*</v>
          </cell>
          <cell r="H170" t="e">
            <v>#N/A</v>
          </cell>
          <cell r="I170" t="str">
            <v>Pack</v>
          </cell>
          <cell r="J170" t="str">
            <v>B011078, BARDI FIRDAUS</v>
          </cell>
          <cell r="K170" t="e">
            <v>#N/A</v>
          </cell>
          <cell r="L170" t="str">
            <v>Online Shop Tik tok</v>
          </cell>
          <cell r="M170"/>
          <cell r="N170" t="e">
            <v>#N/A</v>
          </cell>
          <cell r="O170" t="e">
            <v>#N/A</v>
          </cell>
          <cell r="P170" t="e">
            <v>#N/A</v>
          </cell>
          <cell r="Q170" t="e">
            <v>#N/A</v>
          </cell>
        </row>
        <row r="171">
          <cell r="D171" t="str">
            <v>A25002064</v>
          </cell>
          <cell r="E171"/>
          <cell r="F171" t="str">
            <v>580912047763719634</v>
          </cell>
          <cell r="G171" t="str">
            <v>Ratol 80 P 10 X 100 X 10 gr*</v>
          </cell>
          <cell r="H171" t="e">
            <v>#N/A</v>
          </cell>
          <cell r="I171" t="str">
            <v>Pack</v>
          </cell>
          <cell r="J171" t="str">
            <v>B011077, ROBET MADURA</v>
          </cell>
          <cell r="K171" t="e">
            <v>#N/A</v>
          </cell>
          <cell r="L171" t="str">
            <v>Online Shop Tik tok</v>
          </cell>
          <cell r="M171"/>
          <cell r="N171" t="e">
            <v>#N/A</v>
          </cell>
          <cell r="O171" t="e">
            <v>#N/A</v>
          </cell>
          <cell r="P171" t="e">
            <v>#N/A</v>
          </cell>
          <cell r="Q171" t="e">
            <v>#N/A</v>
          </cell>
        </row>
        <row r="172">
          <cell r="D172" t="str">
            <v>A25002065</v>
          </cell>
          <cell r="E172"/>
          <cell r="F172" t="str">
            <v>580908631539222065</v>
          </cell>
          <cell r="G172" t="str">
            <v>Ratol 80 P 10 X 100 X 10 gr*</v>
          </cell>
          <cell r="H172" t="e">
            <v>#N/A</v>
          </cell>
          <cell r="I172" t="str">
            <v>Pack</v>
          </cell>
          <cell r="J172" t="str">
            <v>B011079, MOH RAMZI</v>
          </cell>
          <cell r="K172" t="e">
            <v>#N/A</v>
          </cell>
          <cell r="L172" t="str">
            <v>Online Shop Tik tok</v>
          </cell>
          <cell r="M172"/>
          <cell r="N172" t="e">
            <v>#N/A</v>
          </cell>
          <cell r="O172" t="e">
            <v>#N/A</v>
          </cell>
          <cell r="P172" t="e">
            <v>#N/A</v>
          </cell>
          <cell r="Q172" t="e">
            <v>#N/A</v>
          </cell>
        </row>
        <row r="173">
          <cell r="D173" t="str">
            <v>A25002066</v>
          </cell>
          <cell r="E173"/>
          <cell r="F173" t="str">
            <v>2510276VABVUXO</v>
          </cell>
          <cell r="G173" t="str">
            <v>Viaron 80 WP 40 X 250 gr</v>
          </cell>
          <cell r="H173" t="e">
            <v>#N/A</v>
          </cell>
          <cell r="I173" t="str">
            <v>Pack</v>
          </cell>
          <cell r="J173" t="str">
            <v>B011080, 2510276VABVUXO</v>
          </cell>
          <cell r="K173" t="e">
            <v>#N/A</v>
          </cell>
          <cell r="L173" t="str">
            <v>Online Shop Shopee</v>
          </cell>
          <cell r="M173"/>
          <cell r="N173" t="e">
            <v>#N/A</v>
          </cell>
          <cell r="O173" t="e">
            <v>#N/A</v>
          </cell>
          <cell r="P173" t="e">
            <v>#N/A</v>
          </cell>
          <cell r="Q173" t="e">
            <v>#N/A</v>
          </cell>
        </row>
        <row r="174">
          <cell r="D174" t="str">
            <v>A25002067</v>
          </cell>
          <cell r="E174"/>
          <cell r="F174" t="str">
            <v>580932438149071966</v>
          </cell>
          <cell r="G174" t="str">
            <v>Kingdom 550 SC 20 X 1 ltr*</v>
          </cell>
          <cell r="H174" t="e">
            <v>#N/A</v>
          </cell>
          <cell r="I174" t="str">
            <v>Btl</v>
          </cell>
          <cell r="J174" t="str">
            <v>B011082, SI JON</v>
          </cell>
          <cell r="K174" t="e">
            <v>#N/A</v>
          </cell>
          <cell r="L174" t="str">
            <v>Online Shop Tik tok</v>
          </cell>
          <cell r="M174"/>
          <cell r="N174" t="e">
            <v>#N/A</v>
          </cell>
          <cell r="O174" t="e">
            <v>#N/A</v>
          </cell>
          <cell r="P174" t="e">
            <v>#N/A</v>
          </cell>
          <cell r="Q174" t="e">
            <v>#N/A</v>
          </cell>
        </row>
        <row r="175">
          <cell r="D175" t="str">
            <v>A25002068</v>
          </cell>
          <cell r="E175"/>
          <cell r="F175" t="str">
            <v>580932473135465566</v>
          </cell>
          <cell r="G175" t="str">
            <v>Kingdom 550 SC 20 X 1 ltr*</v>
          </cell>
          <cell r="H175" t="e">
            <v>#N/A</v>
          </cell>
          <cell r="I175" t="str">
            <v>Btl</v>
          </cell>
          <cell r="J175" t="str">
            <v>B011081, SI JON</v>
          </cell>
          <cell r="K175" t="e">
            <v>#N/A</v>
          </cell>
          <cell r="L175" t="str">
            <v>Online Shop Tik tok</v>
          </cell>
          <cell r="M175"/>
          <cell r="N175" t="e">
            <v>#N/A</v>
          </cell>
          <cell r="O175" t="e">
            <v>#N/A</v>
          </cell>
          <cell r="P175" t="e">
            <v>#N/A</v>
          </cell>
          <cell r="Q175" t="e">
            <v>#N/A</v>
          </cell>
        </row>
        <row r="176">
          <cell r="D176" t="str">
            <v>A25002069</v>
          </cell>
          <cell r="E176"/>
          <cell r="F176" t="str">
            <v>580932474822165598</v>
          </cell>
          <cell r="G176" t="str">
            <v>Kingdom 550 SC 20 X 1 ltr*</v>
          </cell>
          <cell r="H176" t="e">
            <v>#N/A</v>
          </cell>
          <cell r="I176" t="str">
            <v>Btl</v>
          </cell>
          <cell r="J176" t="str">
            <v>B011083, SI JON</v>
          </cell>
          <cell r="K176" t="e">
            <v>#N/A</v>
          </cell>
          <cell r="L176" t="str">
            <v>Online Shop Tik tok</v>
          </cell>
          <cell r="M176"/>
          <cell r="N176" t="e">
            <v>#N/A</v>
          </cell>
          <cell r="O176" t="e">
            <v>#N/A</v>
          </cell>
          <cell r="P176" t="e">
            <v>#N/A</v>
          </cell>
          <cell r="Q176" t="e">
            <v>#N/A</v>
          </cell>
        </row>
        <row r="177">
          <cell r="D177" t="str">
            <v>A25002070</v>
          </cell>
          <cell r="E177"/>
          <cell r="F177" t="str">
            <v>580931683145516043</v>
          </cell>
          <cell r="G177" t="str">
            <v>Ratol 80 P 10 X 100 X 10 gr*</v>
          </cell>
          <cell r="H177" t="e">
            <v>#N/A</v>
          </cell>
          <cell r="I177" t="str">
            <v>Pack</v>
          </cell>
          <cell r="J177" t="str">
            <v>B011084, BARDI FIRDAUS</v>
          </cell>
          <cell r="K177" t="e">
            <v>#N/A</v>
          </cell>
          <cell r="L177" t="str">
            <v>Online Shop Tik tok</v>
          </cell>
          <cell r="M177"/>
          <cell r="N177" t="e">
            <v>#N/A</v>
          </cell>
          <cell r="O177" t="e">
            <v>#N/A</v>
          </cell>
          <cell r="P177" t="e">
            <v>#N/A</v>
          </cell>
          <cell r="Q177" t="e">
            <v>#N/A</v>
          </cell>
        </row>
        <row r="178">
          <cell r="D178" t="str">
            <v>A25002071</v>
          </cell>
          <cell r="E178"/>
          <cell r="F178" t="str">
            <v>580935474840241762</v>
          </cell>
          <cell r="G178" t="str">
            <v>Prima-Clink 40 X 250 ml*</v>
          </cell>
          <cell r="H178" t="e">
            <v>#N/A</v>
          </cell>
          <cell r="I178" t="str">
            <v>Btl</v>
          </cell>
          <cell r="J178" t="str">
            <v>B011085, BAGJA</v>
          </cell>
          <cell r="K178" t="e">
            <v>#N/A</v>
          </cell>
          <cell r="L178" t="str">
            <v>Online Shop Tik tok</v>
          </cell>
          <cell r="M178"/>
          <cell r="N178" t="e">
            <v>#N/A</v>
          </cell>
          <cell r="O178" t="e">
            <v>#N/A</v>
          </cell>
          <cell r="P178" t="e">
            <v>#N/A</v>
          </cell>
          <cell r="Q178" t="e">
            <v>#N/A</v>
          </cell>
        </row>
        <row r="179">
          <cell r="D179" t="str">
            <v>A25002072</v>
          </cell>
          <cell r="E179"/>
          <cell r="F179" t="str">
            <v>2510289K35KIUB</v>
          </cell>
          <cell r="G179" t="str">
            <v>Tronton 50 EC 100 X 100 ml</v>
          </cell>
          <cell r="H179" t="e">
            <v>#N/A</v>
          </cell>
          <cell r="I179" t="str">
            <v>Btl</v>
          </cell>
          <cell r="J179" t="str">
            <v>B011086, 2510289K35KIUB</v>
          </cell>
          <cell r="K179" t="e">
            <v>#N/A</v>
          </cell>
          <cell r="L179" t="str">
            <v>Online Shop Shopee</v>
          </cell>
          <cell r="M179"/>
          <cell r="N179" t="e">
            <v>#N/A</v>
          </cell>
          <cell r="O179" t="e">
            <v>#N/A</v>
          </cell>
          <cell r="P179" t="e">
            <v>#N/A</v>
          </cell>
          <cell r="Q179" t="e">
            <v>#N/A</v>
          </cell>
        </row>
        <row r="180">
          <cell r="D180" t="str">
            <v>A25002073</v>
          </cell>
          <cell r="E180"/>
          <cell r="F180" t="str">
            <v>251029BG2RYEG3</v>
          </cell>
          <cell r="G180" t="str">
            <v>Throne 250 EC 48 X 100 ml</v>
          </cell>
          <cell r="H180" t="e">
            <v>#N/A</v>
          </cell>
          <cell r="I180" t="str">
            <v>Btl</v>
          </cell>
          <cell r="J180" t="str">
            <v>B011087, 251029BG2RYEG3</v>
          </cell>
          <cell r="K180" t="e">
            <v>#N/A</v>
          </cell>
          <cell r="L180" t="str">
            <v>Online Shop Shopee</v>
          </cell>
          <cell r="M180"/>
          <cell r="N180" t="e">
            <v>#N/A</v>
          </cell>
          <cell r="O180" t="e">
            <v>#N/A</v>
          </cell>
          <cell r="P180" t="str">
            <v>Sedang Dikirim</v>
          </cell>
          <cell r="Q180" t="e">
            <v>#N/A</v>
          </cell>
        </row>
        <row r="181">
          <cell r="D181" t="str">
            <v>A25002074</v>
          </cell>
          <cell r="E181"/>
          <cell r="F181" t="str">
            <v>251030DVFX4KFM</v>
          </cell>
          <cell r="G181" t="str">
            <v>Megaxone 135 SL 20 X 1 ltr*</v>
          </cell>
          <cell r="H181" t="e">
            <v>#N/A</v>
          </cell>
          <cell r="I181" t="str">
            <v>Btl</v>
          </cell>
          <cell r="J181" t="str">
            <v>B011091, 251030DVFX4KFM</v>
          </cell>
          <cell r="K181" t="e">
            <v>#N/A</v>
          </cell>
          <cell r="L181" t="str">
            <v>Online Shop Shopee</v>
          </cell>
          <cell r="M181"/>
          <cell r="N181" t="e">
            <v>#N/A</v>
          </cell>
          <cell r="O181" t="e">
            <v>#N/A</v>
          </cell>
          <cell r="P181" t="str">
            <v>Sedang Dikirim</v>
          </cell>
          <cell r="Q181" t="e">
            <v>#N/A</v>
          </cell>
        </row>
        <row r="182">
          <cell r="D182" t="str">
            <v>A25002075</v>
          </cell>
          <cell r="E182"/>
          <cell r="F182" t="str">
            <v>251030DVD6C7Aw</v>
          </cell>
          <cell r="G182" t="str">
            <v>Megaxone 135 SL 20 X 1 ltr*</v>
          </cell>
          <cell r="H182" t="e">
            <v>#N/A</v>
          </cell>
          <cell r="I182" t="str">
            <v>Btl</v>
          </cell>
          <cell r="J182" t="str">
            <v>B011092, 251030DVD6C7AW</v>
          </cell>
          <cell r="K182" t="e">
            <v>#N/A</v>
          </cell>
          <cell r="L182" t="str">
            <v>Online Shop Shopee</v>
          </cell>
          <cell r="M182"/>
          <cell r="N182" t="e">
            <v>#N/A</v>
          </cell>
          <cell r="O182" t="e">
            <v>#N/A</v>
          </cell>
          <cell r="P182" t="str">
            <v>Sedang Dikirim</v>
          </cell>
          <cell r="Q182" t="e">
            <v>#N/A</v>
          </cell>
        </row>
        <row r="183">
          <cell r="D183" t="str">
            <v>A25002076</v>
          </cell>
          <cell r="E183"/>
          <cell r="F183" t="str">
            <v>580962821002856183</v>
          </cell>
          <cell r="G183" t="str">
            <v>Bamex 18 EC 50 X 100 ml (M2U)</v>
          </cell>
          <cell r="H183" t="e">
            <v>#N/A</v>
          </cell>
          <cell r="I183" t="str">
            <v>Btl</v>
          </cell>
          <cell r="J183" t="str">
            <v>B011093, KEISYA SEMONGKO</v>
          </cell>
          <cell r="K183" t="e">
            <v>#N/A</v>
          </cell>
          <cell r="L183" t="str">
            <v>Online Shop Tik tok</v>
          </cell>
          <cell r="M183"/>
          <cell r="N183" t="e">
            <v>#N/A</v>
          </cell>
          <cell r="O183" t="e">
            <v>#N/A</v>
          </cell>
          <cell r="P183" t="e">
            <v>#N/A</v>
          </cell>
          <cell r="Q183" t="e">
            <v>#N/A</v>
          </cell>
        </row>
        <row r="184">
          <cell r="D184" t="str">
            <v>A25002077</v>
          </cell>
          <cell r="E184"/>
          <cell r="F184" t="str">
            <v>580959771670120197</v>
          </cell>
          <cell r="G184" t="str">
            <v>Mexdone 36 EC 20 X 500 ml New*</v>
          </cell>
          <cell r="H184" t="e">
            <v>#N/A</v>
          </cell>
          <cell r="I184" t="str">
            <v>Btl</v>
          </cell>
          <cell r="J184" t="str">
            <v>B011094, USRAN</v>
          </cell>
          <cell r="K184" t="e">
            <v>#N/A</v>
          </cell>
          <cell r="L184" t="str">
            <v>Online Shop Tik tok</v>
          </cell>
          <cell r="M184"/>
          <cell r="N184" t="e">
            <v>#N/A</v>
          </cell>
          <cell r="O184" t="e">
            <v>#N/A</v>
          </cell>
          <cell r="P184" t="e">
            <v>#N/A</v>
          </cell>
          <cell r="Q184" t="e">
            <v>#N/A</v>
          </cell>
        </row>
        <row r="185">
          <cell r="D185" t="str">
            <v>A25002078</v>
          </cell>
          <cell r="E185"/>
          <cell r="F185" t="str">
            <v>251030EGVERWWP</v>
          </cell>
          <cell r="G185" t="str">
            <v>GG Akar 50 X 100 ml (M2U)*</v>
          </cell>
          <cell r="H185" t="e">
            <v>#N/A</v>
          </cell>
          <cell r="I185" t="str">
            <v>Btl</v>
          </cell>
          <cell r="J185" t="str">
            <v>B011097, 251030EGVERWWP</v>
          </cell>
          <cell r="K185" t="e">
            <v>#N/A</v>
          </cell>
          <cell r="L185" t="str">
            <v>Online Shop Shopee</v>
          </cell>
          <cell r="M185"/>
          <cell r="N185" t="e">
            <v>#N/A</v>
          </cell>
          <cell r="O185" t="e">
            <v>#N/A</v>
          </cell>
          <cell r="P185" t="str">
            <v>Telah Dikirim</v>
          </cell>
          <cell r="Q185" t="e">
            <v>#N/A</v>
          </cell>
        </row>
        <row r="186">
          <cell r="D186" t="str">
            <v>A25002079</v>
          </cell>
          <cell r="E186"/>
          <cell r="F186" t="str">
            <v>251030EJCF5P4T</v>
          </cell>
          <cell r="G186" t="str">
            <v>Metachlor 650 EC 100 X 100 ml*</v>
          </cell>
          <cell r="H186" t="e">
            <v>#N/A</v>
          </cell>
          <cell r="I186" t="str">
            <v>Btl</v>
          </cell>
          <cell r="J186" t="str">
            <v>B011098, 251030EJCF5P4T</v>
          </cell>
          <cell r="K186" t="e">
            <v>#N/A</v>
          </cell>
          <cell r="L186" t="str">
            <v>Online Shop Shopee</v>
          </cell>
          <cell r="M186"/>
          <cell r="N186" t="e">
            <v>#N/A</v>
          </cell>
          <cell r="O186" t="e">
            <v>#N/A</v>
          </cell>
          <cell r="P186" t="str">
            <v>Telah Dikirim</v>
          </cell>
          <cell r="Q186" t="e">
            <v>#N/A</v>
          </cell>
        </row>
        <row r="187">
          <cell r="D187" t="str">
            <v>A25002080</v>
          </cell>
          <cell r="E187"/>
          <cell r="F187" t="str">
            <v>580972562887837431</v>
          </cell>
          <cell r="G187" t="str">
            <v>Bamex 18 EC 50 X 100 ml (M2U)</v>
          </cell>
          <cell r="H187" t="e">
            <v>#N/A</v>
          </cell>
          <cell r="I187" t="str">
            <v>Btl</v>
          </cell>
          <cell r="J187" t="str">
            <v>B011100, KEISYA</v>
          </cell>
          <cell r="K187" t="e">
            <v>#N/A</v>
          </cell>
          <cell r="L187" t="str">
            <v>Online Shop Tik tok</v>
          </cell>
          <cell r="M187"/>
          <cell r="N187" t="e">
            <v>#N/A</v>
          </cell>
          <cell r="O187" t="e">
            <v>#N/A</v>
          </cell>
          <cell r="P187" t="e">
            <v>#N/A</v>
          </cell>
          <cell r="Q187" t="e">
            <v>#N/A</v>
          </cell>
        </row>
        <row r="188">
          <cell r="D188" t="str">
            <v>A25002081</v>
          </cell>
          <cell r="E188"/>
          <cell r="F188" t="str">
            <v>251031GMXKIGJE</v>
          </cell>
          <cell r="G188" t="str">
            <v>Viaron 80 WP 40 X 250 gr</v>
          </cell>
          <cell r="H188" t="e">
            <v>#N/A</v>
          </cell>
          <cell r="I188" t="str">
            <v>Pack</v>
          </cell>
          <cell r="J188" t="str">
            <v>B011101, 251031GMXKIGJE</v>
          </cell>
          <cell r="K188" t="e">
            <v>#N/A</v>
          </cell>
          <cell r="L188" t="str">
            <v>Online Shop Shopee</v>
          </cell>
          <cell r="M188"/>
          <cell r="N188" t="e">
            <v>#N/A</v>
          </cell>
          <cell r="O188" t="e">
            <v>#N/A</v>
          </cell>
          <cell r="P188" t="e">
            <v>#N/A</v>
          </cell>
          <cell r="Q188" t="e">
            <v>#N/A</v>
          </cell>
        </row>
        <row r="189">
          <cell r="D189" t="str">
            <v>A25002082</v>
          </cell>
          <cell r="E189"/>
          <cell r="F189" t="str">
            <v>580962821002856183</v>
          </cell>
          <cell r="G189" t="str">
            <v>Bamex 18 EC 50 X 100 ml (M2U)</v>
          </cell>
          <cell r="H189" t="e">
            <v>#N/A</v>
          </cell>
          <cell r="I189" t="str">
            <v>Btl</v>
          </cell>
          <cell r="J189" t="str">
            <v>B011103, KEISYA</v>
          </cell>
          <cell r="K189" t="e">
            <v>#N/A</v>
          </cell>
          <cell r="L189" t="str">
            <v>Online Shop Tik tok</v>
          </cell>
          <cell r="M189"/>
          <cell r="N189" t="e">
            <v>#N/A</v>
          </cell>
          <cell r="O189" t="e">
            <v>#N/A</v>
          </cell>
          <cell r="P189" t="e">
            <v>#N/A</v>
          </cell>
          <cell r="Q189" t="e">
            <v>#N/A</v>
          </cell>
        </row>
        <row r="190">
          <cell r="D190" t="str">
            <v>A25002083</v>
          </cell>
          <cell r="E190"/>
          <cell r="F190" t="str">
            <v>251031GYCKSE8S</v>
          </cell>
          <cell r="G190" t="str">
            <v>Wendry 75 WP 100 X 100 gr (M2U)</v>
          </cell>
          <cell r="H190" t="e">
            <v>#N/A</v>
          </cell>
          <cell r="I190" t="str">
            <v>Pack</v>
          </cell>
          <cell r="J190" t="str">
            <v>B011104, 251031GYCKSF8S</v>
          </cell>
          <cell r="K190" t="e">
            <v>#N/A</v>
          </cell>
          <cell r="L190" t="str">
            <v>Online Shop Shopee</v>
          </cell>
          <cell r="M190"/>
          <cell r="N190" t="e">
            <v>#N/A</v>
          </cell>
          <cell r="O190" t="e">
            <v>#N/A</v>
          </cell>
          <cell r="P190" t="e">
            <v>#N/A</v>
          </cell>
          <cell r="Q190" t="e">
            <v>#N/A</v>
          </cell>
        </row>
        <row r="191">
          <cell r="D191" t="str">
            <v>A25002084</v>
          </cell>
          <cell r="E191"/>
          <cell r="F191" t="str">
            <v>251031HV1VOA2Q</v>
          </cell>
          <cell r="G191" t="str">
            <v>Throne 250 EC 48 X 100 ml</v>
          </cell>
          <cell r="H191" t="e">
            <v>#N/A</v>
          </cell>
          <cell r="I191" t="str">
            <v>Btl</v>
          </cell>
          <cell r="J191" t="str">
            <v>B011107, 251031HV1VOA2Q</v>
          </cell>
          <cell r="K191" t="e">
            <v>#N/A</v>
          </cell>
          <cell r="L191" t="str">
            <v>Online Shop Shopee</v>
          </cell>
          <cell r="M191"/>
          <cell r="N191" t="e">
            <v>#N/A</v>
          </cell>
          <cell r="O191" t="e">
            <v>#N/A</v>
          </cell>
          <cell r="P191" t="e">
            <v>#N/A</v>
          </cell>
          <cell r="Q191" t="e">
            <v>#N/A</v>
          </cell>
        </row>
        <row r="192">
          <cell r="D192" t="str">
            <v>A25002085</v>
          </cell>
          <cell r="E192"/>
          <cell r="F192" t="str">
            <v>251031HRV27W8E</v>
          </cell>
          <cell r="G192" t="str">
            <v>Jagung Q-235 10 X 1 Kg + Paket GG Akar Akrostar</v>
          </cell>
          <cell r="H192" t="e">
            <v>#N/A</v>
          </cell>
          <cell r="I192" t="str">
            <v>Pack</v>
          </cell>
          <cell r="J192" t="str">
            <v>B011108,251031HRV27W8E</v>
          </cell>
          <cell r="K192" t="e">
            <v>#N/A</v>
          </cell>
          <cell r="L192" t="str">
            <v>Online Shop Shopee</v>
          </cell>
          <cell r="M192"/>
          <cell r="N192" t="e">
            <v>#N/A</v>
          </cell>
          <cell r="O192" t="e">
            <v>#N/A</v>
          </cell>
          <cell r="P192" t="str">
            <v>Perlu Dikirim</v>
          </cell>
          <cell r="Q192" t="e">
            <v>#N/A</v>
          </cell>
        </row>
        <row r="193">
          <cell r="D193" t="str">
            <v>A25002086</v>
          </cell>
          <cell r="E193"/>
          <cell r="F193" t="str">
            <v>251031HC6S7JDQ</v>
          </cell>
          <cell r="G193" t="str">
            <v>Agxanazol 200/150 SC 50 X 100 ml*</v>
          </cell>
          <cell r="H193" t="e">
            <v>#N/A</v>
          </cell>
          <cell r="I193" t="str">
            <v>Btl</v>
          </cell>
          <cell r="J193" t="str">
            <v>B011109, 251031HC6S7JDQ</v>
          </cell>
          <cell r="K193" t="e">
            <v>#N/A</v>
          </cell>
          <cell r="L193" t="str">
            <v>Online Shop Shopee</v>
          </cell>
          <cell r="M193"/>
          <cell r="N193" t="e">
            <v>#N/A</v>
          </cell>
          <cell r="O193" t="e">
            <v>#N/A</v>
          </cell>
          <cell r="P193" t="str">
            <v>Perlu Dikirim</v>
          </cell>
          <cell r="Q193" t="e">
            <v>#N/A</v>
          </cell>
        </row>
        <row r="194">
          <cell r="D194" t="str">
            <v>A25002087</v>
          </cell>
          <cell r="E194"/>
          <cell r="F194" t="str">
            <v>580986603918754961</v>
          </cell>
          <cell r="G194" t="str">
            <v>Kingdom 550 SC 20 X 1 ltr*</v>
          </cell>
          <cell r="H194" t="e">
            <v>#N/A</v>
          </cell>
          <cell r="I194" t="str">
            <v>Btl</v>
          </cell>
          <cell r="J194" t="str">
            <v>B011110, HAFIZA</v>
          </cell>
          <cell r="K194" t="e">
            <v>#N/A</v>
          </cell>
          <cell r="L194" t="str">
            <v>Online Shop Tik tok</v>
          </cell>
          <cell r="M194"/>
          <cell r="N194" t="e">
            <v>#N/A</v>
          </cell>
          <cell r="O194" t="e">
            <v>#N/A</v>
          </cell>
          <cell r="P194" t="e">
            <v>#N/A</v>
          </cell>
          <cell r="Q194" t="e">
            <v>#N/A</v>
          </cell>
        </row>
        <row r="195">
          <cell r="D195" t="str">
            <v>A25002088</v>
          </cell>
          <cell r="E195"/>
          <cell r="F195" t="str">
            <v>251101KAJF1K86</v>
          </cell>
          <cell r="G195" t="str">
            <v>Akalis 550 SC 40 X 250 ml</v>
          </cell>
          <cell r="H195" t="e">
            <v>#N/A</v>
          </cell>
          <cell r="I195" t="str">
            <v>Btl</v>
          </cell>
          <cell r="J195" t="str">
            <v>B011111, 251101KAJF1K86</v>
          </cell>
          <cell r="K195" t="e">
            <v>#N/A</v>
          </cell>
          <cell r="L195" t="str">
            <v>Online Shop Shopee</v>
          </cell>
          <cell r="M195"/>
          <cell r="N195" t="e">
            <v>#N/A</v>
          </cell>
          <cell r="O195" t="e">
            <v>#N/A</v>
          </cell>
          <cell r="P195" t="str">
            <v>Perlu Dikirim</v>
          </cell>
          <cell r="Q195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366"/>
  <sheetViews>
    <sheetView zoomScaleNormal="100" workbookViewId="0">
      <pane xSplit="7" ySplit="5" topLeftCell="H6" activePane="bottomRight" state="frozen"/>
      <selection activeCell="C7853" sqref="C7853"/>
      <selection pane="topRight" activeCell="C7853" sqref="C7853"/>
      <selection pane="bottomLeft" activeCell="C7853" sqref="C7853"/>
      <selection pane="bottomRight" activeCell="L9" sqref="L9"/>
    </sheetView>
  </sheetViews>
  <sheetFormatPr defaultColWidth="9.140625" defaultRowHeight="15" x14ac:dyDescent="0.25"/>
  <cols>
    <col min="1" max="1" width="5" customWidth="1"/>
    <col min="4" max="5" width="9.140625" customWidth="1"/>
    <col min="7" max="7" width="22.7109375" customWidth="1"/>
    <col min="8" max="8" width="9.85546875" bestFit="1" customWidth="1"/>
    <col min="9" max="9" width="9.140625" customWidth="1"/>
    <col min="10" max="10" width="14.85546875" customWidth="1"/>
    <col min="11" max="11" width="11" bestFit="1" customWidth="1"/>
  </cols>
  <sheetData>
    <row r="1" spans="1:1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" t="s">
        <v>375</v>
      </c>
      <c r="B4" s="3"/>
      <c r="C4" s="4"/>
      <c r="D4" s="4"/>
      <c r="E4" s="4"/>
      <c r="F4" s="4"/>
      <c r="G4" s="4"/>
      <c r="H4" s="4"/>
      <c r="I4" s="4"/>
      <c r="J4" s="4"/>
    </row>
    <row r="5" spans="1:12" ht="22.5" customHeight="1" x14ac:dyDescent="0.25">
      <c r="A5" s="5" t="s">
        <v>0</v>
      </c>
      <c r="B5" s="6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8" t="s">
        <v>8</v>
      </c>
      <c r="J5" s="9" t="s">
        <v>9</v>
      </c>
      <c r="K5" s="79" t="s">
        <v>672</v>
      </c>
    </row>
    <row r="6" spans="1:12" s="18" customFormat="1" x14ac:dyDescent="0.25">
      <c r="A6" s="10">
        <v>1</v>
      </c>
      <c r="B6" s="11">
        <v>45867</v>
      </c>
      <c r="C6" s="12" t="s">
        <v>10</v>
      </c>
      <c r="D6" s="13" t="s">
        <v>11</v>
      </c>
      <c r="E6" s="14" t="s">
        <v>12</v>
      </c>
      <c r="F6" s="13" t="s">
        <v>13</v>
      </c>
      <c r="G6" s="15" t="s">
        <v>14</v>
      </c>
      <c r="H6" s="15" t="s">
        <v>15</v>
      </c>
      <c r="I6" s="16">
        <v>33</v>
      </c>
      <c r="J6" s="17">
        <v>69675</v>
      </c>
      <c r="K6" s="18" t="e">
        <f>VLOOKUP(C6,#REF!,13,FALSE)</f>
        <v>#REF!</v>
      </c>
    </row>
    <row r="7" spans="1:12" s="18" customFormat="1" x14ac:dyDescent="0.25">
      <c r="A7" s="10">
        <v>2</v>
      </c>
      <c r="B7" s="11">
        <v>45867</v>
      </c>
      <c r="C7" s="12" t="s">
        <v>16</v>
      </c>
      <c r="D7" s="13" t="s">
        <v>11</v>
      </c>
      <c r="E7" s="14" t="s">
        <v>12</v>
      </c>
      <c r="F7" s="13" t="s">
        <v>13</v>
      </c>
      <c r="G7" s="15" t="s">
        <v>14</v>
      </c>
      <c r="H7" s="15" t="s">
        <v>15</v>
      </c>
      <c r="I7" s="16">
        <v>33</v>
      </c>
      <c r="J7" s="17">
        <v>98685</v>
      </c>
    </row>
    <row r="8" spans="1:12" s="18" customFormat="1" x14ac:dyDescent="0.25">
      <c r="A8" s="10">
        <v>3</v>
      </c>
      <c r="B8" s="11">
        <v>45867</v>
      </c>
      <c r="C8" s="12" t="s">
        <v>17</v>
      </c>
      <c r="D8" s="13" t="s">
        <v>11</v>
      </c>
      <c r="E8" s="14" t="s">
        <v>12</v>
      </c>
      <c r="F8" s="13" t="s">
        <v>13</v>
      </c>
      <c r="G8" s="15" t="s">
        <v>14</v>
      </c>
      <c r="H8" s="15" t="s">
        <v>15</v>
      </c>
      <c r="I8" s="16">
        <v>33</v>
      </c>
      <c r="J8" s="17">
        <v>139350</v>
      </c>
    </row>
    <row r="9" spans="1:12" s="18" customFormat="1" x14ac:dyDescent="0.25">
      <c r="A9" s="10">
        <v>4</v>
      </c>
      <c r="B9" s="11">
        <v>45867</v>
      </c>
      <c r="C9" s="12" t="s">
        <v>18</v>
      </c>
      <c r="D9" s="13" t="s">
        <v>11</v>
      </c>
      <c r="E9" s="14" t="s">
        <v>12</v>
      </c>
      <c r="F9" s="13" t="s">
        <v>13</v>
      </c>
      <c r="G9" s="15" t="s">
        <v>14</v>
      </c>
      <c r="H9" s="15" t="s">
        <v>15</v>
      </c>
      <c r="I9" s="16">
        <v>33</v>
      </c>
      <c r="J9" s="17">
        <v>156735</v>
      </c>
    </row>
    <row r="10" spans="1:12" s="18" customFormat="1" x14ac:dyDescent="0.25">
      <c r="A10" s="10">
        <v>5</v>
      </c>
      <c r="B10" s="11">
        <v>45867</v>
      </c>
      <c r="C10" s="12" t="s">
        <v>19</v>
      </c>
      <c r="D10" s="13" t="s">
        <v>11</v>
      </c>
      <c r="E10" s="14" t="s">
        <v>12</v>
      </c>
      <c r="F10" s="13" t="s">
        <v>13</v>
      </c>
      <c r="G10" s="15" t="s">
        <v>14</v>
      </c>
      <c r="H10" s="15" t="s">
        <v>15</v>
      </c>
      <c r="I10" s="16">
        <v>33</v>
      </c>
      <c r="J10" s="17">
        <v>168350</v>
      </c>
    </row>
    <row r="11" spans="1:12" s="18" customFormat="1" x14ac:dyDescent="0.25">
      <c r="A11" s="10">
        <v>6</v>
      </c>
      <c r="B11" s="11">
        <v>45867</v>
      </c>
      <c r="C11" s="12" t="s">
        <v>20</v>
      </c>
      <c r="D11" s="13" t="s">
        <v>11</v>
      </c>
      <c r="E11" s="14" t="s">
        <v>12</v>
      </c>
      <c r="F11" s="13" t="s">
        <v>13</v>
      </c>
      <c r="G11" s="15" t="s">
        <v>14</v>
      </c>
      <c r="H11" s="15" t="s">
        <v>15</v>
      </c>
      <c r="I11" s="16">
        <v>33</v>
      </c>
      <c r="J11" s="17">
        <v>195060</v>
      </c>
    </row>
    <row r="12" spans="1:12" s="18" customFormat="1" x14ac:dyDescent="0.25">
      <c r="A12" s="10">
        <v>7</v>
      </c>
      <c r="B12" s="11">
        <v>45867</v>
      </c>
      <c r="C12" s="12" t="s">
        <v>21</v>
      </c>
      <c r="D12" s="13" t="s">
        <v>11</v>
      </c>
      <c r="E12" s="14" t="s">
        <v>12</v>
      </c>
      <c r="F12" s="13" t="s">
        <v>13</v>
      </c>
      <c r="G12" s="15" t="s">
        <v>14</v>
      </c>
      <c r="H12" s="15" t="s">
        <v>15</v>
      </c>
      <c r="I12" s="16">
        <v>33</v>
      </c>
      <c r="J12" s="17">
        <v>228000</v>
      </c>
    </row>
    <row r="13" spans="1:12" s="18" customFormat="1" x14ac:dyDescent="0.25">
      <c r="A13" s="10">
        <v>8</v>
      </c>
      <c r="B13" s="11">
        <v>45867</v>
      </c>
      <c r="C13" s="12" t="s">
        <v>22</v>
      </c>
      <c r="D13" s="13" t="s">
        <v>11</v>
      </c>
      <c r="E13" s="14" t="s">
        <v>12</v>
      </c>
      <c r="F13" s="13" t="s">
        <v>13</v>
      </c>
      <c r="G13" s="15" t="s">
        <v>14</v>
      </c>
      <c r="H13" s="15" t="s">
        <v>15</v>
      </c>
      <c r="I13" s="16">
        <v>33</v>
      </c>
      <c r="J13" s="17">
        <v>643500</v>
      </c>
    </row>
    <row r="14" spans="1:12" s="18" customFormat="1" x14ac:dyDescent="0.25">
      <c r="A14" s="10">
        <v>9</v>
      </c>
      <c r="B14" s="11">
        <v>45867</v>
      </c>
      <c r="C14" s="12" t="s">
        <v>23</v>
      </c>
      <c r="D14" s="13" t="s">
        <v>11</v>
      </c>
      <c r="E14" s="14" t="s">
        <v>12</v>
      </c>
      <c r="F14" s="13" t="s">
        <v>13</v>
      </c>
      <c r="G14" s="15" t="s">
        <v>14</v>
      </c>
      <c r="H14" s="15" t="s">
        <v>15</v>
      </c>
      <c r="I14" s="16">
        <v>33</v>
      </c>
      <c r="J14" s="17">
        <v>666925</v>
      </c>
    </row>
    <row r="15" spans="1:12" s="18" customFormat="1" x14ac:dyDescent="0.25">
      <c r="A15" s="10">
        <v>10</v>
      </c>
      <c r="B15" s="11">
        <v>45867</v>
      </c>
      <c r="C15" s="12" t="s">
        <v>24</v>
      </c>
      <c r="D15" s="13" t="s">
        <v>11</v>
      </c>
      <c r="E15" s="14" t="s">
        <v>12</v>
      </c>
      <c r="F15" s="13" t="s">
        <v>13</v>
      </c>
      <c r="G15" s="15" t="s">
        <v>14</v>
      </c>
      <c r="H15" s="15" t="s">
        <v>15</v>
      </c>
      <c r="I15" s="16">
        <v>33</v>
      </c>
      <c r="J15" s="17">
        <v>800310</v>
      </c>
    </row>
    <row r="16" spans="1:12" s="18" customFormat="1" x14ac:dyDescent="0.25">
      <c r="A16" s="10">
        <v>11</v>
      </c>
      <c r="B16" s="11">
        <v>45867</v>
      </c>
      <c r="C16" s="12" t="s">
        <v>25</v>
      </c>
      <c r="D16" s="13" t="s">
        <v>11</v>
      </c>
      <c r="E16" s="14" t="s">
        <v>12</v>
      </c>
      <c r="F16" s="13" t="s">
        <v>13</v>
      </c>
      <c r="G16" s="15" t="s">
        <v>14</v>
      </c>
      <c r="H16" s="15" t="s">
        <v>15</v>
      </c>
      <c r="I16" s="16">
        <v>33</v>
      </c>
      <c r="J16" s="17">
        <v>2166000</v>
      </c>
    </row>
    <row r="17" spans="1:10" s="18" customFormat="1" x14ac:dyDescent="0.25">
      <c r="A17" s="10">
        <v>12</v>
      </c>
      <c r="B17" s="11">
        <v>45868</v>
      </c>
      <c r="C17" s="12" t="s">
        <v>26</v>
      </c>
      <c r="D17" s="13" t="s">
        <v>11</v>
      </c>
      <c r="E17" s="14" t="s">
        <v>12</v>
      </c>
      <c r="F17" s="13" t="s">
        <v>13</v>
      </c>
      <c r="G17" s="15" t="s">
        <v>14</v>
      </c>
      <c r="H17" s="15" t="s">
        <v>15</v>
      </c>
      <c r="I17" s="16">
        <v>32</v>
      </c>
      <c r="J17" s="17">
        <v>27285</v>
      </c>
    </row>
    <row r="18" spans="1:10" s="18" customFormat="1" x14ac:dyDescent="0.25">
      <c r="A18" s="10">
        <v>13</v>
      </c>
      <c r="B18" s="11">
        <v>45868</v>
      </c>
      <c r="C18" s="12" t="s">
        <v>27</v>
      </c>
      <c r="D18" s="13" t="s">
        <v>11</v>
      </c>
      <c r="E18" s="14" t="s">
        <v>12</v>
      </c>
      <c r="F18" s="13" t="s">
        <v>13</v>
      </c>
      <c r="G18" s="15" t="s">
        <v>14</v>
      </c>
      <c r="H18" s="15" t="s">
        <v>15</v>
      </c>
      <c r="I18" s="16">
        <v>32</v>
      </c>
      <c r="J18" s="17">
        <v>33100</v>
      </c>
    </row>
    <row r="19" spans="1:10" s="18" customFormat="1" x14ac:dyDescent="0.25">
      <c r="A19" s="10">
        <v>14</v>
      </c>
      <c r="B19" s="11">
        <v>45868</v>
      </c>
      <c r="C19" s="12" t="s">
        <v>28</v>
      </c>
      <c r="D19" s="13" t="s">
        <v>11</v>
      </c>
      <c r="E19" s="14" t="s">
        <v>12</v>
      </c>
      <c r="F19" s="13" t="s">
        <v>13</v>
      </c>
      <c r="G19" s="15" t="s">
        <v>14</v>
      </c>
      <c r="H19" s="15" t="s">
        <v>15</v>
      </c>
      <c r="I19" s="16">
        <v>32</v>
      </c>
      <c r="J19" s="17">
        <v>37152</v>
      </c>
    </row>
    <row r="20" spans="1:10" s="18" customFormat="1" x14ac:dyDescent="0.25">
      <c r="A20" s="10">
        <v>15</v>
      </c>
      <c r="B20" s="11">
        <v>45868</v>
      </c>
      <c r="C20" s="12" t="s">
        <v>29</v>
      </c>
      <c r="D20" s="13" t="s">
        <v>11</v>
      </c>
      <c r="E20" s="14" t="s">
        <v>12</v>
      </c>
      <c r="F20" s="13" t="s">
        <v>13</v>
      </c>
      <c r="G20" s="15" t="s">
        <v>14</v>
      </c>
      <c r="H20" s="15" t="s">
        <v>15</v>
      </c>
      <c r="I20" s="16">
        <v>32</v>
      </c>
      <c r="J20" s="17">
        <v>47610</v>
      </c>
    </row>
    <row r="21" spans="1:10" s="18" customFormat="1" x14ac:dyDescent="0.25">
      <c r="A21" s="10">
        <v>16</v>
      </c>
      <c r="B21" s="11">
        <v>45868</v>
      </c>
      <c r="C21" s="12" t="s">
        <v>30</v>
      </c>
      <c r="D21" s="13" t="s">
        <v>11</v>
      </c>
      <c r="E21" s="14" t="s">
        <v>12</v>
      </c>
      <c r="F21" s="13" t="s">
        <v>13</v>
      </c>
      <c r="G21" s="15" t="s">
        <v>14</v>
      </c>
      <c r="H21" s="15" t="s">
        <v>15</v>
      </c>
      <c r="I21" s="16">
        <v>32</v>
      </c>
      <c r="J21" s="17">
        <v>106820</v>
      </c>
    </row>
    <row r="22" spans="1:10" s="18" customFormat="1" x14ac:dyDescent="0.25">
      <c r="A22" s="10">
        <v>17</v>
      </c>
      <c r="B22" s="11">
        <v>45868</v>
      </c>
      <c r="C22" s="12" t="s">
        <v>31</v>
      </c>
      <c r="D22" s="13" t="s">
        <v>11</v>
      </c>
      <c r="E22" s="14" t="s">
        <v>12</v>
      </c>
      <c r="F22" s="13" t="s">
        <v>13</v>
      </c>
      <c r="G22" s="15" t="s">
        <v>14</v>
      </c>
      <c r="H22" s="15" t="s">
        <v>15</v>
      </c>
      <c r="I22" s="16">
        <v>32</v>
      </c>
      <c r="J22" s="17">
        <v>157900</v>
      </c>
    </row>
    <row r="23" spans="1:10" s="18" customFormat="1" x14ac:dyDescent="0.25">
      <c r="A23" s="10">
        <v>18</v>
      </c>
      <c r="B23" s="11">
        <v>45868</v>
      </c>
      <c r="C23" s="12" t="s">
        <v>32</v>
      </c>
      <c r="D23" s="13" t="s">
        <v>11</v>
      </c>
      <c r="E23" s="14" t="s">
        <v>12</v>
      </c>
      <c r="F23" s="13" t="s">
        <v>13</v>
      </c>
      <c r="G23" s="15" t="s">
        <v>14</v>
      </c>
      <c r="H23" s="15" t="s">
        <v>15</v>
      </c>
      <c r="I23" s="16">
        <v>32</v>
      </c>
      <c r="J23" s="17">
        <v>166035</v>
      </c>
    </row>
    <row r="24" spans="1:10" s="18" customFormat="1" x14ac:dyDescent="0.25">
      <c r="A24" s="10">
        <v>19</v>
      </c>
      <c r="B24" s="11">
        <v>45868</v>
      </c>
      <c r="C24" s="12" t="s">
        <v>33</v>
      </c>
      <c r="D24" s="13" t="s">
        <v>11</v>
      </c>
      <c r="E24" s="14" t="s">
        <v>12</v>
      </c>
      <c r="F24" s="13" t="s">
        <v>13</v>
      </c>
      <c r="G24" s="15" t="s">
        <v>14</v>
      </c>
      <c r="H24" s="15" t="s">
        <v>15</v>
      </c>
      <c r="I24" s="16">
        <v>32</v>
      </c>
      <c r="J24" s="17">
        <v>752500</v>
      </c>
    </row>
    <row r="25" spans="1:10" s="18" customFormat="1" x14ac:dyDescent="0.25">
      <c r="A25" s="10">
        <v>20</v>
      </c>
      <c r="B25" s="11">
        <v>45868</v>
      </c>
      <c r="C25" s="12" t="s">
        <v>34</v>
      </c>
      <c r="D25" s="13" t="s">
        <v>11</v>
      </c>
      <c r="E25" s="14" t="s">
        <v>12</v>
      </c>
      <c r="F25" s="13" t="s">
        <v>13</v>
      </c>
      <c r="G25" s="15" t="s">
        <v>14</v>
      </c>
      <c r="H25" s="15" t="s">
        <v>15</v>
      </c>
      <c r="I25" s="16">
        <v>32</v>
      </c>
      <c r="J25" s="17">
        <v>769500</v>
      </c>
    </row>
    <row r="26" spans="1:10" s="18" customFormat="1" x14ac:dyDescent="0.25">
      <c r="A26" s="10">
        <v>21</v>
      </c>
      <c r="B26" s="11">
        <v>45868</v>
      </c>
      <c r="C26" s="12" t="s">
        <v>35</v>
      </c>
      <c r="D26" s="13" t="s">
        <v>11</v>
      </c>
      <c r="E26" s="14" t="s">
        <v>12</v>
      </c>
      <c r="F26" s="13" t="s">
        <v>13</v>
      </c>
      <c r="G26" s="15" t="s">
        <v>14</v>
      </c>
      <c r="H26" s="15" t="s">
        <v>15</v>
      </c>
      <c r="I26" s="16">
        <v>32</v>
      </c>
      <c r="J26" s="17">
        <v>855000</v>
      </c>
    </row>
    <row r="27" spans="1:10" s="18" customFormat="1" x14ac:dyDescent="0.25">
      <c r="A27" s="10">
        <v>22</v>
      </c>
      <c r="B27" s="11">
        <v>45868</v>
      </c>
      <c r="C27" s="12" t="s">
        <v>36</v>
      </c>
      <c r="D27" s="13" t="s">
        <v>11</v>
      </c>
      <c r="E27" s="14" t="s">
        <v>12</v>
      </c>
      <c r="F27" s="13" t="s">
        <v>13</v>
      </c>
      <c r="G27" s="15" t="s">
        <v>14</v>
      </c>
      <c r="H27" s="15" t="s">
        <v>15</v>
      </c>
      <c r="I27" s="16">
        <v>32</v>
      </c>
      <c r="J27" s="17">
        <v>1128750</v>
      </c>
    </row>
    <row r="28" spans="1:10" s="18" customFormat="1" x14ac:dyDescent="0.25">
      <c r="A28" s="10">
        <v>23</v>
      </c>
      <c r="B28" s="11">
        <v>45868</v>
      </c>
      <c r="C28" s="12" t="s">
        <v>37</v>
      </c>
      <c r="D28" s="13" t="s">
        <v>11</v>
      </c>
      <c r="E28" s="14" t="s">
        <v>12</v>
      </c>
      <c r="F28" s="13" t="s">
        <v>13</v>
      </c>
      <c r="G28" s="15" t="s">
        <v>14</v>
      </c>
      <c r="H28" s="15" t="s">
        <v>15</v>
      </c>
      <c r="I28" s="16">
        <v>32</v>
      </c>
      <c r="J28" s="17">
        <v>1333850</v>
      </c>
    </row>
    <row r="29" spans="1:10" s="18" customFormat="1" x14ac:dyDescent="0.25">
      <c r="A29" s="10">
        <v>24</v>
      </c>
      <c r="B29" s="11">
        <v>45868</v>
      </c>
      <c r="C29" s="12" t="s">
        <v>38</v>
      </c>
      <c r="D29" s="13" t="s">
        <v>11</v>
      </c>
      <c r="E29" s="14" t="s">
        <v>12</v>
      </c>
      <c r="F29" s="13" t="s">
        <v>13</v>
      </c>
      <c r="G29" s="15" t="s">
        <v>14</v>
      </c>
      <c r="H29" s="15" t="s">
        <v>15</v>
      </c>
      <c r="I29" s="16">
        <v>32</v>
      </c>
      <c r="J29" s="17">
        <v>1333850</v>
      </c>
    </row>
    <row r="30" spans="1:10" s="18" customFormat="1" x14ac:dyDescent="0.25">
      <c r="A30" s="10">
        <v>25</v>
      </c>
      <c r="B30" s="11">
        <v>45868</v>
      </c>
      <c r="C30" s="12" t="s">
        <v>39</v>
      </c>
      <c r="D30" s="13" t="s">
        <v>11</v>
      </c>
      <c r="E30" s="14" t="s">
        <v>12</v>
      </c>
      <c r="F30" s="13" t="s">
        <v>13</v>
      </c>
      <c r="G30" s="15" t="s">
        <v>14</v>
      </c>
      <c r="H30" s="15" t="s">
        <v>15</v>
      </c>
      <c r="I30" s="16">
        <v>32</v>
      </c>
      <c r="J30" s="17">
        <v>1333850</v>
      </c>
    </row>
    <row r="31" spans="1:10" s="18" customFormat="1" x14ac:dyDescent="0.25">
      <c r="A31" s="10">
        <v>26</v>
      </c>
      <c r="B31" s="11">
        <v>45868</v>
      </c>
      <c r="C31" s="12" t="s">
        <v>40</v>
      </c>
      <c r="D31" s="13" t="s">
        <v>11</v>
      </c>
      <c r="E31" s="14" t="s">
        <v>12</v>
      </c>
      <c r="F31" s="13" t="s">
        <v>13</v>
      </c>
      <c r="G31" s="15" t="s">
        <v>14</v>
      </c>
      <c r="H31" s="15" t="s">
        <v>15</v>
      </c>
      <c r="I31" s="16">
        <v>32</v>
      </c>
      <c r="J31" s="17">
        <v>1333850</v>
      </c>
    </row>
    <row r="32" spans="1:10" s="18" customFormat="1" x14ac:dyDescent="0.25">
      <c r="A32" s="10">
        <v>27</v>
      </c>
      <c r="B32" s="11">
        <v>45868</v>
      </c>
      <c r="C32" s="12" t="s">
        <v>41</v>
      </c>
      <c r="D32" s="13" t="s">
        <v>11</v>
      </c>
      <c r="E32" s="14" t="s">
        <v>12</v>
      </c>
      <c r="F32" s="13" t="s">
        <v>13</v>
      </c>
      <c r="G32" s="15" t="s">
        <v>14</v>
      </c>
      <c r="H32" s="15" t="s">
        <v>15</v>
      </c>
      <c r="I32" s="16">
        <v>32</v>
      </c>
      <c r="J32" s="17">
        <v>1333850</v>
      </c>
    </row>
    <row r="33" spans="1:10" s="18" customFormat="1" x14ac:dyDescent="0.25">
      <c r="A33" s="10">
        <v>28</v>
      </c>
      <c r="B33" s="11">
        <v>45869</v>
      </c>
      <c r="C33" s="12" t="s">
        <v>42</v>
      </c>
      <c r="D33" s="13" t="s">
        <v>11</v>
      </c>
      <c r="E33" s="14" t="s">
        <v>12</v>
      </c>
      <c r="F33" s="13" t="s">
        <v>13</v>
      </c>
      <c r="G33" s="15" t="s">
        <v>14</v>
      </c>
      <c r="H33" s="15" t="s">
        <v>15</v>
      </c>
      <c r="I33" s="16">
        <v>31</v>
      </c>
      <c r="J33" s="17">
        <v>43550</v>
      </c>
    </row>
    <row r="34" spans="1:10" s="18" customFormat="1" x14ac:dyDescent="0.25">
      <c r="A34" s="10">
        <v>29</v>
      </c>
      <c r="B34" s="11">
        <v>45869</v>
      </c>
      <c r="C34" s="12" t="s">
        <v>43</v>
      </c>
      <c r="D34" s="13" t="s">
        <v>11</v>
      </c>
      <c r="E34" s="14" t="s">
        <v>12</v>
      </c>
      <c r="F34" s="13" t="s">
        <v>13</v>
      </c>
      <c r="G34" s="15" t="s">
        <v>14</v>
      </c>
      <c r="H34" s="15" t="s">
        <v>15</v>
      </c>
      <c r="I34" s="16">
        <v>31</v>
      </c>
      <c r="J34" s="17">
        <v>77800</v>
      </c>
    </row>
    <row r="35" spans="1:10" s="18" customFormat="1" x14ac:dyDescent="0.25">
      <c r="A35" s="10">
        <v>30</v>
      </c>
      <c r="B35" s="11">
        <v>45869</v>
      </c>
      <c r="C35" s="12" t="s">
        <v>44</v>
      </c>
      <c r="D35" s="13" t="s">
        <v>11</v>
      </c>
      <c r="E35" s="14" t="s">
        <v>12</v>
      </c>
      <c r="F35" s="13" t="s">
        <v>13</v>
      </c>
      <c r="G35" s="15" t="s">
        <v>14</v>
      </c>
      <c r="H35" s="15" t="s">
        <v>15</v>
      </c>
      <c r="I35" s="16">
        <v>31</v>
      </c>
      <c r="J35" s="17">
        <v>95250</v>
      </c>
    </row>
    <row r="36" spans="1:10" s="18" customFormat="1" x14ac:dyDescent="0.25">
      <c r="A36" s="10">
        <v>31</v>
      </c>
      <c r="B36" s="11">
        <v>45869</v>
      </c>
      <c r="C36" s="12" t="s">
        <v>45</v>
      </c>
      <c r="D36" s="13" t="s">
        <v>11</v>
      </c>
      <c r="E36" s="14" t="s">
        <v>12</v>
      </c>
      <c r="F36" s="13" t="s">
        <v>13</v>
      </c>
      <c r="G36" s="15" t="s">
        <v>14</v>
      </c>
      <c r="H36" s="15" t="s">
        <v>15</v>
      </c>
      <c r="I36" s="16">
        <v>31</v>
      </c>
      <c r="J36" s="17">
        <v>114950</v>
      </c>
    </row>
    <row r="37" spans="1:10" s="18" customFormat="1" x14ac:dyDescent="0.25">
      <c r="A37" s="10">
        <v>32</v>
      </c>
      <c r="B37" s="11">
        <v>45869</v>
      </c>
      <c r="C37" s="12" t="s">
        <v>46</v>
      </c>
      <c r="D37" s="13" t="s">
        <v>11</v>
      </c>
      <c r="E37" s="14" t="s">
        <v>12</v>
      </c>
      <c r="F37" s="13" t="s">
        <v>13</v>
      </c>
      <c r="G37" s="15" t="s">
        <v>14</v>
      </c>
      <c r="H37" s="15" t="s">
        <v>15</v>
      </c>
      <c r="I37" s="16">
        <v>31</v>
      </c>
      <c r="J37" s="17">
        <v>119050</v>
      </c>
    </row>
    <row r="38" spans="1:10" s="18" customFormat="1" x14ac:dyDescent="0.25">
      <c r="A38" s="10">
        <v>33</v>
      </c>
      <c r="B38" s="11">
        <v>45869</v>
      </c>
      <c r="C38" s="12" t="s">
        <v>47</v>
      </c>
      <c r="D38" s="13" t="s">
        <v>11</v>
      </c>
      <c r="E38" s="14" t="s">
        <v>12</v>
      </c>
      <c r="F38" s="13" t="s">
        <v>13</v>
      </c>
      <c r="G38" s="15" t="s">
        <v>14</v>
      </c>
      <c r="H38" s="15" t="s">
        <v>15</v>
      </c>
      <c r="I38" s="16">
        <v>31</v>
      </c>
      <c r="J38" s="17">
        <v>156735</v>
      </c>
    </row>
    <row r="39" spans="1:10" s="18" customFormat="1" x14ac:dyDescent="0.25">
      <c r="A39" s="10">
        <v>34</v>
      </c>
      <c r="B39" s="11">
        <v>45869</v>
      </c>
      <c r="C39" s="12" t="s">
        <v>48</v>
      </c>
      <c r="D39" s="13" t="s">
        <v>11</v>
      </c>
      <c r="E39" s="14" t="s">
        <v>12</v>
      </c>
      <c r="F39" s="13" t="s">
        <v>13</v>
      </c>
      <c r="G39" s="15" t="s">
        <v>14</v>
      </c>
      <c r="H39" s="15" t="s">
        <v>15</v>
      </c>
      <c r="I39" s="16">
        <v>31</v>
      </c>
      <c r="J39" s="17">
        <v>156735</v>
      </c>
    </row>
    <row r="40" spans="1:10" s="18" customFormat="1" x14ac:dyDescent="0.25">
      <c r="A40" s="10">
        <v>35</v>
      </c>
      <c r="B40" s="11">
        <v>45869</v>
      </c>
      <c r="C40" s="12" t="s">
        <v>49</v>
      </c>
      <c r="D40" s="13" t="s">
        <v>11</v>
      </c>
      <c r="E40" s="14" t="s">
        <v>12</v>
      </c>
      <c r="F40" s="13" t="s">
        <v>13</v>
      </c>
      <c r="G40" s="15" t="s">
        <v>14</v>
      </c>
      <c r="H40" s="15" t="s">
        <v>15</v>
      </c>
      <c r="I40" s="16">
        <v>31</v>
      </c>
      <c r="J40" s="17">
        <v>226395</v>
      </c>
    </row>
    <row r="41" spans="1:10" s="18" customFormat="1" x14ac:dyDescent="0.25">
      <c r="A41" s="10">
        <v>36</v>
      </c>
      <c r="B41" s="11">
        <v>45869</v>
      </c>
      <c r="C41" s="12" t="s">
        <v>50</v>
      </c>
      <c r="D41" s="13" t="s">
        <v>11</v>
      </c>
      <c r="E41" s="14" t="s">
        <v>12</v>
      </c>
      <c r="F41" s="13" t="s">
        <v>13</v>
      </c>
      <c r="G41" s="15" t="s">
        <v>14</v>
      </c>
      <c r="H41" s="15" t="s">
        <v>15</v>
      </c>
      <c r="I41" s="16">
        <v>31</v>
      </c>
      <c r="J41" s="17">
        <v>256500</v>
      </c>
    </row>
    <row r="42" spans="1:10" s="18" customFormat="1" x14ac:dyDescent="0.25">
      <c r="A42" s="10">
        <v>37</v>
      </c>
      <c r="B42" s="11">
        <v>45869</v>
      </c>
      <c r="C42" s="12" t="s">
        <v>51</v>
      </c>
      <c r="D42" s="13" t="s">
        <v>11</v>
      </c>
      <c r="E42" s="14" t="s">
        <v>12</v>
      </c>
      <c r="F42" s="13" t="s">
        <v>13</v>
      </c>
      <c r="G42" s="15" t="s">
        <v>14</v>
      </c>
      <c r="H42" s="15" t="s">
        <v>15</v>
      </c>
      <c r="I42" s="16">
        <v>31</v>
      </c>
      <c r="J42" s="17">
        <v>361095</v>
      </c>
    </row>
    <row r="43" spans="1:10" s="18" customFormat="1" x14ac:dyDescent="0.25">
      <c r="A43" s="10">
        <v>38</v>
      </c>
      <c r="B43" s="11">
        <v>45869</v>
      </c>
      <c r="C43" s="12" t="s">
        <v>52</v>
      </c>
      <c r="D43" s="13" t="s">
        <v>11</v>
      </c>
      <c r="E43" s="14" t="s">
        <v>12</v>
      </c>
      <c r="F43" s="13" t="s">
        <v>13</v>
      </c>
      <c r="G43" s="15" t="s">
        <v>14</v>
      </c>
      <c r="H43" s="15" t="s">
        <v>15</v>
      </c>
      <c r="I43" s="16">
        <v>31</v>
      </c>
      <c r="J43" s="17">
        <v>437400</v>
      </c>
    </row>
    <row r="44" spans="1:10" s="18" customFormat="1" x14ac:dyDescent="0.25">
      <c r="A44" s="10">
        <v>39</v>
      </c>
      <c r="B44" s="11">
        <v>45870</v>
      </c>
      <c r="C44" s="12" t="s">
        <v>53</v>
      </c>
      <c r="D44" s="13" t="s">
        <v>11</v>
      </c>
      <c r="E44" s="14" t="s">
        <v>12</v>
      </c>
      <c r="F44" s="13" t="s">
        <v>13</v>
      </c>
      <c r="G44" s="15" t="s">
        <v>14</v>
      </c>
      <c r="H44" s="15" t="s">
        <v>15</v>
      </c>
      <c r="I44" s="16">
        <v>30</v>
      </c>
      <c r="J44" s="17">
        <v>21500</v>
      </c>
    </row>
    <row r="45" spans="1:10" s="18" customFormat="1" x14ac:dyDescent="0.25">
      <c r="A45" s="10">
        <v>40</v>
      </c>
      <c r="B45" s="11">
        <v>45870</v>
      </c>
      <c r="C45" s="12" t="s">
        <v>54</v>
      </c>
      <c r="D45" s="13" t="s">
        <v>11</v>
      </c>
      <c r="E45" s="14" t="s">
        <v>12</v>
      </c>
      <c r="F45" s="13" t="s">
        <v>13</v>
      </c>
      <c r="G45" s="15" t="s">
        <v>14</v>
      </c>
      <c r="H45" s="15" t="s">
        <v>15</v>
      </c>
      <c r="I45" s="16">
        <v>30</v>
      </c>
      <c r="J45" s="17">
        <v>40635</v>
      </c>
    </row>
    <row r="46" spans="1:10" s="18" customFormat="1" x14ac:dyDescent="0.25">
      <c r="A46" s="10">
        <v>41</v>
      </c>
      <c r="B46" s="11">
        <v>45870</v>
      </c>
      <c r="C46" s="12" t="s">
        <v>55</v>
      </c>
      <c r="D46" s="13" t="s">
        <v>11</v>
      </c>
      <c r="E46" s="14" t="s">
        <v>12</v>
      </c>
      <c r="F46" s="13" t="s">
        <v>13</v>
      </c>
      <c r="G46" s="15" t="s">
        <v>14</v>
      </c>
      <c r="H46" s="15" t="s">
        <v>15</v>
      </c>
      <c r="I46" s="16">
        <v>30</v>
      </c>
      <c r="J46" s="17">
        <v>47625</v>
      </c>
    </row>
    <row r="47" spans="1:10" s="18" customFormat="1" x14ac:dyDescent="0.25">
      <c r="A47" s="10">
        <v>42</v>
      </c>
      <c r="B47" s="11">
        <v>45870</v>
      </c>
      <c r="C47" s="12" t="s">
        <v>56</v>
      </c>
      <c r="D47" s="13" t="s">
        <v>11</v>
      </c>
      <c r="E47" s="14" t="s">
        <v>12</v>
      </c>
      <c r="F47" s="13" t="s">
        <v>13</v>
      </c>
      <c r="G47" s="15" t="s">
        <v>14</v>
      </c>
      <c r="H47" s="15" t="s">
        <v>15</v>
      </c>
      <c r="I47" s="16">
        <v>30</v>
      </c>
      <c r="J47" s="17">
        <v>83050</v>
      </c>
    </row>
    <row r="48" spans="1:10" s="18" customFormat="1" x14ac:dyDescent="0.25">
      <c r="A48" s="10">
        <v>43</v>
      </c>
      <c r="B48" s="11">
        <v>45870</v>
      </c>
      <c r="C48" s="12" t="s">
        <v>57</v>
      </c>
      <c r="D48" s="13" t="s">
        <v>11</v>
      </c>
      <c r="E48" s="14" t="s">
        <v>12</v>
      </c>
      <c r="F48" s="13" t="s">
        <v>13</v>
      </c>
      <c r="G48" s="15" t="s">
        <v>14</v>
      </c>
      <c r="H48" s="15" t="s">
        <v>15</v>
      </c>
      <c r="I48" s="16">
        <v>30</v>
      </c>
      <c r="J48" s="17">
        <v>83595</v>
      </c>
    </row>
    <row r="49" spans="1:10" s="18" customFormat="1" x14ac:dyDescent="0.25">
      <c r="A49" s="10">
        <v>44</v>
      </c>
      <c r="B49" s="11">
        <v>45870</v>
      </c>
      <c r="C49" s="12" t="s">
        <v>58</v>
      </c>
      <c r="D49" s="13" t="s">
        <v>11</v>
      </c>
      <c r="E49" s="14" t="s">
        <v>12</v>
      </c>
      <c r="F49" s="13" t="s">
        <v>13</v>
      </c>
      <c r="G49" s="15" t="s">
        <v>14</v>
      </c>
      <c r="H49" s="15" t="s">
        <v>15</v>
      </c>
      <c r="I49" s="16">
        <v>30</v>
      </c>
      <c r="J49" s="17">
        <v>197370</v>
      </c>
    </row>
    <row r="50" spans="1:10" s="18" customFormat="1" x14ac:dyDescent="0.25">
      <c r="A50" s="10">
        <v>45</v>
      </c>
      <c r="B50" s="11">
        <v>45870</v>
      </c>
      <c r="C50" s="12" t="s">
        <v>59</v>
      </c>
      <c r="D50" s="13" t="s">
        <v>11</v>
      </c>
      <c r="E50" s="14" t="s">
        <v>12</v>
      </c>
      <c r="F50" s="13" t="s">
        <v>13</v>
      </c>
      <c r="G50" s="15" t="s">
        <v>14</v>
      </c>
      <c r="H50" s="15" t="s">
        <v>15</v>
      </c>
      <c r="I50" s="16">
        <v>30</v>
      </c>
      <c r="J50" s="17">
        <v>217695</v>
      </c>
    </row>
    <row r="51" spans="1:10" s="18" customFormat="1" x14ac:dyDescent="0.25">
      <c r="A51" s="10">
        <v>46</v>
      </c>
      <c r="B51" s="11">
        <v>45870</v>
      </c>
      <c r="C51" s="12" t="s">
        <v>60</v>
      </c>
      <c r="D51" s="13" t="s">
        <v>11</v>
      </c>
      <c r="E51" s="14" t="s">
        <v>12</v>
      </c>
      <c r="F51" s="13" t="s">
        <v>13</v>
      </c>
      <c r="G51" s="15" t="s">
        <v>14</v>
      </c>
      <c r="H51" s="15" t="s">
        <v>15</v>
      </c>
      <c r="I51" s="16">
        <v>30</v>
      </c>
      <c r="J51" s="17">
        <v>437400</v>
      </c>
    </row>
    <row r="52" spans="1:10" s="18" customFormat="1" x14ac:dyDescent="0.25">
      <c r="A52" s="10">
        <v>47</v>
      </c>
      <c r="B52" s="11">
        <v>45870</v>
      </c>
      <c r="C52" s="12" t="s">
        <v>61</v>
      </c>
      <c r="D52" s="13" t="s">
        <v>11</v>
      </c>
      <c r="E52" s="14" t="s">
        <v>12</v>
      </c>
      <c r="F52" s="13" t="s">
        <v>13</v>
      </c>
      <c r="G52" s="15" t="s">
        <v>14</v>
      </c>
      <c r="H52" s="15" t="s">
        <v>15</v>
      </c>
      <c r="I52" s="16">
        <v>30</v>
      </c>
      <c r="J52" s="17">
        <v>741000</v>
      </c>
    </row>
    <row r="53" spans="1:10" s="18" customFormat="1" x14ac:dyDescent="0.25">
      <c r="A53" s="10">
        <v>48</v>
      </c>
      <c r="B53" s="11">
        <v>45870</v>
      </c>
      <c r="C53" s="12" t="s">
        <v>62</v>
      </c>
      <c r="D53" s="13" t="s">
        <v>11</v>
      </c>
      <c r="E53" s="14" t="s">
        <v>12</v>
      </c>
      <c r="F53" s="13" t="s">
        <v>13</v>
      </c>
      <c r="G53" s="15" t="s">
        <v>14</v>
      </c>
      <c r="H53" s="15" t="s">
        <v>15</v>
      </c>
      <c r="I53" s="16">
        <v>30</v>
      </c>
      <c r="J53" s="17">
        <v>2565000</v>
      </c>
    </row>
    <row r="54" spans="1:10" s="18" customFormat="1" x14ac:dyDescent="0.25">
      <c r="A54" s="10">
        <v>49</v>
      </c>
      <c r="B54" s="11">
        <v>45871</v>
      </c>
      <c r="C54" s="12" t="s">
        <v>63</v>
      </c>
      <c r="D54" s="13" t="s">
        <v>11</v>
      </c>
      <c r="E54" s="14" t="s">
        <v>12</v>
      </c>
      <c r="F54" s="13" t="s">
        <v>13</v>
      </c>
      <c r="G54" s="15" t="s">
        <v>14</v>
      </c>
      <c r="H54" s="15" t="s">
        <v>15</v>
      </c>
      <c r="I54" s="16">
        <v>29</v>
      </c>
      <c r="J54" s="17">
        <v>53410</v>
      </c>
    </row>
    <row r="55" spans="1:10" s="18" customFormat="1" x14ac:dyDescent="0.25">
      <c r="A55" s="10">
        <v>50</v>
      </c>
      <c r="B55" s="11">
        <v>45871</v>
      </c>
      <c r="C55" s="12" t="s">
        <v>64</v>
      </c>
      <c r="D55" s="13" t="s">
        <v>11</v>
      </c>
      <c r="E55" s="14" t="s">
        <v>12</v>
      </c>
      <c r="F55" s="13" t="s">
        <v>13</v>
      </c>
      <c r="G55" s="15" t="s">
        <v>14</v>
      </c>
      <c r="H55" s="15" t="s">
        <v>15</v>
      </c>
      <c r="I55" s="16">
        <v>29</v>
      </c>
      <c r="J55" s="17">
        <v>77800</v>
      </c>
    </row>
    <row r="56" spans="1:10" s="18" customFormat="1" x14ac:dyDescent="0.25">
      <c r="A56" s="10">
        <v>51</v>
      </c>
      <c r="B56" s="11">
        <v>45871</v>
      </c>
      <c r="C56" s="12" t="s">
        <v>65</v>
      </c>
      <c r="D56" s="13" t="s">
        <v>11</v>
      </c>
      <c r="E56" s="14" t="s">
        <v>12</v>
      </c>
      <c r="F56" s="13" t="s">
        <v>13</v>
      </c>
      <c r="G56" s="15" t="s">
        <v>14</v>
      </c>
      <c r="H56" s="15" t="s">
        <v>15</v>
      </c>
      <c r="I56" s="16">
        <v>29</v>
      </c>
      <c r="J56" s="17">
        <v>78950</v>
      </c>
    </row>
    <row r="57" spans="1:10" s="18" customFormat="1" x14ac:dyDescent="0.25">
      <c r="A57" s="10">
        <v>52</v>
      </c>
      <c r="B57" s="11">
        <v>45871</v>
      </c>
      <c r="C57" s="12" t="s">
        <v>66</v>
      </c>
      <c r="D57" s="13" t="s">
        <v>11</v>
      </c>
      <c r="E57" s="14" t="s">
        <v>12</v>
      </c>
      <c r="F57" s="13" t="s">
        <v>13</v>
      </c>
      <c r="G57" s="15" t="s">
        <v>14</v>
      </c>
      <c r="H57" s="15" t="s">
        <v>15</v>
      </c>
      <c r="I57" s="16">
        <v>29</v>
      </c>
      <c r="J57" s="17">
        <v>104495</v>
      </c>
    </row>
    <row r="58" spans="1:10" s="18" customFormat="1" x14ac:dyDescent="0.25">
      <c r="A58" s="10">
        <v>53</v>
      </c>
      <c r="B58" s="11">
        <v>45871</v>
      </c>
      <c r="C58" s="12" t="s">
        <v>67</v>
      </c>
      <c r="D58" s="13" t="s">
        <v>11</v>
      </c>
      <c r="E58" s="14" t="s">
        <v>12</v>
      </c>
      <c r="F58" s="13" t="s">
        <v>13</v>
      </c>
      <c r="G58" s="15" t="s">
        <v>14</v>
      </c>
      <c r="H58" s="15" t="s">
        <v>15</v>
      </c>
      <c r="I58" s="16">
        <v>29</v>
      </c>
      <c r="J58" s="17">
        <v>109350</v>
      </c>
    </row>
    <row r="59" spans="1:10" s="18" customFormat="1" x14ac:dyDescent="0.25">
      <c r="A59" s="10">
        <v>54</v>
      </c>
      <c r="B59" s="11">
        <v>45871</v>
      </c>
      <c r="C59" s="12" t="s">
        <v>68</v>
      </c>
      <c r="D59" s="13" t="s">
        <v>11</v>
      </c>
      <c r="E59" s="14" t="s">
        <v>12</v>
      </c>
      <c r="F59" s="13" t="s">
        <v>13</v>
      </c>
      <c r="G59" s="15" t="s">
        <v>14</v>
      </c>
      <c r="H59" s="15" t="s">
        <v>15</v>
      </c>
      <c r="I59" s="16">
        <v>29</v>
      </c>
      <c r="J59" s="17">
        <v>109350</v>
      </c>
    </row>
    <row r="60" spans="1:10" s="18" customFormat="1" x14ac:dyDescent="0.25">
      <c r="A60" s="10">
        <v>55</v>
      </c>
      <c r="B60" s="11">
        <v>45871</v>
      </c>
      <c r="C60" s="12" t="s">
        <v>69</v>
      </c>
      <c r="D60" s="13" t="s">
        <v>11</v>
      </c>
      <c r="E60" s="14" t="s">
        <v>12</v>
      </c>
      <c r="F60" s="13" t="s">
        <v>13</v>
      </c>
      <c r="G60" s="15" t="s">
        <v>14</v>
      </c>
      <c r="H60" s="15" t="s">
        <v>15</v>
      </c>
      <c r="I60" s="16">
        <v>29</v>
      </c>
      <c r="J60" s="17">
        <v>141645</v>
      </c>
    </row>
    <row r="61" spans="1:10" s="18" customFormat="1" x14ac:dyDescent="0.25">
      <c r="A61" s="10">
        <v>56</v>
      </c>
      <c r="B61" s="11">
        <v>45871</v>
      </c>
      <c r="C61" s="12" t="s">
        <v>70</v>
      </c>
      <c r="D61" s="13" t="s">
        <v>11</v>
      </c>
      <c r="E61" s="14" t="s">
        <v>12</v>
      </c>
      <c r="F61" s="13" t="s">
        <v>13</v>
      </c>
      <c r="G61" s="15" t="s">
        <v>14</v>
      </c>
      <c r="H61" s="15" t="s">
        <v>15</v>
      </c>
      <c r="I61" s="16">
        <v>29</v>
      </c>
      <c r="J61" s="17">
        <v>156735</v>
      </c>
    </row>
    <row r="62" spans="1:10" s="18" customFormat="1" x14ac:dyDescent="0.25">
      <c r="A62" s="10">
        <v>57</v>
      </c>
      <c r="B62" s="11">
        <v>45871</v>
      </c>
      <c r="C62" s="12" t="s">
        <v>71</v>
      </c>
      <c r="D62" s="13" t="s">
        <v>11</v>
      </c>
      <c r="E62" s="14" t="s">
        <v>12</v>
      </c>
      <c r="F62" s="13" t="s">
        <v>13</v>
      </c>
      <c r="G62" s="15" t="s">
        <v>14</v>
      </c>
      <c r="H62" s="15" t="s">
        <v>15</v>
      </c>
      <c r="I62" s="16">
        <v>29</v>
      </c>
      <c r="J62" s="17">
        <v>219450</v>
      </c>
    </row>
    <row r="63" spans="1:10" s="18" customFormat="1" x14ac:dyDescent="0.25">
      <c r="A63" s="10">
        <v>58</v>
      </c>
      <c r="B63" s="11">
        <v>45871</v>
      </c>
      <c r="C63" s="12" t="s">
        <v>72</v>
      </c>
      <c r="D63" s="13" t="s">
        <v>11</v>
      </c>
      <c r="E63" s="14" t="s">
        <v>12</v>
      </c>
      <c r="F63" s="13" t="s">
        <v>13</v>
      </c>
      <c r="G63" s="15" t="s">
        <v>14</v>
      </c>
      <c r="H63" s="15" t="s">
        <v>15</v>
      </c>
      <c r="I63" s="16">
        <v>29</v>
      </c>
      <c r="J63" s="17">
        <v>3249000</v>
      </c>
    </row>
    <row r="64" spans="1:10" s="18" customFormat="1" x14ac:dyDescent="0.25">
      <c r="A64" s="10">
        <v>59</v>
      </c>
      <c r="B64" s="11">
        <v>45871</v>
      </c>
      <c r="C64" s="12" t="s">
        <v>73</v>
      </c>
      <c r="D64" s="13" t="s">
        <v>11</v>
      </c>
      <c r="E64" s="14" t="s">
        <v>12</v>
      </c>
      <c r="F64" s="13" t="s">
        <v>13</v>
      </c>
      <c r="G64" s="15" t="s">
        <v>14</v>
      </c>
      <c r="H64" s="15" t="s">
        <v>15</v>
      </c>
      <c r="I64" s="16">
        <v>29</v>
      </c>
      <c r="J64" s="17">
        <v>3249000</v>
      </c>
    </row>
    <row r="65" spans="1:10" s="18" customFormat="1" x14ac:dyDescent="0.25">
      <c r="A65" s="10">
        <v>60</v>
      </c>
      <c r="B65" s="11">
        <v>45871</v>
      </c>
      <c r="C65" s="12" t="s">
        <v>74</v>
      </c>
      <c r="D65" s="13" t="s">
        <v>11</v>
      </c>
      <c r="E65" s="14" t="s">
        <v>12</v>
      </c>
      <c r="F65" s="13" t="s">
        <v>13</v>
      </c>
      <c r="G65" s="15" t="s">
        <v>14</v>
      </c>
      <c r="H65" s="15" t="s">
        <v>15</v>
      </c>
      <c r="I65" s="16">
        <v>29</v>
      </c>
      <c r="J65" s="17">
        <v>3249000</v>
      </c>
    </row>
    <row r="66" spans="1:10" s="18" customFormat="1" x14ac:dyDescent="0.25">
      <c r="A66" s="10">
        <v>61</v>
      </c>
      <c r="B66" s="11">
        <v>45871</v>
      </c>
      <c r="C66" s="12" t="s">
        <v>75</v>
      </c>
      <c r="D66" s="13" t="s">
        <v>11</v>
      </c>
      <c r="E66" s="14" t="s">
        <v>12</v>
      </c>
      <c r="F66" s="13" t="s">
        <v>13</v>
      </c>
      <c r="G66" s="15" t="s">
        <v>14</v>
      </c>
      <c r="H66" s="15" t="s">
        <v>15</v>
      </c>
      <c r="I66" s="16">
        <v>29</v>
      </c>
      <c r="J66" s="17">
        <v>3249000</v>
      </c>
    </row>
    <row r="67" spans="1:10" s="18" customFormat="1" x14ac:dyDescent="0.25">
      <c r="A67" s="10">
        <v>62</v>
      </c>
      <c r="B67" s="11">
        <v>45871</v>
      </c>
      <c r="C67" s="12" t="s">
        <v>76</v>
      </c>
      <c r="D67" s="13" t="s">
        <v>11</v>
      </c>
      <c r="E67" s="14" t="s">
        <v>12</v>
      </c>
      <c r="F67" s="13" t="s">
        <v>13</v>
      </c>
      <c r="G67" s="15" t="s">
        <v>14</v>
      </c>
      <c r="H67" s="15" t="s">
        <v>15</v>
      </c>
      <c r="I67" s="16">
        <v>29</v>
      </c>
      <c r="J67" s="17">
        <v>3898800</v>
      </c>
    </row>
    <row r="68" spans="1:10" s="18" customFormat="1" x14ac:dyDescent="0.25">
      <c r="A68" s="10">
        <v>63</v>
      </c>
      <c r="B68" s="11">
        <v>45871</v>
      </c>
      <c r="C68" s="12" t="s">
        <v>77</v>
      </c>
      <c r="D68" s="13" t="s">
        <v>11</v>
      </c>
      <c r="E68" s="14" t="s">
        <v>12</v>
      </c>
      <c r="F68" s="13" t="s">
        <v>13</v>
      </c>
      <c r="G68" s="15" t="s">
        <v>14</v>
      </c>
      <c r="H68" s="15" t="s">
        <v>15</v>
      </c>
      <c r="I68" s="16">
        <v>29</v>
      </c>
      <c r="J68" s="17">
        <v>4332000</v>
      </c>
    </row>
    <row r="69" spans="1:10" s="18" customFormat="1" x14ac:dyDescent="0.25">
      <c r="A69" s="10">
        <v>64</v>
      </c>
      <c r="B69" s="11">
        <v>45873</v>
      </c>
      <c r="C69" s="12" t="s">
        <v>78</v>
      </c>
      <c r="D69" s="13" t="s">
        <v>11</v>
      </c>
      <c r="E69" s="14" t="s">
        <v>12</v>
      </c>
      <c r="F69" s="13" t="s">
        <v>13</v>
      </c>
      <c r="G69" s="15" t="s">
        <v>14</v>
      </c>
      <c r="H69" s="15" t="s">
        <v>15</v>
      </c>
      <c r="I69" s="16">
        <v>27</v>
      </c>
      <c r="J69" s="17">
        <v>22800</v>
      </c>
    </row>
    <row r="70" spans="1:10" s="18" customFormat="1" x14ac:dyDescent="0.25">
      <c r="A70" s="10">
        <v>65</v>
      </c>
      <c r="B70" s="11">
        <v>45873</v>
      </c>
      <c r="C70" s="12" t="s">
        <v>79</v>
      </c>
      <c r="D70" s="13" t="s">
        <v>11</v>
      </c>
      <c r="E70" s="14" t="s">
        <v>12</v>
      </c>
      <c r="F70" s="13" t="s">
        <v>13</v>
      </c>
      <c r="G70" s="15" t="s">
        <v>14</v>
      </c>
      <c r="H70" s="15" t="s">
        <v>15</v>
      </c>
      <c r="I70" s="16">
        <v>27</v>
      </c>
      <c r="J70" s="17">
        <v>37152</v>
      </c>
    </row>
    <row r="71" spans="1:10" s="18" customFormat="1" x14ac:dyDescent="0.25">
      <c r="A71" s="10">
        <v>66</v>
      </c>
      <c r="B71" s="11">
        <v>45873</v>
      </c>
      <c r="C71" s="12" t="s">
        <v>80</v>
      </c>
      <c r="D71" s="13" t="s">
        <v>11</v>
      </c>
      <c r="E71" s="14" t="s">
        <v>12</v>
      </c>
      <c r="F71" s="13" t="s">
        <v>13</v>
      </c>
      <c r="G71" s="15" t="s">
        <v>14</v>
      </c>
      <c r="H71" s="15" t="s">
        <v>15</v>
      </c>
      <c r="I71" s="16">
        <v>27</v>
      </c>
      <c r="J71" s="17">
        <v>58050</v>
      </c>
    </row>
    <row r="72" spans="1:10" s="18" customFormat="1" x14ac:dyDescent="0.25">
      <c r="A72" s="10">
        <v>67</v>
      </c>
      <c r="B72" s="11">
        <v>45873</v>
      </c>
      <c r="C72" s="12" t="s">
        <v>81</v>
      </c>
      <c r="D72" s="13" t="s">
        <v>11</v>
      </c>
      <c r="E72" s="14" t="s">
        <v>12</v>
      </c>
      <c r="F72" s="13" t="s">
        <v>13</v>
      </c>
      <c r="G72" s="15" t="s">
        <v>14</v>
      </c>
      <c r="H72" s="15" t="s">
        <v>15</v>
      </c>
      <c r="I72" s="16">
        <v>27</v>
      </c>
      <c r="J72" s="17">
        <v>65600</v>
      </c>
    </row>
    <row r="73" spans="1:10" s="18" customFormat="1" x14ac:dyDescent="0.25">
      <c r="A73" s="10">
        <v>68</v>
      </c>
      <c r="B73" s="11">
        <v>45873</v>
      </c>
      <c r="C73" s="12" t="s">
        <v>82</v>
      </c>
      <c r="D73" s="13" t="s">
        <v>11</v>
      </c>
      <c r="E73" s="14" t="s">
        <v>12</v>
      </c>
      <c r="F73" s="13" t="s">
        <v>13</v>
      </c>
      <c r="G73" s="15" t="s">
        <v>14</v>
      </c>
      <c r="H73" s="15" t="s">
        <v>15</v>
      </c>
      <c r="I73" s="16">
        <v>27</v>
      </c>
      <c r="J73" s="17">
        <v>75465</v>
      </c>
    </row>
    <row r="74" spans="1:10" s="18" customFormat="1" x14ac:dyDescent="0.25">
      <c r="A74" s="10">
        <v>69</v>
      </c>
      <c r="B74" s="11">
        <v>45873</v>
      </c>
      <c r="C74" s="12" t="s">
        <v>83</v>
      </c>
      <c r="D74" s="13" t="s">
        <v>11</v>
      </c>
      <c r="E74" s="14" t="s">
        <v>12</v>
      </c>
      <c r="F74" s="13" t="s">
        <v>13</v>
      </c>
      <c r="G74" s="15" t="s">
        <v>14</v>
      </c>
      <c r="H74" s="15" t="s">
        <v>15</v>
      </c>
      <c r="I74" s="16">
        <v>27</v>
      </c>
      <c r="J74" s="17">
        <v>99850</v>
      </c>
    </row>
    <row r="75" spans="1:10" s="18" customFormat="1" x14ac:dyDescent="0.25">
      <c r="A75" s="10">
        <v>70</v>
      </c>
      <c r="B75" s="11">
        <v>45873</v>
      </c>
      <c r="C75" s="12" t="s">
        <v>84</v>
      </c>
      <c r="D75" s="13" t="s">
        <v>11</v>
      </c>
      <c r="E75" s="14" t="s">
        <v>12</v>
      </c>
      <c r="F75" s="13" t="s">
        <v>13</v>
      </c>
      <c r="G75" s="15" t="s">
        <v>14</v>
      </c>
      <c r="H75" s="15" t="s">
        <v>15</v>
      </c>
      <c r="I75" s="16">
        <v>27</v>
      </c>
      <c r="J75" s="17">
        <v>104500</v>
      </c>
    </row>
    <row r="76" spans="1:10" s="18" customFormat="1" x14ac:dyDescent="0.25">
      <c r="A76" s="10">
        <v>71</v>
      </c>
      <c r="B76" s="11">
        <v>45873</v>
      </c>
      <c r="C76" s="12" t="s">
        <v>85</v>
      </c>
      <c r="D76" s="13" t="s">
        <v>11</v>
      </c>
      <c r="E76" s="14" t="s">
        <v>12</v>
      </c>
      <c r="F76" s="13" t="s">
        <v>13</v>
      </c>
      <c r="G76" s="15" t="s">
        <v>14</v>
      </c>
      <c r="H76" s="15" t="s">
        <v>15</v>
      </c>
      <c r="I76" s="16">
        <v>27</v>
      </c>
      <c r="J76" s="17">
        <v>156735</v>
      </c>
    </row>
    <row r="77" spans="1:10" s="18" customFormat="1" x14ac:dyDescent="0.25">
      <c r="A77" s="10">
        <v>72</v>
      </c>
      <c r="B77" s="11">
        <v>45873</v>
      </c>
      <c r="C77" s="12" t="s">
        <v>86</v>
      </c>
      <c r="D77" s="13" t="s">
        <v>11</v>
      </c>
      <c r="E77" s="14" t="s">
        <v>12</v>
      </c>
      <c r="F77" s="13" t="s">
        <v>13</v>
      </c>
      <c r="G77" s="15" t="s">
        <v>14</v>
      </c>
      <c r="H77" s="15" t="s">
        <v>15</v>
      </c>
      <c r="I77" s="16">
        <v>27</v>
      </c>
      <c r="J77" s="17">
        <v>156735</v>
      </c>
    </row>
    <row r="78" spans="1:10" s="18" customFormat="1" x14ac:dyDescent="0.25">
      <c r="A78" s="10">
        <v>73</v>
      </c>
      <c r="B78" s="11">
        <v>45873</v>
      </c>
      <c r="C78" s="12" t="s">
        <v>87</v>
      </c>
      <c r="D78" s="13" t="s">
        <v>11</v>
      </c>
      <c r="E78" s="14" t="s">
        <v>12</v>
      </c>
      <c r="F78" s="13" t="s">
        <v>13</v>
      </c>
      <c r="G78" s="15" t="s">
        <v>14</v>
      </c>
      <c r="H78" s="15" t="s">
        <v>15</v>
      </c>
      <c r="I78" s="16">
        <v>27</v>
      </c>
      <c r="J78" s="17">
        <v>226395</v>
      </c>
    </row>
    <row r="79" spans="1:10" s="18" customFormat="1" x14ac:dyDescent="0.25">
      <c r="A79" s="10">
        <v>74</v>
      </c>
      <c r="B79" s="11">
        <v>45873</v>
      </c>
      <c r="C79" s="12" t="s">
        <v>88</v>
      </c>
      <c r="D79" s="13" t="s">
        <v>11</v>
      </c>
      <c r="E79" s="14" t="s">
        <v>12</v>
      </c>
      <c r="F79" s="13" t="s">
        <v>13</v>
      </c>
      <c r="G79" s="15" t="s">
        <v>14</v>
      </c>
      <c r="H79" s="15" t="s">
        <v>15</v>
      </c>
      <c r="I79" s="16">
        <v>27</v>
      </c>
      <c r="J79" s="17">
        <v>257745</v>
      </c>
    </row>
    <row r="80" spans="1:10" s="18" customFormat="1" x14ac:dyDescent="0.25">
      <c r="A80" s="10">
        <v>75</v>
      </c>
      <c r="B80" s="11">
        <v>45873</v>
      </c>
      <c r="C80" s="12" t="s">
        <v>89</v>
      </c>
      <c r="D80" s="13" t="s">
        <v>11</v>
      </c>
      <c r="E80" s="14" t="s">
        <v>12</v>
      </c>
      <c r="F80" s="13" t="s">
        <v>13</v>
      </c>
      <c r="G80" s="15" t="s">
        <v>14</v>
      </c>
      <c r="H80" s="15" t="s">
        <v>15</v>
      </c>
      <c r="I80" s="16">
        <v>27</v>
      </c>
      <c r="J80" s="17">
        <v>269400</v>
      </c>
    </row>
    <row r="81" spans="1:10" s="18" customFormat="1" x14ac:dyDescent="0.25">
      <c r="A81" s="10">
        <v>76</v>
      </c>
      <c r="B81" s="11">
        <v>45873</v>
      </c>
      <c r="C81" s="12" t="s">
        <v>90</v>
      </c>
      <c r="D81" s="13" t="s">
        <v>11</v>
      </c>
      <c r="E81" s="14" t="s">
        <v>12</v>
      </c>
      <c r="F81" s="13" t="s">
        <v>13</v>
      </c>
      <c r="G81" s="15" t="s">
        <v>14</v>
      </c>
      <c r="H81" s="15" t="s">
        <v>15</v>
      </c>
      <c r="I81" s="16">
        <v>27</v>
      </c>
      <c r="J81" s="17">
        <v>313470</v>
      </c>
    </row>
    <row r="82" spans="1:10" s="18" customFormat="1" x14ac:dyDescent="0.25">
      <c r="A82" s="10">
        <v>77</v>
      </c>
      <c r="B82" s="11">
        <v>45873</v>
      </c>
      <c r="C82" s="12" t="s">
        <v>91</v>
      </c>
      <c r="D82" s="13" t="s">
        <v>11</v>
      </c>
      <c r="E82" s="14" t="s">
        <v>12</v>
      </c>
      <c r="F82" s="13" t="s">
        <v>13</v>
      </c>
      <c r="G82" s="15" t="s">
        <v>14</v>
      </c>
      <c r="H82" s="15" t="s">
        <v>15</v>
      </c>
      <c r="I82" s="16">
        <v>27</v>
      </c>
      <c r="J82" s="17">
        <v>328050</v>
      </c>
    </row>
    <row r="83" spans="1:10" s="18" customFormat="1" x14ac:dyDescent="0.25">
      <c r="A83" s="10">
        <v>78</v>
      </c>
      <c r="B83" s="11">
        <v>45873</v>
      </c>
      <c r="C83" s="12" t="s">
        <v>92</v>
      </c>
      <c r="D83" s="13" t="s">
        <v>11</v>
      </c>
      <c r="E83" s="14" t="s">
        <v>12</v>
      </c>
      <c r="F83" s="13" t="s">
        <v>13</v>
      </c>
      <c r="G83" s="15" t="s">
        <v>14</v>
      </c>
      <c r="H83" s="15" t="s">
        <v>15</v>
      </c>
      <c r="I83" s="16">
        <v>27</v>
      </c>
      <c r="J83" s="17">
        <v>353425</v>
      </c>
    </row>
    <row r="84" spans="1:10" s="18" customFormat="1" x14ac:dyDescent="0.25">
      <c r="A84" s="10">
        <v>79</v>
      </c>
      <c r="B84" s="11">
        <v>45873</v>
      </c>
      <c r="C84" s="12" t="s">
        <v>93</v>
      </c>
      <c r="D84" s="13" t="s">
        <v>11</v>
      </c>
      <c r="E84" s="14" t="s">
        <v>12</v>
      </c>
      <c r="F84" s="13" t="s">
        <v>13</v>
      </c>
      <c r="G84" s="15" t="s">
        <v>14</v>
      </c>
      <c r="H84" s="15" t="s">
        <v>15</v>
      </c>
      <c r="I84" s="16">
        <v>27</v>
      </c>
      <c r="J84" s="17">
        <v>511000</v>
      </c>
    </row>
    <row r="85" spans="1:10" s="18" customFormat="1" x14ac:dyDescent="0.25">
      <c r="A85" s="10">
        <v>80</v>
      </c>
      <c r="B85" s="11">
        <v>45873</v>
      </c>
      <c r="C85" s="12" t="s">
        <v>94</v>
      </c>
      <c r="D85" s="13" t="s">
        <v>11</v>
      </c>
      <c r="E85" s="14" t="s">
        <v>12</v>
      </c>
      <c r="F85" s="13" t="s">
        <v>13</v>
      </c>
      <c r="G85" s="15" t="s">
        <v>14</v>
      </c>
      <c r="H85" s="15" t="s">
        <v>15</v>
      </c>
      <c r="I85" s="16">
        <v>27</v>
      </c>
      <c r="J85" s="17">
        <v>6669000</v>
      </c>
    </row>
    <row r="86" spans="1:10" s="18" customFormat="1" x14ac:dyDescent="0.25">
      <c r="A86" s="10">
        <v>81</v>
      </c>
      <c r="B86" s="11">
        <v>45874</v>
      </c>
      <c r="C86" s="12" t="s">
        <v>95</v>
      </c>
      <c r="D86" s="13" t="s">
        <v>11</v>
      </c>
      <c r="E86" s="14" t="s">
        <v>12</v>
      </c>
      <c r="F86" s="13" t="s">
        <v>13</v>
      </c>
      <c r="G86" s="15" t="s">
        <v>14</v>
      </c>
      <c r="H86" s="15" t="s">
        <v>15</v>
      </c>
      <c r="I86" s="16">
        <v>26</v>
      </c>
      <c r="J86" s="17">
        <v>30190</v>
      </c>
    </row>
    <row r="87" spans="1:10" s="18" customFormat="1" x14ac:dyDescent="0.25">
      <c r="A87" s="10">
        <v>82</v>
      </c>
      <c r="B87" s="11">
        <v>45874</v>
      </c>
      <c r="C87" s="12" t="s">
        <v>96</v>
      </c>
      <c r="D87" s="13" t="s">
        <v>11</v>
      </c>
      <c r="E87" s="14" t="s">
        <v>12</v>
      </c>
      <c r="F87" s="13" t="s">
        <v>13</v>
      </c>
      <c r="G87" s="15" t="s">
        <v>14</v>
      </c>
      <c r="H87" s="15" t="s">
        <v>15</v>
      </c>
      <c r="I87" s="16">
        <v>26</v>
      </c>
      <c r="J87" s="17">
        <v>40635</v>
      </c>
    </row>
    <row r="88" spans="1:10" s="18" customFormat="1" x14ac:dyDescent="0.25">
      <c r="A88" s="10">
        <v>83</v>
      </c>
      <c r="B88" s="11">
        <v>45874</v>
      </c>
      <c r="C88" s="12" t="s">
        <v>97</v>
      </c>
      <c r="D88" s="13" t="s">
        <v>11</v>
      </c>
      <c r="E88" s="14" t="s">
        <v>12</v>
      </c>
      <c r="F88" s="13" t="s">
        <v>13</v>
      </c>
      <c r="G88" s="15" t="s">
        <v>14</v>
      </c>
      <c r="H88" s="15" t="s">
        <v>15</v>
      </c>
      <c r="I88" s="16">
        <v>26</v>
      </c>
      <c r="J88" s="17">
        <v>62700</v>
      </c>
    </row>
    <row r="89" spans="1:10" s="18" customFormat="1" x14ac:dyDescent="0.25">
      <c r="A89" s="10">
        <v>84</v>
      </c>
      <c r="B89" s="11">
        <v>45874</v>
      </c>
      <c r="C89" s="12" t="s">
        <v>98</v>
      </c>
      <c r="D89" s="13" t="s">
        <v>11</v>
      </c>
      <c r="E89" s="14" t="s">
        <v>12</v>
      </c>
      <c r="F89" s="13" t="s">
        <v>13</v>
      </c>
      <c r="G89" s="15" t="s">
        <v>14</v>
      </c>
      <c r="H89" s="15" t="s">
        <v>15</v>
      </c>
      <c r="I89" s="16">
        <v>26</v>
      </c>
      <c r="J89" s="17">
        <v>69700</v>
      </c>
    </row>
    <row r="90" spans="1:10" s="18" customFormat="1" x14ac:dyDescent="0.25">
      <c r="A90" s="10">
        <v>85</v>
      </c>
      <c r="B90" s="11">
        <v>45874</v>
      </c>
      <c r="C90" s="12" t="s">
        <v>99</v>
      </c>
      <c r="D90" s="13" t="s">
        <v>11</v>
      </c>
      <c r="E90" s="14" t="s">
        <v>12</v>
      </c>
      <c r="F90" s="13" t="s">
        <v>13</v>
      </c>
      <c r="G90" s="15" t="s">
        <v>14</v>
      </c>
      <c r="H90" s="15" t="s">
        <v>15</v>
      </c>
      <c r="I90" s="16">
        <v>26</v>
      </c>
      <c r="J90" s="17">
        <v>91250</v>
      </c>
    </row>
    <row r="91" spans="1:10" s="18" customFormat="1" x14ac:dyDescent="0.25">
      <c r="A91" s="10">
        <v>86</v>
      </c>
      <c r="B91" s="11">
        <v>45874</v>
      </c>
      <c r="C91" s="12" t="s">
        <v>100</v>
      </c>
      <c r="D91" s="13" t="s">
        <v>11</v>
      </c>
      <c r="E91" s="14" t="s">
        <v>12</v>
      </c>
      <c r="F91" s="13" t="s">
        <v>13</v>
      </c>
      <c r="G91" s="15" t="s">
        <v>14</v>
      </c>
      <c r="H91" s="15" t="s">
        <v>15</v>
      </c>
      <c r="I91" s="16">
        <v>26</v>
      </c>
      <c r="J91" s="17">
        <v>109350</v>
      </c>
    </row>
    <row r="92" spans="1:10" s="18" customFormat="1" x14ac:dyDescent="0.25">
      <c r="A92" s="10">
        <v>87</v>
      </c>
      <c r="B92" s="11">
        <v>45874</v>
      </c>
      <c r="C92" s="12" t="s">
        <v>101</v>
      </c>
      <c r="D92" s="13" t="s">
        <v>11</v>
      </c>
      <c r="E92" s="14" t="s">
        <v>12</v>
      </c>
      <c r="F92" s="13" t="s">
        <v>13</v>
      </c>
      <c r="G92" s="15" t="s">
        <v>14</v>
      </c>
      <c r="H92" s="15" t="s">
        <v>15</v>
      </c>
      <c r="I92" s="16">
        <v>26</v>
      </c>
      <c r="J92" s="17">
        <v>109350</v>
      </c>
    </row>
    <row r="93" spans="1:10" s="18" customFormat="1" x14ac:dyDescent="0.25">
      <c r="A93" s="10">
        <v>88</v>
      </c>
      <c r="B93" s="11">
        <v>45874</v>
      </c>
      <c r="C93" s="12" t="s">
        <v>102</v>
      </c>
      <c r="D93" s="13" t="s">
        <v>11</v>
      </c>
      <c r="E93" s="14" t="s">
        <v>12</v>
      </c>
      <c r="F93" s="13" t="s">
        <v>13</v>
      </c>
      <c r="G93" s="15" t="s">
        <v>14</v>
      </c>
      <c r="H93" s="15" t="s">
        <v>15</v>
      </c>
      <c r="I93" s="16">
        <v>26</v>
      </c>
      <c r="J93" s="17">
        <v>156735</v>
      </c>
    </row>
    <row r="94" spans="1:10" s="18" customFormat="1" x14ac:dyDescent="0.25">
      <c r="A94" s="10">
        <v>89</v>
      </c>
      <c r="B94" s="11">
        <v>45874</v>
      </c>
      <c r="C94" s="12" t="s">
        <v>103</v>
      </c>
      <c r="D94" s="13" t="s">
        <v>11</v>
      </c>
      <c r="E94" s="14" t="s">
        <v>12</v>
      </c>
      <c r="F94" s="13" t="s">
        <v>13</v>
      </c>
      <c r="G94" s="15" t="s">
        <v>14</v>
      </c>
      <c r="H94" s="15" t="s">
        <v>15</v>
      </c>
      <c r="I94" s="16">
        <v>26</v>
      </c>
      <c r="J94" s="17">
        <v>226395</v>
      </c>
    </row>
    <row r="95" spans="1:10" s="18" customFormat="1" x14ac:dyDescent="0.25">
      <c r="A95" s="10">
        <v>90</v>
      </c>
      <c r="B95" s="11">
        <v>45874</v>
      </c>
      <c r="C95" s="12" t="s">
        <v>104</v>
      </c>
      <c r="D95" s="13" t="s">
        <v>11</v>
      </c>
      <c r="E95" s="14" t="s">
        <v>12</v>
      </c>
      <c r="F95" s="13" t="s">
        <v>13</v>
      </c>
      <c r="G95" s="15" t="s">
        <v>14</v>
      </c>
      <c r="H95" s="15" t="s">
        <v>15</v>
      </c>
      <c r="I95" s="16">
        <v>26</v>
      </c>
      <c r="J95" s="17">
        <v>226395</v>
      </c>
    </row>
    <row r="96" spans="1:10" s="18" customFormat="1" x14ac:dyDescent="0.25">
      <c r="A96" s="10">
        <v>91</v>
      </c>
      <c r="B96" s="11">
        <v>45874</v>
      </c>
      <c r="C96" s="12" t="s">
        <v>105</v>
      </c>
      <c r="D96" s="13" t="s">
        <v>11</v>
      </c>
      <c r="E96" s="14" t="s">
        <v>12</v>
      </c>
      <c r="F96" s="13" t="s">
        <v>13</v>
      </c>
      <c r="G96" s="15" t="s">
        <v>14</v>
      </c>
      <c r="H96" s="15" t="s">
        <v>15</v>
      </c>
      <c r="I96" s="16">
        <v>26</v>
      </c>
      <c r="J96" s="17">
        <v>250800</v>
      </c>
    </row>
    <row r="97" spans="1:10" s="18" customFormat="1" x14ac:dyDescent="0.25">
      <c r="A97" s="10">
        <v>92</v>
      </c>
      <c r="B97" s="11">
        <v>45874</v>
      </c>
      <c r="C97" s="12" t="s">
        <v>106</v>
      </c>
      <c r="D97" s="13" t="s">
        <v>11</v>
      </c>
      <c r="E97" s="14" t="s">
        <v>12</v>
      </c>
      <c r="F97" s="13" t="s">
        <v>13</v>
      </c>
      <c r="G97" s="15" t="s">
        <v>14</v>
      </c>
      <c r="H97" s="15" t="s">
        <v>15</v>
      </c>
      <c r="I97" s="16">
        <v>26</v>
      </c>
      <c r="J97" s="17">
        <v>353400</v>
      </c>
    </row>
    <row r="98" spans="1:10" s="18" customFormat="1" x14ac:dyDescent="0.25">
      <c r="A98" s="10">
        <v>93</v>
      </c>
      <c r="B98" s="11">
        <v>45874</v>
      </c>
      <c r="C98" s="12" t="s">
        <v>107</v>
      </c>
      <c r="D98" s="13" t="s">
        <v>11</v>
      </c>
      <c r="E98" s="14" t="s">
        <v>12</v>
      </c>
      <c r="F98" s="13" t="s">
        <v>13</v>
      </c>
      <c r="G98" s="15" t="s">
        <v>14</v>
      </c>
      <c r="H98" s="15" t="s">
        <v>15</v>
      </c>
      <c r="I98" s="16">
        <v>26</v>
      </c>
      <c r="J98" s="17">
        <v>452790</v>
      </c>
    </row>
    <row r="99" spans="1:10" s="18" customFormat="1" x14ac:dyDescent="0.25">
      <c r="A99" s="10">
        <v>94</v>
      </c>
      <c r="B99" s="11">
        <v>45874</v>
      </c>
      <c r="C99" s="12" t="s">
        <v>108</v>
      </c>
      <c r="D99" s="13" t="s">
        <v>11</v>
      </c>
      <c r="E99" s="14" t="s">
        <v>12</v>
      </c>
      <c r="F99" s="13" t="s">
        <v>13</v>
      </c>
      <c r="G99" s="15" t="s">
        <v>14</v>
      </c>
      <c r="H99" s="15" t="s">
        <v>15</v>
      </c>
      <c r="I99" s="16">
        <v>26</v>
      </c>
      <c r="J99" s="17">
        <v>574695</v>
      </c>
    </row>
    <row r="100" spans="1:10" s="18" customFormat="1" x14ac:dyDescent="0.25">
      <c r="A100" s="10">
        <v>95</v>
      </c>
      <c r="B100" s="11">
        <v>45875</v>
      </c>
      <c r="C100" s="12" t="s">
        <v>109</v>
      </c>
      <c r="D100" s="13" t="s">
        <v>11</v>
      </c>
      <c r="E100" s="14" t="s">
        <v>12</v>
      </c>
      <c r="F100" s="13" t="s">
        <v>13</v>
      </c>
      <c r="G100" s="15" t="s">
        <v>14</v>
      </c>
      <c r="H100" s="15" t="s">
        <v>15</v>
      </c>
      <c r="I100" s="16">
        <v>25</v>
      </c>
      <c r="J100" s="17">
        <v>58050</v>
      </c>
    </row>
    <row r="101" spans="1:10" s="18" customFormat="1" x14ac:dyDescent="0.25">
      <c r="A101" s="10">
        <v>96</v>
      </c>
      <c r="B101" s="11">
        <v>45875</v>
      </c>
      <c r="C101" s="12" t="s">
        <v>110</v>
      </c>
      <c r="D101" s="13" t="s">
        <v>11</v>
      </c>
      <c r="E101" s="14" t="s">
        <v>12</v>
      </c>
      <c r="F101" s="13" t="s">
        <v>13</v>
      </c>
      <c r="G101" s="15" t="s">
        <v>14</v>
      </c>
      <c r="H101" s="15" t="s">
        <v>15</v>
      </c>
      <c r="I101" s="16">
        <v>25</v>
      </c>
      <c r="J101" s="17">
        <v>156735</v>
      </c>
    </row>
    <row r="102" spans="1:10" s="18" customFormat="1" x14ac:dyDescent="0.25">
      <c r="A102" s="10">
        <v>97</v>
      </c>
      <c r="B102" s="11">
        <v>45875</v>
      </c>
      <c r="C102" s="12" t="s">
        <v>111</v>
      </c>
      <c r="D102" s="13" t="s">
        <v>11</v>
      </c>
      <c r="E102" s="14" t="s">
        <v>12</v>
      </c>
      <c r="F102" s="13" t="s">
        <v>13</v>
      </c>
      <c r="G102" s="15" t="s">
        <v>14</v>
      </c>
      <c r="H102" s="15" t="s">
        <v>15</v>
      </c>
      <c r="I102" s="16">
        <v>25</v>
      </c>
      <c r="J102" s="17">
        <v>156735</v>
      </c>
    </row>
    <row r="103" spans="1:10" s="18" customFormat="1" x14ac:dyDescent="0.25">
      <c r="A103" s="10">
        <v>98</v>
      </c>
      <c r="B103" s="11">
        <v>45875</v>
      </c>
      <c r="C103" s="12" t="s">
        <v>112</v>
      </c>
      <c r="D103" s="13" t="s">
        <v>11</v>
      </c>
      <c r="E103" s="14" t="s">
        <v>12</v>
      </c>
      <c r="F103" s="13" t="s">
        <v>13</v>
      </c>
      <c r="G103" s="15" t="s">
        <v>14</v>
      </c>
      <c r="H103" s="15" t="s">
        <v>15</v>
      </c>
      <c r="I103" s="16">
        <v>25</v>
      </c>
      <c r="J103" s="17">
        <v>156735</v>
      </c>
    </row>
    <row r="104" spans="1:10" s="18" customFormat="1" x14ac:dyDescent="0.25">
      <c r="A104" s="10">
        <v>99</v>
      </c>
      <c r="B104" s="11">
        <v>45875</v>
      </c>
      <c r="C104" s="12" t="s">
        <v>113</v>
      </c>
      <c r="D104" s="13" t="s">
        <v>11</v>
      </c>
      <c r="E104" s="14" t="s">
        <v>12</v>
      </c>
      <c r="F104" s="13" t="s">
        <v>13</v>
      </c>
      <c r="G104" s="15" t="s">
        <v>14</v>
      </c>
      <c r="H104" s="15" t="s">
        <v>15</v>
      </c>
      <c r="I104" s="16">
        <v>25</v>
      </c>
      <c r="J104" s="17">
        <v>156735</v>
      </c>
    </row>
    <row r="105" spans="1:10" s="18" customFormat="1" x14ac:dyDescent="0.25">
      <c r="A105" s="10">
        <v>100</v>
      </c>
      <c r="B105" s="11">
        <v>45875</v>
      </c>
      <c r="C105" s="12" t="s">
        <v>114</v>
      </c>
      <c r="D105" s="13" t="s">
        <v>11</v>
      </c>
      <c r="E105" s="14" t="s">
        <v>12</v>
      </c>
      <c r="F105" s="13" t="s">
        <v>13</v>
      </c>
      <c r="G105" s="15" t="s">
        <v>14</v>
      </c>
      <c r="H105" s="15" t="s">
        <v>15</v>
      </c>
      <c r="I105" s="16">
        <v>25</v>
      </c>
      <c r="J105" s="17">
        <v>218700</v>
      </c>
    </row>
    <row r="106" spans="1:10" s="18" customFormat="1" x14ac:dyDescent="0.25">
      <c r="A106" s="10">
        <v>101</v>
      </c>
      <c r="B106" s="11">
        <v>45876</v>
      </c>
      <c r="C106" s="12" t="s">
        <v>115</v>
      </c>
      <c r="D106" s="13" t="s">
        <v>11</v>
      </c>
      <c r="E106" s="14" t="s">
        <v>12</v>
      </c>
      <c r="F106" s="13" t="s">
        <v>13</v>
      </c>
      <c r="G106" s="15" t="s">
        <v>14</v>
      </c>
      <c r="H106" s="15" t="s">
        <v>15</v>
      </c>
      <c r="I106" s="16">
        <v>24</v>
      </c>
      <c r="J106" s="17">
        <v>37625</v>
      </c>
    </row>
    <row r="107" spans="1:10" s="18" customFormat="1" x14ac:dyDescent="0.25">
      <c r="A107" s="10">
        <v>102</v>
      </c>
      <c r="B107" s="11">
        <v>45876</v>
      </c>
      <c r="C107" s="12" t="s">
        <v>116</v>
      </c>
      <c r="D107" s="13" t="s">
        <v>11</v>
      </c>
      <c r="E107" s="14" t="s">
        <v>12</v>
      </c>
      <c r="F107" s="13" t="s">
        <v>13</v>
      </c>
      <c r="G107" s="15" t="s">
        <v>14</v>
      </c>
      <c r="H107" s="15" t="s">
        <v>15</v>
      </c>
      <c r="I107" s="16">
        <v>24</v>
      </c>
      <c r="J107" s="17">
        <v>39475</v>
      </c>
    </row>
    <row r="108" spans="1:10" s="18" customFormat="1" x14ac:dyDescent="0.25">
      <c r="A108" s="10">
        <v>103</v>
      </c>
      <c r="B108" s="11">
        <v>45876</v>
      </c>
      <c r="C108" s="12" t="s">
        <v>117</v>
      </c>
      <c r="D108" s="13" t="s">
        <v>11</v>
      </c>
      <c r="E108" s="14" t="s">
        <v>12</v>
      </c>
      <c r="F108" s="13" t="s">
        <v>13</v>
      </c>
      <c r="G108" s="15" t="s">
        <v>14</v>
      </c>
      <c r="H108" s="15" t="s">
        <v>15</v>
      </c>
      <c r="I108" s="16">
        <v>24</v>
      </c>
      <c r="J108" s="17">
        <v>40635</v>
      </c>
    </row>
    <row r="109" spans="1:10" s="18" customFormat="1" x14ac:dyDescent="0.25">
      <c r="A109" s="10">
        <v>104</v>
      </c>
      <c r="B109" s="11">
        <v>45876</v>
      </c>
      <c r="C109" s="12" t="s">
        <v>118</v>
      </c>
      <c r="D109" s="13" t="s">
        <v>11</v>
      </c>
      <c r="E109" s="14" t="s">
        <v>12</v>
      </c>
      <c r="F109" s="13" t="s">
        <v>13</v>
      </c>
      <c r="G109" s="15" t="s">
        <v>14</v>
      </c>
      <c r="H109" s="15" t="s">
        <v>15</v>
      </c>
      <c r="I109" s="16">
        <v>24</v>
      </c>
      <c r="J109" s="17">
        <v>47880</v>
      </c>
    </row>
    <row r="110" spans="1:10" s="18" customFormat="1" x14ac:dyDescent="0.25">
      <c r="A110" s="10">
        <v>105</v>
      </c>
      <c r="B110" s="11">
        <v>45876</v>
      </c>
      <c r="C110" s="12" t="s">
        <v>119</v>
      </c>
      <c r="D110" s="13" t="s">
        <v>11</v>
      </c>
      <c r="E110" s="14" t="s">
        <v>12</v>
      </c>
      <c r="F110" s="13" t="s">
        <v>13</v>
      </c>
      <c r="G110" s="15" t="s">
        <v>14</v>
      </c>
      <c r="H110" s="15" t="s">
        <v>15</v>
      </c>
      <c r="I110" s="16">
        <v>24</v>
      </c>
      <c r="J110" s="17">
        <v>69660</v>
      </c>
    </row>
    <row r="111" spans="1:10" s="18" customFormat="1" x14ac:dyDescent="0.25">
      <c r="A111" s="10">
        <v>106</v>
      </c>
      <c r="B111" s="11">
        <v>45876</v>
      </c>
      <c r="C111" s="12" t="s">
        <v>120</v>
      </c>
      <c r="D111" s="13" t="s">
        <v>11</v>
      </c>
      <c r="E111" s="14" t="s">
        <v>12</v>
      </c>
      <c r="F111" s="13" t="s">
        <v>13</v>
      </c>
      <c r="G111" s="15" t="s">
        <v>14</v>
      </c>
      <c r="H111" s="15" t="s">
        <v>15</v>
      </c>
      <c r="I111" s="16">
        <v>24</v>
      </c>
      <c r="J111" s="17">
        <v>106900</v>
      </c>
    </row>
    <row r="112" spans="1:10" s="18" customFormat="1" x14ac:dyDescent="0.25">
      <c r="A112" s="10">
        <v>107</v>
      </c>
      <c r="B112" s="11">
        <v>45876</v>
      </c>
      <c r="C112" s="12" t="s">
        <v>121</v>
      </c>
      <c r="D112" s="13" t="s">
        <v>11</v>
      </c>
      <c r="E112" s="14" t="s">
        <v>12</v>
      </c>
      <c r="F112" s="13" t="s">
        <v>13</v>
      </c>
      <c r="G112" s="15" t="s">
        <v>14</v>
      </c>
      <c r="H112" s="15" t="s">
        <v>15</v>
      </c>
      <c r="I112" s="16">
        <v>24</v>
      </c>
      <c r="J112" s="17">
        <v>114950</v>
      </c>
    </row>
    <row r="113" spans="1:10" s="18" customFormat="1" x14ac:dyDescent="0.25">
      <c r="A113" s="10">
        <v>108</v>
      </c>
      <c r="B113" s="11">
        <v>45876</v>
      </c>
      <c r="C113" s="12" t="s">
        <v>122</v>
      </c>
      <c r="D113" s="13" t="s">
        <v>11</v>
      </c>
      <c r="E113" s="14" t="s">
        <v>12</v>
      </c>
      <c r="F113" s="13" t="s">
        <v>13</v>
      </c>
      <c r="G113" s="15" t="s">
        <v>14</v>
      </c>
      <c r="H113" s="15" t="s">
        <v>15</v>
      </c>
      <c r="I113" s="16">
        <v>24</v>
      </c>
      <c r="J113" s="17">
        <v>116100</v>
      </c>
    </row>
    <row r="114" spans="1:10" s="18" customFormat="1" x14ac:dyDescent="0.25">
      <c r="A114" s="10">
        <v>109</v>
      </c>
      <c r="B114" s="11">
        <v>45876</v>
      </c>
      <c r="C114" s="12" t="s">
        <v>123</v>
      </c>
      <c r="D114" s="13" t="s">
        <v>11</v>
      </c>
      <c r="E114" s="14" t="s">
        <v>12</v>
      </c>
      <c r="F114" s="13" t="s">
        <v>13</v>
      </c>
      <c r="G114" s="15" t="s">
        <v>14</v>
      </c>
      <c r="H114" s="15" t="s">
        <v>15</v>
      </c>
      <c r="I114" s="16">
        <v>24</v>
      </c>
      <c r="J114" s="17">
        <v>127750</v>
      </c>
    </row>
    <row r="115" spans="1:10" s="18" customFormat="1" x14ac:dyDescent="0.25">
      <c r="A115" s="10">
        <v>110</v>
      </c>
      <c r="B115" s="11">
        <v>45876</v>
      </c>
      <c r="C115" s="12" t="s">
        <v>124</v>
      </c>
      <c r="D115" s="13" t="s">
        <v>11</v>
      </c>
      <c r="E115" s="14" t="s">
        <v>12</v>
      </c>
      <c r="F115" s="13" t="s">
        <v>13</v>
      </c>
      <c r="G115" s="15" t="s">
        <v>14</v>
      </c>
      <c r="H115" s="15" t="s">
        <v>15</v>
      </c>
      <c r="I115" s="16">
        <v>24</v>
      </c>
      <c r="J115" s="17">
        <v>146300</v>
      </c>
    </row>
    <row r="116" spans="1:10" s="18" customFormat="1" x14ac:dyDescent="0.25">
      <c r="A116" s="10">
        <v>111</v>
      </c>
      <c r="B116" s="11">
        <v>45876</v>
      </c>
      <c r="C116" s="12" t="s">
        <v>125</v>
      </c>
      <c r="D116" s="13" t="s">
        <v>11</v>
      </c>
      <c r="E116" s="14" t="s">
        <v>12</v>
      </c>
      <c r="F116" s="13" t="s">
        <v>13</v>
      </c>
      <c r="G116" s="15" t="s">
        <v>14</v>
      </c>
      <c r="H116" s="15" t="s">
        <v>15</v>
      </c>
      <c r="I116" s="16">
        <v>24</v>
      </c>
      <c r="J116" s="17">
        <v>581400</v>
      </c>
    </row>
    <row r="117" spans="1:10" s="18" customFormat="1" x14ac:dyDescent="0.25">
      <c r="A117" s="10">
        <v>112</v>
      </c>
      <c r="B117" s="11">
        <v>45876</v>
      </c>
      <c r="C117" s="12" t="s">
        <v>126</v>
      </c>
      <c r="D117" s="13" t="s">
        <v>11</v>
      </c>
      <c r="E117" s="14" t="s">
        <v>12</v>
      </c>
      <c r="F117" s="13" t="s">
        <v>13</v>
      </c>
      <c r="G117" s="15" t="s">
        <v>14</v>
      </c>
      <c r="H117" s="15" t="s">
        <v>15</v>
      </c>
      <c r="I117" s="16">
        <v>24</v>
      </c>
      <c r="J117" s="17">
        <v>923400</v>
      </c>
    </row>
    <row r="118" spans="1:10" s="18" customFormat="1" x14ac:dyDescent="0.25">
      <c r="A118" s="10">
        <v>113</v>
      </c>
      <c r="B118" s="11">
        <v>45876</v>
      </c>
      <c r="C118" s="12" t="s">
        <v>127</v>
      </c>
      <c r="D118" s="13" t="s">
        <v>11</v>
      </c>
      <c r="E118" s="14" t="s">
        <v>12</v>
      </c>
      <c r="F118" s="13" t="s">
        <v>13</v>
      </c>
      <c r="G118" s="15" t="s">
        <v>14</v>
      </c>
      <c r="H118" s="15" t="s">
        <v>15</v>
      </c>
      <c r="I118" s="16">
        <v>24</v>
      </c>
      <c r="J118" s="17">
        <v>1949400</v>
      </c>
    </row>
    <row r="119" spans="1:10" s="18" customFormat="1" x14ac:dyDescent="0.25">
      <c r="A119" s="10">
        <v>114</v>
      </c>
      <c r="B119" s="11">
        <v>45876</v>
      </c>
      <c r="C119" s="12" t="s">
        <v>128</v>
      </c>
      <c r="D119" s="13" t="s">
        <v>11</v>
      </c>
      <c r="E119" s="14" t="s">
        <v>12</v>
      </c>
      <c r="F119" s="13" t="s">
        <v>13</v>
      </c>
      <c r="G119" s="15" t="s">
        <v>14</v>
      </c>
      <c r="H119" s="15" t="s">
        <v>15</v>
      </c>
      <c r="I119" s="16">
        <v>24</v>
      </c>
      <c r="J119" s="17">
        <v>3249000</v>
      </c>
    </row>
    <row r="120" spans="1:10" s="18" customFormat="1" x14ac:dyDescent="0.25">
      <c r="A120" s="10">
        <v>115</v>
      </c>
      <c r="B120" s="11">
        <v>45876</v>
      </c>
      <c r="C120" s="12" t="s">
        <v>129</v>
      </c>
      <c r="D120" s="13" t="s">
        <v>11</v>
      </c>
      <c r="E120" s="14" t="s">
        <v>12</v>
      </c>
      <c r="F120" s="13" t="s">
        <v>13</v>
      </c>
      <c r="G120" s="15" t="s">
        <v>14</v>
      </c>
      <c r="H120" s="15" t="s">
        <v>15</v>
      </c>
      <c r="I120" s="16">
        <v>24</v>
      </c>
      <c r="J120" s="17">
        <v>3249000</v>
      </c>
    </row>
    <row r="121" spans="1:10" s="18" customFormat="1" x14ac:dyDescent="0.25">
      <c r="A121" s="10">
        <v>116</v>
      </c>
      <c r="B121" s="11">
        <v>45876</v>
      </c>
      <c r="C121" s="12" t="s">
        <v>130</v>
      </c>
      <c r="D121" s="13" t="s">
        <v>11</v>
      </c>
      <c r="E121" s="14" t="s">
        <v>12</v>
      </c>
      <c r="F121" s="13" t="s">
        <v>13</v>
      </c>
      <c r="G121" s="15" t="s">
        <v>14</v>
      </c>
      <c r="H121" s="15" t="s">
        <v>15</v>
      </c>
      <c r="I121" s="16">
        <v>24</v>
      </c>
      <c r="J121" s="17">
        <v>3249000</v>
      </c>
    </row>
    <row r="122" spans="1:10" s="18" customFormat="1" x14ac:dyDescent="0.25">
      <c r="A122" s="10">
        <v>117</v>
      </c>
      <c r="B122" s="11">
        <v>45876</v>
      </c>
      <c r="C122" s="12" t="s">
        <v>131</v>
      </c>
      <c r="D122" s="13" t="s">
        <v>11</v>
      </c>
      <c r="E122" s="14" t="s">
        <v>12</v>
      </c>
      <c r="F122" s="13" t="s">
        <v>13</v>
      </c>
      <c r="G122" s="15" t="s">
        <v>14</v>
      </c>
      <c r="H122" s="15" t="s">
        <v>15</v>
      </c>
      <c r="I122" s="16">
        <v>24</v>
      </c>
      <c r="J122" s="17">
        <v>3249000</v>
      </c>
    </row>
    <row r="123" spans="1:10" s="18" customFormat="1" x14ac:dyDescent="0.25">
      <c r="A123" s="10">
        <v>118</v>
      </c>
      <c r="B123" s="11">
        <v>45876</v>
      </c>
      <c r="C123" s="12" t="s">
        <v>132</v>
      </c>
      <c r="D123" s="13" t="s">
        <v>11</v>
      </c>
      <c r="E123" s="14" t="s">
        <v>12</v>
      </c>
      <c r="F123" s="13" t="s">
        <v>13</v>
      </c>
      <c r="G123" s="15" t="s">
        <v>14</v>
      </c>
      <c r="H123" s="15" t="s">
        <v>15</v>
      </c>
      <c r="I123" s="16">
        <v>24</v>
      </c>
      <c r="J123" s="17">
        <v>3249000</v>
      </c>
    </row>
    <row r="124" spans="1:10" s="18" customFormat="1" x14ac:dyDescent="0.25">
      <c r="A124" s="10">
        <v>119</v>
      </c>
      <c r="B124" s="11">
        <v>45876</v>
      </c>
      <c r="C124" s="12" t="s">
        <v>133</v>
      </c>
      <c r="D124" s="13" t="s">
        <v>11</v>
      </c>
      <c r="E124" s="14" t="s">
        <v>12</v>
      </c>
      <c r="F124" s="13" t="s">
        <v>13</v>
      </c>
      <c r="G124" s="15" t="s">
        <v>14</v>
      </c>
      <c r="H124" s="15" t="s">
        <v>15</v>
      </c>
      <c r="I124" s="16">
        <v>24</v>
      </c>
      <c r="J124" s="17">
        <v>3249000</v>
      </c>
    </row>
    <row r="125" spans="1:10" s="18" customFormat="1" x14ac:dyDescent="0.25">
      <c r="A125" s="10">
        <v>120</v>
      </c>
      <c r="B125" s="11">
        <v>45876</v>
      </c>
      <c r="C125" s="12" t="s">
        <v>134</v>
      </c>
      <c r="D125" s="13" t="s">
        <v>11</v>
      </c>
      <c r="E125" s="14" t="s">
        <v>12</v>
      </c>
      <c r="F125" s="13" t="s">
        <v>13</v>
      </c>
      <c r="G125" s="15" t="s">
        <v>14</v>
      </c>
      <c r="H125" s="15" t="s">
        <v>15</v>
      </c>
      <c r="I125" s="16">
        <v>24</v>
      </c>
      <c r="J125" s="17">
        <v>3249000</v>
      </c>
    </row>
    <row r="126" spans="1:10" s="18" customFormat="1" x14ac:dyDescent="0.25">
      <c r="A126" s="10">
        <v>121</v>
      </c>
      <c r="B126" s="11">
        <v>45876</v>
      </c>
      <c r="C126" s="12" t="s">
        <v>135</v>
      </c>
      <c r="D126" s="13" t="s">
        <v>11</v>
      </c>
      <c r="E126" s="14" t="s">
        <v>12</v>
      </c>
      <c r="F126" s="13" t="s">
        <v>13</v>
      </c>
      <c r="G126" s="15" t="s">
        <v>14</v>
      </c>
      <c r="H126" s="15" t="s">
        <v>15</v>
      </c>
      <c r="I126" s="16">
        <v>24</v>
      </c>
      <c r="J126" s="17">
        <v>3249000</v>
      </c>
    </row>
    <row r="127" spans="1:10" s="18" customFormat="1" x14ac:dyDescent="0.25">
      <c r="A127" s="10">
        <v>122</v>
      </c>
      <c r="B127" s="11">
        <v>45876</v>
      </c>
      <c r="C127" s="12" t="s">
        <v>136</v>
      </c>
      <c r="D127" s="13" t="s">
        <v>11</v>
      </c>
      <c r="E127" s="14" t="s">
        <v>12</v>
      </c>
      <c r="F127" s="13" t="s">
        <v>13</v>
      </c>
      <c r="G127" s="15" t="s">
        <v>14</v>
      </c>
      <c r="H127" s="15" t="s">
        <v>15</v>
      </c>
      <c r="I127" s="16">
        <v>24</v>
      </c>
      <c r="J127" s="17">
        <v>3249000</v>
      </c>
    </row>
    <row r="128" spans="1:10" s="18" customFormat="1" x14ac:dyDescent="0.25">
      <c r="A128" s="10">
        <v>123</v>
      </c>
      <c r="B128" s="11">
        <v>45876</v>
      </c>
      <c r="C128" s="12" t="s">
        <v>137</v>
      </c>
      <c r="D128" s="13" t="s">
        <v>11</v>
      </c>
      <c r="E128" s="14" t="s">
        <v>12</v>
      </c>
      <c r="F128" s="13" t="s">
        <v>13</v>
      </c>
      <c r="G128" s="15" t="s">
        <v>14</v>
      </c>
      <c r="H128" s="15" t="s">
        <v>15</v>
      </c>
      <c r="I128" s="16">
        <v>24</v>
      </c>
      <c r="J128" s="17">
        <v>3249000</v>
      </c>
    </row>
    <row r="129" spans="1:10" s="18" customFormat="1" x14ac:dyDescent="0.25">
      <c r="A129" s="10">
        <v>124</v>
      </c>
      <c r="B129" s="11">
        <v>45876</v>
      </c>
      <c r="C129" s="12" t="s">
        <v>138</v>
      </c>
      <c r="D129" s="13" t="s">
        <v>11</v>
      </c>
      <c r="E129" s="14" t="s">
        <v>12</v>
      </c>
      <c r="F129" s="13" t="s">
        <v>13</v>
      </c>
      <c r="G129" s="15" t="s">
        <v>14</v>
      </c>
      <c r="H129" s="15" t="s">
        <v>15</v>
      </c>
      <c r="I129" s="16">
        <v>24</v>
      </c>
      <c r="J129" s="17">
        <v>3249000</v>
      </c>
    </row>
    <row r="130" spans="1:10" s="18" customFormat="1" x14ac:dyDescent="0.25">
      <c r="A130" s="10">
        <v>125</v>
      </c>
      <c r="B130" s="11">
        <v>45876</v>
      </c>
      <c r="C130" s="12" t="s">
        <v>139</v>
      </c>
      <c r="D130" s="13" t="s">
        <v>11</v>
      </c>
      <c r="E130" s="14" t="s">
        <v>12</v>
      </c>
      <c r="F130" s="13" t="s">
        <v>13</v>
      </c>
      <c r="G130" s="15" t="s">
        <v>14</v>
      </c>
      <c r="H130" s="15" t="s">
        <v>15</v>
      </c>
      <c r="I130" s="16">
        <v>24</v>
      </c>
      <c r="J130" s="17">
        <v>3249000</v>
      </c>
    </row>
    <row r="131" spans="1:10" s="18" customFormat="1" x14ac:dyDescent="0.25">
      <c r="A131" s="10">
        <v>126</v>
      </c>
      <c r="B131" s="11">
        <v>45876</v>
      </c>
      <c r="C131" s="12" t="s">
        <v>140</v>
      </c>
      <c r="D131" s="13" t="s">
        <v>11</v>
      </c>
      <c r="E131" s="14" t="s">
        <v>12</v>
      </c>
      <c r="F131" s="13" t="s">
        <v>13</v>
      </c>
      <c r="G131" s="15" t="s">
        <v>14</v>
      </c>
      <c r="H131" s="15" t="s">
        <v>15</v>
      </c>
      <c r="I131" s="16">
        <v>24</v>
      </c>
      <c r="J131" s="17">
        <v>3249000</v>
      </c>
    </row>
    <row r="132" spans="1:10" s="18" customFormat="1" x14ac:dyDescent="0.25">
      <c r="A132" s="10">
        <v>127</v>
      </c>
      <c r="B132" s="11">
        <v>45876</v>
      </c>
      <c r="C132" s="12" t="s">
        <v>141</v>
      </c>
      <c r="D132" s="13" t="s">
        <v>11</v>
      </c>
      <c r="E132" s="14" t="s">
        <v>12</v>
      </c>
      <c r="F132" s="13" t="s">
        <v>13</v>
      </c>
      <c r="G132" s="15" t="s">
        <v>14</v>
      </c>
      <c r="H132" s="15" t="s">
        <v>15</v>
      </c>
      <c r="I132" s="16">
        <v>24</v>
      </c>
      <c r="J132" s="17">
        <v>3249000</v>
      </c>
    </row>
    <row r="133" spans="1:10" s="18" customFormat="1" x14ac:dyDescent="0.25">
      <c r="A133" s="10">
        <v>128</v>
      </c>
      <c r="B133" s="11">
        <v>45877</v>
      </c>
      <c r="C133" s="12" t="s">
        <v>142</v>
      </c>
      <c r="D133" s="13" t="s">
        <v>11</v>
      </c>
      <c r="E133" s="14" t="s">
        <v>12</v>
      </c>
      <c r="F133" s="13" t="s">
        <v>13</v>
      </c>
      <c r="G133" s="15" t="s">
        <v>14</v>
      </c>
      <c r="H133" s="15" t="s">
        <v>15</v>
      </c>
      <c r="I133" s="16">
        <v>23</v>
      </c>
      <c r="J133" s="17">
        <v>31950</v>
      </c>
    </row>
    <row r="134" spans="1:10" s="18" customFormat="1" x14ac:dyDescent="0.25">
      <c r="A134" s="10">
        <v>129</v>
      </c>
      <c r="B134" s="11">
        <v>45877</v>
      </c>
      <c r="C134" s="12" t="s">
        <v>143</v>
      </c>
      <c r="D134" s="13" t="s">
        <v>11</v>
      </c>
      <c r="E134" s="14" t="s">
        <v>12</v>
      </c>
      <c r="F134" s="13" t="s">
        <v>13</v>
      </c>
      <c r="G134" s="15" t="s">
        <v>14</v>
      </c>
      <c r="H134" s="15" t="s">
        <v>15</v>
      </c>
      <c r="I134" s="16">
        <v>23</v>
      </c>
      <c r="J134" s="17">
        <v>98685</v>
      </c>
    </row>
    <row r="135" spans="1:10" s="18" customFormat="1" x14ac:dyDescent="0.25">
      <c r="A135" s="10">
        <v>130</v>
      </c>
      <c r="B135" s="11">
        <v>45877</v>
      </c>
      <c r="C135" s="12" t="s">
        <v>144</v>
      </c>
      <c r="D135" s="13" t="s">
        <v>11</v>
      </c>
      <c r="E135" s="14" t="s">
        <v>12</v>
      </c>
      <c r="F135" s="13" t="s">
        <v>13</v>
      </c>
      <c r="G135" s="15" t="s">
        <v>14</v>
      </c>
      <c r="H135" s="15" t="s">
        <v>15</v>
      </c>
      <c r="I135" s="16">
        <v>23</v>
      </c>
      <c r="J135" s="17">
        <v>109350</v>
      </c>
    </row>
    <row r="136" spans="1:10" s="18" customFormat="1" x14ac:dyDescent="0.25">
      <c r="A136" s="10">
        <v>131</v>
      </c>
      <c r="B136" s="11">
        <v>45877</v>
      </c>
      <c r="C136" s="12" t="s">
        <v>145</v>
      </c>
      <c r="D136" s="13" t="s">
        <v>11</v>
      </c>
      <c r="E136" s="14" t="s">
        <v>12</v>
      </c>
      <c r="F136" s="13" t="s">
        <v>13</v>
      </c>
      <c r="G136" s="15" t="s">
        <v>14</v>
      </c>
      <c r="H136" s="15" t="s">
        <v>15</v>
      </c>
      <c r="I136" s="16">
        <v>23</v>
      </c>
      <c r="J136" s="17">
        <v>109350</v>
      </c>
    </row>
    <row r="137" spans="1:10" s="18" customFormat="1" x14ac:dyDescent="0.25">
      <c r="A137" s="10">
        <v>132</v>
      </c>
      <c r="B137" s="11">
        <v>45877</v>
      </c>
      <c r="C137" s="12" t="s">
        <v>146</v>
      </c>
      <c r="D137" s="13" t="s">
        <v>11</v>
      </c>
      <c r="E137" s="14" t="s">
        <v>12</v>
      </c>
      <c r="F137" s="13" t="s">
        <v>13</v>
      </c>
      <c r="G137" s="15" t="s">
        <v>14</v>
      </c>
      <c r="H137" s="15" t="s">
        <v>15</v>
      </c>
      <c r="I137" s="16">
        <v>23</v>
      </c>
      <c r="J137" s="17">
        <v>110295</v>
      </c>
    </row>
    <row r="138" spans="1:10" s="18" customFormat="1" x14ac:dyDescent="0.25">
      <c r="A138" s="10">
        <v>133</v>
      </c>
      <c r="B138" s="11">
        <v>45877</v>
      </c>
      <c r="C138" s="12" t="s">
        <v>147</v>
      </c>
      <c r="D138" s="13" t="s">
        <v>11</v>
      </c>
      <c r="E138" s="14" t="s">
        <v>12</v>
      </c>
      <c r="F138" s="13" t="s">
        <v>13</v>
      </c>
      <c r="G138" s="15" t="s">
        <v>14</v>
      </c>
      <c r="H138" s="15" t="s">
        <v>15</v>
      </c>
      <c r="I138" s="16">
        <v>23</v>
      </c>
      <c r="J138" s="17">
        <v>146300</v>
      </c>
    </row>
    <row r="139" spans="1:10" s="18" customFormat="1" x14ac:dyDescent="0.25">
      <c r="A139" s="10">
        <v>134</v>
      </c>
      <c r="B139" s="11">
        <v>45877</v>
      </c>
      <c r="C139" s="12" t="s">
        <v>148</v>
      </c>
      <c r="D139" s="13" t="s">
        <v>11</v>
      </c>
      <c r="E139" s="14" t="s">
        <v>12</v>
      </c>
      <c r="F139" s="13" t="s">
        <v>13</v>
      </c>
      <c r="G139" s="15" t="s">
        <v>14</v>
      </c>
      <c r="H139" s="15" t="s">
        <v>15</v>
      </c>
      <c r="I139" s="16">
        <v>23</v>
      </c>
      <c r="J139" s="17">
        <v>156735</v>
      </c>
    </row>
    <row r="140" spans="1:10" s="18" customFormat="1" x14ac:dyDescent="0.25">
      <c r="A140" s="10">
        <v>135</v>
      </c>
      <c r="B140" s="11">
        <v>45877</v>
      </c>
      <c r="C140" s="12" t="s">
        <v>149</v>
      </c>
      <c r="D140" s="13" t="s">
        <v>11</v>
      </c>
      <c r="E140" s="14" t="s">
        <v>12</v>
      </c>
      <c r="F140" s="13" t="s">
        <v>13</v>
      </c>
      <c r="G140" s="15" t="s">
        <v>14</v>
      </c>
      <c r="H140" s="15" t="s">
        <v>15</v>
      </c>
      <c r="I140" s="16">
        <v>23</v>
      </c>
      <c r="J140" s="17">
        <v>156735</v>
      </c>
    </row>
    <row r="141" spans="1:10" s="18" customFormat="1" x14ac:dyDescent="0.25">
      <c r="A141" s="10">
        <v>136</v>
      </c>
      <c r="B141" s="11">
        <v>45877</v>
      </c>
      <c r="C141" s="12" t="s">
        <v>150</v>
      </c>
      <c r="D141" s="13" t="s">
        <v>11</v>
      </c>
      <c r="E141" s="14" t="s">
        <v>12</v>
      </c>
      <c r="F141" s="13" t="s">
        <v>13</v>
      </c>
      <c r="G141" s="15" t="s">
        <v>14</v>
      </c>
      <c r="H141" s="15" t="s">
        <v>15</v>
      </c>
      <c r="I141" s="16">
        <v>23</v>
      </c>
      <c r="J141" s="17">
        <v>226395</v>
      </c>
    </row>
    <row r="142" spans="1:10" s="18" customFormat="1" x14ac:dyDescent="0.25">
      <c r="A142" s="10">
        <v>137</v>
      </c>
      <c r="B142" s="11">
        <v>45877</v>
      </c>
      <c r="C142" s="12" t="s">
        <v>151</v>
      </c>
      <c r="D142" s="13" t="s">
        <v>11</v>
      </c>
      <c r="E142" s="14" t="s">
        <v>12</v>
      </c>
      <c r="F142" s="13" t="s">
        <v>13</v>
      </c>
      <c r="G142" s="15" t="s">
        <v>14</v>
      </c>
      <c r="H142" s="15" t="s">
        <v>15</v>
      </c>
      <c r="I142" s="16">
        <v>23</v>
      </c>
      <c r="J142" s="17">
        <v>752500</v>
      </c>
    </row>
    <row r="143" spans="1:10" s="18" customFormat="1" x14ac:dyDescent="0.25">
      <c r="A143" s="10">
        <v>138</v>
      </c>
      <c r="B143" s="11">
        <v>45878</v>
      </c>
      <c r="C143" s="12" t="s">
        <v>152</v>
      </c>
      <c r="D143" s="13" t="s">
        <v>11</v>
      </c>
      <c r="E143" s="14" t="s">
        <v>12</v>
      </c>
      <c r="F143" s="13" t="s">
        <v>13</v>
      </c>
      <c r="G143" s="15" t="s">
        <v>14</v>
      </c>
      <c r="H143" s="15" t="s">
        <v>15</v>
      </c>
      <c r="I143" s="16">
        <v>22</v>
      </c>
      <c r="J143" s="17">
        <v>17415</v>
      </c>
    </row>
    <row r="144" spans="1:10" s="18" customFormat="1" x14ac:dyDescent="0.25">
      <c r="A144" s="10">
        <v>139</v>
      </c>
      <c r="B144" s="11">
        <v>45878</v>
      </c>
      <c r="C144" s="12" t="s">
        <v>153</v>
      </c>
      <c r="D144" s="13" t="s">
        <v>11</v>
      </c>
      <c r="E144" s="14" t="s">
        <v>12</v>
      </c>
      <c r="F144" s="13" t="s">
        <v>13</v>
      </c>
      <c r="G144" s="15" t="s">
        <v>14</v>
      </c>
      <c r="H144" s="15" t="s">
        <v>15</v>
      </c>
      <c r="I144" s="16">
        <v>22</v>
      </c>
      <c r="J144" s="17">
        <v>29025</v>
      </c>
    </row>
    <row r="145" spans="1:10" s="18" customFormat="1" x14ac:dyDescent="0.25">
      <c r="A145" s="10">
        <v>140</v>
      </c>
      <c r="B145" s="11">
        <v>45878</v>
      </c>
      <c r="C145" s="12" t="s">
        <v>154</v>
      </c>
      <c r="D145" s="13" t="s">
        <v>11</v>
      </c>
      <c r="E145" s="14" t="s">
        <v>12</v>
      </c>
      <c r="F145" s="13" t="s">
        <v>13</v>
      </c>
      <c r="G145" s="15" t="s">
        <v>14</v>
      </c>
      <c r="H145" s="15" t="s">
        <v>15</v>
      </c>
      <c r="I145" s="16">
        <v>22</v>
      </c>
      <c r="J145" s="17">
        <v>31950</v>
      </c>
    </row>
    <row r="146" spans="1:10" s="18" customFormat="1" x14ac:dyDescent="0.25">
      <c r="A146" s="10">
        <v>141</v>
      </c>
      <c r="B146" s="11">
        <v>45878</v>
      </c>
      <c r="C146" s="12" t="s">
        <v>155</v>
      </c>
      <c r="D146" s="13" t="s">
        <v>11</v>
      </c>
      <c r="E146" s="14" t="s">
        <v>12</v>
      </c>
      <c r="F146" s="13" t="s">
        <v>13</v>
      </c>
      <c r="G146" s="15" t="s">
        <v>14</v>
      </c>
      <c r="H146" s="15" t="s">
        <v>15</v>
      </c>
      <c r="I146" s="16">
        <v>22</v>
      </c>
      <c r="J146" s="17">
        <v>33675</v>
      </c>
    </row>
    <row r="147" spans="1:10" s="18" customFormat="1" x14ac:dyDescent="0.25">
      <c r="A147" s="10">
        <v>142</v>
      </c>
      <c r="B147" s="11">
        <v>45878</v>
      </c>
      <c r="C147" s="12" t="s">
        <v>156</v>
      </c>
      <c r="D147" s="13" t="s">
        <v>11</v>
      </c>
      <c r="E147" s="14" t="s">
        <v>12</v>
      </c>
      <c r="F147" s="13" t="s">
        <v>13</v>
      </c>
      <c r="G147" s="15" t="s">
        <v>14</v>
      </c>
      <c r="H147" s="15" t="s">
        <v>15</v>
      </c>
      <c r="I147" s="16">
        <v>22</v>
      </c>
      <c r="J147" s="17">
        <v>47025</v>
      </c>
    </row>
    <row r="148" spans="1:10" s="18" customFormat="1" x14ac:dyDescent="0.25">
      <c r="A148" s="10">
        <v>143</v>
      </c>
      <c r="B148" s="11">
        <v>45878</v>
      </c>
      <c r="C148" s="12" t="s">
        <v>157</v>
      </c>
      <c r="D148" s="13" t="s">
        <v>11</v>
      </c>
      <c r="E148" s="14" t="s">
        <v>12</v>
      </c>
      <c r="F148" s="13" t="s">
        <v>13</v>
      </c>
      <c r="G148" s="15" t="s">
        <v>14</v>
      </c>
      <c r="H148" s="15" t="s">
        <v>15</v>
      </c>
      <c r="I148" s="16">
        <v>22</v>
      </c>
      <c r="J148" s="17">
        <v>48765</v>
      </c>
    </row>
    <row r="149" spans="1:10" s="18" customFormat="1" x14ac:dyDescent="0.25">
      <c r="A149" s="10">
        <v>144</v>
      </c>
      <c r="B149" s="11">
        <v>45878</v>
      </c>
      <c r="C149" s="12" t="s">
        <v>158</v>
      </c>
      <c r="D149" s="13" t="s">
        <v>11</v>
      </c>
      <c r="E149" s="14" t="s">
        <v>12</v>
      </c>
      <c r="F149" s="13" t="s">
        <v>13</v>
      </c>
      <c r="G149" s="15" t="s">
        <v>14</v>
      </c>
      <c r="H149" s="15" t="s">
        <v>15</v>
      </c>
      <c r="I149" s="16">
        <v>22</v>
      </c>
      <c r="J149" s="17">
        <v>83015</v>
      </c>
    </row>
    <row r="150" spans="1:10" s="18" customFormat="1" x14ac:dyDescent="0.25">
      <c r="A150" s="10">
        <v>145</v>
      </c>
      <c r="B150" s="11">
        <v>45878</v>
      </c>
      <c r="C150" s="12" t="s">
        <v>159</v>
      </c>
      <c r="D150" s="13" t="s">
        <v>11</v>
      </c>
      <c r="E150" s="14" t="s">
        <v>12</v>
      </c>
      <c r="F150" s="13" t="s">
        <v>13</v>
      </c>
      <c r="G150" s="15" t="s">
        <v>14</v>
      </c>
      <c r="H150" s="15" t="s">
        <v>15</v>
      </c>
      <c r="I150" s="16">
        <v>22</v>
      </c>
      <c r="J150" s="17">
        <v>92900</v>
      </c>
    </row>
    <row r="151" spans="1:10" s="18" customFormat="1" x14ac:dyDescent="0.25">
      <c r="A151" s="10">
        <v>146</v>
      </c>
      <c r="B151" s="11">
        <v>45878</v>
      </c>
      <c r="C151" s="12" t="s">
        <v>160</v>
      </c>
      <c r="D151" s="13" t="s">
        <v>11</v>
      </c>
      <c r="E151" s="14" t="s">
        <v>12</v>
      </c>
      <c r="F151" s="13" t="s">
        <v>13</v>
      </c>
      <c r="G151" s="15" t="s">
        <v>14</v>
      </c>
      <c r="H151" s="15" t="s">
        <v>15</v>
      </c>
      <c r="I151" s="16">
        <v>22</v>
      </c>
      <c r="J151" s="17">
        <v>109350</v>
      </c>
    </row>
    <row r="152" spans="1:10" s="18" customFormat="1" x14ac:dyDescent="0.25">
      <c r="A152" s="10">
        <v>147</v>
      </c>
      <c r="B152" s="11">
        <v>45878</v>
      </c>
      <c r="C152" s="12" t="s">
        <v>161</v>
      </c>
      <c r="D152" s="13" t="s">
        <v>11</v>
      </c>
      <c r="E152" s="14" t="s">
        <v>12</v>
      </c>
      <c r="F152" s="13" t="s">
        <v>13</v>
      </c>
      <c r="G152" s="15" t="s">
        <v>14</v>
      </c>
      <c r="H152" s="15" t="s">
        <v>15</v>
      </c>
      <c r="I152" s="16">
        <v>22</v>
      </c>
      <c r="J152" s="17">
        <v>146300</v>
      </c>
    </row>
    <row r="153" spans="1:10" s="18" customFormat="1" x14ac:dyDescent="0.25">
      <c r="A153" s="10">
        <v>148</v>
      </c>
      <c r="B153" s="11">
        <v>45878</v>
      </c>
      <c r="C153" s="12" t="s">
        <v>162</v>
      </c>
      <c r="D153" s="13" t="s">
        <v>11</v>
      </c>
      <c r="E153" s="14" t="s">
        <v>12</v>
      </c>
      <c r="F153" s="13" t="s">
        <v>13</v>
      </c>
      <c r="G153" s="15" t="s">
        <v>14</v>
      </c>
      <c r="H153" s="15" t="s">
        <v>15</v>
      </c>
      <c r="I153" s="16">
        <v>22</v>
      </c>
      <c r="J153" s="17">
        <v>156735</v>
      </c>
    </row>
    <row r="154" spans="1:10" s="18" customFormat="1" x14ac:dyDescent="0.25">
      <c r="A154" s="10">
        <v>149</v>
      </c>
      <c r="B154" s="11">
        <v>45878</v>
      </c>
      <c r="C154" s="12" t="s">
        <v>163</v>
      </c>
      <c r="D154" s="13" t="s">
        <v>11</v>
      </c>
      <c r="E154" s="14" t="s">
        <v>12</v>
      </c>
      <c r="F154" s="13" t="s">
        <v>13</v>
      </c>
      <c r="G154" s="15" t="s">
        <v>14</v>
      </c>
      <c r="H154" s="15" t="s">
        <v>15</v>
      </c>
      <c r="I154" s="16">
        <v>22</v>
      </c>
      <c r="J154" s="17">
        <v>156735</v>
      </c>
    </row>
    <row r="155" spans="1:10" s="18" customFormat="1" x14ac:dyDescent="0.25">
      <c r="A155" s="10">
        <v>150</v>
      </c>
      <c r="B155" s="11">
        <v>45878</v>
      </c>
      <c r="C155" s="12" t="s">
        <v>164</v>
      </c>
      <c r="D155" s="13" t="s">
        <v>11</v>
      </c>
      <c r="E155" s="14" t="s">
        <v>12</v>
      </c>
      <c r="F155" s="13" t="s">
        <v>13</v>
      </c>
      <c r="G155" s="15" t="s">
        <v>14</v>
      </c>
      <c r="H155" s="15" t="s">
        <v>15</v>
      </c>
      <c r="I155" s="16">
        <v>22</v>
      </c>
      <c r="J155" s="17">
        <v>218700</v>
      </c>
    </row>
    <row r="156" spans="1:10" s="18" customFormat="1" x14ac:dyDescent="0.25">
      <c r="A156" s="10">
        <v>151</v>
      </c>
      <c r="B156" s="11">
        <v>45878</v>
      </c>
      <c r="C156" s="12" t="s">
        <v>165</v>
      </c>
      <c r="D156" s="13" t="s">
        <v>11</v>
      </c>
      <c r="E156" s="14" t="s">
        <v>12</v>
      </c>
      <c r="F156" s="13" t="s">
        <v>13</v>
      </c>
      <c r="G156" s="15" t="s">
        <v>14</v>
      </c>
      <c r="H156" s="15" t="s">
        <v>15</v>
      </c>
      <c r="I156" s="16">
        <v>22</v>
      </c>
      <c r="J156" s="17">
        <v>220625</v>
      </c>
    </row>
    <row r="157" spans="1:10" s="18" customFormat="1" x14ac:dyDescent="0.25">
      <c r="A157" s="10">
        <v>152</v>
      </c>
      <c r="B157" s="11">
        <v>45878</v>
      </c>
      <c r="C157" s="12" t="s">
        <v>166</v>
      </c>
      <c r="D157" s="13" t="s">
        <v>11</v>
      </c>
      <c r="E157" s="14" t="s">
        <v>12</v>
      </c>
      <c r="F157" s="13" t="s">
        <v>13</v>
      </c>
      <c r="G157" s="15" t="s">
        <v>14</v>
      </c>
      <c r="H157" s="15" t="s">
        <v>15</v>
      </c>
      <c r="I157" s="16">
        <v>22</v>
      </c>
      <c r="J157" s="17">
        <v>256500</v>
      </c>
    </row>
    <row r="158" spans="1:10" s="18" customFormat="1" x14ac:dyDescent="0.25">
      <c r="A158" s="10">
        <v>153</v>
      </c>
      <c r="B158" s="11">
        <v>45878</v>
      </c>
      <c r="C158" s="12" t="s">
        <v>167</v>
      </c>
      <c r="D158" s="13" t="s">
        <v>11</v>
      </c>
      <c r="E158" s="14" t="s">
        <v>12</v>
      </c>
      <c r="F158" s="13" t="s">
        <v>13</v>
      </c>
      <c r="G158" s="15" t="s">
        <v>14</v>
      </c>
      <c r="H158" s="15" t="s">
        <v>15</v>
      </c>
      <c r="I158" s="16">
        <v>22</v>
      </c>
      <c r="J158" s="17">
        <v>318300</v>
      </c>
    </row>
    <row r="159" spans="1:10" s="18" customFormat="1" x14ac:dyDescent="0.25">
      <c r="A159" s="10">
        <v>154</v>
      </c>
      <c r="B159" s="11">
        <v>45878</v>
      </c>
      <c r="C159" s="12" t="s">
        <v>168</v>
      </c>
      <c r="D159" s="13" t="s">
        <v>11</v>
      </c>
      <c r="E159" s="14" t="s">
        <v>12</v>
      </c>
      <c r="F159" s="13" t="s">
        <v>13</v>
      </c>
      <c r="G159" s="15" t="s">
        <v>14</v>
      </c>
      <c r="H159" s="15" t="s">
        <v>15</v>
      </c>
      <c r="I159" s="16">
        <v>22</v>
      </c>
      <c r="J159" s="17">
        <v>319250</v>
      </c>
    </row>
    <row r="160" spans="1:10" s="18" customFormat="1" x14ac:dyDescent="0.25">
      <c r="A160" s="10">
        <v>155</v>
      </c>
      <c r="B160" s="11">
        <v>45878</v>
      </c>
      <c r="C160" s="12" t="s">
        <v>169</v>
      </c>
      <c r="D160" s="13" t="s">
        <v>11</v>
      </c>
      <c r="E160" s="14" t="s">
        <v>12</v>
      </c>
      <c r="F160" s="13" t="s">
        <v>13</v>
      </c>
      <c r="G160" s="15" t="s">
        <v>14</v>
      </c>
      <c r="H160" s="15" t="s">
        <v>15</v>
      </c>
      <c r="I160" s="16">
        <v>22</v>
      </c>
      <c r="J160" s="17">
        <v>1049000</v>
      </c>
    </row>
    <row r="161" spans="1:10" s="18" customFormat="1" x14ac:dyDescent="0.25">
      <c r="A161" s="10">
        <v>156</v>
      </c>
      <c r="B161" s="11">
        <v>45878</v>
      </c>
      <c r="C161" s="12" t="s">
        <v>170</v>
      </c>
      <c r="D161" s="13" t="s">
        <v>11</v>
      </c>
      <c r="E161" s="14" t="s">
        <v>12</v>
      </c>
      <c r="F161" s="13" t="s">
        <v>13</v>
      </c>
      <c r="G161" s="15" t="s">
        <v>14</v>
      </c>
      <c r="H161" s="15" t="s">
        <v>15</v>
      </c>
      <c r="I161" s="16">
        <v>22</v>
      </c>
      <c r="J161" s="17">
        <v>1071600</v>
      </c>
    </row>
    <row r="162" spans="1:10" s="18" customFormat="1" x14ac:dyDescent="0.25">
      <c r="A162" s="10">
        <v>157</v>
      </c>
      <c r="B162" s="11">
        <v>45880</v>
      </c>
      <c r="C162" s="12" t="s">
        <v>171</v>
      </c>
      <c r="D162" s="13" t="s">
        <v>11</v>
      </c>
      <c r="E162" s="14" t="s">
        <v>12</v>
      </c>
      <c r="F162" s="13" t="s">
        <v>13</v>
      </c>
      <c r="G162" s="15" t="s">
        <v>14</v>
      </c>
      <c r="H162" s="15" t="s">
        <v>15</v>
      </c>
      <c r="I162" s="16">
        <v>20</v>
      </c>
      <c r="J162" s="17">
        <v>51085</v>
      </c>
    </row>
    <row r="163" spans="1:10" s="18" customFormat="1" x14ac:dyDescent="0.25">
      <c r="A163" s="10">
        <v>158</v>
      </c>
      <c r="B163" s="11">
        <v>45880</v>
      </c>
      <c r="C163" s="12" t="s">
        <v>172</v>
      </c>
      <c r="D163" s="13" t="s">
        <v>11</v>
      </c>
      <c r="E163" s="14" t="s">
        <v>12</v>
      </c>
      <c r="F163" s="13" t="s">
        <v>13</v>
      </c>
      <c r="G163" s="15" t="s">
        <v>14</v>
      </c>
      <c r="H163" s="15" t="s">
        <v>15</v>
      </c>
      <c r="I163" s="16">
        <v>20</v>
      </c>
      <c r="J163" s="17">
        <v>54000</v>
      </c>
    </row>
    <row r="164" spans="1:10" s="18" customFormat="1" x14ac:dyDescent="0.25">
      <c r="A164" s="10">
        <v>159</v>
      </c>
      <c r="B164" s="11">
        <v>45880</v>
      </c>
      <c r="C164" s="12" t="s">
        <v>173</v>
      </c>
      <c r="D164" s="13" t="s">
        <v>11</v>
      </c>
      <c r="E164" s="14" t="s">
        <v>12</v>
      </c>
      <c r="F164" s="13" t="s">
        <v>13</v>
      </c>
      <c r="G164" s="15" t="s">
        <v>14</v>
      </c>
      <c r="H164" s="15" t="s">
        <v>15</v>
      </c>
      <c r="I164" s="16">
        <v>20</v>
      </c>
      <c r="J164" s="17">
        <v>54575</v>
      </c>
    </row>
    <row r="165" spans="1:10" s="18" customFormat="1" x14ac:dyDescent="0.25">
      <c r="A165" s="10">
        <v>160</v>
      </c>
      <c r="B165" s="11">
        <v>45880</v>
      </c>
      <c r="C165" s="12" t="s">
        <v>174</v>
      </c>
      <c r="D165" s="13" t="s">
        <v>11</v>
      </c>
      <c r="E165" s="14" t="s">
        <v>12</v>
      </c>
      <c r="F165" s="13" t="s">
        <v>13</v>
      </c>
      <c r="G165" s="15" t="s">
        <v>14</v>
      </c>
      <c r="H165" s="15" t="s">
        <v>15</v>
      </c>
      <c r="I165" s="16">
        <v>20</v>
      </c>
      <c r="J165" s="17">
        <v>60375</v>
      </c>
    </row>
    <row r="166" spans="1:10" s="18" customFormat="1" x14ac:dyDescent="0.25">
      <c r="A166" s="10">
        <v>161</v>
      </c>
      <c r="B166" s="11">
        <v>45880</v>
      </c>
      <c r="C166" s="12" t="s">
        <v>175</v>
      </c>
      <c r="D166" s="13" t="s">
        <v>11</v>
      </c>
      <c r="E166" s="14" t="s">
        <v>12</v>
      </c>
      <c r="F166" s="13" t="s">
        <v>13</v>
      </c>
      <c r="G166" s="15" t="s">
        <v>14</v>
      </c>
      <c r="H166" s="15" t="s">
        <v>15</v>
      </c>
      <c r="I166" s="16">
        <v>20</v>
      </c>
      <c r="J166" s="17">
        <v>62700</v>
      </c>
    </row>
    <row r="167" spans="1:10" s="18" customFormat="1" x14ac:dyDescent="0.25">
      <c r="A167" s="10">
        <v>162</v>
      </c>
      <c r="B167" s="11">
        <v>45880</v>
      </c>
      <c r="C167" s="12" t="s">
        <v>176</v>
      </c>
      <c r="D167" s="13" t="s">
        <v>11</v>
      </c>
      <c r="E167" s="14" t="s">
        <v>12</v>
      </c>
      <c r="F167" s="13" t="s">
        <v>13</v>
      </c>
      <c r="G167" s="15" t="s">
        <v>14</v>
      </c>
      <c r="H167" s="15" t="s">
        <v>15</v>
      </c>
      <c r="I167" s="16">
        <v>20</v>
      </c>
      <c r="J167" s="17">
        <v>69675</v>
      </c>
    </row>
    <row r="168" spans="1:10" s="18" customFormat="1" x14ac:dyDescent="0.25">
      <c r="A168" s="10">
        <v>163</v>
      </c>
      <c r="B168" s="11">
        <v>45880</v>
      </c>
      <c r="C168" s="12" t="s">
        <v>177</v>
      </c>
      <c r="D168" s="13" t="s">
        <v>11</v>
      </c>
      <c r="E168" s="14" t="s">
        <v>12</v>
      </c>
      <c r="F168" s="13" t="s">
        <v>13</v>
      </c>
      <c r="G168" s="15" t="s">
        <v>14</v>
      </c>
      <c r="H168" s="15" t="s">
        <v>15</v>
      </c>
      <c r="I168" s="16">
        <v>20</v>
      </c>
      <c r="J168" s="17">
        <v>69675</v>
      </c>
    </row>
    <row r="169" spans="1:10" s="18" customFormat="1" x14ac:dyDescent="0.25">
      <c r="A169" s="10">
        <v>164</v>
      </c>
      <c r="B169" s="11">
        <v>45880</v>
      </c>
      <c r="C169" s="12" t="s">
        <v>178</v>
      </c>
      <c r="D169" s="13" t="s">
        <v>11</v>
      </c>
      <c r="E169" s="14" t="s">
        <v>12</v>
      </c>
      <c r="F169" s="13" t="s">
        <v>13</v>
      </c>
      <c r="G169" s="15" t="s">
        <v>14</v>
      </c>
      <c r="H169" s="15" t="s">
        <v>15</v>
      </c>
      <c r="I169" s="16">
        <v>20</v>
      </c>
      <c r="J169" s="17">
        <v>98685</v>
      </c>
    </row>
    <row r="170" spans="1:10" s="18" customFormat="1" x14ac:dyDescent="0.25">
      <c r="A170" s="10">
        <v>165</v>
      </c>
      <c r="B170" s="11">
        <v>45880</v>
      </c>
      <c r="C170" s="12" t="s">
        <v>179</v>
      </c>
      <c r="D170" s="13" t="s">
        <v>11</v>
      </c>
      <c r="E170" s="14" t="s">
        <v>12</v>
      </c>
      <c r="F170" s="13" t="s">
        <v>13</v>
      </c>
      <c r="G170" s="15" t="s">
        <v>14</v>
      </c>
      <c r="H170" s="15" t="s">
        <v>15</v>
      </c>
      <c r="I170" s="16">
        <v>20</v>
      </c>
      <c r="J170" s="17">
        <v>114950</v>
      </c>
    </row>
    <row r="171" spans="1:10" s="18" customFormat="1" x14ac:dyDescent="0.25">
      <c r="A171" s="10">
        <v>166</v>
      </c>
      <c r="B171" s="11">
        <v>45880</v>
      </c>
      <c r="C171" s="12" t="s">
        <v>180</v>
      </c>
      <c r="D171" s="13" t="s">
        <v>11</v>
      </c>
      <c r="E171" s="14" t="s">
        <v>12</v>
      </c>
      <c r="F171" s="13" t="s">
        <v>13</v>
      </c>
      <c r="G171" s="15" t="s">
        <v>14</v>
      </c>
      <c r="H171" s="15" t="s">
        <v>15</v>
      </c>
      <c r="I171" s="16">
        <v>20</v>
      </c>
      <c r="J171" s="17">
        <v>114950</v>
      </c>
    </row>
    <row r="172" spans="1:10" s="18" customFormat="1" x14ac:dyDescent="0.25">
      <c r="A172" s="10">
        <v>167</v>
      </c>
      <c r="B172" s="11">
        <v>45880</v>
      </c>
      <c r="C172" s="12" t="s">
        <v>181</v>
      </c>
      <c r="D172" s="13" t="s">
        <v>11</v>
      </c>
      <c r="E172" s="14" t="s">
        <v>12</v>
      </c>
      <c r="F172" s="13" t="s">
        <v>13</v>
      </c>
      <c r="G172" s="15" t="s">
        <v>14</v>
      </c>
      <c r="H172" s="15" t="s">
        <v>15</v>
      </c>
      <c r="I172" s="16">
        <v>20</v>
      </c>
      <c r="J172" s="17">
        <v>125390</v>
      </c>
    </row>
    <row r="173" spans="1:10" s="18" customFormat="1" x14ac:dyDescent="0.25">
      <c r="A173" s="10">
        <v>168</v>
      </c>
      <c r="B173" s="11">
        <v>45880</v>
      </c>
      <c r="C173" s="12" t="s">
        <v>182</v>
      </c>
      <c r="D173" s="13" t="s">
        <v>11</v>
      </c>
      <c r="E173" s="14" t="s">
        <v>12</v>
      </c>
      <c r="F173" s="13" t="s">
        <v>13</v>
      </c>
      <c r="G173" s="15" t="s">
        <v>14</v>
      </c>
      <c r="H173" s="15" t="s">
        <v>15</v>
      </c>
      <c r="I173" s="16">
        <v>20</v>
      </c>
      <c r="J173" s="17">
        <v>127710</v>
      </c>
    </row>
    <row r="174" spans="1:10" s="18" customFormat="1" x14ac:dyDescent="0.25">
      <c r="A174" s="10">
        <v>169</v>
      </c>
      <c r="B174" s="11">
        <v>45880</v>
      </c>
      <c r="C174" s="12" t="s">
        <v>183</v>
      </c>
      <c r="D174" s="13" t="s">
        <v>11</v>
      </c>
      <c r="E174" s="14" t="s">
        <v>12</v>
      </c>
      <c r="F174" s="13" t="s">
        <v>13</v>
      </c>
      <c r="G174" s="15" t="s">
        <v>14</v>
      </c>
      <c r="H174" s="15" t="s">
        <v>15</v>
      </c>
      <c r="I174" s="16">
        <v>20</v>
      </c>
      <c r="J174" s="17">
        <v>147450</v>
      </c>
    </row>
    <row r="175" spans="1:10" s="18" customFormat="1" x14ac:dyDescent="0.25">
      <c r="A175" s="10">
        <v>170</v>
      </c>
      <c r="B175" s="11">
        <v>45880</v>
      </c>
      <c r="C175" s="12" t="s">
        <v>184</v>
      </c>
      <c r="D175" s="13" t="s">
        <v>11</v>
      </c>
      <c r="E175" s="14" t="s">
        <v>12</v>
      </c>
      <c r="F175" s="13" t="s">
        <v>13</v>
      </c>
      <c r="G175" s="15" t="s">
        <v>14</v>
      </c>
      <c r="H175" s="15" t="s">
        <v>15</v>
      </c>
      <c r="I175" s="16">
        <v>20</v>
      </c>
      <c r="J175" s="17">
        <v>156735</v>
      </c>
    </row>
    <row r="176" spans="1:10" s="18" customFormat="1" x14ac:dyDescent="0.25">
      <c r="A176" s="10">
        <v>171</v>
      </c>
      <c r="B176" s="11">
        <v>45880</v>
      </c>
      <c r="C176" s="12" t="s">
        <v>185</v>
      </c>
      <c r="D176" s="13" t="s">
        <v>11</v>
      </c>
      <c r="E176" s="14" t="s">
        <v>12</v>
      </c>
      <c r="F176" s="13" t="s">
        <v>13</v>
      </c>
      <c r="G176" s="15" t="s">
        <v>14</v>
      </c>
      <c r="H176" s="15" t="s">
        <v>15</v>
      </c>
      <c r="I176" s="16">
        <v>20</v>
      </c>
      <c r="J176" s="17">
        <v>174150</v>
      </c>
    </row>
    <row r="177" spans="1:10" s="18" customFormat="1" x14ac:dyDescent="0.25">
      <c r="A177" s="10">
        <v>172</v>
      </c>
      <c r="B177" s="11">
        <v>45880</v>
      </c>
      <c r="C177" s="12" t="s">
        <v>186</v>
      </c>
      <c r="D177" s="13" t="s">
        <v>11</v>
      </c>
      <c r="E177" s="14" t="s">
        <v>12</v>
      </c>
      <c r="F177" s="13" t="s">
        <v>13</v>
      </c>
      <c r="G177" s="15" t="s">
        <v>14</v>
      </c>
      <c r="H177" s="15" t="s">
        <v>15</v>
      </c>
      <c r="I177" s="16">
        <v>20</v>
      </c>
      <c r="J177" s="17">
        <v>226395</v>
      </c>
    </row>
    <row r="178" spans="1:10" s="18" customFormat="1" x14ac:dyDescent="0.25">
      <c r="A178" s="10">
        <v>173</v>
      </c>
      <c r="B178" s="11">
        <v>45880</v>
      </c>
      <c r="C178" s="12" t="s">
        <v>187</v>
      </c>
      <c r="D178" s="13" t="s">
        <v>11</v>
      </c>
      <c r="E178" s="14" t="s">
        <v>12</v>
      </c>
      <c r="F178" s="13" t="s">
        <v>13</v>
      </c>
      <c r="G178" s="15" t="s">
        <v>14</v>
      </c>
      <c r="H178" s="15" t="s">
        <v>15</v>
      </c>
      <c r="I178" s="16">
        <v>20</v>
      </c>
      <c r="J178" s="17">
        <v>353550</v>
      </c>
    </row>
    <row r="179" spans="1:10" s="18" customFormat="1" x14ac:dyDescent="0.25">
      <c r="A179" s="10">
        <v>174</v>
      </c>
      <c r="B179" s="11">
        <v>45880</v>
      </c>
      <c r="C179" s="12" t="s">
        <v>188</v>
      </c>
      <c r="D179" s="13" t="s">
        <v>11</v>
      </c>
      <c r="E179" s="14" t="s">
        <v>12</v>
      </c>
      <c r="F179" s="13" t="s">
        <v>13</v>
      </c>
      <c r="G179" s="15" t="s">
        <v>14</v>
      </c>
      <c r="H179" s="15" t="s">
        <v>15</v>
      </c>
      <c r="I179" s="16">
        <v>20</v>
      </c>
      <c r="J179" s="17">
        <v>484500</v>
      </c>
    </row>
    <row r="180" spans="1:10" s="18" customFormat="1" x14ac:dyDescent="0.25">
      <c r="A180" s="10">
        <v>175</v>
      </c>
      <c r="B180" s="11">
        <v>45880</v>
      </c>
      <c r="C180" s="12" t="s">
        <v>189</v>
      </c>
      <c r="D180" s="13" t="s">
        <v>11</v>
      </c>
      <c r="E180" s="14" t="s">
        <v>12</v>
      </c>
      <c r="F180" s="13" t="s">
        <v>13</v>
      </c>
      <c r="G180" s="15" t="s">
        <v>14</v>
      </c>
      <c r="H180" s="15" t="s">
        <v>15</v>
      </c>
      <c r="I180" s="16">
        <v>20</v>
      </c>
      <c r="J180" s="17">
        <v>574800</v>
      </c>
    </row>
    <row r="181" spans="1:10" s="18" customFormat="1" x14ac:dyDescent="0.25">
      <c r="A181" s="10">
        <v>176</v>
      </c>
      <c r="B181" s="11">
        <v>45880</v>
      </c>
      <c r="C181" s="12" t="s">
        <v>190</v>
      </c>
      <c r="D181" s="13" t="s">
        <v>11</v>
      </c>
      <c r="E181" s="14" t="s">
        <v>12</v>
      </c>
      <c r="F181" s="13" t="s">
        <v>13</v>
      </c>
      <c r="G181" s="15" t="s">
        <v>14</v>
      </c>
      <c r="H181" s="15" t="s">
        <v>15</v>
      </c>
      <c r="I181" s="16">
        <v>20</v>
      </c>
      <c r="J181" s="17">
        <v>643500</v>
      </c>
    </row>
    <row r="182" spans="1:10" s="18" customFormat="1" x14ac:dyDescent="0.25">
      <c r="A182" s="10">
        <v>177</v>
      </c>
      <c r="B182" s="11">
        <v>45880</v>
      </c>
      <c r="C182" s="12" t="s">
        <v>191</v>
      </c>
      <c r="D182" s="13" t="s">
        <v>11</v>
      </c>
      <c r="E182" s="14" t="s">
        <v>12</v>
      </c>
      <c r="F182" s="13" t="s">
        <v>13</v>
      </c>
      <c r="G182" s="15" t="s">
        <v>14</v>
      </c>
      <c r="H182" s="15" t="s">
        <v>15</v>
      </c>
      <c r="I182" s="16">
        <v>20</v>
      </c>
      <c r="J182" s="17">
        <v>668740</v>
      </c>
    </row>
    <row r="183" spans="1:10" s="18" customFormat="1" x14ac:dyDescent="0.25">
      <c r="A183" s="10">
        <v>178</v>
      </c>
      <c r="B183" s="11">
        <v>45880</v>
      </c>
      <c r="C183" s="12" t="s">
        <v>192</v>
      </c>
      <c r="D183" s="13" t="s">
        <v>11</v>
      </c>
      <c r="E183" s="14" t="s">
        <v>12</v>
      </c>
      <c r="F183" s="13" t="s">
        <v>13</v>
      </c>
      <c r="G183" s="15" t="s">
        <v>14</v>
      </c>
      <c r="H183" s="15" t="s">
        <v>15</v>
      </c>
      <c r="I183" s="16">
        <v>20</v>
      </c>
      <c r="J183" s="17">
        <v>1785450</v>
      </c>
    </row>
    <row r="184" spans="1:10" s="18" customFormat="1" x14ac:dyDescent="0.25">
      <c r="A184" s="10">
        <v>179</v>
      </c>
      <c r="B184" s="11">
        <v>45881</v>
      </c>
      <c r="C184" s="12" t="s">
        <v>193</v>
      </c>
      <c r="D184" s="13" t="s">
        <v>11</v>
      </c>
      <c r="E184" s="14" t="s">
        <v>12</v>
      </c>
      <c r="F184" s="13" t="s">
        <v>13</v>
      </c>
      <c r="G184" s="15" t="s">
        <v>14</v>
      </c>
      <c r="H184" s="15" t="s">
        <v>15</v>
      </c>
      <c r="I184" s="16">
        <v>19</v>
      </c>
      <c r="J184" s="17">
        <v>47625</v>
      </c>
    </row>
    <row r="185" spans="1:10" s="18" customFormat="1" x14ac:dyDescent="0.25">
      <c r="A185" s="10">
        <v>180</v>
      </c>
      <c r="B185" s="11">
        <v>45881</v>
      </c>
      <c r="C185" s="12" t="s">
        <v>194</v>
      </c>
      <c r="D185" s="13" t="s">
        <v>11</v>
      </c>
      <c r="E185" s="14" t="s">
        <v>12</v>
      </c>
      <c r="F185" s="13" t="s">
        <v>13</v>
      </c>
      <c r="G185" s="15" t="s">
        <v>14</v>
      </c>
      <c r="H185" s="15" t="s">
        <v>15</v>
      </c>
      <c r="I185" s="16">
        <v>19</v>
      </c>
      <c r="J185" s="17">
        <v>60390</v>
      </c>
    </row>
    <row r="186" spans="1:10" s="18" customFormat="1" x14ac:dyDescent="0.25">
      <c r="A186" s="10">
        <v>181</v>
      </c>
      <c r="B186" s="11">
        <v>45881</v>
      </c>
      <c r="C186" s="12" t="s">
        <v>195</v>
      </c>
      <c r="D186" s="13" t="s">
        <v>11</v>
      </c>
      <c r="E186" s="14" t="s">
        <v>12</v>
      </c>
      <c r="F186" s="13" t="s">
        <v>13</v>
      </c>
      <c r="G186" s="15" t="s">
        <v>14</v>
      </c>
      <c r="H186" s="15" t="s">
        <v>15</v>
      </c>
      <c r="I186" s="16">
        <v>19</v>
      </c>
      <c r="J186" s="17">
        <v>63855</v>
      </c>
    </row>
    <row r="187" spans="1:10" s="18" customFormat="1" x14ac:dyDescent="0.25">
      <c r="A187" s="10">
        <v>182</v>
      </c>
      <c r="B187" s="11">
        <v>45881</v>
      </c>
      <c r="C187" s="12" t="s">
        <v>196</v>
      </c>
      <c r="D187" s="13" t="s">
        <v>11</v>
      </c>
      <c r="E187" s="14" t="s">
        <v>12</v>
      </c>
      <c r="F187" s="13" t="s">
        <v>13</v>
      </c>
      <c r="G187" s="15" t="s">
        <v>14</v>
      </c>
      <c r="H187" s="15" t="s">
        <v>15</v>
      </c>
      <c r="I187" s="16">
        <v>19</v>
      </c>
      <c r="J187" s="17">
        <v>69675</v>
      </c>
    </row>
    <row r="188" spans="1:10" s="18" customFormat="1" x14ac:dyDescent="0.25">
      <c r="A188" s="10">
        <v>183</v>
      </c>
      <c r="B188" s="11">
        <v>45881</v>
      </c>
      <c r="C188" s="12" t="s">
        <v>197</v>
      </c>
      <c r="D188" s="13" t="s">
        <v>11</v>
      </c>
      <c r="E188" s="14" t="s">
        <v>12</v>
      </c>
      <c r="F188" s="13" t="s">
        <v>13</v>
      </c>
      <c r="G188" s="15" t="s">
        <v>14</v>
      </c>
      <c r="H188" s="15" t="s">
        <v>15</v>
      </c>
      <c r="I188" s="16">
        <v>19</v>
      </c>
      <c r="J188" s="17">
        <v>92900</v>
      </c>
    </row>
    <row r="189" spans="1:10" s="18" customFormat="1" x14ac:dyDescent="0.25">
      <c r="A189" s="10">
        <v>184</v>
      </c>
      <c r="B189" s="11">
        <v>45881</v>
      </c>
      <c r="C189" s="12" t="s">
        <v>198</v>
      </c>
      <c r="D189" s="13" t="s">
        <v>11</v>
      </c>
      <c r="E189" s="14" t="s">
        <v>12</v>
      </c>
      <c r="F189" s="13" t="s">
        <v>13</v>
      </c>
      <c r="G189" s="15" t="s">
        <v>14</v>
      </c>
      <c r="H189" s="15" t="s">
        <v>15</v>
      </c>
      <c r="I189" s="16">
        <v>19</v>
      </c>
      <c r="J189" s="17">
        <v>99850</v>
      </c>
    </row>
    <row r="190" spans="1:10" s="18" customFormat="1" x14ac:dyDescent="0.25">
      <c r="A190" s="10">
        <v>185</v>
      </c>
      <c r="B190" s="11">
        <v>45881</v>
      </c>
      <c r="C190" s="12" t="s">
        <v>199</v>
      </c>
      <c r="D190" s="13" t="s">
        <v>11</v>
      </c>
      <c r="E190" s="14" t="s">
        <v>12</v>
      </c>
      <c r="F190" s="13" t="s">
        <v>13</v>
      </c>
      <c r="G190" s="15" t="s">
        <v>14</v>
      </c>
      <c r="H190" s="15" t="s">
        <v>15</v>
      </c>
      <c r="I190" s="16">
        <v>19</v>
      </c>
      <c r="J190" s="17">
        <v>104495</v>
      </c>
    </row>
    <row r="191" spans="1:10" s="18" customFormat="1" x14ac:dyDescent="0.25">
      <c r="A191" s="10">
        <v>186</v>
      </c>
      <c r="B191" s="11">
        <v>45881</v>
      </c>
      <c r="C191" s="12" t="s">
        <v>200</v>
      </c>
      <c r="D191" s="13" t="s">
        <v>11</v>
      </c>
      <c r="E191" s="14" t="s">
        <v>12</v>
      </c>
      <c r="F191" s="13" t="s">
        <v>13</v>
      </c>
      <c r="G191" s="15" t="s">
        <v>14</v>
      </c>
      <c r="H191" s="15" t="s">
        <v>15</v>
      </c>
      <c r="I191" s="16">
        <v>19</v>
      </c>
      <c r="J191" s="17">
        <v>119050</v>
      </c>
    </row>
    <row r="192" spans="1:10" s="18" customFormat="1" x14ac:dyDescent="0.25">
      <c r="A192" s="10">
        <v>187</v>
      </c>
      <c r="B192" s="11">
        <v>45881</v>
      </c>
      <c r="C192" s="12" t="s">
        <v>201</v>
      </c>
      <c r="D192" s="13" t="s">
        <v>11</v>
      </c>
      <c r="E192" s="14" t="s">
        <v>12</v>
      </c>
      <c r="F192" s="13" t="s">
        <v>13</v>
      </c>
      <c r="G192" s="15" t="s">
        <v>14</v>
      </c>
      <c r="H192" s="15" t="s">
        <v>15</v>
      </c>
      <c r="I192" s="16">
        <v>19</v>
      </c>
      <c r="J192" s="17">
        <v>141645</v>
      </c>
    </row>
    <row r="193" spans="1:10" s="18" customFormat="1" x14ac:dyDescent="0.25">
      <c r="A193" s="10">
        <v>188</v>
      </c>
      <c r="B193" s="11">
        <v>45881</v>
      </c>
      <c r="C193" s="12" t="s">
        <v>202</v>
      </c>
      <c r="D193" s="13" t="s">
        <v>11</v>
      </c>
      <c r="E193" s="14" t="s">
        <v>12</v>
      </c>
      <c r="F193" s="13" t="s">
        <v>13</v>
      </c>
      <c r="G193" s="15" t="s">
        <v>14</v>
      </c>
      <c r="H193" s="15" t="s">
        <v>15</v>
      </c>
      <c r="I193" s="16">
        <v>19</v>
      </c>
      <c r="J193" s="17">
        <v>226395</v>
      </c>
    </row>
    <row r="194" spans="1:10" s="18" customFormat="1" x14ac:dyDescent="0.25">
      <c r="A194" s="10">
        <v>189</v>
      </c>
      <c r="B194" s="11">
        <v>45881</v>
      </c>
      <c r="C194" s="12" t="s">
        <v>203</v>
      </c>
      <c r="D194" s="13" t="s">
        <v>11</v>
      </c>
      <c r="E194" s="14" t="s">
        <v>12</v>
      </c>
      <c r="F194" s="13" t="s">
        <v>13</v>
      </c>
      <c r="G194" s="15" t="s">
        <v>14</v>
      </c>
      <c r="H194" s="15" t="s">
        <v>15</v>
      </c>
      <c r="I194" s="16">
        <v>19</v>
      </c>
      <c r="J194" s="17">
        <v>226395</v>
      </c>
    </row>
    <row r="195" spans="1:10" s="18" customFormat="1" x14ac:dyDescent="0.25">
      <c r="A195" s="10">
        <v>190</v>
      </c>
      <c r="B195" s="11">
        <v>45881</v>
      </c>
      <c r="C195" s="12" t="s">
        <v>204</v>
      </c>
      <c r="D195" s="13" t="s">
        <v>11</v>
      </c>
      <c r="E195" s="14" t="s">
        <v>12</v>
      </c>
      <c r="F195" s="13" t="s">
        <v>13</v>
      </c>
      <c r="G195" s="15" t="s">
        <v>14</v>
      </c>
      <c r="H195" s="15" t="s">
        <v>15</v>
      </c>
      <c r="I195" s="16">
        <v>19</v>
      </c>
      <c r="J195" s="17">
        <v>539865</v>
      </c>
    </row>
    <row r="196" spans="1:10" s="18" customFormat="1" x14ac:dyDescent="0.25">
      <c r="A196" s="10">
        <v>191</v>
      </c>
      <c r="B196" s="11">
        <v>45881</v>
      </c>
      <c r="C196" s="12" t="s">
        <v>205</v>
      </c>
      <c r="D196" s="13" t="s">
        <v>11</v>
      </c>
      <c r="E196" s="14" t="s">
        <v>12</v>
      </c>
      <c r="F196" s="13" t="s">
        <v>13</v>
      </c>
      <c r="G196" s="15" t="s">
        <v>14</v>
      </c>
      <c r="H196" s="15" t="s">
        <v>15</v>
      </c>
      <c r="I196" s="16">
        <v>19</v>
      </c>
      <c r="J196" s="17">
        <v>544375</v>
      </c>
    </row>
    <row r="197" spans="1:10" s="18" customFormat="1" x14ac:dyDescent="0.25">
      <c r="A197" s="10">
        <v>192</v>
      </c>
      <c r="B197" s="11">
        <v>45881</v>
      </c>
      <c r="C197" s="12" t="s">
        <v>206</v>
      </c>
      <c r="D197" s="13" t="s">
        <v>11</v>
      </c>
      <c r="E197" s="14" t="s">
        <v>12</v>
      </c>
      <c r="F197" s="13" t="s">
        <v>13</v>
      </c>
      <c r="G197" s="15" t="s">
        <v>14</v>
      </c>
      <c r="H197" s="15" t="s">
        <v>15</v>
      </c>
      <c r="I197" s="16">
        <v>19</v>
      </c>
      <c r="J197" s="17">
        <v>989590</v>
      </c>
    </row>
    <row r="198" spans="1:10" s="18" customFormat="1" x14ac:dyDescent="0.25">
      <c r="A198" s="10">
        <v>193</v>
      </c>
      <c r="B198" s="11">
        <v>45882</v>
      </c>
      <c r="C198" s="12" t="s">
        <v>207</v>
      </c>
      <c r="D198" s="13" t="s">
        <v>11</v>
      </c>
      <c r="E198" s="14" t="s">
        <v>12</v>
      </c>
      <c r="F198" s="13" t="s">
        <v>13</v>
      </c>
      <c r="G198" s="15" t="s">
        <v>14</v>
      </c>
      <c r="H198" s="15" t="s">
        <v>15</v>
      </c>
      <c r="I198" s="16">
        <v>18</v>
      </c>
      <c r="J198" s="17">
        <v>37625</v>
      </c>
    </row>
    <row r="199" spans="1:10" s="18" customFormat="1" x14ac:dyDescent="0.25">
      <c r="A199" s="10">
        <v>194</v>
      </c>
      <c r="B199" s="11">
        <v>45882</v>
      </c>
      <c r="C199" s="12" t="s">
        <v>208</v>
      </c>
      <c r="D199" s="13" t="s">
        <v>11</v>
      </c>
      <c r="E199" s="14" t="s">
        <v>12</v>
      </c>
      <c r="F199" s="13" t="s">
        <v>13</v>
      </c>
      <c r="G199" s="15" t="s">
        <v>14</v>
      </c>
      <c r="H199" s="15" t="s">
        <v>15</v>
      </c>
      <c r="I199" s="16">
        <v>18</v>
      </c>
      <c r="J199" s="17">
        <v>40635</v>
      </c>
    </row>
    <row r="200" spans="1:10" s="18" customFormat="1" x14ac:dyDescent="0.25">
      <c r="A200" s="10">
        <v>195</v>
      </c>
      <c r="B200" s="11">
        <v>45882</v>
      </c>
      <c r="C200" s="12" t="s">
        <v>209</v>
      </c>
      <c r="D200" s="13" t="s">
        <v>11</v>
      </c>
      <c r="E200" s="14" t="s">
        <v>12</v>
      </c>
      <c r="F200" s="13" t="s">
        <v>13</v>
      </c>
      <c r="G200" s="15" t="s">
        <v>14</v>
      </c>
      <c r="H200" s="15" t="s">
        <v>15</v>
      </c>
      <c r="I200" s="16">
        <v>18</v>
      </c>
      <c r="J200" s="17">
        <v>62700</v>
      </c>
    </row>
    <row r="201" spans="1:10" s="18" customFormat="1" x14ac:dyDescent="0.25">
      <c r="A201" s="10">
        <v>196</v>
      </c>
      <c r="B201" s="11">
        <v>45882</v>
      </c>
      <c r="C201" s="12" t="s">
        <v>210</v>
      </c>
      <c r="D201" s="13" t="s">
        <v>11</v>
      </c>
      <c r="E201" s="14" t="s">
        <v>12</v>
      </c>
      <c r="F201" s="13" t="s">
        <v>13</v>
      </c>
      <c r="G201" s="15" t="s">
        <v>14</v>
      </c>
      <c r="H201" s="15" t="s">
        <v>15</v>
      </c>
      <c r="I201" s="16">
        <v>18</v>
      </c>
      <c r="J201" s="17">
        <v>104500</v>
      </c>
    </row>
    <row r="202" spans="1:10" s="18" customFormat="1" x14ac:dyDescent="0.25">
      <c r="A202" s="10">
        <v>197</v>
      </c>
      <c r="B202" s="11">
        <v>45882</v>
      </c>
      <c r="C202" s="12" t="s">
        <v>211</v>
      </c>
      <c r="D202" s="13" t="s">
        <v>11</v>
      </c>
      <c r="E202" s="14" t="s">
        <v>12</v>
      </c>
      <c r="F202" s="13" t="s">
        <v>13</v>
      </c>
      <c r="G202" s="15" t="s">
        <v>14</v>
      </c>
      <c r="H202" s="15" t="s">
        <v>15</v>
      </c>
      <c r="I202" s="16">
        <v>18</v>
      </c>
      <c r="J202" s="17">
        <v>109350</v>
      </c>
    </row>
    <row r="203" spans="1:10" s="18" customFormat="1" x14ac:dyDescent="0.25">
      <c r="A203" s="10">
        <v>198</v>
      </c>
      <c r="B203" s="11">
        <v>45882</v>
      </c>
      <c r="C203" s="12" t="s">
        <v>212</v>
      </c>
      <c r="D203" s="13" t="s">
        <v>11</v>
      </c>
      <c r="E203" s="14" t="s">
        <v>12</v>
      </c>
      <c r="F203" s="13" t="s">
        <v>13</v>
      </c>
      <c r="G203" s="15" t="s">
        <v>14</v>
      </c>
      <c r="H203" s="15" t="s">
        <v>15</v>
      </c>
      <c r="I203" s="16">
        <v>18</v>
      </c>
      <c r="J203" s="17">
        <v>193900</v>
      </c>
    </row>
    <row r="204" spans="1:10" s="18" customFormat="1" x14ac:dyDescent="0.25">
      <c r="A204" s="10">
        <v>199</v>
      </c>
      <c r="B204" s="11">
        <v>45882</v>
      </c>
      <c r="C204" s="12" t="s">
        <v>213</v>
      </c>
      <c r="D204" s="13" t="s">
        <v>11</v>
      </c>
      <c r="E204" s="14" t="s">
        <v>12</v>
      </c>
      <c r="F204" s="13" t="s">
        <v>13</v>
      </c>
      <c r="G204" s="15" t="s">
        <v>14</v>
      </c>
      <c r="H204" s="15" t="s">
        <v>15</v>
      </c>
      <c r="I204" s="16">
        <v>18</v>
      </c>
      <c r="J204" s="17">
        <v>227590</v>
      </c>
    </row>
    <row r="205" spans="1:10" s="18" customFormat="1" x14ac:dyDescent="0.25">
      <c r="A205" s="10">
        <v>200</v>
      </c>
      <c r="B205" s="11">
        <v>45883</v>
      </c>
      <c r="C205" s="12" t="s">
        <v>214</v>
      </c>
      <c r="D205" s="13" t="s">
        <v>11</v>
      </c>
      <c r="E205" s="14" t="s">
        <v>12</v>
      </c>
      <c r="F205" s="13" t="s">
        <v>13</v>
      </c>
      <c r="G205" s="15" t="s">
        <v>14</v>
      </c>
      <c r="H205" s="15" t="s">
        <v>15</v>
      </c>
      <c r="I205" s="16">
        <v>17</v>
      </c>
      <c r="J205" s="17">
        <v>103350</v>
      </c>
    </row>
    <row r="206" spans="1:10" s="18" customFormat="1" x14ac:dyDescent="0.25">
      <c r="A206" s="10">
        <v>201</v>
      </c>
      <c r="B206" s="11">
        <v>45883</v>
      </c>
      <c r="C206" s="12" t="s">
        <v>215</v>
      </c>
      <c r="D206" s="13" t="s">
        <v>11</v>
      </c>
      <c r="E206" s="14" t="s">
        <v>12</v>
      </c>
      <c r="F206" s="13" t="s">
        <v>13</v>
      </c>
      <c r="G206" s="15" t="s">
        <v>14</v>
      </c>
      <c r="H206" s="15" t="s">
        <v>15</v>
      </c>
      <c r="I206" s="16">
        <v>17</v>
      </c>
      <c r="J206" s="17">
        <v>104500</v>
      </c>
    </row>
    <row r="207" spans="1:10" s="18" customFormat="1" x14ac:dyDescent="0.25">
      <c r="A207" s="10">
        <v>202</v>
      </c>
      <c r="B207" s="11">
        <v>45883</v>
      </c>
      <c r="C207" s="12" t="s">
        <v>216</v>
      </c>
      <c r="D207" s="13" t="s">
        <v>11</v>
      </c>
      <c r="E207" s="14" t="s">
        <v>12</v>
      </c>
      <c r="F207" s="13" t="s">
        <v>13</v>
      </c>
      <c r="G207" s="15" t="s">
        <v>14</v>
      </c>
      <c r="H207" s="15" t="s">
        <v>15</v>
      </c>
      <c r="I207" s="16">
        <v>17</v>
      </c>
      <c r="J207" s="17">
        <v>126765</v>
      </c>
    </row>
    <row r="208" spans="1:10" s="18" customFormat="1" x14ac:dyDescent="0.25">
      <c r="A208" s="10">
        <v>203</v>
      </c>
      <c r="B208" s="11">
        <v>45883</v>
      </c>
      <c r="C208" s="12" t="s">
        <v>217</v>
      </c>
      <c r="D208" s="13" t="s">
        <v>11</v>
      </c>
      <c r="E208" s="14" t="s">
        <v>12</v>
      </c>
      <c r="F208" s="13" t="s">
        <v>13</v>
      </c>
      <c r="G208" s="15" t="s">
        <v>14</v>
      </c>
      <c r="H208" s="15" t="s">
        <v>15</v>
      </c>
      <c r="I208" s="16">
        <v>17</v>
      </c>
      <c r="J208" s="17">
        <v>144000</v>
      </c>
    </row>
    <row r="209" spans="1:10" s="18" customFormat="1" x14ac:dyDescent="0.25">
      <c r="A209" s="10">
        <v>204</v>
      </c>
      <c r="B209" s="11">
        <v>45883</v>
      </c>
      <c r="C209" s="12" t="s">
        <v>218</v>
      </c>
      <c r="D209" s="13" t="s">
        <v>11</v>
      </c>
      <c r="E209" s="14" t="s">
        <v>12</v>
      </c>
      <c r="F209" s="13" t="s">
        <v>13</v>
      </c>
      <c r="G209" s="15" t="s">
        <v>14</v>
      </c>
      <c r="H209" s="15" t="s">
        <v>15</v>
      </c>
      <c r="I209" s="16">
        <v>17</v>
      </c>
      <c r="J209" s="17">
        <v>148250</v>
      </c>
    </row>
    <row r="210" spans="1:10" s="18" customFormat="1" x14ac:dyDescent="0.25">
      <c r="A210" s="10">
        <v>205</v>
      </c>
      <c r="B210" s="11">
        <v>45883</v>
      </c>
      <c r="C210" s="12" t="s">
        <v>219</v>
      </c>
      <c r="D210" s="13" t="s">
        <v>11</v>
      </c>
      <c r="E210" s="14" t="s">
        <v>12</v>
      </c>
      <c r="F210" s="13" t="s">
        <v>13</v>
      </c>
      <c r="G210" s="15" t="s">
        <v>14</v>
      </c>
      <c r="H210" s="15" t="s">
        <v>15</v>
      </c>
      <c r="I210" s="16">
        <v>17</v>
      </c>
      <c r="J210" s="17">
        <v>752500</v>
      </c>
    </row>
    <row r="211" spans="1:10" s="18" customFormat="1" x14ac:dyDescent="0.25">
      <c r="A211" s="10">
        <v>206</v>
      </c>
      <c r="B211" s="11">
        <v>45883</v>
      </c>
      <c r="C211" s="12" t="s">
        <v>220</v>
      </c>
      <c r="D211" s="13" t="s">
        <v>11</v>
      </c>
      <c r="E211" s="14" t="s">
        <v>12</v>
      </c>
      <c r="F211" s="13" t="s">
        <v>13</v>
      </c>
      <c r="G211" s="15" t="s">
        <v>14</v>
      </c>
      <c r="H211" s="15" t="s">
        <v>15</v>
      </c>
      <c r="I211" s="16">
        <v>17</v>
      </c>
      <c r="J211" s="17">
        <v>858000</v>
      </c>
    </row>
    <row r="212" spans="1:10" s="18" customFormat="1" x14ac:dyDescent="0.25">
      <c r="A212" s="10">
        <v>207</v>
      </c>
      <c r="B212" s="11">
        <v>45884</v>
      </c>
      <c r="C212" s="12" t="s">
        <v>221</v>
      </c>
      <c r="D212" s="13" t="s">
        <v>11</v>
      </c>
      <c r="E212" s="14" t="s">
        <v>12</v>
      </c>
      <c r="F212" s="13" t="s">
        <v>13</v>
      </c>
      <c r="G212" s="15" t="s">
        <v>14</v>
      </c>
      <c r="H212" s="15" t="s">
        <v>15</v>
      </c>
      <c r="I212" s="16">
        <v>16</v>
      </c>
      <c r="J212" s="17">
        <v>54000</v>
      </c>
    </row>
    <row r="213" spans="1:10" s="18" customFormat="1" x14ac:dyDescent="0.25">
      <c r="A213" s="10">
        <v>208</v>
      </c>
      <c r="B213" s="11">
        <v>45884</v>
      </c>
      <c r="C213" s="12" t="s">
        <v>222</v>
      </c>
      <c r="D213" s="13" t="s">
        <v>11</v>
      </c>
      <c r="E213" s="14" t="s">
        <v>12</v>
      </c>
      <c r="F213" s="13" t="s">
        <v>13</v>
      </c>
      <c r="G213" s="15" t="s">
        <v>14</v>
      </c>
      <c r="H213" s="15" t="s">
        <v>15</v>
      </c>
      <c r="I213" s="16">
        <v>16</v>
      </c>
      <c r="J213" s="17">
        <v>97530</v>
      </c>
    </row>
    <row r="214" spans="1:10" s="18" customFormat="1" x14ac:dyDescent="0.25">
      <c r="A214" s="10">
        <v>209</v>
      </c>
      <c r="B214" s="11">
        <v>45884</v>
      </c>
      <c r="C214" s="12" t="s">
        <v>223</v>
      </c>
      <c r="D214" s="13" t="s">
        <v>11</v>
      </c>
      <c r="E214" s="14" t="s">
        <v>12</v>
      </c>
      <c r="F214" s="13" t="s">
        <v>13</v>
      </c>
      <c r="G214" s="15" t="s">
        <v>14</v>
      </c>
      <c r="H214" s="15" t="s">
        <v>15</v>
      </c>
      <c r="I214" s="16">
        <v>16</v>
      </c>
      <c r="J214" s="17">
        <v>99850</v>
      </c>
    </row>
    <row r="215" spans="1:10" s="18" customFormat="1" x14ac:dyDescent="0.25">
      <c r="A215" s="10">
        <v>210</v>
      </c>
      <c r="B215" s="11">
        <v>45884</v>
      </c>
      <c r="C215" s="12" t="s">
        <v>224</v>
      </c>
      <c r="D215" s="13" t="s">
        <v>11</v>
      </c>
      <c r="E215" s="14" t="s">
        <v>12</v>
      </c>
      <c r="F215" s="13" t="s">
        <v>13</v>
      </c>
      <c r="G215" s="15" t="s">
        <v>14</v>
      </c>
      <c r="H215" s="15" t="s">
        <v>15</v>
      </c>
      <c r="I215" s="16">
        <v>16</v>
      </c>
      <c r="J215" s="17">
        <v>104500</v>
      </c>
    </row>
    <row r="216" spans="1:10" s="18" customFormat="1" x14ac:dyDescent="0.25">
      <c r="A216" s="10">
        <v>211</v>
      </c>
      <c r="B216" s="11">
        <v>45884</v>
      </c>
      <c r="C216" s="12" t="s">
        <v>225</v>
      </c>
      <c r="D216" s="13" t="s">
        <v>11</v>
      </c>
      <c r="E216" s="14" t="s">
        <v>12</v>
      </c>
      <c r="F216" s="13" t="s">
        <v>13</v>
      </c>
      <c r="G216" s="15" t="s">
        <v>14</v>
      </c>
      <c r="H216" s="15" t="s">
        <v>15</v>
      </c>
      <c r="I216" s="16">
        <v>16</v>
      </c>
      <c r="J216" s="17">
        <v>121905</v>
      </c>
    </row>
    <row r="217" spans="1:10" s="18" customFormat="1" x14ac:dyDescent="0.25">
      <c r="A217" s="10">
        <v>212</v>
      </c>
      <c r="B217" s="11">
        <v>45884</v>
      </c>
      <c r="C217" s="12" t="s">
        <v>226</v>
      </c>
      <c r="D217" s="13" t="s">
        <v>11</v>
      </c>
      <c r="E217" s="14" t="s">
        <v>12</v>
      </c>
      <c r="F217" s="13" t="s">
        <v>13</v>
      </c>
      <c r="G217" s="15" t="s">
        <v>14</v>
      </c>
      <c r="H217" s="15" t="s">
        <v>15</v>
      </c>
      <c r="I217" s="16">
        <v>16</v>
      </c>
      <c r="J217" s="17">
        <v>171000</v>
      </c>
    </row>
    <row r="218" spans="1:10" s="18" customFormat="1" x14ac:dyDescent="0.25">
      <c r="A218" s="10">
        <v>213</v>
      </c>
      <c r="B218" s="11">
        <v>45884</v>
      </c>
      <c r="C218" s="12" t="s">
        <v>227</v>
      </c>
      <c r="D218" s="13" t="s">
        <v>11</v>
      </c>
      <c r="E218" s="14" t="s">
        <v>12</v>
      </c>
      <c r="F218" s="13" t="s">
        <v>13</v>
      </c>
      <c r="G218" s="15" t="s">
        <v>14</v>
      </c>
      <c r="H218" s="15" t="s">
        <v>15</v>
      </c>
      <c r="I218" s="16">
        <v>16</v>
      </c>
      <c r="J218" s="17">
        <v>226395</v>
      </c>
    </row>
    <row r="219" spans="1:10" s="18" customFormat="1" x14ac:dyDescent="0.25">
      <c r="A219" s="10">
        <v>214</v>
      </c>
      <c r="B219" s="11">
        <v>45884</v>
      </c>
      <c r="C219" s="12" t="s">
        <v>228</v>
      </c>
      <c r="D219" s="13" t="s">
        <v>11</v>
      </c>
      <c r="E219" s="14" t="s">
        <v>12</v>
      </c>
      <c r="F219" s="13" t="s">
        <v>13</v>
      </c>
      <c r="G219" s="15" t="s">
        <v>14</v>
      </c>
      <c r="H219" s="15" t="s">
        <v>15</v>
      </c>
      <c r="I219" s="16">
        <v>16</v>
      </c>
      <c r="J219" s="17">
        <v>226395</v>
      </c>
    </row>
    <row r="220" spans="1:10" s="18" customFormat="1" x14ac:dyDescent="0.25">
      <c r="A220" s="10">
        <v>215</v>
      </c>
      <c r="B220" s="11">
        <v>45884</v>
      </c>
      <c r="C220" s="12" t="s">
        <v>229</v>
      </c>
      <c r="D220" s="13" t="s">
        <v>11</v>
      </c>
      <c r="E220" s="14" t="s">
        <v>12</v>
      </c>
      <c r="F220" s="13" t="s">
        <v>13</v>
      </c>
      <c r="G220" s="15" t="s">
        <v>14</v>
      </c>
      <c r="H220" s="15" t="s">
        <v>15</v>
      </c>
      <c r="I220" s="16">
        <v>16</v>
      </c>
      <c r="J220" s="17">
        <v>750750</v>
      </c>
    </row>
    <row r="221" spans="1:10" s="18" customFormat="1" x14ac:dyDescent="0.25">
      <c r="A221" s="10">
        <v>216</v>
      </c>
      <c r="B221" s="11">
        <v>45884</v>
      </c>
      <c r="C221" s="12" t="s">
        <v>230</v>
      </c>
      <c r="D221" s="13" t="s">
        <v>11</v>
      </c>
      <c r="E221" s="14" t="s">
        <v>12</v>
      </c>
      <c r="F221" s="13" t="s">
        <v>13</v>
      </c>
      <c r="G221" s="15" t="s">
        <v>14</v>
      </c>
      <c r="H221" s="15" t="s">
        <v>15</v>
      </c>
      <c r="I221" s="16">
        <v>16</v>
      </c>
      <c r="J221" s="17">
        <v>2234500</v>
      </c>
    </row>
    <row r="222" spans="1:10" s="18" customFormat="1" x14ac:dyDescent="0.25">
      <c r="A222" s="10">
        <v>217</v>
      </c>
      <c r="B222" s="11">
        <v>45885</v>
      </c>
      <c r="C222" s="12" t="s">
        <v>231</v>
      </c>
      <c r="D222" s="13" t="s">
        <v>11</v>
      </c>
      <c r="E222" s="14" t="s">
        <v>12</v>
      </c>
      <c r="F222" s="13" t="s">
        <v>13</v>
      </c>
      <c r="G222" s="15" t="s">
        <v>14</v>
      </c>
      <c r="H222" s="15" t="s">
        <v>15</v>
      </c>
      <c r="I222" s="16">
        <v>15</v>
      </c>
      <c r="J222" s="17">
        <v>89985</v>
      </c>
    </row>
    <row r="223" spans="1:10" s="18" customFormat="1" x14ac:dyDescent="0.25">
      <c r="A223" s="10">
        <v>218</v>
      </c>
      <c r="B223" s="11">
        <v>45885</v>
      </c>
      <c r="C223" s="12" t="s">
        <v>232</v>
      </c>
      <c r="D223" s="13" t="s">
        <v>11</v>
      </c>
      <c r="E223" s="14" t="s">
        <v>12</v>
      </c>
      <c r="F223" s="13" t="s">
        <v>13</v>
      </c>
      <c r="G223" s="15" t="s">
        <v>14</v>
      </c>
      <c r="H223" s="15" t="s">
        <v>15</v>
      </c>
      <c r="I223" s="16">
        <v>15</v>
      </c>
      <c r="J223" s="17">
        <v>92900</v>
      </c>
    </row>
    <row r="224" spans="1:10" s="18" customFormat="1" x14ac:dyDescent="0.25">
      <c r="A224" s="10">
        <v>219</v>
      </c>
      <c r="B224" s="11">
        <v>45885</v>
      </c>
      <c r="C224" s="12" t="s">
        <v>233</v>
      </c>
      <c r="D224" s="13" t="s">
        <v>11</v>
      </c>
      <c r="E224" s="14" t="s">
        <v>12</v>
      </c>
      <c r="F224" s="13" t="s">
        <v>13</v>
      </c>
      <c r="G224" s="15" t="s">
        <v>14</v>
      </c>
      <c r="H224" s="15" t="s">
        <v>15</v>
      </c>
      <c r="I224" s="16">
        <v>15</v>
      </c>
      <c r="J224" s="17">
        <v>109350</v>
      </c>
    </row>
    <row r="225" spans="1:10" s="18" customFormat="1" x14ac:dyDescent="0.25">
      <c r="A225" s="10">
        <v>220</v>
      </c>
      <c r="B225" s="11">
        <v>45885</v>
      </c>
      <c r="C225" s="12" t="s">
        <v>234</v>
      </c>
      <c r="D225" s="13" t="s">
        <v>11</v>
      </c>
      <c r="E225" s="14" t="s">
        <v>12</v>
      </c>
      <c r="F225" s="13" t="s">
        <v>13</v>
      </c>
      <c r="G225" s="15" t="s">
        <v>14</v>
      </c>
      <c r="H225" s="15" t="s">
        <v>15</v>
      </c>
      <c r="I225" s="16">
        <v>15</v>
      </c>
      <c r="J225" s="17">
        <v>157900</v>
      </c>
    </row>
    <row r="226" spans="1:10" s="18" customFormat="1" x14ac:dyDescent="0.25">
      <c r="A226" s="10">
        <v>221</v>
      </c>
      <c r="B226" s="11">
        <v>45885</v>
      </c>
      <c r="C226" s="12" t="s">
        <v>235</v>
      </c>
      <c r="D226" s="13" t="s">
        <v>11</v>
      </c>
      <c r="E226" s="14" t="s">
        <v>12</v>
      </c>
      <c r="F226" s="13" t="s">
        <v>13</v>
      </c>
      <c r="G226" s="15" t="s">
        <v>14</v>
      </c>
      <c r="H226" s="15" t="s">
        <v>15</v>
      </c>
      <c r="I226" s="16">
        <v>15</v>
      </c>
      <c r="J226" s="17">
        <v>226395</v>
      </c>
    </row>
    <row r="227" spans="1:10" s="18" customFormat="1" x14ac:dyDescent="0.25">
      <c r="A227" s="10">
        <v>222</v>
      </c>
      <c r="B227" s="11">
        <v>45885</v>
      </c>
      <c r="C227" s="12" t="s">
        <v>236</v>
      </c>
      <c r="D227" s="13" t="s">
        <v>11</v>
      </c>
      <c r="E227" s="14" t="s">
        <v>12</v>
      </c>
      <c r="F227" s="13" t="s">
        <v>13</v>
      </c>
      <c r="G227" s="15" t="s">
        <v>14</v>
      </c>
      <c r="H227" s="15" t="s">
        <v>15</v>
      </c>
      <c r="I227" s="16">
        <v>15</v>
      </c>
      <c r="J227" s="17">
        <v>501650</v>
      </c>
    </row>
    <row r="228" spans="1:10" s="18" customFormat="1" x14ac:dyDescent="0.25">
      <c r="A228" s="10">
        <v>223</v>
      </c>
      <c r="B228" s="11">
        <v>45887</v>
      </c>
      <c r="C228" s="12" t="s">
        <v>237</v>
      </c>
      <c r="D228" s="13" t="s">
        <v>11</v>
      </c>
      <c r="E228" s="14" t="s">
        <v>12</v>
      </c>
      <c r="F228" s="13" t="s">
        <v>13</v>
      </c>
      <c r="G228" s="15" t="s">
        <v>14</v>
      </c>
      <c r="H228" s="15" t="s">
        <v>15</v>
      </c>
      <c r="I228" s="16">
        <v>13</v>
      </c>
      <c r="J228" s="17">
        <v>63855</v>
      </c>
    </row>
    <row r="229" spans="1:10" s="18" customFormat="1" x14ac:dyDescent="0.25">
      <c r="A229" s="10">
        <v>224</v>
      </c>
      <c r="B229" s="11">
        <v>45887</v>
      </c>
      <c r="C229" s="12" t="s">
        <v>238</v>
      </c>
      <c r="D229" s="13" t="s">
        <v>11</v>
      </c>
      <c r="E229" s="14" t="s">
        <v>12</v>
      </c>
      <c r="F229" s="13" t="s">
        <v>13</v>
      </c>
      <c r="G229" s="15" t="s">
        <v>14</v>
      </c>
      <c r="H229" s="15" t="s">
        <v>15</v>
      </c>
      <c r="I229" s="16">
        <v>13</v>
      </c>
      <c r="J229" s="17">
        <v>80125</v>
      </c>
    </row>
    <row r="230" spans="1:10" s="18" customFormat="1" x14ac:dyDescent="0.25">
      <c r="A230" s="10">
        <v>225</v>
      </c>
      <c r="B230" s="11">
        <v>45887</v>
      </c>
      <c r="C230" s="12" t="s">
        <v>239</v>
      </c>
      <c r="D230" s="13" t="s">
        <v>11</v>
      </c>
      <c r="E230" s="14" t="s">
        <v>12</v>
      </c>
      <c r="F230" s="13" t="s">
        <v>13</v>
      </c>
      <c r="G230" s="15" t="s">
        <v>14</v>
      </c>
      <c r="H230" s="15" t="s">
        <v>15</v>
      </c>
      <c r="I230" s="16">
        <v>13</v>
      </c>
      <c r="J230" s="17">
        <v>88250</v>
      </c>
    </row>
    <row r="231" spans="1:10" s="18" customFormat="1" x14ac:dyDescent="0.25">
      <c r="A231" s="10">
        <v>226</v>
      </c>
      <c r="B231" s="11">
        <v>45887</v>
      </c>
      <c r="C231" s="12" t="s">
        <v>240</v>
      </c>
      <c r="D231" s="13" t="s">
        <v>11</v>
      </c>
      <c r="E231" s="14" t="s">
        <v>12</v>
      </c>
      <c r="F231" s="13" t="s">
        <v>13</v>
      </c>
      <c r="G231" s="15" t="s">
        <v>14</v>
      </c>
      <c r="H231" s="15" t="s">
        <v>15</v>
      </c>
      <c r="I231" s="16">
        <v>13</v>
      </c>
      <c r="J231" s="17">
        <v>102175</v>
      </c>
    </row>
    <row r="232" spans="1:10" s="18" customFormat="1" x14ac:dyDescent="0.25">
      <c r="A232" s="10">
        <v>227</v>
      </c>
      <c r="B232" s="11">
        <v>45887</v>
      </c>
      <c r="C232" s="12" t="s">
        <v>241</v>
      </c>
      <c r="D232" s="13" t="s">
        <v>11</v>
      </c>
      <c r="E232" s="14" t="s">
        <v>12</v>
      </c>
      <c r="F232" s="13" t="s">
        <v>13</v>
      </c>
      <c r="G232" s="15" t="s">
        <v>14</v>
      </c>
      <c r="H232" s="15" t="s">
        <v>15</v>
      </c>
      <c r="I232" s="16">
        <v>13</v>
      </c>
      <c r="J232" s="17">
        <v>109350</v>
      </c>
    </row>
    <row r="233" spans="1:10" s="18" customFormat="1" x14ac:dyDescent="0.25">
      <c r="A233" s="10">
        <v>228</v>
      </c>
      <c r="B233" s="11">
        <v>45887</v>
      </c>
      <c r="C233" s="12" t="s">
        <v>242</v>
      </c>
      <c r="D233" s="13" t="s">
        <v>11</v>
      </c>
      <c r="E233" s="14" t="s">
        <v>12</v>
      </c>
      <c r="F233" s="13" t="s">
        <v>13</v>
      </c>
      <c r="G233" s="15" t="s">
        <v>14</v>
      </c>
      <c r="H233" s="15" t="s">
        <v>15</v>
      </c>
      <c r="I233" s="16">
        <v>13</v>
      </c>
      <c r="J233" s="17">
        <v>113785</v>
      </c>
    </row>
    <row r="234" spans="1:10" s="18" customFormat="1" x14ac:dyDescent="0.25">
      <c r="A234" s="10">
        <v>229</v>
      </c>
      <c r="B234" s="11">
        <v>45887</v>
      </c>
      <c r="C234" s="12" t="s">
        <v>243</v>
      </c>
      <c r="D234" s="13" t="s">
        <v>11</v>
      </c>
      <c r="E234" s="14" t="s">
        <v>12</v>
      </c>
      <c r="F234" s="13" t="s">
        <v>13</v>
      </c>
      <c r="G234" s="15" t="s">
        <v>14</v>
      </c>
      <c r="H234" s="15" t="s">
        <v>15</v>
      </c>
      <c r="I234" s="16">
        <v>13</v>
      </c>
      <c r="J234" s="17">
        <v>114950</v>
      </c>
    </row>
    <row r="235" spans="1:10" s="18" customFormat="1" x14ac:dyDescent="0.25">
      <c r="A235" s="10">
        <v>230</v>
      </c>
      <c r="B235" s="11">
        <v>45887</v>
      </c>
      <c r="C235" s="12" t="s">
        <v>244</v>
      </c>
      <c r="D235" s="13" t="s">
        <v>11</v>
      </c>
      <c r="E235" s="14" t="s">
        <v>12</v>
      </c>
      <c r="F235" s="13" t="s">
        <v>13</v>
      </c>
      <c r="G235" s="15" t="s">
        <v>14</v>
      </c>
      <c r="H235" s="15" t="s">
        <v>15</v>
      </c>
      <c r="I235" s="16">
        <v>13</v>
      </c>
      <c r="J235" s="17">
        <v>116100</v>
      </c>
    </row>
    <row r="236" spans="1:10" s="18" customFormat="1" x14ac:dyDescent="0.25">
      <c r="A236" s="10">
        <v>231</v>
      </c>
      <c r="B236" s="11">
        <v>45887</v>
      </c>
      <c r="C236" s="12" t="s">
        <v>245</v>
      </c>
      <c r="D236" s="13" t="s">
        <v>11</v>
      </c>
      <c r="E236" s="14" t="s">
        <v>12</v>
      </c>
      <c r="F236" s="13" t="s">
        <v>13</v>
      </c>
      <c r="G236" s="15" t="s">
        <v>14</v>
      </c>
      <c r="H236" s="15" t="s">
        <v>15</v>
      </c>
      <c r="I236" s="16">
        <v>13</v>
      </c>
      <c r="J236" s="17">
        <v>182425</v>
      </c>
    </row>
    <row r="237" spans="1:10" s="18" customFormat="1" x14ac:dyDescent="0.25">
      <c r="A237" s="10">
        <v>232</v>
      </c>
      <c r="B237" s="11">
        <v>45887</v>
      </c>
      <c r="C237" s="12" t="s">
        <v>246</v>
      </c>
      <c r="D237" s="13" t="s">
        <v>11</v>
      </c>
      <c r="E237" s="14" t="s">
        <v>12</v>
      </c>
      <c r="F237" s="13" t="s">
        <v>13</v>
      </c>
      <c r="G237" s="15" t="s">
        <v>14</v>
      </c>
      <c r="H237" s="15" t="s">
        <v>15</v>
      </c>
      <c r="I237" s="16">
        <v>13</v>
      </c>
      <c r="J237" s="17">
        <v>227570</v>
      </c>
    </row>
    <row r="238" spans="1:10" s="18" customFormat="1" x14ac:dyDescent="0.25">
      <c r="A238" s="10">
        <v>233</v>
      </c>
      <c r="B238" s="11">
        <v>45887</v>
      </c>
      <c r="C238" s="12" t="s">
        <v>247</v>
      </c>
      <c r="D238" s="13" t="s">
        <v>11</v>
      </c>
      <c r="E238" s="14" t="s">
        <v>12</v>
      </c>
      <c r="F238" s="13" t="s">
        <v>13</v>
      </c>
      <c r="G238" s="15" t="s">
        <v>14</v>
      </c>
      <c r="H238" s="15" t="s">
        <v>15</v>
      </c>
      <c r="I238" s="16">
        <v>13</v>
      </c>
      <c r="J238" s="17">
        <v>278700</v>
      </c>
    </row>
    <row r="239" spans="1:10" s="18" customFormat="1" x14ac:dyDescent="0.25">
      <c r="A239" s="10">
        <v>234</v>
      </c>
      <c r="B239" s="11">
        <v>45887</v>
      </c>
      <c r="C239" s="12" t="s">
        <v>248</v>
      </c>
      <c r="D239" s="13" t="s">
        <v>11</v>
      </c>
      <c r="E239" s="14" t="s">
        <v>12</v>
      </c>
      <c r="F239" s="13" t="s">
        <v>13</v>
      </c>
      <c r="G239" s="15" t="s">
        <v>14</v>
      </c>
      <c r="H239" s="15" t="s">
        <v>15</v>
      </c>
      <c r="I239" s="16">
        <v>13</v>
      </c>
      <c r="J239" s="17">
        <v>330625</v>
      </c>
    </row>
    <row r="240" spans="1:10" s="18" customFormat="1" x14ac:dyDescent="0.25">
      <c r="A240" s="10">
        <v>235</v>
      </c>
      <c r="B240" s="11">
        <v>45887</v>
      </c>
      <c r="C240" s="12" t="s">
        <v>249</v>
      </c>
      <c r="D240" s="13" t="s">
        <v>11</v>
      </c>
      <c r="E240" s="14" t="s">
        <v>12</v>
      </c>
      <c r="F240" s="13" t="s">
        <v>13</v>
      </c>
      <c r="G240" s="15" t="s">
        <v>14</v>
      </c>
      <c r="H240" s="15" t="s">
        <v>15</v>
      </c>
      <c r="I240" s="16">
        <v>13</v>
      </c>
      <c r="J240" s="17">
        <v>456250</v>
      </c>
    </row>
    <row r="241" spans="1:10" s="18" customFormat="1" x14ac:dyDescent="0.25">
      <c r="A241" s="10">
        <v>236</v>
      </c>
      <c r="B241" s="11">
        <v>45887</v>
      </c>
      <c r="C241" s="12" t="s">
        <v>250</v>
      </c>
      <c r="D241" s="13" t="s">
        <v>11</v>
      </c>
      <c r="E241" s="14" t="s">
        <v>12</v>
      </c>
      <c r="F241" s="13" t="s">
        <v>13</v>
      </c>
      <c r="G241" s="15" t="s">
        <v>14</v>
      </c>
      <c r="H241" s="15" t="s">
        <v>15</v>
      </c>
      <c r="I241" s="16">
        <v>13</v>
      </c>
      <c r="J241" s="17">
        <v>490250</v>
      </c>
    </row>
    <row r="242" spans="1:10" s="18" customFormat="1" x14ac:dyDescent="0.25">
      <c r="A242" s="10">
        <v>237</v>
      </c>
      <c r="B242" s="11">
        <v>45887</v>
      </c>
      <c r="C242" s="12" t="s">
        <v>251</v>
      </c>
      <c r="D242" s="13" t="s">
        <v>11</v>
      </c>
      <c r="E242" s="14" t="s">
        <v>12</v>
      </c>
      <c r="F242" s="13" t="s">
        <v>13</v>
      </c>
      <c r="G242" s="15" t="s">
        <v>14</v>
      </c>
      <c r="H242" s="15" t="s">
        <v>15</v>
      </c>
      <c r="I242" s="16">
        <v>13</v>
      </c>
      <c r="J242" s="17">
        <v>536250</v>
      </c>
    </row>
    <row r="243" spans="1:10" s="18" customFormat="1" x14ac:dyDescent="0.25">
      <c r="A243" s="10">
        <v>238</v>
      </c>
      <c r="B243" s="11">
        <v>45888</v>
      </c>
      <c r="C243" s="12" t="s">
        <v>252</v>
      </c>
      <c r="D243" s="13" t="s">
        <v>11</v>
      </c>
      <c r="E243" s="14" t="s">
        <v>12</v>
      </c>
      <c r="F243" s="13" t="s">
        <v>13</v>
      </c>
      <c r="G243" s="15" t="s">
        <v>14</v>
      </c>
      <c r="H243" s="15" t="s">
        <v>15</v>
      </c>
      <c r="I243" s="16">
        <v>12</v>
      </c>
      <c r="J243" s="17">
        <v>20350</v>
      </c>
    </row>
    <row r="244" spans="1:10" s="18" customFormat="1" x14ac:dyDescent="0.25">
      <c r="A244" s="10">
        <v>239</v>
      </c>
      <c r="B244" s="11">
        <v>45888</v>
      </c>
      <c r="C244" s="12" t="s">
        <v>253</v>
      </c>
      <c r="D244" s="13" t="s">
        <v>11</v>
      </c>
      <c r="E244" s="14" t="s">
        <v>12</v>
      </c>
      <c r="F244" s="13" t="s">
        <v>13</v>
      </c>
      <c r="G244" s="15" t="s">
        <v>14</v>
      </c>
      <c r="H244" s="15" t="s">
        <v>15</v>
      </c>
      <c r="I244" s="16">
        <v>12</v>
      </c>
      <c r="J244" s="17">
        <v>114950</v>
      </c>
    </row>
    <row r="245" spans="1:10" s="18" customFormat="1" x14ac:dyDescent="0.25">
      <c r="A245" s="10">
        <v>240</v>
      </c>
      <c r="B245" s="11">
        <v>45888</v>
      </c>
      <c r="C245" s="12" t="s">
        <v>254</v>
      </c>
      <c r="D245" s="13" t="s">
        <v>11</v>
      </c>
      <c r="E245" s="14" t="s">
        <v>12</v>
      </c>
      <c r="F245" s="13" t="s">
        <v>13</v>
      </c>
      <c r="G245" s="15" t="s">
        <v>14</v>
      </c>
      <c r="H245" s="15" t="s">
        <v>15</v>
      </c>
      <c r="I245" s="16">
        <v>12</v>
      </c>
      <c r="J245" s="17">
        <v>118425</v>
      </c>
    </row>
    <row r="246" spans="1:10" s="18" customFormat="1" x14ac:dyDescent="0.25">
      <c r="A246" s="10">
        <v>241</v>
      </c>
      <c r="B246" s="11">
        <v>45888</v>
      </c>
      <c r="C246" s="12" t="s">
        <v>255</v>
      </c>
      <c r="D246" s="13" t="s">
        <v>11</v>
      </c>
      <c r="E246" s="14" t="s">
        <v>12</v>
      </c>
      <c r="F246" s="13" t="s">
        <v>13</v>
      </c>
      <c r="G246" s="15" t="s">
        <v>14</v>
      </c>
      <c r="H246" s="15" t="s">
        <v>15</v>
      </c>
      <c r="I246" s="16">
        <v>12</v>
      </c>
      <c r="J246" s="17">
        <v>139350</v>
      </c>
    </row>
    <row r="247" spans="1:10" s="18" customFormat="1" x14ac:dyDescent="0.25">
      <c r="A247" s="10">
        <v>242</v>
      </c>
      <c r="B247" s="11">
        <v>45888</v>
      </c>
      <c r="C247" s="12" t="s">
        <v>256</v>
      </c>
      <c r="D247" s="13" t="s">
        <v>11</v>
      </c>
      <c r="E247" s="14" t="s">
        <v>12</v>
      </c>
      <c r="F247" s="13" t="s">
        <v>13</v>
      </c>
      <c r="G247" s="15" t="s">
        <v>14</v>
      </c>
      <c r="H247" s="15" t="s">
        <v>15</v>
      </c>
      <c r="I247" s="16">
        <v>12</v>
      </c>
      <c r="J247" s="17">
        <v>153950</v>
      </c>
    </row>
    <row r="248" spans="1:10" s="18" customFormat="1" x14ac:dyDescent="0.25">
      <c r="A248" s="10">
        <v>243</v>
      </c>
      <c r="B248" s="11">
        <v>45888</v>
      </c>
      <c r="C248" s="12" t="s">
        <v>257</v>
      </c>
      <c r="D248" s="13" t="s">
        <v>11</v>
      </c>
      <c r="E248" s="14" t="s">
        <v>12</v>
      </c>
      <c r="F248" s="13" t="s">
        <v>13</v>
      </c>
      <c r="G248" s="15" t="s">
        <v>14</v>
      </c>
      <c r="H248" s="15" t="s">
        <v>15</v>
      </c>
      <c r="I248" s="16">
        <v>12</v>
      </c>
      <c r="J248" s="17">
        <v>156735</v>
      </c>
    </row>
    <row r="249" spans="1:10" s="18" customFormat="1" x14ac:dyDescent="0.25">
      <c r="A249" s="10">
        <v>244</v>
      </c>
      <c r="B249" s="11">
        <v>45888</v>
      </c>
      <c r="C249" s="12" t="s">
        <v>258</v>
      </c>
      <c r="D249" s="13" t="s">
        <v>11</v>
      </c>
      <c r="E249" s="14" t="s">
        <v>12</v>
      </c>
      <c r="F249" s="13" t="s">
        <v>13</v>
      </c>
      <c r="G249" s="15" t="s">
        <v>14</v>
      </c>
      <c r="H249" s="15" t="s">
        <v>15</v>
      </c>
      <c r="I249" s="16">
        <v>12</v>
      </c>
      <c r="J249" s="17">
        <v>226395</v>
      </c>
    </row>
    <row r="250" spans="1:10" s="18" customFormat="1" x14ac:dyDescent="0.25">
      <c r="A250" s="10">
        <v>245</v>
      </c>
      <c r="B250" s="11">
        <v>45888</v>
      </c>
      <c r="C250" s="12" t="s">
        <v>259</v>
      </c>
      <c r="D250" s="13" t="s">
        <v>11</v>
      </c>
      <c r="E250" s="14" t="s">
        <v>12</v>
      </c>
      <c r="F250" s="13" t="s">
        <v>13</v>
      </c>
      <c r="G250" s="15" t="s">
        <v>14</v>
      </c>
      <c r="H250" s="15" t="s">
        <v>15</v>
      </c>
      <c r="I250" s="16">
        <v>12</v>
      </c>
      <c r="J250" s="17">
        <v>226395</v>
      </c>
    </row>
    <row r="251" spans="1:10" s="18" customFormat="1" x14ac:dyDescent="0.25">
      <c r="A251" s="10">
        <v>246</v>
      </c>
      <c r="B251" s="11">
        <v>45888</v>
      </c>
      <c r="C251" s="12" t="s">
        <v>260</v>
      </c>
      <c r="D251" s="13" t="s">
        <v>11</v>
      </c>
      <c r="E251" s="14" t="s">
        <v>12</v>
      </c>
      <c r="F251" s="13" t="s">
        <v>13</v>
      </c>
      <c r="G251" s="15" t="s">
        <v>14</v>
      </c>
      <c r="H251" s="15" t="s">
        <v>15</v>
      </c>
      <c r="I251" s="16">
        <v>12</v>
      </c>
      <c r="J251" s="17">
        <v>437400</v>
      </c>
    </row>
    <row r="252" spans="1:10" s="18" customFormat="1" x14ac:dyDescent="0.25">
      <c r="A252" s="10">
        <v>247</v>
      </c>
      <c r="B252" s="11">
        <v>45889</v>
      </c>
      <c r="C252" s="12" t="s">
        <v>261</v>
      </c>
      <c r="D252" s="13" t="s">
        <v>11</v>
      </c>
      <c r="E252" s="14" t="s">
        <v>12</v>
      </c>
      <c r="F252" s="13" t="s">
        <v>13</v>
      </c>
      <c r="G252" s="15" t="s">
        <v>14</v>
      </c>
      <c r="H252" s="15" t="s">
        <v>15</v>
      </c>
      <c r="I252" s="16">
        <v>11</v>
      </c>
      <c r="J252" s="17">
        <v>28235</v>
      </c>
    </row>
    <row r="253" spans="1:10" s="18" customFormat="1" x14ac:dyDescent="0.25">
      <c r="A253" s="10">
        <v>248</v>
      </c>
      <c r="B253" s="11">
        <v>45889</v>
      </c>
      <c r="C253" s="12" t="s">
        <v>262</v>
      </c>
      <c r="D253" s="13" t="s">
        <v>11</v>
      </c>
      <c r="E253" s="14" t="s">
        <v>12</v>
      </c>
      <c r="F253" s="13" t="s">
        <v>13</v>
      </c>
      <c r="G253" s="15" t="s">
        <v>14</v>
      </c>
      <c r="H253" s="15" t="s">
        <v>15</v>
      </c>
      <c r="I253" s="16">
        <v>11</v>
      </c>
      <c r="J253" s="17">
        <v>50475</v>
      </c>
    </row>
    <row r="254" spans="1:10" s="18" customFormat="1" x14ac:dyDescent="0.25">
      <c r="A254" s="10">
        <v>249</v>
      </c>
      <c r="B254" s="11">
        <v>45889</v>
      </c>
      <c r="C254" s="12" t="s">
        <v>263</v>
      </c>
      <c r="D254" s="13" t="s">
        <v>11</v>
      </c>
      <c r="E254" s="14" t="s">
        <v>12</v>
      </c>
      <c r="F254" s="13" t="s">
        <v>13</v>
      </c>
      <c r="G254" s="15" t="s">
        <v>14</v>
      </c>
      <c r="H254" s="15" t="s">
        <v>15</v>
      </c>
      <c r="I254" s="16">
        <v>11</v>
      </c>
      <c r="J254" s="17">
        <v>114145</v>
      </c>
    </row>
    <row r="255" spans="1:10" s="18" customFormat="1" x14ac:dyDescent="0.25">
      <c r="A255" s="10">
        <v>250</v>
      </c>
      <c r="B255" s="11">
        <v>45889</v>
      </c>
      <c r="C255" s="12" t="s">
        <v>264</v>
      </c>
      <c r="D255" s="13" t="s">
        <v>11</v>
      </c>
      <c r="E255" s="14" t="s">
        <v>12</v>
      </c>
      <c r="F255" s="13" t="s">
        <v>13</v>
      </c>
      <c r="G255" s="15" t="s">
        <v>14</v>
      </c>
      <c r="H255" s="15" t="s">
        <v>15</v>
      </c>
      <c r="I255" s="16">
        <v>11</v>
      </c>
      <c r="J255" s="17">
        <v>123175</v>
      </c>
    </row>
    <row r="256" spans="1:10" s="18" customFormat="1" x14ac:dyDescent="0.25">
      <c r="A256" s="10">
        <v>251</v>
      </c>
      <c r="B256" s="11">
        <v>45889</v>
      </c>
      <c r="C256" s="12" t="s">
        <v>265</v>
      </c>
      <c r="D256" s="13" t="s">
        <v>11</v>
      </c>
      <c r="E256" s="14" t="s">
        <v>12</v>
      </c>
      <c r="F256" s="13" t="s">
        <v>13</v>
      </c>
      <c r="G256" s="15" t="s">
        <v>14</v>
      </c>
      <c r="H256" s="15" t="s">
        <v>15</v>
      </c>
      <c r="I256" s="16">
        <v>11</v>
      </c>
      <c r="J256" s="17">
        <v>144185</v>
      </c>
    </row>
    <row r="257" spans="1:10" s="18" customFormat="1" x14ac:dyDescent="0.25">
      <c r="A257" s="10">
        <v>252</v>
      </c>
      <c r="B257" s="11">
        <v>45889</v>
      </c>
      <c r="C257" s="12" t="s">
        <v>266</v>
      </c>
      <c r="D257" s="13" t="s">
        <v>11</v>
      </c>
      <c r="E257" s="14" t="s">
        <v>12</v>
      </c>
      <c r="F257" s="13" t="s">
        <v>13</v>
      </c>
      <c r="G257" s="15" t="s">
        <v>14</v>
      </c>
      <c r="H257" s="15" t="s">
        <v>15</v>
      </c>
      <c r="I257" s="16">
        <v>11</v>
      </c>
      <c r="J257" s="17">
        <v>148990</v>
      </c>
    </row>
    <row r="258" spans="1:10" s="18" customFormat="1" x14ac:dyDescent="0.25">
      <c r="A258" s="10">
        <v>253</v>
      </c>
      <c r="B258" s="11">
        <v>45889</v>
      </c>
      <c r="C258" s="12" t="s">
        <v>267</v>
      </c>
      <c r="D258" s="13" t="s">
        <v>11</v>
      </c>
      <c r="E258" s="14" t="s">
        <v>12</v>
      </c>
      <c r="F258" s="13" t="s">
        <v>13</v>
      </c>
      <c r="G258" s="15" t="s">
        <v>14</v>
      </c>
      <c r="H258" s="15" t="s">
        <v>15</v>
      </c>
      <c r="I258" s="16">
        <v>11</v>
      </c>
      <c r="J258" s="17">
        <v>148990</v>
      </c>
    </row>
    <row r="259" spans="1:10" s="18" customFormat="1" x14ac:dyDescent="0.25">
      <c r="A259" s="10">
        <v>254</v>
      </c>
      <c r="B259" s="11">
        <v>45889</v>
      </c>
      <c r="C259" s="12" t="s">
        <v>268</v>
      </c>
      <c r="D259" s="13" t="s">
        <v>11</v>
      </c>
      <c r="E259" s="14" t="s">
        <v>12</v>
      </c>
      <c r="F259" s="13" t="s">
        <v>13</v>
      </c>
      <c r="G259" s="15" t="s">
        <v>14</v>
      </c>
      <c r="H259" s="15" t="s">
        <v>15</v>
      </c>
      <c r="I259" s="16">
        <v>11</v>
      </c>
      <c r="J259" s="17">
        <v>273945</v>
      </c>
    </row>
    <row r="260" spans="1:10" s="18" customFormat="1" x14ac:dyDescent="0.25">
      <c r="A260" s="10">
        <v>255</v>
      </c>
      <c r="B260" s="11">
        <v>45889</v>
      </c>
      <c r="C260" s="12" t="s">
        <v>269</v>
      </c>
      <c r="D260" s="13" t="s">
        <v>11</v>
      </c>
      <c r="E260" s="14" t="s">
        <v>12</v>
      </c>
      <c r="F260" s="13" t="s">
        <v>13</v>
      </c>
      <c r="G260" s="15" t="s">
        <v>14</v>
      </c>
      <c r="H260" s="15" t="s">
        <v>15</v>
      </c>
      <c r="I260" s="16">
        <v>11</v>
      </c>
      <c r="J260" s="17">
        <v>365390</v>
      </c>
    </row>
    <row r="261" spans="1:10" s="18" customFormat="1" x14ac:dyDescent="0.25">
      <c r="A261" s="10">
        <v>256</v>
      </c>
      <c r="B261" s="11">
        <v>45889</v>
      </c>
      <c r="C261" s="12" t="s">
        <v>270</v>
      </c>
      <c r="D261" s="13" t="s">
        <v>11</v>
      </c>
      <c r="E261" s="14" t="s">
        <v>12</v>
      </c>
      <c r="F261" s="13" t="s">
        <v>13</v>
      </c>
      <c r="G261" s="15" t="s">
        <v>14</v>
      </c>
      <c r="H261" s="15" t="s">
        <v>15</v>
      </c>
      <c r="I261" s="16">
        <v>11</v>
      </c>
      <c r="J261" s="17">
        <v>556950</v>
      </c>
    </row>
    <row r="262" spans="1:10" s="18" customFormat="1" x14ac:dyDescent="0.25">
      <c r="A262" s="10">
        <v>257</v>
      </c>
      <c r="B262" s="11">
        <v>45889</v>
      </c>
      <c r="C262" s="12" t="s">
        <v>271</v>
      </c>
      <c r="D262" s="13" t="s">
        <v>11</v>
      </c>
      <c r="E262" s="14" t="s">
        <v>12</v>
      </c>
      <c r="F262" s="13" t="s">
        <v>13</v>
      </c>
      <c r="G262" s="15" t="s">
        <v>14</v>
      </c>
      <c r="H262" s="15" t="s">
        <v>15</v>
      </c>
      <c r="I262" s="16">
        <v>11</v>
      </c>
      <c r="J262" s="17">
        <v>1540500</v>
      </c>
    </row>
    <row r="263" spans="1:10" s="18" customFormat="1" x14ac:dyDescent="0.25">
      <c r="A263" s="10">
        <v>258</v>
      </c>
      <c r="B263" s="11">
        <v>45891</v>
      </c>
      <c r="C263" s="12" t="s">
        <v>272</v>
      </c>
      <c r="D263" s="13" t="s">
        <v>11</v>
      </c>
      <c r="E263" s="14" t="s">
        <v>12</v>
      </c>
      <c r="F263" s="13" t="s">
        <v>13</v>
      </c>
      <c r="G263" s="15" t="s">
        <v>14</v>
      </c>
      <c r="H263" s="15" t="s">
        <v>15</v>
      </c>
      <c r="I263" s="16">
        <v>9</v>
      </c>
      <c r="J263" s="17">
        <v>18025</v>
      </c>
    </row>
    <row r="264" spans="1:10" s="18" customFormat="1" x14ac:dyDescent="0.25">
      <c r="A264" s="10">
        <v>259</v>
      </c>
      <c r="B264" s="11">
        <v>45891</v>
      </c>
      <c r="C264" s="12" t="s">
        <v>273</v>
      </c>
      <c r="D264" s="13" t="s">
        <v>11</v>
      </c>
      <c r="E264" s="14" t="s">
        <v>12</v>
      </c>
      <c r="F264" s="13" t="s">
        <v>13</v>
      </c>
      <c r="G264" s="15" t="s">
        <v>14</v>
      </c>
      <c r="H264" s="15" t="s">
        <v>15</v>
      </c>
      <c r="I264" s="16">
        <v>9</v>
      </c>
      <c r="J264" s="17">
        <v>28235</v>
      </c>
    </row>
    <row r="265" spans="1:10" s="18" customFormat="1" x14ac:dyDescent="0.25">
      <c r="A265" s="10">
        <v>260</v>
      </c>
      <c r="B265" s="11">
        <v>45891</v>
      </c>
      <c r="C265" s="12" t="s">
        <v>274</v>
      </c>
      <c r="D265" s="13" t="s">
        <v>11</v>
      </c>
      <c r="E265" s="14" t="s">
        <v>12</v>
      </c>
      <c r="F265" s="13" t="s">
        <v>13</v>
      </c>
      <c r="G265" s="15" t="s">
        <v>14</v>
      </c>
      <c r="H265" s="15" t="s">
        <v>15</v>
      </c>
      <c r="I265" s="16">
        <v>9</v>
      </c>
      <c r="J265" s="17">
        <v>80505</v>
      </c>
    </row>
    <row r="266" spans="1:10" s="18" customFormat="1" x14ac:dyDescent="0.25">
      <c r="A266" s="10">
        <v>261</v>
      </c>
      <c r="B266" s="11">
        <v>45891</v>
      </c>
      <c r="C266" s="12" t="s">
        <v>275</v>
      </c>
      <c r="D266" s="13" t="s">
        <v>11</v>
      </c>
      <c r="E266" s="14" t="s">
        <v>12</v>
      </c>
      <c r="F266" s="13" t="s">
        <v>13</v>
      </c>
      <c r="G266" s="15" t="s">
        <v>14</v>
      </c>
      <c r="H266" s="15" t="s">
        <v>15</v>
      </c>
      <c r="I266" s="16">
        <v>9</v>
      </c>
      <c r="J266" s="17">
        <v>81725</v>
      </c>
    </row>
    <row r="267" spans="1:10" s="18" customFormat="1" x14ac:dyDescent="0.25">
      <c r="A267" s="10">
        <v>262</v>
      </c>
      <c r="B267" s="11">
        <v>45891</v>
      </c>
      <c r="C267" s="12" t="s">
        <v>276</v>
      </c>
      <c r="D267" s="13" t="s">
        <v>11</v>
      </c>
      <c r="E267" s="14" t="s">
        <v>12</v>
      </c>
      <c r="F267" s="13" t="s">
        <v>13</v>
      </c>
      <c r="G267" s="15" t="s">
        <v>14</v>
      </c>
      <c r="H267" s="15" t="s">
        <v>15</v>
      </c>
      <c r="I267" s="16">
        <v>9</v>
      </c>
      <c r="J267" s="17">
        <v>91315</v>
      </c>
    </row>
    <row r="268" spans="1:10" s="18" customFormat="1" x14ac:dyDescent="0.25">
      <c r="A268" s="10">
        <v>263</v>
      </c>
      <c r="B268" s="11">
        <v>45891</v>
      </c>
      <c r="C268" s="12" t="s">
        <v>277</v>
      </c>
      <c r="D268" s="13" t="s">
        <v>11</v>
      </c>
      <c r="E268" s="14" t="s">
        <v>12</v>
      </c>
      <c r="F268" s="13" t="s">
        <v>13</v>
      </c>
      <c r="G268" s="15" t="s">
        <v>14</v>
      </c>
      <c r="H268" s="15" t="s">
        <v>15</v>
      </c>
      <c r="I268" s="16">
        <v>9</v>
      </c>
      <c r="J268" s="17">
        <v>112945</v>
      </c>
    </row>
    <row r="269" spans="1:10" s="18" customFormat="1" x14ac:dyDescent="0.25">
      <c r="A269" s="10">
        <v>264</v>
      </c>
      <c r="B269" s="11">
        <v>45891</v>
      </c>
      <c r="C269" s="12" t="s">
        <v>278</v>
      </c>
      <c r="D269" s="13" t="s">
        <v>11</v>
      </c>
      <c r="E269" s="14" t="s">
        <v>12</v>
      </c>
      <c r="F269" s="13" t="s">
        <v>13</v>
      </c>
      <c r="G269" s="15" t="s">
        <v>14</v>
      </c>
      <c r="H269" s="15" t="s">
        <v>15</v>
      </c>
      <c r="I269" s="16">
        <v>9</v>
      </c>
      <c r="J269" s="17">
        <v>148990</v>
      </c>
    </row>
    <row r="270" spans="1:10" s="18" customFormat="1" x14ac:dyDescent="0.25">
      <c r="A270" s="10">
        <v>265</v>
      </c>
      <c r="B270" s="11">
        <v>45891</v>
      </c>
      <c r="C270" s="12" t="s">
        <v>279</v>
      </c>
      <c r="D270" s="13" t="s">
        <v>11</v>
      </c>
      <c r="E270" s="14" t="s">
        <v>12</v>
      </c>
      <c r="F270" s="13" t="s">
        <v>13</v>
      </c>
      <c r="G270" s="15" t="s">
        <v>14</v>
      </c>
      <c r="H270" s="15" t="s">
        <v>15</v>
      </c>
      <c r="I270" s="16">
        <v>9</v>
      </c>
      <c r="J270" s="17">
        <v>156200</v>
      </c>
    </row>
    <row r="271" spans="1:10" s="18" customFormat="1" x14ac:dyDescent="0.25">
      <c r="A271" s="10">
        <v>266</v>
      </c>
      <c r="B271" s="11">
        <v>45891</v>
      </c>
      <c r="C271" s="12" t="s">
        <v>280</v>
      </c>
      <c r="D271" s="13" t="s">
        <v>11</v>
      </c>
      <c r="E271" s="14" t="s">
        <v>12</v>
      </c>
      <c r="F271" s="13" t="s">
        <v>13</v>
      </c>
      <c r="G271" s="15" t="s">
        <v>14</v>
      </c>
      <c r="H271" s="15" t="s">
        <v>15</v>
      </c>
      <c r="I271" s="16">
        <v>9</v>
      </c>
      <c r="J271" s="17">
        <v>192245</v>
      </c>
    </row>
    <row r="272" spans="1:10" s="18" customFormat="1" x14ac:dyDescent="0.25">
      <c r="A272" s="10">
        <v>267</v>
      </c>
      <c r="B272" s="11">
        <v>45891</v>
      </c>
      <c r="C272" s="12" t="s">
        <v>281</v>
      </c>
      <c r="D272" s="13" t="s">
        <v>11</v>
      </c>
      <c r="E272" s="14" t="s">
        <v>12</v>
      </c>
      <c r="F272" s="13" t="s">
        <v>13</v>
      </c>
      <c r="G272" s="15" t="s">
        <v>14</v>
      </c>
      <c r="H272" s="15" t="s">
        <v>15</v>
      </c>
      <c r="I272" s="16">
        <v>9</v>
      </c>
      <c r="J272" s="17">
        <v>225890</v>
      </c>
    </row>
    <row r="273" spans="1:10" s="18" customFormat="1" x14ac:dyDescent="0.25">
      <c r="A273" s="10">
        <v>268</v>
      </c>
      <c r="B273" s="11">
        <v>45891</v>
      </c>
      <c r="C273" s="12" t="s">
        <v>282</v>
      </c>
      <c r="D273" s="13" t="s">
        <v>11</v>
      </c>
      <c r="E273" s="14" t="s">
        <v>12</v>
      </c>
      <c r="F273" s="13" t="s">
        <v>13</v>
      </c>
      <c r="G273" s="15" t="s">
        <v>14</v>
      </c>
      <c r="H273" s="15" t="s">
        <v>15</v>
      </c>
      <c r="I273" s="16">
        <v>9</v>
      </c>
      <c r="J273" s="17">
        <v>225890</v>
      </c>
    </row>
    <row r="274" spans="1:10" s="18" customFormat="1" x14ac:dyDescent="0.25">
      <c r="A274" s="10">
        <v>269</v>
      </c>
      <c r="B274" s="11">
        <v>45891</v>
      </c>
      <c r="C274" s="12" t="s">
        <v>283</v>
      </c>
      <c r="D274" s="13" t="s">
        <v>11</v>
      </c>
      <c r="E274" s="14" t="s">
        <v>12</v>
      </c>
      <c r="F274" s="13" t="s">
        <v>13</v>
      </c>
      <c r="G274" s="15" t="s">
        <v>14</v>
      </c>
      <c r="H274" s="15" t="s">
        <v>15</v>
      </c>
      <c r="I274" s="16">
        <v>9</v>
      </c>
      <c r="J274" s="17">
        <v>234295</v>
      </c>
    </row>
    <row r="275" spans="1:10" s="18" customFormat="1" x14ac:dyDescent="0.25">
      <c r="A275" s="10">
        <v>270</v>
      </c>
      <c r="B275" s="11">
        <v>45891</v>
      </c>
      <c r="C275" s="12" t="s">
        <v>284</v>
      </c>
      <c r="D275" s="13" t="s">
        <v>11</v>
      </c>
      <c r="E275" s="14" t="s">
        <v>12</v>
      </c>
      <c r="F275" s="13" t="s">
        <v>13</v>
      </c>
      <c r="G275" s="15" t="s">
        <v>14</v>
      </c>
      <c r="H275" s="15" t="s">
        <v>15</v>
      </c>
      <c r="I275" s="16">
        <v>9</v>
      </c>
      <c r="J275" s="17">
        <v>270340</v>
      </c>
    </row>
    <row r="276" spans="1:10" s="18" customFormat="1" x14ac:dyDescent="0.25">
      <c r="A276" s="10">
        <v>271</v>
      </c>
      <c r="B276" s="11">
        <v>45891</v>
      </c>
      <c r="C276" s="12" t="s">
        <v>285</v>
      </c>
      <c r="D276" s="13" t="s">
        <v>11</v>
      </c>
      <c r="E276" s="14" t="s">
        <v>12</v>
      </c>
      <c r="F276" s="13" t="s">
        <v>13</v>
      </c>
      <c r="G276" s="15" t="s">
        <v>14</v>
      </c>
      <c r="H276" s="15" t="s">
        <v>15</v>
      </c>
      <c r="I276" s="16">
        <v>9</v>
      </c>
      <c r="J276" s="17">
        <v>310050</v>
      </c>
    </row>
    <row r="277" spans="1:10" s="18" customFormat="1" x14ac:dyDescent="0.25">
      <c r="A277" s="10">
        <v>272</v>
      </c>
      <c r="B277" s="11">
        <v>45891</v>
      </c>
      <c r="C277" s="12" t="s">
        <v>286</v>
      </c>
      <c r="D277" s="13" t="s">
        <v>11</v>
      </c>
      <c r="E277" s="14" t="s">
        <v>12</v>
      </c>
      <c r="F277" s="13" t="s">
        <v>13</v>
      </c>
      <c r="G277" s="15" t="s">
        <v>14</v>
      </c>
      <c r="H277" s="15" t="s">
        <v>15</v>
      </c>
      <c r="I277" s="16">
        <v>9</v>
      </c>
      <c r="J277" s="17">
        <v>948000</v>
      </c>
    </row>
    <row r="278" spans="1:10" s="18" customFormat="1" x14ac:dyDescent="0.25">
      <c r="A278" s="10">
        <v>273</v>
      </c>
      <c r="B278" s="11">
        <v>45891</v>
      </c>
      <c r="C278" s="12" t="s">
        <v>287</v>
      </c>
      <c r="D278" s="13" t="s">
        <v>11</v>
      </c>
      <c r="E278" s="14" t="s">
        <v>12</v>
      </c>
      <c r="F278" s="13" t="s">
        <v>13</v>
      </c>
      <c r="G278" s="15" t="s">
        <v>14</v>
      </c>
      <c r="H278" s="15" t="s">
        <v>15</v>
      </c>
      <c r="I278" s="16">
        <v>9</v>
      </c>
      <c r="J278" s="17">
        <v>1173750</v>
      </c>
    </row>
    <row r="279" spans="1:10" s="18" customFormat="1" x14ac:dyDescent="0.25">
      <c r="A279" s="10">
        <v>274</v>
      </c>
      <c r="B279" s="11">
        <v>45892</v>
      </c>
      <c r="C279" s="12" t="s">
        <v>288</v>
      </c>
      <c r="D279" s="13" t="s">
        <v>11</v>
      </c>
      <c r="E279" s="14" t="s">
        <v>12</v>
      </c>
      <c r="F279" s="13" t="s">
        <v>13</v>
      </c>
      <c r="G279" s="15" t="s">
        <v>14</v>
      </c>
      <c r="H279" s="15" t="s">
        <v>15</v>
      </c>
      <c r="I279" s="16">
        <v>8</v>
      </c>
      <c r="J279" s="17">
        <v>33045</v>
      </c>
    </row>
    <row r="280" spans="1:10" s="18" customFormat="1" x14ac:dyDescent="0.25">
      <c r="A280" s="10">
        <v>275</v>
      </c>
      <c r="B280" s="11">
        <v>45892</v>
      </c>
      <c r="C280" s="12" t="s">
        <v>289</v>
      </c>
      <c r="D280" s="13" t="s">
        <v>11</v>
      </c>
      <c r="E280" s="14" t="s">
        <v>12</v>
      </c>
      <c r="F280" s="13" t="s">
        <v>13</v>
      </c>
      <c r="G280" s="15" t="s">
        <v>14</v>
      </c>
      <c r="H280" s="15" t="s">
        <v>15</v>
      </c>
      <c r="I280" s="16">
        <v>8</v>
      </c>
      <c r="J280" s="17">
        <v>88875</v>
      </c>
    </row>
    <row r="281" spans="1:10" s="18" customFormat="1" x14ac:dyDescent="0.25">
      <c r="A281" s="10">
        <v>276</v>
      </c>
      <c r="B281" s="11">
        <v>45892</v>
      </c>
      <c r="C281" s="12" t="s">
        <v>290</v>
      </c>
      <c r="D281" s="13" t="s">
        <v>11</v>
      </c>
      <c r="E281" s="14" t="s">
        <v>12</v>
      </c>
      <c r="F281" s="13" t="s">
        <v>13</v>
      </c>
      <c r="G281" s="15" t="s">
        <v>14</v>
      </c>
      <c r="H281" s="15" t="s">
        <v>15</v>
      </c>
      <c r="I281" s="16">
        <v>8</v>
      </c>
      <c r="J281" s="17">
        <v>96125</v>
      </c>
    </row>
    <row r="282" spans="1:10" s="18" customFormat="1" x14ac:dyDescent="0.25">
      <c r="A282" s="10">
        <v>277</v>
      </c>
      <c r="B282" s="11">
        <v>45892</v>
      </c>
      <c r="C282" s="12" t="s">
        <v>291</v>
      </c>
      <c r="D282" s="13" t="s">
        <v>11</v>
      </c>
      <c r="E282" s="14" t="s">
        <v>12</v>
      </c>
      <c r="F282" s="13" t="s">
        <v>13</v>
      </c>
      <c r="G282" s="15" t="s">
        <v>14</v>
      </c>
      <c r="H282" s="15" t="s">
        <v>15</v>
      </c>
      <c r="I282" s="16">
        <v>8</v>
      </c>
      <c r="J282" s="17">
        <v>234295</v>
      </c>
    </row>
    <row r="283" spans="1:10" s="18" customFormat="1" x14ac:dyDescent="0.25">
      <c r="A283" s="10">
        <v>278</v>
      </c>
      <c r="B283" s="11">
        <v>45892</v>
      </c>
      <c r="C283" s="12" t="s">
        <v>292</v>
      </c>
      <c r="D283" s="13" t="s">
        <v>11</v>
      </c>
      <c r="E283" s="14" t="s">
        <v>12</v>
      </c>
      <c r="F283" s="13" t="s">
        <v>13</v>
      </c>
      <c r="G283" s="15" t="s">
        <v>14</v>
      </c>
      <c r="H283" s="15" t="s">
        <v>15</v>
      </c>
      <c r="I283" s="16">
        <v>8</v>
      </c>
      <c r="J283" s="17">
        <v>234295</v>
      </c>
    </row>
    <row r="284" spans="1:10" s="18" customFormat="1" x14ac:dyDescent="0.25">
      <c r="A284" s="10">
        <v>279</v>
      </c>
      <c r="B284" s="11">
        <v>45892</v>
      </c>
      <c r="C284" s="12" t="s">
        <v>293</v>
      </c>
      <c r="D284" s="13" t="s">
        <v>11</v>
      </c>
      <c r="E284" s="14" t="s">
        <v>12</v>
      </c>
      <c r="F284" s="13" t="s">
        <v>13</v>
      </c>
      <c r="G284" s="15" t="s">
        <v>14</v>
      </c>
      <c r="H284" s="15" t="s">
        <v>15</v>
      </c>
      <c r="I284" s="16">
        <v>8</v>
      </c>
      <c r="J284" s="17">
        <v>413400</v>
      </c>
    </row>
    <row r="285" spans="1:10" s="18" customFormat="1" x14ac:dyDescent="0.25">
      <c r="A285" s="10">
        <v>280</v>
      </c>
      <c r="B285" s="11">
        <v>45894</v>
      </c>
      <c r="C285" s="12" t="s">
        <v>294</v>
      </c>
      <c r="D285" s="13" t="s">
        <v>11</v>
      </c>
      <c r="E285" s="14" t="s">
        <v>12</v>
      </c>
      <c r="F285" s="13" t="s">
        <v>13</v>
      </c>
      <c r="G285" s="15" t="s">
        <v>14</v>
      </c>
      <c r="H285" s="15" t="s">
        <v>15</v>
      </c>
      <c r="I285" s="16">
        <v>6</v>
      </c>
      <c r="J285" s="17">
        <v>18025</v>
      </c>
    </row>
    <row r="286" spans="1:10" s="18" customFormat="1" x14ac:dyDescent="0.25">
      <c r="A286" s="10">
        <v>281</v>
      </c>
      <c r="B286" s="11">
        <v>45894</v>
      </c>
      <c r="C286" s="12" t="s">
        <v>295</v>
      </c>
      <c r="D286" s="13" t="s">
        <v>11</v>
      </c>
      <c r="E286" s="14" t="s">
        <v>12</v>
      </c>
      <c r="F286" s="13" t="s">
        <v>13</v>
      </c>
      <c r="G286" s="15" t="s">
        <v>14</v>
      </c>
      <c r="H286" s="15" t="s">
        <v>15</v>
      </c>
      <c r="I286" s="16">
        <v>6</v>
      </c>
      <c r="J286" s="17">
        <v>33645</v>
      </c>
    </row>
    <row r="287" spans="1:10" s="18" customFormat="1" x14ac:dyDescent="0.25">
      <c r="A287" s="10">
        <v>282</v>
      </c>
      <c r="B287" s="11">
        <v>45894</v>
      </c>
      <c r="C287" s="12" t="s">
        <v>296</v>
      </c>
      <c r="D287" s="13" t="s">
        <v>11</v>
      </c>
      <c r="E287" s="14" t="s">
        <v>12</v>
      </c>
      <c r="F287" s="13" t="s">
        <v>13</v>
      </c>
      <c r="G287" s="15" t="s">
        <v>14</v>
      </c>
      <c r="H287" s="15" t="s">
        <v>15</v>
      </c>
      <c r="I287" s="16">
        <v>6</v>
      </c>
      <c r="J287" s="17">
        <v>33645</v>
      </c>
    </row>
    <row r="288" spans="1:10" s="18" customFormat="1" x14ac:dyDescent="0.25">
      <c r="A288" s="10">
        <v>283</v>
      </c>
      <c r="B288" s="11">
        <v>45894</v>
      </c>
      <c r="C288" s="12" t="s">
        <v>297</v>
      </c>
      <c r="D288" s="13" t="s">
        <v>11</v>
      </c>
      <c r="E288" s="14" t="s">
        <v>12</v>
      </c>
      <c r="F288" s="13" t="s">
        <v>13</v>
      </c>
      <c r="G288" s="15" t="s">
        <v>14</v>
      </c>
      <c r="H288" s="15" t="s">
        <v>15</v>
      </c>
      <c r="I288" s="16">
        <v>6</v>
      </c>
      <c r="J288" s="17">
        <v>42075</v>
      </c>
    </row>
    <row r="289" spans="1:10" s="18" customFormat="1" x14ac:dyDescent="0.25">
      <c r="A289" s="10">
        <v>284</v>
      </c>
      <c r="B289" s="11">
        <v>45894</v>
      </c>
      <c r="C289" s="12" t="s">
        <v>298</v>
      </c>
      <c r="D289" s="13" t="s">
        <v>11</v>
      </c>
      <c r="E289" s="14" t="s">
        <v>12</v>
      </c>
      <c r="F289" s="13" t="s">
        <v>13</v>
      </c>
      <c r="G289" s="15" t="s">
        <v>14</v>
      </c>
      <c r="H289" s="15" t="s">
        <v>15</v>
      </c>
      <c r="I289" s="16">
        <v>6</v>
      </c>
      <c r="J289" s="17">
        <v>80501</v>
      </c>
    </row>
    <row r="290" spans="1:10" s="18" customFormat="1" x14ac:dyDescent="0.25">
      <c r="A290" s="10">
        <v>285</v>
      </c>
      <c r="B290" s="11">
        <v>45894</v>
      </c>
      <c r="C290" s="12" t="s">
        <v>299</v>
      </c>
      <c r="D290" s="13" t="s">
        <v>11</v>
      </c>
      <c r="E290" s="14" t="s">
        <v>12</v>
      </c>
      <c r="F290" s="13" t="s">
        <v>13</v>
      </c>
      <c r="G290" s="15" t="s">
        <v>14</v>
      </c>
      <c r="H290" s="15" t="s">
        <v>15</v>
      </c>
      <c r="I290" s="16">
        <v>6</v>
      </c>
      <c r="J290" s="17">
        <v>80501</v>
      </c>
    </row>
    <row r="291" spans="1:10" s="18" customFormat="1" x14ac:dyDescent="0.25">
      <c r="A291" s="10">
        <v>286</v>
      </c>
      <c r="B291" s="11">
        <v>45894</v>
      </c>
      <c r="C291" s="12" t="s">
        <v>300</v>
      </c>
      <c r="D291" s="13" t="s">
        <v>11</v>
      </c>
      <c r="E291" s="14" t="s">
        <v>12</v>
      </c>
      <c r="F291" s="13" t="s">
        <v>13</v>
      </c>
      <c r="G291" s="15" t="s">
        <v>14</v>
      </c>
      <c r="H291" s="15" t="s">
        <v>15</v>
      </c>
      <c r="I291" s="16">
        <v>6</v>
      </c>
      <c r="J291" s="17">
        <v>82905</v>
      </c>
    </row>
    <row r="292" spans="1:10" s="18" customFormat="1" x14ac:dyDescent="0.25">
      <c r="A292" s="10">
        <v>287</v>
      </c>
      <c r="B292" s="11">
        <v>45894</v>
      </c>
      <c r="C292" s="12" t="s">
        <v>301</v>
      </c>
      <c r="D292" s="13" t="s">
        <v>11</v>
      </c>
      <c r="E292" s="14" t="s">
        <v>12</v>
      </c>
      <c r="F292" s="13" t="s">
        <v>13</v>
      </c>
      <c r="G292" s="15" t="s">
        <v>14</v>
      </c>
      <c r="H292" s="15" t="s">
        <v>15</v>
      </c>
      <c r="I292" s="16">
        <v>6</v>
      </c>
      <c r="J292" s="17">
        <v>94925</v>
      </c>
    </row>
    <row r="293" spans="1:10" s="18" customFormat="1" x14ac:dyDescent="0.25">
      <c r="A293" s="10">
        <v>288</v>
      </c>
      <c r="B293" s="11">
        <v>45894</v>
      </c>
      <c r="C293" s="12" t="s">
        <v>302</v>
      </c>
      <c r="D293" s="13" t="s">
        <v>11</v>
      </c>
      <c r="E293" s="14" t="s">
        <v>12</v>
      </c>
      <c r="F293" s="13" t="s">
        <v>13</v>
      </c>
      <c r="G293" s="15" t="s">
        <v>14</v>
      </c>
      <c r="H293" s="15" t="s">
        <v>15</v>
      </c>
      <c r="I293" s="16">
        <v>6</v>
      </c>
      <c r="J293" s="17">
        <v>106935</v>
      </c>
    </row>
    <row r="294" spans="1:10" s="18" customFormat="1" x14ac:dyDescent="0.25">
      <c r="A294" s="10">
        <v>289</v>
      </c>
      <c r="B294" s="11">
        <v>45894</v>
      </c>
      <c r="C294" s="12" t="s">
        <v>303</v>
      </c>
      <c r="D294" s="13" t="s">
        <v>11</v>
      </c>
      <c r="E294" s="14" t="s">
        <v>12</v>
      </c>
      <c r="F294" s="13" t="s">
        <v>13</v>
      </c>
      <c r="G294" s="15" t="s">
        <v>14</v>
      </c>
      <c r="H294" s="15" t="s">
        <v>15</v>
      </c>
      <c r="I294" s="16">
        <v>6</v>
      </c>
      <c r="J294" s="17">
        <v>108135</v>
      </c>
    </row>
    <row r="295" spans="1:10" s="18" customFormat="1" x14ac:dyDescent="0.25">
      <c r="A295" s="10">
        <v>290</v>
      </c>
      <c r="B295" s="11">
        <v>45894</v>
      </c>
      <c r="C295" s="12" t="s">
        <v>304</v>
      </c>
      <c r="D295" s="13" t="s">
        <v>11</v>
      </c>
      <c r="E295" s="14" t="s">
        <v>12</v>
      </c>
      <c r="F295" s="13" t="s">
        <v>13</v>
      </c>
      <c r="G295" s="15" t="s">
        <v>14</v>
      </c>
      <c r="H295" s="15" t="s">
        <v>15</v>
      </c>
      <c r="I295" s="16">
        <v>6</v>
      </c>
      <c r="J295" s="17">
        <v>112945</v>
      </c>
    </row>
    <row r="296" spans="1:10" s="18" customFormat="1" x14ac:dyDescent="0.25">
      <c r="A296" s="10">
        <v>291</v>
      </c>
      <c r="B296" s="11">
        <v>45894</v>
      </c>
      <c r="C296" s="12" t="s">
        <v>305</v>
      </c>
      <c r="D296" s="13" t="s">
        <v>11</v>
      </c>
      <c r="E296" s="14" t="s">
        <v>12</v>
      </c>
      <c r="F296" s="13" t="s">
        <v>13</v>
      </c>
      <c r="G296" s="15" t="s">
        <v>14</v>
      </c>
      <c r="H296" s="15" t="s">
        <v>15</v>
      </c>
      <c r="I296" s="16">
        <v>6</v>
      </c>
      <c r="J296" s="17">
        <v>112945</v>
      </c>
    </row>
    <row r="297" spans="1:10" s="18" customFormat="1" x14ac:dyDescent="0.25">
      <c r="A297" s="10">
        <v>292</v>
      </c>
      <c r="B297" s="11">
        <v>45894</v>
      </c>
      <c r="C297" s="12" t="s">
        <v>306</v>
      </c>
      <c r="D297" s="13" t="s">
        <v>11</v>
      </c>
      <c r="E297" s="14" t="s">
        <v>12</v>
      </c>
      <c r="F297" s="13" t="s">
        <v>13</v>
      </c>
      <c r="G297" s="15" t="s">
        <v>14</v>
      </c>
      <c r="H297" s="15" t="s">
        <v>15</v>
      </c>
      <c r="I297" s="16">
        <v>6</v>
      </c>
      <c r="J297" s="17">
        <v>118950</v>
      </c>
    </row>
    <row r="298" spans="1:10" s="18" customFormat="1" x14ac:dyDescent="0.25">
      <c r="A298" s="10">
        <v>293</v>
      </c>
      <c r="B298" s="11">
        <v>45894</v>
      </c>
      <c r="C298" s="12" t="s">
        <v>307</v>
      </c>
      <c r="D298" s="13" t="s">
        <v>11</v>
      </c>
      <c r="E298" s="14" t="s">
        <v>12</v>
      </c>
      <c r="F298" s="13" t="s">
        <v>13</v>
      </c>
      <c r="G298" s="15" t="s">
        <v>14</v>
      </c>
      <c r="H298" s="15" t="s">
        <v>15</v>
      </c>
      <c r="I298" s="16">
        <v>6</v>
      </c>
      <c r="J298" s="17">
        <v>118950</v>
      </c>
    </row>
    <row r="299" spans="1:10" s="18" customFormat="1" x14ac:dyDescent="0.25">
      <c r="A299" s="10">
        <v>294</v>
      </c>
      <c r="B299" s="11">
        <v>45894</v>
      </c>
      <c r="C299" s="12" t="s">
        <v>308</v>
      </c>
      <c r="D299" s="13" t="s">
        <v>11</v>
      </c>
      <c r="E299" s="14" t="s">
        <v>12</v>
      </c>
      <c r="F299" s="13" t="s">
        <v>13</v>
      </c>
      <c r="G299" s="15" t="s">
        <v>14</v>
      </c>
      <c r="H299" s="15" t="s">
        <v>15</v>
      </c>
      <c r="I299" s="16">
        <v>6</v>
      </c>
      <c r="J299" s="17">
        <v>148990</v>
      </c>
    </row>
    <row r="300" spans="1:10" s="18" customFormat="1" x14ac:dyDescent="0.25">
      <c r="A300" s="10">
        <v>295</v>
      </c>
      <c r="B300" s="11">
        <v>45894</v>
      </c>
      <c r="C300" s="12" t="s">
        <v>309</v>
      </c>
      <c r="D300" s="13" t="s">
        <v>11</v>
      </c>
      <c r="E300" s="14" t="s">
        <v>12</v>
      </c>
      <c r="F300" s="13" t="s">
        <v>13</v>
      </c>
      <c r="G300" s="15" t="s">
        <v>14</v>
      </c>
      <c r="H300" s="15" t="s">
        <v>15</v>
      </c>
      <c r="I300" s="16">
        <v>6</v>
      </c>
      <c r="J300" s="17">
        <v>154050</v>
      </c>
    </row>
    <row r="301" spans="1:10" s="18" customFormat="1" x14ac:dyDescent="0.25">
      <c r="A301" s="10">
        <v>296</v>
      </c>
      <c r="B301" s="11">
        <v>45894</v>
      </c>
      <c r="C301" s="12" t="s">
        <v>310</v>
      </c>
      <c r="D301" s="13" t="s">
        <v>11</v>
      </c>
      <c r="E301" s="14" t="s">
        <v>12</v>
      </c>
      <c r="F301" s="13" t="s">
        <v>13</v>
      </c>
      <c r="G301" s="15" t="s">
        <v>14</v>
      </c>
      <c r="H301" s="15" t="s">
        <v>15</v>
      </c>
      <c r="I301" s="16">
        <v>6</v>
      </c>
      <c r="J301" s="17">
        <v>162206</v>
      </c>
    </row>
    <row r="302" spans="1:10" s="18" customFormat="1" x14ac:dyDescent="0.25">
      <c r="A302" s="10">
        <v>297</v>
      </c>
      <c r="B302" s="11">
        <v>45894</v>
      </c>
      <c r="C302" s="12" t="s">
        <v>311</v>
      </c>
      <c r="D302" s="13" t="s">
        <v>11</v>
      </c>
      <c r="E302" s="14" t="s">
        <v>12</v>
      </c>
      <c r="F302" s="13" t="s">
        <v>13</v>
      </c>
      <c r="G302" s="15" t="s">
        <v>14</v>
      </c>
      <c r="H302" s="15" t="s">
        <v>15</v>
      </c>
      <c r="I302" s="16">
        <v>6</v>
      </c>
      <c r="J302" s="17">
        <v>177750</v>
      </c>
    </row>
    <row r="303" spans="1:10" s="18" customFormat="1" x14ac:dyDescent="0.25">
      <c r="A303" s="10">
        <v>298</v>
      </c>
      <c r="B303" s="11">
        <v>45894</v>
      </c>
      <c r="C303" s="12" t="s">
        <v>312</v>
      </c>
      <c r="D303" s="13" t="s">
        <v>11</v>
      </c>
      <c r="E303" s="14" t="s">
        <v>12</v>
      </c>
      <c r="F303" s="13" t="s">
        <v>13</v>
      </c>
      <c r="G303" s="15" t="s">
        <v>14</v>
      </c>
      <c r="H303" s="15" t="s">
        <v>15</v>
      </c>
      <c r="I303" s="16">
        <v>6</v>
      </c>
      <c r="J303" s="17">
        <v>234295</v>
      </c>
    </row>
    <row r="304" spans="1:10" s="18" customFormat="1" x14ac:dyDescent="0.25">
      <c r="A304" s="10">
        <v>299</v>
      </c>
      <c r="B304" s="11">
        <v>45894</v>
      </c>
      <c r="C304" s="12" t="s">
        <v>313</v>
      </c>
      <c r="D304" s="13" t="s">
        <v>11</v>
      </c>
      <c r="E304" s="14" t="s">
        <v>12</v>
      </c>
      <c r="F304" s="13" t="s">
        <v>13</v>
      </c>
      <c r="G304" s="15" t="s">
        <v>14</v>
      </c>
      <c r="H304" s="15" t="s">
        <v>15</v>
      </c>
      <c r="I304" s="16">
        <v>6</v>
      </c>
      <c r="J304" s="17">
        <v>234295</v>
      </c>
    </row>
    <row r="305" spans="1:10" s="18" customFormat="1" x14ac:dyDescent="0.25">
      <c r="A305" s="10">
        <v>300</v>
      </c>
      <c r="B305" s="11">
        <v>45894</v>
      </c>
      <c r="C305" s="12" t="s">
        <v>314</v>
      </c>
      <c r="D305" s="13" t="s">
        <v>11</v>
      </c>
      <c r="E305" s="14" t="s">
        <v>12</v>
      </c>
      <c r="F305" s="13" t="s">
        <v>13</v>
      </c>
      <c r="G305" s="15" t="s">
        <v>14</v>
      </c>
      <c r="H305" s="15" t="s">
        <v>15</v>
      </c>
      <c r="I305" s="16">
        <v>6</v>
      </c>
      <c r="J305" s="17">
        <v>260750</v>
      </c>
    </row>
    <row r="306" spans="1:10" s="18" customFormat="1" x14ac:dyDescent="0.25">
      <c r="A306" s="10">
        <v>301</v>
      </c>
      <c r="B306" s="11">
        <v>45894</v>
      </c>
      <c r="C306" s="12" t="s">
        <v>315</v>
      </c>
      <c r="D306" s="13" t="s">
        <v>11</v>
      </c>
      <c r="E306" s="14" t="s">
        <v>12</v>
      </c>
      <c r="F306" s="13" t="s">
        <v>13</v>
      </c>
      <c r="G306" s="15" t="s">
        <v>14</v>
      </c>
      <c r="H306" s="15" t="s">
        <v>15</v>
      </c>
      <c r="I306" s="16">
        <v>6</v>
      </c>
      <c r="J306" s="17">
        <v>272760</v>
      </c>
    </row>
    <row r="307" spans="1:10" s="18" customFormat="1" x14ac:dyDescent="0.25">
      <c r="A307" s="10">
        <v>302</v>
      </c>
      <c r="B307" s="11">
        <v>45894</v>
      </c>
      <c r="C307" s="12" t="s">
        <v>316</v>
      </c>
      <c r="D307" s="13" t="s">
        <v>11</v>
      </c>
      <c r="E307" s="14" t="s">
        <v>12</v>
      </c>
      <c r="F307" s="13" t="s">
        <v>13</v>
      </c>
      <c r="G307" s="15" t="s">
        <v>14</v>
      </c>
      <c r="H307" s="15" t="s">
        <v>15</v>
      </c>
      <c r="I307" s="16">
        <v>6</v>
      </c>
      <c r="J307" s="17">
        <v>472875</v>
      </c>
    </row>
    <row r="308" spans="1:10" s="18" customFormat="1" x14ac:dyDescent="0.25">
      <c r="A308" s="10">
        <v>303</v>
      </c>
      <c r="B308" s="11">
        <v>45894</v>
      </c>
      <c r="C308" s="12" t="s">
        <v>317</v>
      </c>
      <c r="D308" s="13" t="s">
        <v>11</v>
      </c>
      <c r="E308" s="14" t="s">
        <v>12</v>
      </c>
      <c r="F308" s="13" t="s">
        <v>13</v>
      </c>
      <c r="G308" s="15" t="s">
        <v>14</v>
      </c>
      <c r="H308" s="15" t="s">
        <v>15</v>
      </c>
      <c r="I308" s="16">
        <v>6</v>
      </c>
      <c r="J308" s="17">
        <v>639900</v>
      </c>
    </row>
    <row r="309" spans="1:10" s="18" customFormat="1" x14ac:dyDescent="0.25">
      <c r="A309" s="10">
        <v>304</v>
      </c>
      <c r="B309" s="11">
        <v>45894</v>
      </c>
      <c r="C309" s="12" t="s">
        <v>318</v>
      </c>
      <c r="D309" s="13" t="s">
        <v>11</v>
      </c>
      <c r="E309" s="14" t="s">
        <v>12</v>
      </c>
      <c r="F309" s="13" t="s">
        <v>13</v>
      </c>
      <c r="G309" s="15" t="s">
        <v>14</v>
      </c>
      <c r="H309" s="15" t="s">
        <v>15</v>
      </c>
      <c r="I309" s="16">
        <v>6</v>
      </c>
      <c r="J309" s="17">
        <v>746625</v>
      </c>
    </row>
    <row r="310" spans="1:10" s="18" customFormat="1" x14ac:dyDescent="0.25">
      <c r="A310" s="10">
        <v>305</v>
      </c>
      <c r="B310" s="11">
        <v>45894</v>
      </c>
      <c r="C310" s="12" t="s">
        <v>319</v>
      </c>
      <c r="D310" s="13" t="s">
        <v>11</v>
      </c>
      <c r="E310" s="14" t="s">
        <v>12</v>
      </c>
      <c r="F310" s="13" t="s">
        <v>13</v>
      </c>
      <c r="G310" s="15" t="s">
        <v>14</v>
      </c>
      <c r="H310" s="15" t="s">
        <v>15</v>
      </c>
      <c r="I310" s="16">
        <v>6</v>
      </c>
      <c r="J310" s="17">
        <v>1225290</v>
      </c>
    </row>
    <row r="311" spans="1:10" s="18" customFormat="1" x14ac:dyDescent="0.25">
      <c r="A311" s="10">
        <v>306</v>
      </c>
      <c r="B311" s="11">
        <v>45894</v>
      </c>
      <c r="C311" s="12" t="s">
        <v>320</v>
      </c>
      <c r="D311" s="13" t="s">
        <v>11</v>
      </c>
      <c r="E311" s="14" t="s">
        <v>12</v>
      </c>
      <c r="F311" s="13" t="s">
        <v>13</v>
      </c>
      <c r="G311" s="15" t="s">
        <v>14</v>
      </c>
      <c r="H311" s="15" t="s">
        <v>15</v>
      </c>
      <c r="I311" s="16">
        <v>6</v>
      </c>
      <c r="J311" s="17">
        <v>1599750</v>
      </c>
    </row>
    <row r="312" spans="1:10" s="18" customFormat="1" x14ac:dyDescent="0.25">
      <c r="A312" s="10">
        <v>307</v>
      </c>
      <c r="B312" s="11">
        <v>45894</v>
      </c>
      <c r="C312" s="12" t="s">
        <v>321</v>
      </c>
      <c r="D312" s="13" t="s">
        <v>11</v>
      </c>
      <c r="E312" s="14" t="s">
        <v>12</v>
      </c>
      <c r="F312" s="13" t="s">
        <v>13</v>
      </c>
      <c r="G312" s="15" t="s">
        <v>14</v>
      </c>
      <c r="H312" s="15" t="s">
        <v>15</v>
      </c>
      <c r="I312" s="16">
        <v>6</v>
      </c>
      <c r="J312" s="17">
        <v>2221875</v>
      </c>
    </row>
    <row r="313" spans="1:10" s="18" customFormat="1" x14ac:dyDescent="0.25">
      <c r="A313" s="10">
        <v>308</v>
      </c>
      <c r="B313" s="11">
        <v>45894</v>
      </c>
      <c r="C313" s="12" t="s">
        <v>322</v>
      </c>
      <c r="D313" s="13" t="s">
        <v>11</v>
      </c>
      <c r="E313" s="14" t="s">
        <v>12</v>
      </c>
      <c r="F313" s="13" t="s">
        <v>13</v>
      </c>
      <c r="G313" s="15" t="s">
        <v>14</v>
      </c>
      <c r="H313" s="15" t="s">
        <v>15</v>
      </c>
      <c r="I313" s="16">
        <v>6</v>
      </c>
      <c r="J313" s="17">
        <v>2251500</v>
      </c>
    </row>
    <row r="314" spans="1:10" s="18" customFormat="1" x14ac:dyDescent="0.25">
      <c r="A314" s="10">
        <v>309</v>
      </c>
      <c r="B314" s="11">
        <v>45895</v>
      </c>
      <c r="C314" s="12" t="s">
        <v>323</v>
      </c>
      <c r="D314" s="13" t="s">
        <v>11</v>
      </c>
      <c r="E314" s="14" t="s">
        <v>12</v>
      </c>
      <c r="F314" s="13" t="s">
        <v>13</v>
      </c>
      <c r="G314" s="15" t="s">
        <v>14</v>
      </c>
      <c r="H314" s="15" t="s">
        <v>15</v>
      </c>
      <c r="I314" s="16">
        <v>5</v>
      </c>
      <c r="J314" s="17">
        <v>53475</v>
      </c>
    </row>
    <row r="315" spans="1:10" s="18" customFormat="1" x14ac:dyDescent="0.25">
      <c r="A315" s="10">
        <v>310</v>
      </c>
      <c r="B315" s="11">
        <v>45895</v>
      </c>
      <c r="C315" s="12" t="s">
        <v>324</v>
      </c>
      <c r="D315" s="13" t="s">
        <v>11</v>
      </c>
      <c r="E315" s="14" t="s">
        <v>12</v>
      </c>
      <c r="F315" s="13" t="s">
        <v>13</v>
      </c>
      <c r="G315" s="15" t="s">
        <v>14</v>
      </c>
      <c r="H315" s="15" t="s">
        <v>15</v>
      </c>
      <c r="I315" s="16">
        <v>5</v>
      </c>
      <c r="J315" s="17">
        <v>55275</v>
      </c>
    </row>
    <row r="316" spans="1:10" s="18" customFormat="1" x14ac:dyDescent="0.25">
      <c r="A316" s="10">
        <v>311</v>
      </c>
      <c r="B316" s="11">
        <v>45895</v>
      </c>
      <c r="C316" s="12" t="s">
        <v>325</v>
      </c>
      <c r="D316" s="13" t="s">
        <v>11</v>
      </c>
      <c r="E316" s="14" t="s">
        <v>12</v>
      </c>
      <c r="F316" s="13" t="s">
        <v>13</v>
      </c>
      <c r="G316" s="15" t="s">
        <v>14</v>
      </c>
      <c r="H316" s="15" t="s">
        <v>15</v>
      </c>
      <c r="I316" s="16">
        <v>5</v>
      </c>
      <c r="J316" s="17">
        <v>80501</v>
      </c>
    </row>
    <row r="317" spans="1:10" s="18" customFormat="1" x14ac:dyDescent="0.25">
      <c r="A317" s="10">
        <v>312</v>
      </c>
      <c r="B317" s="11">
        <v>45895</v>
      </c>
      <c r="C317" s="12" t="s">
        <v>326</v>
      </c>
      <c r="D317" s="13" t="s">
        <v>11</v>
      </c>
      <c r="E317" s="14" t="s">
        <v>12</v>
      </c>
      <c r="F317" s="13" t="s">
        <v>13</v>
      </c>
      <c r="G317" s="15" t="s">
        <v>14</v>
      </c>
      <c r="H317" s="15" t="s">
        <v>15</v>
      </c>
      <c r="I317" s="16">
        <v>5</v>
      </c>
      <c r="J317" s="17">
        <v>108135</v>
      </c>
    </row>
    <row r="318" spans="1:10" s="18" customFormat="1" x14ac:dyDescent="0.25">
      <c r="A318" s="10">
        <v>313</v>
      </c>
      <c r="B318" s="11">
        <v>45895</v>
      </c>
      <c r="C318" s="12" t="s">
        <v>327</v>
      </c>
      <c r="D318" s="13" t="s">
        <v>11</v>
      </c>
      <c r="E318" s="14" t="s">
        <v>12</v>
      </c>
      <c r="F318" s="13" t="s">
        <v>13</v>
      </c>
      <c r="G318" s="15" t="s">
        <v>14</v>
      </c>
      <c r="H318" s="15" t="s">
        <v>15</v>
      </c>
      <c r="I318" s="16">
        <v>5</v>
      </c>
      <c r="J318" s="17">
        <v>112945</v>
      </c>
    </row>
    <row r="319" spans="1:10" s="18" customFormat="1" x14ac:dyDescent="0.25">
      <c r="A319" s="10">
        <v>314</v>
      </c>
      <c r="B319" s="11">
        <v>45895</v>
      </c>
      <c r="C319" s="12" t="s">
        <v>328</v>
      </c>
      <c r="D319" s="13" t="s">
        <v>11</v>
      </c>
      <c r="E319" s="14" t="s">
        <v>12</v>
      </c>
      <c r="F319" s="13" t="s">
        <v>13</v>
      </c>
      <c r="G319" s="15" t="s">
        <v>14</v>
      </c>
      <c r="H319" s="15" t="s">
        <v>15</v>
      </c>
      <c r="I319" s="16">
        <v>5</v>
      </c>
      <c r="J319" s="17">
        <v>118950</v>
      </c>
    </row>
    <row r="320" spans="1:10" s="18" customFormat="1" x14ac:dyDescent="0.25">
      <c r="A320" s="10">
        <v>315</v>
      </c>
      <c r="B320" s="11">
        <v>45895</v>
      </c>
      <c r="C320" s="12" t="s">
        <v>329</v>
      </c>
      <c r="D320" s="13" t="s">
        <v>11</v>
      </c>
      <c r="E320" s="14" t="s">
        <v>12</v>
      </c>
      <c r="F320" s="13" t="s">
        <v>13</v>
      </c>
      <c r="G320" s="15" t="s">
        <v>14</v>
      </c>
      <c r="H320" s="15" t="s">
        <v>15</v>
      </c>
      <c r="I320" s="16">
        <v>5</v>
      </c>
      <c r="J320" s="17">
        <v>126175</v>
      </c>
    </row>
    <row r="321" spans="1:10" s="18" customFormat="1" x14ac:dyDescent="0.25">
      <c r="A321" s="10">
        <v>316</v>
      </c>
      <c r="B321" s="11">
        <v>45895</v>
      </c>
      <c r="C321" s="12" t="s">
        <v>330</v>
      </c>
      <c r="D321" s="13" t="s">
        <v>11</v>
      </c>
      <c r="E321" s="14" t="s">
        <v>12</v>
      </c>
      <c r="F321" s="13" t="s">
        <v>13</v>
      </c>
      <c r="G321" s="15" t="s">
        <v>14</v>
      </c>
      <c r="H321" s="15" t="s">
        <v>15</v>
      </c>
      <c r="I321" s="16">
        <v>5</v>
      </c>
      <c r="J321" s="17">
        <v>266625</v>
      </c>
    </row>
    <row r="322" spans="1:10" s="18" customFormat="1" x14ac:dyDescent="0.25">
      <c r="A322" s="10">
        <v>317</v>
      </c>
      <c r="B322" s="11">
        <v>45895</v>
      </c>
      <c r="C322" s="12" t="s">
        <v>331</v>
      </c>
      <c r="D322" s="13" t="s">
        <v>11</v>
      </c>
      <c r="E322" s="14" t="s">
        <v>12</v>
      </c>
      <c r="F322" s="13" t="s">
        <v>13</v>
      </c>
      <c r="G322" s="15" t="s">
        <v>14</v>
      </c>
      <c r="H322" s="15" t="s">
        <v>15</v>
      </c>
      <c r="I322" s="16">
        <v>5</v>
      </c>
      <c r="J322" s="17">
        <v>316645</v>
      </c>
    </row>
    <row r="323" spans="1:10" s="18" customFormat="1" x14ac:dyDescent="0.25">
      <c r="A323" s="10">
        <v>318</v>
      </c>
      <c r="B323" s="11">
        <v>45895</v>
      </c>
      <c r="C323" s="12" t="s">
        <v>332</v>
      </c>
      <c r="D323" s="13" t="s">
        <v>11</v>
      </c>
      <c r="E323" s="14" t="s">
        <v>12</v>
      </c>
      <c r="F323" s="13" t="s">
        <v>13</v>
      </c>
      <c r="G323" s="15" t="s">
        <v>14</v>
      </c>
      <c r="H323" s="15" t="s">
        <v>15</v>
      </c>
      <c r="I323" s="16">
        <v>5</v>
      </c>
      <c r="J323" s="17">
        <v>338835</v>
      </c>
    </row>
    <row r="324" spans="1:10" s="18" customFormat="1" x14ac:dyDescent="0.25">
      <c r="A324" s="10">
        <v>319</v>
      </c>
      <c r="B324" s="11">
        <v>45895</v>
      </c>
      <c r="C324" s="12" t="s">
        <v>333</v>
      </c>
      <c r="D324" s="13" t="s">
        <v>11</v>
      </c>
      <c r="E324" s="14" t="s">
        <v>12</v>
      </c>
      <c r="F324" s="13" t="s">
        <v>13</v>
      </c>
      <c r="G324" s="15" t="s">
        <v>14</v>
      </c>
      <c r="H324" s="15" t="s">
        <v>15</v>
      </c>
      <c r="I324" s="16">
        <v>5</v>
      </c>
      <c r="J324" s="17">
        <v>514325</v>
      </c>
    </row>
    <row r="325" spans="1:10" s="18" customFormat="1" x14ac:dyDescent="0.25">
      <c r="A325" s="10">
        <v>320</v>
      </c>
      <c r="B325" s="11">
        <v>45895</v>
      </c>
      <c r="C325" s="12" t="s">
        <v>334</v>
      </c>
      <c r="D325" s="13" t="s">
        <v>11</v>
      </c>
      <c r="E325" s="14" t="s">
        <v>12</v>
      </c>
      <c r="F325" s="13" t="s">
        <v>13</v>
      </c>
      <c r="G325" s="15" t="s">
        <v>14</v>
      </c>
      <c r="H325" s="15" t="s">
        <v>15</v>
      </c>
      <c r="I325" s="16">
        <v>5</v>
      </c>
      <c r="J325" s="17">
        <v>703890</v>
      </c>
    </row>
    <row r="326" spans="1:10" s="18" customFormat="1" x14ac:dyDescent="0.25">
      <c r="A326" s="10">
        <v>321</v>
      </c>
      <c r="B326" s="11">
        <v>45896</v>
      </c>
      <c r="C326" s="12" t="s">
        <v>335</v>
      </c>
      <c r="D326" s="13" t="s">
        <v>11</v>
      </c>
      <c r="E326" s="14" t="s">
        <v>12</v>
      </c>
      <c r="F326" s="13" t="s">
        <v>13</v>
      </c>
      <c r="G326" s="15" t="s">
        <v>14</v>
      </c>
      <c r="H326" s="15" t="s">
        <v>15</v>
      </c>
      <c r="I326" s="16">
        <v>4</v>
      </c>
      <c r="J326" s="17">
        <v>19825</v>
      </c>
    </row>
    <row r="327" spans="1:10" s="18" customFormat="1" x14ac:dyDescent="0.25">
      <c r="A327" s="10">
        <v>322</v>
      </c>
      <c r="B327" s="11">
        <v>45896</v>
      </c>
      <c r="C327" s="12" t="s">
        <v>336</v>
      </c>
      <c r="D327" s="13" t="s">
        <v>11</v>
      </c>
      <c r="E327" s="14" t="s">
        <v>12</v>
      </c>
      <c r="F327" s="13" t="s">
        <v>13</v>
      </c>
      <c r="G327" s="15" t="s">
        <v>14</v>
      </c>
      <c r="H327" s="15" t="s">
        <v>15</v>
      </c>
      <c r="I327" s="16">
        <v>4</v>
      </c>
      <c r="J327" s="17">
        <v>24035</v>
      </c>
    </row>
    <row r="328" spans="1:10" s="18" customFormat="1" x14ac:dyDescent="0.25">
      <c r="A328" s="10">
        <v>323</v>
      </c>
      <c r="B328" s="11">
        <v>45896</v>
      </c>
      <c r="C328" s="12" t="s">
        <v>337</v>
      </c>
      <c r="D328" s="13" t="s">
        <v>11</v>
      </c>
      <c r="E328" s="14" t="s">
        <v>12</v>
      </c>
      <c r="F328" s="13" t="s">
        <v>13</v>
      </c>
      <c r="G328" s="15" t="s">
        <v>14</v>
      </c>
      <c r="H328" s="15" t="s">
        <v>15</v>
      </c>
      <c r="I328" s="16">
        <v>4</v>
      </c>
      <c r="J328" s="17">
        <v>28235</v>
      </c>
    </row>
    <row r="329" spans="1:10" s="18" customFormat="1" x14ac:dyDescent="0.25">
      <c r="A329" s="10">
        <v>324</v>
      </c>
      <c r="B329" s="11">
        <v>45896</v>
      </c>
      <c r="C329" s="12" t="s">
        <v>338</v>
      </c>
      <c r="D329" s="13" t="s">
        <v>11</v>
      </c>
      <c r="E329" s="14" t="s">
        <v>12</v>
      </c>
      <c r="F329" s="13" t="s">
        <v>13</v>
      </c>
      <c r="G329" s="15" t="s">
        <v>14</v>
      </c>
      <c r="H329" s="15" t="s">
        <v>15</v>
      </c>
      <c r="I329" s="16">
        <v>4</v>
      </c>
      <c r="J329" s="17">
        <v>64885</v>
      </c>
    </row>
    <row r="330" spans="1:10" s="18" customFormat="1" x14ac:dyDescent="0.25">
      <c r="A330" s="10">
        <v>325</v>
      </c>
      <c r="B330" s="11">
        <v>45896</v>
      </c>
      <c r="C330" s="12" t="s">
        <v>339</v>
      </c>
      <c r="D330" s="13" t="s">
        <v>11</v>
      </c>
      <c r="E330" s="14" t="s">
        <v>12</v>
      </c>
      <c r="F330" s="13" t="s">
        <v>13</v>
      </c>
      <c r="G330" s="15" t="s">
        <v>14</v>
      </c>
      <c r="H330" s="15" t="s">
        <v>15</v>
      </c>
      <c r="I330" s="16">
        <v>4</v>
      </c>
      <c r="J330" s="17">
        <v>91315</v>
      </c>
    </row>
    <row r="331" spans="1:10" s="18" customFormat="1" x14ac:dyDescent="0.25">
      <c r="A331" s="10">
        <v>326</v>
      </c>
      <c r="B331" s="11">
        <v>45896</v>
      </c>
      <c r="C331" s="12" t="s">
        <v>340</v>
      </c>
      <c r="D331" s="13" t="s">
        <v>11</v>
      </c>
      <c r="E331" s="14" t="s">
        <v>12</v>
      </c>
      <c r="F331" s="13" t="s">
        <v>13</v>
      </c>
      <c r="G331" s="15" t="s">
        <v>14</v>
      </c>
      <c r="H331" s="15" t="s">
        <v>15</v>
      </c>
      <c r="I331" s="16">
        <v>4</v>
      </c>
      <c r="J331" s="17">
        <v>103350</v>
      </c>
    </row>
    <row r="332" spans="1:10" s="18" customFormat="1" x14ac:dyDescent="0.25">
      <c r="A332" s="10">
        <v>327</v>
      </c>
      <c r="B332" s="11">
        <v>45896</v>
      </c>
      <c r="C332" s="12" t="s">
        <v>341</v>
      </c>
      <c r="D332" s="13" t="s">
        <v>11</v>
      </c>
      <c r="E332" s="14" t="s">
        <v>12</v>
      </c>
      <c r="F332" s="13" t="s">
        <v>13</v>
      </c>
      <c r="G332" s="15" t="s">
        <v>14</v>
      </c>
      <c r="H332" s="15" t="s">
        <v>15</v>
      </c>
      <c r="I332" s="16">
        <v>4</v>
      </c>
      <c r="J332" s="17">
        <v>112945</v>
      </c>
    </row>
    <row r="333" spans="1:10" s="18" customFormat="1" x14ac:dyDescent="0.25">
      <c r="A333" s="10">
        <v>328</v>
      </c>
      <c r="B333" s="11">
        <v>45896</v>
      </c>
      <c r="C333" s="12" t="s">
        <v>342</v>
      </c>
      <c r="D333" s="13" t="s">
        <v>11</v>
      </c>
      <c r="E333" s="14" t="s">
        <v>12</v>
      </c>
      <c r="F333" s="13" t="s">
        <v>13</v>
      </c>
      <c r="G333" s="15" t="s">
        <v>14</v>
      </c>
      <c r="H333" s="15" t="s">
        <v>15</v>
      </c>
      <c r="I333" s="16">
        <v>4</v>
      </c>
      <c r="J333" s="17">
        <v>112945</v>
      </c>
    </row>
    <row r="334" spans="1:10" s="18" customFormat="1" x14ac:dyDescent="0.25">
      <c r="A334" s="10">
        <v>329</v>
      </c>
      <c r="B334" s="11">
        <v>45896</v>
      </c>
      <c r="C334" s="12" t="s">
        <v>343</v>
      </c>
      <c r="D334" s="13" t="s">
        <v>11</v>
      </c>
      <c r="E334" s="14" t="s">
        <v>12</v>
      </c>
      <c r="F334" s="13" t="s">
        <v>13</v>
      </c>
      <c r="G334" s="15" t="s">
        <v>14</v>
      </c>
      <c r="H334" s="15" t="s">
        <v>15</v>
      </c>
      <c r="I334" s="16">
        <v>4</v>
      </c>
      <c r="J334" s="17">
        <v>161002</v>
      </c>
    </row>
    <row r="335" spans="1:10" s="18" customFormat="1" x14ac:dyDescent="0.25">
      <c r="A335" s="10">
        <v>330</v>
      </c>
      <c r="B335" s="11">
        <v>45896</v>
      </c>
      <c r="C335" s="12" t="s">
        <v>344</v>
      </c>
      <c r="D335" s="13" t="s">
        <v>11</v>
      </c>
      <c r="E335" s="14" t="s">
        <v>12</v>
      </c>
      <c r="F335" s="13" t="s">
        <v>13</v>
      </c>
      <c r="G335" s="15" t="s">
        <v>14</v>
      </c>
      <c r="H335" s="15" t="s">
        <v>15</v>
      </c>
      <c r="I335" s="16">
        <v>4</v>
      </c>
      <c r="J335" s="17">
        <v>216275</v>
      </c>
    </row>
    <row r="336" spans="1:10" s="18" customFormat="1" x14ac:dyDescent="0.25">
      <c r="A336" s="10">
        <v>331</v>
      </c>
      <c r="B336" s="11">
        <v>45896</v>
      </c>
      <c r="C336" s="12" t="s">
        <v>345</v>
      </c>
      <c r="D336" s="13" t="s">
        <v>11</v>
      </c>
      <c r="E336" s="14" t="s">
        <v>12</v>
      </c>
      <c r="F336" s="13" t="s">
        <v>13</v>
      </c>
      <c r="G336" s="15" t="s">
        <v>14</v>
      </c>
      <c r="H336" s="15" t="s">
        <v>15</v>
      </c>
      <c r="I336" s="16">
        <v>4</v>
      </c>
      <c r="J336" s="17">
        <v>337725</v>
      </c>
    </row>
    <row r="337" spans="1:10" s="18" customFormat="1" x14ac:dyDescent="0.25">
      <c r="A337" s="10">
        <v>332</v>
      </c>
      <c r="B337" s="11">
        <v>45896</v>
      </c>
      <c r="C337" s="12" t="s">
        <v>346</v>
      </c>
      <c r="D337" s="13" t="s">
        <v>11</v>
      </c>
      <c r="E337" s="14" t="s">
        <v>12</v>
      </c>
      <c r="F337" s="13" t="s">
        <v>13</v>
      </c>
      <c r="G337" s="15" t="s">
        <v>14</v>
      </c>
      <c r="H337" s="15" t="s">
        <v>15</v>
      </c>
      <c r="I337" s="16">
        <v>4</v>
      </c>
      <c r="J337" s="17">
        <v>400750</v>
      </c>
    </row>
    <row r="338" spans="1:10" s="18" customFormat="1" x14ac:dyDescent="0.25">
      <c r="A338" s="10">
        <v>333</v>
      </c>
      <c r="B338" s="11">
        <v>45896</v>
      </c>
      <c r="C338" s="12" t="s">
        <v>347</v>
      </c>
      <c r="D338" s="13" t="s">
        <v>11</v>
      </c>
      <c r="E338" s="14" t="s">
        <v>12</v>
      </c>
      <c r="F338" s="13" t="s">
        <v>13</v>
      </c>
      <c r="G338" s="15" t="s">
        <v>14</v>
      </c>
      <c r="H338" s="15" t="s">
        <v>15</v>
      </c>
      <c r="I338" s="16">
        <v>4</v>
      </c>
      <c r="J338" s="17">
        <v>465125</v>
      </c>
    </row>
    <row r="339" spans="1:10" s="18" customFormat="1" x14ac:dyDescent="0.25">
      <c r="A339" s="10">
        <v>334</v>
      </c>
      <c r="B339" s="11">
        <v>45896</v>
      </c>
      <c r="C339" s="12" t="s">
        <v>348</v>
      </c>
      <c r="D339" s="13" t="s">
        <v>11</v>
      </c>
      <c r="E339" s="14" t="s">
        <v>12</v>
      </c>
      <c r="F339" s="13" t="s">
        <v>13</v>
      </c>
      <c r="G339" s="15" t="s">
        <v>14</v>
      </c>
      <c r="H339" s="15" t="s">
        <v>15</v>
      </c>
      <c r="I339" s="16">
        <v>4</v>
      </c>
      <c r="J339" s="17">
        <v>3863100</v>
      </c>
    </row>
    <row r="340" spans="1:10" s="18" customFormat="1" x14ac:dyDescent="0.25">
      <c r="A340" s="10">
        <v>335</v>
      </c>
      <c r="B340" s="11">
        <v>45897</v>
      </c>
      <c r="C340" s="12" t="s">
        <v>364</v>
      </c>
      <c r="D340" s="13" t="s">
        <v>11</v>
      </c>
      <c r="E340" s="14" t="s">
        <v>12</v>
      </c>
      <c r="F340" s="13" t="s">
        <v>13</v>
      </c>
      <c r="G340" s="15" t="s">
        <v>14</v>
      </c>
      <c r="H340" s="15" t="s">
        <v>15</v>
      </c>
      <c r="I340" s="16">
        <v>0</v>
      </c>
      <c r="J340" s="17">
        <v>225890</v>
      </c>
    </row>
    <row r="341" spans="1:10" s="18" customFormat="1" x14ac:dyDescent="0.25">
      <c r="A341" s="10">
        <v>336</v>
      </c>
      <c r="B341" s="11">
        <v>45897</v>
      </c>
      <c r="C341" s="12" t="s">
        <v>365</v>
      </c>
      <c r="D341" s="13" t="s">
        <v>11</v>
      </c>
      <c r="E341" s="14" t="s">
        <v>12</v>
      </c>
      <c r="F341" s="13" t="s">
        <v>13</v>
      </c>
      <c r="G341" s="15" t="s">
        <v>14</v>
      </c>
      <c r="H341" s="15" t="s">
        <v>15</v>
      </c>
      <c r="I341" s="16">
        <v>0</v>
      </c>
      <c r="J341" s="17">
        <v>260750</v>
      </c>
    </row>
    <row r="342" spans="1:10" s="18" customFormat="1" x14ac:dyDescent="0.25">
      <c r="A342" s="10">
        <v>337</v>
      </c>
      <c r="B342" s="11">
        <v>45897</v>
      </c>
      <c r="C342" s="12" t="s">
        <v>366</v>
      </c>
      <c r="D342" s="13" t="s">
        <v>11</v>
      </c>
      <c r="E342" s="14" t="s">
        <v>12</v>
      </c>
      <c r="F342" s="13" t="s">
        <v>13</v>
      </c>
      <c r="G342" s="15" t="s">
        <v>14</v>
      </c>
      <c r="H342" s="15" t="s">
        <v>15</v>
      </c>
      <c r="I342" s="16">
        <v>0</v>
      </c>
      <c r="J342" s="17">
        <v>160425</v>
      </c>
    </row>
    <row r="343" spans="1:10" s="18" customFormat="1" x14ac:dyDescent="0.25">
      <c r="A343" s="10">
        <v>338</v>
      </c>
      <c r="B343" s="11">
        <v>45897</v>
      </c>
      <c r="C343" s="12" t="s">
        <v>367</v>
      </c>
      <c r="D343" s="13" t="s">
        <v>11</v>
      </c>
      <c r="E343" s="14" t="s">
        <v>12</v>
      </c>
      <c r="F343" s="13" t="s">
        <v>13</v>
      </c>
      <c r="G343" s="15" t="s">
        <v>14</v>
      </c>
      <c r="H343" s="15" t="s">
        <v>15</v>
      </c>
      <c r="I343" s="16">
        <v>0</v>
      </c>
      <c r="J343" s="17">
        <v>114145</v>
      </c>
    </row>
    <row r="344" spans="1:10" s="18" customFormat="1" x14ac:dyDescent="0.25">
      <c r="A344" s="10">
        <v>339</v>
      </c>
      <c r="B344" s="11">
        <v>45897</v>
      </c>
      <c r="C344" s="12" t="s">
        <v>368</v>
      </c>
      <c r="D344" s="13" t="s">
        <v>11</v>
      </c>
      <c r="E344" s="14" t="s">
        <v>12</v>
      </c>
      <c r="F344" s="13" t="s">
        <v>13</v>
      </c>
      <c r="G344" s="15" t="s">
        <v>14</v>
      </c>
      <c r="H344" s="15" t="s">
        <v>15</v>
      </c>
      <c r="I344" s="16">
        <v>0</v>
      </c>
      <c r="J344" s="17">
        <v>80501</v>
      </c>
    </row>
    <row r="345" spans="1:10" s="18" customFormat="1" x14ac:dyDescent="0.25">
      <c r="A345" s="10">
        <v>340</v>
      </c>
      <c r="B345" s="11">
        <v>45897</v>
      </c>
      <c r="C345" s="12" t="s">
        <v>369</v>
      </c>
      <c r="D345" s="13" t="s">
        <v>11</v>
      </c>
      <c r="E345" s="14" t="s">
        <v>12</v>
      </c>
      <c r="F345" s="13" t="s">
        <v>13</v>
      </c>
      <c r="G345" s="15" t="s">
        <v>14</v>
      </c>
      <c r="H345" s="15" t="s">
        <v>15</v>
      </c>
      <c r="I345" s="16">
        <v>0</v>
      </c>
      <c r="J345" s="17">
        <v>123155</v>
      </c>
    </row>
    <row r="346" spans="1:10" s="18" customFormat="1" x14ac:dyDescent="0.25">
      <c r="A346" s="10">
        <v>341</v>
      </c>
      <c r="B346" s="11">
        <v>45897</v>
      </c>
      <c r="C346" s="12" t="s">
        <v>370</v>
      </c>
      <c r="D346" s="13" t="s">
        <v>11</v>
      </c>
      <c r="E346" s="14" t="s">
        <v>12</v>
      </c>
      <c r="F346" s="13" t="s">
        <v>13</v>
      </c>
      <c r="G346" s="15" t="s">
        <v>14</v>
      </c>
      <c r="H346" s="15" t="s">
        <v>15</v>
      </c>
      <c r="I346" s="16">
        <v>0</v>
      </c>
      <c r="J346" s="17">
        <v>81705</v>
      </c>
    </row>
    <row r="347" spans="1:10" s="18" customFormat="1" x14ac:dyDescent="0.25">
      <c r="A347" s="10">
        <v>342</v>
      </c>
      <c r="B347" s="11">
        <v>45897</v>
      </c>
      <c r="C347" s="12" t="s">
        <v>371</v>
      </c>
      <c r="D347" s="13" t="s">
        <v>11</v>
      </c>
      <c r="E347" s="14" t="s">
        <v>12</v>
      </c>
      <c r="F347" s="13" t="s">
        <v>13</v>
      </c>
      <c r="G347" s="15" t="s">
        <v>14</v>
      </c>
      <c r="H347" s="15" t="s">
        <v>15</v>
      </c>
      <c r="I347" s="16">
        <v>0</v>
      </c>
      <c r="J347" s="17">
        <v>74495</v>
      </c>
    </row>
    <row r="348" spans="1:10" s="18" customFormat="1" x14ac:dyDescent="0.25">
      <c r="A348" s="10">
        <v>343</v>
      </c>
      <c r="B348" s="11">
        <v>45897</v>
      </c>
      <c r="C348" s="12" t="s">
        <v>372</v>
      </c>
      <c r="D348" s="13" t="s">
        <v>11</v>
      </c>
      <c r="E348" s="14" t="s">
        <v>12</v>
      </c>
      <c r="F348" s="13" t="s">
        <v>13</v>
      </c>
      <c r="G348" s="15" t="s">
        <v>14</v>
      </c>
      <c r="H348" s="15" t="s">
        <v>15</v>
      </c>
      <c r="I348" s="16">
        <v>0</v>
      </c>
      <c r="J348" s="17">
        <v>112945</v>
      </c>
    </row>
    <row r="349" spans="1:10" s="18" customFormat="1" x14ac:dyDescent="0.25">
      <c r="A349" s="10">
        <v>344</v>
      </c>
      <c r="B349" s="11">
        <v>45897</v>
      </c>
      <c r="C349" s="12" t="s">
        <v>373</v>
      </c>
      <c r="D349" s="13" t="s">
        <v>11</v>
      </c>
      <c r="E349" s="14" t="s">
        <v>12</v>
      </c>
      <c r="F349" s="13" t="s">
        <v>13</v>
      </c>
      <c r="G349" s="15" t="s">
        <v>14</v>
      </c>
      <c r="H349" s="15" t="s">
        <v>15</v>
      </c>
      <c r="I349" s="16">
        <v>0</v>
      </c>
      <c r="J349" s="17">
        <v>391250</v>
      </c>
    </row>
    <row r="350" spans="1:10" s="18" customFormat="1" x14ac:dyDescent="0.25">
      <c r="A350" s="83" t="s">
        <v>349</v>
      </c>
      <c r="B350" s="84"/>
      <c r="C350" s="84"/>
      <c r="D350" s="84"/>
      <c r="E350" s="84"/>
      <c r="F350" s="84"/>
      <c r="G350" s="84"/>
      <c r="H350" s="84"/>
      <c r="I350" s="85"/>
      <c r="J350" s="19">
        <f>SUM(J6:J349)</f>
        <v>168270271</v>
      </c>
    </row>
    <row r="351" spans="1:10" s="18" customFormat="1" ht="4.5" customHeight="1" x14ac:dyDescent="0.25">
      <c r="A351" s="10"/>
      <c r="B351" s="11"/>
      <c r="C351" s="12"/>
      <c r="D351" s="13"/>
      <c r="E351" s="14"/>
      <c r="F351" s="13"/>
      <c r="G351" s="15"/>
      <c r="H351" s="15"/>
      <c r="I351" s="16"/>
      <c r="J351" s="17"/>
    </row>
    <row r="352" spans="1:10" s="18" customFormat="1" x14ac:dyDescent="0.25">
      <c r="A352" s="10">
        <v>1</v>
      </c>
      <c r="B352" s="11">
        <v>45868</v>
      </c>
      <c r="C352" s="12" t="s">
        <v>350</v>
      </c>
      <c r="D352" s="13" t="s">
        <v>11</v>
      </c>
      <c r="E352" s="14" t="s">
        <v>12</v>
      </c>
      <c r="F352" s="13" t="s">
        <v>351</v>
      </c>
      <c r="G352" s="15" t="s">
        <v>352</v>
      </c>
      <c r="H352" s="15" t="s">
        <v>15</v>
      </c>
      <c r="I352" s="16">
        <v>32</v>
      </c>
      <c r="J352" s="17">
        <v>103350</v>
      </c>
    </row>
    <row r="353" spans="1:10" s="18" customFormat="1" x14ac:dyDescent="0.25">
      <c r="A353" s="10">
        <v>2</v>
      </c>
      <c r="B353" s="11">
        <v>45875</v>
      </c>
      <c r="C353" s="12" t="s">
        <v>353</v>
      </c>
      <c r="D353" s="13" t="s">
        <v>11</v>
      </c>
      <c r="E353" s="14" t="s">
        <v>12</v>
      </c>
      <c r="F353" s="13" t="s">
        <v>351</v>
      </c>
      <c r="G353" s="15" t="s">
        <v>352</v>
      </c>
      <c r="H353" s="15" t="s">
        <v>15</v>
      </c>
      <c r="I353" s="16">
        <v>25</v>
      </c>
      <c r="J353" s="17">
        <v>48770</v>
      </c>
    </row>
    <row r="354" spans="1:10" s="18" customFormat="1" x14ac:dyDescent="0.25">
      <c r="A354" s="10">
        <v>3</v>
      </c>
      <c r="B354" s="11">
        <v>45876</v>
      </c>
      <c r="C354" s="12" t="s">
        <v>354</v>
      </c>
      <c r="D354" s="13" t="s">
        <v>11</v>
      </c>
      <c r="E354" s="14" t="s">
        <v>12</v>
      </c>
      <c r="F354" s="13" t="s">
        <v>351</v>
      </c>
      <c r="G354" s="15" t="s">
        <v>352</v>
      </c>
      <c r="H354" s="15" t="s">
        <v>15</v>
      </c>
      <c r="I354" s="16">
        <v>24</v>
      </c>
      <c r="J354" s="17">
        <v>80150</v>
      </c>
    </row>
    <row r="355" spans="1:10" s="18" customFormat="1" x14ac:dyDescent="0.25">
      <c r="A355" s="10">
        <v>4</v>
      </c>
      <c r="B355" s="11">
        <v>45876</v>
      </c>
      <c r="C355" s="12" t="s">
        <v>355</v>
      </c>
      <c r="D355" s="13" t="s">
        <v>11</v>
      </c>
      <c r="E355" s="14" t="s">
        <v>12</v>
      </c>
      <c r="F355" s="13" t="s">
        <v>351</v>
      </c>
      <c r="G355" s="15" t="s">
        <v>352</v>
      </c>
      <c r="H355" s="15" t="s">
        <v>15</v>
      </c>
      <c r="I355" s="16">
        <v>24</v>
      </c>
      <c r="J355" s="17">
        <v>83595</v>
      </c>
    </row>
    <row r="356" spans="1:10" s="18" customFormat="1" x14ac:dyDescent="0.25">
      <c r="A356" s="10">
        <v>5</v>
      </c>
      <c r="B356" s="11">
        <v>45877</v>
      </c>
      <c r="C356" s="12" t="s">
        <v>356</v>
      </c>
      <c r="D356" s="13" t="s">
        <v>11</v>
      </c>
      <c r="E356" s="14" t="s">
        <v>12</v>
      </c>
      <c r="F356" s="13" t="s">
        <v>351</v>
      </c>
      <c r="G356" s="15" t="s">
        <v>352</v>
      </c>
      <c r="H356" s="15" t="s">
        <v>15</v>
      </c>
      <c r="I356" s="16">
        <v>23</v>
      </c>
      <c r="J356" s="17">
        <v>48765</v>
      </c>
    </row>
    <row r="357" spans="1:10" s="18" customFormat="1" x14ac:dyDescent="0.25">
      <c r="A357" s="10">
        <v>6</v>
      </c>
      <c r="B357" s="11">
        <v>45880</v>
      </c>
      <c r="C357" s="12" t="s">
        <v>357</v>
      </c>
      <c r="D357" s="13" t="s">
        <v>11</v>
      </c>
      <c r="E357" s="14" t="s">
        <v>12</v>
      </c>
      <c r="F357" s="13" t="s">
        <v>351</v>
      </c>
      <c r="G357" s="15" t="s">
        <v>352</v>
      </c>
      <c r="H357" s="15" t="s">
        <v>15</v>
      </c>
      <c r="I357" s="16">
        <v>20</v>
      </c>
      <c r="J357" s="17">
        <v>239500</v>
      </c>
    </row>
    <row r="358" spans="1:10" s="18" customFormat="1" x14ac:dyDescent="0.25">
      <c r="A358" s="10">
        <v>7</v>
      </c>
      <c r="B358" s="11">
        <v>45887</v>
      </c>
      <c r="C358" s="12" t="s">
        <v>358</v>
      </c>
      <c r="D358" s="13" t="s">
        <v>11</v>
      </c>
      <c r="E358" s="14" t="s">
        <v>12</v>
      </c>
      <c r="F358" s="13" t="s">
        <v>351</v>
      </c>
      <c r="G358" s="15" t="s">
        <v>352</v>
      </c>
      <c r="H358" s="15" t="s">
        <v>15</v>
      </c>
      <c r="I358" s="16">
        <v>13</v>
      </c>
      <c r="J358" s="17">
        <v>27865</v>
      </c>
    </row>
    <row r="359" spans="1:10" s="18" customFormat="1" x14ac:dyDescent="0.25">
      <c r="A359" s="10">
        <v>8</v>
      </c>
      <c r="B359" s="11">
        <v>45892</v>
      </c>
      <c r="C359" s="12" t="s">
        <v>359</v>
      </c>
      <c r="D359" s="13" t="s">
        <v>11</v>
      </c>
      <c r="E359" s="14" t="s">
        <v>12</v>
      </c>
      <c r="F359" s="13" t="s">
        <v>351</v>
      </c>
      <c r="G359" s="15" t="s">
        <v>352</v>
      </c>
      <c r="H359" s="15" t="s">
        <v>15</v>
      </c>
      <c r="I359" s="16">
        <v>8</v>
      </c>
      <c r="J359" s="17">
        <v>42055</v>
      </c>
    </row>
    <row r="360" spans="1:10" s="18" customFormat="1" x14ac:dyDescent="0.25">
      <c r="A360" s="10">
        <v>9</v>
      </c>
      <c r="B360" s="11">
        <v>45892</v>
      </c>
      <c r="C360" s="12" t="s">
        <v>360</v>
      </c>
      <c r="D360" s="13" t="s">
        <v>11</v>
      </c>
      <c r="E360" s="14" t="s">
        <v>12</v>
      </c>
      <c r="F360" s="13" t="s">
        <v>351</v>
      </c>
      <c r="G360" s="15" t="s">
        <v>352</v>
      </c>
      <c r="H360" s="15" t="s">
        <v>15</v>
      </c>
      <c r="I360" s="16">
        <v>8</v>
      </c>
      <c r="J360" s="17">
        <v>50465</v>
      </c>
    </row>
    <row r="361" spans="1:10" s="18" customFormat="1" x14ac:dyDescent="0.25">
      <c r="A361" s="10">
        <v>10</v>
      </c>
      <c r="B361" s="11">
        <v>45896</v>
      </c>
      <c r="C361" s="12" t="s">
        <v>361</v>
      </c>
      <c r="D361" s="13" t="s">
        <v>11</v>
      </c>
      <c r="E361" s="14" t="s">
        <v>12</v>
      </c>
      <c r="F361" s="13" t="s">
        <v>351</v>
      </c>
      <c r="G361" s="15" t="s">
        <v>352</v>
      </c>
      <c r="H361" s="15" t="s">
        <v>15</v>
      </c>
      <c r="I361" s="16">
        <v>4</v>
      </c>
      <c r="J361" s="17">
        <v>112945</v>
      </c>
    </row>
    <row r="362" spans="1:10" s="18" customFormat="1" x14ac:dyDescent="0.25">
      <c r="A362" s="10">
        <v>11</v>
      </c>
      <c r="B362" s="20">
        <v>45897</v>
      </c>
      <c r="C362" s="12" t="s">
        <v>362</v>
      </c>
      <c r="D362" s="13" t="s">
        <v>11</v>
      </c>
      <c r="E362" s="14" t="s">
        <v>12</v>
      </c>
      <c r="F362" s="13" t="s">
        <v>351</v>
      </c>
      <c r="G362" s="15" t="s">
        <v>352</v>
      </c>
      <c r="H362" s="15" t="s">
        <v>15</v>
      </c>
      <c r="I362" s="21">
        <v>0</v>
      </c>
      <c r="J362" s="17">
        <v>144185</v>
      </c>
    </row>
    <row r="363" spans="1:10" s="18" customFormat="1" x14ac:dyDescent="0.25">
      <c r="A363" s="10">
        <v>12</v>
      </c>
      <c r="B363" s="20">
        <v>45897</v>
      </c>
      <c r="C363" s="12" t="s">
        <v>363</v>
      </c>
      <c r="D363" s="13" t="s">
        <v>11</v>
      </c>
      <c r="E363" s="14" t="s">
        <v>12</v>
      </c>
      <c r="F363" s="13" t="s">
        <v>351</v>
      </c>
      <c r="G363" s="15" t="s">
        <v>352</v>
      </c>
      <c r="H363" s="15" t="s">
        <v>15</v>
      </c>
      <c r="I363" s="21">
        <v>0</v>
      </c>
      <c r="J363" s="17">
        <v>144185</v>
      </c>
    </row>
    <row r="364" spans="1:10" x14ac:dyDescent="0.25">
      <c r="A364" s="83" t="s">
        <v>349</v>
      </c>
      <c r="B364" s="84"/>
      <c r="C364" s="84"/>
      <c r="D364" s="84"/>
      <c r="E364" s="84"/>
      <c r="F364" s="84"/>
      <c r="G364" s="84"/>
      <c r="H364" s="84"/>
      <c r="I364" s="85"/>
      <c r="J364" s="19">
        <f>SUM(J352:J363)</f>
        <v>1125830</v>
      </c>
    </row>
    <row r="365" spans="1:10" ht="5.25" customHeight="1" x14ac:dyDescent="0.25"/>
    <row r="366" spans="1:10" ht="23.25" customHeight="1" x14ac:dyDescent="0.25">
      <c r="A366" s="86" t="s">
        <v>374</v>
      </c>
      <c r="B366" s="87"/>
      <c r="C366" s="87"/>
      <c r="D366" s="87"/>
      <c r="E366" s="87"/>
      <c r="F366" s="87"/>
      <c r="G366" s="87"/>
      <c r="H366" s="87"/>
      <c r="I366" s="88"/>
      <c r="J366" s="22">
        <f>+J364+J350</f>
        <v>169396101</v>
      </c>
    </row>
  </sheetData>
  <mergeCells count="3">
    <mergeCell ref="A350:I350"/>
    <mergeCell ref="A364:I364"/>
    <mergeCell ref="A366:I366"/>
  </mergeCells>
  <conditionalFormatting sqref="I351:I363 I5:I349">
    <cfRule type="cellIs" dxfId="147" priority="7" operator="greaterThan">
      <formula>0</formula>
    </cfRule>
  </conditionalFormatting>
  <conditionalFormatting sqref="J350 B351:J363 B6:J349">
    <cfRule type="expression" dxfId="146" priority="8">
      <formula>AND(#REF!&gt;0,$I6&gt;89)</formula>
    </cfRule>
    <cfRule type="expression" dxfId="145" priority="9">
      <formula>AND(#REF!&gt;0,$I6&gt;59)</formula>
    </cfRule>
    <cfRule type="expression" dxfId="144" priority="10">
      <formula>AND(#REF!&gt;0,$I6&gt;44)</formula>
    </cfRule>
  </conditionalFormatting>
  <conditionalFormatting sqref="J364">
    <cfRule type="expression" dxfId="143" priority="4">
      <formula>AND(#REF!&gt;0,$I364&gt;89)</formula>
    </cfRule>
    <cfRule type="expression" dxfId="142" priority="5">
      <formula>AND(#REF!&gt;0,$I364&gt;59)</formula>
    </cfRule>
    <cfRule type="expression" dxfId="141" priority="6">
      <formula>AND(#REF!&gt;0,$I364&gt;44)</formula>
    </cfRule>
  </conditionalFormatting>
  <conditionalFormatting sqref="J366">
    <cfRule type="expression" dxfId="140" priority="1">
      <formula>AND(#REF!&gt;0,$I366&gt;89)</formula>
    </cfRule>
    <cfRule type="expression" dxfId="139" priority="2">
      <formula>AND(#REF!&gt;0,$I366&gt;59)</formula>
    </cfRule>
    <cfRule type="expression" dxfId="138" priority="3">
      <formula>AND(#REF!&gt;0,$I366&gt;44)</formula>
    </cfRule>
  </conditionalFormatting>
  <pageMargins left="0.7" right="0.7" top="0.75" bottom="0.75" header="0.3" footer="0.3"/>
  <pageSetup paperSize="5" scale="31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workbookViewId="0">
      <selection activeCell="A2" sqref="A2:H3"/>
    </sheetView>
  </sheetViews>
  <sheetFormatPr defaultColWidth="9.140625" defaultRowHeight="15" x14ac:dyDescent="0.25"/>
  <cols>
    <col min="1" max="1" width="5" customWidth="1"/>
    <col min="4" max="4" width="9.140625" customWidth="1"/>
    <col min="6" max="6" width="22.7109375" customWidth="1"/>
    <col min="7" max="7" width="9.140625" customWidth="1"/>
    <col min="8" max="8" width="14.8554687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ht="24" customHeight="1" x14ac:dyDescent="0.25">
      <c r="A2" s="23" t="s">
        <v>376</v>
      </c>
      <c r="B2" s="3"/>
      <c r="C2" s="4"/>
      <c r="D2" s="4"/>
      <c r="E2" s="4"/>
      <c r="F2" s="4"/>
      <c r="G2" s="4"/>
      <c r="H2" s="4"/>
    </row>
    <row r="3" spans="1:8" ht="27" customHeight="1" x14ac:dyDescent="0.25">
      <c r="A3" s="5" t="s">
        <v>0</v>
      </c>
      <c r="B3" s="6" t="s">
        <v>1</v>
      </c>
      <c r="C3" s="7" t="s">
        <v>2</v>
      </c>
      <c r="D3" s="7" t="s">
        <v>3</v>
      </c>
      <c r="E3" s="7" t="s">
        <v>5</v>
      </c>
      <c r="F3" s="7" t="s">
        <v>6</v>
      </c>
      <c r="G3" s="24" t="s">
        <v>8</v>
      </c>
      <c r="H3" s="25" t="s">
        <v>377</v>
      </c>
    </row>
    <row r="4" spans="1:8" s="18" customFormat="1" x14ac:dyDescent="0.25">
      <c r="A4" s="10">
        <v>1</v>
      </c>
      <c r="B4" s="11">
        <v>45880</v>
      </c>
      <c r="C4" s="12" t="s">
        <v>171</v>
      </c>
      <c r="D4" s="13" t="s">
        <v>11</v>
      </c>
      <c r="E4" s="13" t="s">
        <v>13</v>
      </c>
      <c r="F4" s="15" t="s">
        <v>14</v>
      </c>
      <c r="G4" s="16">
        <v>20</v>
      </c>
      <c r="H4" s="26">
        <v>51085</v>
      </c>
    </row>
    <row r="5" spans="1:8" s="18" customFormat="1" x14ac:dyDescent="0.25">
      <c r="A5" s="10">
        <v>2</v>
      </c>
      <c r="B5" s="11">
        <v>45880</v>
      </c>
      <c r="C5" s="12" t="s">
        <v>173</v>
      </c>
      <c r="D5" s="13" t="s">
        <v>11</v>
      </c>
      <c r="E5" s="13" t="s">
        <v>13</v>
      </c>
      <c r="F5" s="15" t="s">
        <v>14</v>
      </c>
      <c r="G5" s="16">
        <v>20</v>
      </c>
      <c r="H5" s="26">
        <v>54575</v>
      </c>
    </row>
    <row r="6" spans="1:8" s="18" customFormat="1" x14ac:dyDescent="0.25">
      <c r="A6" s="10">
        <v>3</v>
      </c>
      <c r="B6" s="11">
        <v>45880</v>
      </c>
      <c r="C6" s="12" t="s">
        <v>174</v>
      </c>
      <c r="D6" s="13" t="s">
        <v>11</v>
      </c>
      <c r="E6" s="13" t="s">
        <v>13</v>
      </c>
      <c r="F6" s="15" t="s">
        <v>14</v>
      </c>
      <c r="G6" s="16">
        <v>20</v>
      </c>
      <c r="H6" s="26">
        <v>60375</v>
      </c>
    </row>
    <row r="7" spans="1:8" s="18" customFormat="1" x14ac:dyDescent="0.25">
      <c r="A7" s="10">
        <v>4</v>
      </c>
      <c r="B7" s="11">
        <v>45880</v>
      </c>
      <c r="C7" s="12" t="s">
        <v>175</v>
      </c>
      <c r="D7" s="13" t="s">
        <v>11</v>
      </c>
      <c r="E7" s="13" t="s">
        <v>13</v>
      </c>
      <c r="F7" s="15" t="s">
        <v>14</v>
      </c>
      <c r="G7" s="16">
        <v>20</v>
      </c>
      <c r="H7" s="26">
        <v>62700</v>
      </c>
    </row>
    <row r="8" spans="1:8" s="18" customFormat="1" x14ac:dyDescent="0.25">
      <c r="A8" s="10">
        <v>5</v>
      </c>
      <c r="B8" s="11">
        <v>45880</v>
      </c>
      <c r="C8" s="12" t="s">
        <v>176</v>
      </c>
      <c r="D8" s="13" t="s">
        <v>11</v>
      </c>
      <c r="E8" s="13" t="s">
        <v>13</v>
      </c>
      <c r="F8" s="15" t="s">
        <v>14</v>
      </c>
      <c r="G8" s="16">
        <v>20</v>
      </c>
      <c r="H8" s="26">
        <v>69675</v>
      </c>
    </row>
    <row r="9" spans="1:8" s="18" customFormat="1" x14ac:dyDescent="0.25">
      <c r="A9" s="10">
        <v>6</v>
      </c>
      <c r="B9" s="11">
        <v>45880</v>
      </c>
      <c r="C9" s="12" t="s">
        <v>177</v>
      </c>
      <c r="D9" s="13" t="s">
        <v>11</v>
      </c>
      <c r="E9" s="13" t="s">
        <v>13</v>
      </c>
      <c r="F9" s="15" t="s">
        <v>14</v>
      </c>
      <c r="G9" s="16">
        <v>20</v>
      </c>
      <c r="H9" s="26">
        <v>69675</v>
      </c>
    </row>
    <row r="10" spans="1:8" s="18" customFormat="1" x14ac:dyDescent="0.25">
      <c r="A10" s="10">
        <v>7</v>
      </c>
      <c r="B10" s="11">
        <v>45880</v>
      </c>
      <c r="C10" s="12" t="s">
        <v>178</v>
      </c>
      <c r="D10" s="13" t="s">
        <v>11</v>
      </c>
      <c r="E10" s="13" t="s">
        <v>13</v>
      </c>
      <c r="F10" s="15" t="s">
        <v>14</v>
      </c>
      <c r="G10" s="16">
        <v>20</v>
      </c>
      <c r="H10" s="26">
        <v>98685</v>
      </c>
    </row>
    <row r="11" spans="1:8" s="18" customFormat="1" x14ac:dyDescent="0.25">
      <c r="A11" s="10">
        <v>8</v>
      </c>
      <c r="B11" s="11">
        <v>45880</v>
      </c>
      <c r="C11" s="12" t="s">
        <v>179</v>
      </c>
      <c r="D11" s="13" t="s">
        <v>11</v>
      </c>
      <c r="E11" s="13" t="s">
        <v>13</v>
      </c>
      <c r="F11" s="15" t="s">
        <v>14</v>
      </c>
      <c r="G11" s="16">
        <v>20</v>
      </c>
      <c r="H11" s="26">
        <v>114950</v>
      </c>
    </row>
    <row r="12" spans="1:8" s="18" customFormat="1" x14ac:dyDescent="0.25">
      <c r="A12" s="10">
        <v>9</v>
      </c>
      <c r="B12" s="11">
        <v>45880</v>
      </c>
      <c r="C12" s="12" t="s">
        <v>180</v>
      </c>
      <c r="D12" s="13" t="s">
        <v>11</v>
      </c>
      <c r="E12" s="13" t="s">
        <v>13</v>
      </c>
      <c r="F12" s="15" t="s">
        <v>14</v>
      </c>
      <c r="G12" s="16">
        <v>20</v>
      </c>
      <c r="H12" s="26">
        <v>114950</v>
      </c>
    </row>
    <row r="13" spans="1:8" s="18" customFormat="1" x14ac:dyDescent="0.25">
      <c r="A13" s="10">
        <v>10</v>
      </c>
      <c r="B13" s="11">
        <v>45880</v>
      </c>
      <c r="C13" s="12" t="s">
        <v>181</v>
      </c>
      <c r="D13" s="13" t="s">
        <v>11</v>
      </c>
      <c r="E13" s="13" t="s">
        <v>13</v>
      </c>
      <c r="F13" s="15" t="s">
        <v>14</v>
      </c>
      <c r="G13" s="16">
        <v>20</v>
      </c>
      <c r="H13" s="26">
        <v>125390</v>
      </c>
    </row>
    <row r="14" spans="1:8" s="18" customFormat="1" x14ac:dyDescent="0.25">
      <c r="A14" s="10">
        <v>11</v>
      </c>
      <c r="B14" s="11">
        <v>45880</v>
      </c>
      <c r="C14" s="12" t="s">
        <v>182</v>
      </c>
      <c r="D14" s="13" t="s">
        <v>11</v>
      </c>
      <c r="E14" s="13" t="s">
        <v>13</v>
      </c>
      <c r="F14" s="15" t="s">
        <v>14</v>
      </c>
      <c r="G14" s="16">
        <v>20</v>
      </c>
      <c r="H14" s="26">
        <v>127710</v>
      </c>
    </row>
    <row r="15" spans="1:8" s="18" customFormat="1" x14ac:dyDescent="0.25">
      <c r="A15" s="10">
        <v>12</v>
      </c>
      <c r="B15" s="11">
        <v>45880</v>
      </c>
      <c r="C15" s="12" t="s">
        <v>183</v>
      </c>
      <c r="D15" s="13" t="s">
        <v>11</v>
      </c>
      <c r="E15" s="13" t="s">
        <v>13</v>
      </c>
      <c r="F15" s="15" t="s">
        <v>14</v>
      </c>
      <c r="G15" s="16">
        <v>20</v>
      </c>
      <c r="H15" s="26">
        <v>147450</v>
      </c>
    </row>
    <row r="16" spans="1:8" s="18" customFormat="1" x14ac:dyDescent="0.25">
      <c r="A16" s="10">
        <v>13</v>
      </c>
      <c r="B16" s="11">
        <v>45880</v>
      </c>
      <c r="C16" s="12" t="s">
        <v>184</v>
      </c>
      <c r="D16" s="13" t="s">
        <v>11</v>
      </c>
      <c r="E16" s="13" t="s">
        <v>13</v>
      </c>
      <c r="F16" s="15" t="s">
        <v>14</v>
      </c>
      <c r="G16" s="16">
        <v>20</v>
      </c>
      <c r="H16" s="26">
        <v>156735</v>
      </c>
    </row>
    <row r="17" spans="1:8" s="18" customFormat="1" x14ac:dyDescent="0.25">
      <c r="A17" s="10">
        <v>14</v>
      </c>
      <c r="B17" s="11">
        <v>45880</v>
      </c>
      <c r="C17" s="12" t="s">
        <v>185</v>
      </c>
      <c r="D17" s="13" t="s">
        <v>11</v>
      </c>
      <c r="E17" s="13" t="s">
        <v>13</v>
      </c>
      <c r="F17" s="15" t="s">
        <v>14</v>
      </c>
      <c r="G17" s="16">
        <v>20</v>
      </c>
      <c r="H17" s="26">
        <v>174150</v>
      </c>
    </row>
    <row r="18" spans="1:8" s="18" customFormat="1" x14ac:dyDescent="0.25">
      <c r="A18" s="10">
        <v>15</v>
      </c>
      <c r="B18" s="11">
        <v>45880</v>
      </c>
      <c r="C18" s="12" t="s">
        <v>189</v>
      </c>
      <c r="D18" s="13" t="s">
        <v>11</v>
      </c>
      <c r="E18" s="13" t="s">
        <v>13</v>
      </c>
      <c r="F18" s="15" t="s">
        <v>14</v>
      </c>
      <c r="G18" s="16">
        <v>20</v>
      </c>
      <c r="H18" s="26">
        <v>574800</v>
      </c>
    </row>
    <row r="19" spans="1:8" s="18" customFormat="1" x14ac:dyDescent="0.25">
      <c r="A19" s="10">
        <v>16</v>
      </c>
      <c r="B19" s="11">
        <v>45880</v>
      </c>
      <c r="C19" s="12" t="s">
        <v>190</v>
      </c>
      <c r="D19" s="13" t="s">
        <v>11</v>
      </c>
      <c r="E19" s="13" t="s">
        <v>13</v>
      </c>
      <c r="F19" s="15" t="s">
        <v>14</v>
      </c>
      <c r="G19" s="16">
        <v>20</v>
      </c>
      <c r="H19" s="26">
        <v>643500</v>
      </c>
    </row>
    <row r="20" spans="1:8" s="18" customFormat="1" x14ac:dyDescent="0.25">
      <c r="A20" s="10">
        <v>17</v>
      </c>
      <c r="B20" s="11">
        <v>45880</v>
      </c>
      <c r="C20" s="12" t="s">
        <v>191</v>
      </c>
      <c r="D20" s="13" t="s">
        <v>11</v>
      </c>
      <c r="E20" s="13" t="s">
        <v>13</v>
      </c>
      <c r="F20" s="15" t="s">
        <v>14</v>
      </c>
      <c r="G20" s="16">
        <v>20</v>
      </c>
      <c r="H20" s="26">
        <v>668740</v>
      </c>
    </row>
    <row r="21" spans="1:8" s="18" customFormat="1" x14ac:dyDescent="0.25">
      <c r="A21" s="10">
        <v>18</v>
      </c>
      <c r="B21" s="11">
        <v>45880</v>
      </c>
      <c r="C21" s="12" t="s">
        <v>192</v>
      </c>
      <c r="D21" s="13" t="s">
        <v>11</v>
      </c>
      <c r="E21" s="13" t="s">
        <v>13</v>
      </c>
      <c r="F21" s="15" t="s">
        <v>14</v>
      </c>
      <c r="G21" s="16">
        <v>20</v>
      </c>
      <c r="H21" s="26">
        <v>1785450</v>
      </c>
    </row>
    <row r="22" spans="1:8" s="18" customFormat="1" x14ac:dyDescent="0.25">
      <c r="A22" s="10">
        <v>19</v>
      </c>
      <c r="B22" s="11">
        <v>45881</v>
      </c>
      <c r="C22" s="12" t="s">
        <v>193</v>
      </c>
      <c r="D22" s="13" t="s">
        <v>11</v>
      </c>
      <c r="E22" s="13" t="s">
        <v>13</v>
      </c>
      <c r="F22" s="15" t="s">
        <v>14</v>
      </c>
      <c r="G22" s="16">
        <v>19</v>
      </c>
      <c r="H22" s="26">
        <v>47625</v>
      </c>
    </row>
    <row r="23" spans="1:8" s="18" customFormat="1" x14ac:dyDescent="0.25">
      <c r="A23" s="10">
        <v>20</v>
      </c>
      <c r="B23" s="11">
        <v>45881</v>
      </c>
      <c r="C23" s="12" t="s">
        <v>194</v>
      </c>
      <c r="D23" s="13" t="s">
        <v>11</v>
      </c>
      <c r="E23" s="13" t="s">
        <v>13</v>
      </c>
      <c r="F23" s="15" t="s">
        <v>14</v>
      </c>
      <c r="G23" s="16">
        <v>19</v>
      </c>
      <c r="H23" s="26">
        <v>60390</v>
      </c>
    </row>
    <row r="24" spans="1:8" s="18" customFormat="1" x14ac:dyDescent="0.25">
      <c r="A24" s="10">
        <v>21</v>
      </c>
      <c r="B24" s="11">
        <v>45881</v>
      </c>
      <c r="C24" s="12" t="s">
        <v>195</v>
      </c>
      <c r="D24" s="13" t="s">
        <v>11</v>
      </c>
      <c r="E24" s="13" t="s">
        <v>13</v>
      </c>
      <c r="F24" s="15" t="s">
        <v>14</v>
      </c>
      <c r="G24" s="16">
        <v>19</v>
      </c>
      <c r="H24" s="26">
        <v>63855</v>
      </c>
    </row>
    <row r="25" spans="1:8" s="18" customFormat="1" x14ac:dyDescent="0.25">
      <c r="A25" s="10">
        <v>22</v>
      </c>
      <c r="B25" s="11">
        <v>45881</v>
      </c>
      <c r="C25" s="12" t="s">
        <v>196</v>
      </c>
      <c r="D25" s="13" t="s">
        <v>11</v>
      </c>
      <c r="E25" s="13" t="s">
        <v>13</v>
      </c>
      <c r="F25" s="15" t="s">
        <v>14</v>
      </c>
      <c r="G25" s="16">
        <v>19</v>
      </c>
      <c r="H25" s="26">
        <v>69675</v>
      </c>
    </row>
    <row r="26" spans="1:8" s="18" customFormat="1" x14ac:dyDescent="0.25">
      <c r="A26" s="10">
        <v>23</v>
      </c>
      <c r="B26" s="11">
        <v>45881</v>
      </c>
      <c r="C26" s="12" t="s">
        <v>197</v>
      </c>
      <c r="D26" s="13" t="s">
        <v>11</v>
      </c>
      <c r="E26" s="13" t="s">
        <v>13</v>
      </c>
      <c r="F26" s="15" t="s">
        <v>14</v>
      </c>
      <c r="G26" s="16">
        <v>19</v>
      </c>
      <c r="H26" s="26">
        <v>92900</v>
      </c>
    </row>
    <row r="27" spans="1:8" s="18" customFormat="1" x14ac:dyDescent="0.25">
      <c r="A27" s="10">
        <v>24</v>
      </c>
      <c r="B27" s="11">
        <v>45881</v>
      </c>
      <c r="C27" s="12" t="s">
        <v>198</v>
      </c>
      <c r="D27" s="13" t="s">
        <v>11</v>
      </c>
      <c r="E27" s="13" t="s">
        <v>13</v>
      </c>
      <c r="F27" s="15" t="s">
        <v>14</v>
      </c>
      <c r="G27" s="16">
        <v>19</v>
      </c>
      <c r="H27" s="26">
        <v>99850</v>
      </c>
    </row>
    <row r="28" spans="1:8" s="18" customFormat="1" x14ac:dyDescent="0.25">
      <c r="A28" s="10">
        <v>25</v>
      </c>
      <c r="B28" s="11">
        <v>45881</v>
      </c>
      <c r="C28" s="12" t="s">
        <v>199</v>
      </c>
      <c r="D28" s="13" t="s">
        <v>11</v>
      </c>
      <c r="E28" s="13" t="s">
        <v>13</v>
      </c>
      <c r="F28" s="15" t="s">
        <v>14</v>
      </c>
      <c r="G28" s="16">
        <v>19</v>
      </c>
      <c r="H28" s="26">
        <v>104495</v>
      </c>
    </row>
    <row r="29" spans="1:8" s="18" customFormat="1" x14ac:dyDescent="0.25">
      <c r="A29" s="10">
        <v>26</v>
      </c>
      <c r="B29" s="11">
        <v>45881</v>
      </c>
      <c r="C29" s="12" t="s">
        <v>200</v>
      </c>
      <c r="D29" s="13" t="s">
        <v>11</v>
      </c>
      <c r="E29" s="13" t="s">
        <v>13</v>
      </c>
      <c r="F29" s="15" t="s">
        <v>14</v>
      </c>
      <c r="G29" s="16">
        <v>19</v>
      </c>
      <c r="H29" s="26">
        <v>119050</v>
      </c>
    </row>
    <row r="30" spans="1:8" s="18" customFormat="1" x14ac:dyDescent="0.25">
      <c r="A30" s="10">
        <v>27</v>
      </c>
      <c r="B30" s="11">
        <v>45881</v>
      </c>
      <c r="C30" s="12" t="s">
        <v>201</v>
      </c>
      <c r="D30" s="13" t="s">
        <v>11</v>
      </c>
      <c r="E30" s="13" t="s">
        <v>13</v>
      </c>
      <c r="F30" s="15" t="s">
        <v>14</v>
      </c>
      <c r="G30" s="16">
        <v>19</v>
      </c>
      <c r="H30" s="26">
        <v>141645</v>
      </c>
    </row>
    <row r="31" spans="1:8" s="18" customFormat="1" x14ac:dyDescent="0.25">
      <c r="A31" s="10">
        <v>28</v>
      </c>
      <c r="B31" s="11">
        <v>45881</v>
      </c>
      <c r="C31" s="12" t="s">
        <v>202</v>
      </c>
      <c r="D31" s="13" t="s">
        <v>11</v>
      </c>
      <c r="E31" s="13" t="s">
        <v>13</v>
      </c>
      <c r="F31" s="15" t="s">
        <v>14</v>
      </c>
      <c r="G31" s="16">
        <v>19</v>
      </c>
      <c r="H31" s="26">
        <v>226395</v>
      </c>
    </row>
    <row r="32" spans="1:8" s="18" customFormat="1" x14ac:dyDescent="0.25">
      <c r="A32" s="10">
        <v>29</v>
      </c>
      <c r="B32" s="11">
        <v>45881</v>
      </c>
      <c r="C32" s="12" t="s">
        <v>203</v>
      </c>
      <c r="D32" s="13" t="s">
        <v>11</v>
      </c>
      <c r="E32" s="13" t="s">
        <v>13</v>
      </c>
      <c r="F32" s="15" t="s">
        <v>14</v>
      </c>
      <c r="G32" s="16">
        <v>19</v>
      </c>
      <c r="H32" s="26">
        <v>226395</v>
      </c>
    </row>
    <row r="33" spans="1:8" s="18" customFormat="1" x14ac:dyDescent="0.25">
      <c r="A33" s="10">
        <v>30</v>
      </c>
      <c r="B33" s="11">
        <v>45881</v>
      </c>
      <c r="C33" s="12" t="s">
        <v>204</v>
      </c>
      <c r="D33" s="13" t="s">
        <v>11</v>
      </c>
      <c r="E33" s="13" t="s">
        <v>13</v>
      </c>
      <c r="F33" s="15" t="s">
        <v>14</v>
      </c>
      <c r="G33" s="16">
        <v>19</v>
      </c>
      <c r="H33" s="26">
        <v>539865</v>
      </c>
    </row>
    <row r="34" spans="1:8" s="18" customFormat="1" x14ac:dyDescent="0.25">
      <c r="A34" s="10">
        <v>31</v>
      </c>
      <c r="B34" s="11">
        <v>45881</v>
      </c>
      <c r="C34" s="12" t="s">
        <v>205</v>
      </c>
      <c r="D34" s="13" t="s">
        <v>11</v>
      </c>
      <c r="E34" s="13" t="s">
        <v>13</v>
      </c>
      <c r="F34" s="15" t="s">
        <v>14</v>
      </c>
      <c r="G34" s="16">
        <v>19</v>
      </c>
      <c r="H34" s="26">
        <v>544375</v>
      </c>
    </row>
    <row r="35" spans="1:8" s="18" customFormat="1" x14ac:dyDescent="0.25">
      <c r="A35" s="10">
        <v>32</v>
      </c>
      <c r="B35" s="11">
        <v>45881</v>
      </c>
      <c r="C35" s="12" t="s">
        <v>206</v>
      </c>
      <c r="D35" s="13" t="s">
        <v>11</v>
      </c>
      <c r="E35" s="13" t="s">
        <v>13</v>
      </c>
      <c r="F35" s="15" t="s">
        <v>14</v>
      </c>
      <c r="G35" s="16">
        <v>19</v>
      </c>
      <c r="H35" s="26">
        <v>989590</v>
      </c>
    </row>
    <row r="36" spans="1:8" s="18" customFormat="1" x14ac:dyDescent="0.25">
      <c r="A36" s="10">
        <v>33</v>
      </c>
      <c r="B36" s="11">
        <v>45882</v>
      </c>
      <c r="C36" s="12" t="s">
        <v>207</v>
      </c>
      <c r="D36" s="13" t="s">
        <v>11</v>
      </c>
      <c r="E36" s="13" t="s">
        <v>13</v>
      </c>
      <c r="F36" s="15" t="s">
        <v>14</v>
      </c>
      <c r="G36" s="16">
        <v>18</v>
      </c>
      <c r="H36" s="26">
        <v>37625</v>
      </c>
    </row>
    <row r="37" spans="1:8" s="18" customFormat="1" x14ac:dyDescent="0.25">
      <c r="A37" s="10">
        <v>34</v>
      </c>
      <c r="B37" s="11">
        <v>45882</v>
      </c>
      <c r="C37" s="12" t="s">
        <v>208</v>
      </c>
      <c r="D37" s="13" t="s">
        <v>11</v>
      </c>
      <c r="E37" s="13" t="s">
        <v>13</v>
      </c>
      <c r="F37" s="15" t="s">
        <v>14</v>
      </c>
      <c r="G37" s="16">
        <v>18</v>
      </c>
      <c r="H37" s="26">
        <v>40635</v>
      </c>
    </row>
    <row r="38" spans="1:8" s="18" customFormat="1" x14ac:dyDescent="0.25">
      <c r="A38" s="10">
        <v>35</v>
      </c>
      <c r="B38" s="11">
        <v>45882</v>
      </c>
      <c r="C38" s="12" t="s">
        <v>209</v>
      </c>
      <c r="D38" s="13" t="s">
        <v>11</v>
      </c>
      <c r="E38" s="13" t="s">
        <v>13</v>
      </c>
      <c r="F38" s="15" t="s">
        <v>14</v>
      </c>
      <c r="G38" s="16">
        <v>18</v>
      </c>
      <c r="H38" s="26">
        <v>62700</v>
      </c>
    </row>
    <row r="39" spans="1:8" s="18" customFormat="1" x14ac:dyDescent="0.25">
      <c r="A39" s="10">
        <v>36</v>
      </c>
      <c r="B39" s="11">
        <v>45882</v>
      </c>
      <c r="C39" s="12" t="s">
        <v>210</v>
      </c>
      <c r="D39" s="13" t="s">
        <v>11</v>
      </c>
      <c r="E39" s="13" t="s">
        <v>13</v>
      </c>
      <c r="F39" s="15" t="s">
        <v>14</v>
      </c>
      <c r="G39" s="16">
        <v>18</v>
      </c>
      <c r="H39" s="26">
        <v>104500</v>
      </c>
    </row>
    <row r="40" spans="1:8" s="18" customFormat="1" x14ac:dyDescent="0.25">
      <c r="A40" s="10">
        <v>37</v>
      </c>
      <c r="B40" s="11">
        <v>45882</v>
      </c>
      <c r="C40" s="12" t="s">
        <v>211</v>
      </c>
      <c r="D40" s="13" t="s">
        <v>11</v>
      </c>
      <c r="E40" s="13" t="s">
        <v>13</v>
      </c>
      <c r="F40" s="15" t="s">
        <v>14</v>
      </c>
      <c r="G40" s="16">
        <v>18</v>
      </c>
      <c r="H40" s="26">
        <v>109350</v>
      </c>
    </row>
    <row r="41" spans="1:8" s="18" customFormat="1" x14ac:dyDescent="0.25">
      <c r="A41" s="10">
        <v>38</v>
      </c>
      <c r="B41" s="11">
        <v>45882</v>
      </c>
      <c r="C41" s="12" t="s">
        <v>212</v>
      </c>
      <c r="D41" s="13" t="s">
        <v>11</v>
      </c>
      <c r="E41" s="13" t="s">
        <v>13</v>
      </c>
      <c r="F41" s="15" t="s">
        <v>14</v>
      </c>
      <c r="G41" s="16">
        <v>18</v>
      </c>
      <c r="H41" s="26">
        <v>193900</v>
      </c>
    </row>
    <row r="42" spans="1:8" s="18" customFormat="1" x14ac:dyDescent="0.25">
      <c r="A42" s="10">
        <v>39</v>
      </c>
      <c r="B42" s="11">
        <v>45882</v>
      </c>
      <c r="C42" s="12" t="s">
        <v>213</v>
      </c>
      <c r="D42" s="13" t="s">
        <v>11</v>
      </c>
      <c r="E42" s="13" t="s">
        <v>13</v>
      </c>
      <c r="F42" s="15" t="s">
        <v>14</v>
      </c>
      <c r="G42" s="16">
        <v>18</v>
      </c>
      <c r="H42" s="26">
        <v>227590</v>
      </c>
    </row>
    <row r="43" spans="1:8" s="18" customFormat="1" x14ac:dyDescent="0.25">
      <c r="A43" s="10">
        <v>40</v>
      </c>
      <c r="B43" s="11">
        <v>45883</v>
      </c>
      <c r="C43" s="12" t="s">
        <v>214</v>
      </c>
      <c r="D43" s="13" t="s">
        <v>11</v>
      </c>
      <c r="E43" s="13" t="s">
        <v>13</v>
      </c>
      <c r="F43" s="15" t="s">
        <v>14</v>
      </c>
      <c r="G43" s="16">
        <v>17</v>
      </c>
      <c r="H43" s="26">
        <v>103350</v>
      </c>
    </row>
    <row r="44" spans="1:8" s="18" customFormat="1" x14ac:dyDescent="0.25">
      <c r="A44" s="10">
        <v>41</v>
      </c>
      <c r="B44" s="11">
        <v>45883</v>
      </c>
      <c r="C44" s="12" t="s">
        <v>215</v>
      </c>
      <c r="D44" s="13" t="s">
        <v>11</v>
      </c>
      <c r="E44" s="13" t="s">
        <v>13</v>
      </c>
      <c r="F44" s="15" t="s">
        <v>14</v>
      </c>
      <c r="G44" s="16">
        <v>17</v>
      </c>
      <c r="H44" s="26">
        <v>104500</v>
      </c>
    </row>
    <row r="45" spans="1:8" s="18" customFormat="1" x14ac:dyDescent="0.25">
      <c r="A45" s="10">
        <v>42</v>
      </c>
      <c r="B45" s="11">
        <v>45883</v>
      </c>
      <c r="C45" s="12" t="s">
        <v>216</v>
      </c>
      <c r="D45" s="13" t="s">
        <v>11</v>
      </c>
      <c r="E45" s="13" t="s">
        <v>13</v>
      </c>
      <c r="F45" s="15" t="s">
        <v>14</v>
      </c>
      <c r="G45" s="16">
        <v>17</v>
      </c>
      <c r="H45" s="26">
        <v>126765</v>
      </c>
    </row>
    <row r="46" spans="1:8" s="18" customFormat="1" x14ac:dyDescent="0.25">
      <c r="A46" s="10">
        <v>43</v>
      </c>
      <c r="B46" s="11">
        <v>45883</v>
      </c>
      <c r="C46" s="12" t="s">
        <v>217</v>
      </c>
      <c r="D46" s="13" t="s">
        <v>11</v>
      </c>
      <c r="E46" s="13" t="s">
        <v>13</v>
      </c>
      <c r="F46" s="15" t="s">
        <v>14</v>
      </c>
      <c r="G46" s="16">
        <v>17</v>
      </c>
      <c r="H46" s="26">
        <v>144000</v>
      </c>
    </row>
    <row r="47" spans="1:8" s="18" customFormat="1" x14ac:dyDescent="0.25">
      <c r="A47" s="10">
        <v>44</v>
      </c>
      <c r="B47" s="11">
        <v>45883</v>
      </c>
      <c r="C47" s="12" t="s">
        <v>218</v>
      </c>
      <c r="D47" s="13" t="s">
        <v>11</v>
      </c>
      <c r="E47" s="13" t="s">
        <v>13</v>
      </c>
      <c r="F47" s="15" t="s">
        <v>14</v>
      </c>
      <c r="G47" s="16">
        <v>17</v>
      </c>
      <c r="H47" s="26">
        <v>148250</v>
      </c>
    </row>
    <row r="48" spans="1:8" s="18" customFormat="1" x14ac:dyDescent="0.25">
      <c r="A48" s="10">
        <v>45</v>
      </c>
      <c r="B48" s="11">
        <v>45883</v>
      </c>
      <c r="C48" s="12" t="s">
        <v>219</v>
      </c>
      <c r="D48" s="13" t="s">
        <v>11</v>
      </c>
      <c r="E48" s="13" t="s">
        <v>13</v>
      </c>
      <c r="F48" s="15" t="s">
        <v>14</v>
      </c>
      <c r="G48" s="16">
        <v>17</v>
      </c>
      <c r="H48" s="26">
        <v>752500</v>
      </c>
    </row>
    <row r="49" spans="1:8" s="18" customFormat="1" x14ac:dyDescent="0.25">
      <c r="A49" s="10">
        <v>46</v>
      </c>
      <c r="B49" s="11">
        <v>45883</v>
      </c>
      <c r="C49" s="12" t="s">
        <v>220</v>
      </c>
      <c r="D49" s="13" t="s">
        <v>11</v>
      </c>
      <c r="E49" s="13" t="s">
        <v>13</v>
      </c>
      <c r="F49" s="15" t="s">
        <v>14</v>
      </c>
      <c r="G49" s="16">
        <v>17</v>
      </c>
      <c r="H49" s="26">
        <v>858000</v>
      </c>
    </row>
    <row r="50" spans="1:8" s="18" customFormat="1" x14ac:dyDescent="0.25">
      <c r="A50" s="10">
        <v>47</v>
      </c>
      <c r="B50" s="11">
        <v>45884</v>
      </c>
      <c r="C50" s="12" t="s">
        <v>221</v>
      </c>
      <c r="D50" s="13" t="s">
        <v>11</v>
      </c>
      <c r="E50" s="13" t="s">
        <v>13</v>
      </c>
      <c r="F50" s="15" t="s">
        <v>14</v>
      </c>
      <c r="G50" s="16">
        <v>16</v>
      </c>
      <c r="H50" s="26">
        <v>54000</v>
      </c>
    </row>
    <row r="51" spans="1:8" s="18" customFormat="1" x14ac:dyDescent="0.25">
      <c r="A51" s="10">
        <v>48</v>
      </c>
      <c r="B51" s="11">
        <v>45884</v>
      </c>
      <c r="C51" s="12" t="s">
        <v>222</v>
      </c>
      <c r="D51" s="13" t="s">
        <v>11</v>
      </c>
      <c r="E51" s="13" t="s">
        <v>13</v>
      </c>
      <c r="F51" s="15" t="s">
        <v>14</v>
      </c>
      <c r="G51" s="16">
        <v>16</v>
      </c>
      <c r="H51" s="26">
        <v>97530</v>
      </c>
    </row>
    <row r="52" spans="1:8" s="18" customFormat="1" x14ac:dyDescent="0.25">
      <c r="A52" s="10">
        <v>49</v>
      </c>
      <c r="B52" s="11">
        <v>45884</v>
      </c>
      <c r="C52" s="12" t="s">
        <v>223</v>
      </c>
      <c r="D52" s="13" t="s">
        <v>11</v>
      </c>
      <c r="E52" s="13" t="s">
        <v>13</v>
      </c>
      <c r="F52" s="15" t="s">
        <v>14</v>
      </c>
      <c r="G52" s="16">
        <v>16</v>
      </c>
      <c r="H52" s="26">
        <v>99850</v>
      </c>
    </row>
    <row r="53" spans="1:8" s="18" customFormat="1" x14ac:dyDescent="0.25">
      <c r="A53" s="10">
        <v>50</v>
      </c>
      <c r="B53" s="11">
        <v>45884</v>
      </c>
      <c r="C53" s="12" t="s">
        <v>224</v>
      </c>
      <c r="D53" s="13" t="s">
        <v>11</v>
      </c>
      <c r="E53" s="13" t="s">
        <v>13</v>
      </c>
      <c r="F53" s="15" t="s">
        <v>14</v>
      </c>
      <c r="G53" s="16">
        <v>16</v>
      </c>
      <c r="H53" s="26">
        <v>104500</v>
      </c>
    </row>
    <row r="54" spans="1:8" s="18" customFormat="1" x14ac:dyDescent="0.25">
      <c r="A54" s="10">
        <v>51</v>
      </c>
      <c r="B54" s="11">
        <v>45884</v>
      </c>
      <c r="C54" s="12" t="s">
        <v>225</v>
      </c>
      <c r="D54" s="13" t="s">
        <v>11</v>
      </c>
      <c r="E54" s="13" t="s">
        <v>13</v>
      </c>
      <c r="F54" s="15" t="s">
        <v>14</v>
      </c>
      <c r="G54" s="16">
        <v>16</v>
      </c>
      <c r="H54" s="26">
        <v>121905</v>
      </c>
    </row>
    <row r="55" spans="1:8" s="18" customFormat="1" x14ac:dyDescent="0.25">
      <c r="A55" s="10">
        <v>52</v>
      </c>
      <c r="B55" s="11">
        <v>45884</v>
      </c>
      <c r="C55" s="12" t="s">
        <v>226</v>
      </c>
      <c r="D55" s="13" t="s">
        <v>11</v>
      </c>
      <c r="E55" s="13" t="s">
        <v>13</v>
      </c>
      <c r="F55" s="15" t="s">
        <v>14</v>
      </c>
      <c r="G55" s="16">
        <v>16</v>
      </c>
      <c r="H55" s="26">
        <v>171000</v>
      </c>
    </row>
    <row r="56" spans="1:8" s="18" customFormat="1" x14ac:dyDescent="0.25">
      <c r="A56" s="10">
        <v>53</v>
      </c>
      <c r="B56" s="11">
        <v>45884</v>
      </c>
      <c r="C56" s="12" t="s">
        <v>227</v>
      </c>
      <c r="D56" s="13" t="s">
        <v>11</v>
      </c>
      <c r="E56" s="13" t="s">
        <v>13</v>
      </c>
      <c r="F56" s="15" t="s">
        <v>14</v>
      </c>
      <c r="G56" s="16">
        <v>16</v>
      </c>
      <c r="H56" s="26">
        <v>226395</v>
      </c>
    </row>
    <row r="57" spans="1:8" s="18" customFormat="1" x14ac:dyDescent="0.25">
      <c r="A57" s="10">
        <v>54</v>
      </c>
      <c r="B57" s="11">
        <v>45884</v>
      </c>
      <c r="C57" s="12" t="s">
        <v>228</v>
      </c>
      <c r="D57" s="13" t="s">
        <v>11</v>
      </c>
      <c r="E57" s="13" t="s">
        <v>13</v>
      </c>
      <c r="F57" s="15" t="s">
        <v>14</v>
      </c>
      <c r="G57" s="16">
        <v>16</v>
      </c>
      <c r="H57" s="26">
        <v>226395</v>
      </c>
    </row>
    <row r="58" spans="1:8" s="18" customFormat="1" x14ac:dyDescent="0.25">
      <c r="A58" s="10">
        <v>55</v>
      </c>
      <c r="B58" s="11">
        <v>45884</v>
      </c>
      <c r="C58" s="12" t="s">
        <v>229</v>
      </c>
      <c r="D58" s="13" t="s">
        <v>11</v>
      </c>
      <c r="E58" s="13" t="s">
        <v>13</v>
      </c>
      <c r="F58" s="15" t="s">
        <v>14</v>
      </c>
      <c r="G58" s="16">
        <v>16</v>
      </c>
      <c r="H58" s="26">
        <v>750750</v>
      </c>
    </row>
    <row r="59" spans="1:8" s="18" customFormat="1" x14ac:dyDescent="0.25">
      <c r="A59" s="10">
        <v>56</v>
      </c>
      <c r="B59" s="11">
        <v>45884</v>
      </c>
      <c r="C59" s="12" t="s">
        <v>230</v>
      </c>
      <c r="D59" s="13" t="s">
        <v>11</v>
      </c>
      <c r="E59" s="13" t="s">
        <v>13</v>
      </c>
      <c r="F59" s="15" t="s">
        <v>14</v>
      </c>
      <c r="G59" s="16">
        <v>16</v>
      </c>
      <c r="H59" s="26">
        <v>2234500</v>
      </c>
    </row>
    <row r="60" spans="1:8" s="18" customFormat="1" x14ac:dyDescent="0.25">
      <c r="A60" s="10">
        <v>57</v>
      </c>
      <c r="B60" s="11">
        <v>45885</v>
      </c>
      <c r="C60" s="12" t="s">
        <v>231</v>
      </c>
      <c r="D60" s="13" t="s">
        <v>11</v>
      </c>
      <c r="E60" s="13" t="s">
        <v>13</v>
      </c>
      <c r="F60" s="15" t="s">
        <v>14</v>
      </c>
      <c r="G60" s="16">
        <v>15</v>
      </c>
      <c r="H60" s="26">
        <v>89985</v>
      </c>
    </row>
    <row r="61" spans="1:8" s="18" customFormat="1" x14ac:dyDescent="0.25">
      <c r="A61" s="10">
        <v>58</v>
      </c>
      <c r="B61" s="11">
        <v>45885</v>
      </c>
      <c r="C61" s="12" t="s">
        <v>232</v>
      </c>
      <c r="D61" s="13" t="s">
        <v>11</v>
      </c>
      <c r="E61" s="13" t="s">
        <v>13</v>
      </c>
      <c r="F61" s="15" t="s">
        <v>14</v>
      </c>
      <c r="G61" s="16">
        <v>15</v>
      </c>
      <c r="H61" s="26">
        <v>92900</v>
      </c>
    </row>
    <row r="62" spans="1:8" s="18" customFormat="1" x14ac:dyDescent="0.25">
      <c r="A62" s="10">
        <v>59</v>
      </c>
      <c r="B62" s="11">
        <v>45885</v>
      </c>
      <c r="C62" s="12" t="s">
        <v>233</v>
      </c>
      <c r="D62" s="13" t="s">
        <v>11</v>
      </c>
      <c r="E62" s="13" t="s">
        <v>13</v>
      </c>
      <c r="F62" s="15" t="s">
        <v>14</v>
      </c>
      <c r="G62" s="16">
        <v>15</v>
      </c>
      <c r="H62" s="26">
        <v>109350</v>
      </c>
    </row>
    <row r="63" spans="1:8" s="18" customFormat="1" x14ac:dyDescent="0.25">
      <c r="A63" s="10">
        <v>60</v>
      </c>
      <c r="B63" s="11">
        <v>45885</v>
      </c>
      <c r="C63" s="12" t="s">
        <v>234</v>
      </c>
      <c r="D63" s="13" t="s">
        <v>11</v>
      </c>
      <c r="E63" s="13" t="s">
        <v>13</v>
      </c>
      <c r="F63" s="15" t="s">
        <v>14</v>
      </c>
      <c r="G63" s="16">
        <v>15</v>
      </c>
      <c r="H63" s="26">
        <v>157900</v>
      </c>
    </row>
    <row r="64" spans="1:8" s="18" customFormat="1" x14ac:dyDescent="0.25">
      <c r="A64" s="10">
        <v>61</v>
      </c>
      <c r="B64" s="11">
        <v>45885</v>
      </c>
      <c r="C64" s="12" t="s">
        <v>235</v>
      </c>
      <c r="D64" s="13" t="s">
        <v>11</v>
      </c>
      <c r="E64" s="13" t="s">
        <v>13</v>
      </c>
      <c r="F64" s="15" t="s">
        <v>14</v>
      </c>
      <c r="G64" s="16">
        <v>15</v>
      </c>
      <c r="H64" s="26">
        <v>226395</v>
      </c>
    </row>
    <row r="65" spans="1:8" s="18" customFormat="1" x14ac:dyDescent="0.25">
      <c r="A65" s="10">
        <v>62</v>
      </c>
      <c r="B65" s="11">
        <v>45885</v>
      </c>
      <c r="C65" s="12" t="s">
        <v>236</v>
      </c>
      <c r="D65" s="13" t="s">
        <v>11</v>
      </c>
      <c r="E65" s="13" t="s">
        <v>13</v>
      </c>
      <c r="F65" s="15" t="s">
        <v>14</v>
      </c>
      <c r="G65" s="16">
        <v>15</v>
      </c>
      <c r="H65" s="26">
        <v>501650</v>
      </c>
    </row>
    <row r="66" spans="1:8" s="18" customFormat="1" x14ac:dyDescent="0.25">
      <c r="A66" s="10">
        <v>63</v>
      </c>
      <c r="B66" s="11">
        <v>45887</v>
      </c>
      <c r="C66" s="12" t="s">
        <v>237</v>
      </c>
      <c r="D66" s="13" t="s">
        <v>11</v>
      </c>
      <c r="E66" s="13" t="s">
        <v>13</v>
      </c>
      <c r="F66" s="15" t="s">
        <v>14</v>
      </c>
      <c r="G66" s="16">
        <v>13</v>
      </c>
      <c r="H66" s="26">
        <v>63855</v>
      </c>
    </row>
    <row r="67" spans="1:8" s="18" customFormat="1" x14ac:dyDescent="0.25">
      <c r="A67" s="10">
        <v>64</v>
      </c>
      <c r="B67" s="11">
        <v>45887</v>
      </c>
      <c r="C67" s="12" t="s">
        <v>238</v>
      </c>
      <c r="D67" s="13" t="s">
        <v>11</v>
      </c>
      <c r="E67" s="13" t="s">
        <v>13</v>
      </c>
      <c r="F67" s="15" t="s">
        <v>14</v>
      </c>
      <c r="G67" s="16">
        <v>13</v>
      </c>
      <c r="H67" s="26">
        <v>80125</v>
      </c>
    </row>
    <row r="68" spans="1:8" s="18" customFormat="1" x14ac:dyDescent="0.25">
      <c r="A68" s="10">
        <v>65</v>
      </c>
      <c r="B68" s="11">
        <v>45887</v>
      </c>
      <c r="C68" s="12" t="s">
        <v>239</v>
      </c>
      <c r="D68" s="13" t="s">
        <v>11</v>
      </c>
      <c r="E68" s="13" t="s">
        <v>13</v>
      </c>
      <c r="F68" s="15" t="s">
        <v>14</v>
      </c>
      <c r="G68" s="16">
        <v>13</v>
      </c>
      <c r="H68" s="26">
        <v>88250</v>
      </c>
    </row>
    <row r="69" spans="1:8" s="18" customFormat="1" x14ac:dyDescent="0.25">
      <c r="A69" s="10">
        <v>66</v>
      </c>
      <c r="B69" s="11">
        <v>45887</v>
      </c>
      <c r="C69" s="12" t="s">
        <v>240</v>
      </c>
      <c r="D69" s="13" t="s">
        <v>11</v>
      </c>
      <c r="E69" s="13" t="s">
        <v>13</v>
      </c>
      <c r="F69" s="15" t="s">
        <v>14</v>
      </c>
      <c r="G69" s="16">
        <v>13</v>
      </c>
      <c r="H69" s="26">
        <v>102175</v>
      </c>
    </row>
    <row r="70" spans="1:8" s="18" customFormat="1" x14ac:dyDescent="0.25">
      <c r="A70" s="10">
        <v>67</v>
      </c>
      <c r="B70" s="11">
        <v>45887</v>
      </c>
      <c r="C70" s="12" t="s">
        <v>241</v>
      </c>
      <c r="D70" s="13" t="s">
        <v>11</v>
      </c>
      <c r="E70" s="13" t="s">
        <v>13</v>
      </c>
      <c r="F70" s="15" t="s">
        <v>14</v>
      </c>
      <c r="G70" s="16">
        <v>13</v>
      </c>
      <c r="H70" s="26">
        <v>109350</v>
      </c>
    </row>
    <row r="71" spans="1:8" s="18" customFormat="1" x14ac:dyDescent="0.25">
      <c r="A71" s="10">
        <v>68</v>
      </c>
      <c r="B71" s="11">
        <v>45887</v>
      </c>
      <c r="C71" s="12" t="s">
        <v>242</v>
      </c>
      <c r="D71" s="13" t="s">
        <v>11</v>
      </c>
      <c r="E71" s="13" t="s">
        <v>13</v>
      </c>
      <c r="F71" s="15" t="s">
        <v>14</v>
      </c>
      <c r="G71" s="16">
        <v>13</v>
      </c>
      <c r="H71" s="26">
        <v>113785</v>
      </c>
    </row>
    <row r="72" spans="1:8" s="18" customFormat="1" x14ac:dyDescent="0.25">
      <c r="A72" s="10">
        <v>69</v>
      </c>
      <c r="B72" s="11">
        <v>45887</v>
      </c>
      <c r="C72" s="12" t="s">
        <v>243</v>
      </c>
      <c r="D72" s="13" t="s">
        <v>11</v>
      </c>
      <c r="E72" s="13" t="s">
        <v>13</v>
      </c>
      <c r="F72" s="15" t="s">
        <v>14</v>
      </c>
      <c r="G72" s="16">
        <v>13</v>
      </c>
      <c r="H72" s="26">
        <v>114950</v>
      </c>
    </row>
    <row r="73" spans="1:8" s="18" customFormat="1" x14ac:dyDescent="0.25">
      <c r="A73" s="10">
        <v>70</v>
      </c>
      <c r="B73" s="11">
        <v>45887</v>
      </c>
      <c r="C73" s="12" t="s">
        <v>244</v>
      </c>
      <c r="D73" s="13" t="s">
        <v>11</v>
      </c>
      <c r="E73" s="13" t="s">
        <v>13</v>
      </c>
      <c r="F73" s="15" t="s">
        <v>14</v>
      </c>
      <c r="G73" s="16">
        <v>13</v>
      </c>
      <c r="H73" s="26">
        <v>116100</v>
      </c>
    </row>
    <row r="74" spans="1:8" s="18" customFormat="1" x14ac:dyDescent="0.25">
      <c r="A74" s="10">
        <v>71</v>
      </c>
      <c r="B74" s="11">
        <v>45887</v>
      </c>
      <c r="C74" s="12" t="s">
        <v>245</v>
      </c>
      <c r="D74" s="13" t="s">
        <v>11</v>
      </c>
      <c r="E74" s="13" t="s">
        <v>13</v>
      </c>
      <c r="F74" s="15" t="s">
        <v>14</v>
      </c>
      <c r="G74" s="16">
        <v>13</v>
      </c>
      <c r="H74" s="26">
        <v>182425</v>
      </c>
    </row>
    <row r="75" spans="1:8" s="18" customFormat="1" x14ac:dyDescent="0.25">
      <c r="A75" s="10">
        <v>72</v>
      </c>
      <c r="B75" s="11">
        <v>45887</v>
      </c>
      <c r="C75" s="12" t="s">
        <v>246</v>
      </c>
      <c r="D75" s="13" t="s">
        <v>11</v>
      </c>
      <c r="E75" s="13" t="s">
        <v>13</v>
      </c>
      <c r="F75" s="15" t="s">
        <v>14</v>
      </c>
      <c r="G75" s="16">
        <v>13</v>
      </c>
      <c r="H75" s="26">
        <v>227570</v>
      </c>
    </row>
    <row r="76" spans="1:8" s="18" customFormat="1" x14ac:dyDescent="0.25">
      <c r="A76" s="10">
        <v>73</v>
      </c>
      <c r="B76" s="11">
        <v>45887</v>
      </c>
      <c r="C76" s="12" t="s">
        <v>247</v>
      </c>
      <c r="D76" s="13" t="s">
        <v>11</v>
      </c>
      <c r="E76" s="13" t="s">
        <v>13</v>
      </c>
      <c r="F76" s="15" t="s">
        <v>14</v>
      </c>
      <c r="G76" s="16">
        <v>13</v>
      </c>
      <c r="H76" s="26">
        <v>278700</v>
      </c>
    </row>
    <row r="77" spans="1:8" s="18" customFormat="1" x14ac:dyDescent="0.25">
      <c r="A77" s="10">
        <v>74</v>
      </c>
      <c r="B77" s="11">
        <v>45887</v>
      </c>
      <c r="C77" s="12" t="s">
        <v>248</v>
      </c>
      <c r="D77" s="13" t="s">
        <v>11</v>
      </c>
      <c r="E77" s="13" t="s">
        <v>13</v>
      </c>
      <c r="F77" s="15" t="s">
        <v>14</v>
      </c>
      <c r="G77" s="16">
        <v>13</v>
      </c>
      <c r="H77" s="26">
        <v>330625</v>
      </c>
    </row>
    <row r="78" spans="1:8" s="18" customFormat="1" x14ac:dyDescent="0.25">
      <c r="A78" s="10">
        <v>75</v>
      </c>
      <c r="B78" s="11">
        <v>45887</v>
      </c>
      <c r="C78" s="12" t="s">
        <v>249</v>
      </c>
      <c r="D78" s="13" t="s">
        <v>11</v>
      </c>
      <c r="E78" s="13" t="s">
        <v>13</v>
      </c>
      <c r="F78" s="15" t="s">
        <v>14</v>
      </c>
      <c r="G78" s="16">
        <v>13</v>
      </c>
      <c r="H78" s="26">
        <v>456250</v>
      </c>
    </row>
    <row r="79" spans="1:8" s="18" customFormat="1" x14ac:dyDescent="0.25">
      <c r="A79" s="10">
        <v>76</v>
      </c>
      <c r="B79" s="11">
        <v>45887</v>
      </c>
      <c r="C79" s="12" t="s">
        <v>250</v>
      </c>
      <c r="D79" s="13" t="s">
        <v>11</v>
      </c>
      <c r="E79" s="13" t="s">
        <v>13</v>
      </c>
      <c r="F79" s="15" t="s">
        <v>14</v>
      </c>
      <c r="G79" s="16">
        <v>13</v>
      </c>
      <c r="H79" s="26">
        <v>490250</v>
      </c>
    </row>
    <row r="80" spans="1:8" s="18" customFormat="1" x14ac:dyDescent="0.25">
      <c r="A80" s="10">
        <v>77</v>
      </c>
      <c r="B80" s="11">
        <v>45887</v>
      </c>
      <c r="C80" s="12" t="s">
        <v>251</v>
      </c>
      <c r="D80" s="13" t="s">
        <v>11</v>
      </c>
      <c r="E80" s="13" t="s">
        <v>13</v>
      </c>
      <c r="F80" s="15" t="s">
        <v>14</v>
      </c>
      <c r="G80" s="16">
        <v>13</v>
      </c>
      <c r="H80" s="26">
        <v>536250</v>
      </c>
    </row>
    <row r="81" spans="1:8" s="18" customFormat="1" x14ac:dyDescent="0.25">
      <c r="A81" s="10">
        <v>78</v>
      </c>
      <c r="B81" s="11">
        <v>45888</v>
      </c>
      <c r="C81" s="12" t="s">
        <v>252</v>
      </c>
      <c r="D81" s="13" t="s">
        <v>11</v>
      </c>
      <c r="E81" s="13" t="s">
        <v>13</v>
      </c>
      <c r="F81" s="15" t="s">
        <v>14</v>
      </c>
      <c r="G81" s="16">
        <v>12</v>
      </c>
      <c r="H81" s="26">
        <v>20350</v>
      </c>
    </row>
    <row r="82" spans="1:8" s="18" customFormat="1" x14ac:dyDescent="0.25">
      <c r="A82" s="10">
        <v>79</v>
      </c>
      <c r="B82" s="11">
        <v>45888</v>
      </c>
      <c r="C82" s="12" t="s">
        <v>253</v>
      </c>
      <c r="D82" s="13" t="s">
        <v>11</v>
      </c>
      <c r="E82" s="13" t="s">
        <v>13</v>
      </c>
      <c r="F82" s="15" t="s">
        <v>14</v>
      </c>
      <c r="G82" s="16">
        <v>12</v>
      </c>
      <c r="H82" s="26">
        <v>114950</v>
      </c>
    </row>
    <row r="83" spans="1:8" s="18" customFormat="1" x14ac:dyDescent="0.25">
      <c r="A83" s="10">
        <v>80</v>
      </c>
      <c r="B83" s="11">
        <v>45888</v>
      </c>
      <c r="C83" s="12" t="s">
        <v>254</v>
      </c>
      <c r="D83" s="13" t="s">
        <v>11</v>
      </c>
      <c r="E83" s="13" t="s">
        <v>13</v>
      </c>
      <c r="F83" s="15" t="s">
        <v>14</v>
      </c>
      <c r="G83" s="16">
        <v>12</v>
      </c>
      <c r="H83" s="26">
        <v>118425</v>
      </c>
    </row>
    <row r="84" spans="1:8" s="18" customFormat="1" x14ac:dyDescent="0.25">
      <c r="A84" s="10">
        <v>81</v>
      </c>
      <c r="B84" s="11">
        <v>45888</v>
      </c>
      <c r="C84" s="12" t="s">
        <v>255</v>
      </c>
      <c r="D84" s="13" t="s">
        <v>11</v>
      </c>
      <c r="E84" s="13" t="s">
        <v>13</v>
      </c>
      <c r="F84" s="15" t="s">
        <v>14</v>
      </c>
      <c r="G84" s="16">
        <v>12</v>
      </c>
      <c r="H84" s="26">
        <v>139350</v>
      </c>
    </row>
    <row r="85" spans="1:8" s="18" customFormat="1" x14ac:dyDescent="0.25">
      <c r="A85" s="10">
        <v>82</v>
      </c>
      <c r="B85" s="11">
        <v>45888</v>
      </c>
      <c r="C85" s="12" t="s">
        <v>256</v>
      </c>
      <c r="D85" s="13" t="s">
        <v>11</v>
      </c>
      <c r="E85" s="13" t="s">
        <v>13</v>
      </c>
      <c r="F85" s="15" t="s">
        <v>14</v>
      </c>
      <c r="G85" s="16">
        <v>12</v>
      </c>
      <c r="H85" s="26">
        <v>153950</v>
      </c>
    </row>
    <row r="86" spans="1:8" s="18" customFormat="1" x14ac:dyDescent="0.25">
      <c r="A86" s="10">
        <v>83</v>
      </c>
      <c r="B86" s="11">
        <v>45888</v>
      </c>
      <c r="C86" s="12" t="s">
        <v>257</v>
      </c>
      <c r="D86" s="13" t="s">
        <v>11</v>
      </c>
      <c r="E86" s="13" t="s">
        <v>13</v>
      </c>
      <c r="F86" s="15" t="s">
        <v>14</v>
      </c>
      <c r="G86" s="16">
        <v>12</v>
      </c>
      <c r="H86" s="26">
        <v>156735</v>
      </c>
    </row>
    <row r="87" spans="1:8" s="18" customFormat="1" x14ac:dyDescent="0.25">
      <c r="A87" s="10">
        <v>84</v>
      </c>
      <c r="B87" s="11">
        <v>45888</v>
      </c>
      <c r="C87" s="12" t="s">
        <v>258</v>
      </c>
      <c r="D87" s="13" t="s">
        <v>11</v>
      </c>
      <c r="E87" s="13" t="s">
        <v>13</v>
      </c>
      <c r="F87" s="15" t="s">
        <v>14</v>
      </c>
      <c r="G87" s="16">
        <v>12</v>
      </c>
      <c r="H87" s="26">
        <v>226395</v>
      </c>
    </row>
    <row r="88" spans="1:8" s="18" customFormat="1" x14ac:dyDescent="0.25">
      <c r="A88" s="10">
        <v>85</v>
      </c>
      <c r="B88" s="11">
        <v>45888</v>
      </c>
      <c r="C88" s="12" t="s">
        <v>259</v>
      </c>
      <c r="D88" s="13" t="s">
        <v>11</v>
      </c>
      <c r="E88" s="13" t="s">
        <v>13</v>
      </c>
      <c r="F88" s="15" t="s">
        <v>14</v>
      </c>
      <c r="G88" s="16">
        <v>12</v>
      </c>
      <c r="H88" s="26">
        <v>226395</v>
      </c>
    </row>
    <row r="89" spans="1:8" s="18" customFormat="1" x14ac:dyDescent="0.25">
      <c r="A89" s="10">
        <v>86</v>
      </c>
      <c r="B89" s="11">
        <v>45888</v>
      </c>
      <c r="C89" s="12" t="s">
        <v>260</v>
      </c>
      <c r="D89" s="13" t="s">
        <v>11</v>
      </c>
      <c r="E89" s="13" t="s">
        <v>13</v>
      </c>
      <c r="F89" s="15" t="s">
        <v>14</v>
      </c>
      <c r="G89" s="16">
        <v>12</v>
      </c>
      <c r="H89" s="26">
        <v>437400</v>
      </c>
    </row>
    <row r="90" spans="1:8" s="18" customFormat="1" x14ac:dyDescent="0.25">
      <c r="A90" s="10">
        <v>87</v>
      </c>
      <c r="B90" s="11">
        <v>45889</v>
      </c>
      <c r="C90" s="12" t="s">
        <v>261</v>
      </c>
      <c r="D90" s="13" t="s">
        <v>11</v>
      </c>
      <c r="E90" s="13" t="s">
        <v>13</v>
      </c>
      <c r="F90" s="15" t="s">
        <v>14</v>
      </c>
      <c r="G90" s="16">
        <v>11</v>
      </c>
      <c r="H90" s="26">
        <v>28235</v>
      </c>
    </row>
    <row r="91" spans="1:8" s="18" customFormat="1" x14ac:dyDescent="0.25">
      <c r="A91" s="10">
        <v>88</v>
      </c>
      <c r="B91" s="11">
        <v>45889</v>
      </c>
      <c r="C91" s="12" t="s">
        <v>262</v>
      </c>
      <c r="D91" s="13" t="s">
        <v>11</v>
      </c>
      <c r="E91" s="13" t="s">
        <v>13</v>
      </c>
      <c r="F91" s="15" t="s">
        <v>14</v>
      </c>
      <c r="G91" s="16">
        <v>11</v>
      </c>
      <c r="H91" s="26">
        <v>50475</v>
      </c>
    </row>
    <row r="92" spans="1:8" s="18" customFormat="1" x14ac:dyDescent="0.25">
      <c r="A92" s="10">
        <v>89</v>
      </c>
      <c r="B92" s="11">
        <v>45889</v>
      </c>
      <c r="C92" s="12" t="s">
        <v>263</v>
      </c>
      <c r="D92" s="13" t="s">
        <v>11</v>
      </c>
      <c r="E92" s="13" t="s">
        <v>13</v>
      </c>
      <c r="F92" s="15" t="s">
        <v>14</v>
      </c>
      <c r="G92" s="16">
        <v>11</v>
      </c>
      <c r="H92" s="26">
        <v>114145</v>
      </c>
    </row>
    <row r="93" spans="1:8" s="18" customFormat="1" x14ac:dyDescent="0.25">
      <c r="A93" s="10">
        <v>90</v>
      </c>
      <c r="B93" s="11">
        <v>45889</v>
      </c>
      <c r="C93" s="12" t="s">
        <v>264</v>
      </c>
      <c r="D93" s="13" t="s">
        <v>11</v>
      </c>
      <c r="E93" s="13" t="s">
        <v>13</v>
      </c>
      <c r="F93" s="15" t="s">
        <v>14</v>
      </c>
      <c r="G93" s="16">
        <v>11</v>
      </c>
      <c r="H93" s="26">
        <v>123175</v>
      </c>
    </row>
    <row r="94" spans="1:8" s="18" customFormat="1" x14ac:dyDescent="0.25">
      <c r="A94" s="10">
        <v>91</v>
      </c>
      <c r="B94" s="11">
        <v>45889</v>
      </c>
      <c r="C94" s="12" t="s">
        <v>265</v>
      </c>
      <c r="D94" s="13" t="s">
        <v>11</v>
      </c>
      <c r="E94" s="13" t="s">
        <v>13</v>
      </c>
      <c r="F94" s="15" t="s">
        <v>14</v>
      </c>
      <c r="G94" s="16">
        <v>11</v>
      </c>
      <c r="H94" s="26">
        <v>144185</v>
      </c>
    </row>
    <row r="95" spans="1:8" s="18" customFormat="1" x14ac:dyDescent="0.25">
      <c r="A95" s="10">
        <v>92</v>
      </c>
      <c r="B95" s="11">
        <v>45889</v>
      </c>
      <c r="C95" s="12" t="s">
        <v>266</v>
      </c>
      <c r="D95" s="13" t="s">
        <v>11</v>
      </c>
      <c r="E95" s="13" t="s">
        <v>13</v>
      </c>
      <c r="F95" s="15" t="s">
        <v>14</v>
      </c>
      <c r="G95" s="16">
        <v>11</v>
      </c>
      <c r="H95" s="26">
        <v>148990</v>
      </c>
    </row>
    <row r="96" spans="1:8" s="18" customFormat="1" x14ac:dyDescent="0.25">
      <c r="A96" s="10">
        <v>93</v>
      </c>
      <c r="B96" s="11">
        <v>45889</v>
      </c>
      <c r="C96" s="12" t="s">
        <v>267</v>
      </c>
      <c r="D96" s="13" t="s">
        <v>11</v>
      </c>
      <c r="E96" s="13" t="s">
        <v>13</v>
      </c>
      <c r="F96" s="15" t="s">
        <v>14</v>
      </c>
      <c r="G96" s="16">
        <v>11</v>
      </c>
      <c r="H96" s="26">
        <v>148990</v>
      </c>
    </row>
    <row r="97" spans="1:8" s="18" customFormat="1" x14ac:dyDescent="0.25">
      <c r="A97" s="10">
        <v>94</v>
      </c>
      <c r="B97" s="11">
        <v>45889</v>
      </c>
      <c r="C97" s="12" t="s">
        <v>268</v>
      </c>
      <c r="D97" s="13" t="s">
        <v>11</v>
      </c>
      <c r="E97" s="13" t="s">
        <v>13</v>
      </c>
      <c r="F97" s="15" t="s">
        <v>14</v>
      </c>
      <c r="G97" s="16">
        <v>11</v>
      </c>
      <c r="H97" s="26">
        <v>273945</v>
      </c>
    </row>
    <row r="98" spans="1:8" s="18" customFormat="1" x14ac:dyDescent="0.25">
      <c r="A98" s="10">
        <v>95</v>
      </c>
      <c r="B98" s="11">
        <v>45889</v>
      </c>
      <c r="C98" s="12" t="s">
        <v>269</v>
      </c>
      <c r="D98" s="13" t="s">
        <v>11</v>
      </c>
      <c r="E98" s="13" t="s">
        <v>13</v>
      </c>
      <c r="F98" s="15" t="s">
        <v>14</v>
      </c>
      <c r="G98" s="16">
        <v>11</v>
      </c>
      <c r="H98" s="26">
        <v>365390</v>
      </c>
    </row>
    <row r="99" spans="1:8" s="18" customFormat="1" x14ac:dyDescent="0.25">
      <c r="A99" s="10">
        <v>96</v>
      </c>
      <c r="B99" s="11">
        <v>45889</v>
      </c>
      <c r="C99" s="12" t="s">
        <v>270</v>
      </c>
      <c r="D99" s="13" t="s">
        <v>11</v>
      </c>
      <c r="E99" s="13" t="s">
        <v>13</v>
      </c>
      <c r="F99" s="15" t="s">
        <v>14</v>
      </c>
      <c r="G99" s="16">
        <v>11</v>
      </c>
      <c r="H99" s="26">
        <v>556950</v>
      </c>
    </row>
    <row r="100" spans="1:8" s="18" customFormat="1" x14ac:dyDescent="0.25">
      <c r="A100" s="10">
        <v>97</v>
      </c>
      <c r="B100" s="11">
        <v>45889</v>
      </c>
      <c r="C100" s="12" t="s">
        <v>271</v>
      </c>
      <c r="D100" s="13" t="s">
        <v>11</v>
      </c>
      <c r="E100" s="13" t="s">
        <v>13</v>
      </c>
      <c r="F100" s="15" t="s">
        <v>14</v>
      </c>
      <c r="G100" s="16">
        <v>11</v>
      </c>
      <c r="H100" s="26">
        <v>1540500</v>
      </c>
    </row>
    <row r="101" spans="1:8" s="18" customFormat="1" x14ac:dyDescent="0.25">
      <c r="A101" s="10">
        <v>98</v>
      </c>
      <c r="B101" s="11">
        <v>45891</v>
      </c>
      <c r="C101" s="12" t="s">
        <v>272</v>
      </c>
      <c r="D101" s="13" t="s">
        <v>11</v>
      </c>
      <c r="E101" s="13" t="s">
        <v>13</v>
      </c>
      <c r="F101" s="15" t="s">
        <v>14</v>
      </c>
      <c r="G101" s="16">
        <v>9</v>
      </c>
      <c r="H101" s="26">
        <v>18025</v>
      </c>
    </row>
    <row r="102" spans="1:8" s="18" customFormat="1" x14ac:dyDescent="0.25">
      <c r="A102" s="10">
        <v>99</v>
      </c>
      <c r="B102" s="11">
        <v>45891</v>
      </c>
      <c r="C102" s="12" t="s">
        <v>273</v>
      </c>
      <c r="D102" s="13" t="s">
        <v>11</v>
      </c>
      <c r="E102" s="13" t="s">
        <v>13</v>
      </c>
      <c r="F102" s="15" t="s">
        <v>14</v>
      </c>
      <c r="G102" s="16">
        <v>9</v>
      </c>
      <c r="H102" s="26">
        <v>28235</v>
      </c>
    </row>
    <row r="103" spans="1:8" s="18" customFormat="1" x14ac:dyDescent="0.25">
      <c r="A103" s="10">
        <v>100</v>
      </c>
      <c r="B103" s="11">
        <v>45891</v>
      </c>
      <c r="C103" s="12" t="s">
        <v>274</v>
      </c>
      <c r="D103" s="13" t="s">
        <v>11</v>
      </c>
      <c r="E103" s="13" t="s">
        <v>13</v>
      </c>
      <c r="F103" s="15" t="s">
        <v>14</v>
      </c>
      <c r="G103" s="16">
        <v>9</v>
      </c>
      <c r="H103" s="26">
        <v>80505</v>
      </c>
    </row>
    <row r="104" spans="1:8" s="18" customFormat="1" x14ac:dyDescent="0.25">
      <c r="A104" s="10">
        <v>101</v>
      </c>
      <c r="B104" s="11">
        <v>45891</v>
      </c>
      <c r="C104" s="12" t="s">
        <v>275</v>
      </c>
      <c r="D104" s="13" t="s">
        <v>11</v>
      </c>
      <c r="E104" s="13" t="s">
        <v>13</v>
      </c>
      <c r="F104" s="15" t="s">
        <v>14</v>
      </c>
      <c r="G104" s="16">
        <v>9</v>
      </c>
      <c r="H104" s="26">
        <v>81725</v>
      </c>
    </row>
    <row r="105" spans="1:8" s="18" customFormat="1" x14ac:dyDescent="0.25">
      <c r="A105" s="10">
        <v>102</v>
      </c>
      <c r="B105" s="11">
        <v>45891</v>
      </c>
      <c r="C105" s="12" t="s">
        <v>276</v>
      </c>
      <c r="D105" s="13" t="s">
        <v>11</v>
      </c>
      <c r="E105" s="13" t="s">
        <v>13</v>
      </c>
      <c r="F105" s="15" t="s">
        <v>14</v>
      </c>
      <c r="G105" s="16">
        <v>9</v>
      </c>
      <c r="H105" s="26">
        <v>91315</v>
      </c>
    </row>
    <row r="106" spans="1:8" s="18" customFormat="1" x14ac:dyDescent="0.25">
      <c r="A106" s="10">
        <v>103</v>
      </c>
      <c r="B106" s="11">
        <v>45891</v>
      </c>
      <c r="C106" s="12" t="s">
        <v>277</v>
      </c>
      <c r="D106" s="13" t="s">
        <v>11</v>
      </c>
      <c r="E106" s="13" t="s">
        <v>13</v>
      </c>
      <c r="F106" s="15" t="s">
        <v>14</v>
      </c>
      <c r="G106" s="16">
        <v>9</v>
      </c>
      <c r="H106" s="26">
        <v>112945</v>
      </c>
    </row>
    <row r="107" spans="1:8" s="18" customFormat="1" x14ac:dyDescent="0.25">
      <c r="A107" s="10">
        <v>104</v>
      </c>
      <c r="B107" s="11">
        <v>45891</v>
      </c>
      <c r="C107" s="12" t="s">
        <v>278</v>
      </c>
      <c r="D107" s="13" t="s">
        <v>11</v>
      </c>
      <c r="E107" s="13" t="s">
        <v>13</v>
      </c>
      <c r="F107" s="15" t="s">
        <v>14</v>
      </c>
      <c r="G107" s="16">
        <v>9</v>
      </c>
      <c r="H107" s="26">
        <v>148990</v>
      </c>
    </row>
    <row r="108" spans="1:8" s="18" customFormat="1" x14ac:dyDescent="0.25">
      <c r="A108" s="10">
        <v>105</v>
      </c>
      <c r="B108" s="11">
        <v>45891</v>
      </c>
      <c r="C108" s="12" t="s">
        <v>279</v>
      </c>
      <c r="D108" s="13" t="s">
        <v>11</v>
      </c>
      <c r="E108" s="13" t="s">
        <v>13</v>
      </c>
      <c r="F108" s="15" t="s">
        <v>14</v>
      </c>
      <c r="G108" s="16">
        <v>9</v>
      </c>
      <c r="H108" s="26">
        <v>156200</v>
      </c>
    </row>
    <row r="109" spans="1:8" s="18" customFormat="1" x14ac:dyDescent="0.25">
      <c r="A109" s="10">
        <v>106</v>
      </c>
      <c r="B109" s="11">
        <v>45891</v>
      </c>
      <c r="C109" s="12" t="s">
        <v>280</v>
      </c>
      <c r="D109" s="13" t="s">
        <v>11</v>
      </c>
      <c r="E109" s="13" t="s">
        <v>13</v>
      </c>
      <c r="F109" s="15" t="s">
        <v>14</v>
      </c>
      <c r="G109" s="16">
        <v>9</v>
      </c>
      <c r="H109" s="26">
        <v>192245</v>
      </c>
    </row>
    <row r="110" spans="1:8" s="18" customFormat="1" x14ac:dyDescent="0.25">
      <c r="A110" s="10">
        <v>107</v>
      </c>
      <c r="B110" s="11">
        <v>45891</v>
      </c>
      <c r="C110" s="12" t="s">
        <v>281</v>
      </c>
      <c r="D110" s="13" t="s">
        <v>11</v>
      </c>
      <c r="E110" s="13" t="s">
        <v>13</v>
      </c>
      <c r="F110" s="15" t="s">
        <v>14</v>
      </c>
      <c r="G110" s="16">
        <v>9</v>
      </c>
      <c r="H110" s="26">
        <v>225890</v>
      </c>
    </row>
    <row r="111" spans="1:8" s="18" customFormat="1" x14ac:dyDescent="0.25">
      <c r="A111" s="10">
        <v>108</v>
      </c>
      <c r="B111" s="11">
        <v>45891</v>
      </c>
      <c r="C111" s="12" t="s">
        <v>282</v>
      </c>
      <c r="D111" s="13" t="s">
        <v>11</v>
      </c>
      <c r="E111" s="13" t="s">
        <v>13</v>
      </c>
      <c r="F111" s="15" t="s">
        <v>14</v>
      </c>
      <c r="G111" s="16">
        <v>9</v>
      </c>
      <c r="H111" s="26">
        <v>225890</v>
      </c>
    </row>
    <row r="112" spans="1:8" s="18" customFormat="1" x14ac:dyDescent="0.25">
      <c r="A112" s="10">
        <v>109</v>
      </c>
      <c r="B112" s="11">
        <v>45891</v>
      </c>
      <c r="C112" s="12" t="s">
        <v>283</v>
      </c>
      <c r="D112" s="13" t="s">
        <v>11</v>
      </c>
      <c r="E112" s="13" t="s">
        <v>13</v>
      </c>
      <c r="F112" s="15" t="s">
        <v>14</v>
      </c>
      <c r="G112" s="16">
        <v>9</v>
      </c>
      <c r="H112" s="26">
        <v>234295</v>
      </c>
    </row>
    <row r="113" spans="1:8" s="18" customFormat="1" x14ac:dyDescent="0.25">
      <c r="A113" s="10">
        <v>110</v>
      </c>
      <c r="B113" s="11">
        <v>45891</v>
      </c>
      <c r="C113" s="12" t="s">
        <v>284</v>
      </c>
      <c r="D113" s="13" t="s">
        <v>11</v>
      </c>
      <c r="E113" s="13" t="s">
        <v>13</v>
      </c>
      <c r="F113" s="15" t="s">
        <v>14</v>
      </c>
      <c r="G113" s="16">
        <v>9</v>
      </c>
      <c r="H113" s="26">
        <v>270340</v>
      </c>
    </row>
    <row r="114" spans="1:8" s="18" customFormat="1" x14ac:dyDescent="0.25">
      <c r="A114" s="10">
        <v>111</v>
      </c>
      <c r="B114" s="11">
        <v>45891</v>
      </c>
      <c r="C114" s="12" t="s">
        <v>285</v>
      </c>
      <c r="D114" s="13" t="s">
        <v>11</v>
      </c>
      <c r="E114" s="13" t="s">
        <v>13</v>
      </c>
      <c r="F114" s="15" t="s">
        <v>14</v>
      </c>
      <c r="G114" s="16">
        <v>9</v>
      </c>
      <c r="H114" s="26">
        <v>310050</v>
      </c>
    </row>
    <row r="115" spans="1:8" s="18" customFormat="1" x14ac:dyDescent="0.25">
      <c r="A115" s="10">
        <v>112</v>
      </c>
      <c r="B115" s="11">
        <v>45891</v>
      </c>
      <c r="C115" s="12" t="s">
        <v>286</v>
      </c>
      <c r="D115" s="13" t="s">
        <v>11</v>
      </c>
      <c r="E115" s="13" t="s">
        <v>13</v>
      </c>
      <c r="F115" s="15" t="s">
        <v>14</v>
      </c>
      <c r="G115" s="16">
        <v>9</v>
      </c>
      <c r="H115" s="26">
        <v>948000</v>
      </c>
    </row>
    <row r="116" spans="1:8" s="18" customFormat="1" x14ac:dyDescent="0.25">
      <c r="A116" s="10">
        <v>113</v>
      </c>
      <c r="B116" s="11">
        <v>45891</v>
      </c>
      <c r="C116" s="12" t="s">
        <v>287</v>
      </c>
      <c r="D116" s="13" t="s">
        <v>11</v>
      </c>
      <c r="E116" s="13" t="s">
        <v>13</v>
      </c>
      <c r="F116" s="15" t="s">
        <v>14</v>
      </c>
      <c r="G116" s="16">
        <v>9</v>
      </c>
      <c r="H116" s="26">
        <v>1173750</v>
      </c>
    </row>
    <row r="117" spans="1:8" s="18" customFormat="1" x14ac:dyDescent="0.25">
      <c r="A117" s="10">
        <v>114</v>
      </c>
      <c r="B117" s="11">
        <v>45892</v>
      </c>
      <c r="C117" s="12" t="s">
        <v>288</v>
      </c>
      <c r="D117" s="13" t="s">
        <v>11</v>
      </c>
      <c r="E117" s="13" t="s">
        <v>13</v>
      </c>
      <c r="F117" s="15" t="s">
        <v>14</v>
      </c>
      <c r="G117" s="16">
        <v>8</v>
      </c>
      <c r="H117" s="26">
        <v>33045</v>
      </c>
    </row>
    <row r="118" spans="1:8" s="18" customFormat="1" x14ac:dyDescent="0.25">
      <c r="A118" s="10">
        <v>115</v>
      </c>
      <c r="B118" s="11">
        <v>45892</v>
      </c>
      <c r="C118" s="12" t="s">
        <v>289</v>
      </c>
      <c r="D118" s="13" t="s">
        <v>11</v>
      </c>
      <c r="E118" s="13" t="s">
        <v>13</v>
      </c>
      <c r="F118" s="15" t="s">
        <v>14</v>
      </c>
      <c r="G118" s="16">
        <v>8</v>
      </c>
      <c r="H118" s="26">
        <v>88875</v>
      </c>
    </row>
    <row r="119" spans="1:8" s="18" customFormat="1" x14ac:dyDescent="0.25">
      <c r="A119" s="10">
        <v>116</v>
      </c>
      <c r="B119" s="11">
        <v>45892</v>
      </c>
      <c r="C119" s="12" t="s">
        <v>290</v>
      </c>
      <c r="D119" s="13" t="s">
        <v>11</v>
      </c>
      <c r="E119" s="13" t="s">
        <v>13</v>
      </c>
      <c r="F119" s="15" t="s">
        <v>14</v>
      </c>
      <c r="G119" s="16">
        <v>8</v>
      </c>
      <c r="H119" s="26">
        <v>96125</v>
      </c>
    </row>
    <row r="120" spans="1:8" s="18" customFormat="1" x14ac:dyDescent="0.25">
      <c r="A120" s="10">
        <v>117</v>
      </c>
      <c r="B120" s="11">
        <v>45892</v>
      </c>
      <c r="C120" s="12" t="s">
        <v>291</v>
      </c>
      <c r="D120" s="13" t="s">
        <v>11</v>
      </c>
      <c r="E120" s="13" t="s">
        <v>13</v>
      </c>
      <c r="F120" s="15" t="s">
        <v>14</v>
      </c>
      <c r="G120" s="16">
        <v>8</v>
      </c>
      <c r="H120" s="26">
        <v>234295</v>
      </c>
    </row>
    <row r="121" spans="1:8" s="18" customFormat="1" x14ac:dyDescent="0.25">
      <c r="A121" s="10">
        <v>118</v>
      </c>
      <c r="B121" s="11">
        <v>45892</v>
      </c>
      <c r="C121" s="12" t="s">
        <v>292</v>
      </c>
      <c r="D121" s="13" t="s">
        <v>11</v>
      </c>
      <c r="E121" s="13" t="s">
        <v>13</v>
      </c>
      <c r="F121" s="15" t="s">
        <v>14</v>
      </c>
      <c r="G121" s="16">
        <v>8</v>
      </c>
      <c r="H121" s="26">
        <v>234295</v>
      </c>
    </row>
    <row r="122" spans="1:8" s="18" customFormat="1" x14ac:dyDescent="0.25">
      <c r="A122" s="10">
        <v>119</v>
      </c>
      <c r="B122" s="11">
        <v>45892</v>
      </c>
      <c r="C122" s="12" t="s">
        <v>293</v>
      </c>
      <c r="D122" s="13" t="s">
        <v>11</v>
      </c>
      <c r="E122" s="13" t="s">
        <v>13</v>
      </c>
      <c r="F122" s="15" t="s">
        <v>14</v>
      </c>
      <c r="G122" s="16">
        <v>8</v>
      </c>
      <c r="H122" s="26">
        <v>413400</v>
      </c>
    </row>
    <row r="123" spans="1:8" s="18" customFormat="1" x14ac:dyDescent="0.25">
      <c r="A123" s="10">
        <v>120</v>
      </c>
      <c r="B123" s="11">
        <v>45894</v>
      </c>
      <c r="C123" s="12" t="s">
        <v>294</v>
      </c>
      <c r="D123" s="13" t="s">
        <v>11</v>
      </c>
      <c r="E123" s="13" t="s">
        <v>13</v>
      </c>
      <c r="F123" s="15" t="s">
        <v>14</v>
      </c>
      <c r="G123" s="16">
        <v>6</v>
      </c>
      <c r="H123" s="26">
        <v>18025</v>
      </c>
    </row>
    <row r="124" spans="1:8" s="18" customFormat="1" x14ac:dyDescent="0.25">
      <c r="A124" s="10">
        <v>121</v>
      </c>
      <c r="B124" s="11">
        <v>45894</v>
      </c>
      <c r="C124" s="12" t="s">
        <v>295</v>
      </c>
      <c r="D124" s="13" t="s">
        <v>11</v>
      </c>
      <c r="E124" s="13" t="s">
        <v>13</v>
      </c>
      <c r="F124" s="15" t="s">
        <v>14</v>
      </c>
      <c r="G124" s="16">
        <v>6</v>
      </c>
      <c r="H124" s="26">
        <v>33645</v>
      </c>
    </row>
    <row r="125" spans="1:8" s="18" customFormat="1" x14ac:dyDescent="0.25">
      <c r="A125" s="10">
        <v>122</v>
      </c>
      <c r="B125" s="11">
        <v>45894</v>
      </c>
      <c r="C125" s="12" t="s">
        <v>296</v>
      </c>
      <c r="D125" s="13" t="s">
        <v>11</v>
      </c>
      <c r="E125" s="13" t="s">
        <v>13</v>
      </c>
      <c r="F125" s="15" t="s">
        <v>14</v>
      </c>
      <c r="G125" s="16">
        <v>6</v>
      </c>
      <c r="H125" s="26">
        <v>33645</v>
      </c>
    </row>
    <row r="126" spans="1:8" s="18" customFormat="1" x14ac:dyDescent="0.25">
      <c r="A126" s="10">
        <v>123</v>
      </c>
      <c r="B126" s="11">
        <v>45894</v>
      </c>
      <c r="C126" s="12" t="s">
        <v>297</v>
      </c>
      <c r="D126" s="13" t="s">
        <v>11</v>
      </c>
      <c r="E126" s="13" t="s">
        <v>13</v>
      </c>
      <c r="F126" s="15" t="s">
        <v>14</v>
      </c>
      <c r="G126" s="16">
        <v>6</v>
      </c>
      <c r="H126" s="26">
        <v>42075</v>
      </c>
    </row>
    <row r="127" spans="1:8" s="18" customFormat="1" x14ac:dyDescent="0.25">
      <c r="A127" s="10">
        <v>124</v>
      </c>
      <c r="B127" s="11">
        <v>45894</v>
      </c>
      <c r="C127" s="12" t="s">
        <v>298</v>
      </c>
      <c r="D127" s="13" t="s">
        <v>11</v>
      </c>
      <c r="E127" s="13" t="s">
        <v>13</v>
      </c>
      <c r="F127" s="15" t="s">
        <v>14</v>
      </c>
      <c r="G127" s="16">
        <v>6</v>
      </c>
      <c r="H127" s="26">
        <v>80501</v>
      </c>
    </row>
    <row r="128" spans="1:8" s="18" customFormat="1" x14ac:dyDescent="0.25">
      <c r="A128" s="10">
        <v>125</v>
      </c>
      <c r="B128" s="11">
        <v>45894</v>
      </c>
      <c r="C128" s="12" t="s">
        <v>299</v>
      </c>
      <c r="D128" s="13" t="s">
        <v>11</v>
      </c>
      <c r="E128" s="13" t="s">
        <v>13</v>
      </c>
      <c r="F128" s="15" t="s">
        <v>14</v>
      </c>
      <c r="G128" s="16">
        <v>6</v>
      </c>
      <c r="H128" s="26">
        <v>80501</v>
      </c>
    </row>
    <row r="129" spans="1:8" s="18" customFormat="1" x14ac:dyDescent="0.25">
      <c r="A129" s="10">
        <v>126</v>
      </c>
      <c r="B129" s="11">
        <v>45894</v>
      </c>
      <c r="C129" s="12" t="s">
        <v>300</v>
      </c>
      <c r="D129" s="13" t="s">
        <v>11</v>
      </c>
      <c r="E129" s="13" t="s">
        <v>13</v>
      </c>
      <c r="F129" s="15" t="s">
        <v>14</v>
      </c>
      <c r="G129" s="16">
        <v>6</v>
      </c>
      <c r="H129" s="26">
        <v>82905</v>
      </c>
    </row>
    <row r="130" spans="1:8" s="18" customFormat="1" x14ac:dyDescent="0.25">
      <c r="A130" s="10">
        <v>127</v>
      </c>
      <c r="B130" s="11">
        <v>45894</v>
      </c>
      <c r="C130" s="12" t="s">
        <v>301</v>
      </c>
      <c r="D130" s="13" t="s">
        <v>11</v>
      </c>
      <c r="E130" s="13" t="s">
        <v>13</v>
      </c>
      <c r="F130" s="15" t="s">
        <v>14</v>
      </c>
      <c r="G130" s="16">
        <v>6</v>
      </c>
      <c r="H130" s="26">
        <v>94925</v>
      </c>
    </row>
    <row r="131" spans="1:8" s="18" customFormat="1" x14ac:dyDescent="0.25">
      <c r="A131" s="10">
        <v>128</v>
      </c>
      <c r="B131" s="11">
        <v>45894</v>
      </c>
      <c r="C131" s="12" t="s">
        <v>302</v>
      </c>
      <c r="D131" s="13" t="s">
        <v>11</v>
      </c>
      <c r="E131" s="13" t="s">
        <v>13</v>
      </c>
      <c r="F131" s="15" t="s">
        <v>14</v>
      </c>
      <c r="G131" s="16">
        <v>6</v>
      </c>
      <c r="H131" s="26">
        <v>106935</v>
      </c>
    </row>
    <row r="132" spans="1:8" s="18" customFormat="1" x14ac:dyDescent="0.25">
      <c r="A132" s="10">
        <v>129</v>
      </c>
      <c r="B132" s="11">
        <v>45894</v>
      </c>
      <c r="C132" s="12" t="s">
        <v>303</v>
      </c>
      <c r="D132" s="13" t="s">
        <v>11</v>
      </c>
      <c r="E132" s="13" t="s">
        <v>13</v>
      </c>
      <c r="F132" s="15" t="s">
        <v>14</v>
      </c>
      <c r="G132" s="16">
        <v>6</v>
      </c>
      <c r="H132" s="26">
        <v>108135</v>
      </c>
    </row>
    <row r="133" spans="1:8" s="18" customFormat="1" x14ac:dyDescent="0.25">
      <c r="A133" s="10">
        <v>130</v>
      </c>
      <c r="B133" s="11">
        <v>45894</v>
      </c>
      <c r="C133" s="12" t="s">
        <v>304</v>
      </c>
      <c r="D133" s="13" t="s">
        <v>11</v>
      </c>
      <c r="E133" s="13" t="s">
        <v>13</v>
      </c>
      <c r="F133" s="15" t="s">
        <v>14</v>
      </c>
      <c r="G133" s="16">
        <v>6</v>
      </c>
      <c r="H133" s="26">
        <v>112945</v>
      </c>
    </row>
    <row r="134" spans="1:8" s="18" customFormat="1" x14ac:dyDescent="0.25">
      <c r="A134" s="10">
        <v>131</v>
      </c>
      <c r="B134" s="11">
        <v>45894</v>
      </c>
      <c r="C134" s="12" t="s">
        <v>305</v>
      </c>
      <c r="D134" s="13" t="s">
        <v>11</v>
      </c>
      <c r="E134" s="13" t="s">
        <v>13</v>
      </c>
      <c r="F134" s="15" t="s">
        <v>14</v>
      </c>
      <c r="G134" s="16">
        <v>6</v>
      </c>
      <c r="H134" s="26">
        <v>112945</v>
      </c>
    </row>
    <row r="135" spans="1:8" s="18" customFormat="1" x14ac:dyDescent="0.25">
      <c r="A135" s="10">
        <v>132</v>
      </c>
      <c r="B135" s="11">
        <v>45894</v>
      </c>
      <c r="C135" s="12" t="s">
        <v>306</v>
      </c>
      <c r="D135" s="13" t="s">
        <v>11</v>
      </c>
      <c r="E135" s="13" t="s">
        <v>13</v>
      </c>
      <c r="F135" s="15" t="s">
        <v>14</v>
      </c>
      <c r="G135" s="16">
        <v>6</v>
      </c>
      <c r="H135" s="26">
        <v>118950</v>
      </c>
    </row>
    <row r="136" spans="1:8" s="18" customFormat="1" x14ac:dyDescent="0.25">
      <c r="A136" s="10">
        <v>133</v>
      </c>
      <c r="B136" s="11">
        <v>45894</v>
      </c>
      <c r="C136" s="12" t="s">
        <v>307</v>
      </c>
      <c r="D136" s="13" t="s">
        <v>11</v>
      </c>
      <c r="E136" s="13" t="s">
        <v>13</v>
      </c>
      <c r="F136" s="15" t="s">
        <v>14</v>
      </c>
      <c r="G136" s="16">
        <v>6</v>
      </c>
      <c r="H136" s="26">
        <v>118950</v>
      </c>
    </row>
    <row r="137" spans="1:8" s="18" customFormat="1" x14ac:dyDescent="0.25">
      <c r="A137" s="10">
        <v>134</v>
      </c>
      <c r="B137" s="11">
        <v>45894</v>
      </c>
      <c r="C137" s="12" t="s">
        <v>308</v>
      </c>
      <c r="D137" s="13" t="s">
        <v>11</v>
      </c>
      <c r="E137" s="13" t="s">
        <v>13</v>
      </c>
      <c r="F137" s="15" t="s">
        <v>14</v>
      </c>
      <c r="G137" s="16">
        <v>6</v>
      </c>
      <c r="H137" s="26">
        <v>148990</v>
      </c>
    </row>
    <row r="138" spans="1:8" s="18" customFormat="1" x14ac:dyDescent="0.25">
      <c r="A138" s="10">
        <v>135</v>
      </c>
      <c r="B138" s="11">
        <v>45894</v>
      </c>
      <c r="C138" s="12" t="s">
        <v>309</v>
      </c>
      <c r="D138" s="13" t="s">
        <v>11</v>
      </c>
      <c r="E138" s="13" t="s">
        <v>13</v>
      </c>
      <c r="F138" s="15" t="s">
        <v>14</v>
      </c>
      <c r="G138" s="16">
        <v>6</v>
      </c>
      <c r="H138" s="26">
        <v>154050</v>
      </c>
    </row>
    <row r="139" spans="1:8" s="18" customFormat="1" x14ac:dyDescent="0.25">
      <c r="A139" s="10">
        <v>136</v>
      </c>
      <c r="B139" s="11">
        <v>45894</v>
      </c>
      <c r="C139" s="12" t="s">
        <v>310</v>
      </c>
      <c r="D139" s="13" t="s">
        <v>11</v>
      </c>
      <c r="E139" s="13" t="s">
        <v>13</v>
      </c>
      <c r="F139" s="15" t="s">
        <v>14</v>
      </c>
      <c r="G139" s="16">
        <v>6</v>
      </c>
      <c r="H139" s="26">
        <v>162206</v>
      </c>
    </row>
    <row r="140" spans="1:8" s="18" customFormat="1" x14ac:dyDescent="0.25">
      <c r="A140" s="10">
        <v>137</v>
      </c>
      <c r="B140" s="11">
        <v>45894</v>
      </c>
      <c r="C140" s="12" t="s">
        <v>311</v>
      </c>
      <c r="D140" s="13" t="s">
        <v>11</v>
      </c>
      <c r="E140" s="13" t="s">
        <v>13</v>
      </c>
      <c r="F140" s="15" t="s">
        <v>14</v>
      </c>
      <c r="G140" s="16">
        <v>6</v>
      </c>
      <c r="H140" s="26">
        <v>177750</v>
      </c>
    </row>
    <row r="141" spans="1:8" s="18" customFormat="1" x14ac:dyDescent="0.25">
      <c r="A141" s="10">
        <v>138</v>
      </c>
      <c r="B141" s="11">
        <v>45894</v>
      </c>
      <c r="C141" s="12" t="s">
        <v>312</v>
      </c>
      <c r="D141" s="13" t="s">
        <v>11</v>
      </c>
      <c r="E141" s="13" t="s">
        <v>13</v>
      </c>
      <c r="F141" s="15" t="s">
        <v>14</v>
      </c>
      <c r="G141" s="16">
        <v>6</v>
      </c>
      <c r="H141" s="26">
        <v>234295</v>
      </c>
    </row>
    <row r="142" spans="1:8" s="18" customFormat="1" x14ac:dyDescent="0.25">
      <c r="A142" s="10">
        <v>139</v>
      </c>
      <c r="B142" s="11">
        <v>45894</v>
      </c>
      <c r="C142" s="12" t="s">
        <v>313</v>
      </c>
      <c r="D142" s="13" t="s">
        <v>11</v>
      </c>
      <c r="E142" s="13" t="s">
        <v>13</v>
      </c>
      <c r="F142" s="15" t="s">
        <v>14</v>
      </c>
      <c r="G142" s="16">
        <v>6</v>
      </c>
      <c r="H142" s="26">
        <v>234295</v>
      </c>
    </row>
    <row r="143" spans="1:8" s="18" customFormat="1" x14ac:dyDescent="0.25">
      <c r="A143" s="10">
        <v>140</v>
      </c>
      <c r="B143" s="11">
        <v>45894</v>
      </c>
      <c r="C143" s="12" t="s">
        <v>314</v>
      </c>
      <c r="D143" s="13" t="s">
        <v>11</v>
      </c>
      <c r="E143" s="13" t="s">
        <v>13</v>
      </c>
      <c r="F143" s="15" t="s">
        <v>14</v>
      </c>
      <c r="G143" s="16">
        <v>6</v>
      </c>
      <c r="H143" s="26">
        <v>260750</v>
      </c>
    </row>
    <row r="144" spans="1:8" s="18" customFormat="1" x14ac:dyDescent="0.25">
      <c r="A144" s="10">
        <v>141</v>
      </c>
      <c r="B144" s="11">
        <v>45894</v>
      </c>
      <c r="C144" s="12" t="s">
        <v>315</v>
      </c>
      <c r="D144" s="13" t="s">
        <v>11</v>
      </c>
      <c r="E144" s="13" t="s">
        <v>13</v>
      </c>
      <c r="F144" s="15" t="s">
        <v>14</v>
      </c>
      <c r="G144" s="16">
        <v>6</v>
      </c>
      <c r="H144" s="26">
        <v>272760</v>
      </c>
    </row>
    <row r="145" spans="1:8" s="18" customFormat="1" x14ac:dyDescent="0.25">
      <c r="A145" s="10">
        <v>142</v>
      </c>
      <c r="B145" s="11">
        <v>45894</v>
      </c>
      <c r="C145" s="12" t="s">
        <v>316</v>
      </c>
      <c r="D145" s="13" t="s">
        <v>11</v>
      </c>
      <c r="E145" s="13" t="s">
        <v>13</v>
      </c>
      <c r="F145" s="15" t="s">
        <v>14</v>
      </c>
      <c r="G145" s="16">
        <v>6</v>
      </c>
      <c r="H145" s="26">
        <v>472875</v>
      </c>
    </row>
    <row r="146" spans="1:8" s="18" customFormat="1" x14ac:dyDescent="0.25">
      <c r="A146" s="10">
        <v>143</v>
      </c>
      <c r="B146" s="11">
        <v>45894</v>
      </c>
      <c r="C146" s="12" t="s">
        <v>317</v>
      </c>
      <c r="D146" s="13" t="s">
        <v>11</v>
      </c>
      <c r="E146" s="13" t="s">
        <v>13</v>
      </c>
      <c r="F146" s="15" t="s">
        <v>14</v>
      </c>
      <c r="G146" s="16">
        <v>6</v>
      </c>
      <c r="H146" s="26">
        <v>639900</v>
      </c>
    </row>
    <row r="147" spans="1:8" s="18" customFormat="1" x14ac:dyDescent="0.25">
      <c r="A147" s="10">
        <v>144</v>
      </c>
      <c r="B147" s="11">
        <v>45894</v>
      </c>
      <c r="C147" s="12" t="s">
        <v>318</v>
      </c>
      <c r="D147" s="13" t="s">
        <v>11</v>
      </c>
      <c r="E147" s="13" t="s">
        <v>13</v>
      </c>
      <c r="F147" s="15" t="s">
        <v>14</v>
      </c>
      <c r="G147" s="16">
        <v>6</v>
      </c>
      <c r="H147" s="26">
        <v>746625</v>
      </c>
    </row>
    <row r="148" spans="1:8" s="18" customFormat="1" x14ac:dyDescent="0.25">
      <c r="A148" s="10">
        <v>145</v>
      </c>
      <c r="B148" s="11">
        <v>45894</v>
      </c>
      <c r="C148" s="12" t="s">
        <v>319</v>
      </c>
      <c r="D148" s="13" t="s">
        <v>11</v>
      </c>
      <c r="E148" s="13" t="s">
        <v>13</v>
      </c>
      <c r="F148" s="15" t="s">
        <v>14</v>
      </c>
      <c r="G148" s="16">
        <v>6</v>
      </c>
      <c r="H148" s="26">
        <v>1225290</v>
      </c>
    </row>
    <row r="149" spans="1:8" s="18" customFormat="1" x14ac:dyDescent="0.25">
      <c r="A149" s="10">
        <v>146</v>
      </c>
      <c r="B149" s="11">
        <v>45894</v>
      </c>
      <c r="C149" s="12" t="s">
        <v>320</v>
      </c>
      <c r="D149" s="13" t="s">
        <v>11</v>
      </c>
      <c r="E149" s="13" t="s">
        <v>13</v>
      </c>
      <c r="F149" s="15" t="s">
        <v>14</v>
      </c>
      <c r="G149" s="16">
        <v>6</v>
      </c>
      <c r="H149" s="26">
        <v>1599750</v>
      </c>
    </row>
    <row r="150" spans="1:8" s="18" customFormat="1" x14ac:dyDescent="0.25">
      <c r="A150" s="10">
        <v>147</v>
      </c>
      <c r="B150" s="11">
        <v>45894</v>
      </c>
      <c r="C150" s="12" t="s">
        <v>322</v>
      </c>
      <c r="D150" s="13" t="s">
        <v>11</v>
      </c>
      <c r="E150" s="13" t="s">
        <v>13</v>
      </c>
      <c r="F150" s="15" t="s">
        <v>14</v>
      </c>
      <c r="G150" s="16">
        <v>6</v>
      </c>
      <c r="H150" s="26">
        <v>2251500</v>
      </c>
    </row>
    <row r="151" spans="1:8" s="18" customFormat="1" x14ac:dyDescent="0.25">
      <c r="A151" s="10">
        <v>148</v>
      </c>
      <c r="B151" s="11">
        <v>45895</v>
      </c>
      <c r="C151" s="12" t="s">
        <v>323</v>
      </c>
      <c r="D151" s="13" t="s">
        <v>11</v>
      </c>
      <c r="E151" s="13" t="s">
        <v>13</v>
      </c>
      <c r="F151" s="15" t="s">
        <v>14</v>
      </c>
      <c r="G151" s="16">
        <v>5</v>
      </c>
      <c r="H151" s="26">
        <v>53475</v>
      </c>
    </row>
    <row r="152" spans="1:8" s="18" customFormat="1" x14ac:dyDescent="0.25">
      <c r="A152" s="10">
        <v>149</v>
      </c>
      <c r="B152" s="11">
        <v>45895</v>
      </c>
      <c r="C152" s="12" t="s">
        <v>324</v>
      </c>
      <c r="D152" s="13" t="s">
        <v>11</v>
      </c>
      <c r="E152" s="13" t="s">
        <v>13</v>
      </c>
      <c r="F152" s="15" t="s">
        <v>14</v>
      </c>
      <c r="G152" s="16">
        <v>5</v>
      </c>
      <c r="H152" s="26">
        <v>55275</v>
      </c>
    </row>
    <row r="153" spans="1:8" s="18" customFormat="1" x14ac:dyDescent="0.25">
      <c r="A153" s="10">
        <v>150</v>
      </c>
      <c r="B153" s="11">
        <v>45895</v>
      </c>
      <c r="C153" s="12" t="s">
        <v>325</v>
      </c>
      <c r="D153" s="13" t="s">
        <v>11</v>
      </c>
      <c r="E153" s="13" t="s">
        <v>13</v>
      </c>
      <c r="F153" s="15" t="s">
        <v>14</v>
      </c>
      <c r="G153" s="16">
        <v>5</v>
      </c>
      <c r="H153" s="26">
        <v>80501</v>
      </c>
    </row>
    <row r="154" spans="1:8" s="18" customFormat="1" x14ac:dyDescent="0.25">
      <c r="A154" s="10">
        <v>151</v>
      </c>
      <c r="B154" s="11">
        <v>45895</v>
      </c>
      <c r="C154" s="12" t="s">
        <v>326</v>
      </c>
      <c r="D154" s="13" t="s">
        <v>11</v>
      </c>
      <c r="E154" s="13" t="s">
        <v>13</v>
      </c>
      <c r="F154" s="15" t="s">
        <v>14</v>
      </c>
      <c r="G154" s="16">
        <v>5</v>
      </c>
      <c r="H154" s="26">
        <v>108135</v>
      </c>
    </row>
    <row r="155" spans="1:8" s="18" customFormat="1" x14ac:dyDescent="0.25">
      <c r="A155" s="10">
        <v>152</v>
      </c>
      <c r="B155" s="11">
        <v>45895</v>
      </c>
      <c r="C155" s="12" t="s">
        <v>327</v>
      </c>
      <c r="D155" s="13" t="s">
        <v>11</v>
      </c>
      <c r="E155" s="13" t="s">
        <v>13</v>
      </c>
      <c r="F155" s="15" t="s">
        <v>14</v>
      </c>
      <c r="G155" s="16">
        <v>5</v>
      </c>
      <c r="H155" s="26">
        <v>112945</v>
      </c>
    </row>
    <row r="156" spans="1:8" s="18" customFormat="1" x14ac:dyDescent="0.25">
      <c r="A156" s="10">
        <v>153</v>
      </c>
      <c r="B156" s="11">
        <v>45895</v>
      </c>
      <c r="C156" s="12" t="s">
        <v>328</v>
      </c>
      <c r="D156" s="13" t="s">
        <v>11</v>
      </c>
      <c r="E156" s="13" t="s">
        <v>13</v>
      </c>
      <c r="F156" s="15" t="s">
        <v>14</v>
      </c>
      <c r="G156" s="16">
        <v>5</v>
      </c>
      <c r="H156" s="26">
        <v>118950</v>
      </c>
    </row>
    <row r="157" spans="1:8" s="18" customFormat="1" x14ac:dyDescent="0.25">
      <c r="A157" s="10">
        <v>154</v>
      </c>
      <c r="B157" s="11">
        <v>45895</v>
      </c>
      <c r="C157" s="12" t="s">
        <v>329</v>
      </c>
      <c r="D157" s="13" t="s">
        <v>11</v>
      </c>
      <c r="E157" s="13" t="s">
        <v>13</v>
      </c>
      <c r="F157" s="15" t="s">
        <v>14</v>
      </c>
      <c r="G157" s="16">
        <v>5</v>
      </c>
      <c r="H157" s="26">
        <v>126175</v>
      </c>
    </row>
    <row r="158" spans="1:8" s="18" customFormat="1" x14ac:dyDescent="0.25">
      <c r="A158" s="10">
        <v>155</v>
      </c>
      <c r="B158" s="11">
        <v>45895</v>
      </c>
      <c r="C158" s="12" t="s">
        <v>330</v>
      </c>
      <c r="D158" s="13" t="s">
        <v>11</v>
      </c>
      <c r="E158" s="13" t="s">
        <v>13</v>
      </c>
      <c r="F158" s="15" t="s">
        <v>14</v>
      </c>
      <c r="G158" s="16">
        <v>5</v>
      </c>
      <c r="H158" s="26">
        <v>266625</v>
      </c>
    </row>
    <row r="159" spans="1:8" s="18" customFormat="1" x14ac:dyDescent="0.25">
      <c r="A159" s="10">
        <v>156</v>
      </c>
      <c r="B159" s="11">
        <v>45895</v>
      </c>
      <c r="C159" s="12" t="s">
        <v>331</v>
      </c>
      <c r="D159" s="13" t="s">
        <v>11</v>
      </c>
      <c r="E159" s="13" t="s">
        <v>13</v>
      </c>
      <c r="F159" s="15" t="s">
        <v>14</v>
      </c>
      <c r="G159" s="16">
        <v>5</v>
      </c>
      <c r="H159" s="26">
        <v>316645</v>
      </c>
    </row>
    <row r="160" spans="1:8" s="18" customFormat="1" x14ac:dyDescent="0.25">
      <c r="A160" s="10">
        <v>157</v>
      </c>
      <c r="B160" s="11">
        <v>45895</v>
      </c>
      <c r="C160" s="12" t="s">
        <v>332</v>
      </c>
      <c r="D160" s="13" t="s">
        <v>11</v>
      </c>
      <c r="E160" s="13" t="s">
        <v>13</v>
      </c>
      <c r="F160" s="15" t="s">
        <v>14</v>
      </c>
      <c r="G160" s="16">
        <v>5</v>
      </c>
      <c r="H160" s="26">
        <v>338835</v>
      </c>
    </row>
    <row r="161" spans="1:8" s="18" customFormat="1" x14ac:dyDescent="0.25">
      <c r="A161" s="10">
        <v>158</v>
      </c>
      <c r="B161" s="11">
        <v>45895</v>
      </c>
      <c r="C161" s="12" t="s">
        <v>333</v>
      </c>
      <c r="D161" s="13" t="s">
        <v>11</v>
      </c>
      <c r="E161" s="13" t="s">
        <v>13</v>
      </c>
      <c r="F161" s="15" t="s">
        <v>14</v>
      </c>
      <c r="G161" s="16">
        <v>5</v>
      </c>
      <c r="H161" s="26">
        <v>514325</v>
      </c>
    </row>
    <row r="162" spans="1:8" s="18" customFormat="1" x14ac:dyDescent="0.25">
      <c r="A162" s="10">
        <v>159</v>
      </c>
      <c r="B162" s="11">
        <v>45895</v>
      </c>
      <c r="C162" s="12" t="s">
        <v>334</v>
      </c>
      <c r="D162" s="13" t="s">
        <v>11</v>
      </c>
      <c r="E162" s="13" t="s">
        <v>13</v>
      </c>
      <c r="F162" s="15" t="s">
        <v>14</v>
      </c>
      <c r="G162" s="16">
        <v>5</v>
      </c>
      <c r="H162" s="26">
        <v>703890</v>
      </c>
    </row>
    <row r="163" spans="1:8" s="18" customFormat="1" x14ac:dyDescent="0.25">
      <c r="A163" s="10">
        <v>160</v>
      </c>
      <c r="B163" s="11">
        <v>45896</v>
      </c>
      <c r="C163" s="12" t="s">
        <v>335</v>
      </c>
      <c r="D163" s="13" t="s">
        <v>11</v>
      </c>
      <c r="E163" s="13" t="s">
        <v>13</v>
      </c>
      <c r="F163" s="15" t="s">
        <v>14</v>
      </c>
      <c r="G163" s="16">
        <v>4</v>
      </c>
      <c r="H163" s="26">
        <v>19825</v>
      </c>
    </row>
    <row r="164" spans="1:8" s="18" customFormat="1" x14ac:dyDescent="0.25">
      <c r="A164" s="10">
        <v>161</v>
      </c>
      <c r="B164" s="11">
        <v>45896</v>
      </c>
      <c r="C164" s="12" t="s">
        <v>336</v>
      </c>
      <c r="D164" s="13" t="s">
        <v>11</v>
      </c>
      <c r="E164" s="13" t="s">
        <v>13</v>
      </c>
      <c r="F164" s="15" t="s">
        <v>14</v>
      </c>
      <c r="G164" s="16">
        <v>4</v>
      </c>
      <c r="H164" s="26">
        <v>24035</v>
      </c>
    </row>
    <row r="165" spans="1:8" s="18" customFormat="1" x14ac:dyDescent="0.25">
      <c r="A165" s="10">
        <v>162</v>
      </c>
      <c r="B165" s="11">
        <v>45896</v>
      </c>
      <c r="C165" s="12" t="s">
        <v>337</v>
      </c>
      <c r="D165" s="13" t="s">
        <v>11</v>
      </c>
      <c r="E165" s="13" t="s">
        <v>13</v>
      </c>
      <c r="F165" s="15" t="s">
        <v>14</v>
      </c>
      <c r="G165" s="16">
        <v>4</v>
      </c>
      <c r="H165" s="26">
        <v>28235</v>
      </c>
    </row>
    <row r="166" spans="1:8" s="18" customFormat="1" x14ac:dyDescent="0.25">
      <c r="A166" s="10">
        <v>163</v>
      </c>
      <c r="B166" s="11">
        <v>45896</v>
      </c>
      <c r="C166" s="12" t="s">
        <v>338</v>
      </c>
      <c r="D166" s="13" t="s">
        <v>11</v>
      </c>
      <c r="E166" s="13" t="s">
        <v>13</v>
      </c>
      <c r="F166" s="15" t="s">
        <v>14</v>
      </c>
      <c r="G166" s="16">
        <v>4</v>
      </c>
      <c r="H166" s="26">
        <v>64885</v>
      </c>
    </row>
    <row r="167" spans="1:8" s="18" customFormat="1" x14ac:dyDescent="0.25">
      <c r="A167" s="10">
        <v>164</v>
      </c>
      <c r="B167" s="11">
        <v>45896</v>
      </c>
      <c r="C167" s="12" t="s">
        <v>339</v>
      </c>
      <c r="D167" s="13" t="s">
        <v>11</v>
      </c>
      <c r="E167" s="13" t="s">
        <v>13</v>
      </c>
      <c r="F167" s="15" t="s">
        <v>14</v>
      </c>
      <c r="G167" s="16">
        <v>4</v>
      </c>
      <c r="H167" s="26">
        <v>91315</v>
      </c>
    </row>
    <row r="168" spans="1:8" s="18" customFormat="1" x14ac:dyDescent="0.25">
      <c r="A168" s="10">
        <v>165</v>
      </c>
      <c r="B168" s="11">
        <v>45896</v>
      </c>
      <c r="C168" s="12" t="s">
        <v>340</v>
      </c>
      <c r="D168" s="13" t="s">
        <v>11</v>
      </c>
      <c r="E168" s="13" t="s">
        <v>13</v>
      </c>
      <c r="F168" s="15" t="s">
        <v>14</v>
      </c>
      <c r="G168" s="16">
        <v>4</v>
      </c>
      <c r="H168" s="26">
        <v>103350</v>
      </c>
    </row>
    <row r="169" spans="1:8" s="18" customFormat="1" x14ac:dyDescent="0.25">
      <c r="A169" s="10">
        <v>166</v>
      </c>
      <c r="B169" s="11">
        <v>45896</v>
      </c>
      <c r="C169" s="12" t="s">
        <v>341</v>
      </c>
      <c r="D169" s="13" t="s">
        <v>11</v>
      </c>
      <c r="E169" s="13" t="s">
        <v>13</v>
      </c>
      <c r="F169" s="15" t="s">
        <v>14</v>
      </c>
      <c r="G169" s="16">
        <v>4</v>
      </c>
      <c r="H169" s="26">
        <v>112945</v>
      </c>
    </row>
    <row r="170" spans="1:8" s="18" customFormat="1" x14ac:dyDescent="0.25">
      <c r="A170" s="10">
        <v>167</v>
      </c>
      <c r="B170" s="11">
        <v>45896</v>
      </c>
      <c r="C170" s="12" t="s">
        <v>342</v>
      </c>
      <c r="D170" s="13" t="s">
        <v>11</v>
      </c>
      <c r="E170" s="13" t="s">
        <v>13</v>
      </c>
      <c r="F170" s="15" t="s">
        <v>14</v>
      </c>
      <c r="G170" s="16">
        <v>4</v>
      </c>
      <c r="H170" s="26">
        <v>112945</v>
      </c>
    </row>
    <row r="171" spans="1:8" s="18" customFormat="1" x14ac:dyDescent="0.25">
      <c r="A171" s="10">
        <v>168</v>
      </c>
      <c r="B171" s="11">
        <v>45896</v>
      </c>
      <c r="C171" s="12" t="s">
        <v>343</v>
      </c>
      <c r="D171" s="13" t="s">
        <v>11</v>
      </c>
      <c r="E171" s="13" t="s">
        <v>13</v>
      </c>
      <c r="F171" s="15" t="s">
        <v>14</v>
      </c>
      <c r="G171" s="16">
        <v>4</v>
      </c>
      <c r="H171" s="26">
        <v>161002</v>
      </c>
    </row>
    <row r="172" spans="1:8" s="18" customFormat="1" x14ac:dyDescent="0.25">
      <c r="A172" s="10">
        <v>169</v>
      </c>
      <c r="B172" s="11">
        <v>45896</v>
      </c>
      <c r="C172" s="12" t="s">
        <v>344</v>
      </c>
      <c r="D172" s="13" t="s">
        <v>11</v>
      </c>
      <c r="E172" s="13" t="s">
        <v>13</v>
      </c>
      <c r="F172" s="15" t="s">
        <v>14</v>
      </c>
      <c r="G172" s="16">
        <v>4</v>
      </c>
      <c r="H172" s="26">
        <v>216275</v>
      </c>
    </row>
    <row r="173" spans="1:8" s="18" customFormat="1" x14ac:dyDescent="0.25">
      <c r="A173" s="10">
        <v>170</v>
      </c>
      <c r="B173" s="11">
        <v>45896</v>
      </c>
      <c r="C173" s="12" t="s">
        <v>345</v>
      </c>
      <c r="D173" s="13" t="s">
        <v>11</v>
      </c>
      <c r="E173" s="13" t="s">
        <v>13</v>
      </c>
      <c r="F173" s="15" t="s">
        <v>14</v>
      </c>
      <c r="G173" s="16">
        <v>4</v>
      </c>
      <c r="H173" s="26">
        <v>337725</v>
      </c>
    </row>
    <row r="174" spans="1:8" s="18" customFormat="1" x14ac:dyDescent="0.25">
      <c r="A174" s="10">
        <v>171</v>
      </c>
      <c r="B174" s="11">
        <v>45896</v>
      </c>
      <c r="C174" s="12" t="s">
        <v>346</v>
      </c>
      <c r="D174" s="13" t="s">
        <v>11</v>
      </c>
      <c r="E174" s="13" t="s">
        <v>13</v>
      </c>
      <c r="F174" s="15" t="s">
        <v>14</v>
      </c>
      <c r="G174" s="16">
        <v>4</v>
      </c>
      <c r="H174" s="26">
        <v>400750</v>
      </c>
    </row>
    <row r="175" spans="1:8" s="18" customFormat="1" x14ac:dyDescent="0.25">
      <c r="A175" s="10">
        <v>172</v>
      </c>
      <c r="B175" s="11">
        <v>45896</v>
      </c>
      <c r="C175" s="12" t="s">
        <v>347</v>
      </c>
      <c r="D175" s="13" t="s">
        <v>11</v>
      </c>
      <c r="E175" s="13" t="s">
        <v>13</v>
      </c>
      <c r="F175" s="15" t="s">
        <v>14</v>
      </c>
      <c r="G175" s="16">
        <v>4</v>
      </c>
      <c r="H175" s="26">
        <v>465125</v>
      </c>
    </row>
    <row r="176" spans="1:8" s="18" customFormat="1" x14ac:dyDescent="0.25">
      <c r="A176" s="10">
        <v>173</v>
      </c>
      <c r="B176" s="11">
        <v>45896</v>
      </c>
      <c r="C176" s="12" t="s">
        <v>348</v>
      </c>
      <c r="D176" s="13" t="s">
        <v>11</v>
      </c>
      <c r="E176" s="13" t="s">
        <v>13</v>
      </c>
      <c r="F176" s="15" t="s">
        <v>14</v>
      </c>
      <c r="G176" s="16">
        <v>4</v>
      </c>
      <c r="H176" s="26">
        <v>3863100</v>
      </c>
    </row>
    <row r="177" spans="1:8" s="18" customFormat="1" x14ac:dyDescent="0.25">
      <c r="A177" s="10">
        <v>174</v>
      </c>
      <c r="B177" s="11">
        <v>45897</v>
      </c>
      <c r="C177" s="12" t="s">
        <v>371</v>
      </c>
      <c r="D177" s="13" t="s">
        <v>11</v>
      </c>
      <c r="E177" s="13" t="s">
        <v>13</v>
      </c>
      <c r="F177" s="15" t="s">
        <v>14</v>
      </c>
      <c r="G177" s="16">
        <v>3</v>
      </c>
      <c r="H177" s="26">
        <v>74495</v>
      </c>
    </row>
    <row r="178" spans="1:8" s="18" customFormat="1" x14ac:dyDescent="0.25">
      <c r="A178" s="10">
        <v>175</v>
      </c>
      <c r="B178" s="11">
        <v>45897</v>
      </c>
      <c r="C178" s="12" t="s">
        <v>368</v>
      </c>
      <c r="D178" s="13" t="s">
        <v>11</v>
      </c>
      <c r="E178" s="13" t="s">
        <v>13</v>
      </c>
      <c r="F178" s="15" t="s">
        <v>14</v>
      </c>
      <c r="G178" s="16">
        <v>3</v>
      </c>
      <c r="H178" s="26">
        <v>80501</v>
      </c>
    </row>
    <row r="179" spans="1:8" s="18" customFormat="1" x14ac:dyDescent="0.25">
      <c r="A179" s="10">
        <v>176</v>
      </c>
      <c r="B179" s="11">
        <v>45897</v>
      </c>
      <c r="C179" s="12" t="s">
        <v>370</v>
      </c>
      <c r="D179" s="13" t="s">
        <v>11</v>
      </c>
      <c r="E179" s="13" t="s">
        <v>13</v>
      </c>
      <c r="F179" s="15" t="s">
        <v>14</v>
      </c>
      <c r="G179" s="16">
        <v>3</v>
      </c>
      <c r="H179" s="26">
        <v>81705</v>
      </c>
    </row>
    <row r="180" spans="1:8" s="18" customFormat="1" x14ac:dyDescent="0.25">
      <c r="A180" s="10">
        <v>177</v>
      </c>
      <c r="B180" s="11">
        <v>45897</v>
      </c>
      <c r="C180" s="12" t="s">
        <v>372</v>
      </c>
      <c r="D180" s="13" t="s">
        <v>11</v>
      </c>
      <c r="E180" s="13" t="s">
        <v>13</v>
      </c>
      <c r="F180" s="15" t="s">
        <v>14</v>
      </c>
      <c r="G180" s="16">
        <v>3</v>
      </c>
      <c r="H180" s="26">
        <v>112945</v>
      </c>
    </row>
    <row r="181" spans="1:8" s="18" customFormat="1" x14ac:dyDescent="0.25">
      <c r="A181" s="10">
        <v>178</v>
      </c>
      <c r="B181" s="11">
        <v>45897</v>
      </c>
      <c r="C181" s="12" t="s">
        <v>367</v>
      </c>
      <c r="D181" s="13" t="s">
        <v>11</v>
      </c>
      <c r="E181" s="13" t="s">
        <v>13</v>
      </c>
      <c r="F181" s="15" t="s">
        <v>14</v>
      </c>
      <c r="G181" s="16">
        <v>3</v>
      </c>
      <c r="H181" s="26">
        <v>114145</v>
      </c>
    </row>
    <row r="182" spans="1:8" s="18" customFormat="1" x14ac:dyDescent="0.25">
      <c r="A182" s="10">
        <v>179</v>
      </c>
      <c r="B182" s="11">
        <v>45897</v>
      </c>
      <c r="C182" s="12" t="s">
        <v>369</v>
      </c>
      <c r="D182" s="13" t="s">
        <v>11</v>
      </c>
      <c r="E182" s="13" t="s">
        <v>13</v>
      </c>
      <c r="F182" s="15" t="s">
        <v>14</v>
      </c>
      <c r="G182" s="16">
        <v>3</v>
      </c>
      <c r="H182" s="26">
        <v>123155</v>
      </c>
    </row>
    <row r="183" spans="1:8" s="18" customFormat="1" x14ac:dyDescent="0.25">
      <c r="A183" s="10">
        <v>180</v>
      </c>
      <c r="B183" s="11">
        <v>45897</v>
      </c>
      <c r="C183" s="12" t="s">
        <v>366</v>
      </c>
      <c r="D183" s="13" t="s">
        <v>11</v>
      </c>
      <c r="E183" s="13" t="s">
        <v>13</v>
      </c>
      <c r="F183" s="15" t="s">
        <v>14</v>
      </c>
      <c r="G183" s="16">
        <v>3</v>
      </c>
      <c r="H183" s="26">
        <v>160425</v>
      </c>
    </row>
    <row r="184" spans="1:8" s="18" customFormat="1" x14ac:dyDescent="0.25">
      <c r="A184" s="10">
        <v>181</v>
      </c>
      <c r="B184" s="11">
        <v>45897</v>
      </c>
      <c r="C184" s="12" t="s">
        <v>364</v>
      </c>
      <c r="D184" s="13" t="s">
        <v>11</v>
      </c>
      <c r="E184" s="13" t="s">
        <v>13</v>
      </c>
      <c r="F184" s="15" t="s">
        <v>14</v>
      </c>
      <c r="G184" s="16">
        <v>3</v>
      </c>
      <c r="H184" s="26">
        <v>225890</v>
      </c>
    </row>
    <row r="185" spans="1:8" s="18" customFormat="1" x14ac:dyDescent="0.25">
      <c r="A185" s="10">
        <v>182</v>
      </c>
      <c r="B185" s="11">
        <v>45897</v>
      </c>
      <c r="C185" s="12" t="s">
        <v>365</v>
      </c>
      <c r="D185" s="13" t="s">
        <v>11</v>
      </c>
      <c r="E185" s="13" t="s">
        <v>13</v>
      </c>
      <c r="F185" s="15" t="s">
        <v>14</v>
      </c>
      <c r="G185" s="16">
        <v>3</v>
      </c>
      <c r="H185" s="26">
        <v>260750</v>
      </c>
    </row>
    <row r="186" spans="1:8" s="18" customFormat="1" x14ac:dyDescent="0.25">
      <c r="A186" s="10">
        <v>183</v>
      </c>
      <c r="B186" s="11">
        <v>45897</v>
      </c>
      <c r="C186" s="12" t="s">
        <v>373</v>
      </c>
      <c r="D186" s="13" t="s">
        <v>11</v>
      </c>
      <c r="E186" s="13" t="s">
        <v>13</v>
      </c>
      <c r="F186" s="15" t="s">
        <v>14</v>
      </c>
      <c r="G186" s="16">
        <v>3</v>
      </c>
      <c r="H186" s="26">
        <v>391250</v>
      </c>
    </row>
    <row r="187" spans="1:8" s="18" customFormat="1" x14ac:dyDescent="0.25">
      <c r="A187" s="10">
        <v>184</v>
      </c>
      <c r="B187" s="11">
        <v>45898</v>
      </c>
      <c r="C187" s="12" t="s">
        <v>378</v>
      </c>
      <c r="D187" s="13" t="s">
        <v>11</v>
      </c>
      <c r="E187" s="13" t="s">
        <v>13</v>
      </c>
      <c r="F187" s="15" t="s">
        <v>14</v>
      </c>
      <c r="G187" s="16">
        <v>2</v>
      </c>
      <c r="H187" s="26">
        <v>64885</v>
      </c>
    </row>
    <row r="188" spans="1:8" s="18" customFormat="1" x14ac:dyDescent="0.25">
      <c r="A188" s="10">
        <v>185</v>
      </c>
      <c r="B188" s="11">
        <v>45898</v>
      </c>
      <c r="C188" s="12" t="s">
        <v>379</v>
      </c>
      <c r="D188" s="13" t="s">
        <v>11</v>
      </c>
      <c r="E188" s="13" t="s">
        <v>13</v>
      </c>
      <c r="F188" s="15" t="s">
        <v>14</v>
      </c>
      <c r="G188" s="16">
        <v>2</v>
      </c>
      <c r="H188" s="26">
        <v>112945</v>
      </c>
    </row>
    <row r="189" spans="1:8" s="18" customFormat="1" x14ac:dyDescent="0.25">
      <c r="A189" s="10">
        <v>186</v>
      </c>
      <c r="B189" s="11">
        <v>45898</v>
      </c>
      <c r="C189" s="12" t="s">
        <v>380</v>
      </c>
      <c r="D189" s="13" t="s">
        <v>11</v>
      </c>
      <c r="E189" s="13" t="s">
        <v>13</v>
      </c>
      <c r="F189" s="15" t="s">
        <v>14</v>
      </c>
      <c r="G189" s="16">
        <v>2</v>
      </c>
      <c r="H189" s="26">
        <v>133975</v>
      </c>
    </row>
    <row r="190" spans="1:8" s="18" customFormat="1" x14ac:dyDescent="0.25">
      <c r="A190" s="10">
        <v>187</v>
      </c>
      <c r="B190" s="11">
        <v>45898</v>
      </c>
      <c r="C190" s="12" t="s">
        <v>381</v>
      </c>
      <c r="D190" s="13" t="s">
        <v>11</v>
      </c>
      <c r="E190" s="13" t="s">
        <v>13</v>
      </c>
      <c r="F190" s="15" t="s">
        <v>14</v>
      </c>
      <c r="G190" s="16">
        <v>2</v>
      </c>
      <c r="H190" s="26">
        <v>171830</v>
      </c>
    </row>
    <row r="191" spans="1:8" s="18" customFormat="1" x14ac:dyDescent="0.25">
      <c r="A191" s="10">
        <v>188</v>
      </c>
      <c r="B191" s="11">
        <v>45898</v>
      </c>
      <c r="C191" s="12" t="s">
        <v>382</v>
      </c>
      <c r="D191" s="13" t="s">
        <v>11</v>
      </c>
      <c r="E191" s="13" t="s">
        <v>13</v>
      </c>
      <c r="F191" s="15" t="s">
        <v>14</v>
      </c>
      <c r="G191" s="16">
        <v>2</v>
      </c>
      <c r="H191" s="26">
        <v>322500</v>
      </c>
    </row>
    <row r="192" spans="1:8" s="18" customFormat="1" x14ac:dyDescent="0.25">
      <c r="A192" s="10">
        <v>189</v>
      </c>
      <c r="B192" s="11">
        <v>45898</v>
      </c>
      <c r="C192" s="12" t="s">
        <v>383</v>
      </c>
      <c r="D192" s="13" t="s">
        <v>11</v>
      </c>
      <c r="E192" s="13" t="s">
        <v>13</v>
      </c>
      <c r="F192" s="15" t="s">
        <v>14</v>
      </c>
      <c r="G192" s="16">
        <v>2</v>
      </c>
      <c r="H192" s="26">
        <v>420675</v>
      </c>
    </row>
    <row r="193" spans="1:8" s="18" customFormat="1" x14ac:dyDescent="0.25">
      <c r="A193" s="10">
        <v>190</v>
      </c>
      <c r="B193" s="11">
        <v>45898</v>
      </c>
      <c r="C193" s="12" t="s">
        <v>384</v>
      </c>
      <c r="D193" s="13" t="s">
        <v>11</v>
      </c>
      <c r="E193" s="13" t="s">
        <v>13</v>
      </c>
      <c r="F193" s="15" t="s">
        <v>14</v>
      </c>
      <c r="G193" s="16">
        <v>2</v>
      </c>
      <c r="H193" s="26">
        <v>556950</v>
      </c>
    </row>
    <row r="194" spans="1:8" s="18" customFormat="1" x14ac:dyDescent="0.25">
      <c r="A194" s="83" t="s">
        <v>349</v>
      </c>
      <c r="B194" s="84"/>
      <c r="C194" s="84"/>
      <c r="D194" s="84"/>
      <c r="E194" s="84"/>
      <c r="F194" s="84"/>
      <c r="G194" s="85"/>
      <c r="H194" s="27">
        <f>SUM(H4:H193)</f>
        <v>52415822</v>
      </c>
    </row>
    <row r="195" spans="1:8" s="18" customFormat="1" ht="8.25" customHeight="1" x14ac:dyDescent="0.25">
      <c r="A195" s="28"/>
      <c r="B195" s="29"/>
      <c r="C195" s="29"/>
      <c r="D195" s="29"/>
      <c r="E195" s="29"/>
      <c r="F195" s="29"/>
      <c r="G195" s="30"/>
      <c r="H195" s="26"/>
    </row>
    <row r="196" spans="1:8" s="18" customFormat="1" x14ac:dyDescent="0.25">
      <c r="A196" s="10">
        <v>1</v>
      </c>
      <c r="B196" s="11">
        <v>45880</v>
      </c>
      <c r="C196" s="12" t="s">
        <v>357</v>
      </c>
      <c r="D196" s="13" t="s">
        <v>11</v>
      </c>
      <c r="E196" s="13" t="s">
        <v>351</v>
      </c>
      <c r="F196" s="15" t="s">
        <v>352</v>
      </c>
      <c r="G196" s="16">
        <v>20</v>
      </c>
      <c r="H196" s="26">
        <v>239500</v>
      </c>
    </row>
    <row r="197" spans="1:8" s="18" customFormat="1" x14ac:dyDescent="0.25">
      <c r="A197" s="10">
        <v>2</v>
      </c>
      <c r="B197" s="11">
        <v>45887</v>
      </c>
      <c r="C197" s="12" t="s">
        <v>358</v>
      </c>
      <c r="D197" s="13" t="s">
        <v>11</v>
      </c>
      <c r="E197" s="13" t="s">
        <v>351</v>
      </c>
      <c r="F197" s="15" t="s">
        <v>352</v>
      </c>
      <c r="G197" s="16">
        <v>13</v>
      </c>
      <c r="H197" s="26">
        <v>27865</v>
      </c>
    </row>
    <row r="198" spans="1:8" s="18" customFormat="1" x14ac:dyDescent="0.25">
      <c r="A198" s="10">
        <v>3</v>
      </c>
      <c r="B198" s="11">
        <v>45892</v>
      </c>
      <c r="C198" s="12" t="s">
        <v>359</v>
      </c>
      <c r="D198" s="13" t="s">
        <v>11</v>
      </c>
      <c r="E198" s="13" t="s">
        <v>351</v>
      </c>
      <c r="F198" s="15" t="s">
        <v>352</v>
      </c>
      <c r="G198" s="16">
        <v>8</v>
      </c>
      <c r="H198" s="26">
        <v>42055</v>
      </c>
    </row>
    <row r="199" spans="1:8" s="18" customFormat="1" x14ac:dyDescent="0.25">
      <c r="A199" s="10">
        <v>4</v>
      </c>
      <c r="B199" s="11">
        <v>45892</v>
      </c>
      <c r="C199" s="12" t="s">
        <v>360</v>
      </c>
      <c r="D199" s="13" t="s">
        <v>11</v>
      </c>
      <c r="E199" s="13" t="s">
        <v>351</v>
      </c>
      <c r="F199" s="15" t="s">
        <v>352</v>
      </c>
      <c r="G199" s="16">
        <v>8</v>
      </c>
      <c r="H199" s="26">
        <v>50465</v>
      </c>
    </row>
    <row r="200" spans="1:8" s="18" customFormat="1" x14ac:dyDescent="0.25">
      <c r="A200" s="10">
        <v>5</v>
      </c>
      <c r="B200" s="11">
        <v>45896</v>
      </c>
      <c r="C200" s="12" t="s">
        <v>361</v>
      </c>
      <c r="D200" s="13" t="s">
        <v>11</v>
      </c>
      <c r="E200" s="13" t="s">
        <v>351</v>
      </c>
      <c r="F200" s="15" t="s">
        <v>352</v>
      </c>
      <c r="G200" s="16">
        <v>4</v>
      </c>
      <c r="H200" s="26">
        <v>112945</v>
      </c>
    </row>
    <row r="201" spans="1:8" s="18" customFormat="1" x14ac:dyDescent="0.25">
      <c r="A201" s="10">
        <v>6</v>
      </c>
      <c r="B201" s="11">
        <v>45897</v>
      </c>
      <c r="C201" s="12" t="s">
        <v>362</v>
      </c>
      <c r="D201" s="13" t="s">
        <v>11</v>
      </c>
      <c r="E201" s="13" t="s">
        <v>351</v>
      </c>
      <c r="F201" s="15" t="s">
        <v>352</v>
      </c>
      <c r="G201" s="16">
        <v>3</v>
      </c>
      <c r="H201" s="26">
        <v>144185</v>
      </c>
    </row>
    <row r="202" spans="1:8" s="18" customFormat="1" x14ac:dyDescent="0.25">
      <c r="A202" s="10">
        <v>7</v>
      </c>
      <c r="B202" s="11">
        <v>45897</v>
      </c>
      <c r="C202" s="12" t="s">
        <v>363</v>
      </c>
      <c r="D202" s="13" t="s">
        <v>11</v>
      </c>
      <c r="E202" s="13" t="s">
        <v>351</v>
      </c>
      <c r="F202" s="15" t="s">
        <v>352</v>
      </c>
      <c r="G202" s="16">
        <v>3</v>
      </c>
      <c r="H202" s="26">
        <v>144185</v>
      </c>
    </row>
    <row r="203" spans="1:8" s="18" customFormat="1" x14ac:dyDescent="0.25">
      <c r="A203" s="10">
        <v>8</v>
      </c>
      <c r="B203" s="11">
        <v>45898</v>
      </c>
      <c r="C203" s="12" t="s">
        <v>385</v>
      </c>
      <c r="D203" s="13" t="s">
        <v>11</v>
      </c>
      <c r="E203" s="13" t="s">
        <v>351</v>
      </c>
      <c r="F203" s="15" t="s">
        <v>352</v>
      </c>
      <c r="G203" s="16">
        <v>2</v>
      </c>
      <c r="H203" s="26">
        <v>75695</v>
      </c>
    </row>
    <row r="204" spans="1:8" ht="17.25" customHeight="1" x14ac:dyDescent="0.25">
      <c r="A204" s="83" t="s">
        <v>349</v>
      </c>
      <c r="B204" s="84"/>
      <c r="C204" s="84"/>
      <c r="D204" s="84"/>
      <c r="E204" s="84"/>
      <c r="F204" s="84"/>
      <c r="G204" s="85"/>
      <c r="H204" s="27">
        <f>SUM(H196:H203)</f>
        <v>836895</v>
      </c>
    </row>
    <row r="205" spans="1:8" ht="7.5" customHeight="1" x14ac:dyDescent="0.25"/>
    <row r="206" spans="1:8" ht="27" customHeight="1" x14ac:dyDescent="0.25">
      <c r="A206" s="89" t="s">
        <v>374</v>
      </c>
      <c r="B206" s="90"/>
      <c r="C206" s="90"/>
      <c r="D206" s="90"/>
      <c r="E206" s="90"/>
      <c r="F206" s="90"/>
      <c r="G206" s="91"/>
      <c r="H206" s="31">
        <f>+H194+H204</f>
        <v>53252717</v>
      </c>
    </row>
  </sheetData>
  <mergeCells count="3">
    <mergeCell ref="A194:G194"/>
    <mergeCell ref="A204:G204"/>
    <mergeCell ref="A206:G206"/>
  </mergeCells>
  <conditionalFormatting sqref="G196:G203 G3:G193">
    <cfRule type="cellIs" dxfId="137" priority="7" operator="greaterThan">
      <formula>0</formula>
    </cfRule>
  </conditionalFormatting>
  <conditionalFormatting sqref="B4:H193 B196:H203 H194:H195">
    <cfRule type="expression" dxfId="136" priority="8">
      <formula>AND(#REF!&gt;0,$G4&gt;89)</formula>
    </cfRule>
    <cfRule type="expression" dxfId="135" priority="9">
      <formula>AND(#REF!&gt;0,$G4&gt;59)</formula>
    </cfRule>
    <cfRule type="expression" dxfId="134" priority="10">
      <formula>AND(#REF!&gt;0,$G4&gt;44)</formula>
    </cfRule>
  </conditionalFormatting>
  <conditionalFormatting sqref="H204">
    <cfRule type="expression" dxfId="133" priority="4">
      <formula>AND(#REF!&gt;0,$G204&gt;89)</formula>
    </cfRule>
    <cfRule type="expression" dxfId="132" priority="5">
      <formula>AND(#REF!&gt;0,$G204&gt;59)</formula>
    </cfRule>
    <cfRule type="expression" dxfId="131" priority="6">
      <formula>AND(#REF!&gt;0,$G204&gt;44)</formula>
    </cfRule>
  </conditionalFormatting>
  <conditionalFormatting sqref="H206">
    <cfRule type="expression" dxfId="130" priority="1">
      <formula>AND(#REF!&gt;0,$G206&gt;89)</formula>
    </cfRule>
    <cfRule type="expression" dxfId="129" priority="2">
      <formula>AND(#REF!&gt;0,$G206&gt;59)</formula>
    </cfRule>
    <cfRule type="expression" dxfId="128" priority="3">
      <formula>AND(#REF!&gt;0,$G206&gt;44)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8"/>
  <sheetViews>
    <sheetView topLeftCell="A182" workbookViewId="0">
      <selection activeCell="A204" sqref="A204:H204"/>
    </sheetView>
  </sheetViews>
  <sheetFormatPr defaultColWidth="9.140625" defaultRowHeight="15" x14ac:dyDescent="0.25"/>
  <cols>
    <col min="1" max="1" width="5" customWidth="1"/>
    <col min="4" max="5" width="9.140625" customWidth="1"/>
    <col min="6" max="6" width="22.7109375" customWidth="1"/>
    <col min="7" max="7" width="9.140625" customWidth="1"/>
    <col min="8" max="8" width="14.85546875" customWidth="1"/>
  </cols>
  <sheetData>
    <row r="1" spans="1:9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23" t="s">
        <v>376</v>
      </c>
      <c r="B3" s="3"/>
      <c r="C3" s="4"/>
      <c r="D3" s="4"/>
      <c r="E3" s="4"/>
      <c r="F3" s="4"/>
      <c r="G3" s="4"/>
      <c r="H3" s="4"/>
    </row>
    <row r="4" spans="1:9" ht="22.5" x14ac:dyDescent="0.25">
      <c r="A4" s="5" t="s">
        <v>0</v>
      </c>
      <c r="B4" s="6" t="s">
        <v>1</v>
      </c>
      <c r="C4" s="7" t="s">
        <v>2</v>
      </c>
      <c r="D4" s="7" t="s">
        <v>3</v>
      </c>
      <c r="E4" s="7" t="s">
        <v>5</v>
      </c>
      <c r="F4" s="7" t="s">
        <v>6</v>
      </c>
      <c r="G4" s="24" t="s">
        <v>8</v>
      </c>
      <c r="H4" s="25" t="s">
        <v>377</v>
      </c>
    </row>
    <row r="5" spans="1:9" s="18" customFormat="1" x14ac:dyDescent="0.25">
      <c r="A5" s="10">
        <v>1</v>
      </c>
      <c r="B5" s="11">
        <v>45892</v>
      </c>
      <c r="C5" s="12" t="s">
        <v>288</v>
      </c>
      <c r="D5" s="13" t="s">
        <v>11</v>
      </c>
      <c r="E5" s="13" t="s">
        <v>13</v>
      </c>
      <c r="F5" s="15" t="s">
        <v>14</v>
      </c>
      <c r="G5" s="16">
        <v>27</v>
      </c>
      <c r="H5" s="26">
        <v>33045</v>
      </c>
    </row>
    <row r="6" spans="1:9" s="18" customFormat="1" x14ac:dyDescent="0.25">
      <c r="A6" s="10">
        <v>2</v>
      </c>
      <c r="B6" s="11">
        <v>45892</v>
      </c>
      <c r="C6" s="12" t="s">
        <v>289</v>
      </c>
      <c r="D6" s="13" t="s">
        <v>11</v>
      </c>
      <c r="E6" s="13" t="s">
        <v>13</v>
      </c>
      <c r="F6" s="15" t="s">
        <v>14</v>
      </c>
      <c r="G6" s="16">
        <v>27</v>
      </c>
      <c r="H6" s="26">
        <v>88875</v>
      </c>
    </row>
    <row r="7" spans="1:9" s="18" customFormat="1" x14ac:dyDescent="0.25">
      <c r="A7" s="10">
        <v>3</v>
      </c>
      <c r="B7" s="11">
        <v>45892</v>
      </c>
      <c r="C7" s="12" t="s">
        <v>290</v>
      </c>
      <c r="D7" s="13" t="s">
        <v>11</v>
      </c>
      <c r="E7" s="13" t="s">
        <v>13</v>
      </c>
      <c r="F7" s="15" t="s">
        <v>14</v>
      </c>
      <c r="G7" s="16">
        <v>27</v>
      </c>
      <c r="H7" s="26">
        <v>96125</v>
      </c>
    </row>
    <row r="8" spans="1:9" s="18" customFormat="1" x14ac:dyDescent="0.25">
      <c r="A8" s="10">
        <v>4</v>
      </c>
      <c r="B8" s="11">
        <v>45892</v>
      </c>
      <c r="C8" s="12" t="s">
        <v>292</v>
      </c>
      <c r="D8" s="13" t="s">
        <v>11</v>
      </c>
      <c r="E8" s="13" t="s">
        <v>13</v>
      </c>
      <c r="F8" s="15" t="s">
        <v>14</v>
      </c>
      <c r="G8" s="16">
        <v>27</v>
      </c>
      <c r="H8" s="26">
        <v>234295</v>
      </c>
    </row>
    <row r="9" spans="1:9" s="18" customFormat="1" x14ac:dyDescent="0.25">
      <c r="A9" s="10">
        <v>5</v>
      </c>
      <c r="B9" s="11">
        <v>45892</v>
      </c>
      <c r="C9" s="12" t="s">
        <v>293</v>
      </c>
      <c r="D9" s="13" t="s">
        <v>11</v>
      </c>
      <c r="E9" s="13" t="s">
        <v>13</v>
      </c>
      <c r="F9" s="15" t="s">
        <v>14</v>
      </c>
      <c r="G9" s="16">
        <v>27</v>
      </c>
      <c r="H9" s="26">
        <v>413400</v>
      </c>
    </row>
    <row r="10" spans="1:9" s="18" customFormat="1" x14ac:dyDescent="0.25">
      <c r="A10" s="10">
        <v>6</v>
      </c>
      <c r="B10" s="11">
        <v>45894</v>
      </c>
      <c r="C10" s="12" t="s">
        <v>294</v>
      </c>
      <c r="D10" s="13" t="s">
        <v>11</v>
      </c>
      <c r="E10" s="13" t="s">
        <v>13</v>
      </c>
      <c r="F10" s="15" t="s">
        <v>14</v>
      </c>
      <c r="G10" s="16">
        <v>25</v>
      </c>
      <c r="H10" s="26">
        <v>18025</v>
      </c>
    </row>
    <row r="11" spans="1:9" s="18" customFormat="1" x14ac:dyDescent="0.25">
      <c r="A11" s="10">
        <v>7</v>
      </c>
      <c r="B11" s="11">
        <v>45894</v>
      </c>
      <c r="C11" s="12" t="s">
        <v>295</v>
      </c>
      <c r="D11" s="13" t="s">
        <v>11</v>
      </c>
      <c r="E11" s="13" t="s">
        <v>13</v>
      </c>
      <c r="F11" s="15" t="s">
        <v>14</v>
      </c>
      <c r="G11" s="16">
        <v>25</v>
      </c>
      <c r="H11" s="26">
        <v>33645</v>
      </c>
    </row>
    <row r="12" spans="1:9" s="18" customFormat="1" x14ac:dyDescent="0.25">
      <c r="A12" s="10">
        <v>8</v>
      </c>
      <c r="B12" s="11">
        <v>45894</v>
      </c>
      <c r="C12" s="12" t="s">
        <v>296</v>
      </c>
      <c r="D12" s="13" t="s">
        <v>11</v>
      </c>
      <c r="E12" s="13" t="s">
        <v>13</v>
      </c>
      <c r="F12" s="15" t="s">
        <v>14</v>
      </c>
      <c r="G12" s="16">
        <v>25</v>
      </c>
      <c r="H12" s="26">
        <v>33645</v>
      </c>
    </row>
    <row r="13" spans="1:9" s="18" customFormat="1" x14ac:dyDescent="0.25">
      <c r="A13" s="10">
        <v>9</v>
      </c>
      <c r="B13" s="11">
        <v>45894</v>
      </c>
      <c r="C13" s="12" t="s">
        <v>297</v>
      </c>
      <c r="D13" s="13" t="s">
        <v>11</v>
      </c>
      <c r="E13" s="13" t="s">
        <v>13</v>
      </c>
      <c r="F13" s="15" t="s">
        <v>14</v>
      </c>
      <c r="G13" s="16">
        <v>25</v>
      </c>
      <c r="H13" s="26">
        <v>42075</v>
      </c>
    </row>
    <row r="14" spans="1:9" s="18" customFormat="1" x14ac:dyDescent="0.25">
      <c r="A14" s="10">
        <v>10</v>
      </c>
      <c r="B14" s="11">
        <v>45894</v>
      </c>
      <c r="C14" s="12" t="s">
        <v>298</v>
      </c>
      <c r="D14" s="13" t="s">
        <v>11</v>
      </c>
      <c r="E14" s="13" t="s">
        <v>13</v>
      </c>
      <c r="F14" s="15" t="s">
        <v>14</v>
      </c>
      <c r="G14" s="16">
        <v>25</v>
      </c>
      <c r="H14" s="26">
        <v>80501</v>
      </c>
    </row>
    <row r="15" spans="1:9" s="18" customFormat="1" x14ac:dyDescent="0.25">
      <c r="A15" s="10">
        <v>11</v>
      </c>
      <c r="B15" s="11">
        <v>45894</v>
      </c>
      <c r="C15" s="12" t="s">
        <v>299</v>
      </c>
      <c r="D15" s="13" t="s">
        <v>11</v>
      </c>
      <c r="E15" s="13" t="s">
        <v>13</v>
      </c>
      <c r="F15" s="15" t="s">
        <v>14</v>
      </c>
      <c r="G15" s="16">
        <v>25</v>
      </c>
      <c r="H15" s="26">
        <v>80501</v>
      </c>
    </row>
    <row r="16" spans="1:9" s="18" customFormat="1" x14ac:dyDescent="0.25">
      <c r="A16" s="10">
        <v>12</v>
      </c>
      <c r="B16" s="11">
        <v>45894</v>
      </c>
      <c r="C16" s="12" t="s">
        <v>300</v>
      </c>
      <c r="D16" s="13" t="s">
        <v>11</v>
      </c>
      <c r="E16" s="13" t="s">
        <v>13</v>
      </c>
      <c r="F16" s="15" t="s">
        <v>14</v>
      </c>
      <c r="G16" s="16">
        <v>25</v>
      </c>
      <c r="H16" s="26">
        <v>82905</v>
      </c>
    </row>
    <row r="17" spans="1:8" s="18" customFormat="1" x14ac:dyDescent="0.25">
      <c r="A17" s="10">
        <v>13</v>
      </c>
      <c r="B17" s="11">
        <v>45894</v>
      </c>
      <c r="C17" s="12" t="s">
        <v>302</v>
      </c>
      <c r="D17" s="13" t="s">
        <v>11</v>
      </c>
      <c r="E17" s="13" t="s">
        <v>13</v>
      </c>
      <c r="F17" s="15" t="s">
        <v>14</v>
      </c>
      <c r="G17" s="16">
        <v>25</v>
      </c>
      <c r="H17" s="26">
        <v>106935</v>
      </c>
    </row>
    <row r="18" spans="1:8" s="18" customFormat="1" x14ac:dyDescent="0.25">
      <c r="A18" s="10">
        <v>14</v>
      </c>
      <c r="B18" s="11">
        <v>45894</v>
      </c>
      <c r="C18" s="12" t="s">
        <v>303</v>
      </c>
      <c r="D18" s="13" t="s">
        <v>11</v>
      </c>
      <c r="E18" s="13" t="s">
        <v>13</v>
      </c>
      <c r="F18" s="15" t="s">
        <v>14</v>
      </c>
      <c r="G18" s="16">
        <v>25</v>
      </c>
      <c r="H18" s="26">
        <v>108135</v>
      </c>
    </row>
    <row r="19" spans="1:8" s="18" customFormat="1" x14ac:dyDescent="0.25">
      <c r="A19" s="10">
        <v>15</v>
      </c>
      <c r="B19" s="11">
        <v>45894</v>
      </c>
      <c r="C19" s="12" t="s">
        <v>304</v>
      </c>
      <c r="D19" s="13" t="s">
        <v>11</v>
      </c>
      <c r="E19" s="13" t="s">
        <v>13</v>
      </c>
      <c r="F19" s="15" t="s">
        <v>14</v>
      </c>
      <c r="G19" s="16">
        <v>25</v>
      </c>
      <c r="H19" s="26">
        <v>112945</v>
      </c>
    </row>
    <row r="20" spans="1:8" s="18" customFormat="1" x14ac:dyDescent="0.25">
      <c r="A20" s="10">
        <v>16</v>
      </c>
      <c r="B20" s="11">
        <v>45894</v>
      </c>
      <c r="C20" s="12" t="s">
        <v>305</v>
      </c>
      <c r="D20" s="13" t="s">
        <v>11</v>
      </c>
      <c r="E20" s="13" t="s">
        <v>13</v>
      </c>
      <c r="F20" s="15" t="s">
        <v>14</v>
      </c>
      <c r="G20" s="16">
        <v>25</v>
      </c>
      <c r="H20" s="26">
        <v>112945</v>
      </c>
    </row>
    <row r="21" spans="1:8" s="18" customFormat="1" x14ac:dyDescent="0.25">
      <c r="A21" s="10">
        <v>17</v>
      </c>
      <c r="B21" s="11">
        <v>45894</v>
      </c>
      <c r="C21" s="12" t="s">
        <v>306</v>
      </c>
      <c r="D21" s="13" t="s">
        <v>11</v>
      </c>
      <c r="E21" s="13" t="s">
        <v>13</v>
      </c>
      <c r="F21" s="15" t="s">
        <v>14</v>
      </c>
      <c r="G21" s="16">
        <v>25</v>
      </c>
      <c r="H21" s="26">
        <v>118950</v>
      </c>
    </row>
    <row r="22" spans="1:8" s="18" customFormat="1" x14ac:dyDescent="0.25">
      <c r="A22" s="10">
        <v>18</v>
      </c>
      <c r="B22" s="11">
        <v>45894</v>
      </c>
      <c r="C22" s="12" t="s">
        <v>307</v>
      </c>
      <c r="D22" s="13" t="s">
        <v>11</v>
      </c>
      <c r="E22" s="13" t="s">
        <v>13</v>
      </c>
      <c r="F22" s="15" t="s">
        <v>14</v>
      </c>
      <c r="G22" s="16">
        <v>25</v>
      </c>
      <c r="H22" s="26">
        <v>118950</v>
      </c>
    </row>
    <row r="23" spans="1:8" s="18" customFormat="1" x14ac:dyDescent="0.25">
      <c r="A23" s="10">
        <v>19</v>
      </c>
      <c r="B23" s="11">
        <v>45894</v>
      </c>
      <c r="C23" s="12" t="s">
        <v>308</v>
      </c>
      <c r="D23" s="13" t="s">
        <v>11</v>
      </c>
      <c r="E23" s="13" t="s">
        <v>13</v>
      </c>
      <c r="F23" s="15" t="s">
        <v>14</v>
      </c>
      <c r="G23" s="16">
        <v>25</v>
      </c>
      <c r="H23" s="26">
        <v>148990</v>
      </c>
    </row>
    <row r="24" spans="1:8" s="18" customFormat="1" x14ac:dyDescent="0.25">
      <c r="A24" s="10">
        <v>20</v>
      </c>
      <c r="B24" s="11">
        <v>45894</v>
      </c>
      <c r="C24" s="12" t="s">
        <v>309</v>
      </c>
      <c r="D24" s="13" t="s">
        <v>11</v>
      </c>
      <c r="E24" s="13" t="s">
        <v>13</v>
      </c>
      <c r="F24" s="15" t="s">
        <v>14</v>
      </c>
      <c r="G24" s="16">
        <v>25</v>
      </c>
      <c r="H24" s="26">
        <v>154050</v>
      </c>
    </row>
    <row r="25" spans="1:8" s="18" customFormat="1" x14ac:dyDescent="0.25">
      <c r="A25" s="10">
        <v>21</v>
      </c>
      <c r="B25" s="11">
        <v>45894</v>
      </c>
      <c r="C25" s="12" t="s">
        <v>310</v>
      </c>
      <c r="D25" s="13" t="s">
        <v>11</v>
      </c>
      <c r="E25" s="13" t="s">
        <v>13</v>
      </c>
      <c r="F25" s="15" t="s">
        <v>14</v>
      </c>
      <c r="G25" s="16">
        <v>25</v>
      </c>
      <c r="H25" s="26">
        <v>162206</v>
      </c>
    </row>
    <row r="26" spans="1:8" s="18" customFormat="1" x14ac:dyDescent="0.25">
      <c r="A26" s="10">
        <v>22</v>
      </c>
      <c r="B26" s="11">
        <v>45894</v>
      </c>
      <c r="C26" s="12" t="s">
        <v>311</v>
      </c>
      <c r="D26" s="13" t="s">
        <v>11</v>
      </c>
      <c r="E26" s="13" t="s">
        <v>13</v>
      </c>
      <c r="F26" s="15" t="s">
        <v>14</v>
      </c>
      <c r="G26" s="16">
        <v>25</v>
      </c>
      <c r="H26" s="26">
        <v>177750</v>
      </c>
    </row>
    <row r="27" spans="1:8" s="18" customFormat="1" x14ac:dyDescent="0.25">
      <c r="A27" s="10">
        <v>23</v>
      </c>
      <c r="B27" s="11">
        <v>45894</v>
      </c>
      <c r="C27" s="12" t="s">
        <v>312</v>
      </c>
      <c r="D27" s="13" t="s">
        <v>11</v>
      </c>
      <c r="E27" s="13" t="s">
        <v>13</v>
      </c>
      <c r="F27" s="15" t="s">
        <v>14</v>
      </c>
      <c r="G27" s="16">
        <v>25</v>
      </c>
      <c r="H27" s="26">
        <v>234295</v>
      </c>
    </row>
    <row r="28" spans="1:8" s="18" customFormat="1" x14ac:dyDescent="0.25">
      <c r="A28" s="10">
        <v>24</v>
      </c>
      <c r="B28" s="11">
        <v>45894</v>
      </c>
      <c r="C28" s="12" t="s">
        <v>313</v>
      </c>
      <c r="D28" s="13" t="s">
        <v>11</v>
      </c>
      <c r="E28" s="13" t="s">
        <v>13</v>
      </c>
      <c r="F28" s="15" t="s">
        <v>14</v>
      </c>
      <c r="G28" s="16">
        <v>25</v>
      </c>
      <c r="H28" s="26">
        <v>234295</v>
      </c>
    </row>
    <row r="29" spans="1:8" s="18" customFormat="1" x14ac:dyDescent="0.25">
      <c r="A29" s="10">
        <v>25</v>
      </c>
      <c r="B29" s="11">
        <v>45894</v>
      </c>
      <c r="C29" s="12" t="s">
        <v>314</v>
      </c>
      <c r="D29" s="13" t="s">
        <v>11</v>
      </c>
      <c r="E29" s="13" t="s">
        <v>13</v>
      </c>
      <c r="F29" s="15" t="s">
        <v>14</v>
      </c>
      <c r="G29" s="16">
        <v>25</v>
      </c>
      <c r="H29" s="26">
        <v>260750</v>
      </c>
    </row>
    <row r="30" spans="1:8" s="18" customFormat="1" x14ac:dyDescent="0.25">
      <c r="A30" s="10">
        <v>26</v>
      </c>
      <c r="B30" s="11">
        <v>45894</v>
      </c>
      <c r="C30" s="12" t="s">
        <v>315</v>
      </c>
      <c r="D30" s="13" t="s">
        <v>11</v>
      </c>
      <c r="E30" s="13" t="s">
        <v>13</v>
      </c>
      <c r="F30" s="15" t="s">
        <v>14</v>
      </c>
      <c r="G30" s="16">
        <v>25</v>
      </c>
      <c r="H30" s="26">
        <v>272760</v>
      </c>
    </row>
    <row r="31" spans="1:8" s="18" customFormat="1" x14ac:dyDescent="0.25">
      <c r="A31" s="10">
        <v>27</v>
      </c>
      <c r="B31" s="11">
        <v>45894</v>
      </c>
      <c r="C31" s="12" t="s">
        <v>316</v>
      </c>
      <c r="D31" s="13" t="s">
        <v>11</v>
      </c>
      <c r="E31" s="13" t="s">
        <v>13</v>
      </c>
      <c r="F31" s="15" t="s">
        <v>14</v>
      </c>
      <c r="G31" s="16">
        <v>25</v>
      </c>
      <c r="H31" s="26">
        <v>472875</v>
      </c>
    </row>
    <row r="32" spans="1:8" s="18" customFormat="1" x14ac:dyDescent="0.25">
      <c r="A32" s="10">
        <v>28</v>
      </c>
      <c r="B32" s="11">
        <v>45894</v>
      </c>
      <c r="C32" s="12" t="s">
        <v>318</v>
      </c>
      <c r="D32" s="13" t="s">
        <v>11</v>
      </c>
      <c r="E32" s="13" t="s">
        <v>13</v>
      </c>
      <c r="F32" s="15" t="s">
        <v>14</v>
      </c>
      <c r="G32" s="16">
        <v>25</v>
      </c>
      <c r="H32" s="26">
        <v>746625</v>
      </c>
    </row>
    <row r="33" spans="1:8" s="18" customFormat="1" x14ac:dyDescent="0.25">
      <c r="A33" s="10">
        <v>29</v>
      </c>
      <c r="B33" s="11">
        <v>45894</v>
      </c>
      <c r="C33" s="12" t="s">
        <v>319</v>
      </c>
      <c r="D33" s="13" t="s">
        <v>11</v>
      </c>
      <c r="E33" s="13" t="s">
        <v>13</v>
      </c>
      <c r="F33" s="15" t="s">
        <v>14</v>
      </c>
      <c r="G33" s="16">
        <v>25</v>
      </c>
      <c r="H33" s="26">
        <v>1225290</v>
      </c>
    </row>
    <row r="34" spans="1:8" s="18" customFormat="1" x14ac:dyDescent="0.25">
      <c r="A34" s="10">
        <v>30</v>
      </c>
      <c r="B34" s="11">
        <v>45895</v>
      </c>
      <c r="C34" s="12" t="s">
        <v>323</v>
      </c>
      <c r="D34" s="13" t="s">
        <v>11</v>
      </c>
      <c r="E34" s="13" t="s">
        <v>13</v>
      </c>
      <c r="F34" s="15" t="s">
        <v>14</v>
      </c>
      <c r="G34" s="16">
        <v>24</v>
      </c>
      <c r="H34" s="26">
        <v>53475</v>
      </c>
    </row>
    <row r="35" spans="1:8" s="18" customFormat="1" x14ac:dyDescent="0.25">
      <c r="A35" s="10">
        <v>31</v>
      </c>
      <c r="B35" s="11">
        <v>45895</v>
      </c>
      <c r="C35" s="12" t="s">
        <v>324</v>
      </c>
      <c r="D35" s="13" t="s">
        <v>11</v>
      </c>
      <c r="E35" s="13" t="s">
        <v>13</v>
      </c>
      <c r="F35" s="15" t="s">
        <v>14</v>
      </c>
      <c r="G35" s="16">
        <v>24</v>
      </c>
      <c r="H35" s="26">
        <v>55275</v>
      </c>
    </row>
    <row r="36" spans="1:8" s="18" customFormat="1" x14ac:dyDescent="0.25">
      <c r="A36" s="10">
        <v>32</v>
      </c>
      <c r="B36" s="11">
        <v>45895</v>
      </c>
      <c r="C36" s="12" t="s">
        <v>325</v>
      </c>
      <c r="D36" s="13" t="s">
        <v>11</v>
      </c>
      <c r="E36" s="13" t="s">
        <v>13</v>
      </c>
      <c r="F36" s="15" t="s">
        <v>14</v>
      </c>
      <c r="G36" s="16">
        <v>24</v>
      </c>
      <c r="H36" s="26">
        <v>80501</v>
      </c>
    </row>
    <row r="37" spans="1:8" s="18" customFormat="1" x14ac:dyDescent="0.25">
      <c r="A37" s="10">
        <v>33</v>
      </c>
      <c r="B37" s="11">
        <v>45895</v>
      </c>
      <c r="C37" s="12" t="s">
        <v>326</v>
      </c>
      <c r="D37" s="13" t="s">
        <v>11</v>
      </c>
      <c r="E37" s="13" t="s">
        <v>13</v>
      </c>
      <c r="F37" s="15" t="s">
        <v>14</v>
      </c>
      <c r="G37" s="16">
        <v>24</v>
      </c>
      <c r="H37" s="26">
        <v>108135</v>
      </c>
    </row>
    <row r="38" spans="1:8" s="18" customFormat="1" x14ac:dyDescent="0.25">
      <c r="A38" s="10">
        <v>34</v>
      </c>
      <c r="B38" s="11">
        <v>45895</v>
      </c>
      <c r="C38" s="12" t="s">
        <v>327</v>
      </c>
      <c r="D38" s="13" t="s">
        <v>11</v>
      </c>
      <c r="E38" s="13" t="s">
        <v>13</v>
      </c>
      <c r="F38" s="15" t="s">
        <v>14</v>
      </c>
      <c r="G38" s="16">
        <v>24</v>
      </c>
      <c r="H38" s="26">
        <v>112945</v>
      </c>
    </row>
    <row r="39" spans="1:8" s="18" customFormat="1" x14ac:dyDescent="0.25">
      <c r="A39" s="10">
        <v>35</v>
      </c>
      <c r="B39" s="11">
        <v>45895</v>
      </c>
      <c r="C39" s="12" t="s">
        <v>328</v>
      </c>
      <c r="D39" s="13" t="s">
        <v>11</v>
      </c>
      <c r="E39" s="13" t="s">
        <v>13</v>
      </c>
      <c r="F39" s="15" t="s">
        <v>14</v>
      </c>
      <c r="G39" s="16">
        <v>24</v>
      </c>
      <c r="H39" s="26">
        <v>118950</v>
      </c>
    </row>
    <row r="40" spans="1:8" s="18" customFormat="1" x14ac:dyDescent="0.25">
      <c r="A40" s="10">
        <v>36</v>
      </c>
      <c r="B40" s="11">
        <v>45895</v>
      </c>
      <c r="C40" s="12" t="s">
        <v>329</v>
      </c>
      <c r="D40" s="13" t="s">
        <v>11</v>
      </c>
      <c r="E40" s="13" t="s">
        <v>13</v>
      </c>
      <c r="F40" s="15" t="s">
        <v>14</v>
      </c>
      <c r="G40" s="16">
        <v>24</v>
      </c>
      <c r="H40" s="26">
        <v>126175</v>
      </c>
    </row>
    <row r="41" spans="1:8" s="18" customFormat="1" x14ac:dyDescent="0.25">
      <c r="A41" s="10">
        <v>37</v>
      </c>
      <c r="B41" s="11">
        <v>45895</v>
      </c>
      <c r="C41" s="12" t="s">
        <v>331</v>
      </c>
      <c r="D41" s="13" t="s">
        <v>11</v>
      </c>
      <c r="E41" s="13" t="s">
        <v>13</v>
      </c>
      <c r="F41" s="15" t="s">
        <v>14</v>
      </c>
      <c r="G41" s="16">
        <v>24</v>
      </c>
      <c r="H41" s="26">
        <v>316645</v>
      </c>
    </row>
    <row r="42" spans="1:8" s="18" customFormat="1" x14ac:dyDescent="0.25">
      <c r="A42" s="10">
        <v>38</v>
      </c>
      <c r="B42" s="11">
        <v>45895</v>
      </c>
      <c r="C42" s="12" t="s">
        <v>332</v>
      </c>
      <c r="D42" s="13" t="s">
        <v>11</v>
      </c>
      <c r="E42" s="13" t="s">
        <v>13</v>
      </c>
      <c r="F42" s="15" t="s">
        <v>14</v>
      </c>
      <c r="G42" s="16">
        <v>24</v>
      </c>
      <c r="H42" s="26">
        <v>338835</v>
      </c>
    </row>
    <row r="43" spans="1:8" s="18" customFormat="1" x14ac:dyDescent="0.25">
      <c r="A43" s="10">
        <v>39</v>
      </c>
      <c r="B43" s="11">
        <v>45895</v>
      </c>
      <c r="C43" s="12" t="s">
        <v>333</v>
      </c>
      <c r="D43" s="13" t="s">
        <v>11</v>
      </c>
      <c r="E43" s="13" t="s">
        <v>13</v>
      </c>
      <c r="F43" s="15" t="s">
        <v>14</v>
      </c>
      <c r="G43" s="16">
        <v>24</v>
      </c>
      <c r="H43" s="26">
        <v>514325</v>
      </c>
    </row>
    <row r="44" spans="1:8" s="18" customFormat="1" x14ac:dyDescent="0.25">
      <c r="A44" s="10">
        <v>40</v>
      </c>
      <c r="B44" s="11">
        <v>45895</v>
      </c>
      <c r="C44" s="12" t="s">
        <v>334</v>
      </c>
      <c r="D44" s="13" t="s">
        <v>11</v>
      </c>
      <c r="E44" s="13" t="s">
        <v>13</v>
      </c>
      <c r="F44" s="15" t="s">
        <v>14</v>
      </c>
      <c r="G44" s="16">
        <v>24</v>
      </c>
      <c r="H44" s="26">
        <v>703890</v>
      </c>
    </row>
    <row r="45" spans="1:8" s="18" customFormat="1" x14ac:dyDescent="0.25">
      <c r="A45" s="10">
        <v>41</v>
      </c>
      <c r="B45" s="11">
        <v>45896</v>
      </c>
      <c r="C45" s="12" t="s">
        <v>335</v>
      </c>
      <c r="D45" s="13" t="s">
        <v>11</v>
      </c>
      <c r="E45" s="13" t="s">
        <v>13</v>
      </c>
      <c r="F45" s="15" t="s">
        <v>14</v>
      </c>
      <c r="G45" s="16">
        <v>23</v>
      </c>
      <c r="H45" s="26">
        <v>19825</v>
      </c>
    </row>
    <row r="46" spans="1:8" s="18" customFormat="1" x14ac:dyDescent="0.25">
      <c r="A46" s="10">
        <v>42</v>
      </c>
      <c r="B46" s="11">
        <v>45896</v>
      </c>
      <c r="C46" s="12" t="s">
        <v>336</v>
      </c>
      <c r="D46" s="13" t="s">
        <v>11</v>
      </c>
      <c r="E46" s="13" t="s">
        <v>13</v>
      </c>
      <c r="F46" s="15" t="s">
        <v>14</v>
      </c>
      <c r="G46" s="16">
        <v>23</v>
      </c>
      <c r="H46" s="26">
        <v>24035</v>
      </c>
    </row>
    <row r="47" spans="1:8" s="18" customFormat="1" x14ac:dyDescent="0.25">
      <c r="A47" s="10">
        <v>43</v>
      </c>
      <c r="B47" s="11">
        <v>45896</v>
      </c>
      <c r="C47" s="12" t="s">
        <v>337</v>
      </c>
      <c r="D47" s="13" t="s">
        <v>11</v>
      </c>
      <c r="E47" s="13" t="s">
        <v>13</v>
      </c>
      <c r="F47" s="15" t="s">
        <v>14</v>
      </c>
      <c r="G47" s="16">
        <v>23</v>
      </c>
      <c r="H47" s="26">
        <v>28235</v>
      </c>
    </row>
    <row r="48" spans="1:8" s="18" customFormat="1" x14ac:dyDescent="0.25">
      <c r="A48" s="10">
        <v>44</v>
      </c>
      <c r="B48" s="11">
        <v>45896</v>
      </c>
      <c r="C48" s="12" t="s">
        <v>338</v>
      </c>
      <c r="D48" s="13" t="s">
        <v>11</v>
      </c>
      <c r="E48" s="13" t="s">
        <v>13</v>
      </c>
      <c r="F48" s="15" t="s">
        <v>14</v>
      </c>
      <c r="G48" s="16">
        <v>23</v>
      </c>
      <c r="H48" s="26">
        <v>64885</v>
      </c>
    </row>
    <row r="49" spans="1:8" s="18" customFormat="1" x14ac:dyDescent="0.25">
      <c r="A49" s="10">
        <v>45</v>
      </c>
      <c r="B49" s="11">
        <v>45896</v>
      </c>
      <c r="C49" s="12" t="s">
        <v>339</v>
      </c>
      <c r="D49" s="13" t="s">
        <v>11</v>
      </c>
      <c r="E49" s="13" t="s">
        <v>13</v>
      </c>
      <c r="F49" s="15" t="s">
        <v>14</v>
      </c>
      <c r="G49" s="16">
        <v>23</v>
      </c>
      <c r="H49" s="26">
        <v>91315</v>
      </c>
    </row>
    <row r="50" spans="1:8" s="18" customFormat="1" x14ac:dyDescent="0.25">
      <c r="A50" s="10">
        <v>46</v>
      </c>
      <c r="B50" s="11">
        <v>45896</v>
      </c>
      <c r="C50" s="12" t="s">
        <v>340</v>
      </c>
      <c r="D50" s="13" t="s">
        <v>11</v>
      </c>
      <c r="E50" s="13" t="s">
        <v>13</v>
      </c>
      <c r="F50" s="15" t="s">
        <v>14</v>
      </c>
      <c r="G50" s="16">
        <v>23</v>
      </c>
      <c r="H50" s="26">
        <v>103350</v>
      </c>
    </row>
    <row r="51" spans="1:8" s="18" customFormat="1" x14ac:dyDescent="0.25">
      <c r="A51" s="10">
        <v>47</v>
      </c>
      <c r="B51" s="11">
        <v>45896</v>
      </c>
      <c r="C51" s="12" t="s">
        <v>341</v>
      </c>
      <c r="D51" s="13" t="s">
        <v>11</v>
      </c>
      <c r="E51" s="13" t="s">
        <v>13</v>
      </c>
      <c r="F51" s="15" t="s">
        <v>14</v>
      </c>
      <c r="G51" s="16">
        <v>23</v>
      </c>
      <c r="H51" s="26">
        <v>112945</v>
      </c>
    </row>
    <row r="52" spans="1:8" s="18" customFormat="1" x14ac:dyDescent="0.25">
      <c r="A52" s="10">
        <v>48</v>
      </c>
      <c r="B52" s="11">
        <v>45896</v>
      </c>
      <c r="C52" s="12" t="s">
        <v>342</v>
      </c>
      <c r="D52" s="13" t="s">
        <v>11</v>
      </c>
      <c r="E52" s="13" t="s">
        <v>13</v>
      </c>
      <c r="F52" s="15" t="s">
        <v>14</v>
      </c>
      <c r="G52" s="16">
        <v>23</v>
      </c>
      <c r="H52" s="26">
        <v>112945</v>
      </c>
    </row>
    <row r="53" spans="1:8" s="18" customFormat="1" x14ac:dyDescent="0.25">
      <c r="A53" s="10">
        <v>49</v>
      </c>
      <c r="B53" s="11">
        <v>45896</v>
      </c>
      <c r="C53" s="12" t="s">
        <v>343</v>
      </c>
      <c r="D53" s="13" t="s">
        <v>11</v>
      </c>
      <c r="E53" s="13" t="s">
        <v>13</v>
      </c>
      <c r="F53" s="15" t="s">
        <v>14</v>
      </c>
      <c r="G53" s="16">
        <v>23</v>
      </c>
      <c r="H53" s="26">
        <v>161002</v>
      </c>
    </row>
    <row r="54" spans="1:8" s="18" customFormat="1" x14ac:dyDescent="0.25">
      <c r="A54" s="10">
        <v>50</v>
      </c>
      <c r="B54" s="11">
        <v>45896</v>
      </c>
      <c r="C54" s="12" t="s">
        <v>344</v>
      </c>
      <c r="D54" s="13" t="s">
        <v>11</v>
      </c>
      <c r="E54" s="13" t="s">
        <v>13</v>
      </c>
      <c r="F54" s="15" t="s">
        <v>14</v>
      </c>
      <c r="G54" s="16">
        <v>23</v>
      </c>
      <c r="H54" s="26">
        <v>216275</v>
      </c>
    </row>
    <row r="55" spans="1:8" s="18" customFormat="1" x14ac:dyDescent="0.25">
      <c r="A55" s="10">
        <v>51</v>
      </c>
      <c r="B55" s="11">
        <v>45896</v>
      </c>
      <c r="C55" s="12" t="s">
        <v>345</v>
      </c>
      <c r="D55" s="13" t="s">
        <v>11</v>
      </c>
      <c r="E55" s="13" t="s">
        <v>13</v>
      </c>
      <c r="F55" s="15" t="s">
        <v>14</v>
      </c>
      <c r="G55" s="16">
        <v>23</v>
      </c>
      <c r="H55" s="26">
        <v>337725</v>
      </c>
    </row>
    <row r="56" spans="1:8" s="18" customFormat="1" x14ac:dyDescent="0.25">
      <c r="A56" s="10">
        <v>52</v>
      </c>
      <c r="B56" s="11">
        <v>45896</v>
      </c>
      <c r="C56" s="12" t="s">
        <v>346</v>
      </c>
      <c r="D56" s="13" t="s">
        <v>11</v>
      </c>
      <c r="E56" s="13" t="s">
        <v>13</v>
      </c>
      <c r="F56" s="15" t="s">
        <v>14</v>
      </c>
      <c r="G56" s="16">
        <v>23</v>
      </c>
      <c r="H56" s="26">
        <v>400750</v>
      </c>
    </row>
    <row r="57" spans="1:8" s="18" customFormat="1" x14ac:dyDescent="0.25">
      <c r="A57" s="10">
        <v>53</v>
      </c>
      <c r="B57" s="11">
        <v>45897</v>
      </c>
      <c r="C57" s="12" t="s">
        <v>371</v>
      </c>
      <c r="D57" s="13" t="s">
        <v>11</v>
      </c>
      <c r="E57" s="13" t="s">
        <v>13</v>
      </c>
      <c r="F57" s="15" t="s">
        <v>14</v>
      </c>
      <c r="G57" s="16">
        <v>22</v>
      </c>
      <c r="H57" s="26">
        <v>74495</v>
      </c>
    </row>
    <row r="58" spans="1:8" s="18" customFormat="1" x14ac:dyDescent="0.25">
      <c r="A58" s="10">
        <v>54</v>
      </c>
      <c r="B58" s="11">
        <v>45897</v>
      </c>
      <c r="C58" s="12" t="s">
        <v>368</v>
      </c>
      <c r="D58" s="13" t="s">
        <v>11</v>
      </c>
      <c r="E58" s="13" t="s">
        <v>13</v>
      </c>
      <c r="F58" s="15" t="s">
        <v>14</v>
      </c>
      <c r="G58" s="16">
        <v>22</v>
      </c>
      <c r="H58" s="26">
        <v>80501</v>
      </c>
    </row>
    <row r="59" spans="1:8" s="18" customFormat="1" x14ac:dyDescent="0.25">
      <c r="A59" s="10">
        <v>55</v>
      </c>
      <c r="B59" s="11">
        <v>45897</v>
      </c>
      <c r="C59" s="12" t="s">
        <v>370</v>
      </c>
      <c r="D59" s="13" t="s">
        <v>11</v>
      </c>
      <c r="E59" s="13" t="s">
        <v>13</v>
      </c>
      <c r="F59" s="15" t="s">
        <v>14</v>
      </c>
      <c r="G59" s="16">
        <v>22</v>
      </c>
      <c r="H59" s="26">
        <v>81705</v>
      </c>
    </row>
    <row r="60" spans="1:8" s="18" customFormat="1" x14ac:dyDescent="0.25">
      <c r="A60" s="10">
        <v>56</v>
      </c>
      <c r="B60" s="11">
        <v>45897</v>
      </c>
      <c r="C60" s="12" t="s">
        <v>372</v>
      </c>
      <c r="D60" s="13" t="s">
        <v>11</v>
      </c>
      <c r="E60" s="13" t="s">
        <v>13</v>
      </c>
      <c r="F60" s="15" t="s">
        <v>14</v>
      </c>
      <c r="G60" s="16">
        <v>22</v>
      </c>
      <c r="H60" s="26">
        <v>112945</v>
      </c>
    </row>
    <row r="61" spans="1:8" s="18" customFormat="1" x14ac:dyDescent="0.25">
      <c r="A61" s="10">
        <v>57</v>
      </c>
      <c r="B61" s="11">
        <v>45897</v>
      </c>
      <c r="C61" s="12" t="s">
        <v>367</v>
      </c>
      <c r="D61" s="13" t="s">
        <v>11</v>
      </c>
      <c r="E61" s="13" t="s">
        <v>13</v>
      </c>
      <c r="F61" s="15" t="s">
        <v>14</v>
      </c>
      <c r="G61" s="16">
        <v>22</v>
      </c>
      <c r="H61" s="26">
        <v>114145</v>
      </c>
    </row>
    <row r="62" spans="1:8" s="18" customFormat="1" x14ac:dyDescent="0.25">
      <c r="A62" s="10">
        <v>58</v>
      </c>
      <c r="B62" s="11">
        <v>45897</v>
      </c>
      <c r="C62" s="12" t="s">
        <v>369</v>
      </c>
      <c r="D62" s="13" t="s">
        <v>11</v>
      </c>
      <c r="E62" s="13" t="s">
        <v>13</v>
      </c>
      <c r="F62" s="15" t="s">
        <v>14</v>
      </c>
      <c r="G62" s="16">
        <v>22</v>
      </c>
      <c r="H62" s="26">
        <v>123155</v>
      </c>
    </row>
    <row r="63" spans="1:8" s="18" customFormat="1" x14ac:dyDescent="0.25">
      <c r="A63" s="10">
        <v>59</v>
      </c>
      <c r="B63" s="11">
        <v>45897</v>
      </c>
      <c r="C63" s="12" t="s">
        <v>366</v>
      </c>
      <c r="D63" s="13" t="s">
        <v>11</v>
      </c>
      <c r="E63" s="13" t="s">
        <v>13</v>
      </c>
      <c r="F63" s="15" t="s">
        <v>14</v>
      </c>
      <c r="G63" s="16">
        <v>22</v>
      </c>
      <c r="H63" s="26">
        <v>160425</v>
      </c>
    </row>
    <row r="64" spans="1:8" s="18" customFormat="1" x14ac:dyDescent="0.25">
      <c r="A64" s="10">
        <v>60</v>
      </c>
      <c r="B64" s="11">
        <v>45897</v>
      </c>
      <c r="C64" s="12" t="s">
        <v>364</v>
      </c>
      <c r="D64" s="13" t="s">
        <v>11</v>
      </c>
      <c r="E64" s="13" t="s">
        <v>13</v>
      </c>
      <c r="F64" s="15" t="s">
        <v>14</v>
      </c>
      <c r="G64" s="16">
        <v>22</v>
      </c>
      <c r="H64" s="26">
        <v>225890</v>
      </c>
    </row>
    <row r="65" spans="1:8" s="18" customFormat="1" x14ac:dyDescent="0.25">
      <c r="A65" s="10">
        <v>61</v>
      </c>
      <c r="B65" s="11">
        <v>45897</v>
      </c>
      <c r="C65" s="12" t="s">
        <v>365</v>
      </c>
      <c r="D65" s="13" t="s">
        <v>11</v>
      </c>
      <c r="E65" s="13" t="s">
        <v>13</v>
      </c>
      <c r="F65" s="15" t="s">
        <v>14</v>
      </c>
      <c r="G65" s="16">
        <v>22</v>
      </c>
      <c r="H65" s="26">
        <v>260750</v>
      </c>
    </row>
    <row r="66" spans="1:8" s="18" customFormat="1" x14ac:dyDescent="0.25">
      <c r="A66" s="10">
        <v>62</v>
      </c>
      <c r="B66" s="11">
        <v>45898</v>
      </c>
      <c r="C66" s="12" t="s">
        <v>378</v>
      </c>
      <c r="D66" s="13" t="s">
        <v>11</v>
      </c>
      <c r="E66" s="13" t="s">
        <v>13</v>
      </c>
      <c r="F66" s="15" t="s">
        <v>14</v>
      </c>
      <c r="G66" s="16">
        <v>21</v>
      </c>
      <c r="H66" s="26">
        <v>64885</v>
      </c>
    </row>
    <row r="67" spans="1:8" s="18" customFormat="1" x14ac:dyDescent="0.25">
      <c r="A67" s="10">
        <v>63</v>
      </c>
      <c r="B67" s="11">
        <v>45898</v>
      </c>
      <c r="C67" s="12" t="s">
        <v>379</v>
      </c>
      <c r="D67" s="13" t="s">
        <v>11</v>
      </c>
      <c r="E67" s="13" t="s">
        <v>13</v>
      </c>
      <c r="F67" s="15" t="s">
        <v>14</v>
      </c>
      <c r="G67" s="16">
        <v>21</v>
      </c>
      <c r="H67" s="26">
        <v>112945</v>
      </c>
    </row>
    <row r="68" spans="1:8" s="18" customFormat="1" x14ac:dyDescent="0.25">
      <c r="A68" s="10">
        <v>64</v>
      </c>
      <c r="B68" s="11">
        <v>45898</v>
      </c>
      <c r="C68" s="12" t="s">
        <v>380</v>
      </c>
      <c r="D68" s="13" t="s">
        <v>11</v>
      </c>
      <c r="E68" s="13" t="s">
        <v>13</v>
      </c>
      <c r="F68" s="15" t="s">
        <v>14</v>
      </c>
      <c r="G68" s="16">
        <v>21</v>
      </c>
      <c r="H68" s="26">
        <v>133975</v>
      </c>
    </row>
    <row r="69" spans="1:8" s="18" customFormat="1" x14ac:dyDescent="0.25">
      <c r="A69" s="10">
        <v>65</v>
      </c>
      <c r="B69" s="11">
        <v>45898</v>
      </c>
      <c r="C69" s="12" t="s">
        <v>381</v>
      </c>
      <c r="D69" s="13" t="s">
        <v>11</v>
      </c>
      <c r="E69" s="13" t="s">
        <v>13</v>
      </c>
      <c r="F69" s="15" t="s">
        <v>14</v>
      </c>
      <c r="G69" s="16">
        <v>21</v>
      </c>
      <c r="H69" s="26">
        <v>171830</v>
      </c>
    </row>
    <row r="70" spans="1:8" s="18" customFormat="1" x14ac:dyDescent="0.25">
      <c r="A70" s="10">
        <v>66</v>
      </c>
      <c r="B70" s="11">
        <v>45898</v>
      </c>
      <c r="C70" s="12" t="s">
        <v>382</v>
      </c>
      <c r="D70" s="13" t="s">
        <v>11</v>
      </c>
      <c r="E70" s="13" t="s">
        <v>13</v>
      </c>
      <c r="F70" s="15" t="s">
        <v>14</v>
      </c>
      <c r="G70" s="16">
        <v>21</v>
      </c>
      <c r="H70" s="26">
        <v>322500</v>
      </c>
    </row>
    <row r="71" spans="1:8" s="18" customFormat="1" x14ac:dyDescent="0.25">
      <c r="A71" s="10">
        <v>67</v>
      </c>
      <c r="B71" s="11">
        <v>45898</v>
      </c>
      <c r="C71" s="12" t="s">
        <v>383</v>
      </c>
      <c r="D71" s="13" t="s">
        <v>11</v>
      </c>
      <c r="E71" s="13" t="s">
        <v>13</v>
      </c>
      <c r="F71" s="15" t="s">
        <v>14</v>
      </c>
      <c r="G71" s="16">
        <v>21</v>
      </c>
      <c r="H71" s="26">
        <v>420675</v>
      </c>
    </row>
    <row r="72" spans="1:8" s="18" customFormat="1" x14ac:dyDescent="0.25">
      <c r="A72" s="10">
        <v>68</v>
      </c>
      <c r="B72" s="11">
        <v>45898</v>
      </c>
      <c r="C72" s="12" t="s">
        <v>384</v>
      </c>
      <c r="D72" s="13" t="s">
        <v>11</v>
      </c>
      <c r="E72" s="13" t="s">
        <v>13</v>
      </c>
      <c r="F72" s="15" t="s">
        <v>14</v>
      </c>
      <c r="G72" s="16">
        <v>21</v>
      </c>
      <c r="H72" s="26">
        <v>556950</v>
      </c>
    </row>
    <row r="73" spans="1:8" s="18" customFormat="1" x14ac:dyDescent="0.25">
      <c r="A73" s="10">
        <v>69</v>
      </c>
      <c r="B73" s="11">
        <v>45899</v>
      </c>
      <c r="C73" s="12" t="s">
        <v>386</v>
      </c>
      <c r="D73" s="13" t="s">
        <v>11</v>
      </c>
      <c r="E73" s="13" t="s">
        <v>13</v>
      </c>
      <c r="F73" s="15" t="s">
        <v>14</v>
      </c>
      <c r="G73" s="16">
        <v>20</v>
      </c>
      <c r="H73" s="26">
        <v>50465</v>
      </c>
    </row>
    <row r="74" spans="1:8" s="18" customFormat="1" x14ac:dyDescent="0.25">
      <c r="A74" s="10">
        <v>70</v>
      </c>
      <c r="B74" s="11">
        <v>45899</v>
      </c>
      <c r="C74" s="12" t="s">
        <v>387</v>
      </c>
      <c r="D74" s="13" t="s">
        <v>11</v>
      </c>
      <c r="E74" s="13" t="s">
        <v>13</v>
      </c>
      <c r="F74" s="15" t="s">
        <v>14</v>
      </c>
      <c r="G74" s="16">
        <v>20</v>
      </c>
      <c r="H74" s="26">
        <v>54075</v>
      </c>
    </row>
    <row r="75" spans="1:8" s="18" customFormat="1" x14ac:dyDescent="0.25">
      <c r="A75" s="10">
        <v>71</v>
      </c>
      <c r="B75" s="11">
        <v>45899</v>
      </c>
      <c r="C75" s="12" t="s">
        <v>388</v>
      </c>
      <c r="D75" s="13" t="s">
        <v>11</v>
      </c>
      <c r="E75" s="13" t="s">
        <v>13</v>
      </c>
      <c r="F75" s="15" t="s">
        <v>14</v>
      </c>
      <c r="G75" s="16">
        <v>20</v>
      </c>
      <c r="H75" s="26">
        <v>62500</v>
      </c>
    </row>
    <row r="76" spans="1:8" s="18" customFormat="1" x14ac:dyDescent="0.25">
      <c r="A76" s="10">
        <v>72</v>
      </c>
      <c r="B76" s="11">
        <v>45899</v>
      </c>
      <c r="C76" s="12" t="s">
        <v>389</v>
      </c>
      <c r="D76" s="13" t="s">
        <v>11</v>
      </c>
      <c r="E76" s="13" t="s">
        <v>13</v>
      </c>
      <c r="F76" s="15" t="s">
        <v>14</v>
      </c>
      <c r="G76" s="16">
        <v>20</v>
      </c>
      <c r="H76" s="26">
        <v>98540</v>
      </c>
    </row>
    <row r="77" spans="1:8" s="18" customFormat="1" x14ac:dyDescent="0.25">
      <c r="A77" s="10">
        <v>73</v>
      </c>
      <c r="B77" s="11">
        <v>45899</v>
      </c>
      <c r="C77" s="12" t="s">
        <v>390</v>
      </c>
      <c r="D77" s="13" t="s">
        <v>11</v>
      </c>
      <c r="E77" s="13" t="s">
        <v>13</v>
      </c>
      <c r="F77" s="15" t="s">
        <v>14</v>
      </c>
      <c r="G77" s="16">
        <v>20</v>
      </c>
      <c r="H77" s="26">
        <v>112945</v>
      </c>
    </row>
    <row r="78" spans="1:8" s="18" customFormat="1" x14ac:dyDescent="0.25">
      <c r="A78" s="10">
        <v>74</v>
      </c>
      <c r="B78" s="11">
        <v>45899</v>
      </c>
      <c r="C78" s="12" t="s">
        <v>391</v>
      </c>
      <c r="D78" s="13" t="s">
        <v>11</v>
      </c>
      <c r="E78" s="13" t="s">
        <v>13</v>
      </c>
      <c r="F78" s="15" t="s">
        <v>14</v>
      </c>
      <c r="G78" s="16">
        <v>20</v>
      </c>
      <c r="H78" s="26">
        <v>112945</v>
      </c>
    </row>
    <row r="79" spans="1:8" s="18" customFormat="1" x14ac:dyDescent="0.25">
      <c r="A79" s="10">
        <v>75</v>
      </c>
      <c r="B79" s="11">
        <v>45899</v>
      </c>
      <c r="C79" s="12" t="s">
        <v>392</v>
      </c>
      <c r="D79" s="13" t="s">
        <v>11</v>
      </c>
      <c r="E79" s="13" t="s">
        <v>13</v>
      </c>
      <c r="F79" s="15" t="s">
        <v>14</v>
      </c>
      <c r="G79" s="16">
        <v>20</v>
      </c>
      <c r="H79" s="26">
        <v>112945</v>
      </c>
    </row>
    <row r="80" spans="1:8" s="18" customFormat="1" x14ac:dyDescent="0.25">
      <c r="A80" s="10">
        <v>76</v>
      </c>
      <c r="B80" s="11">
        <v>45899</v>
      </c>
      <c r="C80" s="12" t="s">
        <v>393</v>
      </c>
      <c r="D80" s="13" t="s">
        <v>11</v>
      </c>
      <c r="E80" s="13" t="s">
        <v>13</v>
      </c>
      <c r="F80" s="15" t="s">
        <v>14</v>
      </c>
      <c r="G80" s="16">
        <v>20</v>
      </c>
      <c r="H80" s="26">
        <v>162205</v>
      </c>
    </row>
    <row r="81" spans="1:8" s="18" customFormat="1" x14ac:dyDescent="0.25">
      <c r="A81" s="10">
        <v>77</v>
      </c>
      <c r="B81" s="11">
        <v>45899</v>
      </c>
      <c r="C81" s="12" t="s">
        <v>394</v>
      </c>
      <c r="D81" s="13" t="s">
        <v>11</v>
      </c>
      <c r="E81" s="13" t="s">
        <v>13</v>
      </c>
      <c r="F81" s="15" t="s">
        <v>14</v>
      </c>
      <c r="G81" s="16">
        <v>20</v>
      </c>
      <c r="H81" s="26">
        <v>171830</v>
      </c>
    </row>
    <row r="82" spans="1:8" s="18" customFormat="1" x14ac:dyDescent="0.25">
      <c r="A82" s="10">
        <v>78</v>
      </c>
      <c r="B82" s="11">
        <v>45899</v>
      </c>
      <c r="C82" s="12" t="s">
        <v>395</v>
      </c>
      <c r="D82" s="13" t="s">
        <v>11</v>
      </c>
      <c r="E82" s="13" t="s">
        <v>13</v>
      </c>
      <c r="F82" s="15" t="s">
        <v>14</v>
      </c>
      <c r="G82" s="16">
        <v>20</v>
      </c>
      <c r="H82" s="26">
        <v>177750</v>
      </c>
    </row>
    <row r="83" spans="1:8" s="18" customFormat="1" x14ac:dyDescent="0.25">
      <c r="A83" s="10">
        <v>79</v>
      </c>
      <c r="B83" s="11">
        <v>45899</v>
      </c>
      <c r="C83" s="12" t="s">
        <v>396</v>
      </c>
      <c r="D83" s="13" t="s">
        <v>11</v>
      </c>
      <c r="E83" s="13" t="s">
        <v>13</v>
      </c>
      <c r="F83" s="15" t="s">
        <v>14</v>
      </c>
      <c r="G83" s="16">
        <v>20</v>
      </c>
      <c r="H83" s="26">
        <v>225890</v>
      </c>
    </row>
    <row r="84" spans="1:8" s="18" customFormat="1" x14ac:dyDescent="0.25">
      <c r="A84" s="10">
        <v>80</v>
      </c>
      <c r="B84" s="11">
        <v>45899</v>
      </c>
      <c r="C84" s="12" t="s">
        <v>397</v>
      </c>
      <c r="D84" s="13" t="s">
        <v>11</v>
      </c>
      <c r="E84" s="13" t="s">
        <v>13</v>
      </c>
      <c r="F84" s="15" t="s">
        <v>14</v>
      </c>
      <c r="G84" s="16">
        <v>20</v>
      </c>
      <c r="H84" s="26">
        <v>671645</v>
      </c>
    </row>
    <row r="85" spans="1:8" s="18" customFormat="1" x14ac:dyDescent="0.25">
      <c r="A85" s="10">
        <v>81</v>
      </c>
      <c r="B85" s="11">
        <v>45901</v>
      </c>
      <c r="C85" s="12" t="s">
        <v>398</v>
      </c>
      <c r="D85" s="13" t="s">
        <v>11</v>
      </c>
      <c r="E85" s="13" t="s">
        <v>13</v>
      </c>
      <c r="F85" s="15" t="s">
        <v>14</v>
      </c>
      <c r="G85" s="16">
        <v>18</v>
      </c>
      <c r="H85" s="26">
        <v>28850</v>
      </c>
    </row>
    <row r="86" spans="1:8" s="18" customFormat="1" x14ac:dyDescent="0.25">
      <c r="A86" s="10">
        <v>82</v>
      </c>
      <c r="B86" s="11">
        <v>45901</v>
      </c>
      <c r="C86" s="12" t="s">
        <v>399</v>
      </c>
      <c r="D86" s="13" t="s">
        <v>11</v>
      </c>
      <c r="E86" s="13" t="s">
        <v>13</v>
      </c>
      <c r="F86" s="15" t="s">
        <v>14</v>
      </c>
      <c r="G86" s="16">
        <v>18</v>
      </c>
      <c r="H86" s="26">
        <v>52265</v>
      </c>
    </row>
    <row r="87" spans="1:8" s="18" customFormat="1" x14ac:dyDescent="0.25">
      <c r="A87" s="10">
        <v>83</v>
      </c>
      <c r="B87" s="11">
        <v>45901</v>
      </c>
      <c r="C87" s="12" t="s">
        <v>400</v>
      </c>
      <c r="D87" s="13" t="s">
        <v>11</v>
      </c>
      <c r="E87" s="13" t="s">
        <v>13</v>
      </c>
      <c r="F87" s="15" t="s">
        <v>14</v>
      </c>
      <c r="G87" s="16">
        <v>18</v>
      </c>
      <c r="H87" s="26">
        <v>66090</v>
      </c>
    </row>
    <row r="88" spans="1:8" s="18" customFormat="1" x14ac:dyDescent="0.25">
      <c r="A88" s="10">
        <v>84</v>
      </c>
      <c r="B88" s="11">
        <v>45901</v>
      </c>
      <c r="C88" s="12" t="s">
        <v>401</v>
      </c>
      <c r="D88" s="13" t="s">
        <v>11</v>
      </c>
      <c r="E88" s="13" t="s">
        <v>13</v>
      </c>
      <c r="F88" s="15" t="s">
        <v>14</v>
      </c>
      <c r="G88" s="16">
        <v>18</v>
      </c>
      <c r="H88" s="26">
        <v>74495</v>
      </c>
    </row>
    <row r="89" spans="1:8" s="18" customFormat="1" x14ac:dyDescent="0.25">
      <c r="A89" s="10">
        <v>85</v>
      </c>
      <c r="B89" s="11">
        <v>45901</v>
      </c>
      <c r="C89" s="12" t="s">
        <v>402</v>
      </c>
      <c r="D89" s="13" t="s">
        <v>11</v>
      </c>
      <c r="E89" s="13" t="s">
        <v>13</v>
      </c>
      <c r="F89" s="15" t="s">
        <v>14</v>
      </c>
      <c r="G89" s="16">
        <v>18</v>
      </c>
      <c r="H89" s="26">
        <v>81705</v>
      </c>
    </row>
    <row r="90" spans="1:8" s="18" customFormat="1" x14ac:dyDescent="0.25">
      <c r="A90" s="10">
        <v>86</v>
      </c>
      <c r="B90" s="11">
        <v>45901</v>
      </c>
      <c r="C90" s="12" t="s">
        <v>403</v>
      </c>
      <c r="D90" s="13" t="s">
        <v>11</v>
      </c>
      <c r="E90" s="13" t="s">
        <v>13</v>
      </c>
      <c r="F90" s="15" t="s">
        <v>14</v>
      </c>
      <c r="G90" s="16">
        <v>18</v>
      </c>
      <c r="H90" s="26">
        <v>81705</v>
      </c>
    </row>
    <row r="91" spans="1:8" s="18" customFormat="1" x14ac:dyDescent="0.25">
      <c r="A91" s="10">
        <v>87</v>
      </c>
      <c r="B91" s="11">
        <v>45901</v>
      </c>
      <c r="C91" s="12" t="s">
        <v>404</v>
      </c>
      <c r="D91" s="13" t="s">
        <v>11</v>
      </c>
      <c r="E91" s="13" t="s">
        <v>13</v>
      </c>
      <c r="F91" s="15" t="s">
        <v>14</v>
      </c>
      <c r="G91" s="16">
        <v>18</v>
      </c>
      <c r="H91" s="26">
        <v>112945</v>
      </c>
    </row>
    <row r="92" spans="1:8" s="18" customFormat="1" x14ac:dyDescent="0.25">
      <c r="A92" s="10">
        <v>88</v>
      </c>
      <c r="B92" s="11">
        <v>45901</v>
      </c>
      <c r="C92" s="12" t="s">
        <v>405</v>
      </c>
      <c r="D92" s="13" t="s">
        <v>11</v>
      </c>
      <c r="E92" s="13" t="s">
        <v>13</v>
      </c>
      <c r="F92" s="15" t="s">
        <v>14</v>
      </c>
      <c r="G92" s="16">
        <v>18</v>
      </c>
      <c r="H92" s="26">
        <v>112945</v>
      </c>
    </row>
    <row r="93" spans="1:8" s="18" customFormat="1" x14ac:dyDescent="0.25">
      <c r="A93" s="10">
        <v>89</v>
      </c>
      <c r="B93" s="11">
        <v>45901</v>
      </c>
      <c r="C93" s="12" t="s">
        <v>406</v>
      </c>
      <c r="D93" s="13" t="s">
        <v>11</v>
      </c>
      <c r="E93" s="13" t="s">
        <v>13</v>
      </c>
      <c r="F93" s="15" t="s">
        <v>14</v>
      </c>
      <c r="G93" s="16">
        <v>18</v>
      </c>
      <c r="H93" s="26">
        <v>112945</v>
      </c>
    </row>
    <row r="94" spans="1:8" s="18" customFormat="1" x14ac:dyDescent="0.25">
      <c r="A94" s="10">
        <v>90</v>
      </c>
      <c r="B94" s="11">
        <v>45901</v>
      </c>
      <c r="C94" s="12" t="s">
        <v>407</v>
      </c>
      <c r="D94" s="13" t="s">
        <v>11</v>
      </c>
      <c r="E94" s="13" t="s">
        <v>13</v>
      </c>
      <c r="F94" s="15" t="s">
        <v>14</v>
      </c>
      <c r="G94" s="16">
        <v>18</v>
      </c>
      <c r="H94" s="26">
        <v>112945</v>
      </c>
    </row>
    <row r="95" spans="1:8" s="18" customFormat="1" x14ac:dyDescent="0.25">
      <c r="A95" s="10">
        <v>91</v>
      </c>
      <c r="B95" s="11">
        <v>45901</v>
      </c>
      <c r="C95" s="12" t="s">
        <v>408</v>
      </c>
      <c r="D95" s="13" t="s">
        <v>11</v>
      </c>
      <c r="E95" s="13" t="s">
        <v>13</v>
      </c>
      <c r="F95" s="15" t="s">
        <v>14</v>
      </c>
      <c r="G95" s="16">
        <v>18</v>
      </c>
      <c r="H95" s="26">
        <v>112945</v>
      </c>
    </row>
    <row r="96" spans="1:8" s="18" customFormat="1" x14ac:dyDescent="0.25">
      <c r="A96" s="10">
        <v>92</v>
      </c>
      <c r="B96" s="11">
        <v>45901</v>
      </c>
      <c r="C96" s="12" t="s">
        <v>409</v>
      </c>
      <c r="D96" s="13" t="s">
        <v>11</v>
      </c>
      <c r="E96" s="13" t="s">
        <v>13</v>
      </c>
      <c r="F96" s="15" t="s">
        <v>14</v>
      </c>
      <c r="G96" s="16">
        <v>18</v>
      </c>
      <c r="H96" s="26">
        <v>177750</v>
      </c>
    </row>
    <row r="97" spans="1:8" s="18" customFormat="1" x14ac:dyDescent="0.25">
      <c r="A97" s="10">
        <v>93</v>
      </c>
      <c r="B97" s="11">
        <v>45901</v>
      </c>
      <c r="C97" s="12" t="s">
        <v>410</v>
      </c>
      <c r="D97" s="13" t="s">
        <v>11</v>
      </c>
      <c r="E97" s="13" t="s">
        <v>13</v>
      </c>
      <c r="F97" s="15" t="s">
        <v>14</v>
      </c>
      <c r="G97" s="16">
        <v>18</v>
      </c>
      <c r="H97" s="26">
        <v>225890</v>
      </c>
    </row>
    <row r="98" spans="1:8" s="18" customFormat="1" x14ac:dyDescent="0.25">
      <c r="A98" s="10">
        <v>94</v>
      </c>
      <c r="B98" s="11">
        <v>45901</v>
      </c>
      <c r="C98" s="12" t="s">
        <v>411</v>
      </c>
      <c r="D98" s="13" t="s">
        <v>11</v>
      </c>
      <c r="E98" s="13" t="s">
        <v>13</v>
      </c>
      <c r="F98" s="15" t="s">
        <v>14</v>
      </c>
      <c r="G98" s="16">
        <v>18</v>
      </c>
      <c r="H98" s="26">
        <v>379200</v>
      </c>
    </row>
    <row r="99" spans="1:8" s="18" customFormat="1" x14ac:dyDescent="0.25">
      <c r="A99" s="10">
        <v>95</v>
      </c>
      <c r="B99" s="11">
        <v>45901</v>
      </c>
      <c r="C99" s="12" t="s">
        <v>412</v>
      </c>
      <c r="D99" s="13" t="s">
        <v>11</v>
      </c>
      <c r="E99" s="13" t="s">
        <v>13</v>
      </c>
      <c r="F99" s="15" t="s">
        <v>14</v>
      </c>
      <c r="G99" s="16">
        <v>18</v>
      </c>
      <c r="H99" s="26">
        <v>1214625</v>
      </c>
    </row>
    <row r="100" spans="1:8" s="18" customFormat="1" x14ac:dyDescent="0.25">
      <c r="A100" s="10">
        <v>96</v>
      </c>
      <c r="B100" s="11">
        <v>45902</v>
      </c>
      <c r="C100" s="12" t="s">
        <v>413</v>
      </c>
      <c r="D100" s="13" t="s">
        <v>11</v>
      </c>
      <c r="E100" s="13" t="s">
        <v>13</v>
      </c>
      <c r="F100" s="15" t="s">
        <v>14</v>
      </c>
      <c r="G100" s="16">
        <v>17</v>
      </c>
      <c r="H100" s="26">
        <v>22250</v>
      </c>
    </row>
    <row r="101" spans="1:8" s="18" customFormat="1" x14ac:dyDescent="0.25">
      <c r="A101" s="10">
        <v>97</v>
      </c>
      <c r="B101" s="11">
        <v>45902</v>
      </c>
      <c r="C101" s="12" t="s">
        <v>414</v>
      </c>
      <c r="D101" s="13" t="s">
        <v>11</v>
      </c>
      <c r="E101" s="13" t="s">
        <v>13</v>
      </c>
      <c r="F101" s="15" t="s">
        <v>14</v>
      </c>
      <c r="G101" s="16">
        <v>17</v>
      </c>
      <c r="H101" s="26">
        <v>50465</v>
      </c>
    </row>
    <row r="102" spans="1:8" s="18" customFormat="1" x14ac:dyDescent="0.25">
      <c r="A102" s="10">
        <v>98</v>
      </c>
      <c r="B102" s="11">
        <v>45902</v>
      </c>
      <c r="C102" s="12" t="s">
        <v>415</v>
      </c>
      <c r="D102" s="13" t="s">
        <v>11</v>
      </c>
      <c r="E102" s="13" t="s">
        <v>13</v>
      </c>
      <c r="F102" s="15" t="s">
        <v>14</v>
      </c>
      <c r="G102" s="16">
        <v>17</v>
      </c>
      <c r="H102" s="26">
        <v>57675</v>
      </c>
    </row>
    <row r="103" spans="1:8" s="18" customFormat="1" x14ac:dyDescent="0.25">
      <c r="A103" s="10">
        <v>99</v>
      </c>
      <c r="B103" s="11">
        <v>45902</v>
      </c>
      <c r="C103" s="12" t="s">
        <v>416</v>
      </c>
      <c r="D103" s="13" t="s">
        <v>11</v>
      </c>
      <c r="E103" s="13" t="s">
        <v>13</v>
      </c>
      <c r="F103" s="15" t="s">
        <v>14</v>
      </c>
      <c r="G103" s="16">
        <v>17</v>
      </c>
      <c r="H103" s="26">
        <v>64885</v>
      </c>
    </row>
    <row r="104" spans="1:8" s="18" customFormat="1" x14ac:dyDescent="0.25">
      <c r="A104" s="10">
        <v>100</v>
      </c>
      <c r="B104" s="11">
        <v>45902</v>
      </c>
      <c r="C104" s="12" t="s">
        <v>417</v>
      </c>
      <c r="D104" s="13" t="s">
        <v>11</v>
      </c>
      <c r="E104" s="13" t="s">
        <v>13</v>
      </c>
      <c r="F104" s="15" t="s">
        <v>14</v>
      </c>
      <c r="G104" s="16">
        <v>17</v>
      </c>
      <c r="H104" s="26">
        <v>64885</v>
      </c>
    </row>
    <row r="105" spans="1:8" s="18" customFormat="1" x14ac:dyDescent="0.25">
      <c r="A105" s="10">
        <v>101</v>
      </c>
      <c r="B105" s="11">
        <v>45902</v>
      </c>
      <c r="C105" s="12" t="s">
        <v>418</v>
      </c>
      <c r="D105" s="13" t="s">
        <v>11</v>
      </c>
      <c r="E105" s="13" t="s">
        <v>13</v>
      </c>
      <c r="F105" s="15" t="s">
        <v>14</v>
      </c>
      <c r="G105" s="16">
        <v>17</v>
      </c>
      <c r="H105" s="26">
        <v>79300</v>
      </c>
    </row>
    <row r="106" spans="1:8" s="18" customFormat="1" x14ac:dyDescent="0.25">
      <c r="A106" s="10">
        <v>102</v>
      </c>
      <c r="B106" s="11">
        <v>45902</v>
      </c>
      <c r="C106" s="12" t="s">
        <v>419</v>
      </c>
      <c r="D106" s="13" t="s">
        <v>11</v>
      </c>
      <c r="E106" s="13" t="s">
        <v>13</v>
      </c>
      <c r="F106" s="15" t="s">
        <v>14</v>
      </c>
      <c r="G106" s="16">
        <v>17</v>
      </c>
      <c r="H106" s="26">
        <v>80501</v>
      </c>
    </row>
    <row r="107" spans="1:8" s="18" customFormat="1" x14ac:dyDescent="0.25">
      <c r="A107" s="10">
        <v>103</v>
      </c>
      <c r="B107" s="11">
        <v>45902</v>
      </c>
      <c r="C107" s="12" t="s">
        <v>420</v>
      </c>
      <c r="D107" s="13" t="s">
        <v>11</v>
      </c>
      <c r="E107" s="13" t="s">
        <v>13</v>
      </c>
      <c r="F107" s="15" t="s">
        <v>14</v>
      </c>
      <c r="G107" s="16">
        <v>17</v>
      </c>
      <c r="H107" s="26">
        <v>112945</v>
      </c>
    </row>
    <row r="108" spans="1:8" s="18" customFormat="1" x14ac:dyDescent="0.25">
      <c r="A108" s="10">
        <v>104</v>
      </c>
      <c r="B108" s="11">
        <v>45902</v>
      </c>
      <c r="C108" s="12" t="s">
        <v>421</v>
      </c>
      <c r="D108" s="13" t="s">
        <v>11</v>
      </c>
      <c r="E108" s="13" t="s">
        <v>13</v>
      </c>
      <c r="F108" s="15" t="s">
        <v>14</v>
      </c>
      <c r="G108" s="16">
        <v>17</v>
      </c>
      <c r="H108" s="26">
        <v>114145</v>
      </c>
    </row>
    <row r="109" spans="1:8" s="18" customFormat="1" x14ac:dyDescent="0.25">
      <c r="A109" s="10">
        <v>105</v>
      </c>
      <c r="B109" s="11">
        <v>45902</v>
      </c>
      <c r="C109" s="12" t="s">
        <v>422</v>
      </c>
      <c r="D109" s="13" t="s">
        <v>11</v>
      </c>
      <c r="E109" s="13" t="s">
        <v>13</v>
      </c>
      <c r="F109" s="15" t="s">
        <v>14</v>
      </c>
      <c r="G109" s="16">
        <v>17</v>
      </c>
      <c r="H109" s="26">
        <v>142250</v>
      </c>
    </row>
    <row r="110" spans="1:8" s="18" customFormat="1" x14ac:dyDescent="0.25">
      <c r="A110" s="10">
        <v>106</v>
      </c>
      <c r="B110" s="11">
        <v>45902</v>
      </c>
      <c r="C110" s="12" t="s">
        <v>423</v>
      </c>
      <c r="D110" s="13" t="s">
        <v>11</v>
      </c>
      <c r="E110" s="13" t="s">
        <v>13</v>
      </c>
      <c r="F110" s="15" t="s">
        <v>14</v>
      </c>
      <c r="G110" s="16">
        <v>17</v>
      </c>
      <c r="H110" s="26">
        <v>162205</v>
      </c>
    </row>
    <row r="111" spans="1:8" s="18" customFormat="1" x14ac:dyDescent="0.25">
      <c r="A111" s="10">
        <v>107</v>
      </c>
      <c r="B111" s="11">
        <v>45902</v>
      </c>
      <c r="C111" s="12" t="s">
        <v>424</v>
      </c>
      <c r="D111" s="13" t="s">
        <v>11</v>
      </c>
      <c r="E111" s="13" t="s">
        <v>13</v>
      </c>
      <c r="F111" s="15" t="s">
        <v>14</v>
      </c>
      <c r="G111" s="16">
        <v>17</v>
      </c>
      <c r="H111" s="26">
        <v>171830</v>
      </c>
    </row>
    <row r="112" spans="1:8" s="18" customFormat="1" x14ac:dyDescent="0.25">
      <c r="A112" s="10">
        <v>108</v>
      </c>
      <c r="B112" s="11">
        <v>45902</v>
      </c>
      <c r="C112" s="12" t="s">
        <v>425</v>
      </c>
      <c r="D112" s="13" t="s">
        <v>11</v>
      </c>
      <c r="E112" s="13" t="s">
        <v>13</v>
      </c>
      <c r="F112" s="15" t="s">
        <v>14</v>
      </c>
      <c r="G112" s="16">
        <v>17</v>
      </c>
      <c r="H112" s="26">
        <v>183685</v>
      </c>
    </row>
    <row r="113" spans="1:8" s="18" customFormat="1" x14ac:dyDescent="0.25">
      <c r="A113" s="10">
        <v>109</v>
      </c>
      <c r="B113" s="11">
        <v>45902</v>
      </c>
      <c r="C113" s="12" t="s">
        <v>426</v>
      </c>
      <c r="D113" s="13" t="s">
        <v>11</v>
      </c>
      <c r="E113" s="13" t="s">
        <v>13</v>
      </c>
      <c r="F113" s="15" t="s">
        <v>14</v>
      </c>
      <c r="G113" s="16">
        <v>17</v>
      </c>
      <c r="H113" s="26">
        <v>225890</v>
      </c>
    </row>
    <row r="114" spans="1:8" s="18" customFormat="1" x14ac:dyDescent="0.25">
      <c r="A114" s="10">
        <v>110</v>
      </c>
      <c r="B114" s="11">
        <v>45902</v>
      </c>
      <c r="C114" s="12" t="s">
        <v>427</v>
      </c>
      <c r="D114" s="13" t="s">
        <v>11</v>
      </c>
      <c r="E114" s="13" t="s">
        <v>13</v>
      </c>
      <c r="F114" s="15" t="s">
        <v>14</v>
      </c>
      <c r="G114" s="16">
        <v>17</v>
      </c>
      <c r="H114" s="26">
        <v>246350</v>
      </c>
    </row>
    <row r="115" spans="1:8" s="18" customFormat="1" x14ac:dyDescent="0.25">
      <c r="A115" s="10">
        <v>111</v>
      </c>
      <c r="B115" s="11">
        <v>45902</v>
      </c>
      <c r="C115" s="12" t="s">
        <v>428</v>
      </c>
      <c r="D115" s="13" t="s">
        <v>11</v>
      </c>
      <c r="E115" s="13" t="s">
        <v>13</v>
      </c>
      <c r="F115" s="15" t="s">
        <v>14</v>
      </c>
      <c r="G115" s="16">
        <v>17</v>
      </c>
      <c r="H115" s="26">
        <v>497700</v>
      </c>
    </row>
    <row r="116" spans="1:8" s="18" customFormat="1" x14ac:dyDescent="0.25">
      <c r="A116" s="10">
        <v>112</v>
      </c>
      <c r="B116" s="11">
        <v>45902</v>
      </c>
      <c r="C116" s="12" t="s">
        <v>429</v>
      </c>
      <c r="D116" s="13" t="s">
        <v>11</v>
      </c>
      <c r="E116" s="13" t="s">
        <v>13</v>
      </c>
      <c r="F116" s="15" t="s">
        <v>14</v>
      </c>
      <c r="G116" s="16">
        <v>17</v>
      </c>
      <c r="H116" s="26">
        <v>527350</v>
      </c>
    </row>
    <row r="117" spans="1:8" s="18" customFormat="1" x14ac:dyDescent="0.25">
      <c r="A117" s="10">
        <v>113</v>
      </c>
      <c r="B117" s="11">
        <v>45903</v>
      </c>
      <c r="C117" s="12" t="s">
        <v>430</v>
      </c>
      <c r="D117" s="13" t="s">
        <v>11</v>
      </c>
      <c r="E117" s="13" t="s">
        <v>13</v>
      </c>
      <c r="F117" s="15" t="s">
        <v>14</v>
      </c>
      <c r="G117" s="16">
        <v>16</v>
      </c>
      <c r="H117" s="26">
        <v>33650</v>
      </c>
    </row>
    <row r="118" spans="1:8" s="18" customFormat="1" x14ac:dyDescent="0.25">
      <c r="A118" s="10">
        <v>114</v>
      </c>
      <c r="B118" s="11">
        <v>45903</v>
      </c>
      <c r="C118" s="12" t="s">
        <v>431</v>
      </c>
      <c r="D118" s="13" t="s">
        <v>11</v>
      </c>
      <c r="E118" s="13" t="s">
        <v>13</v>
      </c>
      <c r="F118" s="15" t="s">
        <v>14</v>
      </c>
      <c r="G118" s="16">
        <v>16</v>
      </c>
      <c r="H118" s="26">
        <v>78100</v>
      </c>
    </row>
    <row r="119" spans="1:8" s="18" customFormat="1" x14ac:dyDescent="0.25">
      <c r="A119" s="10">
        <v>115</v>
      </c>
      <c r="B119" s="11">
        <v>45903</v>
      </c>
      <c r="C119" s="12" t="s">
        <v>432</v>
      </c>
      <c r="D119" s="13" t="s">
        <v>11</v>
      </c>
      <c r="E119" s="13" t="s">
        <v>13</v>
      </c>
      <c r="F119" s="15" t="s">
        <v>14</v>
      </c>
      <c r="G119" s="16">
        <v>16</v>
      </c>
      <c r="H119" s="26">
        <v>80501</v>
      </c>
    </row>
    <row r="120" spans="1:8" s="18" customFormat="1" x14ac:dyDescent="0.25">
      <c r="A120" s="10">
        <v>116</v>
      </c>
      <c r="B120" s="11">
        <v>45903</v>
      </c>
      <c r="C120" s="12" t="s">
        <v>433</v>
      </c>
      <c r="D120" s="13" t="s">
        <v>11</v>
      </c>
      <c r="E120" s="13" t="s">
        <v>13</v>
      </c>
      <c r="F120" s="15" t="s">
        <v>14</v>
      </c>
      <c r="G120" s="16">
        <v>16</v>
      </c>
      <c r="H120" s="26">
        <v>102150</v>
      </c>
    </row>
    <row r="121" spans="1:8" s="18" customFormat="1" x14ac:dyDescent="0.25">
      <c r="A121" s="10">
        <v>117</v>
      </c>
      <c r="B121" s="11">
        <v>45903</v>
      </c>
      <c r="C121" s="12" t="s">
        <v>434</v>
      </c>
      <c r="D121" s="13" t="s">
        <v>11</v>
      </c>
      <c r="E121" s="13" t="s">
        <v>13</v>
      </c>
      <c r="F121" s="15" t="s">
        <v>14</v>
      </c>
      <c r="G121" s="16">
        <v>16</v>
      </c>
      <c r="H121" s="26">
        <v>106650</v>
      </c>
    </row>
    <row r="122" spans="1:8" s="18" customFormat="1" x14ac:dyDescent="0.25">
      <c r="A122" s="10">
        <v>118</v>
      </c>
      <c r="B122" s="11">
        <v>45903</v>
      </c>
      <c r="C122" s="12" t="s">
        <v>435</v>
      </c>
      <c r="D122" s="13" t="s">
        <v>11</v>
      </c>
      <c r="E122" s="13" t="s">
        <v>13</v>
      </c>
      <c r="F122" s="15" t="s">
        <v>14</v>
      </c>
      <c r="G122" s="16">
        <v>16</v>
      </c>
      <c r="H122" s="26">
        <v>112945</v>
      </c>
    </row>
    <row r="123" spans="1:8" s="18" customFormat="1" x14ac:dyDescent="0.25">
      <c r="A123" s="10">
        <v>119</v>
      </c>
      <c r="B123" s="11">
        <v>45903</v>
      </c>
      <c r="C123" s="12" t="s">
        <v>436</v>
      </c>
      <c r="D123" s="13" t="s">
        <v>11</v>
      </c>
      <c r="E123" s="13" t="s">
        <v>13</v>
      </c>
      <c r="F123" s="15" t="s">
        <v>14</v>
      </c>
      <c r="G123" s="16">
        <v>16</v>
      </c>
      <c r="H123" s="26">
        <v>112945</v>
      </c>
    </row>
    <row r="124" spans="1:8" s="18" customFormat="1" x14ac:dyDescent="0.25">
      <c r="A124" s="10">
        <v>120</v>
      </c>
      <c r="B124" s="11">
        <v>45903</v>
      </c>
      <c r="C124" s="12" t="s">
        <v>437</v>
      </c>
      <c r="D124" s="13" t="s">
        <v>11</v>
      </c>
      <c r="E124" s="13" t="s">
        <v>13</v>
      </c>
      <c r="F124" s="15" t="s">
        <v>14</v>
      </c>
      <c r="G124" s="16">
        <v>16</v>
      </c>
      <c r="H124" s="26">
        <v>112945</v>
      </c>
    </row>
    <row r="125" spans="1:8" s="18" customFormat="1" x14ac:dyDescent="0.25">
      <c r="A125" s="10">
        <v>121</v>
      </c>
      <c r="B125" s="11">
        <v>45903</v>
      </c>
      <c r="C125" s="12" t="s">
        <v>438</v>
      </c>
      <c r="D125" s="13" t="s">
        <v>11</v>
      </c>
      <c r="E125" s="13" t="s">
        <v>13</v>
      </c>
      <c r="F125" s="15" t="s">
        <v>14</v>
      </c>
      <c r="G125" s="16">
        <v>16</v>
      </c>
      <c r="H125" s="26">
        <v>122555</v>
      </c>
    </row>
    <row r="126" spans="1:8" s="18" customFormat="1" x14ac:dyDescent="0.25">
      <c r="A126" s="10">
        <v>122</v>
      </c>
      <c r="B126" s="11">
        <v>45903</v>
      </c>
      <c r="C126" s="12" t="s">
        <v>439</v>
      </c>
      <c r="D126" s="13" t="s">
        <v>11</v>
      </c>
      <c r="E126" s="13" t="s">
        <v>13</v>
      </c>
      <c r="F126" s="15" t="s">
        <v>14</v>
      </c>
      <c r="G126" s="16">
        <v>16</v>
      </c>
      <c r="H126" s="26">
        <v>126175</v>
      </c>
    </row>
    <row r="127" spans="1:8" s="18" customFormat="1" x14ac:dyDescent="0.25">
      <c r="A127" s="10">
        <v>123</v>
      </c>
      <c r="B127" s="11">
        <v>45903</v>
      </c>
      <c r="C127" s="12" t="s">
        <v>440</v>
      </c>
      <c r="D127" s="13" t="s">
        <v>11</v>
      </c>
      <c r="E127" s="13" t="s">
        <v>13</v>
      </c>
      <c r="F127" s="15" t="s">
        <v>14</v>
      </c>
      <c r="G127" s="16">
        <v>16</v>
      </c>
      <c r="H127" s="26">
        <v>132165</v>
      </c>
    </row>
    <row r="128" spans="1:8" s="18" customFormat="1" x14ac:dyDescent="0.25">
      <c r="A128" s="10">
        <v>124</v>
      </c>
      <c r="B128" s="11">
        <v>45903</v>
      </c>
      <c r="C128" s="12" t="s">
        <v>441</v>
      </c>
      <c r="D128" s="13" t="s">
        <v>11</v>
      </c>
      <c r="E128" s="13" t="s">
        <v>13</v>
      </c>
      <c r="F128" s="15" t="s">
        <v>14</v>
      </c>
      <c r="G128" s="16">
        <v>16</v>
      </c>
      <c r="H128" s="26">
        <v>177750</v>
      </c>
    </row>
    <row r="129" spans="1:8" s="18" customFormat="1" x14ac:dyDescent="0.25">
      <c r="A129" s="10">
        <v>125</v>
      </c>
      <c r="B129" s="11">
        <v>45903</v>
      </c>
      <c r="C129" s="12" t="s">
        <v>442</v>
      </c>
      <c r="D129" s="13" t="s">
        <v>11</v>
      </c>
      <c r="E129" s="13" t="s">
        <v>13</v>
      </c>
      <c r="F129" s="15" t="s">
        <v>14</v>
      </c>
      <c r="G129" s="16">
        <v>16</v>
      </c>
      <c r="H129" s="26">
        <v>228290</v>
      </c>
    </row>
    <row r="130" spans="1:8" s="18" customFormat="1" x14ac:dyDescent="0.25">
      <c r="A130" s="10">
        <v>126</v>
      </c>
      <c r="B130" s="11">
        <v>45903</v>
      </c>
      <c r="C130" s="12" t="s">
        <v>443</v>
      </c>
      <c r="D130" s="13" t="s">
        <v>11</v>
      </c>
      <c r="E130" s="13" t="s">
        <v>13</v>
      </c>
      <c r="F130" s="15" t="s">
        <v>14</v>
      </c>
      <c r="G130" s="16">
        <v>16</v>
      </c>
      <c r="H130" s="26">
        <v>237900</v>
      </c>
    </row>
    <row r="131" spans="1:8" s="18" customFormat="1" x14ac:dyDescent="0.25">
      <c r="A131" s="10">
        <v>127</v>
      </c>
      <c r="B131" s="11">
        <v>45903</v>
      </c>
      <c r="C131" s="12" t="s">
        <v>444</v>
      </c>
      <c r="D131" s="13" t="s">
        <v>11</v>
      </c>
      <c r="E131" s="13" t="s">
        <v>13</v>
      </c>
      <c r="F131" s="15" t="s">
        <v>14</v>
      </c>
      <c r="G131" s="16">
        <v>16</v>
      </c>
      <c r="H131" s="26">
        <v>288375</v>
      </c>
    </row>
    <row r="132" spans="1:8" s="18" customFormat="1" x14ac:dyDescent="0.25">
      <c r="A132" s="10">
        <v>128</v>
      </c>
      <c r="B132" s="11">
        <v>45903</v>
      </c>
      <c r="C132" s="12" t="s">
        <v>445</v>
      </c>
      <c r="D132" s="13" t="s">
        <v>11</v>
      </c>
      <c r="E132" s="13" t="s">
        <v>13</v>
      </c>
      <c r="F132" s="15" t="s">
        <v>14</v>
      </c>
      <c r="G132" s="16">
        <v>16</v>
      </c>
      <c r="H132" s="26">
        <v>342450</v>
      </c>
    </row>
    <row r="133" spans="1:8" s="18" customFormat="1" x14ac:dyDescent="0.25">
      <c r="A133" s="10">
        <v>129</v>
      </c>
      <c r="B133" s="11">
        <v>45903</v>
      </c>
      <c r="C133" s="12" t="s">
        <v>446</v>
      </c>
      <c r="D133" s="13" t="s">
        <v>11</v>
      </c>
      <c r="E133" s="13" t="s">
        <v>13</v>
      </c>
      <c r="F133" s="15" t="s">
        <v>14</v>
      </c>
      <c r="G133" s="16">
        <v>16</v>
      </c>
      <c r="H133" s="26">
        <v>497700</v>
      </c>
    </row>
    <row r="134" spans="1:8" s="18" customFormat="1" x14ac:dyDescent="0.25">
      <c r="A134" s="10">
        <v>130</v>
      </c>
      <c r="B134" s="11">
        <v>45903</v>
      </c>
      <c r="C134" s="12" t="s">
        <v>447</v>
      </c>
      <c r="D134" s="13" t="s">
        <v>11</v>
      </c>
      <c r="E134" s="13" t="s">
        <v>13</v>
      </c>
      <c r="F134" s="15" t="s">
        <v>14</v>
      </c>
      <c r="G134" s="16">
        <v>16</v>
      </c>
      <c r="H134" s="26">
        <v>1540500</v>
      </c>
    </row>
    <row r="135" spans="1:8" s="18" customFormat="1" x14ac:dyDescent="0.25">
      <c r="A135" s="10">
        <v>131</v>
      </c>
      <c r="B135" s="11">
        <v>45904</v>
      </c>
      <c r="C135" s="12" t="s">
        <v>448</v>
      </c>
      <c r="D135" s="13" t="s">
        <v>11</v>
      </c>
      <c r="E135" s="13" t="s">
        <v>13</v>
      </c>
      <c r="F135" s="15" t="s">
        <v>14</v>
      </c>
      <c r="G135" s="16">
        <v>15</v>
      </c>
      <c r="H135" s="26">
        <v>23790</v>
      </c>
    </row>
    <row r="136" spans="1:8" s="18" customFormat="1" x14ac:dyDescent="0.25">
      <c r="A136" s="10">
        <v>132</v>
      </c>
      <c r="B136" s="11">
        <v>45904</v>
      </c>
      <c r="C136" s="12" t="s">
        <v>449</v>
      </c>
      <c r="D136" s="13" t="s">
        <v>11</v>
      </c>
      <c r="E136" s="13" t="s">
        <v>13</v>
      </c>
      <c r="F136" s="15" t="s">
        <v>14</v>
      </c>
      <c r="G136" s="16">
        <v>15</v>
      </c>
      <c r="H136" s="26">
        <v>64885</v>
      </c>
    </row>
    <row r="137" spans="1:8" s="18" customFormat="1" x14ac:dyDescent="0.25">
      <c r="A137" s="10">
        <v>133</v>
      </c>
      <c r="B137" s="11">
        <v>45904</v>
      </c>
      <c r="C137" s="12" t="s">
        <v>450</v>
      </c>
      <c r="D137" s="13" t="s">
        <v>11</v>
      </c>
      <c r="E137" s="13" t="s">
        <v>13</v>
      </c>
      <c r="F137" s="15" t="s">
        <v>14</v>
      </c>
      <c r="G137" s="16">
        <v>15</v>
      </c>
      <c r="H137" s="26">
        <v>64885</v>
      </c>
    </row>
    <row r="138" spans="1:8" s="18" customFormat="1" x14ac:dyDescent="0.25">
      <c r="A138" s="10">
        <v>134</v>
      </c>
      <c r="B138" s="11">
        <v>45904</v>
      </c>
      <c r="C138" s="12" t="s">
        <v>451</v>
      </c>
      <c r="D138" s="13" t="s">
        <v>11</v>
      </c>
      <c r="E138" s="13" t="s">
        <v>13</v>
      </c>
      <c r="F138" s="15" t="s">
        <v>14</v>
      </c>
      <c r="G138" s="16">
        <v>15</v>
      </c>
      <c r="H138" s="26">
        <v>68495</v>
      </c>
    </row>
    <row r="139" spans="1:8" s="18" customFormat="1" x14ac:dyDescent="0.25">
      <c r="A139" s="10">
        <v>135</v>
      </c>
      <c r="B139" s="11">
        <v>45904</v>
      </c>
      <c r="C139" s="12" t="s">
        <v>452</v>
      </c>
      <c r="D139" s="13" t="s">
        <v>11</v>
      </c>
      <c r="E139" s="13" t="s">
        <v>13</v>
      </c>
      <c r="F139" s="15" t="s">
        <v>14</v>
      </c>
      <c r="G139" s="16">
        <v>15</v>
      </c>
      <c r="H139" s="26">
        <v>112945</v>
      </c>
    </row>
    <row r="140" spans="1:8" s="18" customFormat="1" x14ac:dyDescent="0.25">
      <c r="A140" s="10">
        <v>136</v>
      </c>
      <c r="B140" s="11">
        <v>45904</v>
      </c>
      <c r="C140" s="12" t="s">
        <v>453</v>
      </c>
      <c r="D140" s="13" t="s">
        <v>11</v>
      </c>
      <c r="E140" s="13" t="s">
        <v>13</v>
      </c>
      <c r="F140" s="15" t="s">
        <v>14</v>
      </c>
      <c r="G140" s="16">
        <v>15</v>
      </c>
      <c r="H140" s="26">
        <v>114145</v>
      </c>
    </row>
    <row r="141" spans="1:8" s="18" customFormat="1" x14ac:dyDescent="0.25">
      <c r="A141" s="10">
        <v>137</v>
      </c>
      <c r="B141" s="11">
        <v>45904</v>
      </c>
      <c r="C141" s="12" t="s">
        <v>454</v>
      </c>
      <c r="D141" s="13" t="s">
        <v>11</v>
      </c>
      <c r="E141" s="13" t="s">
        <v>13</v>
      </c>
      <c r="F141" s="15" t="s">
        <v>14</v>
      </c>
      <c r="G141" s="16">
        <v>15</v>
      </c>
      <c r="H141" s="26">
        <v>132165</v>
      </c>
    </row>
    <row r="142" spans="1:8" s="18" customFormat="1" x14ac:dyDescent="0.25">
      <c r="A142" s="10">
        <v>138</v>
      </c>
      <c r="B142" s="11">
        <v>45904</v>
      </c>
      <c r="C142" s="12" t="s">
        <v>455</v>
      </c>
      <c r="D142" s="13" t="s">
        <v>11</v>
      </c>
      <c r="E142" s="13" t="s">
        <v>13</v>
      </c>
      <c r="F142" s="15" t="s">
        <v>14</v>
      </c>
      <c r="G142" s="16">
        <v>15</v>
      </c>
      <c r="H142" s="26">
        <v>225890</v>
      </c>
    </row>
    <row r="143" spans="1:8" s="18" customFormat="1" x14ac:dyDescent="0.25">
      <c r="A143" s="10">
        <v>139</v>
      </c>
      <c r="B143" s="11">
        <v>45904</v>
      </c>
      <c r="C143" s="12" t="s">
        <v>456</v>
      </c>
      <c r="D143" s="13" t="s">
        <v>11</v>
      </c>
      <c r="E143" s="13" t="s">
        <v>13</v>
      </c>
      <c r="F143" s="15" t="s">
        <v>14</v>
      </c>
      <c r="G143" s="16">
        <v>15</v>
      </c>
      <c r="H143" s="26">
        <v>266625</v>
      </c>
    </row>
    <row r="144" spans="1:8" s="18" customFormat="1" x14ac:dyDescent="0.25">
      <c r="A144" s="10">
        <v>140</v>
      </c>
      <c r="B144" s="11">
        <v>45904</v>
      </c>
      <c r="C144" s="12" t="s">
        <v>457</v>
      </c>
      <c r="D144" s="13" t="s">
        <v>11</v>
      </c>
      <c r="E144" s="13" t="s">
        <v>13</v>
      </c>
      <c r="F144" s="15" t="s">
        <v>14</v>
      </c>
      <c r="G144" s="16">
        <v>15</v>
      </c>
      <c r="H144" s="26">
        <v>1113900</v>
      </c>
    </row>
    <row r="145" spans="1:8" s="18" customFormat="1" x14ac:dyDescent="0.25">
      <c r="A145" s="10">
        <v>141</v>
      </c>
      <c r="B145" s="11">
        <v>45904</v>
      </c>
      <c r="C145" s="12" t="s">
        <v>458</v>
      </c>
      <c r="D145" s="13" t="s">
        <v>11</v>
      </c>
      <c r="E145" s="13" t="s">
        <v>13</v>
      </c>
      <c r="F145" s="15" t="s">
        <v>14</v>
      </c>
      <c r="G145" s="16">
        <v>15</v>
      </c>
      <c r="H145" s="26">
        <v>1599750</v>
      </c>
    </row>
    <row r="146" spans="1:8" s="18" customFormat="1" x14ac:dyDescent="0.25">
      <c r="A146" s="10">
        <v>142</v>
      </c>
      <c r="B146" s="11">
        <v>45906</v>
      </c>
      <c r="C146" s="12" t="s">
        <v>459</v>
      </c>
      <c r="D146" s="13" t="s">
        <v>11</v>
      </c>
      <c r="E146" s="13" t="s">
        <v>13</v>
      </c>
      <c r="F146" s="15" t="s">
        <v>14</v>
      </c>
      <c r="G146" s="16">
        <v>13</v>
      </c>
      <c r="H146" s="26">
        <v>28235</v>
      </c>
    </row>
    <row r="147" spans="1:8" s="18" customFormat="1" x14ac:dyDescent="0.25">
      <c r="A147" s="10">
        <v>143</v>
      </c>
      <c r="B147" s="11">
        <v>45906</v>
      </c>
      <c r="C147" s="12" t="s">
        <v>460</v>
      </c>
      <c r="D147" s="13" t="s">
        <v>11</v>
      </c>
      <c r="E147" s="13" t="s">
        <v>13</v>
      </c>
      <c r="F147" s="15" t="s">
        <v>14</v>
      </c>
      <c r="G147" s="16">
        <v>13</v>
      </c>
      <c r="H147" s="26">
        <v>50465</v>
      </c>
    </row>
    <row r="148" spans="1:8" s="18" customFormat="1" x14ac:dyDescent="0.25">
      <c r="A148" s="10">
        <v>144</v>
      </c>
      <c r="B148" s="11">
        <v>45906</v>
      </c>
      <c r="C148" s="12" t="s">
        <v>461</v>
      </c>
      <c r="D148" s="13" t="s">
        <v>11</v>
      </c>
      <c r="E148" s="13" t="s">
        <v>13</v>
      </c>
      <c r="F148" s="15" t="s">
        <v>14</v>
      </c>
      <c r="G148" s="16">
        <v>13</v>
      </c>
      <c r="H148" s="26">
        <v>56475</v>
      </c>
    </row>
    <row r="149" spans="1:8" s="18" customFormat="1" x14ac:dyDescent="0.25">
      <c r="A149" s="10">
        <v>145</v>
      </c>
      <c r="B149" s="11">
        <v>45906</v>
      </c>
      <c r="C149" s="12" t="s">
        <v>462</v>
      </c>
      <c r="D149" s="13" t="s">
        <v>11</v>
      </c>
      <c r="E149" s="13" t="s">
        <v>13</v>
      </c>
      <c r="F149" s="15" t="s">
        <v>14</v>
      </c>
      <c r="G149" s="16">
        <v>13</v>
      </c>
      <c r="H149" s="26">
        <v>64885</v>
      </c>
    </row>
    <row r="150" spans="1:8" s="18" customFormat="1" x14ac:dyDescent="0.25">
      <c r="A150" s="10">
        <v>146</v>
      </c>
      <c r="B150" s="11">
        <v>45906</v>
      </c>
      <c r="C150" s="12" t="s">
        <v>463</v>
      </c>
      <c r="D150" s="13" t="s">
        <v>11</v>
      </c>
      <c r="E150" s="13" t="s">
        <v>13</v>
      </c>
      <c r="F150" s="15" t="s">
        <v>14</v>
      </c>
      <c r="G150" s="16">
        <v>13</v>
      </c>
      <c r="H150" s="26">
        <v>69695</v>
      </c>
    </row>
    <row r="151" spans="1:8" s="18" customFormat="1" x14ac:dyDescent="0.25">
      <c r="A151" s="10">
        <v>147</v>
      </c>
      <c r="B151" s="11">
        <v>45906</v>
      </c>
      <c r="C151" s="12" t="s">
        <v>464</v>
      </c>
      <c r="D151" s="13" t="s">
        <v>11</v>
      </c>
      <c r="E151" s="13" t="s">
        <v>13</v>
      </c>
      <c r="F151" s="15" t="s">
        <v>14</v>
      </c>
      <c r="G151" s="16">
        <v>13</v>
      </c>
      <c r="H151" s="26">
        <v>74495</v>
      </c>
    </row>
    <row r="152" spans="1:8" s="18" customFormat="1" x14ac:dyDescent="0.25">
      <c r="A152" s="10">
        <v>148</v>
      </c>
      <c r="B152" s="11">
        <v>45906</v>
      </c>
      <c r="C152" s="12" t="s">
        <v>465</v>
      </c>
      <c r="D152" s="13" t="s">
        <v>11</v>
      </c>
      <c r="E152" s="13" t="s">
        <v>13</v>
      </c>
      <c r="F152" s="15" t="s">
        <v>14</v>
      </c>
      <c r="G152" s="16">
        <v>13</v>
      </c>
      <c r="H152" s="26">
        <v>74495</v>
      </c>
    </row>
    <row r="153" spans="1:8" s="18" customFormat="1" x14ac:dyDescent="0.25">
      <c r="A153" s="10">
        <v>149</v>
      </c>
      <c r="B153" s="11">
        <v>45906</v>
      </c>
      <c r="C153" s="12" t="s">
        <v>466</v>
      </c>
      <c r="D153" s="13" t="s">
        <v>11</v>
      </c>
      <c r="E153" s="13" t="s">
        <v>13</v>
      </c>
      <c r="F153" s="15" t="s">
        <v>14</v>
      </c>
      <c r="G153" s="16">
        <v>13</v>
      </c>
      <c r="H153" s="26">
        <v>81705</v>
      </c>
    </row>
    <row r="154" spans="1:8" s="18" customFormat="1" x14ac:dyDescent="0.25">
      <c r="A154" s="10">
        <v>150</v>
      </c>
      <c r="B154" s="11">
        <v>45906</v>
      </c>
      <c r="C154" s="12" t="s">
        <v>467</v>
      </c>
      <c r="D154" s="13" t="s">
        <v>11</v>
      </c>
      <c r="E154" s="13" t="s">
        <v>13</v>
      </c>
      <c r="F154" s="15" t="s">
        <v>14</v>
      </c>
      <c r="G154" s="16">
        <v>13</v>
      </c>
      <c r="H154" s="26">
        <v>100950</v>
      </c>
    </row>
    <row r="155" spans="1:8" s="18" customFormat="1" x14ac:dyDescent="0.25">
      <c r="A155" s="10">
        <v>151</v>
      </c>
      <c r="B155" s="11">
        <v>45906</v>
      </c>
      <c r="C155" s="12" t="s">
        <v>468</v>
      </c>
      <c r="D155" s="13" t="s">
        <v>11</v>
      </c>
      <c r="E155" s="13" t="s">
        <v>13</v>
      </c>
      <c r="F155" s="15" t="s">
        <v>14</v>
      </c>
      <c r="G155" s="16">
        <v>13</v>
      </c>
      <c r="H155" s="26">
        <v>105735</v>
      </c>
    </row>
    <row r="156" spans="1:8" s="18" customFormat="1" x14ac:dyDescent="0.25">
      <c r="A156" s="10">
        <v>152</v>
      </c>
      <c r="B156" s="11">
        <v>45906</v>
      </c>
      <c r="C156" s="12" t="s">
        <v>469</v>
      </c>
      <c r="D156" s="13" t="s">
        <v>11</v>
      </c>
      <c r="E156" s="13" t="s">
        <v>13</v>
      </c>
      <c r="F156" s="15" t="s">
        <v>14</v>
      </c>
      <c r="G156" s="16">
        <v>13</v>
      </c>
      <c r="H156" s="26">
        <v>105750</v>
      </c>
    </row>
    <row r="157" spans="1:8" s="18" customFormat="1" x14ac:dyDescent="0.25">
      <c r="A157" s="10">
        <v>153</v>
      </c>
      <c r="B157" s="11">
        <v>45906</v>
      </c>
      <c r="C157" s="12" t="s">
        <v>470</v>
      </c>
      <c r="D157" s="13" t="s">
        <v>11</v>
      </c>
      <c r="E157" s="13" t="s">
        <v>13</v>
      </c>
      <c r="F157" s="15" t="s">
        <v>14</v>
      </c>
      <c r="G157" s="16">
        <v>13</v>
      </c>
      <c r="H157" s="26">
        <v>112945</v>
      </c>
    </row>
    <row r="158" spans="1:8" s="18" customFormat="1" x14ac:dyDescent="0.25">
      <c r="A158" s="10">
        <v>154</v>
      </c>
      <c r="B158" s="11">
        <v>45906</v>
      </c>
      <c r="C158" s="12" t="s">
        <v>471</v>
      </c>
      <c r="D158" s="13" t="s">
        <v>11</v>
      </c>
      <c r="E158" s="13" t="s">
        <v>13</v>
      </c>
      <c r="F158" s="15" t="s">
        <v>14</v>
      </c>
      <c r="G158" s="16">
        <v>13</v>
      </c>
      <c r="H158" s="26">
        <v>112945</v>
      </c>
    </row>
    <row r="159" spans="1:8" s="18" customFormat="1" x14ac:dyDescent="0.25">
      <c r="A159" s="10">
        <v>155</v>
      </c>
      <c r="B159" s="11">
        <v>45906</v>
      </c>
      <c r="C159" s="12" t="s">
        <v>472</v>
      </c>
      <c r="D159" s="13" t="s">
        <v>11</v>
      </c>
      <c r="E159" s="13" t="s">
        <v>13</v>
      </c>
      <c r="F159" s="15" t="s">
        <v>14</v>
      </c>
      <c r="G159" s="16">
        <v>13</v>
      </c>
      <c r="H159" s="26">
        <v>112945</v>
      </c>
    </row>
    <row r="160" spans="1:8" s="18" customFormat="1" x14ac:dyDescent="0.25">
      <c r="A160" s="10">
        <v>156</v>
      </c>
      <c r="B160" s="11">
        <v>45906</v>
      </c>
      <c r="C160" s="12" t="s">
        <v>473</v>
      </c>
      <c r="D160" s="13" t="s">
        <v>11</v>
      </c>
      <c r="E160" s="13" t="s">
        <v>13</v>
      </c>
      <c r="F160" s="15" t="s">
        <v>14</v>
      </c>
      <c r="G160" s="16">
        <v>13</v>
      </c>
      <c r="H160" s="26">
        <v>114145</v>
      </c>
    </row>
    <row r="161" spans="1:8" s="18" customFormat="1" x14ac:dyDescent="0.25">
      <c r="A161" s="10">
        <v>157</v>
      </c>
      <c r="B161" s="11">
        <v>45906</v>
      </c>
      <c r="C161" s="12" t="s">
        <v>474</v>
      </c>
      <c r="D161" s="13" t="s">
        <v>11</v>
      </c>
      <c r="E161" s="13" t="s">
        <v>13</v>
      </c>
      <c r="F161" s="15" t="s">
        <v>14</v>
      </c>
      <c r="G161" s="16">
        <v>13</v>
      </c>
      <c r="H161" s="26">
        <v>124425</v>
      </c>
    </row>
    <row r="162" spans="1:8" s="18" customFormat="1" x14ac:dyDescent="0.25">
      <c r="A162" s="10">
        <v>158</v>
      </c>
      <c r="B162" s="11">
        <v>45906</v>
      </c>
      <c r="C162" s="12" t="s">
        <v>475</v>
      </c>
      <c r="D162" s="13" t="s">
        <v>11</v>
      </c>
      <c r="E162" s="13" t="s">
        <v>13</v>
      </c>
      <c r="F162" s="15" t="s">
        <v>14</v>
      </c>
      <c r="G162" s="16">
        <v>13</v>
      </c>
      <c r="H162" s="26">
        <v>148990</v>
      </c>
    </row>
    <row r="163" spans="1:8" s="18" customFormat="1" x14ac:dyDescent="0.25">
      <c r="A163" s="10">
        <v>159</v>
      </c>
      <c r="B163" s="11">
        <v>45906</v>
      </c>
      <c r="C163" s="12" t="s">
        <v>476</v>
      </c>
      <c r="D163" s="13" t="s">
        <v>11</v>
      </c>
      <c r="E163" s="13" t="s">
        <v>13</v>
      </c>
      <c r="F163" s="15" t="s">
        <v>14</v>
      </c>
      <c r="G163" s="16">
        <v>13</v>
      </c>
      <c r="H163" s="26">
        <v>152595</v>
      </c>
    </row>
    <row r="164" spans="1:8" s="18" customFormat="1" x14ac:dyDescent="0.25">
      <c r="A164" s="10">
        <v>160</v>
      </c>
      <c r="B164" s="11">
        <v>45906</v>
      </c>
      <c r="C164" s="12" t="s">
        <v>477</v>
      </c>
      <c r="D164" s="13" t="s">
        <v>11</v>
      </c>
      <c r="E164" s="13" t="s">
        <v>13</v>
      </c>
      <c r="F164" s="15" t="s">
        <v>14</v>
      </c>
      <c r="G164" s="16">
        <v>13</v>
      </c>
      <c r="H164" s="26">
        <v>228125</v>
      </c>
    </row>
    <row r="165" spans="1:8" s="18" customFormat="1" x14ac:dyDescent="0.25">
      <c r="A165" s="10">
        <v>161</v>
      </c>
      <c r="B165" s="11">
        <v>45906</v>
      </c>
      <c r="C165" s="12" t="s">
        <v>478</v>
      </c>
      <c r="D165" s="13" t="s">
        <v>11</v>
      </c>
      <c r="E165" s="13" t="s">
        <v>13</v>
      </c>
      <c r="F165" s="15" t="s">
        <v>14</v>
      </c>
      <c r="G165" s="16">
        <v>13</v>
      </c>
      <c r="H165" s="26">
        <v>260750</v>
      </c>
    </row>
    <row r="166" spans="1:8" s="18" customFormat="1" x14ac:dyDescent="0.25">
      <c r="A166" s="10">
        <v>162</v>
      </c>
      <c r="B166" s="11">
        <v>45906</v>
      </c>
      <c r="C166" s="12" t="s">
        <v>479</v>
      </c>
      <c r="D166" s="13" t="s">
        <v>11</v>
      </c>
      <c r="E166" s="13" t="s">
        <v>13</v>
      </c>
      <c r="F166" s="15" t="s">
        <v>14</v>
      </c>
      <c r="G166" s="16">
        <v>13</v>
      </c>
      <c r="H166" s="26">
        <v>272746</v>
      </c>
    </row>
    <row r="167" spans="1:8" s="18" customFormat="1" x14ac:dyDescent="0.25">
      <c r="A167" s="10">
        <v>163</v>
      </c>
      <c r="B167" s="11">
        <v>45906</v>
      </c>
      <c r="C167" s="12" t="s">
        <v>480</v>
      </c>
      <c r="D167" s="13" t="s">
        <v>11</v>
      </c>
      <c r="E167" s="13" t="s">
        <v>13</v>
      </c>
      <c r="F167" s="15" t="s">
        <v>14</v>
      </c>
      <c r="G167" s="16">
        <v>13</v>
      </c>
      <c r="H167" s="26">
        <v>276345</v>
      </c>
    </row>
    <row r="168" spans="1:8" s="18" customFormat="1" x14ac:dyDescent="0.25">
      <c r="A168" s="10">
        <v>164</v>
      </c>
      <c r="B168" s="11">
        <v>45906</v>
      </c>
      <c r="C168" s="12" t="s">
        <v>481</v>
      </c>
      <c r="D168" s="13" t="s">
        <v>11</v>
      </c>
      <c r="E168" s="13" t="s">
        <v>13</v>
      </c>
      <c r="F168" s="15" t="s">
        <v>14</v>
      </c>
      <c r="G168" s="16">
        <v>13</v>
      </c>
      <c r="H168" s="26">
        <v>408600</v>
      </c>
    </row>
    <row r="169" spans="1:8" s="18" customFormat="1" x14ac:dyDescent="0.25">
      <c r="A169" s="10">
        <v>165</v>
      </c>
      <c r="B169" s="11">
        <v>45906</v>
      </c>
      <c r="C169" s="12" t="s">
        <v>482</v>
      </c>
      <c r="D169" s="13" t="s">
        <v>11</v>
      </c>
      <c r="E169" s="13" t="s">
        <v>13</v>
      </c>
      <c r="F169" s="15" t="s">
        <v>14</v>
      </c>
      <c r="G169" s="16">
        <v>13</v>
      </c>
      <c r="H169" s="26">
        <v>509575</v>
      </c>
    </row>
    <row r="170" spans="1:8" s="18" customFormat="1" x14ac:dyDescent="0.25">
      <c r="A170" s="10">
        <v>166</v>
      </c>
      <c r="B170" s="11">
        <v>45906</v>
      </c>
      <c r="C170" s="12" t="s">
        <v>483</v>
      </c>
      <c r="D170" s="13" t="s">
        <v>11</v>
      </c>
      <c r="E170" s="13" t="s">
        <v>13</v>
      </c>
      <c r="F170" s="15" t="s">
        <v>14</v>
      </c>
      <c r="G170" s="16">
        <v>13</v>
      </c>
      <c r="H170" s="26">
        <v>961300</v>
      </c>
    </row>
    <row r="171" spans="1:8" s="18" customFormat="1" x14ac:dyDescent="0.25">
      <c r="A171" s="10">
        <v>167</v>
      </c>
      <c r="B171" s="11">
        <v>45906</v>
      </c>
      <c r="C171" s="12" t="s">
        <v>484</v>
      </c>
      <c r="D171" s="13" t="s">
        <v>11</v>
      </c>
      <c r="E171" s="13" t="s">
        <v>13</v>
      </c>
      <c r="F171" s="15" t="s">
        <v>14</v>
      </c>
      <c r="G171" s="16">
        <v>13</v>
      </c>
      <c r="H171" s="26">
        <v>1469400</v>
      </c>
    </row>
    <row r="172" spans="1:8" s="18" customFormat="1" x14ac:dyDescent="0.25">
      <c r="A172" s="10">
        <v>168</v>
      </c>
      <c r="B172" s="11">
        <v>45908</v>
      </c>
      <c r="C172" s="12" t="s">
        <v>485</v>
      </c>
      <c r="D172" s="13" t="s">
        <v>11</v>
      </c>
      <c r="E172" s="13" t="s">
        <v>13</v>
      </c>
      <c r="F172" s="15" t="s">
        <v>14</v>
      </c>
      <c r="G172" s="16">
        <v>11</v>
      </c>
      <c r="H172" s="26">
        <v>22274</v>
      </c>
    </row>
    <row r="173" spans="1:8" s="18" customFormat="1" x14ac:dyDescent="0.25">
      <c r="A173" s="10">
        <v>169</v>
      </c>
      <c r="B173" s="11">
        <v>45908</v>
      </c>
      <c r="C173" s="12" t="s">
        <v>486</v>
      </c>
      <c r="D173" s="13" t="s">
        <v>11</v>
      </c>
      <c r="E173" s="13" t="s">
        <v>13</v>
      </c>
      <c r="F173" s="15" t="s">
        <v>14</v>
      </c>
      <c r="G173" s="16">
        <v>11</v>
      </c>
      <c r="H173" s="26">
        <v>72494</v>
      </c>
    </row>
    <row r="174" spans="1:8" s="18" customFormat="1" x14ac:dyDescent="0.25">
      <c r="A174" s="10">
        <v>170</v>
      </c>
      <c r="B174" s="11">
        <v>45908</v>
      </c>
      <c r="C174" s="12" t="s">
        <v>487</v>
      </c>
      <c r="D174" s="13" t="s">
        <v>11</v>
      </c>
      <c r="E174" s="13" t="s">
        <v>13</v>
      </c>
      <c r="F174" s="15" t="s">
        <v>14</v>
      </c>
      <c r="G174" s="16">
        <v>11</v>
      </c>
      <c r="H174" s="26">
        <v>86444</v>
      </c>
    </row>
    <row r="175" spans="1:8" s="18" customFormat="1" x14ac:dyDescent="0.25">
      <c r="A175" s="10">
        <v>171</v>
      </c>
      <c r="B175" s="11">
        <v>45908</v>
      </c>
      <c r="C175" s="12" t="s">
        <v>488</v>
      </c>
      <c r="D175" s="13" t="s">
        <v>11</v>
      </c>
      <c r="E175" s="13" t="s">
        <v>13</v>
      </c>
      <c r="F175" s="15" t="s">
        <v>14</v>
      </c>
      <c r="G175" s="16">
        <v>11</v>
      </c>
      <c r="H175" s="26">
        <v>114903</v>
      </c>
    </row>
    <row r="176" spans="1:8" s="18" customFormat="1" x14ac:dyDescent="0.25">
      <c r="A176" s="10">
        <v>172</v>
      </c>
      <c r="B176" s="11">
        <v>45908</v>
      </c>
      <c r="C176" s="12" t="s">
        <v>489</v>
      </c>
      <c r="D176" s="13" t="s">
        <v>11</v>
      </c>
      <c r="E176" s="13" t="s">
        <v>13</v>
      </c>
      <c r="F176" s="15" t="s">
        <v>14</v>
      </c>
      <c r="G176" s="16">
        <v>11</v>
      </c>
      <c r="H176" s="26">
        <v>119950</v>
      </c>
    </row>
    <row r="177" spans="1:8" s="18" customFormat="1" x14ac:dyDescent="0.25">
      <c r="A177" s="10">
        <v>173</v>
      </c>
      <c r="B177" s="11">
        <v>45908</v>
      </c>
      <c r="C177" s="12" t="s">
        <v>490</v>
      </c>
      <c r="D177" s="13" t="s">
        <v>11</v>
      </c>
      <c r="E177" s="13" t="s">
        <v>13</v>
      </c>
      <c r="F177" s="15" t="s">
        <v>14</v>
      </c>
      <c r="G177" s="16">
        <v>11</v>
      </c>
      <c r="H177" s="26">
        <v>180328</v>
      </c>
    </row>
    <row r="178" spans="1:8" s="18" customFormat="1" x14ac:dyDescent="0.25">
      <c r="A178" s="10">
        <v>174</v>
      </c>
      <c r="B178" s="11">
        <v>45908</v>
      </c>
      <c r="C178" s="12" t="s">
        <v>491</v>
      </c>
      <c r="D178" s="13" t="s">
        <v>11</v>
      </c>
      <c r="E178" s="13" t="s">
        <v>13</v>
      </c>
      <c r="F178" s="15" t="s">
        <v>14</v>
      </c>
      <c r="G178" s="16">
        <v>11</v>
      </c>
      <c r="H178" s="26">
        <v>241754</v>
      </c>
    </row>
    <row r="179" spans="1:8" s="18" customFormat="1" x14ac:dyDescent="0.25">
      <c r="A179" s="10">
        <v>175</v>
      </c>
      <c r="B179" s="11">
        <v>45908</v>
      </c>
      <c r="C179" s="12" t="s">
        <v>492</v>
      </c>
      <c r="D179" s="13" t="s">
        <v>11</v>
      </c>
      <c r="E179" s="13" t="s">
        <v>13</v>
      </c>
      <c r="F179" s="15" t="s">
        <v>14</v>
      </c>
      <c r="G179" s="16">
        <v>11</v>
      </c>
      <c r="H179" s="26">
        <v>373450</v>
      </c>
    </row>
    <row r="180" spans="1:8" s="18" customFormat="1" x14ac:dyDescent="0.25">
      <c r="A180" s="10">
        <v>176</v>
      </c>
      <c r="B180" s="11">
        <v>45909</v>
      </c>
      <c r="C180" s="12" t="s">
        <v>493</v>
      </c>
      <c r="D180" s="13" t="s">
        <v>11</v>
      </c>
      <c r="E180" s="13" t="s">
        <v>13</v>
      </c>
      <c r="F180" s="15" t="s">
        <v>14</v>
      </c>
      <c r="G180" s="16">
        <v>10</v>
      </c>
      <c r="H180" s="26">
        <v>62950</v>
      </c>
    </row>
    <row r="181" spans="1:8" s="18" customFormat="1" x14ac:dyDescent="0.25">
      <c r="A181" s="10">
        <v>177</v>
      </c>
      <c r="B181" s="11">
        <v>45909</v>
      </c>
      <c r="C181" s="12" t="s">
        <v>494</v>
      </c>
      <c r="D181" s="13" t="s">
        <v>11</v>
      </c>
      <c r="E181" s="13" t="s">
        <v>13</v>
      </c>
      <c r="F181" s="15" t="s">
        <v>14</v>
      </c>
      <c r="G181" s="16">
        <v>10</v>
      </c>
      <c r="H181" s="26">
        <v>95000</v>
      </c>
    </row>
    <row r="182" spans="1:8" s="18" customFormat="1" x14ac:dyDescent="0.25">
      <c r="A182" s="10">
        <v>178</v>
      </c>
      <c r="B182" s="11">
        <v>45909</v>
      </c>
      <c r="C182" s="12" t="s">
        <v>495</v>
      </c>
      <c r="D182" s="13" t="s">
        <v>11</v>
      </c>
      <c r="E182" s="13" t="s">
        <v>13</v>
      </c>
      <c r="F182" s="15" t="s">
        <v>14</v>
      </c>
      <c r="G182" s="16">
        <v>10</v>
      </c>
      <c r="H182" s="26">
        <v>124950</v>
      </c>
    </row>
    <row r="183" spans="1:8" s="18" customFormat="1" x14ac:dyDescent="0.25">
      <c r="A183" s="10">
        <v>179</v>
      </c>
      <c r="B183" s="11">
        <v>45909</v>
      </c>
      <c r="C183" s="12" t="s">
        <v>496</v>
      </c>
      <c r="D183" s="13" t="s">
        <v>11</v>
      </c>
      <c r="E183" s="13" t="s">
        <v>13</v>
      </c>
      <c r="F183" s="15" t="s">
        <v>14</v>
      </c>
      <c r="G183" s="16">
        <v>10</v>
      </c>
      <c r="H183" s="26">
        <v>155900</v>
      </c>
    </row>
    <row r="184" spans="1:8" s="18" customFormat="1" x14ac:dyDescent="0.25">
      <c r="A184" s="10">
        <v>180</v>
      </c>
      <c r="B184" s="11">
        <v>45909</v>
      </c>
      <c r="C184" s="12" t="s">
        <v>497</v>
      </c>
      <c r="D184" s="13" t="s">
        <v>11</v>
      </c>
      <c r="E184" s="13" t="s">
        <v>13</v>
      </c>
      <c r="F184" s="15" t="s">
        <v>14</v>
      </c>
      <c r="G184" s="16">
        <v>10</v>
      </c>
      <c r="H184" s="26">
        <v>214900</v>
      </c>
    </row>
    <row r="185" spans="1:8" s="18" customFormat="1" x14ac:dyDescent="0.25">
      <c r="A185" s="10">
        <v>181</v>
      </c>
      <c r="B185" s="11">
        <v>45910</v>
      </c>
      <c r="C185" s="12" t="s">
        <v>498</v>
      </c>
      <c r="D185" s="13" t="s">
        <v>11</v>
      </c>
      <c r="E185" s="13" t="s">
        <v>13</v>
      </c>
      <c r="F185" s="15" t="s">
        <v>14</v>
      </c>
      <c r="G185" s="16">
        <v>9</v>
      </c>
      <c r="H185" s="26">
        <v>99900</v>
      </c>
    </row>
    <row r="186" spans="1:8" s="18" customFormat="1" x14ac:dyDescent="0.25">
      <c r="A186" s="10">
        <v>182</v>
      </c>
      <c r="B186" s="11">
        <v>45910</v>
      </c>
      <c r="C186" s="12" t="s">
        <v>499</v>
      </c>
      <c r="D186" s="13" t="s">
        <v>11</v>
      </c>
      <c r="E186" s="13" t="s">
        <v>13</v>
      </c>
      <c r="F186" s="15" t="s">
        <v>14</v>
      </c>
      <c r="G186" s="16">
        <v>9</v>
      </c>
      <c r="H186" s="26">
        <v>193900</v>
      </c>
    </row>
    <row r="187" spans="1:8" s="18" customFormat="1" x14ac:dyDescent="0.25">
      <c r="A187" s="10">
        <v>183</v>
      </c>
      <c r="B187" s="11">
        <v>45910</v>
      </c>
      <c r="C187" s="12" t="s">
        <v>500</v>
      </c>
      <c r="D187" s="13" t="s">
        <v>11</v>
      </c>
      <c r="E187" s="13" t="s">
        <v>13</v>
      </c>
      <c r="F187" s="15" t="s">
        <v>14</v>
      </c>
      <c r="G187" s="16">
        <v>9</v>
      </c>
      <c r="H187" s="26">
        <v>354750</v>
      </c>
    </row>
    <row r="188" spans="1:8" s="18" customFormat="1" x14ac:dyDescent="0.25">
      <c r="A188" s="10">
        <v>184</v>
      </c>
      <c r="B188" s="11">
        <v>45910</v>
      </c>
      <c r="C188" s="12" t="s">
        <v>501</v>
      </c>
      <c r="D188" s="13" t="s">
        <v>11</v>
      </c>
      <c r="E188" s="13" t="s">
        <v>13</v>
      </c>
      <c r="F188" s="15" t="s">
        <v>14</v>
      </c>
      <c r="G188" s="16">
        <v>9</v>
      </c>
      <c r="H188" s="26">
        <v>1799500</v>
      </c>
    </row>
    <row r="189" spans="1:8" s="18" customFormat="1" x14ac:dyDescent="0.25">
      <c r="A189" s="10">
        <v>185</v>
      </c>
      <c r="B189" s="11">
        <v>45911</v>
      </c>
      <c r="C189" s="12" t="s">
        <v>502</v>
      </c>
      <c r="D189" s="13" t="s">
        <v>11</v>
      </c>
      <c r="E189" s="13" t="s">
        <v>13</v>
      </c>
      <c r="F189" s="15" t="s">
        <v>14</v>
      </c>
      <c r="G189" s="16">
        <v>8</v>
      </c>
      <c r="H189" s="26">
        <v>62950</v>
      </c>
    </row>
    <row r="190" spans="1:8" s="18" customFormat="1" x14ac:dyDescent="0.25">
      <c r="A190" s="10">
        <v>186</v>
      </c>
      <c r="B190" s="11">
        <v>45912</v>
      </c>
      <c r="C190" s="12" t="s">
        <v>503</v>
      </c>
      <c r="D190" s="13" t="s">
        <v>11</v>
      </c>
      <c r="E190" s="13" t="s">
        <v>13</v>
      </c>
      <c r="F190" s="15" t="s">
        <v>14</v>
      </c>
      <c r="G190" s="16">
        <v>7</v>
      </c>
      <c r="H190" s="26">
        <v>21950</v>
      </c>
    </row>
    <row r="191" spans="1:8" s="18" customFormat="1" x14ac:dyDescent="0.25">
      <c r="A191" s="10">
        <v>187</v>
      </c>
      <c r="B191" s="11">
        <v>45912</v>
      </c>
      <c r="C191" s="12" t="s">
        <v>504</v>
      </c>
      <c r="D191" s="13" t="s">
        <v>11</v>
      </c>
      <c r="E191" s="13" t="s">
        <v>13</v>
      </c>
      <c r="F191" s="15" t="s">
        <v>14</v>
      </c>
      <c r="G191" s="16">
        <v>7</v>
      </c>
      <c r="H191" s="26">
        <v>118950</v>
      </c>
    </row>
    <row r="192" spans="1:8" s="18" customFormat="1" x14ac:dyDescent="0.25">
      <c r="A192" s="10">
        <v>188</v>
      </c>
      <c r="B192" s="11">
        <v>45912</v>
      </c>
      <c r="C192" s="12" t="s">
        <v>505</v>
      </c>
      <c r="D192" s="13" t="s">
        <v>11</v>
      </c>
      <c r="E192" s="13" t="s">
        <v>13</v>
      </c>
      <c r="F192" s="15" t="s">
        <v>14</v>
      </c>
      <c r="G192" s="16">
        <v>7</v>
      </c>
      <c r="H192" s="26">
        <v>437900</v>
      </c>
    </row>
    <row r="193" spans="1:8" s="18" customFormat="1" x14ac:dyDescent="0.25">
      <c r="A193" s="10">
        <v>189</v>
      </c>
      <c r="B193" s="11">
        <v>45913</v>
      </c>
      <c r="C193" s="12" t="s">
        <v>506</v>
      </c>
      <c r="D193" s="13" t="s">
        <v>11</v>
      </c>
      <c r="E193" s="13" t="s">
        <v>13</v>
      </c>
      <c r="F193" s="15" t="s">
        <v>14</v>
      </c>
      <c r="G193" s="16">
        <v>6</v>
      </c>
      <c r="H193" s="26">
        <v>39950</v>
      </c>
    </row>
    <row r="194" spans="1:8" s="18" customFormat="1" x14ac:dyDescent="0.25">
      <c r="A194" s="10">
        <v>190</v>
      </c>
      <c r="B194" s="11">
        <v>45913</v>
      </c>
      <c r="C194" s="12" t="s">
        <v>507</v>
      </c>
      <c r="D194" s="13" t="s">
        <v>11</v>
      </c>
      <c r="E194" s="13" t="s">
        <v>13</v>
      </c>
      <c r="F194" s="15" t="s">
        <v>14</v>
      </c>
      <c r="G194" s="16">
        <v>6</v>
      </c>
      <c r="H194" s="26">
        <v>243900</v>
      </c>
    </row>
    <row r="195" spans="1:8" s="18" customFormat="1" x14ac:dyDescent="0.25">
      <c r="A195" s="10">
        <v>191</v>
      </c>
      <c r="B195" s="11">
        <v>45913</v>
      </c>
      <c r="C195" s="12" t="s">
        <v>508</v>
      </c>
      <c r="D195" s="13" t="s">
        <v>11</v>
      </c>
      <c r="E195" s="13" t="s">
        <v>13</v>
      </c>
      <c r="F195" s="15" t="s">
        <v>14</v>
      </c>
      <c r="G195" s="16">
        <v>6</v>
      </c>
      <c r="H195" s="26">
        <v>335900</v>
      </c>
    </row>
    <row r="196" spans="1:8" s="18" customFormat="1" x14ac:dyDescent="0.25">
      <c r="A196" s="10">
        <v>192</v>
      </c>
      <c r="B196" s="11">
        <v>45915</v>
      </c>
      <c r="C196" s="12" t="s">
        <v>509</v>
      </c>
      <c r="D196" s="13" t="s">
        <v>11</v>
      </c>
      <c r="E196" s="13" t="s">
        <v>13</v>
      </c>
      <c r="F196" s="15" t="s">
        <v>14</v>
      </c>
      <c r="G196" s="16">
        <v>4</v>
      </c>
      <c r="H196" s="26">
        <v>62950</v>
      </c>
    </row>
    <row r="197" spans="1:8" s="18" customFormat="1" x14ac:dyDescent="0.25">
      <c r="A197" s="10">
        <v>193</v>
      </c>
      <c r="B197" s="11">
        <v>45915</v>
      </c>
      <c r="C197" s="12" t="s">
        <v>510</v>
      </c>
      <c r="D197" s="13" t="s">
        <v>11</v>
      </c>
      <c r="E197" s="13" t="s">
        <v>13</v>
      </c>
      <c r="F197" s="15" t="s">
        <v>14</v>
      </c>
      <c r="G197" s="16">
        <v>4</v>
      </c>
      <c r="H197" s="26">
        <v>145900</v>
      </c>
    </row>
    <row r="198" spans="1:8" s="18" customFormat="1" x14ac:dyDescent="0.25">
      <c r="A198" s="10">
        <v>194</v>
      </c>
      <c r="B198" s="11">
        <v>45915</v>
      </c>
      <c r="C198" s="12" t="s">
        <v>511</v>
      </c>
      <c r="D198" s="13" t="s">
        <v>11</v>
      </c>
      <c r="E198" s="13" t="s">
        <v>13</v>
      </c>
      <c r="F198" s="15" t="s">
        <v>14</v>
      </c>
      <c r="G198" s="16">
        <v>4</v>
      </c>
      <c r="H198" s="26">
        <v>479900</v>
      </c>
    </row>
    <row r="199" spans="1:8" s="18" customFormat="1" x14ac:dyDescent="0.25">
      <c r="A199" s="10">
        <v>195</v>
      </c>
      <c r="B199" s="11">
        <v>45916</v>
      </c>
      <c r="C199" s="12" t="s">
        <v>512</v>
      </c>
      <c r="D199" s="13" t="s">
        <v>11</v>
      </c>
      <c r="E199" s="13" t="s">
        <v>13</v>
      </c>
      <c r="F199" s="15" t="s">
        <v>14</v>
      </c>
      <c r="G199" s="16">
        <v>3</v>
      </c>
      <c r="H199" s="26">
        <v>179950</v>
      </c>
    </row>
    <row r="200" spans="1:8" s="18" customFormat="1" x14ac:dyDescent="0.25">
      <c r="A200" s="10">
        <v>196</v>
      </c>
      <c r="B200" s="11">
        <v>45917</v>
      </c>
      <c r="C200" s="12" t="s">
        <v>513</v>
      </c>
      <c r="D200" s="13" t="s">
        <v>11</v>
      </c>
      <c r="E200" s="13" t="s">
        <v>13</v>
      </c>
      <c r="F200" s="15" t="s">
        <v>14</v>
      </c>
      <c r="G200" s="16">
        <v>2</v>
      </c>
      <c r="H200" s="26">
        <v>62950</v>
      </c>
    </row>
    <row r="201" spans="1:8" s="18" customFormat="1" x14ac:dyDescent="0.25">
      <c r="A201" s="10">
        <v>197</v>
      </c>
      <c r="B201" s="11">
        <v>45918</v>
      </c>
      <c r="C201" s="12" t="s">
        <v>514</v>
      </c>
      <c r="D201" s="13" t="s">
        <v>11</v>
      </c>
      <c r="E201" s="13" t="s">
        <v>13</v>
      </c>
      <c r="F201" s="15" t="s">
        <v>14</v>
      </c>
      <c r="G201" s="16">
        <v>1</v>
      </c>
      <c r="H201" s="26">
        <v>157950</v>
      </c>
    </row>
    <row r="202" spans="1:8" s="18" customFormat="1" x14ac:dyDescent="0.25">
      <c r="A202" s="10">
        <v>198</v>
      </c>
      <c r="B202" s="11">
        <v>45918</v>
      </c>
      <c r="C202" s="12" t="s">
        <v>515</v>
      </c>
      <c r="D202" s="13" t="s">
        <v>11</v>
      </c>
      <c r="E202" s="13" t="s">
        <v>13</v>
      </c>
      <c r="F202" s="15" t="s">
        <v>14</v>
      </c>
      <c r="G202" s="16">
        <v>1</v>
      </c>
      <c r="H202" s="26">
        <v>360000</v>
      </c>
    </row>
    <row r="203" spans="1:8" s="18" customFormat="1" x14ac:dyDescent="0.25">
      <c r="A203" s="10">
        <v>199</v>
      </c>
      <c r="B203" s="11">
        <v>45919</v>
      </c>
      <c r="C203" s="12" t="s">
        <v>516</v>
      </c>
      <c r="D203" s="13" t="s">
        <v>11</v>
      </c>
      <c r="E203" s="13" t="s">
        <v>13</v>
      </c>
      <c r="F203" s="15" t="s">
        <v>14</v>
      </c>
      <c r="G203" s="16">
        <v>0</v>
      </c>
      <c r="H203" s="26">
        <v>28950</v>
      </c>
    </row>
    <row r="204" spans="1:8" s="18" customFormat="1" x14ac:dyDescent="0.25">
      <c r="A204" s="83" t="s">
        <v>349</v>
      </c>
      <c r="B204" s="84"/>
      <c r="C204" s="84"/>
      <c r="D204" s="84"/>
      <c r="E204" s="84"/>
      <c r="F204" s="84"/>
      <c r="G204" s="85"/>
      <c r="H204" s="27">
        <f>SUM(H5:H203)</f>
        <v>42344672</v>
      </c>
    </row>
    <row r="205" spans="1:8" s="18" customFormat="1" x14ac:dyDescent="0.25"/>
    <row r="206" spans="1:8" s="18" customFormat="1" x14ac:dyDescent="0.25">
      <c r="A206" s="10">
        <v>1</v>
      </c>
      <c r="B206" s="11">
        <v>45892</v>
      </c>
      <c r="C206" s="12" t="s">
        <v>359</v>
      </c>
      <c r="D206" s="13" t="s">
        <v>11</v>
      </c>
      <c r="E206" s="13" t="s">
        <v>351</v>
      </c>
      <c r="F206" s="15" t="s">
        <v>352</v>
      </c>
      <c r="G206" s="16">
        <v>27</v>
      </c>
      <c r="H206" s="26">
        <v>42055</v>
      </c>
    </row>
    <row r="207" spans="1:8" s="18" customFormat="1" x14ac:dyDescent="0.25">
      <c r="A207" s="10">
        <v>2</v>
      </c>
      <c r="B207" s="11">
        <v>45892</v>
      </c>
      <c r="C207" s="12" t="s">
        <v>360</v>
      </c>
      <c r="D207" s="13" t="s">
        <v>11</v>
      </c>
      <c r="E207" s="13" t="s">
        <v>351</v>
      </c>
      <c r="F207" s="15" t="s">
        <v>352</v>
      </c>
      <c r="G207" s="16">
        <v>27</v>
      </c>
      <c r="H207" s="26">
        <v>50465</v>
      </c>
    </row>
    <row r="208" spans="1:8" s="18" customFormat="1" x14ac:dyDescent="0.25">
      <c r="A208" s="10">
        <v>3</v>
      </c>
      <c r="B208" s="11">
        <v>45896</v>
      </c>
      <c r="C208" s="12" t="s">
        <v>361</v>
      </c>
      <c r="D208" s="13" t="s">
        <v>11</v>
      </c>
      <c r="E208" s="13" t="s">
        <v>351</v>
      </c>
      <c r="F208" s="15" t="s">
        <v>352</v>
      </c>
      <c r="G208" s="16">
        <v>23</v>
      </c>
      <c r="H208" s="26">
        <v>112945</v>
      </c>
    </row>
    <row r="209" spans="1:8" s="18" customFormat="1" x14ac:dyDescent="0.25">
      <c r="A209" s="10">
        <v>4</v>
      </c>
      <c r="B209" s="11">
        <v>45897</v>
      </c>
      <c r="C209" s="12" t="s">
        <v>362</v>
      </c>
      <c r="D209" s="13" t="s">
        <v>11</v>
      </c>
      <c r="E209" s="13" t="s">
        <v>351</v>
      </c>
      <c r="F209" s="15" t="s">
        <v>352</v>
      </c>
      <c r="G209" s="16">
        <v>22</v>
      </c>
      <c r="H209" s="26">
        <v>144185</v>
      </c>
    </row>
    <row r="210" spans="1:8" s="18" customFormat="1" x14ac:dyDescent="0.25">
      <c r="A210" s="10">
        <v>5</v>
      </c>
      <c r="B210" s="11">
        <v>45897</v>
      </c>
      <c r="C210" s="12" t="s">
        <v>363</v>
      </c>
      <c r="D210" s="13" t="s">
        <v>11</v>
      </c>
      <c r="E210" s="13" t="s">
        <v>351</v>
      </c>
      <c r="F210" s="15" t="s">
        <v>352</v>
      </c>
      <c r="G210" s="16">
        <v>22</v>
      </c>
      <c r="H210" s="26">
        <v>144185</v>
      </c>
    </row>
    <row r="211" spans="1:8" s="18" customFormat="1" x14ac:dyDescent="0.25">
      <c r="A211" s="10">
        <v>6</v>
      </c>
      <c r="B211" s="11">
        <v>45898</v>
      </c>
      <c r="C211" s="12" t="s">
        <v>385</v>
      </c>
      <c r="D211" s="13" t="s">
        <v>11</v>
      </c>
      <c r="E211" s="13" t="s">
        <v>351</v>
      </c>
      <c r="F211" s="15" t="s">
        <v>352</v>
      </c>
      <c r="G211" s="16">
        <v>21</v>
      </c>
      <c r="H211" s="26">
        <v>75695</v>
      </c>
    </row>
    <row r="212" spans="1:8" s="18" customFormat="1" x14ac:dyDescent="0.25">
      <c r="A212" s="10">
        <v>7</v>
      </c>
      <c r="B212" s="11">
        <v>45899</v>
      </c>
      <c r="C212" s="12" t="s">
        <v>517</v>
      </c>
      <c r="D212" s="13" t="s">
        <v>11</v>
      </c>
      <c r="E212" s="13" t="s">
        <v>351</v>
      </c>
      <c r="F212" s="15" t="s">
        <v>352</v>
      </c>
      <c r="G212" s="16">
        <v>20</v>
      </c>
      <c r="H212" s="26">
        <v>42055</v>
      </c>
    </row>
    <row r="213" spans="1:8" s="18" customFormat="1" x14ac:dyDescent="0.25">
      <c r="A213" s="10">
        <v>8</v>
      </c>
      <c r="B213" s="11">
        <v>45908</v>
      </c>
      <c r="C213" s="12" t="s">
        <v>518</v>
      </c>
      <c r="D213" s="13" t="s">
        <v>11</v>
      </c>
      <c r="E213" s="13" t="s">
        <v>351</v>
      </c>
      <c r="F213" s="15" t="s">
        <v>352</v>
      </c>
      <c r="G213" s="16">
        <v>11</v>
      </c>
      <c r="H213" s="26">
        <v>29750</v>
      </c>
    </row>
    <row r="214" spans="1:8" s="18" customFormat="1" x14ac:dyDescent="0.25">
      <c r="A214" s="10">
        <v>9</v>
      </c>
      <c r="B214" s="11">
        <v>45908</v>
      </c>
      <c r="C214" s="12" t="s">
        <v>519</v>
      </c>
      <c r="D214" s="13" t="s">
        <v>11</v>
      </c>
      <c r="E214" s="13" t="s">
        <v>351</v>
      </c>
      <c r="F214" s="15" t="s">
        <v>352</v>
      </c>
      <c r="G214" s="16">
        <v>11</v>
      </c>
      <c r="H214" s="26">
        <v>112950</v>
      </c>
    </row>
    <row r="215" spans="1:8" s="18" customFormat="1" x14ac:dyDescent="0.25">
      <c r="A215" s="10">
        <v>10</v>
      </c>
      <c r="B215" s="11">
        <v>45909</v>
      </c>
      <c r="C215" s="12" t="s">
        <v>520</v>
      </c>
      <c r="D215" s="13" t="s">
        <v>11</v>
      </c>
      <c r="E215" s="13" t="s">
        <v>351</v>
      </c>
      <c r="F215" s="15" t="s">
        <v>352</v>
      </c>
      <c r="G215" s="16">
        <v>10</v>
      </c>
      <c r="H215" s="26">
        <v>182818</v>
      </c>
    </row>
    <row r="216" spans="1:8" s="18" customFormat="1" x14ac:dyDescent="0.25">
      <c r="A216" s="10">
        <v>11</v>
      </c>
      <c r="B216" s="11">
        <v>45915</v>
      </c>
      <c r="C216" s="12" t="s">
        <v>521</v>
      </c>
      <c r="D216" s="13" t="s">
        <v>11</v>
      </c>
      <c r="E216" s="13" t="s">
        <v>351</v>
      </c>
      <c r="F216" s="15" t="s">
        <v>352</v>
      </c>
      <c r="G216" s="16">
        <v>4</v>
      </c>
      <c r="H216" s="26">
        <v>118220</v>
      </c>
    </row>
    <row r="217" spans="1:8" s="18" customFormat="1" x14ac:dyDescent="0.25">
      <c r="A217" s="10">
        <v>12</v>
      </c>
      <c r="B217" s="11">
        <v>45915</v>
      </c>
      <c r="C217" s="12" t="s">
        <v>522</v>
      </c>
      <c r="D217" s="13" t="s">
        <v>11</v>
      </c>
      <c r="E217" s="13" t="s">
        <v>351</v>
      </c>
      <c r="F217" s="15" t="s">
        <v>352</v>
      </c>
      <c r="G217" s="16">
        <v>4</v>
      </c>
      <c r="H217" s="26">
        <v>186950</v>
      </c>
    </row>
    <row r="218" spans="1:8" x14ac:dyDescent="0.25">
      <c r="A218" s="83" t="s">
        <v>349</v>
      </c>
      <c r="B218" s="84"/>
      <c r="C218" s="84"/>
      <c r="D218" s="84"/>
      <c r="E218" s="84"/>
      <c r="F218" s="84"/>
      <c r="G218" s="85"/>
      <c r="H218" s="27">
        <f>SUM(H206:H217)</f>
        <v>1242273</v>
      </c>
    </row>
  </sheetData>
  <sortState ref="A206:BH217">
    <sortCondition ref="B206:B217"/>
  </sortState>
  <mergeCells count="2">
    <mergeCell ref="A204:G204"/>
    <mergeCell ref="A218:G218"/>
  </mergeCells>
  <conditionalFormatting sqref="G206:G217 G5:G203">
    <cfRule type="cellIs" dxfId="127" priority="9" operator="greaterThan">
      <formula>0</formula>
    </cfRule>
  </conditionalFormatting>
  <conditionalFormatting sqref="H204:H205">
    <cfRule type="expression" dxfId="126" priority="6">
      <formula>AND(#REF!&gt;0,$F204&gt;89)</formula>
    </cfRule>
    <cfRule type="expression" dxfId="125" priority="7">
      <formula>AND(#REF!&gt;0,$F204&gt;59)</formula>
    </cfRule>
    <cfRule type="expression" dxfId="124" priority="8">
      <formula>AND(#REF!&gt;0,$F204&gt;44)</formula>
    </cfRule>
  </conditionalFormatting>
  <conditionalFormatting sqref="G4">
    <cfRule type="cellIs" dxfId="123" priority="4" operator="greaterThan">
      <formula>0</formula>
    </cfRule>
  </conditionalFormatting>
  <conditionalFormatting sqref="B5:H203 B206:H217">
    <cfRule type="expression" dxfId="122" priority="15">
      <formula>AND(#REF!&gt;0,$G5&gt;89)</formula>
    </cfRule>
    <cfRule type="expression" dxfId="121" priority="16">
      <formula>AND(#REF!&gt;0,$G5&gt;59)</formula>
    </cfRule>
    <cfRule type="expression" dxfId="120" priority="17">
      <formula>AND(#REF!&gt;0,$G5&gt;44)</formula>
    </cfRule>
  </conditionalFormatting>
  <conditionalFormatting sqref="H218">
    <cfRule type="expression" dxfId="119" priority="1">
      <formula>AND(#REF!&gt;0,$F218&gt;89)</formula>
    </cfRule>
    <cfRule type="expression" dxfId="118" priority="2">
      <formula>AND(#REF!&gt;0,$F218&gt;59)</formula>
    </cfRule>
    <cfRule type="expression" dxfId="117" priority="3">
      <formula>AND(#REF!&gt;0,$F218&gt;44)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selection activeCell="A3" sqref="A3:H4"/>
    </sheetView>
  </sheetViews>
  <sheetFormatPr defaultColWidth="9.140625" defaultRowHeight="15" x14ac:dyDescent="0.25"/>
  <cols>
    <col min="1" max="1" width="5" customWidth="1"/>
    <col min="4" max="5" width="9.140625" customWidth="1"/>
    <col min="6" max="6" width="22.7109375" customWidth="1"/>
    <col min="7" max="7" width="9.140625" customWidth="1"/>
    <col min="8" max="8" width="14.85546875" customWidth="1"/>
  </cols>
  <sheetData>
    <row r="1" spans="1:9" x14ac:dyDescent="0.25">
      <c r="A1" s="1"/>
      <c r="B1" s="32"/>
      <c r="C1" s="32"/>
      <c r="D1" s="32"/>
      <c r="E1" s="32"/>
      <c r="F1" s="32"/>
      <c r="G1" s="32"/>
      <c r="H1" s="32"/>
    </row>
    <row r="2" spans="1:9" x14ac:dyDescent="0.25">
      <c r="A2" s="33"/>
      <c r="B2" s="34"/>
      <c r="C2" s="4"/>
      <c r="D2" s="33"/>
      <c r="E2" s="33"/>
      <c r="F2" s="35"/>
      <c r="G2" s="36"/>
      <c r="H2" s="37"/>
    </row>
    <row r="3" spans="1:9" x14ac:dyDescent="0.25">
      <c r="A3" s="38" t="s">
        <v>530</v>
      </c>
      <c r="B3" s="3"/>
      <c r="C3" s="4"/>
      <c r="D3" s="4"/>
      <c r="E3" s="4"/>
      <c r="F3" s="4"/>
      <c r="G3" s="4"/>
      <c r="H3" s="4"/>
    </row>
    <row r="4" spans="1:9" ht="22.5" customHeight="1" x14ac:dyDescent="0.25">
      <c r="A4" s="5" t="s">
        <v>0</v>
      </c>
      <c r="B4" s="6" t="s">
        <v>1</v>
      </c>
      <c r="C4" s="7" t="s">
        <v>2</v>
      </c>
      <c r="D4" s="7" t="s">
        <v>3</v>
      </c>
      <c r="E4" s="7" t="s">
        <v>5</v>
      </c>
      <c r="F4" s="7" t="s">
        <v>6</v>
      </c>
      <c r="G4" s="8" t="s">
        <v>8</v>
      </c>
      <c r="H4" s="9" t="s">
        <v>9</v>
      </c>
    </row>
    <row r="5" spans="1:9" s="18" customFormat="1" x14ac:dyDescent="0.25">
      <c r="A5" s="39">
        <v>1</v>
      </c>
      <c r="B5" s="40">
        <v>45896</v>
      </c>
      <c r="C5" s="41" t="s">
        <v>342</v>
      </c>
      <c r="D5" s="42" t="s">
        <v>11</v>
      </c>
      <c r="E5" s="42" t="s">
        <v>13</v>
      </c>
      <c r="F5" s="43" t="s">
        <v>14</v>
      </c>
      <c r="G5" s="44">
        <v>28</v>
      </c>
      <c r="H5" s="45">
        <v>112945</v>
      </c>
      <c r="I5" s="18" t="s">
        <v>531</v>
      </c>
    </row>
    <row r="6" spans="1:9" s="18" customFormat="1" x14ac:dyDescent="0.25">
      <c r="A6" s="39">
        <v>2</v>
      </c>
      <c r="B6" s="40">
        <v>45898</v>
      </c>
      <c r="C6" s="41" t="s">
        <v>381</v>
      </c>
      <c r="D6" s="42" t="s">
        <v>11</v>
      </c>
      <c r="E6" s="42" t="s">
        <v>13</v>
      </c>
      <c r="F6" s="43" t="s">
        <v>14</v>
      </c>
      <c r="G6" s="44">
        <v>26</v>
      </c>
      <c r="H6" s="45">
        <v>171830</v>
      </c>
      <c r="I6" s="18" t="s">
        <v>531</v>
      </c>
    </row>
    <row r="7" spans="1:9" s="18" customFormat="1" x14ac:dyDescent="0.25">
      <c r="A7" s="39">
        <v>3</v>
      </c>
      <c r="B7" s="40">
        <v>45899</v>
      </c>
      <c r="C7" s="41" t="s">
        <v>395</v>
      </c>
      <c r="D7" s="42" t="s">
        <v>11</v>
      </c>
      <c r="E7" s="42" t="s">
        <v>13</v>
      </c>
      <c r="F7" s="43" t="s">
        <v>14</v>
      </c>
      <c r="G7" s="44">
        <v>25</v>
      </c>
      <c r="H7" s="45">
        <v>177750</v>
      </c>
      <c r="I7" s="18" t="s">
        <v>531</v>
      </c>
    </row>
    <row r="8" spans="1:9" s="18" customFormat="1" x14ac:dyDescent="0.25">
      <c r="A8" s="39">
        <v>4</v>
      </c>
      <c r="B8" s="40">
        <v>45908</v>
      </c>
      <c r="C8" s="41" t="s">
        <v>485</v>
      </c>
      <c r="D8" s="42" t="s">
        <v>11</v>
      </c>
      <c r="E8" s="42" t="s">
        <v>13</v>
      </c>
      <c r="F8" s="43" t="s">
        <v>14</v>
      </c>
      <c r="G8" s="44">
        <v>16</v>
      </c>
      <c r="H8" s="45">
        <v>22274</v>
      </c>
    </row>
    <row r="9" spans="1:9" s="18" customFormat="1" x14ac:dyDescent="0.25">
      <c r="A9" s="39">
        <v>5</v>
      </c>
      <c r="B9" s="40">
        <v>45908</v>
      </c>
      <c r="C9" s="41" t="s">
        <v>486</v>
      </c>
      <c r="D9" s="42" t="s">
        <v>11</v>
      </c>
      <c r="E9" s="42" t="s">
        <v>13</v>
      </c>
      <c r="F9" s="43" t="s">
        <v>14</v>
      </c>
      <c r="G9" s="44">
        <v>16</v>
      </c>
      <c r="H9" s="45">
        <v>72494</v>
      </c>
    </row>
    <row r="10" spans="1:9" s="18" customFormat="1" x14ac:dyDescent="0.25">
      <c r="A10" s="39">
        <v>6</v>
      </c>
      <c r="B10" s="40">
        <v>45908</v>
      </c>
      <c r="C10" s="41" t="s">
        <v>487</v>
      </c>
      <c r="D10" s="42" t="s">
        <v>11</v>
      </c>
      <c r="E10" s="42" t="s">
        <v>13</v>
      </c>
      <c r="F10" s="43" t="s">
        <v>14</v>
      </c>
      <c r="G10" s="44">
        <v>16</v>
      </c>
      <c r="H10" s="45">
        <v>86444</v>
      </c>
    </row>
    <row r="11" spans="1:9" s="18" customFormat="1" x14ac:dyDescent="0.25">
      <c r="A11" s="39">
        <v>7</v>
      </c>
      <c r="B11" s="40">
        <v>45908</v>
      </c>
      <c r="C11" s="41" t="s">
        <v>488</v>
      </c>
      <c r="D11" s="42" t="s">
        <v>11</v>
      </c>
      <c r="E11" s="42" t="s">
        <v>13</v>
      </c>
      <c r="F11" s="43" t="s">
        <v>14</v>
      </c>
      <c r="G11" s="44">
        <v>16</v>
      </c>
      <c r="H11" s="45">
        <v>114903</v>
      </c>
    </row>
    <row r="12" spans="1:9" s="18" customFormat="1" x14ac:dyDescent="0.25">
      <c r="A12" s="39">
        <v>8</v>
      </c>
      <c r="B12" s="40">
        <v>45908</v>
      </c>
      <c r="C12" s="41" t="s">
        <v>489</v>
      </c>
      <c r="D12" s="42" t="s">
        <v>11</v>
      </c>
      <c r="E12" s="42" t="s">
        <v>13</v>
      </c>
      <c r="F12" s="43" t="s">
        <v>14</v>
      </c>
      <c r="G12" s="44">
        <v>16</v>
      </c>
      <c r="H12" s="45">
        <v>119950</v>
      </c>
    </row>
    <row r="13" spans="1:9" s="18" customFormat="1" x14ac:dyDescent="0.25">
      <c r="A13" s="39">
        <v>9</v>
      </c>
      <c r="B13" s="40">
        <v>45908</v>
      </c>
      <c r="C13" s="41" t="s">
        <v>490</v>
      </c>
      <c r="D13" s="42" t="s">
        <v>11</v>
      </c>
      <c r="E13" s="42" t="s">
        <v>13</v>
      </c>
      <c r="F13" s="43" t="s">
        <v>14</v>
      </c>
      <c r="G13" s="44">
        <v>16</v>
      </c>
      <c r="H13" s="45">
        <v>180328</v>
      </c>
    </row>
    <row r="14" spans="1:9" s="18" customFormat="1" x14ac:dyDescent="0.25">
      <c r="A14" s="39">
        <v>10</v>
      </c>
      <c r="B14" s="40">
        <v>45908</v>
      </c>
      <c r="C14" s="41" t="s">
        <v>491</v>
      </c>
      <c r="D14" s="42" t="s">
        <v>11</v>
      </c>
      <c r="E14" s="42" t="s">
        <v>13</v>
      </c>
      <c r="F14" s="43" t="s">
        <v>14</v>
      </c>
      <c r="G14" s="44">
        <v>16</v>
      </c>
      <c r="H14" s="45">
        <v>241754</v>
      </c>
    </row>
    <row r="15" spans="1:9" s="18" customFormat="1" x14ac:dyDescent="0.25">
      <c r="A15" s="39">
        <v>11</v>
      </c>
      <c r="B15" s="40">
        <v>45908</v>
      </c>
      <c r="C15" s="41" t="s">
        <v>492</v>
      </c>
      <c r="D15" s="42" t="s">
        <v>11</v>
      </c>
      <c r="E15" s="42" t="s">
        <v>13</v>
      </c>
      <c r="F15" s="43" t="s">
        <v>14</v>
      </c>
      <c r="G15" s="44">
        <v>16</v>
      </c>
      <c r="H15" s="45">
        <v>373450</v>
      </c>
    </row>
    <row r="16" spans="1:9" s="18" customFormat="1" x14ac:dyDescent="0.25">
      <c r="A16" s="39">
        <v>12</v>
      </c>
      <c r="B16" s="40">
        <v>45909</v>
      </c>
      <c r="C16" s="41" t="s">
        <v>493</v>
      </c>
      <c r="D16" s="42" t="s">
        <v>11</v>
      </c>
      <c r="E16" s="42" t="s">
        <v>13</v>
      </c>
      <c r="F16" s="43" t="s">
        <v>14</v>
      </c>
      <c r="G16" s="44">
        <v>15</v>
      </c>
      <c r="H16" s="45">
        <v>62950</v>
      </c>
    </row>
    <row r="17" spans="1:8" s="18" customFormat="1" x14ac:dyDescent="0.25">
      <c r="A17" s="39">
        <v>13</v>
      </c>
      <c r="B17" s="40">
        <v>45909</v>
      </c>
      <c r="C17" s="41" t="s">
        <v>494</v>
      </c>
      <c r="D17" s="42" t="s">
        <v>11</v>
      </c>
      <c r="E17" s="42" t="s">
        <v>13</v>
      </c>
      <c r="F17" s="43" t="s">
        <v>14</v>
      </c>
      <c r="G17" s="44">
        <v>15</v>
      </c>
      <c r="H17" s="45">
        <v>95000</v>
      </c>
    </row>
    <row r="18" spans="1:8" s="18" customFormat="1" x14ac:dyDescent="0.25">
      <c r="A18" s="39">
        <v>14</v>
      </c>
      <c r="B18" s="40">
        <v>45909</v>
      </c>
      <c r="C18" s="41" t="s">
        <v>495</v>
      </c>
      <c r="D18" s="42" t="s">
        <v>11</v>
      </c>
      <c r="E18" s="42" t="s">
        <v>13</v>
      </c>
      <c r="F18" s="43" t="s">
        <v>14</v>
      </c>
      <c r="G18" s="44">
        <v>15</v>
      </c>
      <c r="H18" s="45">
        <v>124950</v>
      </c>
    </row>
    <row r="19" spans="1:8" s="18" customFormat="1" x14ac:dyDescent="0.25">
      <c r="A19" s="39">
        <v>15</v>
      </c>
      <c r="B19" s="40">
        <v>45909</v>
      </c>
      <c r="C19" s="41" t="s">
        <v>496</v>
      </c>
      <c r="D19" s="42" t="s">
        <v>11</v>
      </c>
      <c r="E19" s="42" t="s">
        <v>13</v>
      </c>
      <c r="F19" s="43" t="s">
        <v>14</v>
      </c>
      <c r="G19" s="44">
        <v>15</v>
      </c>
      <c r="H19" s="45">
        <v>155900</v>
      </c>
    </row>
    <row r="20" spans="1:8" s="18" customFormat="1" x14ac:dyDescent="0.25">
      <c r="A20" s="39">
        <v>16</v>
      </c>
      <c r="B20" s="40">
        <v>45909</v>
      </c>
      <c r="C20" s="41" t="s">
        <v>497</v>
      </c>
      <c r="D20" s="42" t="s">
        <v>11</v>
      </c>
      <c r="E20" s="42" t="s">
        <v>13</v>
      </c>
      <c r="F20" s="43" t="s">
        <v>14</v>
      </c>
      <c r="G20" s="44">
        <v>15</v>
      </c>
      <c r="H20" s="45">
        <v>214900</v>
      </c>
    </row>
    <row r="21" spans="1:8" s="18" customFormat="1" x14ac:dyDescent="0.25">
      <c r="A21" s="39">
        <v>17</v>
      </c>
      <c r="B21" s="40">
        <v>45910</v>
      </c>
      <c r="C21" s="41" t="s">
        <v>498</v>
      </c>
      <c r="D21" s="42" t="s">
        <v>11</v>
      </c>
      <c r="E21" s="42" t="s">
        <v>13</v>
      </c>
      <c r="F21" s="43" t="s">
        <v>14</v>
      </c>
      <c r="G21" s="44">
        <v>14</v>
      </c>
      <c r="H21" s="45">
        <v>99900</v>
      </c>
    </row>
    <row r="22" spans="1:8" s="18" customFormat="1" x14ac:dyDescent="0.25">
      <c r="A22" s="39">
        <v>18</v>
      </c>
      <c r="B22" s="40">
        <v>45910</v>
      </c>
      <c r="C22" s="41" t="s">
        <v>499</v>
      </c>
      <c r="D22" s="42" t="s">
        <v>11</v>
      </c>
      <c r="E22" s="42" t="s">
        <v>13</v>
      </c>
      <c r="F22" s="43" t="s">
        <v>14</v>
      </c>
      <c r="G22" s="44">
        <v>14</v>
      </c>
      <c r="H22" s="45">
        <v>193900</v>
      </c>
    </row>
    <row r="23" spans="1:8" s="18" customFormat="1" x14ac:dyDescent="0.25">
      <c r="A23" s="39">
        <v>19</v>
      </c>
      <c r="B23" s="40">
        <v>45910</v>
      </c>
      <c r="C23" s="41" t="s">
        <v>500</v>
      </c>
      <c r="D23" s="42" t="s">
        <v>11</v>
      </c>
      <c r="E23" s="42" t="s">
        <v>13</v>
      </c>
      <c r="F23" s="43" t="s">
        <v>14</v>
      </c>
      <c r="G23" s="44">
        <v>14</v>
      </c>
      <c r="H23" s="45">
        <v>354750</v>
      </c>
    </row>
    <row r="24" spans="1:8" s="18" customFormat="1" x14ac:dyDescent="0.25">
      <c r="A24" s="39">
        <v>20</v>
      </c>
      <c r="B24" s="40">
        <v>45910</v>
      </c>
      <c r="C24" s="41" t="s">
        <v>501</v>
      </c>
      <c r="D24" s="42" t="s">
        <v>11</v>
      </c>
      <c r="E24" s="42" t="s">
        <v>13</v>
      </c>
      <c r="F24" s="43" t="s">
        <v>14</v>
      </c>
      <c r="G24" s="44">
        <v>14</v>
      </c>
      <c r="H24" s="45">
        <v>1799500</v>
      </c>
    </row>
    <row r="25" spans="1:8" s="18" customFormat="1" x14ac:dyDescent="0.25">
      <c r="A25" s="39">
        <v>21</v>
      </c>
      <c r="B25" s="40">
        <v>45911</v>
      </c>
      <c r="C25" s="41" t="s">
        <v>502</v>
      </c>
      <c r="D25" s="42" t="s">
        <v>11</v>
      </c>
      <c r="E25" s="42" t="s">
        <v>13</v>
      </c>
      <c r="F25" s="43" t="s">
        <v>14</v>
      </c>
      <c r="G25" s="44">
        <v>13</v>
      </c>
      <c r="H25" s="45">
        <v>62950</v>
      </c>
    </row>
    <row r="26" spans="1:8" s="18" customFormat="1" x14ac:dyDescent="0.25">
      <c r="A26" s="39">
        <v>22</v>
      </c>
      <c r="B26" s="40">
        <v>45912</v>
      </c>
      <c r="C26" s="41" t="s">
        <v>503</v>
      </c>
      <c r="D26" s="42" t="s">
        <v>11</v>
      </c>
      <c r="E26" s="42" t="s">
        <v>13</v>
      </c>
      <c r="F26" s="43" t="s">
        <v>14</v>
      </c>
      <c r="G26" s="44">
        <v>12</v>
      </c>
      <c r="H26" s="45">
        <v>21950</v>
      </c>
    </row>
    <row r="27" spans="1:8" s="18" customFormat="1" x14ac:dyDescent="0.25">
      <c r="A27" s="39">
        <v>23</v>
      </c>
      <c r="B27" s="40">
        <v>45912</v>
      </c>
      <c r="C27" s="41" t="s">
        <v>504</v>
      </c>
      <c r="D27" s="42" t="s">
        <v>11</v>
      </c>
      <c r="E27" s="42" t="s">
        <v>13</v>
      </c>
      <c r="F27" s="43" t="s">
        <v>14</v>
      </c>
      <c r="G27" s="44">
        <v>12</v>
      </c>
      <c r="H27" s="45">
        <v>118950</v>
      </c>
    </row>
    <row r="28" spans="1:8" s="18" customFormat="1" x14ac:dyDescent="0.25">
      <c r="A28" s="39">
        <v>24</v>
      </c>
      <c r="B28" s="40">
        <v>45912</v>
      </c>
      <c r="C28" s="41" t="s">
        <v>505</v>
      </c>
      <c r="D28" s="42" t="s">
        <v>11</v>
      </c>
      <c r="E28" s="42" t="s">
        <v>13</v>
      </c>
      <c r="F28" s="43" t="s">
        <v>14</v>
      </c>
      <c r="G28" s="44">
        <v>12</v>
      </c>
      <c r="H28" s="45">
        <v>437900</v>
      </c>
    </row>
    <row r="29" spans="1:8" s="18" customFormat="1" x14ac:dyDescent="0.25">
      <c r="A29" s="39">
        <v>25</v>
      </c>
      <c r="B29" s="40">
        <v>45913</v>
      </c>
      <c r="C29" s="41" t="s">
        <v>506</v>
      </c>
      <c r="D29" s="42" t="s">
        <v>11</v>
      </c>
      <c r="E29" s="42" t="s">
        <v>13</v>
      </c>
      <c r="F29" s="43" t="s">
        <v>14</v>
      </c>
      <c r="G29" s="44">
        <v>11</v>
      </c>
      <c r="H29" s="45">
        <v>39950</v>
      </c>
    </row>
    <row r="30" spans="1:8" s="18" customFormat="1" x14ac:dyDescent="0.25">
      <c r="A30" s="39">
        <v>26</v>
      </c>
      <c r="B30" s="40">
        <v>45913</v>
      </c>
      <c r="C30" s="41" t="s">
        <v>507</v>
      </c>
      <c r="D30" s="42" t="s">
        <v>11</v>
      </c>
      <c r="E30" s="42" t="s">
        <v>13</v>
      </c>
      <c r="F30" s="43" t="s">
        <v>14</v>
      </c>
      <c r="G30" s="44">
        <v>11</v>
      </c>
      <c r="H30" s="45">
        <v>243900</v>
      </c>
    </row>
    <row r="31" spans="1:8" s="18" customFormat="1" x14ac:dyDescent="0.25">
      <c r="A31" s="39">
        <v>27</v>
      </c>
      <c r="B31" s="40">
        <v>45913</v>
      </c>
      <c r="C31" s="41" t="s">
        <v>508</v>
      </c>
      <c r="D31" s="42" t="s">
        <v>11</v>
      </c>
      <c r="E31" s="42" t="s">
        <v>13</v>
      </c>
      <c r="F31" s="43" t="s">
        <v>14</v>
      </c>
      <c r="G31" s="44">
        <v>11</v>
      </c>
      <c r="H31" s="45">
        <v>335900</v>
      </c>
    </row>
    <row r="32" spans="1:8" s="18" customFormat="1" x14ac:dyDescent="0.25">
      <c r="A32" s="39">
        <v>28</v>
      </c>
      <c r="B32" s="40">
        <v>45915</v>
      </c>
      <c r="C32" s="41" t="s">
        <v>509</v>
      </c>
      <c r="D32" s="42" t="s">
        <v>11</v>
      </c>
      <c r="E32" s="42" t="s">
        <v>13</v>
      </c>
      <c r="F32" s="43" t="s">
        <v>14</v>
      </c>
      <c r="G32" s="44">
        <v>9</v>
      </c>
      <c r="H32" s="45">
        <v>62950</v>
      </c>
    </row>
    <row r="33" spans="1:8" s="18" customFormat="1" x14ac:dyDescent="0.25">
      <c r="A33" s="39">
        <v>29</v>
      </c>
      <c r="B33" s="40">
        <v>45915</v>
      </c>
      <c r="C33" s="41" t="s">
        <v>510</v>
      </c>
      <c r="D33" s="42" t="s">
        <v>11</v>
      </c>
      <c r="E33" s="42" t="s">
        <v>13</v>
      </c>
      <c r="F33" s="43" t="s">
        <v>14</v>
      </c>
      <c r="G33" s="44">
        <v>9</v>
      </c>
      <c r="H33" s="45">
        <v>145900</v>
      </c>
    </row>
    <row r="34" spans="1:8" s="18" customFormat="1" x14ac:dyDescent="0.25">
      <c r="A34" s="39">
        <v>30</v>
      </c>
      <c r="B34" s="40">
        <v>45915</v>
      </c>
      <c r="C34" s="41" t="s">
        <v>511</v>
      </c>
      <c r="D34" s="42" t="s">
        <v>11</v>
      </c>
      <c r="E34" s="42" t="s">
        <v>13</v>
      </c>
      <c r="F34" s="43" t="s">
        <v>14</v>
      </c>
      <c r="G34" s="44">
        <v>9</v>
      </c>
      <c r="H34" s="45">
        <v>479900</v>
      </c>
    </row>
    <row r="35" spans="1:8" s="18" customFormat="1" x14ac:dyDescent="0.25">
      <c r="A35" s="39">
        <v>31</v>
      </c>
      <c r="B35" s="40">
        <v>45916</v>
      </c>
      <c r="C35" s="41" t="s">
        <v>512</v>
      </c>
      <c r="D35" s="42" t="s">
        <v>11</v>
      </c>
      <c r="E35" s="42" t="s">
        <v>13</v>
      </c>
      <c r="F35" s="43" t="s">
        <v>14</v>
      </c>
      <c r="G35" s="44">
        <v>8</v>
      </c>
      <c r="H35" s="45">
        <v>179950</v>
      </c>
    </row>
    <row r="36" spans="1:8" s="18" customFormat="1" x14ac:dyDescent="0.25">
      <c r="A36" s="39">
        <v>32</v>
      </c>
      <c r="B36" s="40">
        <v>45917</v>
      </c>
      <c r="C36" s="41" t="s">
        <v>513</v>
      </c>
      <c r="D36" s="42" t="s">
        <v>11</v>
      </c>
      <c r="E36" s="42" t="s">
        <v>13</v>
      </c>
      <c r="F36" s="43" t="s">
        <v>14</v>
      </c>
      <c r="G36" s="44">
        <v>7</v>
      </c>
      <c r="H36" s="45">
        <v>62950</v>
      </c>
    </row>
    <row r="37" spans="1:8" s="18" customFormat="1" x14ac:dyDescent="0.25">
      <c r="A37" s="10">
        <v>33</v>
      </c>
      <c r="B37" s="11">
        <v>45918</v>
      </c>
      <c r="C37" s="12" t="s">
        <v>514</v>
      </c>
      <c r="D37" s="13" t="s">
        <v>11</v>
      </c>
      <c r="E37" s="13" t="s">
        <v>13</v>
      </c>
      <c r="F37" s="15" t="s">
        <v>14</v>
      </c>
      <c r="G37" s="16">
        <v>6</v>
      </c>
      <c r="H37" s="17">
        <v>157950</v>
      </c>
    </row>
    <row r="38" spans="1:8" s="18" customFormat="1" x14ac:dyDescent="0.25">
      <c r="A38" s="10">
        <v>34</v>
      </c>
      <c r="B38" s="11">
        <v>45918</v>
      </c>
      <c r="C38" s="12" t="s">
        <v>515</v>
      </c>
      <c r="D38" s="13" t="s">
        <v>11</v>
      </c>
      <c r="E38" s="13" t="s">
        <v>13</v>
      </c>
      <c r="F38" s="15" t="s">
        <v>14</v>
      </c>
      <c r="G38" s="16">
        <v>6</v>
      </c>
      <c r="H38" s="17">
        <v>360000</v>
      </c>
    </row>
    <row r="39" spans="1:8" s="18" customFormat="1" x14ac:dyDescent="0.25">
      <c r="A39" s="10">
        <v>35</v>
      </c>
      <c r="B39" s="11">
        <v>45919</v>
      </c>
      <c r="C39" s="12" t="s">
        <v>516</v>
      </c>
      <c r="D39" s="13" t="s">
        <v>11</v>
      </c>
      <c r="E39" s="13" t="s">
        <v>13</v>
      </c>
      <c r="F39" s="15" t="s">
        <v>14</v>
      </c>
      <c r="G39" s="16">
        <v>5</v>
      </c>
      <c r="H39" s="17">
        <v>28950</v>
      </c>
    </row>
    <row r="40" spans="1:8" s="18" customFormat="1" x14ac:dyDescent="0.25">
      <c r="A40" s="10">
        <v>36</v>
      </c>
      <c r="B40" s="11">
        <v>45920</v>
      </c>
      <c r="C40" s="12" t="s">
        <v>523</v>
      </c>
      <c r="D40" s="13" t="s">
        <v>11</v>
      </c>
      <c r="E40" s="13" t="s">
        <v>13</v>
      </c>
      <c r="F40" s="15" t="s">
        <v>14</v>
      </c>
      <c r="G40" s="16">
        <v>4</v>
      </c>
      <c r="H40" s="17">
        <v>28950</v>
      </c>
    </row>
    <row r="41" spans="1:8" s="18" customFormat="1" x14ac:dyDescent="0.25">
      <c r="A41" s="10">
        <v>37</v>
      </c>
      <c r="B41" s="11">
        <v>45920</v>
      </c>
      <c r="C41" s="12" t="s">
        <v>525</v>
      </c>
      <c r="D41" s="13" t="s">
        <v>11</v>
      </c>
      <c r="E41" s="13" t="s">
        <v>13</v>
      </c>
      <c r="F41" s="15" t="s">
        <v>14</v>
      </c>
      <c r="G41" s="16">
        <v>4</v>
      </c>
      <c r="H41" s="17">
        <v>87900</v>
      </c>
    </row>
    <row r="42" spans="1:8" s="18" customFormat="1" x14ac:dyDescent="0.25">
      <c r="A42" s="10">
        <v>38</v>
      </c>
      <c r="B42" s="11">
        <v>45920</v>
      </c>
      <c r="C42" s="12" t="s">
        <v>526</v>
      </c>
      <c r="D42" s="13" t="s">
        <v>11</v>
      </c>
      <c r="E42" s="13" t="s">
        <v>13</v>
      </c>
      <c r="F42" s="15" t="s">
        <v>14</v>
      </c>
      <c r="G42" s="16">
        <v>4</v>
      </c>
      <c r="H42" s="17">
        <v>89950</v>
      </c>
    </row>
    <row r="43" spans="1:8" s="18" customFormat="1" x14ac:dyDescent="0.25">
      <c r="A43" s="10">
        <v>39</v>
      </c>
      <c r="B43" s="11">
        <v>45922</v>
      </c>
      <c r="C43" s="12" t="s">
        <v>527</v>
      </c>
      <c r="D43" s="13" t="s">
        <v>11</v>
      </c>
      <c r="E43" s="13" t="s">
        <v>13</v>
      </c>
      <c r="F43" s="15" t="s">
        <v>14</v>
      </c>
      <c r="G43" s="16">
        <v>2</v>
      </c>
      <c r="H43" s="17">
        <v>89950</v>
      </c>
    </row>
    <row r="44" spans="1:8" s="18" customFormat="1" x14ac:dyDescent="0.25">
      <c r="A44" s="10">
        <v>40</v>
      </c>
      <c r="B44" s="11">
        <v>45922</v>
      </c>
      <c r="C44" s="12" t="s">
        <v>529</v>
      </c>
      <c r="D44" s="13" t="s">
        <v>11</v>
      </c>
      <c r="E44" s="13" t="s">
        <v>13</v>
      </c>
      <c r="F44" s="15" t="s">
        <v>14</v>
      </c>
      <c r="G44" s="16">
        <v>2</v>
      </c>
      <c r="H44" s="17">
        <v>197500</v>
      </c>
    </row>
    <row r="45" spans="1:8" s="18" customFormat="1" x14ac:dyDescent="0.25">
      <c r="A45" s="10">
        <v>41</v>
      </c>
      <c r="B45" s="11">
        <v>45923</v>
      </c>
      <c r="C45" s="12" t="s">
        <v>524</v>
      </c>
      <c r="D45" s="13" t="s">
        <v>11</v>
      </c>
      <c r="E45" s="13" t="s">
        <v>13</v>
      </c>
      <c r="F45" s="15" t="s">
        <v>14</v>
      </c>
      <c r="G45" s="16">
        <v>1</v>
      </c>
      <c r="H45" s="17">
        <v>69950</v>
      </c>
    </row>
    <row r="46" spans="1:8" s="18" customFormat="1" x14ac:dyDescent="0.25">
      <c r="A46" s="83" t="s">
        <v>349</v>
      </c>
      <c r="B46" s="84"/>
      <c r="C46" s="84"/>
      <c r="D46" s="84"/>
      <c r="E46" s="84"/>
      <c r="F46" s="84"/>
      <c r="G46" s="85"/>
      <c r="H46" s="22">
        <f>SUM(H5:H45)</f>
        <v>8080122</v>
      </c>
    </row>
    <row r="47" spans="1:8" s="18" customFormat="1" x14ac:dyDescent="0.25">
      <c r="A47" s="10"/>
      <c r="B47" s="11"/>
      <c r="C47" s="12"/>
      <c r="D47" s="13"/>
      <c r="E47" s="13"/>
      <c r="F47" s="15"/>
      <c r="G47" s="16"/>
      <c r="H47" s="17"/>
    </row>
    <row r="48" spans="1:8" s="18" customFormat="1" x14ac:dyDescent="0.25">
      <c r="A48" s="46">
        <v>1</v>
      </c>
      <c r="B48" s="47">
        <v>45892</v>
      </c>
      <c r="C48" s="48" t="s">
        <v>359</v>
      </c>
      <c r="D48" s="49" t="s">
        <v>11</v>
      </c>
      <c r="E48" s="49" t="s">
        <v>351</v>
      </c>
      <c r="F48" s="50" t="s">
        <v>352</v>
      </c>
      <c r="G48" s="51">
        <v>32</v>
      </c>
      <c r="H48" s="52">
        <v>42055</v>
      </c>
    </row>
    <row r="49" spans="1:8" s="18" customFormat="1" x14ac:dyDescent="0.25">
      <c r="A49" s="46">
        <v>2</v>
      </c>
      <c r="B49" s="47">
        <v>45892</v>
      </c>
      <c r="C49" s="48" t="s">
        <v>360</v>
      </c>
      <c r="D49" s="49" t="s">
        <v>11</v>
      </c>
      <c r="E49" s="49" t="s">
        <v>351</v>
      </c>
      <c r="F49" s="50" t="s">
        <v>352</v>
      </c>
      <c r="G49" s="51">
        <v>32</v>
      </c>
      <c r="H49" s="52">
        <v>50465</v>
      </c>
    </row>
    <row r="50" spans="1:8" s="18" customFormat="1" x14ac:dyDescent="0.25">
      <c r="A50" s="46">
        <v>3</v>
      </c>
      <c r="B50" s="47">
        <v>45896</v>
      </c>
      <c r="C50" s="48" t="s">
        <v>361</v>
      </c>
      <c r="D50" s="49" t="s">
        <v>11</v>
      </c>
      <c r="E50" s="49" t="s">
        <v>351</v>
      </c>
      <c r="F50" s="50" t="s">
        <v>352</v>
      </c>
      <c r="G50" s="51">
        <v>28</v>
      </c>
      <c r="H50" s="52">
        <v>112945</v>
      </c>
    </row>
    <row r="51" spans="1:8" s="18" customFormat="1" x14ac:dyDescent="0.25">
      <c r="A51" s="39">
        <v>4</v>
      </c>
      <c r="B51" s="40">
        <v>45897</v>
      </c>
      <c r="C51" s="41" t="s">
        <v>362</v>
      </c>
      <c r="D51" s="42" t="s">
        <v>11</v>
      </c>
      <c r="E51" s="42" t="s">
        <v>351</v>
      </c>
      <c r="F51" s="43" t="s">
        <v>352</v>
      </c>
      <c r="G51" s="44">
        <v>27</v>
      </c>
      <c r="H51" s="45">
        <v>144185</v>
      </c>
    </row>
    <row r="52" spans="1:8" s="18" customFormat="1" x14ac:dyDescent="0.25">
      <c r="A52" s="39">
        <v>5</v>
      </c>
      <c r="B52" s="40">
        <v>45897</v>
      </c>
      <c r="C52" s="41" t="s">
        <v>363</v>
      </c>
      <c r="D52" s="42" t="s">
        <v>11</v>
      </c>
      <c r="E52" s="42" t="s">
        <v>351</v>
      </c>
      <c r="F52" s="43" t="s">
        <v>352</v>
      </c>
      <c r="G52" s="44">
        <v>27</v>
      </c>
      <c r="H52" s="45">
        <v>144185</v>
      </c>
    </row>
    <row r="53" spans="1:8" s="18" customFormat="1" x14ac:dyDescent="0.25">
      <c r="A53" s="39">
        <v>6</v>
      </c>
      <c r="B53" s="40">
        <v>45898</v>
      </c>
      <c r="C53" s="41" t="s">
        <v>385</v>
      </c>
      <c r="D53" s="42" t="s">
        <v>11</v>
      </c>
      <c r="E53" s="42" t="s">
        <v>351</v>
      </c>
      <c r="F53" s="43" t="s">
        <v>352</v>
      </c>
      <c r="G53" s="44">
        <v>26</v>
      </c>
      <c r="H53" s="45">
        <v>75695</v>
      </c>
    </row>
    <row r="54" spans="1:8" s="18" customFormat="1" x14ac:dyDescent="0.25">
      <c r="A54" s="39">
        <v>7</v>
      </c>
      <c r="B54" s="40">
        <v>45899</v>
      </c>
      <c r="C54" s="41" t="s">
        <v>517</v>
      </c>
      <c r="D54" s="42" t="s">
        <v>11</v>
      </c>
      <c r="E54" s="42" t="s">
        <v>351</v>
      </c>
      <c r="F54" s="43" t="s">
        <v>352</v>
      </c>
      <c r="G54" s="44">
        <v>25</v>
      </c>
      <c r="H54" s="45">
        <v>42055</v>
      </c>
    </row>
    <row r="55" spans="1:8" s="18" customFormat="1" x14ac:dyDescent="0.25">
      <c r="A55" s="39">
        <v>8</v>
      </c>
      <c r="B55" s="40">
        <v>45908</v>
      </c>
      <c r="C55" s="41" t="s">
        <v>518</v>
      </c>
      <c r="D55" s="42" t="s">
        <v>11</v>
      </c>
      <c r="E55" s="42" t="s">
        <v>351</v>
      </c>
      <c r="F55" s="43" t="s">
        <v>352</v>
      </c>
      <c r="G55" s="44">
        <v>16</v>
      </c>
      <c r="H55" s="45">
        <v>29750</v>
      </c>
    </row>
    <row r="56" spans="1:8" s="18" customFormat="1" x14ac:dyDescent="0.25">
      <c r="A56" s="39">
        <v>9</v>
      </c>
      <c r="B56" s="40">
        <v>45908</v>
      </c>
      <c r="C56" s="41" t="s">
        <v>519</v>
      </c>
      <c r="D56" s="42" t="s">
        <v>11</v>
      </c>
      <c r="E56" s="42" t="s">
        <v>351</v>
      </c>
      <c r="F56" s="43" t="s">
        <v>352</v>
      </c>
      <c r="G56" s="44">
        <v>16</v>
      </c>
      <c r="H56" s="45">
        <v>112950</v>
      </c>
    </row>
    <row r="57" spans="1:8" s="18" customFormat="1" x14ac:dyDescent="0.25">
      <c r="A57" s="39">
        <v>10</v>
      </c>
      <c r="B57" s="40">
        <v>45909</v>
      </c>
      <c r="C57" s="41" t="s">
        <v>520</v>
      </c>
      <c r="D57" s="42" t="s">
        <v>11</v>
      </c>
      <c r="E57" s="42" t="s">
        <v>351</v>
      </c>
      <c r="F57" s="43" t="s">
        <v>352</v>
      </c>
      <c r="G57" s="44">
        <v>15</v>
      </c>
      <c r="H57" s="45">
        <v>182818</v>
      </c>
    </row>
    <row r="58" spans="1:8" s="18" customFormat="1" x14ac:dyDescent="0.25">
      <c r="A58" s="39">
        <v>11</v>
      </c>
      <c r="B58" s="40">
        <v>45915</v>
      </c>
      <c r="C58" s="41" t="s">
        <v>521</v>
      </c>
      <c r="D58" s="42" t="s">
        <v>11</v>
      </c>
      <c r="E58" s="42" t="s">
        <v>351</v>
      </c>
      <c r="F58" s="43" t="s">
        <v>352</v>
      </c>
      <c r="G58" s="44">
        <v>9</v>
      </c>
      <c r="H58" s="45">
        <v>118220</v>
      </c>
    </row>
    <row r="59" spans="1:8" s="18" customFormat="1" x14ac:dyDescent="0.25">
      <c r="A59" s="39">
        <v>12</v>
      </c>
      <c r="B59" s="40">
        <v>45915</v>
      </c>
      <c r="C59" s="41" t="s">
        <v>522</v>
      </c>
      <c r="D59" s="42" t="s">
        <v>11</v>
      </c>
      <c r="E59" s="42" t="s">
        <v>351</v>
      </c>
      <c r="F59" s="43" t="s">
        <v>352</v>
      </c>
      <c r="G59" s="44">
        <v>9</v>
      </c>
      <c r="H59" s="45">
        <v>186950</v>
      </c>
    </row>
    <row r="60" spans="1:8" s="18" customFormat="1" x14ac:dyDescent="0.25">
      <c r="A60" s="10">
        <v>13</v>
      </c>
      <c r="B60" s="11">
        <v>45920</v>
      </c>
      <c r="C60" s="12" t="s">
        <v>528</v>
      </c>
      <c r="D60" s="13" t="s">
        <v>11</v>
      </c>
      <c r="E60" s="13" t="s">
        <v>351</v>
      </c>
      <c r="F60" s="15" t="s">
        <v>352</v>
      </c>
      <c r="G60" s="16">
        <v>4</v>
      </c>
      <c r="H60" s="17">
        <v>98950</v>
      </c>
    </row>
    <row r="61" spans="1:8" x14ac:dyDescent="0.25">
      <c r="A61" s="83" t="s">
        <v>349</v>
      </c>
      <c r="B61" s="84"/>
      <c r="C61" s="84"/>
      <c r="D61" s="84"/>
      <c r="E61" s="84"/>
      <c r="F61" s="84"/>
      <c r="G61" s="85"/>
      <c r="H61" s="22">
        <f>SUM(H48:H60)</f>
        <v>1341223</v>
      </c>
    </row>
  </sheetData>
  <sortState ref="A48:BH60">
    <sortCondition ref="B48:B60"/>
  </sortState>
  <mergeCells count="2">
    <mergeCell ref="A61:G61"/>
    <mergeCell ref="A46:G46"/>
  </mergeCells>
  <conditionalFormatting sqref="G4:G45 G47:G60">
    <cfRule type="cellIs" dxfId="116" priority="9" operator="greaterThan">
      <formula>0</formula>
    </cfRule>
  </conditionalFormatting>
  <conditionalFormatting sqref="H46 B5:H45 B47:H60">
    <cfRule type="expression" dxfId="115" priority="45">
      <formula>AND(#REF!&gt;0,$G5&gt;89)</formula>
    </cfRule>
    <cfRule type="expression" dxfId="114" priority="46">
      <formula>AND(#REF!&gt;0,$G5&gt;59)</formula>
    </cfRule>
    <cfRule type="expression" dxfId="113" priority="47">
      <formula>AND(#REF!&gt;0,$G5&gt;44)</formula>
    </cfRule>
  </conditionalFormatting>
  <conditionalFormatting sqref="H61">
    <cfRule type="expression" dxfId="112" priority="1">
      <formula>AND(#REF!&gt;0,$G61&gt;89)</formula>
    </cfRule>
    <cfRule type="expression" dxfId="111" priority="2">
      <formula>AND(#REF!&gt;0,$G61&gt;59)</formula>
    </cfRule>
    <cfRule type="expression" dxfId="110" priority="3">
      <formula>AND(#REF!&gt;0,$G61&gt;44)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workbookViewId="0">
      <selection activeCell="A4" sqref="A4"/>
    </sheetView>
  </sheetViews>
  <sheetFormatPr defaultColWidth="9.140625" defaultRowHeight="15" x14ac:dyDescent="0.25"/>
  <cols>
    <col min="1" max="1" width="5" customWidth="1"/>
    <col min="4" max="5" width="9.140625" customWidth="1"/>
    <col min="6" max="6" width="22.7109375" customWidth="1"/>
    <col min="7" max="7" width="9.140625" customWidth="1"/>
    <col min="8" max="8" width="14.85546875" customWidth="1"/>
    <col min="9" max="9" width="11.5703125" bestFit="1" customWidth="1"/>
    <col min="12" max="12" width="10.28515625" bestFit="1" customWidth="1"/>
  </cols>
  <sheetData>
    <row r="1" spans="1:17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5">
      <c r="A4" s="38" t="s">
        <v>537</v>
      </c>
      <c r="B4" s="3"/>
      <c r="C4" s="4"/>
      <c r="D4" s="4"/>
      <c r="E4" s="4"/>
      <c r="F4" s="4"/>
      <c r="G4" s="4"/>
      <c r="H4" s="4"/>
    </row>
    <row r="5" spans="1:17" ht="30.75" customHeight="1" x14ac:dyDescent="0.25">
      <c r="A5" s="5" t="s">
        <v>0</v>
      </c>
      <c r="B5" s="6" t="s">
        <v>1</v>
      </c>
      <c r="C5" s="7" t="s">
        <v>2</v>
      </c>
      <c r="D5" s="7" t="s">
        <v>3</v>
      </c>
      <c r="E5" s="7" t="s">
        <v>5</v>
      </c>
      <c r="F5" s="7" t="s">
        <v>6</v>
      </c>
      <c r="G5" s="8" t="s">
        <v>8</v>
      </c>
      <c r="H5" s="9" t="s">
        <v>9</v>
      </c>
    </row>
    <row r="6" spans="1:17" s="63" customFormat="1" x14ac:dyDescent="0.25">
      <c r="A6" s="10">
        <v>1</v>
      </c>
      <c r="B6" s="11">
        <v>45896</v>
      </c>
      <c r="C6" s="12" t="s">
        <v>342</v>
      </c>
      <c r="D6" s="13" t="s">
        <v>11</v>
      </c>
      <c r="E6" s="13" t="s">
        <v>13</v>
      </c>
      <c r="F6" s="15" t="s">
        <v>14</v>
      </c>
      <c r="G6" s="16">
        <v>31</v>
      </c>
      <c r="H6" s="45">
        <v>112945</v>
      </c>
      <c r="I6" s="54"/>
      <c r="J6" s="62"/>
      <c r="K6" s="62"/>
    </row>
    <row r="7" spans="1:17" s="63" customFormat="1" x14ac:dyDescent="0.25">
      <c r="A7" s="10">
        <v>2</v>
      </c>
      <c r="B7" s="11">
        <v>45898</v>
      </c>
      <c r="C7" s="12" t="s">
        <v>381</v>
      </c>
      <c r="D7" s="13" t="s">
        <v>11</v>
      </c>
      <c r="E7" s="13" t="s">
        <v>13</v>
      </c>
      <c r="F7" s="15" t="s">
        <v>14</v>
      </c>
      <c r="G7" s="16">
        <v>29</v>
      </c>
      <c r="H7" s="45">
        <v>171830</v>
      </c>
      <c r="I7" s="54"/>
      <c r="J7" s="62"/>
      <c r="K7" s="62"/>
    </row>
    <row r="8" spans="1:17" s="63" customFormat="1" x14ac:dyDescent="0.25">
      <c r="A8" s="10">
        <v>3</v>
      </c>
      <c r="B8" s="11">
        <v>45899</v>
      </c>
      <c r="C8" s="12" t="s">
        <v>395</v>
      </c>
      <c r="D8" s="13" t="s">
        <v>11</v>
      </c>
      <c r="E8" s="13" t="s">
        <v>13</v>
      </c>
      <c r="F8" s="15" t="s">
        <v>14</v>
      </c>
      <c r="G8" s="16">
        <v>28</v>
      </c>
      <c r="H8" s="45">
        <v>177750</v>
      </c>
      <c r="I8" s="54" t="s">
        <v>531</v>
      </c>
      <c r="J8" s="62"/>
      <c r="K8" s="62"/>
    </row>
    <row r="9" spans="1:17" s="18" customFormat="1" x14ac:dyDescent="0.25">
      <c r="A9" s="10">
        <v>4</v>
      </c>
      <c r="B9" s="11">
        <v>45908</v>
      </c>
      <c r="C9" s="12" t="s">
        <v>485</v>
      </c>
      <c r="D9" s="13" t="s">
        <v>11</v>
      </c>
      <c r="E9" s="13" t="s">
        <v>13</v>
      </c>
      <c r="F9" s="15" t="s">
        <v>14</v>
      </c>
      <c r="G9" s="16">
        <v>19</v>
      </c>
      <c r="H9" s="45">
        <v>22274</v>
      </c>
    </row>
    <row r="10" spans="1:17" s="18" customFormat="1" x14ac:dyDescent="0.25">
      <c r="A10" s="10">
        <v>5</v>
      </c>
      <c r="B10" s="11">
        <v>45908</v>
      </c>
      <c r="C10" s="12" t="s">
        <v>486</v>
      </c>
      <c r="D10" s="13" t="s">
        <v>11</v>
      </c>
      <c r="E10" s="13" t="s">
        <v>13</v>
      </c>
      <c r="F10" s="15" t="s">
        <v>14</v>
      </c>
      <c r="G10" s="16">
        <v>19</v>
      </c>
      <c r="H10" s="45">
        <v>72494</v>
      </c>
    </row>
    <row r="11" spans="1:17" s="18" customFormat="1" x14ac:dyDescent="0.25">
      <c r="A11" s="10">
        <v>6</v>
      </c>
      <c r="B11" s="11">
        <v>45908</v>
      </c>
      <c r="C11" s="12" t="s">
        <v>487</v>
      </c>
      <c r="D11" s="13" t="s">
        <v>11</v>
      </c>
      <c r="E11" s="13" t="s">
        <v>13</v>
      </c>
      <c r="F11" s="15" t="s">
        <v>14</v>
      </c>
      <c r="G11" s="16">
        <v>19</v>
      </c>
      <c r="H11" s="45">
        <v>86444</v>
      </c>
    </row>
    <row r="12" spans="1:17" s="18" customFormat="1" x14ac:dyDescent="0.25">
      <c r="A12" s="10">
        <v>7</v>
      </c>
      <c r="B12" s="11">
        <v>45908</v>
      </c>
      <c r="C12" s="12" t="s">
        <v>488</v>
      </c>
      <c r="D12" s="13" t="s">
        <v>11</v>
      </c>
      <c r="E12" s="13" t="s">
        <v>13</v>
      </c>
      <c r="F12" s="15" t="s">
        <v>14</v>
      </c>
      <c r="G12" s="16">
        <v>19</v>
      </c>
      <c r="H12" s="45">
        <v>114903</v>
      </c>
    </row>
    <row r="13" spans="1:17" s="18" customFormat="1" x14ac:dyDescent="0.25">
      <c r="A13" s="10">
        <v>8</v>
      </c>
      <c r="B13" s="11">
        <v>45908</v>
      </c>
      <c r="C13" s="12" t="s">
        <v>489</v>
      </c>
      <c r="D13" s="13" t="s">
        <v>11</v>
      </c>
      <c r="E13" s="13" t="s">
        <v>13</v>
      </c>
      <c r="F13" s="15" t="s">
        <v>14</v>
      </c>
      <c r="G13" s="16">
        <v>19</v>
      </c>
      <c r="H13" s="45">
        <v>119950</v>
      </c>
    </row>
    <row r="14" spans="1:17" s="18" customFormat="1" x14ac:dyDescent="0.25">
      <c r="A14" s="10">
        <v>9</v>
      </c>
      <c r="B14" s="11">
        <v>45908</v>
      </c>
      <c r="C14" s="12" t="s">
        <v>490</v>
      </c>
      <c r="D14" s="13" t="s">
        <v>11</v>
      </c>
      <c r="E14" s="13" t="s">
        <v>13</v>
      </c>
      <c r="F14" s="15" t="s">
        <v>14</v>
      </c>
      <c r="G14" s="16">
        <v>19</v>
      </c>
      <c r="H14" s="45">
        <v>180328</v>
      </c>
    </row>
    <row r="15" spans="1:17" s="18" customFormat="1" x14ac:dyDescent="0.25">
      <c r="A15" s="10">
        <v>10</v>
      </c>
      <c r="B15" s="11">
        <v>45908</v>
      </c>
      <c r="C15" s="12" t="s">
        <v>491</v>
      </c>
      <c r="D15" s="13" t="s">
        <v>11</v>
      </c>
      <c r="E15" s="13" t="s">
        <v>13</v>
      </c>
      <c r="F15" s="15" t="s">
        <v>14</v>
      </c>
      <c r="G15" s="16">
        <v>19</v>
      </c>
      <c r="H15" s="45">
        <v>241754</v>
      </c>
    </row>
    <row r="16" spans="1:17" s="18" customFormat="1" x14ac:dyDescent="0.25">
      <c r="A16" s="10">
        <v>11</v>
      </c>
      <c r="B16" s="11">
        <v>45908</v>
      </c>
      <c r="C16" s="12" t="s">
        <v>492</v>
      </c>
      <c r="D16" s="13" t="s">
        <v>11</v>
      </c>
      <c r="E16" s="13" t="s">
        <v>13</v>
      </c>
      <c r="F16" s="15" t="s">
        <v>14</v>
      </c>
      <c r="G16" s="16">
        <v>19</v>
      </c>
      <c r="H16" s="45">
        <v>373450</v>
      </c>
    </row>
    <row r="17" spans="1:8" s="18" customFormat="1" x14ac:dyDescent="0.25">
      <c r="A17" s="10">
        <v>12</v>
      </c>
      <c r="B17" s="11">
        <v>45909</v>
      </c>
      <c r="C17" s="12" t="s">
        <v>493</v>
      </c>
      <c r="D17" s="13" t="s">
        <v>11</v>
      </c>
      <c r="E17" s="13" t="s">
        <v>13</v>
      </c>
      <c r="F17" s="15" t="s">
        <v>14</v>
      </c>
      <c r="G17" s="16">
        <v>18</v>
      </c>
      <c r="H17" s="45">
        <v>62950</v>
      </c>
    </row>
    <row r="18" spans="1:8" s="18" customFormat="1" x14ac:dyDescent="0.25">
      <c r="A18" s="10">
        <v>13</v>
      </c>
      <c r="B18" s="11">
        <v>45909</v>
      </c>
      <c r="C18" s="12" t="s">
        <v>494</v>
      </c>
      <c r="D18" s="13" t="s">
        <v>11</v>
      </c>
      <c r="E18" s="13" t="s">
        <v>13</v>
      </c>
      <c r="F18" s="15" t="s">
        <v>14</v>
      </c>
      <c r="G18" s="16">
        <v>18</v>
      </c>
      <c r="H18" s="45">
        <v>95000</v>
      </c>
    </row>
    <row r="19" spans="1:8" s="18" customFormat="1" x14ac:dyDescent="0.25">
      <c r="A19" s="10">
        <v>14</v>
      </c>
      <c r="B19" s="11">
        <v>45909</v>
      </c>
      <c r="C19" s="12" t="s">
        <v>495</v>
      </c>
      <c r="D19" s="13" t="s">
        <v>11</v>
      </c>
      <c r="E19" s="13" t="s">
        <v>13</v>
      </c>
      <c r="F19" s="15" t="s">
        <v>14</v>
      </c>
      <c r="G19" s="16">
        <v>18</v>
      </c>
      <c r="H19" s="45">
        <v>124950</v>
      </c>
    </row>
    <row r="20" spans="1:8" s="18" customFormat="1" x14ac:dyDescent="0.25">
      <c r="A20" s="10">
        <v>15</v>
      </c>
      <c r="B20" s="11">
        <v>45909</v>
      </c>
      <c r="C20" s="12" t="s">
        <v>496</v>
      </c>
      <c r="D20" s="13" t="s">
        <v>11</v>
      </c>
      <c r="E20" s="13" t="s">
        <v>13</v>
      </c>
      <c r="F20" s="15" t="s">
        <v>14</v>
      </c>
      <c r="G20" s="16">
        <v>18</v>
      </c>
      <c r="H20" s="45">
        <v>155900</v>
      </c>
    </row>
    <row r="21" spans="1:8" s="18" customFormat="1" x14ac:dyDescent="0.25">
      <c r="A21" s="10">
        <v>16</v>
      </c>
      <c r="B21" s="11">
        <v>45909</v>
      </c>
      <c r="C21" s="12" t="s">
        <v>497</v>
      </c>
      <c r="D21" s="13" t="s">
        <v>11</v>
      </c>
      <c r="E21" s="13" t="s">
        <v>13</v>
      </c>
      <c r="F21" s="15" t="s">
        <v>14</v>
      </c>
      <c r="G21" s="16">
        <v>18</v>
      </c>
      <c r="H21" s="45">
        <v>214900</v>
      </c>
    </row>
    <row r="22" spans="1:8" s="18" customFormat="1" x14ac:dyDescent="0.25">
      <c r="A22" s="10">
        <v>17</v>
      </c>
      <c r="B22" s="11">
        <v>45910</v>
      </c>
      <c r="C22" s="12" t="s">
        <v>498</v>
      </c>
      <c r="D22" s="13" t="s">
        <v>11</v>
      </c>
      <c r="E22" s="13" t="s">
        <v>13</v>
      </c>
      <c r="F22" s="15" t="s">
        <v>14</v>
      </c>
      <c r="G22" s="16">
        <v>17</v>
      </c>
      <c r="H22" s="45">
        <v>99900</v>
      </c>
    </row>
    <row r="23" spans="1:8" s="18" customFormat="1" x14ac:dyDescent="0.25">
      <c r="A23" s="10">
        <v>18</v>
      </c>
      <c r="B23" s="11">
        <v>45910</v>
      </c>
      <c r="C23" s="12" t="s">
        <v>499</v>
      </c>
      <c r="D23" s="13" t="s">
        <v>11</v>
      </c>
      <c r="E23" s="13" t="s">
        <v>13</v>
      </c>
      <c r="F23" s="15" t="s">
        <v>14</v>
      </c>
      <c r="G23" s="16">
        <v>17</v>
      </c>
      <c r="H23" s="45">
        <v>193900</v>
      </c>
    </row>
    <row r="24" spans="1:8" s="18" customFormat="1" x14ac:dyDescent="0.25">
      <c r="A24" s="10">
        <v>19</v>
      </c>
      <c r="B24" s="11">
        <v>45910</v>
      </c>
      <c r="C24" s="12" t="s">
        <v>500</v>
      </c>
      <c r="D24" s="13" t="s">
        <v>11</v>
      </c>
      <c r="E24" s="13" t="s">
        <v>13</v>
      </c>
      <c r="F24" s="15" t="s">
        <v>14</v>
      </c>
      <c r="G24" s="16">
        <v>17</v>
      </c>
      <c r="H24" s="45">
        <v>354750</v>
      </c>
    </row>
    <row r="25" spans="1:8" s="18" customFormat="1" x14ac:dyDescent="0.25">
      <c r="A25" s="10">
        <v>20</v>
      </c>
      <c r="B25" s="11">
        <v>45910</v>
      </c>
      <c r="C25" s="12" t="s">
        <v>501</v>
      </c>
      <c r="D25" s="13" t="s">
        <v>11</v>
      </c>
      <c r="E25" s="13" t="s">
        <v>13</v>
      </c>
      <c r="F25" s="15" t="s">
        <v>14</v>
      </c>
      <c r="G25" s="16">
        <v>17</v>
      </c>
      <c r="H25" s="45">
        <v>1799500</v>
      </c>
    </row>
    <row r="26" spans="1:8" s="18" customFormat="1" x14ac:dyDescent="0.25">
      <c r="A26" s="10">
        <v>21</v>
      </c>
      <c r="B26" s="11">
        <v>45911</v>
      </c>
      <c r="C26" s="12" t="s">
        <v>502</v>
      </c>
      <c r="D26" s="13" t="s">
        <v>11</v>
      </c>
      <c r="E26" s="13" t="s">
        <v>13</v>
      </c>
      <c r="F26" s="15" t="s">
        <v>14</v>
      </c>
      <c r="G26" s="16">
        <v>16</v>
      </c>
      <c r="H26" s="45">
        <v>62950</v>
      </c>
    </row>
    <row r="27" spans="1:8" s="18" customFormat="1" x14ac:dyDescent="0.25">
      <c r="A27" s="10">
        <v>22</v>
      </c>
      <c r="B27" s="11">
        <v>45912</v>
      </c>
      <c r="C27" s="12" t="s">
        <v>503</v>
      </c>
      <c r="D27" s="13" t="s">
        <v>11</v>
      </c>
      <c r="E27" s="13" t="s">
        <v>13</v>
      </c>
      <c r="F27" s="15" t="s">
        <v>14</v>
      </c>
      <c r="G27" s="16">
        <v>15</v>
      </c>
      <c r="H27" s="45">
        <v>21950</v>
      </c>
    </row>
    <row r="28" spans="1:8" s="18" customFormat="1" x14ac:dyDescent="0.25">
      <c r="A28" s="10">
        <v>23</v>
      </c>
      <c r="B28" s="11">
        <v>45912</v>
      </c>
      <c r="C28" s="12" t="s">
        <v>504</v>
      </c>
      <c r="D28" s="13" t="s">
        <v>11</v>
      </c>
      <c r="E28" s="13" t="s">
        <v>13</v>
      </c>
      <c r="F28" s="15" t="s">
        <v>14</v>
      </c>
      <c r="G28" s="16">
        <v>15</v>
      </c>
      <c r="H28" s="45">
        <v>118950</v>
      </c>
    </row>
    <row r="29" spans="1:8" s="18" customFormat="1" x14ac:dyDescent="0.25">
      <c r="A29" s="10">
        <v>24</v>
      </c>
      <c r="B29" s="11">
        <v>45912</v>
      </c>
      <c r="C29" s="12" t="s">
        <v>505</v>
      </c>
      <c r="D29" s="13" t="s">
        <v>11</v>
      </c>
      <c r="E29" s="13" t="s">
        <v>13</v>
      </c>
      <c r="F29" s="15" t="s">
        <v>14</v>
      </c>
      <c r="G29" s="16">
        <v>15</v>
      </c>
      <c r="H29" s="45">
        <v>437900</v>
      </c>
    </row>
    <row r="30" spans="1:8" s="18" customFormat="1" x14ac:dyDescent="0.25">
      <c r="A30" s="10">
        <v>25</v>
      </c>
      <c r="B30" s="11">
        <v>45913</v>
      </c>
      <c r="C30" s="12" t="s">
        <v>506</v>
      </c>
      <c r="D30" s="13" t="s">
        <v>11</v>
      </c>
      <c r="E30" s="13" t="s">
        <v>13</v>
      </c>
      <c r="F30" s="15" t="s">
        <v>14</v>
      </c>
      <c r="G30" s="16">
        <v>14</v>
      </c>
      <c r="H30" s="45">
        <v>39950</v>
      </c>
    </row>
    <row r="31" spans="1:8" s="18" customFormat="1" x14ac:dyDescent="0.25">
      <c r="A31" s="10">
        <v>26</v>
      </c>
      <c r="B31" s="11">
        <v>45913</v>
      </c>
      <c r="C31" s="12" t="s">
        <v>507</v>
      </c>
      <c r="D31" s="13" t="s">
        <v>11</v>
      </c>
      <c r="E31" s="13" t="s">
        <v>13</v>
      </c>
      <c r="F31" s="15" t="s">
        <v>14</v>
      </c>
      <c r="G31" s="16">
        <v>14</v>
      </c>
      <c r="H31" s="45">
        <v>243900</v>
      </c>
    </row>
    <row r="32" spans="1:8" s="18" customFormat="1" x14ac:dyDescent="0.25">
      <c r="A32" s="10">
        <v>27</v>
      </c>
      <c r="B32" s="11">
        <v>45913</v>
      </c>
      <c r="C32" s="12" t="s">
        <v>508</v>
      </c>
      <c r="D32" s="13" t="s">
        <v>11</v>
      </c>
      <c r="E32" s="13" t="s">
        <v>13</v>
      </c>
      <c r="F32" s="15" t="s">
        <v>14</v>
      </c>
      <c r="G32" s="16">
        <v>14</v>
      </c>
      <c r="H32" s="45">
        <v>335900</v>
      </c>
    </row>
    <row r="33" spans="1:8" s="18" customFormat="1" x14ac:dyDescent="0.25">
      <c r="A33" s="10">
        <v>28</v>
      </c>
      <c r="B33" s="11">
        <v>45915</v>
      </c>
      <c r="C33" s="12" t="s">
        <v>509</v>
      </c>
      <c r="D33" s="13" t="s">
        <v>11</v>
      </c>
      <c r="E33" s="13" t="s">
        <v>13</v>
      </c>
      <c r="F33" s="15" t="s">
        <v>14</v>
      </c>
      <c r="G33" s="16">
        <v>12</v>
      </c>
      <c r="H33" s="45">
        <v>62950</v>
      </c>
    </row>
    <row r="34" spans="1:8" s="18" customFormat="1" x14ac:dyDescent="0.25">
      <c r="A34" s="10">
        <v>29</v>
      </c>
      <c r="B34" s="11">
        <v>45915</v>
      </c>
      <c r="C34" s="12" t="s">
        <v>510</v>
      </c>
      <c r="D34" s="13" t="s">
        <v>11</v>
      </c>
      <c r="E34" s="13" t="s">
        <v>13</v>
      </c>
      <c r="F34" s="15" t="s">
        <v>14</v>
      </c>
      <c r="G34" s="16">
        <v>12</v>
      </c>
      <c r="H34" s="45">
        <v>145900</v>
      </c>
    </row>
    <row r="35" spans="1:8" s="18" customFormat="1" x14ac:dyDescent="0.25">
      <c r="A35" s="10">
        <v>30</v>
      </c>
      <c r="B35" s="11">
        <v>45915</v>
      </c>
      <c r="C35" s="12" t="s">
        <v>511</v>
      </c>
      <c r="D35" s="13" t="s">
        <v>11</v>
      </c>
      <c r="E35" s="13" t="s">
        <v>13</v>
      </c>
      <c r="F35" s="15" t="s">
        <v>14</v>
      </c>
      <c r="G35" s="16">
        <v>12</v>
      </c>
      <c r="H35" s="45">
        <v>479900</v>
      </c>
    </row>
    <row r="36" spans="1:8" s="18" customFormat="1" x14ac:dyDescent="0.25">
      <c r="A36" s="10">
        <v>31</v>
      </c>
      <c r="B36" s="11">
        <v>45916</v>
      </c>
      <c r="C36" s="12" t="s">
        <v>512</v>
      </c>
      <c r="D36" s="13" t="s">
        <v>11</v>
      </c>
      <c r="E36" s="13" t="s">
        <v>13</v>
      </c>
      <c r="F36" s="15" t="s">
        <v>14</v>
      </c>
      <c r="G36" s="16">
        <v>11</v>
      </c>
      <c r="H36" s="45">
        <v>179950</v>
      </c>
    </row>
    <row r="37" spans="1:8" s="18" customFormat="1" x14ac:dyDescent="0.25">
      <c r="A37" s="10">
        <v>32</v>
      </c>
      <c r="B37" s="11">
        <v>45917</v>
      </c>
      <c r="C37" s="12" t="s">
        <v>513</v>
      </c>
      <c r="D37" s="13" t="s">
        <v>11</v>
      </c>
      <c r="E37" s="13" t="s">
        <v>13</v>
      </c>
      <c r="F37" s="15" t="s">
        <v>14</v>
      </c>
      <c r="G37" s="16">
        <v>10</v>
      </c>
      <c r="H37" s="45">
        <v>62950</v>
      </c>
    </row>
    <row r="38" spans="1:8" s="18" customFormat="1" x14ac:dyDescent="0.25">
      <c r="A38" s="10">
        <v>33</v>
      </c>
      <c r="B38" s="11">
        <v>45918</v>
      </c>
      <c r="C38" s="12" t="s">
        <v>514</v>
      </c>
      <c r="D38" s="13" t="s">
        <v>11</v>
      </c>
      <c r="E38" s="13" t="s">
        <v>13</v>
      </c>
      <c r="F38" s="15" t="s">
        <v>14</v>
      </c>
      <c r="G38" s="16">
        <v>9</v>
      </c>
      <c r="H38" s="45">
        <v>157950</v>
      </c>
    </row>
    <row r="39" spans="1:8" s="18" customFormat="1" x14ac:dyDescent="0.25">
      <c r="A39" s="10">
        <v>34</v>
      </c>
      <c r="B39" s="11">
        <v>45918</v>
      </c>
      <c r="C39" s="12" t="s">
        <v>515</v>
      </c>
      <c r="D39" s="13" t="s">
        <v>11</v>
      </c>
      <c r="E39" s="13" t="s">
        <v>13</v>
      </c>
      <c r="F39" s="15" t="s">
        <v>14</v>
      </c>
      <c r="G39" s="16">
        <v>9</v>
      </c>
      <c r="H39" s="45">
        <v>360000</v>
      </c>
    </row>
    <row r="40" spans="1:8" s="18" customFormat="1" x14ac:dyDescent="0.25">
      <c r="A40" s="10">
        <v>35</v>
      </c>
      <c r="B40" s="11">
        <v>45919</v>
      </c>
      <c r="C40" s="12" t="s">
        <v>516</v>
      </c>
      <c r="D40" s="13" t="s">
        <v>11</v>
      </c>
      <c r="E40" s="13" t="s">
        <v>13</v>
      </c>
      <c r="F40" s="15" t="s">
        <v>14</v>
      </c>
      <c r="G40" s="16">
        <v>8</v>
      </c>
      <c r="H40" s="45">
        <v>28950</v>
      </c>
    </row>
    <row r="41" spans="1:8" s="18" customFormat="1" x14ac:dyDescent="0.25">
      <c r="A41" s="10">
        <v>36</v>
      </c>
      <c r="B41" s="11">
        <v>45920</v>
      </c>
      <c r="C41" s="12" t="s">
        <v>523</v>
      </c>
      <c r="D41" s="13" t="s">
        <v>11</v>
      </c>
      <c r="E41" s="13" t="s">
        <v>13</v>
      </c>
      <c r="F41" s="15" t="s">
        <v>14</v>
      </c>
      <c r="G41" s="16">
        <v>7</v>
      </c>
      <c r="H41" s="45">
        <v>28950</v>
      </c>
    </row>
    <row r="42" spans="1:8" s="18" customFormat="1" x14ac:dyDescent="0.25">
      <c r="A42" s="10">
        <v>37</v>
      </c>
      <c r="B42" s="11">
        <v>45920</v>
      </c>
      <c r="C42" s="12" t="s">
        <v>525</v>
      </c>
      <c r="D42" s="13" t="s">
        <v>11</v>
      </c>
      <c r="E42" s="13" t="s">
        <v>13</v>
      </c>
      <c r="F42" s="15" t="s">
        <v>14</v>
      </c>
      <c r="G42" s="16">
        <v>7</v>
      </c>
      <c r="H42" s="45">
        <v>87900</v>
      </c>
    </row>
    <row r="43" spans="1:8" s="18" customFormat="1" x14ac:dyDescent="0.25">
      <c r="A43" s="10">
        <v>38</v>
      </c>
      <c r="B43" s="11">
        <v>45920</v>
      </c>
      <c r="C43" s="12" t="s">
        <v>526</v>
      </c>
      <c r="D43" s="13" t="s">
        <v>11</v>
      </c>
      <c r="E43" s="13" t="s">
        <v>13</v>
      </c>
      <c r="F43" s="15" t="s">
        <v>14</v>
      </c>
      <c r="G43" s="16">
        <v>7</v>
      </c>
      <c r="H43" s="45">
        <v>89950</v>
      </c>
    </row>
    <row r="44" spans="1:8" s="18" customFormat="1" x14ac:dyDescent="0.25">
      <c r="A44" s="10">
        <v>39</v>
      </c>
      <c r="B44" s="11">
        <v>45922</v>
      </c>
      <c r="C44" s="12" t="s">
        <v>527</v>
      </c>
      <c r="D44" s="13" t="s">
        <v>11</v>
      </c>
      <c r="E44" s="13" t="s">
        <v>13</v>
      </c>
      <c r="F44" s="15" t="s">
        <v>14</v>
      </c>
      <c r="G44" s="16">
        <v>5</v>
      </c>
      <c r="H44" s="17">
        <v>89950</v>
      </c>
    </row>
    <row r="45" spans="1:8" s="18" customFormat="1" x14ac:dyDescent="0.25">
      <c r="A45" s="10">
        <v>40</v>
      </c>
      <c r="B45" s="11">
        <v>45922</v>
      </c>
      <c r="C45" s="12" t="s">
        <v>529</v>
      </c>
      <c r="D45" s="13" t="s">
        <v>11</v>
      </c>
      <c r="E45" s="13" t="s">
        <v>13</v>
      </c>
      <c r="F45" s="15" t="s">
        <v>14</v>
      </c>
      <c r="G45" s="16">
        <v>5</v>
      </c>
      <c r="H45" s="17">
        <v>197500</v>
      </c>
    </row>
    <row r="46" spans="1:8" s="18" customFormat="1" x14ac:dyDescent="0.25">
      <c r="A46" s="10">
        <v>41</v>
      </c>
      <c r="B46" s="11">
        <v>45923</v>
      </c>
      <c r="C46" s="12" t="s">
        <v>524</v>
      </c>
      <c r="D46" s="13" t="s">
        <v>11</v>
      </c>
      <c r="E46" s="13" t="s">
        <v>13</v>
      </c>
      <c r="F46" s="15" t="s">
        <v>14</v>
      </c>
      <c r="G46" s="16">
        <v>4</v>
      </c>
      <c r="H46" s="17">
        <v>69950</v>
      </c>
    </row>
    <row r="47" spans="1:8" s="18" customFormat="1" x14ac:dyDescent="0.25">
      <c r="A47" s="10">
        <v>42</v>
      </c>
      <c r="B47" s="11">
        <v>45924</v>
      </c>
      <c r="C47" s="12" t="s">
        <v>532</v>
      </c>
      <c r="D47" s="13" t="s">
        <v>11</v>
      </c>
      <c r="E47" s="13" t="s">
        <v>13</v>
      </c>
      <c r="F47" s="15" t="s">
        <v>14</v>
      </c>
      <c r="G47" s="16">
        <v>3</v>
      </c>
      <c r="H47" s="17">
        <v>231800</v>
      </c>
    </row>
    <row r="48" spans="1:8" s="18" customFormat="1" x14ac:dyDescent="0.25">
      <c r="A48" s="10">
        <v>43</v>
      </c>
      <c r="B48" s="11">
        <v>45925</v>
      </c>
      <c r="C48" s="12" t="s">
        <v>535</v>
      </c>
      <c r="D48" s="13" t="s">
        <v>11</v>
      </c>
      <c r="E48" s="13" t="s">
        <v>13</v>
      </c>
      <c r="F48" s="15" t="s">
        <v>14</v>
      </c>
      <c r="G48" s="16">
        <v>2</v>
      </c>
      <c r="H48" s="17">
        <v>74950</v>
      </c>
    </row>
    <row r="49" spans="1:12" s="18" customFormat="1" x14ac:dyDescent="0.25">
      <c r="A49" s="10">
        <v>44</v>
      </c>
      <c r="B49" s="11">
        <v>45925</v>
      </c>
      <c r="C49" s="12" t="s">
        <v>534</v>
      </c>
      <c r="D49" s="13" t="s">
        <v>11</v>
      </c>
      <c r="E49" s="13" t="s">
        <v>13</v>
      </c>
      <c r="F49" s="15" t="s">
        <v>14</v>
      </c>
      <c r="G49" s="16">
        <v>2</v>
      </c>
      <c r="H49" s="17">
        <v>449250</v>
      </c>
    </row>
    <row r="50" spans="1:12" s="18" customFormat="1" x14ac:dyDescent="0.25">
      <c r="A50" s="55"/>
      <c r="B50" s="56"/>
      <c r="C50" s="55"/>
      <c r="D50" s="57"/>
      <c r="E50" s="57"/>
      <c r="F50" s="58" t="s">
        <v>349</v>
      </c>
      <c r="G50" s="59"/>
      <c r="H50" s="19">
        <f>SUM(H6:H49)</f>
        <v>8836122</v>
      </c>
    </row>
    <row r="51" spans="1:12" s="18" customFormat="1" x14ac:dyDescent="0.25">
      <c r="A51" s="10"/>
      <c r="B51" s="11"/>
      <c r="C51" s="12"/>
      <c r="D51" s="13"/>
      <c r="E51" s="13"/>
      <c r="F51" s="15"/>
      <c r="G51" s="16"/>
      <c r="H51" s="17"/>
    </row>
    <row r="52" spans="1:12" s="18" customFormat="1" x14ac:dyDescent="0.25">
      <c r="A52" s="10">
        <v>1</v>
      </c>
      <c r="B52" s="11">
        <v>45892</v>
      </c>
      <c r="C52" s="12" t="s">
        <v>359</v>
      </c>
      <c r="D52" s="13" t="s">
        <v>11</v>
      </c>
      <c r="E52" s="13" t="s">
        <v>351</v>
      </c>
      <c r="F52" s="15" t="s">
        <v>352</v>
      </c>
      <c r="G52" s="53">
        <v>35</v>
      </c>
      <c r="H52" s="45">
        <v>42055</v>
      </c>
      <c r="I52" s="64">
        <v>35536.474999999999</v>
      </c>
      <c r="J52" s="61">
        <f t="shared" ref="J52:J60" si="0">(H52-I52)/H52</f>
        <v>0.15500000000000003</v>
      </c>
      <c r="K52" s="64">
        <f t="shared" ref="K52:K60" si="1">H52*15.5%</f>
        <v>6518.5249999999996</v>
      </c>
      <c r="L52" s="18" t="s">
        <v>359</v>
      </c>
    </row>
    <row r="53" spans="1:12" s="18" customFormat="1" x14ac:dyDescent="0.25">
      <c r="A53" s="10">
        <v>2</v>
      </c>
      <c r="B53" s="11">
        <v>45892</v>
      </c>
      <c r="C53" s="12" t="s">
        <v>360</v>
      </c>
      <c r="D53" s="13" t="s">
        <v>11</v>
      </c>
      <c r="E53" s="13" t="s">
        <v>351</v>
      </c>
      <c r="F53" s="15" t="s">
        <v>352</v>
      </c>
      <c r="G53" s="53">
        <v>35</v>
      </c>
      <c r="H53" s="45">
        <v>50465</v>
      </c>
      <c r="I53" s="64">
        <v>42642.925000000003</v>
      </c>
      <c r="J53" s="61">
        <f t="shared" si="0"/>
        <v>0.15499999999999994</v>
      </c>
      <c r="K53" s="64">
        <f t="shared" si="1"/>
        <v>7822.0749999999998</v>
      </c>
      <c r="L53" s="18" t="s">
        <v>360</v>
      </c>
    </row>
    <row r="54" spans="1:12" s="18" customFormat="1" x14ac:dyDescent="0.25">
      <c r="A54" s="10">
        <v>3</v>
      </c>
      <c r="B54" s="11">
        <v>45896</v>
      </c>
      <c r="C54" s="12" t="s">
        <v>361</v>
      </c>
      <c r="D54" s="13" t="s">
        <v>11</v>
      </c>
      <c r="E54" s="13" t="s">
        <v>351</v>
      </c>
      <c r="F54" s="15" t="s">
        <v>352</v>
      </c>
      <c r="G54" s="53">
        <v>31</v>
      </c>
      <c r="H54" s="45">
        <v>112945</v>
      </c>
      <c r="I54" s="64">
        <v>95438.524999999994</v>
      </c>
      <c r="J54" s="61">
        <f t="shared" si="0"/>
        <v>0.15500000000000005</v>
      </c>
      <c r="K54" s="64">
        <f t="shared" si="1"/>
        <v>17506.474999999999</v>
      </c>
      <c r="L54" s="18" t="s">
        <v>361</v>
      </c>
    </row>
    <row r="55" spans="1:12" s="18" customFormat="1" x14ac:dyDescent="0.25">
      <c r="A55" s="10">
        <v>4</v>
      </c>
      <c r="B55" s="11">
        <v>45897</v>
      </c>
      <c r="C55" s="12" t="s">
        <v>362</v>
      </c>
      <c r="D55" s="13" t="s">
        <v>11</v>
      </c>
      <c r="E55" s="13" t="s">
        <v>351</v>
      </c>
      <c r="F55" s="15" t="s">
        <v>352</v>
      </c>
      <c r="G55" s="53">
        <v>30</v>
      </c>
      <c r="H55" s="45">
        <v>144185</v>
      </c>
      <c r="I55" s="64">
        <v>121836.325</v>
      </c>
      <c r="J55" s="61">
        <f t="shared" si="0"/>
        <v>0.15500000000000003</v>
      </c>
      <c r="K55" s="64">
        <f t="shared" si="1"/>
        <v>22348.674999999999</v>
      </c>
      <c r="L55" s="18" t="s">
        <v>362</v>
      </c>
    </row>
    <row r="56" spans="1:12" s="18" customFormat="1" x14ac:dyDescent="0.25">
      <c r="A56" s="10">
        <v>5</v>
      </c>
      <c r="B56" s="11">
        <v>45897</v>
      </c>
      <c r="C56" s="12" t="s">
        <v>363</v>
      </c>
      <c r="D56" s="13" t="s">
        <v>11</v>
      </c>
      <c r="E56" s="13" t="s">
        <v>351</v>
      </c>
      <c r="F56" s="15" t="s">
        <v>352</v>
      </c>
      <c r="G56" s="53">
        <v>30</v>
      </c>
      <c r="H56" s="45">
        <v>144185</v>
      </c>
      <c r="I56" s="64">
        <v>121836.325</v>
      </c>
      <c r="J56" s="61">
        <f t="shared" si="0"/>
        <v>0.15500000000000003</v>
      </c>
      <c r="K56" s="64">
        <f t="shared" si="1"/>
        <v>22348.674999999999</v>
      </c>
      <c r="L56" s="18" t="s">
        <v>363</v>
      </c>
    </row>
    <row r="57" spans="1:12" s="18" customFormat="1" x14ac:dyDescent="0.25">
      <c r="A57" s="10">
        <v>6</v>
      </c>
      <c r="B57" s="11">
        <v>45898</v>
      </c>
      <c r="C57" s="12" t="s">
        <v>385</v>
      </c>
      <c r="D57" s="13" t="s">
        <v>11</v>
      </c>
      <c r="E57" s="13" t="s">
        <v>351</v>
      </c>
      <c r="F57" s="15" t="s">
        <v>352</v>
      </c>
      <c r="G57" s="53">
        <v>29</v>
      </c>
      <c r="H57" s="45">
        <v>75695</v>
      </c>
      <c r="I57" s="64">
        <v>63962.275000000001</v>
      </c>
      <c r="J57" s="61">
        <f t="shared" si="0"/>
        <v>0.15499999999999997</v>
      </c>
      <c r="K57" s="64">
        <f t="shared" si="1"/>
        <v>11732.725</v>
      </c>
      <c r="L57" s="18" t="s">
        <v>385</v>
      </c>
    </row>
    <row r="58" spans="1:12" s="18" customFormat="1" x14ac:dyDescent="0.25">
      <c r="A58" s="10">
        <v>7</v>
      </c>
      <c r="B58" s="11">
        <v>45899</v>
      </c>
      <c r="C58" s="12" t="s">
        <v>517</v>
      </c>
      <c r="D58" s="13" t="s">
        <v>11</v>
      </c>
      <c r="E58" s="13" t="s">
        <v>351</v>
      </c>
      <c r="F58" s="15" t="s">
        <v>352</v>
      </c>
      <c r="G58" s="53">
        <v>28</v>
      </c>
      <c r="H58" s="45">
        <v>42055</v>
      </c>
      <c r="I58" s="64">
        <v>35536.474999999999</v>
      </c>
      <c r="J58" s="61">
        <f t="shared" si="0"/>
        <v>0.15500000000000003</v>
      </c>
      <c r="K58" s="64">
        <f t="shared" si="1"/>
        <v>6518.5249999999996</v>
      </c>
      <c r="L58" s="18" t="s">
        <v>517</v>
      </c>
    </row>
    <row r="59" spans="1:12" s="18" customFormat="1" x14ac:dyDescent="0.25">
      <c r="A59" s="10">
        <v>8</v>
      </c>
      <c r="B59" s="11">
        <v>45908</v>
      </c>
      <c r="C59" s="12" t="s">
        <v>518</v>
      </c>
      <c r="D59" s="13" t="s">
        <v>11</v>
      </c>
      <c r="E59" s="13" t="s">
        <v>351</v>
      </c>
      <c r="F59" s="15" t="s">
        <v>352</v>
      </c>
      <c r="G59" s="53">
        <v>19</v>
      </c>
      <c r="H59" s="45">
        <v>29750</v>
      </c>
      <c r="I59" s="64">
        <v>25138.75</v>
      </c>
      <c r="J59" s="61">
        <f t="shared" si="0"/>
        <v>0.155</v>
      </c>
      <c r="K59" s="64">
        <f t="shared" si="1"/>
        <v>4611.25</v>
      </c>
      <c r="L59" s="18" t="s">
        <v>518</v>
      </c>
    </row>
    <row r="60" spans="1:12" s="18" customFormat="1" x14ac:dyDescent="0.25">
      <c r="A60" s="10">
        <v>9</v>
      </c>
      <c r="B60" s="11">
        <v>45908</v>
      </c>
      <c r="C60" s="12" t="s">
        <v>519</v>
      </c>
      <c r="D60" s="13" t="s">
        <v>11</v>
      </c>
      <c r="E60" s="13" t="s">
        <v>351</v>
      </c>
      <c r="F60" s="15" t="s">
        <v>352</v>
      </c>
      <c r="G60" s="53">
        <v>19</v>
      </c>
      <c r="H60" s="45">
        <v>112950</v>
      </c>
      <c r="I60" s="64">
        <v>95442.75</v>
      </c>
      <c r="J60" s="61">
        <f t="shared" si="0"/>
        <v>0.155</v>
      </c>
      <c r="K60" s="64">
        <f t="shared" si="1"/>
        <v>17507.25</v>
      </c>
      <c r="L60" s="18" t="s">
        <v>519</v>
      </c>
    </row>
    <row r="61" spans="1:12" s="18" customFormat="1" x14ac:dyDescent="0.25">
      <c r="A61" s="10">
        <v>10</v>
      </c>
      <c r="B61" s="11">
        <v>45909</v>
      </c>
      <c r="C61" s="12" t="s">
        <v>520</v>
      </c>
      <c r="D61" s="13" t="s">
        <v>11</v>
      </c>
      <c r="E61" s="13" t="s">
        <v>351</v>
      </c>
      <c r="F61" s="15" t="s">
        <v>352</v>
      </c>
      <c r="G61" s="53">
        <v>18</v>
      </c>
      <c r="H61" s="45">
        <v>182818</v>
      </c>
      <c r="I61" s="64">
        <v>154481.21</v>
      </c>
      <c r="J61" s="61">
        <f>(H61-I61)/H61</f>
        <v>0.15500000000000005</v>
      </c>
      <c r="K61" s="64">
        <f>H61*15.5%</f>
        <v>28336.79</v>
      </c>
      <c r="L61" s="18" t="s">
        <v>520</v>
      </c>
    </row>
    <row r="62" spans="1:12" s="18" customFormat="1" x14ac:dyDescent="0.25">
      <c r="A62" s="10"/>
      <c r="B62" s="11"/>
      <c r="C62" s="12"/>
      <c r="D62" s="13"/>
      <c r="E62" s="13"/>
      <c r="F62" s="15"/>
      <c r="G62" s="53"/>
      <c r="H62" s="45">
        <f>SUM(H52:H61)</f>
        <v>937103</v>
      </c>
      <c r="I62" s="60">
        <v>791852</v>
      </c>
      <c r="J62" s="61">
        <f>(H62-I62)/H62</f>
        <v>0.15500003734914947</v>
      </c>
      <c r="K62" s="61"/>
    </row>
    <row r="63" spans="1:12" s="18" customFormat="1" x14ac:dyDescent="0.25">
      <c r="A63" s="10">
        <v>11</v>
      </c>
      <c r="B63" s="11">
        <v>45915</v>
      </c>
      <c r="C63" s="12" t="s">
        <v>521</v>
      </c>
      <c r="D63" s="13" t="s">
        <v>11</v>
      </c>
      <c r="E63" s="13" t="s">
        <v>351</v>
      </c>
      <c r="F63" s="15" t="s">
        <v>352</v>
      </c>
      <c r="G63" s="53">
        <v>12</v>
      </c>
      <c r="H63" s="45">
        <v>118220</v>
      </c>
    </row>
    <row r="64" spans="1:12" s="18" customFormat="1" x14ac:dyDescent="0.25">
      <c r="A64" s="10">
        <v>12</v>
      </c>
      <c r="B64" s="11">
        <v>45915</v>
      </c>
      <c r="C64" s="12" t="s">
        <v>522</v>
      </c>
      <c r="D64" s="13" t="s">
        <v>11</v>
      </c>
      <c r="E64" s="13" t="s">
        <v>351</v>
      </c>
      <c r="F64" s="15" t="s">
        <v>352</v>
      </c>
      <c r="G64" s="53">
        <v>12</v>
      </c>
      <c r="H64" s="45">
        <v>186950</v>
      </c>
    </row>
    <row r="65" spans="1:8" s="18" customFormat="1" x14ac:dyDescent="0.25">
      <c r="A65" s="10">
        <v>13</v>
      </c>
      <c r="B65" s="11">
        <v>45920</v>
      </c>
      <c r="C65" s="12" t="s">
        <v>528</v>
      </c>
      <c r="D65" s="13" t="s">
        <v>11</v>
      </c>
      <c r="E65" s="13" t="s">
        <v>351</v>
      </c>
      <c r="F65" s="15" t="s">
        <v>352</v>
      </c>
      <c r="G65" s="53">
        <v>7</v>
      </c>
      <c r="H65" s="45">
        <v>98950</v>
      </c>
    </row>
    <row r="66" spans="1:8" s="18" customFormat="1" x14ac:dyDescent="0.25">
      <c r="A66" s="10">
        <v>14</v>
      </c>
      <c r="B66" s="11">
        <v>45924</v>
      </c>
      <c r="C66" s="12" t="s">
        <v>533</v>
      </c>
      <c r="D66" s="13" t="s">
        <v>11</v>
      </c>
      <c r="E66" s="13" t="s">
        <v>351</v>
      </c>
      <c r="F66" s="15" t="s">
        <v>352</v>
      </c>
      <c r="G66" s="53">
        <v>3</v>
      </c>
      <c r="H66" s="17">
        <v>21950</v>
      </c>
    </row>
    <row r="67" spans="1:8" s="18" customFormat="1" x14ac:dyDescent="0.25">
      <c r="A67" s="10">
        <v>15</v>
      </c>
      <c r="B67" s="11">
        <v>45926</v>
      </c>
      <c r="C67" s="12" t="s">
        <v>536</v>
      </c>
      <c r="D67" s="13" t="s">
        <v>11</v>
      </c>
      <c r="E67" s="13" t="s">
        <v>351</v>
      </c>
      <c r="F67" s="15" t="s">
        <v>352</v>
      </c>
      <c r="G67" s="53">
        <v>1</v>
      </c>
      <c r="H67" s="17">
        <v>471600</v>
      </c>
    </row>
    <row r="68" spans="1:8" x14ac:dyDescent="0.25">
      <c r="A68" s="55"/>
      <c r="B68" s="56"/>
      <c r="C68" s="55"/>
      <c r="D68" s="57"/>
      <c r="E68" s="57"/>
      <c r="F68" s="58" t="s">
        <v>349</v>
      </c>
      <c r="G68" s="59"/>
      <c r="H68" s="19">
        <f>SUM(H52:H67)</f>
        <v>2771876</v>
      </c>
    </row>
  </sheetData>
  <sortState ref="A53:BI67">
    <sortCondition ref="B53:B67"/>
  </sortState>
  <conditionalFormatting sqref="G6:G67">
    <cfRule type="cellIs" dxfId="109" priority="96" operator="greaterThan">
      <formula>0</formula>
    </cfRule>
  </conditionalFormatting>
  <conditionalFormatting sqref="B6:H67">
    <cfRule type="expression" dxfId="108" priority="103">
      <formula>AND(#REF!&gt;0,$G6&gt;89)</formula>
    </cfRule>
    <cfRule type="expression" dxfId="107" priority="104">
      <formula>AND(#REF!&gt;0,$G6&gt;59)</formula>
    </cfRule>
    <cfRule type="expression" dxfId="106" priority="105">
      <formula>AND(#REF!&gt;0,$G6&gt;44)</formula>
    </cfRule>
  </conditionalFormatting>
  <conditionalFormatting sqref="I6:K8">
    <cfRule type="expression" dxfId="105" priority="6">
      <formula>AND(#REF!&gt;0,$G6&gt;89)</formula>
    </cfRule>
    <cfRule type="expression" dxfId="104" priority="7">
      <formula>AND(#REF!&gt;0,$G6&gt;59)</formula>
    </cfRule>
    <cfRule type="expression" dxfId="103" priority="8">
      <formula>AND(#REF!&gt;0,$G6&gt;44)</formula>
    </cfRule>
  </conditionalFormatting>
  <conditionalFormatting sqref="G5">
    <cfRule type="cellIs" dxfId="102" priority="5" operator="greaterThan">
      <formula>0</formula>
    </cfRule>
  </conditionalFormatting>
  <conditionalFormatting sqref="G68">
    <cfRule type="cellIs" dxfId="101" priority="1" operator="greaterThan">
      <formula>0</formula>
    </cfRule>
  </conditionalFormatting>
  <conditionalFormatting sqref="B68:H68">
    <cfRule type="expression" dxfId="100" priority="2">
      <formula>AND(#REF!&gt;0,$G68&gt;89)</formula>
    </cfRule>
    <cfRule type="expression" dxfId="99" priority="3">
      <formula>AND(#REF!&gt;0,$G68&gt;59)</formula>
    </cfRule>
    <cfRule type="expression" dxfId="98" priority="4">
      <formula>AND(#REF!&gt;0,$G68&gt;44)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workbookViewId="0">
      <selection activeCell="A2" sqref="A2:I3"/>
    </sheetView>
  </sheetViews>
  <sheetFormatPr defaultRowHeight="15" x14ac:dyDescent="0.25"/>
  <cols>
    <col min="1" max="1" width="6" customWidth="1"/>
    <col min="4" max="4" width="6.5703125" customWidth="1"/>
    <col min="5" max="5" width="7.140625" customWidth="1"/>
    <col min="6" max="6" width="15.7109375" bestFit="1" customWidth="1"/>
    <col min="8" max="8" width="6.28515625" customWidth="1"/>
    <col min="9" max="9" width="13.140625" bestFit="1" customWidth="1"/>
  </cols>
  <sheetData>
    <row r="2" spans="1:9" x14ac:dyDescent="0.25">
      <c r="A2" s="38" t="s">
        <v>562</v>
      </c>
    </row>
    <row r="3" spans="1:9" ht="23.25" customHeight="1" x14ac:dyDescent="0.25">
      <c r="A3" s="65" t="s">
        <v>0</v>
      </c>
      <c r="B3" s="7" t="s">
        <v>538</v>
      </c>
      <c r="C3" s="7" t="s">
        <v>2</v>
      </c>
      <c r="D3" s="7" t="s">
        <v>3</v>
      </c>
      <c r="E3" s="7" t="s">
        <v>5</v>
      </c>
      <c r="F3" s="7" t="s">
        <v>6</v>
      </c>
      <c r="G3" s="55" t="s">
        <v>539</v>
      </c>
      <c r="H3" s="24" t="s">
        <v>540</v>
      </c>
      <c r="I3" s="9" t="s">
        <v>377</v>
      </c>
    </row>
    <row r="4" spans="1:9" x14ac:dyDescent="0.25">
      <c r="A4" s="39">
        <v>1</v>
      </c>
      <c r="B4" s="40">
        <v>45899</v>
      </c>
      <c r="C4" s="41" t="s">
        <v>395</v>
      </c>
      <c r="D4" s="42" t="s">
        <v>11</v>
      </c>
      <c r="E4" s="42" t="s">
        <v>13</v>
      </c>
      <c r="F4" s="43" t="s">
        <v>14</v>
      </c>
      <c r="G4" s="43" t="s">
        <v>15</v>
      </c>
      <c r="H4" s="44">
        <v>35</v>
      </c>
      <c r="I4" s="45">
        <v>177750</v>
      </c>
    </row>
    <row r="5" spans="1:9" x14ac:dyDescent="0.25">
      <c r="A5" s="10">
        <v>2</v>
      </c>
      <c r="B5" s="11">
        <v>45913</v>
      </c>
      <c r="C5" s="12" t="s">
        <v>507</v>
      </c>
      <c r="D5" s="13" t="s">
        <v>11</v>
      </c>
      <c r="E5" s="13" t="s">
        <v>13</v>
      </c>
      <c r="F5" s="15" t="s">
        <v>14</v>
      </c>
      <c r="G5" s="15" t="s">
        <v>15</v>
      </c>
      <c r="H5" s="16">
        <v>21</v>
      </c>
      <c r="I5" s="45">
        <v>243900</v>
      </c>
    </row>
    <row r="6" spans="1:9" x14ac:dyDescent="0.25">
      <c r="A6" s="10">
        <v>3</v>
      </c>
      <c r="B6" s="11">
        <v>45915</v>
      </c>
      <c r="C6" s="12" t="s">
        <v>511</v>
      </c>
      <c r="D6" s="13" t="s">
        <v>11</v>
      </c>
      <c r="E6" s="13" t="s">
        <v>13</v>
      </c>
      <c r="F6" s="15" t="s">
        <v>14</v>
      </c>
      <c r="G6" s="15" t="s">
        <v>15</v>
      </c>
      <c r="H6" s="16">
        <v>19</v>
      </c>
      <c r="I6" s="45">
        <v>479900</v>
      </c>
    </row>
    <row r="7" spans="1:9" x14ac:dyDescent="0.25">
      <c r="A7" s="10">
        <v>4</v>
      </c>
      <c r="B7" s="11">
        <v>45920</v>
      </c>
      <c r="C7" s="12" t="s">
        <v>526</v>
      </c>
      <c r="D7" s="13" t="s">
        <v>11</v>
      </c>
      <c r="E7" s="13" t="s">
        <v>13</v>
      </c>
      <c r="F7" s="15" t="s">
        <v>14</v>
      </c>
      <c r="G7" s="15" t="s">
        <v>15</v>
      </c>
      <c r="H7" s="16">
        <v>14</v>
      </c>
      <c r="I7" s="45">
        <v>89950</v>
      </c>
    </row>
    <row r="8" spans="1:9" x14ac:dyDescent="0.25">
      <c r="A8" s="10">
        <v>5</v>
      </c>
      <c r="B8" s="11">
        <v>45922</v>
      </c>
      <c r="C8" s="12" t="s">
        <v>529</v>
      </c>
      <c r="D8" s="13" t="s">
        <v>11</v>
      </c>
      <c r="E8" s="13" t="s">
        <v>13</v>
      </c>
      <c r="F8" s="15" t="s">
        <v>14</v>
      </c>
      <c r="G8" s="15" t="s">
        <v>15</v>
      </c>
      <c r="H8" s="16">
        <v>12</v>
      </c>
      <c r="I8" s="45">
        <v>197500</v>
      </c>
    </row>
    <row r="9" spans="1:9" x14ac:dyDescent="0.25">
      <c r="A9" s="10">
        <v>6</v>
      </c>
      <c r="B9" s="11">
        <v>45922</v>
      </c>
      <c r="C9" s="12" t="s">
        <v>527</v>
      </c>
      <c r="D9" s="13" t="s">
        <v>11</v>
      </c>
      <c r="E9" s="13" t="s">
        <v>13</v>
      </c>
      <c r="F9" s="15" t="s">
        <v>14</v>
      </c>
      <c r="G9" s="15" t="s">
        <v>15</v>
      </c>
      <c r="H9" s="16">
        <v>12</v>
      </c>
      <c r="I9" s="45">
        <v>89950</v>
      </c>
    </row>
    <row r="10" spans="1:9" x14ac:dyDescent="0.25">
      <c r="A10" s="10">
        <v>7</v>
      </c>
      <c r="B10" s="11">
        <v>45923</v>
      </c>
      <c r="C10" s="12" t="s">
        <v>524</v>
      </c>
      <c r="D10" s="13" t="s">
        <v>11</v>
      </c>
      <c r="E10" s="13" t="s">
        <v>13</v>
      </c>
      <c r="F10" s="15" t="s">
        <v>14</v>
      </c>
      <c r="G10" s="15" t="s">
        <v>15</v>
      </c>
      <c r="H10" s="16">
        <v>11</v>
      </c>
      <c r="I10" s="45">
        <v>69950</v>
      </c>
    </row>
    <row r="11" spans="1:9" x14ac:dyDescent="0.25">
      <c r="A11" s="10">
        <v>8</v>
      </c>
      <c r="B11" s="11">
        <v>45924</v>
      </c>
      <c r="C11" s="12" t="s">
        <v>532</v>
      </c>
      <c r="D11" s="13" t="s">
        <v>11</v>
      </c>
      <c r="E11" s="13" t="s">
        <v>13</v>
      </c>
      <c r="F11" s="15" t="s">
        <v>14</v>
      </c>
      <c r="G11" s="15" t="s">
        <v>15</v>
      </c>
      <c r="H11" s="16">
        <v>10</v>
      </c>
      <c r="I11" s="45">
        <v>231800</v>
      </c>
    </row>
    <row r="12" spans="1:9" x14ac:dyDescent="0.25">
      <c r="A12" s="10">
        <v>9</v>
      </c>
      <c r="B12" s="11">
        <v>45925</v>
      </c>
      <c r="C12" s="12" t="s">
        <v>534</v>
      </c>
      <c r="D12" s="13" t="s">
        <v>11</v>
      </c>
      <c r="E12" s="13" t="s">
        <v>13</v>
      </c>
      <c r="F12" s="15" t="s">
        <v>14</v>
      </c>
      <c r="G12" s="15" t="s">
        <v>15</v>
      </c>
      <c r="H12" s="16">
        <v>9</v>
      </c>
      <c r="I12" s="45">
        <v>449250</v>
      </c>
    </row>
    <row r="13" spans="1:9" x14ac:dyDescent="0.25">
      <c r="A13" s="10">
        <v>10</v>
      </c>
      <c r="B13" s="11">
        <v>45925</v>
      </c>
      <c r="C13" s="12" t="s">
        <v>535</v>
      </c>
      <c r="D13" s="13" t="s">
        <v>11</v>
      </c>
      <c r="E13" s="13" t="s">
        <v>13</v>
      </c>
      <c r="F13" s="15" t="s">
        <v>14</v>
      </c>
      <c r="G13" s="15" t="s">
        <v>15</v>
      </c>
      <c r="H13" s="16">
        <v>9</v>
      </c>
      <c r="I13" s="45">
        <v>74950</v>
      </c>
    </row>
    <row r="14" spans="1:9" x14ac:dyDescent="0.25">
      <c r="A14" s="10">
        <v>11</v>
      </c>
      <c r="B14" s="11">
        <v>45927</v>
      </c>
      <c r="C14" s="12" t="s">
        <v>541</v>
      </c>
      <c r="D14" s="13" t="s">
        <v>11</v>
      </c>
      <c r="E14" s="13" t="s">
        <v>13</v>
      </c>
      <c r="F14" s="15" t="s">
        <v>14</v>
      </c>
      <c r="G14" s="15" t="s">
        <v>15</v>
      </c>
      <c r="H14" s="16">
        <v>7</v>
      </c>
      <c r="I14" s="45">
        <v>180000</v>
      </c>
    </row>
    <row r="15" spans="1:9" x14ac:dyDescent="0.25">
      <c r="A15" s="10">
        <v>12</v>
      </c>
      <c r="B15" s="11">
        <v>45927</v>
      </c>
      <c r="C15" s="12" t="s">
        <v>542</v>
      </c>
      <c r="D15" s="13" t="s">
        <v>11</v>
      </c>
      <c r="E15" s="13" t="s">
        <v>13</v>
      </c>
      <c r="F15" s="15" t="s">
        <v>14</v>
      </c>
      <c r="G15" s="15" t="s">
        <v>15</v>
      </c>
      <c r="H15" s="16">
        <v>7</v>
      </c>
      <c r="I15" s="45">
        <v>159950</v>
      </c>
    </row>
    <row r="16" spans="1:9" x14ac:dyDescent="0.25">
      <c r="A16" s="10">
        <v>13</v>
      </c>
      <c r="B16" s="11">
        <v>45927</v>
      </c>
      <c r="C16" s="12" t="s">
        <v>543</v>
      </c>
      <c r="D16" s="13" t="s">
        <v>11</v>
      </c>
      <c r="E16" s="13" t="s">
        <v>13</v>
      </c>
      <c r="F16" s="15" t="s">
        <v>14</v>
      </c>
      <c r="G16" s="15" t="s">
        <v>15</v>
      </c>
      <c r="H16" s="16">
        <v>7</v>
      </c>
      <c r="I16" s="45">
        <v>1580000</v>
      </c>
    </row>
    <row r="17" spans="1:9" x14ac:dyDescent="0.25">
      <c r="A17" s="10">
        <v>14</v>
      </c>
      <c r="B17" s="11">
        <v>45929</v>
      </c>
      <c r="C17" s="12" t="s">
        <v>544</v>
      </c>
      <c r="D17" s="13" t="s">
        <v>11</v>
      </c>
      <c r="E17" s="13" t="s">
        <v>13</v>
      </c>
      <c r="F17" s="15" t="s">
        <v>14</v>
      </c>
      <c r="G17" s="15" t="s">
        <v>15</v>
      </c>
      <c r="H17" s="16">
        <v>5</v>
      </c>
      <c r="I17" s="17">
        <v>99950</v>
      </c>
    </row>
    <row r="18" spans="1:9" x14ac:dyDescent="0.25">
      <c r="A18" s="10">
        <v>15</v>
      </c>
      <c r="B18" s="11">
        <v>45929</v>
      </c>
      <c r="C18" s="12" t="s">
        <v>545</v>
      </c>
      <c r="D18" s="13" t="s">
        <v>11</v>
      </c>
      <c r="E18" s="13" t="s">
        <v>13</v>
      </c>
      <c r="F18" s="15" t="s">
        <v>14</v>
      </c>
      <c r="G18" s="15" t="s">
        <v>15</v>
      </c>
      <c r="H18" s="16">
        <v>5</v>
      </c>
      <c r="I18" s="17">
        <v>175800</v>
      </c>
    </row>
    <row r="19" spans="1:9" x14ac:dyDescent="0.25">
      <c r="A19" s="10">
        <v>16</v>
      </c>
      <c r="B19" s="11">
        <v>45929</v>
      </c>
      <c r="C19" s="12" t="s">
        <v>546</v>
      </c>
      <c r="D19" s="13" t="s">
        <v>11</v>
      </c>
      <c r="E19" s="13" t="s">
        <v>13</v>
      </c>
      <c r="F19" s="15" t="s">
        <v>14</v>
      </c>
      <c r="G19" s="15" t="s">
        <v>15</v>
      </c>
      <c r="H19" s="16">
        <v>5</v>
      </c>
      <c r="I19" s="17">
        <v>72950</v>
      </c>
    </row>
    <row r="20" spans="1:9" x14ac:dyDescent="0.25">
      <c r="A20" s="10">
        <v>17</v>
      </c>
      <c r="B20" s="11">
        <v>45929</v>
      </c>
      <c r="C20" s="12" t="s">
        <v>547</v>
      </c>
      <c r="D20" s="13" t="s">
        <v>11</v>
      </c>
      <c r="E20" s="13" t="s">
        <v>13</v>
      </c>
      <c r="F20" s="15" t="s">
        <v>14</v>
      </c>
      <c r="G20" s="15" t="s">
        <v>15</v>
      </c>
      <c r="H20" s="16">
        <v>5</v>
      </c>
      <c r="I20" s="17">
        <v>84950</v>
      </c>
    </row>
    <row r="21" spans="1:9" x14ac:dyDescent="0.25">
      <c r="A21" s="10">
        <v>18</v>
      </c>
      <c r="B21" s="11">
        <v>45929</v>
      </c>
      <c r="C21" s="12" t="s">
        <v>548</v>
      </c>
      <c r="D21" s="13" t="s">
        <v>11</v>
      </c>
      <c r="E21" s="13" t="s">
        <v>13</v>
      </c>
      <c r="F21" s="15" t="s">
        <v>14</v>
      </c>
      <c r="G21" s="15" t="s">
        <v>15</v>
      </c>
      <c r="H21" s="16">
        <v>5</v>
      </c>
      <c r="I21" s="17">
        <v>162950</v>
      </c>
    </row>
    <row r="22" spans="1:9" x14ac:dyDescent="0.25">
      <c r="A22" s="10">
        <v>19</v>
      </c>
      <c r="B22" s="11">
        <v>45930</v>
      </c>
      <c r="C22" s="12" t="s">
        <v>549</v>
      </c>
      <c r="D22" s="13" t="s">
        <v>11</v>
      </c>
      <c r="E22" s="13" t="s">
        <v>13</v>
      </c>
      <c r="F22" s="15" t="s">
        <v>14</v>
      </c>
      <c r="G22" s="15" t="s">
        <v>15</v>
      </c>
      <c r="H22" s="16">
        <v>4</v>
      </c>
      <c r="I22" s="17">
        <v>39950</v>
      </c>
    </row>
    <row r="23" spans="1:9" x14ac:dyDescent="0.25">
      <c r="A23" s="10">
        <v>20</v>
      </c>
      <c r="B23" s="11">
        <v>45931</v>
      </c>
      <c r="C23" s="12" t="s">
        <v>550</v>
      </c>
      <c r="D23" s="13" t="s">
        <v>11</v>
      </c>
      <c r="E23" s="13" t="s">
        <v>13</v>
      </c>
      <c r="F23" s="15" t="s">
        <v>14</v>
      </c>
      <c r="G23" s="15" t="s">
        <v>15</v>
      </c>
      <c r="H23" s="16">
        <v>3</v>
      </c>
      <c r="I23" s="17">
        <v>259950</v>
      </c>
    </row>
    <row r="24" spans="1:9" x14ac:dyDescent="0.25">
      <c r="A24" s="10">
        <v>21</v>
      </c>
      <c r="B24" s="11">
        <v>45931</v>
      </c>
      <c r="C24" s="12" t="s">
        <v>551</v>
      </c>
      <c r="D24" s="13" t="s">
        <v>11</v>
      </c>
      <c r="E24" s="13" t="s">
        <v>13</v>
      </c>
      <c r="F24" s="15" t="s">
        <v>14</v>
      </c>
      <c r="G24" s="15" t="s">
        <v>15</v>
      </c>
      <c r="H24" s="16">
        <v>3</v>
      </c>
      <c r="I24" s="17">
        <v>297950</v>
      </c>
    </row>
    <row r="25" spans="1:9" x14ac:dyDescent="0.25">
      <c r="A25" s="10">
        <v>22</v>
      </c>
      <c r="B25" s="11">
        <v>45932</v>
      </c>
      <c r="C25" s="12" t="s">
        <v>552</v>
      </c>
      <c r="D25" s="13" t="s">
        <v>11</v>
      </c>
      <c r="E25" s="13" t="s">
        <v>13</v>
      </c>
      <c r="F25" s="15" t="s">
        <v>14</v>
      </c>
      <c r="G25" s="15" t="s">
        <v>15</v>
      </c>
      <c r="H25" s="16">
        <v>2</v>
      </c>
      <c r="I25" s="17">
        <v>31450</v>
      </c>
    </row>
    <row r="26" spans="1:9" x14ac:dyDescent="0.25">
      <c r="A26" s="10">
        <v>23</v>
      </c>
      <c r="B26" s="11">
        <v>45932</v>
      </c>
      <c r="C26" s="12" t="s">
        <v>553</v>
      </c>
      <c r="D26" s="13" t="s">
        <v>11</v>
      </c>
      <c r="E26" s="13" t="s">
        <v>13</v>
      </c>
      <c r="F26" s="15" t="s">
        <v>14</v>
      </c>
      <c r="G26" s="15" t="s">
        <v>15</v>
      </c>
      <c r="H26" s="16">
        <v>2</v>
      </c>
      <c r="I26" s="17">
        <v>42370</v>
      </c>
    </row>
    <row r="27" spans="1:9" x14ac:dyDescent="0.25">
      <c r="A27" s="10">
        <v>24</v>
      </c>
      <c r="B27" s="11">
        <v>45932</v>
      </c>
      <c r="C27" s="12" t="s">
        <v>554</v>
      </c>
      <c r="D27" s="13" t="s">
        <v>11</v>
      </c>
      <c r="E27" s="13" t="s">
        <v>13</v>
      </c>
      <c r="F27" s="15" t="s">
        <v>14</v>
      </c>
      <c r="G27" s="15" t="s">
        <v>15</v>
      </c>
      <c r="H27" s="16">
        <v>2</v>
      </c>
      <c r="I27" s="17">
        <v>84800</v>
      </c>
    </row>
    <row r="28" spans="1:9" x14ac:dyDescent="0.25">
      <c r="A28" s="10">
        <v>25</v>
      </c>
      <c r="B28" s="11">
        <v>45934</v>
      </c>
      <c r="C28" s="12" t="s">
        <v>555</v>
      </c>
      <c r="D28" s="13" t="s">
        <v>11</v>
      </c>
      <c r="E28" s="13" t="s">
        <v>13</v>
      </c>
      <c r="F28" s="15" t="s">
        <v>14</v>
      </c>
      <c r="G28" s="15" t="s">
        <v>15</v>
      </c>
      <c r="H28" s="16">
        <v>0</v>
      </c>
      <c r="I28" s="17">
        <v>224752</v>
      </c>
    </row>
    <row r="29" spans="1:9" x14ac:dyDescent="0.25">
      <c r="A29" s="10">
        <v>26</v>
      </c>
      <c r="B29" s="11">
        <v>45934</v>
      </c>
      <c r="C29" s="12" t="s">
        <v>556</v>
      </c>
      <c r="D29" s="13" t="s">
        <v>11</v>
      </c>
      <c r="E29" s="13" t="s">
        <v>13</v>
      </c>
      <c r="F29" s="15" t="s">
        <v>14</v>
      </c>
      <c r="G29" s="15" t="s">
        <v>15</v>
      </c>
      <c r="H29" s="16">
        <v>0</v>
      </c>
      <c r="I29" s="17">
        <v>22452</v>
      </c>
    </row>
    <row r="30" spans="1:9" x14ac:dyDescent="0.25">
      <c r="A30" s="10">
        <v>27</v>
      </c>
      <c r="B30" s="11">
        <v>45934</v>
      </c>
      <c r="C30" s="12" t="s">
        <v>557</v>
      </c>
      <c r="D30" s="13" t="s">
        <v>11</v>
      </c>
      <c r="E30" s="13" t="s">
        <v>13</v>
      </c>
      <c r="F30" s="15" t="s">
        <v>14</v>
      </c>
      <c r="G30" s="15" t="s">
        <v>15</v>
      </c>
      <c r="H30" s="16">
        <v>0</v>
      </c>
      <c r="I30" s="17">
        <v>33837</v>
      </c>
    </row>
    <row r="31" spans="1:9" x14ac:dyDescent="0.25">
      <c r="A31" s="66"/>
      <c r="B31" s="67"/>
      <c r="C31" s="66"/>
      <c r="D31" s="68"/>
      <c r="E31" s="68"/>
      <c r="F31" s="58" t="s">
        <v>349</v>
      </c>
      <c r="G31" s="58"/>
      <c r="H31" s="69"/>
      <c r="I31" s="19">
        <f>SUM(I4:I30)</f>
        <v>5658961</v>
      </c>
    </row>
    <row r="32" spans="1:9" x14ac:dyDescent="0.25">
      <c r="A32" s="10"/>
      <c r="B32" s="11"/>
      <c r="C32" s="12"/>
      <c r="D32" s="13"/>
      <c r="E32" s="13"/>
      <c r="F32" s="15"/>
      <c r="G32" s="15"/>
      <c r="H32" s="16"/>
      <c r="I32" s="17"/>
    </row>
    <row r="33" spans="1:9" x14ac:dyDescent="0.25">
      <c r="A33" s="10">
        <v>1</v>
      </c>
      <c r="B33" s="11">
        <v>45915</v>
      </c>
      <c r="C33" s="12" t="s">
        <v>521</v>
      </c>
      <c r="D33" s="13" t="s">
        <v>11</v>
      </c>
      <c r="E33" s="13" t="s">
        <v>351</v>
      </c>
      <c r="F33" s="15" t="s">
        <v>352</v>
      </c>
      <c r="G33" s="15" t="s">
        <v>15</v>
      </c>
      <c r="H33" s="16">
        <v>19</v>
      </c>
      <c r="I33" s="45">
        <v>118220</v>
      </c>
    </row>
    <row r="34" spans="1:9" x14ac:dyDescent="0.25">
      <c r="A34" s="10">
        <v>2</v>
      </c>
      <c r="B34" s="11">
        <v>45915</v>
      </c>
      <c r="C34" s="12" t="s">
        <v>522</v>
      </c>
      <c r="D34" s="13" t="s">
        <v>11</v>
      </c>
      <c r="E34" s="13" t="s">
        <v>351</v>
      </c>
      <c r="F34" s="15" t="s">
        <v>352</v>
      </c>
      <c r="G34" s="15" t="s">
        <v>15</v>
      </c>
      <c r="H34" s="16">
        <v>19</v>
      </c>
      <c r="I34" s="45">
        <v>186950</v>
      </c>
    </row>
    <row r="35" spans="1:9" x14ac:dyDescent="0.25">
      <c r="A35" s="10">
        <v>3</v>
      </c>
      <c r="B35" s="11">
        <v>45920</v>
      </c>
      <c r="C35" s="12" t="s">
        <v>528</v>
      </c>
      <c r="D35" s="13" t="s">
        <v>11</v>
      </c>
      <c r="E35" s="13" t="s">
        <v>351</v>
      </c>
      <c r="F35" s="15" t="s">
        <v>352</v>
      </c>
      <c r="G35" s="15" t="s">
        <v>15</v>
      </c>
      <c r="H35" s="16">
        <v>14</v>
      </c>
      <c r="I35" s="45">
        <v>98950</v>
      </c>
    </row>
    <row r="36" spans="1:9" x14ac:dyDescent="0.25">
      <c r="A36" s="10">
        <v>4</v>
      </c>
      <c r="B36" s="11">
        <v>45924</v>
      </c>
      <c r="C36" s="12" t="s">
        <v>533</v>
      </c>
      <c r="D36" s="13" t="s">
        <v>11</v>
      </c>
      <c r="E36" s="13" t="s">
        <v>351</v>
      </c>
      <c r="F36" s="15" t="s">
        <v>352</v>
      </c>
      <c r="G36" s="15" t="s">
        <v>15</v>
      </c>
      <c r="H36" s="16">
        <v>10</v>
      </c>
      <c r="I36" s="45">
        <v>21950</v>
      </c>
    </row>
    <row r="37" spans="1:9" x14ac:dyDescent="0.25">
      <c r="A37" s="10">
        <v>5</v>
      </c>
      <c r="B37" s="11">
        <v>45926</v>
      </c>
      <c r="C37" s="12" t="s">
        <v>536</v>
      </c>
      <c r="D37" s="13" t="s">
        <v>11</v>
      </c>
      <c r="E37" s="13" t="s">
        <v>351</v>
      </c>
      <c r="F37" s="15" t="s">
        <v>352</v>
      </c>
      <c r="G37" s="15" t="s">
        <v>15</v>
      </c>
      <c r="H37" s="16">
        <v>8</v>
      </c>
      <c r="I37" s="45">
        <v>471600</v>
      </c>
    </row>
    <row r="38" spans="1:9" x14ac:dyDescent="0.25">
      <c r="A38" s="10">
        <v>6</v>
      </c>
      <c r="B38" s="11">
        <v>45929</v>
      </c>
      <c r="C38" s="12" t="s">
        <v>558</v>
      </c>
      <c r="D38" s="13" t="s">
        <v>11</v>
      </c>
      <c r="E38" s="13" t="s">
        <v>351</v>
      </c>
      <c r="F38" s="15" t="s">
        <v>352</v>
      </c>
      <c r="G38" s="15" t="s">
        <v>15</v>
      </c>
      <c r="H38" s="16">
        <v>5</v>
      </c>
      <c r="I38" s="17">
        <v>557850</v>
      </c>
    </row>
    <row r="39" spans="1:9" x14ac:dyDescent="0.25">
      <c r="A39" s="10">
        <v>7</v>
      </c>
      <c r="B39" s="11">
        <v>45929</v>
      </c>
      <c r="C39" s="12" t="s">
        <v>559</v>
      </c>
      <c r="D39" s="13" t="s">
        <v>11</v>
      </c>
      <c r="E39" s="13" t="s">
        <v>351</v>
      </c>
      <c r="F39" s="15" t="s">
        <v>352</v>
      </c>
      <c r="G39" s="15" t="s">
        <v>15</v>
      </c>
      <c r="H39" s="16">
        <v>5</v>
      </c>
      <c r="I39" s="17">
        <v>21950</v>
      </c>
    </row>
    <row r="40" spans="1:9" x14ac:dyDescent="0.25">
      <c r="A40" s="10">
        <v>8</v>
      </c>
      <c r="B40" s="11">
        <v>45931</v>
      </c>
      <c r="C40" s="12" t="s">
        <v>560</v>
      </c>
      <c r="D40" s="13" t="s">
        <v>11</v>
      </c>
      <c r="E40" s="13" t="s">
        <v>351</v>
      </c>
      <c r="F40" s="15" t="s">
        <v>352</v>
      </c>
      <c r="G40" s="15" t="s">
        <v>15</v>
      </c>
      <c r="H40" s="16">
        <v>3</v>
      </c>
      <c r="I40" s="17">
        <v>86950</v>
      </c>
    </row>
    <row r="41" spans="1:9" x14ac:dyDescent="0.25">
      <c r="A41" s="10">
        <v>9</v>
      </c>
      <c r="B41" s="11">
        <v>45931</v>
      </c>
      <c r="C41" s="12" t="s">
        <v>561</v>
      </c>
      <c r="D41" s="13" t="s">
        <v>11</v>
      </c>
      <c r="E41" s="13" t="s">
        <v>351</v>
      </c>
      <c r="F41" s="15" t="s">
        <v>352</v>
      </c>
      <c r="G41" s="15" t="s">
        <v>15</v>
      </c>
      <c r="H41" s="16">
        <v>3</v>
      </c>
      <c r="I41" s="17">
        <v>54950</v>
      </c>
    </row>
    <row r="42" spans="1:9" x14ac:dyDescent="0.25">
      <c r="A42" s="66"/>
      <c r="B42" s="67"/>
      <c r="C42" s="66"/>
      <c r="D42" s="68"/>
      <c r="E42" s="68"/>
      <c r="F42" s="58" t="s">
        <v>349</v>
      </c>
      <c r="G42" s="58"/>
      <c r="H42" s="69"/>
      <c r="I42" s="19">
        <f>SUM(I33:I41)</f>
        <v>1619370</v>
      </c>
    </row>
  </sheetData>
  <conditionalFormatting sqref="H3:H41">
    <cfRule type="cellIs" dxfId="97" priority="5" operator="greaterThan">
      <formula>0</formula>
    </cfRule>
  </conditionalFormatting>
  <conditionalFormatting sqref="B4:I41">
    <cfRule type="expression" dxfId="96" priority="6">
      <formula>AND(#REF!&gt;0,$H4&gt;89)</formula>
    </cfRule>
    <cfRule type="expression" dxfId="95" priority="7">
      <formula>AND(#REF!&gt;0,$H4&gt;59)</formula>
    </cfRule>
    <cfRule type="expression" dxfId="94" priority="8">
      <formula>AND(#REF!&gt;0,$H4&gt;44)</formula>
    </cfRule>
  </conditionalFormatting>
  <conditionalFormatting sqref="H42">
    <cfRule type="cellIs" dxfId="93" priority="1" operator="greaterThan">
      <formula>0</formula>
    </cfRule>
  </conditionalFormatting>
  <conditionalFormatting sqref="B42:I42">
    <cfRule type="expression" dxfId="92" priority="2">
      <formula>AND(#REF!&gt;0,$H42&gt;89)</formula>
    </cfRule>
    <cfRule type="expression" dxfId="91" priority="3">
      <formula>AND(#REF!&gt;0,$H42&gt;59)</formula>
    </cfRule>
    <cfRule type="expression" dxfId="90" priority="4">
      <formula>AND(#REF!&gt;0,$H42&gt;44)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3" workbookViewId="0">
      <selection activeCell="A3" sqref="A3:I45"/>
    </sheetView>
  </sheetViews>
  <sheetFormatPr defaultColWidth="9.140625" defaultRowHeight="15" x14ac:dyDescent="0.25"/>
  <cols>
    <col min="1" max="1" width="5" customWidth="1"/>
    <col min="4" max="4" width="6.7109375" customWidth="1"/>
    <col min="5" max="5" width="9.140625" customWidth="1"/>
    <col min="6" max="6" width="22.7109375" customWidth="1"/>
    <col min="7" max="8" width="9.140625" customWidth="1"/>
    <col min="9" max="9" width="14.85546875" customWidth="1"/>
  </cols>
  <sheetData>
    <row r="1" spans="1:10" ht="15.75" thickBot="1" x14ac:dyDescent="0.3">
      <c r="A1" s="1"/>
      <c r="B1" s="1"/>
      <c r="C1" s="1"/>
      <c r="D1" s="1"/>
      <c r="E1" s="1"/>
      <c r="F1" s="35" t="s">
        <v>563</v>
      </c>
      <c r="G1" s="71">
        <f ca="1">NOW()</f>
        <v>45962.541754166668</v>
      </c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580</v>
      </c>
    </row>
    <row r="4" spans="1:10" ht="24.75" customHeight="1" x14ac:dyDescent="0.25">
      <c r="A4" s="65" t="s">
        <v>0</v>
      </c>
      <c r="B4" s="7" t="s">
        <v>538</v>
      </c>
      <c r="C4" s="7" t="s">
        <v>2</v>
      </c>
      <c r="D4" s="7" t="s">
        <v>3</v>
      </c>
      <c r="E4" s="7" t="s">
        <v>5</v>
      </c>
      <c r="F4" s="7" t="s">
        <v>6</v>
      </c>
      <c r="G4" s="55" t="s">
        <v>539</v>
      </c>
      <c r="H4" s="24" t="s">
        <v>540</v>
      </c>
      <c r="I4" s="9" t="s">
        <v>377</v>
      </c>
    </row>
    <row r="5" spans="1:10" s="18" customFormat="1" x14ac:dyDescent="0.25">
      <c r="A5" s="10">
        <v>1</v>
      </c>
      <c r="B5" s="11">
        <v>45899</v>
      </c>
      <c r="C5" s="12" t="s">
        <v>395</v>
      </c>
      <c r="D5" s="13" t="s">
        <v>11</v>
      </c>
      <c r="E5" s="13" t="s">
        <v>13</v>
      </c>
      <c r="F5" s="15" t="s">
        <v>14</v>
      </c>
      <c r="G5" s="15" t="str">
        <f>VLOOKUP($C5,[1]TAGPD!$E$8:$U$6898,14,0)</f>
        <v>Jember</v>
      </c>
      <c r="H5" s="16">
        <v>42</v>
      </c>
      <c r="I5" s="45">
        <v>177750</v>
      </c>
    </row>
    <row r="6" spans="1:10" s="18" customFormat="1" x14ac:dyDescent="0.25">
      <c r="A6" s="10">
        <v>2</v>
      </c>
      <c r="B6" s="11">
        <v>45913</v>
      </c>
      <c r="C6" s="12" t="s">
        <v>507</v>
      </c>
      <c r="D6" s="13" t="s">
        <v>11</v>
      </c>
      <c r="E6" s="13" t="s">
        <v>13</v>
      </c>
      <c r="F6" s="15" t="s">
        <v>14</v>
      </c>
      <c r="G6" s="15" t="str">
        <f>VLOOKUP($C6,[1]TAGPD!$E$8:$U$6898,14,0)</f>
        <v>Jember</v>
      </c>
      <c r="H6" s="16">
        <v>28</v>
      </c>
      <c r="I6" s="45">
        <v>243900</v>
      </c>
    </row>
    <row r="7" spans="1:10" s="18" customFormat="1" x14ac:dyDescent="0.25">
      <c r="A7" s="10">
        <v>3</v>
      </c>
      <c r="B7" s="11">
        <v>45920</v>
      </c>
      <c r="C7" s="12" t="s">
        <v>526</v>
      </c>
      <c r="D7" s="13" t="s">
        <v>11</v>
      </c>
      <c r="E7" s="13" t="s">
        <v>13</v>
      </c>
      <c r="F7" s="15" t="s">
        <v>14</v>
      </c>
      <c r="G7" s="15" t="str">
        <f>VLOOKUP($C7,[1]TAGPD!$E$8:$U$6898,14,0)</f>
        <v>Jember</v>
      </c>
      <c r="H7" s="16">
        <v>21</v>
      </c>
      <c r="I7" s="45">
        <v>89950</v>
      </c>
    </row>
    <row r="8" spans="1:10" s="18" customFormat="1" x14ac:dyDescent="0.25">
      <c r="A8" s="10">
        <v>4</v>
      </c>
      <c r="B8" s="11">
        <v>45927</v>
      </c>
      <c r="C8" s="12" t="s">
        <v>543</v>
      </c>
      <c r="D8" s="13" t="s">
        <v>11</v>
      </c>
      <c r="E8" s="13" t="s">
        <v>13</v>
      </c>
      <c r="F8" s="15" t="s">
        <v>14</v>
      </c>
      <c r="G8" s="15" t="str">
        <f>VLOOKUP($C8,[1]TAGPD!$E$8:$U$6898,14,0)</f>
        <v>Jember</v>
      </c>
      <c r="H8" s="16">
        <v>14</v>
      </c>
      <c r="I8" s="45">
        <v>1580000</v>
      </c>
    </row>
    <row r="9" spans="1:10" s="18" customFormat="1" x14ac:dyDescent="0.25">
      <c r="A9" s="10">
        <v>5</v>
      </c>
      <c r="B9" s="11">
        <v>45929</v>
      </c>
      <c r="C9" s="12" t="s">
        <v>547</v>
      </c>
      <c r="D9" s="13" t="s">
        <v>11</v>
      </c>
      <c r="E9" s="13" t="s">
        <v>13</v>
      </c>
      <c r="F9" s="15" t="s">
        <v>14</v>
      </c>
      <c r="G9" s="15" t="str">
        <f>VLOOKUP($C9,[1]TAGPD!$E$8:$U$6898,14,0)</f>
        <v>Jember</v>
      </c>
      <c r="H9" s="16">
        <v>12</v>
      </c>
      <c r="I9" s="45">
        <v>84950</v>
      </c>
    </row>
    <row r="10" spans="1:10" s="18" customFormat="1" x14ac:dyDescent="0.25">
      <c r="A10" s="10">
        <v>6</v>
      </c>
      <c r="B10" s="11">
        <v>45931</v>
      </c>
      <c r="C10" s="12" t="s">
        <v>550</v>
      </c>
      <c r="D10" s="13" t="s">
        <v>11</v>
      </c>
      <c r="E10" s="13" t="s">
        <v>13</v>
      </c>
      <c r="F10" s="15" t="s">
        <v>14</v>
      </c>
      <c r="G10" s="15" t="str">
        <f>VLOOKUP($C10,[1]TAGPD!$E$8:$U$6898,14,0)</f>
        <v>Jember</v>
      </c>
      <c r="H10" s="16">
        <v>10</v>
      </c>
      <c r="I10" s="45">
        <v>259950</v>
      </c>
    </row>
    <row r="11" spans="1:10" s="18" customFormat="1" x14ac:dyDescent="0.25">
      <c r="A11" s="10">
        <v>7</v>
      </c>
      <c r="B11" s="11">
        <v>45932</v>
      </c>
      <c r="C11" s="12" t="s">
        <v>553</v>
      </c>
      <c r="D11" s="13" t="s">
        <v>11</v>
      </c>
      <c r="E11" s="13" t="s">
        <v>13</v>
      </c>
      <c r="F11" s="15" t="s">
        <v>14</v>
      </c>
      <c r="G11" s="15" t="str">
        <f>VLOOKUP($C11,[1]TAGPD!$E$8:$U$6898,14,0)</f>
        <v>Jember</v>
      </c>
      <c r="H11" s="16">
        <v>9</v>
      </c>
      <c r="I11" s="45">
        <v>42370</v>
      </c>
    </row>
    <row r="12" spans="1:10" s="18" customFormat="1" x14ac:dyDescent="0.25">
      <c r="A12" s="10">
        <v>8</v>
      </c>
      <c r="B12" s="11">
        <v>45934</v>
      </c>
      <c r="C12" s="12" t="s">
        <v>556</v>
      </c>
      <c r="D12" s="13" t="s">
        <v>11</v>
      </c>
      <c r="E12" s="13" t="s">
        <v>13</v>
      </c>
      <c r="F12" s="15" t="s">
        <v>14</v>
      </c>
      <c r="G12" s="15" t="str">
        <f>VLOOKUP($C12,[1]TAGPD!$E$8:$U$6898,14,0)</f>
        <v>Jember</v>
      </c>
      <c r="H12" s="16">
        <v>7</v>
      </c>
      <c r="I12" s="45">
        <v>22452</v>
      </c>
    </row>
    <row r="13" spans="1:10" s="18" customFormat="1" x14ac:dyDescent="0.25">
      <c r="A13" s="10">
        <v>9</v>
      </c>
      <c r="B13" s="11">
        <v>45934</v>
      </c>
      <c r="C13" s="12" t="s">
        <v>557</v>
      </c>
      <c r="D13" s="13" t="s">
        <v>11</v>
      </c>
      <c r="E13" s="13" t="s">
        <v>13</v>
      </c>
      <c r="F13" s="15" t="s">
        <v>14</v>
      </c>
      <c r="G13" s="15" t="str">
        <f>VLOOKUP($C13,[1]TAGPD!$E$8:$U$6898,14,0)</f>
        <v>Jember</v>
      </c>
      <c r="H13" s="16">
        <v>7</v>
      </c>
      <c r="I13" s="45">
        <v>33837</v>
      </c>
    </row>
    <row r="14" spans="1:10" s="18" customFormat="1" x14ac:dyDescent="0.25">
      <c r="A14" s="10">
        <v>10</v>
      </c>
      <c r="B14" s="11">
        <v>45934</v>
      </c>
      <c r="C14" s="12" t="s">
        <v>555</v>
      </c>
      <c r="D14" s="13" t="s">
        <v>11</v>
      </c>
      <c r="E14" s="13" t="s">
        <v>13</v>
      </c>
      <c r="F14" s="15" t="s">
        <v>14</v>
      </c>
      <c r="G14" s="15" t="str">
        <f>VLOOKUP($C14,[1]TAGPD!$E$8:$U$6898,14,0)</f>
        <v>Jember</v>
      </c>
      <c r="H14" s="16">
        <v>7</v>
      </c>
      <c r="I14" s="45">
        <v>224752</v>
      </c>
    </row>
    <row r="15" spans="1:10" s="18" customFormat="1" x14ac:dyDescent="0.25">
      <c r="A15" s="10">
        <v>11</v>
      </c>
      <c r="B15" s="11">
        <v>45936</v>
      </c>
      <c r="C15" s="12" t="s">
        <v>564</v>
      </c>
      <c r="D15" s="13" t="s">
        <v>11</v>
      </c>
      <c r="E15" s="13" t="s">
        <v>13</v>
      </c>
      <c r="F15" s="15" t="s">
        <v>14</v>
      </c>
      <c r="G15" s="15" t="str">
        <f>VLOOKUP($C15,[1]TAGPD!$E$8:$U$6898,14,0)</f>
        <v>Jember</v>
      </c>
      <c r="H15" s="16">
        <v>5</v>
      </c>
      <c r="I15" s="17">
        <v>17955</v>
      </c>
    </row>
    <row r="16" spans="1:10" s="18" customFormat="1" x14ac:dyDescent="0.25">
      <c r="A16" s="10">
        <v>12</v>
      </c>
      <c r="B16" s="11">
        <v>45936</v>
      </c>
      <c r="C16" s="12" t="s">
        <v>565</v>
      </c>
      <c r="D16" s="13" t="s">
        <v>11</v>
      </c>
      <c r="E16" s="13" t="s">
        <v>13</v>
      </c>
      <c r="F16" s="15" t="s">
        <v>14</v>
      </c>
      <c r="G16" s="15" t="str">
        <f>VLOOKUP($C16,[1]TAGPD!$E$8:$U$6898,14,0)</f>
        <v>Jember</v>
      </c>
      <c r="H16" s="16">
        <v>5</v>
      </c>
      <c r="I16" s="17">
        <v>33837</v>
      </c>
    </row>
    <row r="17" spans="1:9" s="18" customFormat="1" x14ac:dyDescent="0.25">
      <c r="A17" s="10">
        <v>13</v>
      </c>
      <c r="B17" s="11">
        <v>45936</v>
      </c>
      <c r="C17" s="12" t="s">
        <v>566</v>
      </c>
      <c r="D17" s="13" t="s">
        <v>11</v>
      </c>
      <c r="E17" s="13" t="s">
        <v>13</v>
      </c>
      <c r="F17" s="15" t="s">
        <v>14</v>
      </c>
      <c r="G17" s="15" t="str">
        <f>VLOOKUP($C17,[1]TAGPD!$E$8:$U$6898,14,0)</f>
        <v>Jember</v>
      </c>
      <c r="H17" s="16">
        <v>5</v>
      </c>
      <c r="I17" s="17">
        <v>49437</v>
      </c>
    </row>
    <row r="18" spans="1:9" s="18" customFormat="1" x14ac:dyDescent="0.25">
      <c r="A18" s="10">
        <v>14</v>
      </c>
      <c r="B18" s="11">
        <v>45936</v>
      </c>
      <c r="C18" s="12" t="s">
        <v>567</v>
      </c>
      <c r="D18" s="13" t="s">
        <v>11</v>
      </c>
      <c r="E18" s="13" t="s">
        <v>13</v>
      </c>
      <c r="F18" s="15" t="s">
        <v>14</v>
      </c>
      <c r="G18" s="15" t="str">
        <f>VLOOKUP($C18,[1]TAGPD!$E$8:$U$6898,14,0)</f>
        <v>Jember</v>
      </c>
      <c r="H18" s="16">
        <v>5</v>
      </c>
      <c r="I18" s="17">
        <v>57147</v>
      </c>
    </row>
    <row r="19" spans="1:9" s="18" customFormat="1" x14ac:dyDescent="0.25">
      <c r="A19" s="10">
        <v>15</v>
      </c>
      <c r="B19" s="11">
        <v>45936</v>
      </c>
      <c r="C19" s="12" t="s">
        <v>568</v>
      </c>
      <c r="D19" s="13" t="s">
        <v>11</v>
      </c>
      <c r="E19" s="13" t="s">
        <v>13</v>
      </c>
      <c r="F19" s="15" t="s">
        <v>14</v>
      </c>
      <c r="G19" s="15" t="str">
        <f>VLOOKUP($C19,[1]TAGPD!$E$8:$U$6898,14,0)</f>
        <v>Jember</v>
      </c>
      <c r="H19" s="16">
        <v>5</v>
      </c>
      <c r="I19" s="17">
        <v>118185</v>
      </c>
    </row>
    <row r="20" spans="1:9" s="18" customFormat="1" x14ac:dyDescent="0.25">
      <c r="A20" s="10">
        <v>16</v>
      </c>
      <c r="B20" s="11">
        <v>45936</v>
      </c>
      <c r="C20" s="12" t="s">
        <v>569</v>
      </c>
      <c r="D20" s="13" t="s">
        <v>11</v>
      </c>
      <c r="E20" s="13" t="s">
        <v>13</v>
      </c>
      <c r="F20" s="15" t="s">
        <v>14</v>
      </c>
      <c r="G20" s="15" t="str">
        <f>VLOOKUP($C20,[1]TAGPD!$E$8:$U$6898,14,0)</f>
        <v>Jember</v>
      </c>
      <c r="H20" s="16">
        <v>5</v>
      </c>
      <c r="I20" s="17">
        <v>408525</v>
      </c>
    </row>
    <row r="21" spans="1:9" s="18" customFormat="1" x14ac:dyDescent="0.25">
      <c r="A21" s="10">
        <v>17</v>
      </c>
      <c r="B21" s="11">
        <v>45937</v>
      </c>
      <c r="C21" s="12" t="s">
        <v>570</v>
      </c>
      <c r="D21" s="13" t="s">
        <v>11</v>
      </c>
      <c r="E21" s="13" t="s">
        <v>13</v>
      </c>
      <c r="F21" s="15" t="s">
        <v>14</v>
      </c>
      <c r="G21" s="15" t="str">
        <f>VLOOKUP($C21,[1]TAGPD!$E$8:$U$6898,14,0)</f>
        <v>Jember</v>
      </c>
      <c r="H21" s="16">
        <v>4</v>
      </c>
      <c r="I21" s="17">
        <v>59075</v>
      </c>
    </row>
    <row r="22" spans="1:9" s="18" customFormat="1" x14ac:dyDescent="0.25">
      <c r="A22" s="10">
        <v>18</v>
      </c>
      <c r="B22" s="11">
        <v>45937</v>
      </c>
      <c r="C22" s="12" t="s">
        <v>571</v>
      </c>
      <c r="D22" s="13" t="s">
        <v>11</v>
      </c>
      <c r="E22" s="13" t="s">
        <v>13</v>
      </c>
      <c r="F22" s="15" t="s">
        <v>14</v>
      </c>
      <c r="G22" s="15" t="str">
        <f>VLOOKUP($C22,[1]TAGPD!$E$8:$U$6898,14,0)</f>
        <v>Jember</v>
      </c>
      <c r="H22" s="16">
        <v>4</v>
      </c>
      <c r="I22" s="17">
        <v>272350</v>
      </c>
    </row>
    <row r="23" spans="1:9" s="18" customFormat="1" x14ac:dyDescent="0.25">
      <c r="A23" s="10">
        <v>19</v>
      </c>
      <c r="B23" s="11">
        <v>45937</v>
      </c>
      <c r="C23" s="12" t="s">
        <v>572</v>
      </c>
      <c r="D23" s="13" t="s">
        <v>11</v>
      </c>
      <c r="E23" s="13" t="s">
        <v>13</v>
      </c>
      <c r="F23" s="15" t="s">
        <v>14</v>
      </c>
      <c r="G23" s="15" t="str">
        <f>VLOOKUP($C23,[1]TAGPD!$E$8:$U$6898,14,0)</f>
        <v>Jember</v>
      </c>
      <c r="H23" s="16">
        <v>4</v>
      </c>
      <c r="I23" s="17">
        <v>1957500</v>
      </c>
    </row>
    <row r="24" spans="1:9" s="18" customFormat="1" x14ac:dyDescent="0.25">
      <c r="A24" s="10">
        <v>20</v>
      </c>
      <c r="B24" s="11">
        <v>45938</v>
      </c>
      <c r="C24" s="12" t="s">
        <v>573</v>
      </c>
      <c r="D24" s="13" t="s">
        <v>11</v>
      </c>
      <c r="E24" s="13" t="s">
        <v>13</v>
      </c>
      <c r="F24" s="15" t="s">
        <v>14</v>
      </c>
      <c r="G24" s="15" t="str">
        <f>VLOOKUP($C24,[1]TAGPD!$E$8:$U$6898,14,0)</f>
        <v>Jember</v>
      </c>
      <c r="H24" s="16">
        <v>3</v>
      </c>
      <c r="I24" s="17">
        <v>53900</v>
      </c>
    </row>
    <row r="25" spans="1:9" s="18" customFormat="1" x14ac:dyDescent="0.25">
      <c r="A25" s="10">
        <v>21</v>
      </c>
      <c r="B25" s="11">
        <v>45939</v>
      </c>
      <c r="C25" s="12" t="s">
        <v>574</v>
      </c>
      <c r="D25" s="13" t="s">
        <v>11</v>
      </c>
      <c r="E25" s="13" t="s">
        <v>13</v>
      </c>
      <c r="F25" s="15" t="s">
        <v>14</v>
      </c>
      <c r="G25" s="15" t="str">
        <f>VLOOKUP($C25,[1]TAGPD!$E$8:$U$6898,14,0)</f>
        <v>Jember</v>
      </c>
      <c r="H25" s="16">
        <v>2</v>
      </c>
      <c r="I25" s="17">
        <v>38515</v>
      </c>
    </row>
    <row r="26" spans="1:9" s="18" customFormat="1" x14ac:dyDescent="0.25">
      <c r="A26" s="10">
        <v>22</v>
      </c>
      <c r="B26" s="11">
        <v>45939</v>
      </c>
      <c r="C26" s="12" t="s">
        <v>575</v>
      </c>
      <c r="D26" s="13" t="s">
        <v>11</v>
      </c>
      <c r="E26" s="13" t="s">
        <v>13</v>
      </c>
      <c r="F26" s="15" t="s">
        <v>14</v>
      </c>
      <c r="G26" s="15" t="str">
        <f>VLOOKUP($C26,[1]TAGPD!$E$8:$U$6898,14,0)</f>
        <v>Jember</v>
      </c>
      <c r="H26" s="16">
        <v>2</v>
      </c>
      <c r="I26" s="17">
        <v>49437</v>
      </c>
    </row>
    <row r="27" spans="1:9" s="18" customFormat="1" x14ac:dyDescent="0.25">
      <c r="A27" s="10">
        <v>23</v>
      </c>
      <c r="B27" s="11">
        <v>45940</v>
      </c>
      <c r="C27" s="12" t="s">
        <v>576</v>
      </c>
      <c r="D27" s="13" t="s">
        <v>11</v>
      </c>
      <c r="E27" s="13" t="s">
        <v>13</v>
      </c>
      <c r="F27" s="15" t="s">
        <v>14</v>
      </c>
      <c r="G27" s="15" t="str">
        <f>VLOOKUP($C27,[1]TAGPD!$E$8:$U$6898,14,0)</f>
        <v>Jember</v>
      </c>
      <c r="H27" s="16">
        <v>1</v>
      </c>
      <c r="I27" s="17">
        <v>33837</v>
      </c>
    </row>
    <row r="28" spans="1:9" s="18" customFormat="1" x14ac:dyDescent="0.25">
      <c r="A28" s="10">
        <v>24</v>
      </c>
      <c r="B28" s="11">
        <v>45940</v>
      </c>
      <c r="C28" s="12" t="s">
        <v>577</v>
      </c>
      <c r="D28" s="13" t="s">
        <v>11</v>
      </c>
      <c r="E28" s="13" t="s">
        <v>13</v>
      </c>
      <c r="F28" s="15" t="s">
        <v>14</v>
      </c>
      <c r="G28" s="15" t="str">
        <f>VLOOKUP($C28,[1]TAGPD!$E$8:$U$6898,14,0)</f>
        <v>Jember</v>
      </c>
      <c r="H28" s="16">
        <v>1</v>
      </c>
      <c r="I28" s="17">
        <v>84775</v>
      </c>
    </row>
    <row r="29" spans="1:9" s="18" customFormat="1" x14ac:dyDescent="0.25">
      <c r="A29" s="10">
        <v>25</v>
      </c>
      <c r="B29" s="11">
        <v>45940</v>
      </c>
      <c r="C29" s="12" t="s">
        <v>578</v>
      </c>
      <c r="D29" s="13" t="s">
        <v>11</v>
      </c>
      <c r="E29" s="13" t="s">
        <v>13</v>
      </c>
      <c r="F29" s="15" t="s">
        <v>14</v>
      </c>
      <c r="G29" s="15" t="str">
        <f>VLOOKUP($C29,[1]TAGPD!$E$8:$U$6898,14,0)</f>
        <v>Jember</v>
      </c>
      <c r="H29" s="16">
        <v>1</v>
      </c>
      <c r="I29" s="17">
        <v>195250</v>
      </c>
    </row>
    <row r="30" spans="1:9" s="18" customFormat="1" x14ac:dyDescent="0.25">
      <c r="A30" s="10">
        <v>26</v>
      </c>
      <c r="B30" s="11">
        <v>45940</v>
      </c>
      <c r="C30" s="12" t="s">
        <v>579</v>
      </c>
      <c r="D30" s="13" t="s">
        <v>11</v>
      </c>
      <c r="E30" s="13" t="s">
        <v>13</v>
      </c>
      <c r="F30" s="15" t="s">
        <v>14</v>
      </c>
      <c r="G30" s="15" t="str">
        <f>VLOOKUP($C30,[1]TAGPD!$E$8:$U$6898,14,0)</f>
        <v>Jember</v>
      </c>
      <c r="H30" s="16">
        <v>1</v>
      </c>
      <c r="I30" s="17">
        <v>232550</v>
      </c>
    </row>
    <row r="31" spans="1:9" s="18" customFormat="1" x14ac:dyDescent="0.25">
      <c r="A31" s="66"/>
      <c r="B31" s="67"/>
      <c r="C31" s="66"/>
      <c r="D31" s="68"/>
      <c r="E31" s="68"/>
      <c r="F31" s="58" t="s">
        <v>349</v>
      </c>
      <c r="G31" s="69"/>
      <c r="H31" s="69"/>
      <c r="I31" s="19">
        <f>SUM(I5:I30)</f>
        <v>6422186</v>
      </c>
    </row>
    <row r="32" spans="1:9" s="18" customFormat="1" ht="11.25" customHeight="1" x14ac:dyDescent="0.25">
      <c r="A32" s="10"/>
      <c r="B32" s="11"/>
      <c r="C32" s="12"/>
      <c r="D32" s="13"/>
      <c r="E32" s="13"/>
      <c r="F32" s="70"/>
      <c r="G32" s="16"/>
      <c r="H32" s="16"/>
      <c r="I32" s="17"/>
    </row>
    <row r="33" spans="1:9" s="18" customFormat="1" x14ac:dyDescent="0.25">
      <c r="A33" s="10">
        <v>1</v>
      </c>
      <c r="B33" s="11">
        <v>45920</v>
      </c>
      <c r="C33" s="12" t="s">
        <v>528</v>
      </c>
      <c r="D33" s="13" t="s">
        <v>11</v>
      </c>
      <c r="E33" s="13" t="s">
        <v>351</v>
      </c>
      <c r="F33" s="15" t="s">
        <v>352</v>
      </c>
      <c r="G33" s="15" t="str">
        <f>VLOOKUP($C33,[1]TAGPD!$E$8:$U$6898,14,0)</f>
        <v>Jember</v>
      </c>
      <c r="H33" s="16">
        <v>21</v>
      </c>
      <c r="I33" s="45">
        <v>98950</v>
      </c>
    </row>
    <row r="34" spans="1:9" s="18" customFormat="1" x14ac:dyDescent="0.25">
      <c r="A34" s="10">
        <v>2</v>
      </c>
      <c r="B34" s="11">
        <v>45931</v>
      </c>
      <c r="C34" s="12" t="s">
        <v>561</v>
      </c>
      <c r="D34" s="13" t="s">
        <v>11</v>
      </c>
      <c r="E34" s="13" t="s">
        <v>351</v>
      </c>
      <c r="F34" s="15" t="s">
        <v>352</v>
      </c>
      <c r="G34" s="15" t="str">
        <f>VLOOKUP($C34,[1]TAGPD!$E$8:$U$6898,14,0)</f>
        <v>Jember</v>
      </c>
      <c r="H34" s="16">
        <v>10</v>
      </c>
      <c r="I34" s="45">
        <v>54950</v>
      </c>
    </row>
    <row r="35" spans="1:9" s="18" customFormat="1" x14ac:dyDescent="0.25">
      <c r="A35" s="10">
        <v>3</v>
      </c>
      <c r="B35" s="11">
        <v>45931</v>
      </c>
      <c r="C35" s="12" t="s">
        <v>560</v>
      </c>
      <c r="D35" s="13" t="s">
        <v>11</v>
      </c>
      <c r="E35" s="13" t="s">
        <v>351</v>
      </c>
      <c r="F35" s="15" t="s">
        <v>352</v>
      </c>
      <c r="G35" s="15" t="str">
        <f>VLOOKUP($C35,[1]TAGPD!$E$8:$U$6898,14,0)</f>
        <v>Jember</v>
      </c>
      <c r="H35" s="16">
        <v>10</v>
      </c>
      <c r="I35" s="45">
        <v>86950</v>
      </c>
    </row>
    <row r="36" spans="1:9" x14ac:dyDescent="0.25">
      <c r="A36" s="66"/>
      <c r="B36" s="67"/>
      <c r="C36" s="66"/>
      <c r="D36" s="68"/>
      <c r="E36" s="68"/>
      <c r="F36" s="58" t="s">
        <v>349</v>
      </c>
      <c r="G36" s="69"/>
      <c r="H36" s="69"/>
      <c r="I36" s="19">
        <f>SUM(I33:I35)</f>
        <v>240850</v>
      </c>
    </row>
  </sheetData>
  <sortState ref="A33:BJ35">
    <sortCondition descending="1" ref="H33:H35"/>
  </sortState>
  <conditionalFormatting sqref="G31:H32 H6:H30 H33:H35">
    <cfRule type="cellIs" dxfId="89" priority="28" operator="greaterThan">
      <formula>0</formula>
    </cfRule>
  </conditionalFormatting>
  <conditionalFormatting sqref="B31:I32">
    <cfRule type="expression" dxfId="88" priority="140">
      <formula>AND(#REF!&gt;0,$G31&gt;89)</formula>
    </cfRule>
    <cfRule type="expression" dxfId="87" priority="141">
      <formula>AND(#REF!&gt;0,$G31&gt;59)</formula>
    </cfRule>
    <cfRule type="expression" dxfId="86" priority="142">
      <formula>AND(#REF!&gt;0,$G31&gt;44)</formula>
    </cfRule>
  </conditionalFormatting>
  <conditionalFormatting sqref="H4">
    <cfRule type="cellIs" dxfId="85" priority="25" operator="greaterThan">
      <formula>0</formula>
    </cfRule>
  </conditionalFormatting>
  <conditionalFormatting sqref="B5:F29 B30:E30 G30 B33:F35 I5 H6:I30 H33:I35">
    <cfRule type="expression" dxfId="84" priority="143">
      <formula>AND(#REF!&gt;0,$H5&gt;89)</formula>
    </cfRule>
    <cfRule type="expression" dxfId="83" priority="144">
      <formula>AND(#REF!&gt;0,$H5&gt;59)</formula>
    </cfRule>
    <cfRule type="expression" dxfId="82" priority="145">
      <formula>AND(#REF!&gt;0,$H5&gt;44)</formula>
    </cfRule>
  </conditionalFormatting>
  <conditionalFormatting sqref="G5:G29">
    <cfRule type="expression" dxfId="81" priority="19">
      <formula>AND(#REF!&gt;0,$H5&gt;89)</formula>
    </cfRule>
    <cfRule type="expression" dxfId="80" priority="20">
      <formula>AND(#REF!&gt;0,$H5&gt;59)</formula>
    </cfRule>
    <cfRule type="expression" dxfId="79" priority="21">
      <formula>AND(#REF!&gt;0,$H5&gt;44)</formula>
    </cfRule>
  </conditionalFormatting>
  <conditionalFormatting sqref="F30">
    <cfRule type="expression" dxfId="78" priority="16">
      <formula>AND(#REF!&gt;0,$H30&gt;89)</formula>
    </cfRule>
    <cfRule type="expression" dxfId="77" priority="17">
      <formula>AND(#REF!&gt;0,$H30&gt;59)</formula>
    </cfRule>
    <cfRule type="expression" dxfId="76" priority="18">
      <formula>AND(#REF!&gt;0,$H30&gt;44)</formula>
    </cfRule>
  </conditionalFormatting>
  <conditionalFormatting sqref="G33:G35">
    <cfRule type="expression" dxfId="75" priority="13">
      <formula>AND(#REF!&gt;0,$H33&gt;89)</formula>
    </cfRule>
    <cfRule type="expression" dxfId="74" priority="14">
      <formula>AND(#REF!&gt;0,$H33&gt;59)</formula>
    </cfRule>
    <cfRule type="expression" dxfId="73" priority="15">
      <formula>AND(#REF!&gt;0,$H33&gt;44)</formula>
    </cfRule>
  </conditionalFormatting>
  <conditionalFormatting sqref="G36:H36">
    <cfRule type="cellIs" dxfId="72" priority="9" operator="greaterThan">
      <formula>0</formula>
    </cfRule>
  </conditionalFormatting>
  <conditionalFormatting sqref="B36:I36">
    <cfRule type="expression" dxfId="71" priority="10">
      <formula>AND(#REF!&gt;0,$G36&gt;89)</formula>
    </cfRule>
    <cfRule type="expression" dxfId="70" priority="11">
      <formula>AND(#REF!&gt;0,$G36&gt;59)</formula>
    </cfRule>
    <cfRule type="expression" dxfId="69" priority="12">
      <formula>AND(#REF!&gt;0,$G36&gt;44)</formula>
    </cfRule>
  </conditionalFormatting>
  <conditionalFormatting sqref="H5:H30">
    <cfRule type="cellIs" dxfId="68" priority="5" operator="greaterThan">
      <formula>0</formula>
    </cfRule>
  </conditionalFormatting>
  <conditionalFormatting sqref="H5:H30">
    <cfRule type="expression" dxfId="67" priority="6">
      <formula>AND($AK5&gt;0,$W5&gt;89)</formula>
    </cfRule>
    <cfRule type="expression" dxfId="66" priority="7">
      <formula>AND($AK5&gt;0,$W5&gt;59)</formula>
    </cfRule>
    <cfRule type="expression" dxfId="65" priority="8">
      <formula>AND($AK5&gt;0,$W5&gt;44)</formula>
    </cfRule>
  </conditionalFormatting>
  <conditionalFormatting sqref="H33:H35">
    <cfRule type="cellIs" dxfId="64" priority="1" operator="greaterThan">
      <formula>0</formula>
    </cfRule>
  </conditionalFormatting>
  <conditionalFormatting sqref="H33:H35">
    <cfRule type="expression" dxfId="63" priority="2">
      <formula>AND($AK33&gt;0,$W33&gt;89)</formula>
    </cfRule>
    <cfRule type="expression" dxfId="62" priority="3">
      <formula>AND($AK33&gt;0,$W33&gt;59)</formula>
    </cfRule>
    <cfRule type="expression" dxfId="61" priority="4">
      <formula>AND($AK33&gt;0,$W33&gt;44)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6"/>
  <sheetViews>
    <sheetView workbookViewId="0">
      <selection activeCell="C41" sqref="C41"/>
    </sheetView>
  </sheetViews>
  <sheetFormatPr defaultRowHeight="15" x14ac:dyDescent="0.25"/>
  <cols>
    <col min="6" max="6" width="24" customWidth="1"/>
    <col min="10" max="11" width="14.140625" customWidth="1"/>
  </cols>
  <sheetData>
    <row r="2" spans="1:11" x14ac:dyDescent="0.25">
      <c r="A2" s="2" t="s">
        <v>581</v>
      </c>
    </row>
    <row r="3" spans="1:11" ht="27" customHeight="1" x14ac:dyDescent="0.25">
      <c r="A3" s="65" t="s">
        <v>0</v>
      </c>
      <c r="B3" s="7" t="s">
        <v>538</v>
      </c>
      <c r="C3" s="7" t="s">
        <v>2</v>
      </c>
      <c r="D3" s="7" t="s">
        <v>3</v>
      </c>
      <c r="E3" s="7" t="s">
        <v>5</v>
      </c>
      <c r="F3" s="7" t="s">
        <v>6</v>
      </c>
      <c r="G3" s="55" t="s">
        <v>539</v>
      </c>
      <c r="H3" s="24" t="s">
        <v>540</v>
      </c>
      <c r="I3" s="9" t="s">
        <v>377</v>
      </c>
      <c r="J3" s="9" t="s">
        <v>611</v>
      </c>
      <c r="K3" s="9" t="s">
        <v>610</v>
      </c>
    </row>
    <row r="4" spans="1:11" x14ac:dyDescent="0.25">
      <c r="A4" s="10">
        <v>1</v>
      </c>
      <c r="B4" s="11">
        <v>45936</v>
      </c>
      <c r="C4" s="12" t="s">
        <v>568</v>
      </c>
      <c r="D4" s="13" t="s">
        <v>582</v>
      </c>
      <c r="E4" s="13" t="s">
        <v>13</v>
      </c>
      <c r="F4" s="15" t="s">
        <v>14</v>
      </c>
      <c r="G4" s="15" t="s">
        <v>15</v>
      </c>
      <c r="H4" s="16">
        <v>12</v>
      </c>
      <c r="I4" s="45">
        <v>118185</v>
      </c>
      <c r="J4" s="45">
        <v>95070.774999999994</v>
      </c>
      <c r="K4" s="15"/>
    </row>
    <row r="5" spans="1:11" x14ac:dyDescent="0.25">
      <c r="A5" s="10">
        <v>2</v>
      </c>
      <c r="B5" s="11">
        <v>45936</v>
      </c>
      <c r="C5" s="12" t="s">
        <v>567</v>
      </c>
      <c r="D5" s="13" t="s">
        <v>582</v>
      </c>
      <c r="E5" s="13" t="s">
        <v>13</v>
      </c>
      <c r="F5" s="15" t="s">
        <v>14</v>
      </c>
      <c r="G5" s="15" t="s">
        <v>15</v>
      </c>
      <c r="H5" s="16">
        <v>12</v>
      </c>
      <c r="I5" s="45">
        <v>57147</v>
      </c>
      <c r="J5" s="45">
        <v>45324.805</v>
      </c>
      <c r="K5" s="15"/>
    </row>
    <row r="6" spans="1:11" x14ac:dyDescent="0.25">
      <c r="A6" s="10">
        <v>3</v>
      </c>
      <c r="B6" s="11">
        <v>45937</v>
      </c>
      <c r="C6" s="12" t="s">
        <v>571</v>
      </c>
      <c r="D6" s="13" t="s">
        <v>582</v>
      </c>
      <c r="E6" s="13" t="s">
        <v>13</v>
      </c>
      <c r="F6" s="15" t="s">
        <v>14</v>
      </c>
      <c r="G6" s="15" t="s">
        <v>15</v>
      </c>
      <c r="H6" s="16">
        <v>11</v>
      </c>
      <c r="I6" s="45">
        <v>272350</v>
      </c>
      <c r="J6" s="45">
        <v>220715.25</v>
      </c>
      <c r="K6" s="15"/>
    </row>
    <row r="7" spans="1:11" x14ac:dyDescent="0.25">
      <c r="A7" s="10">
        <v>4</v>
      </c>
      <c r="B7" s="11">
        <v>45937</v>
      </c>
      <c r="C7" s="12" t="s">
        <v>572</v>
      </c>
      <c r="D7" s="13" t="s">
        <v>582</v>
      </c>
      <c r="E7" s="13" t="s">
        <v>13</v>
      </c>
      <c r="F7" s="15" t="s">
        <v>14</v>
      </c>
      <c r="G7" s="15" t="s">
        <v>15</v>
      </c>
      <c r="H7" s="16">
        <v>11</v>
      </c>
      <c r="I7" s="45">
        <v>1957500</v>
      </c>
      <c r="J7" s="45">
        <v>1594112.5</v>
      </c>
      <c r="K7" s="15"/>
    </row>
    <row r="8" spans="1:11" x14ac:dyDescent="0.25">
      <c r="A8" s="10">
        <v>5</v>
      </c>
      <c r="B8" s="11">
        <v>45937</v>
      </c>
      <c r="C8" s="12" t="s">
        <v>570</v>
      </c>
      <c r="D8" s="13" t="s">
        <v>582</v>
      </c>
      <c r="E8" s="13" t="s">
        <v>13</v>
      </c>
      <c r="F8" s="15" t="s">
        <v>14</v>
      </c>
      <c r="G8" s="15" t="s">
        <v>15</v>
      </c>
      <c r="H8" s="16">
        <v>11</v>
      </c>
      <c r="I8" s="45">
        <v>59075</v>
      </c>
      <c r="J8" s="45">
        <v>46896.125</v>
      </c>
      <c r="K8" s="15"/>
    </row>
    <row r="9" spans="1:11" x14ac:dyDescent="0.25">
      <c r="A9" s="10">
        <v>6</v>
      </c>
      <c r="B9" s="11">
        <v>45938</v>
      </c>
      <c r="C9" s="12" t="s">
        <v>573</v>
      </c>
      <c r="D9" s="13" t="s">
        <v>582</v>
      </c>
      <c r="E9" s="13" t="s">
        <v>13</v>
      </c>
      <c r="F9" s="15" t="s">
        <v>14</v>
      </c>
      <c r="G9" s="15" t="s">
        <v>15</v>
      </c>
      <c r="H9" s="16">
        <v>10</v>
      </c>
      <c r="I9" s="45">
        <v>53900</v>
      </c>
      <c r="J9" s="45">
        <v>42678.5</v>
      </c>
      <c r="K9" s="15"/>
    </row>
    <row r="10" spans="1:11" x14ac:dyDescent="0.25">
      <c r="A10" s="10">
        <v>7</v>
      </c>
      <c r="B10" s="11">
        <v>45939</v>
      </c>
      <c r="C10" s="12" t="s">
        <v>574</v>
      </c>
      <c r="D10" s="13" t="s">
        <v>582</v>
      </c>
      <c r="E10" s="13" t="s">
        <v>13</v>
      </c>
      <c r="F10" s="15" t="s">
        <v>14</v>
      </c>
      <c r="G10" s="15" t="s">
        <v>15</v>
      </c>
      <c r="H10" s="16">
        <v>9</v>
      </c>
      <c r="I10" s="45">
        <v>38515</v>
      </c>
      <c r="J10" s="45">
        <v>30139.724999999999</v>
      </c>
      <c r="K10" s="15"/>
    </row>
    <row r="11" spans="1:11" x14ac:dyDescent="0.25">
      <c r="A11" s="10">
        <v>8</v>
      </c>
      <c r="B11" s="11">
        <v>45939</v>
      </c>
      <c r="C11" s="12" t="s">
        <v>575</v>
      </c>
      <c r="D11" s="13" t="s">
        <v>582</v>
      </c>
      <c r="E11" s="13" t="s">
        <v>13</v>
      </c>
      <c r="F11" s="15" t="s">
        <v>14</v>
      </c>
      <c r="G11" s="15" t="s">
        <v>15</v>
      </c>
      <c r="H11" s="16">
        <v>9</v>
      </c>
      <c r="I11" s="45">
        <v>49437</v>
      </c>
      <c r="J11" s="45">
        <v>39041.154999999999</v>
      </c>
      <c r="K11" s="15"/>
    </row>
    <row r="12" spans="1:11" x14ac:dyDescent="0.25">
      <c r="A12" s="10">
        <v>9</v>
      </c>
      <c r="B12" s="11">
        <v>45940</v>
      </c>
      <c r="C12" s="12" t="s">
        <v>578</v>
      </c>
      <c r="D12" s="13" t="s">
        <v>582</v>
      </c>
      <c r="E12" s="13" t="s">
        <v>13</v>
      </c>
      <c r="F12" s="15" t="s">
        <v>14</v>
      </c>
      <c r="G12" s="15" t="s">
        <v>15</v>
      </c>
      <c r="H12" s="16">
        <v>8</v>
      </c>
      <c r="I12" s="45">
        <v>195250</v>
      </c>
      <c r="J12" s="45">
        <v>157878.75</v>
      </c>
      <c r="K12" s="15"/>
    </row>
    <row r="13" spans="1:11" x14ac:dyDescent="0.25">
      <c r="A13" s="10">
        <v>10</v>
      </c>
      <c r="B13" s="11">
        <v>45940</v>
      </c>
      <c r="C13" s="12" t="s">
        <v>577</v>
      </c>
      <c r="D13" s="13" t="s">
        <v>582</v>
      </c>
      <c r="E13" s="13" t="s">
        <v>13</v>
      </c>
      <c r="F13" s="15" t="s">
        <v>14</v>
      </c>
      <c r="G13" s="15" t="s">
        <v>15</v>
      </c>
      <c r="H13" s="16">
        <v>8</v>
      </c>
      <c r="I13" s="45">
        <v>84775</v>
      </c>
      <c r="J13" s="45">
        <v>67841.625</v>
      </c>
      <c r="K13" s="15"/>
    </row>
    <row r="14" spans="1:11" x14ac:dyDescent="0.25">
      <c r="A14" s="10">
        <v>11</v>
      </c>
      <c r="B14" s="11">
        <v>45940</v>
      </c>
      <c r="C14" s="12" t="s">
        <v>579</v>
      </c>
      <c r="D14" s="13" t="s">
        <v>582</v>
      </c>
      <c r="E14" s="13" t="s">
        <v>13</v>
      </c>
      <c r="F14" s="15" t="s">
        <v>14</v>
      </c>
      <c r="G14" s="15" t="s">
        <v>15</v>
      </c>
      <c r="H14" s="16">
        <v>8</v>
      </c>
      <c r="I14" s="45">
        <v>232550</v>
      </c>
      <c r="J14" s="45">
        <v>188278.25</v>
      </c>
      <c r="K14" s="15"/>
    </row>
    <row r="15" spans="1:11" x14ac:dyDescent="0.25">
      <c r="A15" s="10">
        <v>12</v>
      </c>
      <c r="B15" s="11">
        <v>45940</v>
      </c>
      <c r="C15" s="12" t="s">
        <v>576</v>
      </c>
      <c r="D15" s="13" t="s">
        <v>582</v>
      </c>
      <c r="E15" s="13" t="s">
        <v>13</v>
      </c>
      <c r="F15" s="15" t="s">
        <v>14</v>
      </c>
      <c r="G15" s="15" t="s">
        <v>15</v>
      </c>
      <c r="H15" s="16">
        <v>8</v>
      </c>
      <c r="I15" s="45">
        <v>33837</v>
      </c>
      <c r="J15" s="45">
        <v>26327.154999999999</v>
      </c>
      <c r="K15" s="15"/>
    </row>
    <row r="16" spans="1:11" x14ac:dyDescent="0.25">
      <c r="A16" s="10">
        <v>13</v>
      </c>
      <c r="B16" s="11">
        <v>45941</v>
      </c>
      <c r="C16" s="12" t="s">
        <v>583</v>
      </c>
      <c r="D16" s="13" t="s">
        <v>582</v>
      </c>
      <c r="E16" s="13" t="s">
        <v>13</v>
      </c>
      <c r="F16" s="15" t="s">
        <v>14</v>
      </c>
      <c r="G16" s="15" t="s">
        <v>15</v>
      </c>
      <c r="H16" s="16">
        <v>7</v>
      </c>
      <c r="I16" s="45">
        <v>33837</v>
      </c>
      <c r="J16" s="45">
        <v>26327.154999999999</v>
      </c>
      <c r="K16" s="15"/>
    </row>
    <row r="17" spans="1:11" x14ac:dyDescent="0.25">
      <c r="A17" s="10">
        <v>14</v>
      </c>
      <c r="B17" s="11">
        <v>45943</v>
      </c>
      <c r="C17" s="12" t="s">
        <v>586</v>
      </c>
      <c r="D17" s="13" t="s">
        <v>582</v>
      </c>
      <c r="E17" s="13" t="s">
        <v>13</v>
      </c>
      <c r="F17" s="15" t="s">
        <v>14</v>
      </c>
      <c r="G17" s="15" t="s">
        <v>15</v>
      </c>
      <c r="H17" s="16">
        <v>5</v>
      </c>
      <c r="I17" s="17">
        <v>25002</v>
      </c>
      <c r="J17" s="17">
        <v>19126.63</v>
      </c>
      <c r="K17" s="15"/>
    </row>
    <row r="18" spans="1:11" x14ac:dyDescent="0.25">
      <c r="A18" s="10">
        <v>15</v>
      </c>
      <c r="B18" s="11">
        <v>45943</v>
      </c>
      <c r="C18" s="12" t="s">
        <v>591</v>
      </c>
      <c r="D18" s="13" t="s">
        <v>582</v>
      </c>
      <c r="E18" s="13" t="s">
        <v>13</v>
      </c>
      <c r="F18" s="15" t="s">
        <v>14</v>
      </c>
      <c r="G18" s="15" t="s">
        <v>15</v>
      </c>
      <c r="H18" s="16">
        <v>5</v>
      </c>
      <c r="I18" s="17">
        <v>60500</v>
      </c>
      <c r="J18" s="17">
        <v>48057.5</v>
      </c>
      <c r="K18" s="15"/>
    </row>
    <row r="19" spans="1:11" x14ac:dyDescent="0.25">
      <c r="A19" s="10">
        <v>16</v>
      </c>
      <c r="B19" s="11">
        <v>45943</v>
      </c>
      <c r="C19" s="12" t="s">
        <v>587</v>
      </c>
      <c r="D19" s="13" t="s">
        <v>582</v>
      </c>
      <c r="E19" s="13" t="s">
        <v>13</v>
      </c>
      <c r="F19" s="15" t="s">
        <v>14</v>
      </c>
      <c r="G19" s="15" t="s">
        <v>15</v>
      </c>
      <c r="H19" s="16">
        <v>5</v>
      </c>
      <c r="I19" s="17">
        <v>25002</v>
      </c>
      <c r="J19" s="17">
        <v>19126.63</v>
      </c>
      <c r="K19" s="15"/>
    </row>
    <row r="20" spans="1:11" x14ac:dyDescent="0.25">
      <c r="A20" s="10">
        <v>17</v>
      </c>
      <c r="B20" s="11">
        <v>45943</v>
      </c>
      <c r="C20" s="12" t="s">
        <v>589</v>
      </c>
      <c r="D20" s="13" t="s">
        <v>582</v>
      </c>
      <c r="E20" s="13" t="s">
        <v>13</v>
      </c>
      <c r="F20" s="15" t="s">
        <v>14</v>
      </c>
      <c r="G20" s="15" t="s">
        <v>15</v>
      </c>
      <c r="H20" s="16">
        <v>5</v>
      </c>
      <c r="I20" s="17">
        <v>57147</v>
      </c>
      <c r="J20" s="17">
        <v>45324.805</v>
      </c>
      <c r="K20" s="15"/>
    </row>
    <row r="21" spans="1:11" x14ac:dyDescent="0.25">
      <c r="A21" s="10">
        <v>18</v>
      </c>
      <c r="B21" s="11">
        <v>45943</v>
      </c>
      <c r="C21" s="12" t="s">
        <v>588</v>
      </c>
      <c r="D21" s="13" t="s">
        <v>582</v>
      </c>
      <c r="E21" s="13" t="s">
        <v>13</v>
      </c>
      <c r="F21" s="15" t="s">
        <v>14</v>
      </c>
      <c r="G21" s="15" t="s">
        <v>15</v>
      </c>
      <c r="H21" s="16">
        <v>5</v>
      </c>
      <c r="I21" s="17">
        <v>26950</v>
      </c>
      <c r="J21" s="17">
        <v>20714.25</v>
      </c>
      <c r="K21" s="15"/>
    </row>
    <row r="22" spans="1:11" x14ac:dyDescent="0.25">
      <c r="A22" s="10">
        <v>19</v>
      </c>
      <c r="B22" s="11">
        <v>45943</v>
      </c>
      <c r="C22" s="12" t="s">
        <v>592</v>
      </c>
      <c r="D22" s="13" t="s">
        <v>582</v>
      </c>
      <c r="E22" s="13" t="s">
        <v>13</v>
      </c>
      <c r="F22" s="15" t="s">
        <v>14</v>
      </c>
      <c r="G22" s="15" t="s">
        <v>15</v>
      </c>
      <c r="H22" s="16">
        <v>5</v>
      </c>
      <c r="I22" s="17">
        <v>71925</v>
      </c>
      <c r="J22" s="17">
        <v>57368.875</v>
      </c>
      <c r="K22" s="15"/>
    </row>
    <row r="23" spans="1:11" x14ac:dyDescent="0.25">
      <c r="A23" s="10">
        <v>20</v>
      </c>
      <c r="B23" s="11">
        <v>45944</v>
      </c>
      <c r="C23" s="12" t="s">
        <v>595</v>
      </c>
      <c r="D23" s="13" t="s">
        <v>582</v>
      </c>
      <c r="E23" s="13" t="s">
        <v>13</v>
      </c>
      <c r="F23" s="15" t="s">
        <v>14</v>
      </c>
      <c r="G23" s="15" t="s">
        <v>15</v>
      </c>
      <c r="H23" s="16">
        <v>4</v>
      </c>
      <c r="I23" s="17">
        <v>168300</v>
      </c>
      <c r="J23" s="17">
        <v>135914.5</v>
      </c>
      <c r="K23" s="15"/>
    </row>
    <row r="24" spans="1:11" x14ac:dyDescent="0.25">
      <c r="A24" s="10"/>
      <c r="B24" s="11"/>
      <c r="C24" s="12"/>
      <c r="D24" s="13"/>
      <c r="E24" s="13"/>
      <c r="F24" s="15"/>
      <c r="G24" s="15"/>
      <c r="H24" s="16"/>
      <c r="I24" s="17"/>
      <c r="J24" s="73">
        <f>SUM(J4:J23)</f>
        <v>2926264.9599999995</v>
      </c>
      <c r="K24" s="15" t="s">
        <v>609</v>
      </c>
    </row>
    <row r="25" spans="1:11" x14ac:dyDescent="0.25">
      <c r="A25" s="10"/>
      <c r="B25" s="11"/>
      <c r="C25" s="12"/>
      <c r="D25" s="13"/>
      <c r="E25" s="13"/>
      <c r="F25" s="15"/>
      <c r="G25" s="15"/>
      <c r="H25" s="16"/>
      <c r="I25" s="17"/>
      <c r="J25" s="54"/>
      <c r="K25" s="15"/>
    </row>
    <row r="26" spans="1:11" x14ac:dyDescent="0.25">
      <c r="A26" s="10">
        <v>1</v>
      </c>
      <c r="B26" s="11">
        <v>45899</v>
      </c>
      <c r="C26" s="12" t="s">
        <v>395</v>
      </c>
      <c r="D26" s="13" t="s">
        <v>582</v>
      </c>
      <c r="E26" s="13" t="s">
        <v>13</v>
      </c>
      <c r="F26" s="15" t="s">
        <v>14</v>
      </c>
      <c r="G26" s="15" t="s">
        <v>15</v>
      </c>
      <c r="H26" s="16">
        <v>49</v>
      </c>
      <c r="I26" s="45">
        <v>177750</v>
      </c>
      <c r="J26" s="17">
        <v>143616.25</v>
      </c>
      <c r="K26" s="15" t="s">
        <v>531</v>
      </c>
    </row>
    <row r="27" spans="1:11" x14ac:dyDescent="0.25">
      <c r="A27" s="10">
        <v>2</v>
      </c>
      <c r="B27" s="11">
        <v>45941</v>
      </c>
      <c r="C27" s="12" t="s">
        <v>584</v>
      </c>
      <c r="D27" s="13" t="s">
        <v>582</v>
      </c>
      <c r="E27" s="13" t="s">
        <v>13</v>
      </c>
      <c r="F27" s="15" t="s">
        <v>14</v>
      </c>
      <c r="G27" s="15" t="s">
        <v>15</v>
      </c>
      <c r="H27" s="16">
        <v>7</v>
      </c>
      <c r="I27" s="45">
        <v>37872</v>
      </c>
      <c r="J27" s="17">
        <v>29615.68</v>
      </c>
      <c r="K27" s="15" t="s">
        <v>606</v>
      </c>
    </row>
    <row r="28" spans="1:11" x14ac:dyDescent="0.25">
      <c r="A28" s="10">
        <v>3</v>
      </c>
      <c r="B28" s="11">
        <v>45941</v>
      </c>
      <c r="C28" s="12" t="s">
        <v>585</v>
      </c>
      <c r="D28" s="13" t="s">
        <v>582</v>
      </c>
      <c r="E28" s="13" t="s">
        <v>13</v>
      </c>
      <c r="F28" s="15" t="s">
        <v>14</v>
      </c>
      <c r="G28" s="15" t="s">
        <v>15</v>
      </c>
      <c r="H28" s="16">
        <v>7</v>
      </c>
      <c r="I28" s="45">
        <v>91200</v>
      </c>
      <c r="J28" s="17">
        <v>73078</v>
      </c>
      <c r="K28" s="15" t="s">
        <v>606</v>
      </c>
    </row>
    <row r="29" spans="1:11" x14ac:dyDescent="0.25">
      <c r="A29" s="10">
        <v>4</v>
      </c>
      <c r="B29" s="11">
        <v>45943</v>
      </c>
      <c r="C29" s="12" t="s">
        <v>590</v>
      </c>
      <c r="D29" s="13" t="s">
        <v>582</v>
      </c>
      <c r="E29" s="13" t="s">
        <v>13</v>
      </c>
      <c r="F29" s="15" t="s">
        <v>14</v>
      </c>
      <c r="G29" s="15" t="s">
        <v>15</v>
      </c>
      <c r="H29" s="16">
        <v>5</v>
      </c>
      <c r="I29" s="17">
        <v>59717</v>
      </c>
      <c r="J29" s="17">
        <v>47419.354999999996</v>
      </c>
      <c r="K29" s="15" t="s">
        <v>606</v>
      </c>
    </row>
    <row r="30" spans="1:11" x14ac:dyDescent="0.25">
      <c r="A30" s="10">
        <v>5</v>
      </c>
      <c r="B30" s="11">
        <v>45943</v>
      </c>
      <c r="C30" s="12" t="s">
        <v>593</v>
      </c>
      <c r="D30" s="13" t="s">
        <v>582</v>
      </c>
      <c r="E30" s="13" t="s">
        <v>13</v>
      </c>
      <c r="F30" s="15" t="s">
        <v>14</v>
      </c>
      <c r="G30" s="15" t="s">
        <v>15</v>
      </c>
      <c r="H30" s="16">
        <v>5</v>
      </c>
      <c r="I30" s="17">
        <v>155450</v>
      </c>
      <c r="J30" s="17">
        <v>125441.75</v>
      </c>
      <c r="K30" s="15" t="s">
        <v>606</v>
      </c>
    </row>
    <row r="31" spans="1:11" x14ac:dyDescent="0.25">
      <c r="A31" s="10">
        <v>6</v>
      </c>
      <c r="B31" s="11">
        <v>45944</v>
      </c>
      <c r="C31" s="12" t="s">
        <v>594</v>
      </c>
      <c r="D31" s="13" t="s">
        <v>582</v>
      </c>
      <c r="E31" s="13" t="s">
        <v>13</v>
      </c>
      <c r="F31" s="15" t="s">
        <v>14</v>
      </c>
      <c r="G31" s="15" t="s">
        <v>15</v>
      </c>
      <c r="H31" s="16">
        <v>4</v>
      </c>
      <c r="I31" s="17">
        <v>18597</v>
      </c>
      <c r="J31" s="17">
        <v>13906.555</v>
      </c>
      <c r="K31" s="15" t="s">
        <v>606</v>
      </c>
    </row>
    <row r="32" spans="1:11" x14ac:dyDescent="0.25">
      <c r="A32" s="10">
        <v>7</v>
      </c>
      <c r="B32" s="11">
        <v>45945</v>
      </c>
      <c r="C32" s="12" t="s">
        <v>596</v>
      </c>
      <c r="D32" s="13" t="s">
        <v>582</v>
      </c>
      <c r="E32" s="13" t="s">
        <v>13</v>
      </c>
      <c r="F32" s="15" t="s">
        <v>14</v>
      </c>
      <c r="G32" s="15" t="s">
        <v>15</v>
      </c>
      <c r="H32" s="16">
        <v>3</v>
      </c>
      <c r="I32" s="17">
        <v>359500</v>
      </c>
      <c r="J32" s="17">
        <v>291742.5</v>
      </c>
      <c r="K32" s="15" t="s">
        <v>606</v>
      </c>
    </row>
    <row r="33" spans="1:11" x14ac:dyDescent="0.25">
      <c r="A33" s="10">
        <v>8</v>
      </c>
      <c r="B33" s="11">
        <v>45946</v>
      </c>
      <c r="C33" s="12" t="s">
        <v>597</v>
      </c>
      <c r="D33" s="13" t="s">
        <v>582</v>
      </c>
      <c r="E33" s="13" t="s">
        <v>13</v>
      </c>
      <c r="F33" s="15" t="s">
        <v>14</v>
      </c>
      <c r="G33" s="15" t="s">
        <v>15</v>
      </c>
      <c r="H33" s="16">
        <v>2</v>
      </c>
      <c r="I33" s="17">
        <v>71925</v>
      </c>
      <c r="J33" s="17">
        <v>57368.875</v>
      </c>
      <c r="K33" s="15" t="s">
        <v>606</v>
      </c>
    </row>
    <row r="34" spans="1:11" x14ac:dyDescent="0.25">
      <c r="A34" s="10">
        <v>9</v>
      </c>
      <c r="B34" s="11">
        <v>45946</v>
      </c>
      <c r="C34" s="12" t="s">
        <v>598</v>
      </c>
      <c r="D34" s="13" t="s">
        <v>582</v>
      </c>
      <c r="E34" s="13" t="s">
        <v>13</v>
      </c>
      <c r="F34" s="15" t="s">
        <v>14</v>
      </c>
      <c r="G34" s="15" t="s">
        <v>15</v>
      </c>
      <c r="H34" s="16">
        <v>2</v>
      </c>
      <c r="I34" s="17">
        <v>239750</v>
      </c>
      <c r="J34" s="17">
        <v>194146.25</v>
      </c>
      <c r="K34" s="15" t="s">
        <v>606</v>
      </c>
    </row>
    <row r="35" spans="1:11" x14ac:dyDescent="0.25">
      <c r="A35" s="10">
        <v>10</v>
      </c>
      <c r="B35" s="11">
        <v>45947</v>
      </c>
      <c r="C35" s="12" t="s">
        <v>599</v>
      </c>
      <c r="D35" s="13" t="s">
        <v>582</v>
      </c>
      <c r="E35" s="13" t="s">
        <v>13</v>
      </c>
      <c r="F35" s="15" t="s">
        <v>14</v>
      </c>
      <c r="G35" s="15" t="s">
        <v>15</v>
      </c>
      <c r="H35" s="16">
        <v>1</v>
      </c>
      <c r="I35" s="17">
        <v>31447</v>
      </c>
      <c r="J35" s="17">
        <v>24379.305</v>
      </c>
      <c r="K35" s="15" t="s">
        <v>607</v>
      </c>
    </row>
    <row r="36" spans="1:11" x14ac:dyDescent="0.25">
      <c r="A36" s="10">
        <v>11</v>
      </c>
      <c r="B36" s="11">
        <v>45947</v>
      </c>
      <c r="C36" s="12" t="s">
        <v>600</v>
      </c>
      <c r="D36" s="13" t="s">
        <v>582</v>
      </c>
      <c r="E36" s="13" t="s">
        <v>13</v>
      </c>
      <c r="F36" s="15" t="s">
        <v>14</v>
      </c>
      <c r="G36" s="15" t="s">
        <v>15</v>
      </c>
      <c r="H36" s="16">
        <v>1</v>
      </c>
      <c r="I36" s="17">
        <v>43655</v>
      </c>
      <c r="J36" s="17">
        <v>34328.824999999997</v>
      </c>
      <c r="K36" s="15" t="s">
        <v>606</v>
      </c>
    </row>
    <row r="37" spans="1:11" x14ac:dyDescent="0.25">
      <c r="A37" s="10">
        <v>12</v>
      </c>
      <c r="B37" s="11">
        <v>45947</v>
      </c>
      <c r="C37" s="12" t="s">
        <v>601</v>
      </c>
      <c r="D37" s="13" t="s">
        <v>582</v>
      </c>
      <c r="E37" s="13" t="s">
        <v>13</v>
      </c>
      <c r="F37" s="15" t="s">
        <v>14</v>
      </c>
      <c r="G37" s="15" t="s">
        <v>15</v>
      </c>
      <c r="H37" s="16">
        <v>1</v>
      </c>
      <c r="I37" s="17">
        <v>49437</v>
      </c>
      <c r="J37" s="17">
        <v>39041.154999999999</v>
      </c>
      <c r="K37" s="15" t="s">
        <v>607</v>
      </c>
    </row>
    <row r="38" spans="1:11" x14ac:dyDescent="0.25">
      <c r="A38" s="10">
        <v>13</v>
      </c>
      <c r="B38" s="11">
        <v>45947</v>
      </c>
      <c r="C38" s="12" t="s">
        <v>602</v>
      </c>
      <c r="D38" s="13" t="s">
        <v>582</v>
      </c>
      <c r="E38" s="13" t="s">
        <v>13</v>
      </c>
      <c r="F38" s="15" t="s">
        <v>14</v>
      </c>
      <c r="G38" s="15" t="s">
        <v>15</v>
      </c>
      <c r="H38" s="16">
        <v>1</v>
      </c>
      <c r="I38" s="17">
        <v>71925</v>
      </c>
      <c r="J38" s="17">
        <v>57368.875</v>
      </c>
      <c r="K38" s="15" t="s">
        <v>606</v>
      </c>
    </row>
    <row r="39" spans="1:11" x14ac:dyDescent="0.25">
      <c r="A39" s="10">
        <v>14</v>
      </c>
      <c r="B39" s="11">
        <v>45947</v>
      </c>
      <c r="C39" s="12" t="s">
        <v>603</v>
      </c>
      <c r="D39" s="13" t="s">
        <v>582</v>
      </c>
      <c r="E39" s="13" t="s">
        <v>13</v>
      </c>
      <c r="F39" s="15" t="s">
        <v>14</v>
      </c>
      <c r="G39" s="15" t="s">
        <v>15</v>
      </c>
      <c r="H39" s="16">
        <v>1</v>
      </c>
      <c r="I39" s="17">
        <v>75780</v>
      </c>
      <c r="J39" s="17">
        <v>60510.7</v>
      </c>
      <c r="K39" s="15" t="s">
        <v>606</v>
      </c>
    </row>
    <row r="40" spans="1:11" x14ac:dyDescent="0.25">
      <c r="A40" s="66"/>
      <c r="B40" s="67"/>
      <c r="C40" s="66"/>
      <c r="D40" s="68"/>
      <c r="E40" s="68"/>
      <c r="F40" s="58" t="s">
        <v>349</v>
      </c>
      <c r="G40" s="69"/>
      <c r="H40" s="69"/>
      <c r="I40" s="19">
        <f>SUM(I4:I39)</f>
        <v>5105189</v>
      </c>
      <c r="J40" s="72"/>
      <c r="K40" s="58"/>
    </row>
    <row r="41" spans="1:11" x14ac:dyDescent="0.25">
      <c r="A41" s="10">
        <v>1</v>
      </c>
      <c r="B41" s="11">
        <v>45920</v>
      </c>
      <c r="C41" s="12" t="s">
        <v>528</v>
      </c>
      <c r="D41" s="13" t="s">
        <v>582</v>
      </c>
      <c r="E41" s="13" t="s">
        <v>351</v>
      </c>
      <c r="F41" s="15" t="s">
        <v>352</v>
      </c>
      <c r="G41" s="15" t="s">
        <v>15</v>
      </c>
      <c r="H41" s="16">
        <v>28</v>
      </c>
      <c r="I41" s="17">
        <v>98950</v>
      </c>
      <c r="J41" s="17"/>
      <c r="K41" s="15" t="s">
        <v>531</v>
      </c>
    </row>
    <row r="42" spans="1:11" x14ac:dyDescent="0.25">
      <c r="A42" s="10">
        <v>2</v>
      </c>
      <c r="B42" s="40">
        <v>45931</v>
      </c>
      <c r="C42" s="41" t="s">
        <v>561</v>
      </c>
      <c r="D42" s="42" t="s">
        <v>582</v>
      </c>
      <c r="E42" s="42" t="s">
        <v>351</v>
      </c>
      <c r="F42" s="43" t="s">
        <v>352</v>
      </c>
      <c r="G42" s="43" t="s">
        <v>15</v>
      </c>
      <c r="H42" s="44">
        <v>17</v>
      </c>
      <c r="I42" s="45">
        <v>54950</v>
      </c>
      <c r="J42" s="45">
        <v>43534.25</v>
      </c>
      <c r="K42" s="43" t="s">
        <v>608</v>
      </c>
    </row>
    <row r="43" spans="1:11" x14ac:dyDescent="0.25">
      <c r="A43" s="10">
        <v>3</v>
      </c>
      <c r="B43" s="11">
        <v>45931</v>
      </c>
      <c r="C43" s="12" t="s">
        <v>560</v>
      </c>
      <c r="D43" s="13" t="s">
        <v>582</v>
      </c>
      <c r="E43" s="13" t="s">
        <v>351</v>
      </c>
      <c r="F43" s="15" t="s">
        <v>352</v>
      </c>
      <c r="G43" s="15" t="s">
        <v>15</v>
      </c>
      <c r="H43" s="16">
        <v>17</v>
      </c>
      <c r="I43" s="17">
        <v>86950</v>
      </c>
      <c r="J43" s="17"/>
      <c r="K43" s="15" t="s">
        <v>606</v>
      </c>
    </row>
    <row r="44" spans="1:11" x14ac:dyDescent="0.25">
      <c r="A44" s="10">
        <v>4</v>
      </c>
      <c r="B44" s="11">
        <v>45941</v>
      </c>
      <c r="C44" s="12" t="s">
        <v>604</v>
      </c>
      <c r="D44" s="13" t="s">
        <v>582</v>
      </c>
      <c r="E44" s="13" t="s">
        <v>351</v>
      </c>
      <c r="F44" s="15" t="s">
        <v>352</v>
      </c>
      <c r="G44" s="15" t="s">
        <v>15</v>
      </c>
      <c r="H44" s="16">
        <v>7</v>
      </c>
      <c r="I44" s="17">
        <v>118220</v>
      </c>
      <c r="J44" s="17"/>
      <c r="K44" s="15" t="s">
        <v>606</v>
      </c>
    </row>
    <row r="45" spans="1:11" x14ac:dyDescent="0.25">
      <c r="A45" s="10">
        <v>5</v>
      </c>
      <c r="B45" s="11">
        <v>45945</v>
      </c>
      <c r="C45" s="12" t="s">
        <v>605</v>
      </c>
      <c r="D45" s="13" t="s">
        <v>582</v>
      </c>
      <c r="E45" s="13" t="s">
        <v>351</v>
      </c>
      <c r="F45" s="15" t="s">
        <v>352</v>
      </c>
      <c r="G45" s="15" t="s">
        <v>15</v>
      </c>
      <c r="H45" s="16">
        <v>3</v>
      </c>
      <c r="I45" s="17">
        <v>118220</v>
      </c>
      <c r="J45" s="17"/>
      <c r="K45" s="15" t="s">
        <v>606</v>
      </c>
    </row>
    <row r="46" spans="1:11" x14ac:dyDescent="0.25">
      <c r="A46" s="66"/>
      <c r="B46" s="67"/>
      <c r="C46" s="66"/>
      <c r="D46" s="68"/>
      <c r="E46" s="68"/>
      <c r="F46" s="58" t="s">
        <v>349</v>
      </c>
      <c r="G46" s="69"/>
      <c r="H46" s="69"/>
      <c r="I46" s="19">
        <f>SUM(I41:I45)</f>
        <v>477290</v>
      </c>
      <c r="J46" s="72"/>
      <c r="K46" s="58"/>
    </row>
  </sheetData>
  <conditionalFormatting sqref="H4:H39 H41:H45">
    <cfRule type="cellIs" dxfId="60" priority="28" operator="greaterThan">
      <formula>0</formula>
    </cfRule>
  </conditionalFormatting>
  <conditionalFormatting sqref="B4:I39 B41:I45 J24:K25">
    <cfRule type="expression" dxfId="59" priority="29">
      <formula>AND(#REF!&gt;0,$H4&gt;89)</formula>
    </cfRule>
    <cfRule type="expression" dxfId="58" priority="30">
      <formula>AND(#REF!&gt;0,$H4&gt;59)</formula>
    </cfRule>
    <cfRule type="expression" dxfId="57" priority="31">
      <formula>AND(#REF!&gt;0,$H4&gt;44)</formula>
    </cfRule>
  </conditionalFormatting>
  <conditionalFormatting sqref="G40:H40">
    <cfRule type="cellIs" dxfId="56" priority="24" operator="greaterThan">
      <formula>0</formula>
    </cfRule>
  </conditionalFormatting>
  <conditionalFormatting sqref="B40:K40 J46:K46">
    <cfRule type="expression" dxfId="55" priority="25">
      <formula>AND(#REF!&gt;0,$G40&gt;89)</formula>
    </cfRule>
    <cfRule type="expression" dxfId="54" priority="26">
      <formula>AND(#REF!&gt;0,$G40&gt;59)</formula>
    </cfRule>
    <cfRule type="expression" dxfId="53" priority="27">
      <formula>AND(#REF!&gt;0,$G40&gt;44)</formula>
    </cfRule>
  </conditionalFormatting>
  <conditionalFormatting sqref="G46:H46">
    <cfRule type="cellIs" dxfId="52" priority="20" operator="greaterThan">
      <formula>0</formula>
    </cfRule>
  </conditionalFormatting>
  <conditionalFormatting sqref="B46:I46">
    <cfRule type="expression" dxfId="51" priority="21">
      <formula>AND(#REF!&gt;0,$G46&gt;89)</formula>
    </cfRule>
    <cfRule type="expression" dxfId="50" priority="22">
      <formula>AND(#REF!&gt;0,$G46&gt;59)</formula>
    </cfRule>
    <cfRule type="expression" dxfId="49" priority="23">
      <formula>AND(#REF!&gt;0,$G46&gt;44)</formula>
    </cfRule>
  </conditionalFormatting>
  <conditionalFormatting sqref="H3">
    <cfRule type="cellIs" dxfId="48" priority="19" operator="greaterThan">
      <formula>0</formula>
    </cfRule>
  </conditionalFormatting>
  <conditionalFormatting sqref="K41:K45 K4:K23 K26:K39">
    <cfRule type="expression" dxfId="47" priority="16">
      <formula>AND(#REF!&gt;0,$H4&gt;89)</formula>
    </cfRule>
    <cfRule type="expression" dxfId="46" priority="17">
      <formula>AND(#REF!&gt;0,$H4&gt;59)</formula>
    </cfRule>
    <cfRule type="expression" dxfId="45" priority="18">
      <formula>AND(#REF!&gt;0,$H4&gt;44)</formula>
    </cfRule>
  </conditionalFormatting>
  <conditionalFormatting sqref="J4:J23">
    <cfRule type="expression" dxfId="44" priority="7">
      <formula>AND(#REF!&gt;0,$H4&gt;89)</formula>
    </cfRule>
    <cfRule type="expression" dxfId="43" priority="8">
      <formula>AND(#REF!&gt;0,$H4&gt;59)</formula>
    </cfRule>
    <cfRule type="expression" dxfId="42" priority="9">
      <formula>AND(#REF!&gt;0,$H4&gt;44)</formula>
    </cfRule>
  </conditionalFormatting>
  <conditionalFormatting sqref="J26:J39">
    <cfRule type="expression" dxfId="41" priority="4">
      <formula>AND(#REF!&gt;0,$H26&gt;89)</formula>
    </cfRule>
    <cfRule type="expression" dxfId="40" priority="5">
      <formula>AND(#REF!&gt;0,$H26&gt;59)</formula>
    </cfRule>
    <cfRule type="expression" dxfId="39" priority="6">
      <formula>AND(#REF!&gt;0,$H26&gt;44)</formula>
    </cfRule>
  </conditionalFormatting>
  <conditionalFormatting sqref="J41:J45">
    <cfRule type="expression" dxfId="38" priority="1">
      <formula>AND(#REF!&gt;0,$H41&gt;89)</formula>
    </cfRule>
    <cfRule type="expression" dxfId="37" priority="2">
      <formula>AND(#REF!&gt;0,$H41&gt;59)</formula>
    </cfRule>
    <cfRule type="expression" dxfId="36" priority="3">
      <formula>AND(#REF!&gt;0,$H41&gt;44)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50"/>
  <sheetViews>
    <sheetView workbookViewId="0">
      <selection activeCell="J6" sqref="J6"/>
    </sheetView>
  </sheetViews>
  <sheetFormatPr defaultColWidth="9.140625" defaultRowHeight="15" x14ac:dyDescent="0.25"/>
  <cols>
    <col min="1" max="1" width="5" customWidth="1"/>
    <col min="4" max="5" width="9.140625" customWidth="1"/>
    <col min="6" max="6" width="22.7109375" customWidth="1"/>
    <col min="7" max="8" width="9.140625" customWidth="1"/>
    <col min="9" max="9" width="14.85546875" customWidth="1"/>
    <col min="10" max="11" width="15" customWidth="1"/>
    <col min="12" max="12" width="14.28515625" customWidth="1"/>
    <col min="14" max="14" width="10.28515625" bestFit="1" customWidth="1"/>
  </cols>
  <sheetData>
    <row r="4" spans="1:12" x14ac:dyDescent="0.25">
      <c r="A4" s="2" t="s">
        <v>638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2.5" customHeight="1" x14ac:dyDescent="0.25">
      <c r="A5" s="74" t="s">
        <v>0</v>
      </c>
      <c r="B5" s="75" t="s">
        <v>538</v>
      </c>
      <c r="C5" s="75" t="s">
        <v>2</v>
      </c>
      <c r="D5" s="75" t="s">
        <v>3</v>
      </c>
      <c r="E5" s="75" t="s">
        <v>5</v>
      </c>
      <c r="F5" s="75" t="s">
        <v>6</v>
      </c>
      <c r="G5" s="66" t="s">
        <v>539</v>
      </c>
      <c r="H5" s="76" t="s">
        <v>540</v>
      </c>
      <c r="I5" s="19" t="s">
        <v>377</v>
      </c>
      <c r="J5" s="19" t="s">
        <v>611</v>
      </c>
      <c r="K5" s="19" t="s">
        <v>639</v>
      </c>
      <c r="L5" s="19" t="s">
        <v>610</v>
      </c>
    </row>
    <row r="6" spans="1:12" s="18" customFormat="1" x14ac:dyDescent="0.25">
      <c r="A6" s="10">
        <v>1</v>
      </c>
      <c r="B6" s="11">
        <v>45941</v>
      </c>
      <c r="C6" s="12" t="s">
        <v>585</v>
      </c>
      <c r="D6" s="13" t="s">
        <v>582</v>
      </c>
      <c r="E6" s="13" t="s">
        <v>13</v>
      </c>
      <c r="F6" s="15" t="s">
        <v>14</v>
      </c>
      <c r="G6" s="15" t="s">
        <v>15</v>
      </c>
      <c r="H6" s="16">
        <v>14</v>
      </c>
      <c r="I6" s="45">
        <v>91200</v>
      </c>
      <c r="J6" s="17">
        <f>+I6-K6-1250</f>
        <v>73078</v>
      </c>
      <c r="K6" s="17">
        <f>I6/100*18.5</f>
        <v>16872</v>
      </c>
      <c r="L6" s="15"/>
    </row>
    <row r="7" spans="1:12" s="18" customFormat="1" x14ac:dyDescent="0.25">
      <c r="A7" s="10">
        <v>2</v>
      </c>
      <c r="B7" s="11">
        <v>45941</v>
      </c>
      <c r="C7" s="12" t="s">
        <v>584</v>
      </c>
      <c r="D7" s="13" t="s">
        <v>582</v>
      </c>
      <c r="E7" s="13" t="s">
        <v>13</v>
      </c>
      <c r="F7" s="15" t="s">
        <v>14</v>
      </c>
      <c r="G7" s="15" t="s">
        <v>15</v>
      </c>
      <c r="H7" s="16">
        <v>14</v>
      </c>
      <c r="I7" s="45">
        <v>37872</v>
      </c>
      <c r="J7" s="17">
        <f t="shared" ref="J7:J23" si="0">+I7-K7-1250</f>
        <v>29615.68</v>
      </c>
      <c r="K7" s="17">
        <f t="shared" ref="K7:K24" si="1">I7/100*18.5</f>
        <v>7006.3200000000006</v>
      </c>
      <c r="L7" s="15"/>
    </row>
    <row r="8" spans="1:12" s="18" customFormat="1" x14ac:dyDescent="0.25">
      <c r="A8" s="10">
        <v>3</v>
      </c>
      <c r="B8" s="11">
        <v>45943</v>
      </c>
      <c r="C8" s="12" t="s">
        <v>593</v>
      </c>
      <c r="D8" s="13" t="s">
        <v>582</v>
      </c>
      <c r="E8" s="13" t="s">
        <v>13</v>
      </c>
      <c r="F8" s="15" t="s">
        <v>14</v>
      </c>
      <c r="G8" s="15" t="s">
        <v>15</v>
      </c>
      <c r="H8" s="16">
        <v>12</v>
      </c>
      <c r="I8" s="45">
        <v>155450</v>
      </c>
      <c r="J8" s="17">
        <f t="shared" si="0"/>
        <v>125441.75</v>
      </c>
      <c r="K8" s="17">
        <f t="shared" si="1"/>
        <v>28758.25</v>
      </c>
      <c r="L8" s="15"/>
    </row>
    <row r="9" spans="1:12" s="18" customFormat="1" x14ac:dyDescent="0.25">
      <c r="A9" s="10">
        <v>4</v>
      </c>
      <c r="B9" s="11">
        <v>45944</v>
      </c>
      <c r="C9" s="12" t="s">
        <v>594</v>
      </c>
      <c r="D9" s="13" t="s">
        <v>582</v>
      </c>
      <c r="E9" s="13" t="s">
        <v>13</v>
      </c>
      <c r="F9" s="15" t="s">
        <v>14</v>
      </c>
      <c r="G9" s="15" t="s">
        <v>15</v>
      </c>
      <c r="H9" s="16">
        <v>11</v>
      </c>
      <c r="I9" s="45">
        <v>18597</v>
      </c>
      <c r="J9" s="17">
        <f t="shared" si="0"/>
        <v>13906.555</v>
      </c>
      <c r="K9" s="17">
        <f t="shared" si="1"/>
        <v>3440.4450000000002</v>
      </c>
      <c r="L9" s="15"/>
    </row>
    <row r="10" spans="1:12" s="18" customFormat="1" x14ac:dyDescent="0.25">
      <c r="A10" s="10">
        <v>5</v>
      </c>
      <c r="B10" s="11">
        <v>45945</v>
      </c>
      <c r="C10" s="12" t="s">
        <v>596</v>
      </c>
      <c r="D10" s="13" t="s">
        <v>582</v>
      </c>
      <c r="E10" s="13" t="s">
        <v>13</v>
      </c>
      <c r="F10" s="15" t="s">
        <v>14</v>
      </c>
      <c r="G10" s="15" t="s">
        <v>15</v>
      </c>
      <c r="H10" s="16">
        <v>10</v>
      </c>
      <c r="I10" s="45">
        <v>359500</v>
      </c>
      <c r="J10" s="17">
        <f t="shared" si="0"/>
        <v>291742.5</v>
      </c>
      <c r="K10" s="17">
        <f t="shared" si="1"/>
        <v>66507.5</v>
      </c>
      <c r="L10" s="15"/>
    </row>
    <row r="11" spans="1:12" s="18" customFormat="1" x14ac:dyDescent="0.25">
      <c r="A11" s="10">
        <v>6</v>
      </c>
      <c r="B11" s="11">
        <v>45946</v>
      </c>
      <c r="C11" s="12" t="s">
        <v>597</v>
      </c>
      <c r="D11" s="13" t="s">
        <v>582</v>
      </c>
      <c r="E11" s="13" t="s">
        <v>13</v>
      </c>
      <c r="F11" s="15" t="s">
        <v>14</v>
      </c>
      <c r="G11" s="15" t="s">
        <v>15</v>
      </c>
      <c r="H11" s="16">
        <v>9</v>
      </c>
      <c r="I11" s="45">
        <v>71925</v>
      </c>
      <c r="J11" s="17">
        <f t="shared" si="0"/>
        <v>57368.875</v>
      </c>
      <c r="K11" s="17">
        <f t="shared" si="1"/>
        <v>13306.125</v>
      </c>
      <c r="L11" s="15"/>
    </row>
    <row r="12" spans="1:12" s="18" customFormat="1" x14ac:dyDescent="0.25">
      <c r="A12" s="10">
        <v>7</v>
      </c>
      <c r="B12" s="11">
        <v>45947</v>
      </c>
      <c r="C12" s="12" t="s">
        <v>603</v>
      </c>
      <c r="D12" s="13" t="s">
        <v>582</v>
      </c>
      <c r="E12" s="13" t="s">
        <v>13</v>
      </c>
      <c r="F12" s="15" t="s">
        <v>14</v>
      </c>
      <c r="G12" s="15" t="s">
        <v>15</v>
      </c>
      <c r="H12" s="16">
        <v>8</v>
      </c>
      <c r="I12" s="45">
        <v>75780</v>
      </c>
      <c r="J12" s="17">
        <f t="shared" si="0"/>
        <v>60510.7</v>
      </c>
      <c r="K12" s="17">
        <f t="shared" si="1"/>
        <v>14019.3</v>
      </c>
      <c r="L12" s="15"/>
    </row>
    <row r="13" spans="1:12" s="18" customFormat="1" x14ac:dyDescent="0.25">
      <c r="A13" s="10">
        <v>8</v>
      </c>
      <c r="B13" s="11">
        <v>45947</v>
      </c>
      <c r="C13" s="12" t="s">
        <v>600</v>
      </c>
      <c r="D13" s="13" t="s">
        <v>582</v>
      </c>
      <c r="E13" s="13" t="s">
        <v>13</v>
      </c>
      <c r="F13" s="15" t="s">
        <v>14</v>
      </c>
      <c r="G13" s="15" t="s">
        <v>15</v>
      </c>
      <c r="H13" s="16">
        <v>8</v>
      </c>
      <c r="I13" s="45">
        <v>43655</v>
      </c>
      <c r="J13" s="17">
        <f t="shared" si="0"/>
        <v>34328.824999999997</v>
      </c>
      <c r="K13" s="17">
        <f t="shared" si="1"/>
        <v>8076.1750000000002</v>
      </c>
      <c r="L13" s="15"/>
    </row>
    <row r="14" spans="1:12" s="18" customFormat="1" x14ac:dyDescent="0.25">
      <c r="A14" s="10">
        <v>9</v>
      </c>
      <c r="B14" s="11">
        <v>45947</v>
      </c>
      <c r="C14" s="12" t="s">
        <v>602</v>
      </c>
      <c r="D14" s="13" t="s">
        <v>582</v>
      </c>
      <c r="E14" s="13" t="s">
        <v>13</v>
      </c>
      <c r="F14" s="15" t="s">
        <v>14</v>
      </c>
      <c r="G14" s="15" t="s">
        <v>15</v>
      </c>
      <c r="H14" s="16">
        <v>8</v>
      </c>
      <c r="I14" s="45">
        <v>71925</v>
      </c>
      <c r="J14" s="17">
        <f t="shared" si="0"/>
        <v>57368.875</v>
      </c>
      <c r="K14" s="17">
        <f t="shared" si="1"/>
        <v>13306.125</v>
      </c>
      <c r="L14" s="15"/>
    </row>
    <row r="15" spans="1:12" s="18" customFormat="1" x14ac:dyDescent="0.25">
      <c r="A15" s="10">
        <v>10</v>
      </c>
      <c r="B15" s="11">
        <v>45947</v>
      </c>
      <c r="C15" s="12" t="s">
        <v>599</v>
      </c>
      <c r="D15" s="13" t="s">
        <v>582</v>
      </c>
      <c r="E15" s="13" t="s">
        <v>13</v>
      </c>
      <c r="F15" s="15" t="s">
        <v>14</v>
      </c>
      <c r="G15" s="15" t="s">
        <v>15</v>
      </c>
      <c r="H15" s="16">
        <v>8</v>
      </c>
      <c r="I15" s="45">
        <v>31447</v>
      </c>
      <c r="J15" s="17">
        <f t="shared" si="0"/>
        <v>24379.305</v>
      </c>
      <c r="K15" s="17">
        <f t="shared" si="1"/>
        <v>5817.6950000000006</v>
      </c>
      <c r="L15" s="15"/>
    </row>
    <row r="16" spans="1:12" s="18" customFormat="1" x14ac:dyDescent="0.25">
      <c r="A16" s="10">
        <v>11</v>
      </c>
      <c r="B16" s="11">
        <v>45947</v>
      </c>
      <c r="C16" s="12" t="s">
        <v>601</v>
      </c>
      <c r="D16" s="13" t="s">
        <v>582</v>
      </c>
      <c r="E16" s="13" t="s">
        <v>13</v>
      </c>
      <c r="F16" s="15" t="s">
        <v>14</v>
      </c>
      <c r="G16" s="15" t="s">
        <v>15</v>
      </c>
      <c r="H16" s="16">
        <v>8</v>
      </c>
      <c r="I16" s="45">
        <v>49437</v>
      </c>
      <c r="J16" s="17">
        <f t="shared" si="0"/>
        <v>39041.154999999999</v>
      </c>
      <c r="K16" s="17">
        <f t="shared" si="1"/>
        <v>9145.8449999999993</v>
      </c>
      <c r="L16" s="15"/>
    </row>
    <row r="17" spans="1:12" s="18" customFormat="1" x14ac:dyDescent="0.25">
      <c r="A17" s="10">
        <v>12</v>
      </c>
      <c r="B17" s="11">
        <v>45948</v>
      </c>
      <c r="C17" s="12" t="s">
        <v>614</v>
      </c>
      <c r="D17" s="13" t="s">
        <v>582</v>
      </c>
      <c r="E17" s="13" t="s">
        <v>13</v>
      </c>
      <c r="F17" s="15" t="s">
        <v>14</v>
      </c>
      <c r="G17" s="15" t="s">
        <v>15</v>
      </c>
      <c r="H17" s="16">
        <v>7</v>
      </c>
      <c r="I17" s="45">
        <v>155450</v>
      </c>
      <c r="J17" s="17">
        <f t="shared" si="0"/>
        <v>125441.75</v>
      </c>
      <c r="K17" s="17">
        <f t="shared" si="1"/>
        <v>28758.25</v>
      </c>
      <c r="L17" s="15"/>
    </row>
    <row r="18" spans="1:12" s="18" customFormat="1" x14ac:dyDescent="0.25">
      <c r="A18" s="10">
        <v>13</v>
      </c>
      <c r="B18" s="11">
        <v>45948</v>
      </c>
      <c r="C18" s="12" t="s">
        <v>612</v>
      </c>
      <c r="D18" s="13" t="s">
        <v>582</v>
      </c>
      <c r="E18" s="13" t="s">
        <v>13</v>
      </c>
      <c r="F18" s="15" t="s">
        <v>14</v>
      </c>
      <c r="G18" s="15" t="s">
        <v>15</v>
      </c>
      <c r="H18" s="16">
        <v>7</v>
      </c>
      <c r="I18" s="45">
        <v>31447</v>
      </c>
      <c r="J18" s="17">
        <f t="shared" si="0"/>
        <v>24379.305</v>
      </c>
      <c r="K18" s="17">
        <f t="shared" si="1"/>
        <v>5817.6950000000006</v>
      </c>
      <c r="L18" s="15"/>
    </row>
    <row r="19" spans="1:12" s="18" customFormat="1" x14ac:dyDescent="0.25">
      <c r="A19" s="10">
        <v>14</v>
      </c>
      <c r="B19" s="11">
        <v>45948</v>
      </c>
      <c r="C19" s="12" t="s">
        <v>613</v>
      </c>
      <c r="D19" s="13" t="s">
        <v>582</v>
      </c>
      <c r="E19" s="13" t="s">
        <v>13</v>
      </c>
      <c r="F19" s="15" t="s">
        <v>14</v>
      </c>
      <c r="G19" s="15" t="s">
        <v>15</v>
      </c>
      <c r="H19" s="16">
        <v>7</v>
      </c>
      <c r="I19" s="45">
        <v>50750</v>
      </c>
      <c r="J19" s="17">
        <f t="shared" si="0"/>
        <v>40111.25</v>
      </c>
      <c r="K19" s="17">
        <f t="shared" si="1"/>
        <v>9388.75</v>
      </c>
      <c r="L19" s="15"/>
    </row>
    <row r="20" spans="1:12" s="18" customFormat="1" x14ac:dyDescent="0.25">
      <c r="A20" s="10">
        <v>15</v>
      </c>
      <c r="B20" s="11">
        <v>45950</v>
      </c>
      <c r="C20" s="12" t="s">
        <v>616</v>
      </c>
      <c r="D20" s="13" t="s">
        <v>582</v>
      </c>
      <c r="E20" s="13" t="s">
        <v>13</v>
      </c>
      <c r="F20" s="15" t="s">
        <v>14</v>
      </c>
      <c r="G20" s="15" t="s">
        <v>15</v>
      </c>
      <c r="H20" s="16">
        <v>5</v>
      </c>
      <c r="I20" s="17">
        <v>59717</v>
      </c>
      <c r="J20" s="17">
        <f t="shared" si="0"/>
        <v>47419.355000000003</v>
      </c>
      <c r="K20" s="17">
        <f t="shared" si="1"/>
        <v>11047.644999999999</v>
      </c>
      <c r="L20" s="15"/>
    </row>
    <row r="21" spans="1:12" s="18" customFormat="1" x14ac:dyDescent="0.25">
      <c r="A21" s="10">
        <v>16</v>
      </c>
      <c r="B21" s="11">
        <v>45950</v>
      </c>
      <c r="C21" s="12" t="s">
        <v>615</v>
      </c>
      <c r="D21" s="13" t="s">
        <v>582</v>
      </c>
      <c r="E21" s="13" t="s">
        <v>13</v>
      </c>
      <c r="F21" s="15" t="s">
        <v>14</v>
      </c>
      <c r="G21" s="15" t="s">
        <v>15</v>
      </c>
      <c r="H21" s="16">
        <v>5</v>
      </c>
      <c r="I21" s="17">
        <v>25665</v>
      </c>
      <c r="J21" s="17">
        <f t="shared" si="0"/>
        <v>19666.974999999999</v>
      </c>
      <c r="K21" s="17">
        <f t="shared" si="1"/>
        <v>4748.0249999999996</v>
      </c>
      <c r="L21" s="15"/>
    </row>
    <row r="22" spans="1:12" s="18" customFormat="1" x14ac:dyDescent="0.25">
      <c r="A22" s="10">
        <v>17</v>
      </c>
      <c r="B22" s="11">
        <v>45950</v>
      </c>
      <c r="C22" s="12" t="s">
        <v>630</v>
      </c>
      <c r="D22" s="13" t="s">
        <v>582</v>
      </c>
      <c r="E22" s="13" t="s">
        <v>13</v>
      </c>
      <c r="F22" s="15" t="s">
        <v>14</v>
      </c>
      <c r="G22" s="15" t="s">
        <v>15</v>
      </c>
      <c r="H22" s="16">
        <v>-25</v>
      </c>
      <c r="I22" s="17">
        <v>143850</v>
      </c>
      <c r="J22" s="17">
        <f t="shared" si="0"/>
        <v>115987.75</v>
      </c>
      <c r="K22" s="17">
        <f t="shared" si="1"/>
        <v>26612.25</v>
      </c>
      <c r="L22" s="15"/>
    </row>
    <row r="23" spans="1:12" s="18" customFormat="1" x14ac:dyDescent="0.25">
      <c r="A23" s="10">
        <v>18</v>
      </c>
      <c r="B23" s="11">
        <v>45951</v>
      </c>
      <c r="C23" s="12" t="s">
        <v>619</v>
      </c>
      <c r="D23" s="13" t="s">
        <v>582</v>
      </c>
      <c r="E23" s="13" t="s">
        <v>13</v>
      </c>
      <c r="F23" s="15" t="s">
        <v>14</v>
      </c>
      <c r="G23" s="15" t="s">
        <v>15</v>
      </c>
      <c r="H23" s="16">
        <v>4</v>
      </c>
      <c r="I23" s="17">
        <v>90557</v>
      </c>
      <c r="J23" s="17">
        <f t="shared" si="0"/>
        <v>72553.955000000002</v>
      </c>
      <c r="K23" s="17">
        <f t="shared" si="1"/>
        <v>16753.045000000002</v>
      </c>
      <c r="L23" s="15"/>
    </row>
    <row r="24" spans="1:12" s="18" customFormat="1" x14ac:dyDescent="0.25">
      <c r="A24" s="10">
        <v>19</v>
      </c>
      <c r="B24" s="11">
        <v>45951</v>
      </c>
      <c r="C24" s="12" t="s">
        <v>618</v>
      </c>
      <c r="D24" s="13" t="s">
        <v>582</v>
      </c>
      <c r="E24" s="13" t="s">
        <v>13</v>
      </c>
      <c r="F24" s="15" t="s">
        <v>14</v>
      </c>
      <c r="G24" s="15" t="s">
        <v>15</v>
      </c>
      <c r="H24" s="16">
        <v>4</v>
      </c>
      <c r="I24" s="17">
        <v>48795</v>
      </c>
      <c r="J24" s="17">
        <f>+I24-K24-1250</f>
        <v>38517.925000000003</v>
      </c>
      <c r="K24" s="17">
        <f t="shared" si="1"/>
        <v>9027.0749999999989</v>
      </c>
      <c r="L24" s="15"/>
    </row>
    <row r="25" spans="1:12" s="18" customFormat="1" x14ac:dyDescent="0.25">
      <c r="A25" s="10">
        <v>20</v>
      </c>
      <c r="B25" s="11">
        <v>45943</v>
      </c>
      <c r="C25" s="12" t="s">
        <v>590</v>
      </c>
      <c r="D25" s="13" t="s">
        <v>582</v>
      </c>
      <c r="E25" s="13" t="s">
        <v>13</v>
      </c>
      <c r="F25" s="15" t="s">
        <v>14</v>
      </c>
      <c r="G25" s="15" t="s">
        <v>15</v>
      </c>
      <c r="H25" s="16">
        <v>12</v>
      </c>
      <c r="I25" s="45">
        <v>59717</v>
      </c>
      <c r="J25" s="17">
        <v>0</v>
      </c>
      <c r="K25" s="17">
        <v>0</v>
      </c>
      <c r="L25" s="15" t="s">
        <v>607</v>
      </c>
    </row>
    <row r="26" spans="1:12" s="18" customFormat="1" x14ac:dyDescent="0.25">
      <c r="A26" s="10">
        <v>21</v>
      </c>
      <c r="B26" s="11">
        <v>45946</v>
      </c>
      <c r="C26" s="12" t="s">
        <v>598</v>
      </c>
      <c r="D26" s="13" t="s">
        <v>582</v>
      </c>
      <c r="E26" s="13" t="s">
        <v>13</v>
      </c>
      <c r="F26" s="15" t="s">
        <v>14</v>
      </c>
      <c r="G26" s="15" t="s">
        <v>15</v>
      </c>
      <c r="H26" s="16">
        <v>9</v>
      </c>
      <c r="I26" s="45">
        <v>239750</v>
      </c>
      <c r="J26" s="17">
        <v>0</v>
      </c>
      <c r="K26" s="17">
        <v>0</v>
      </c>
      <c r="L26" s="15" t="s">
        <v>607</v>
      </c>
    </row>
    <row r="27" spans="1:12" s="18" customFormat="1" x14ac:dyDescent="0.25">
      <c r="A27" s="10">
        <v>22</v>
      </c>
      <c r="B27" s="11">
        <v>45950</v>
      </c>
      <c r="C27" s="12" t="s">
        <v>617</v>
      </c>
      <c r="D27" s="13" t="s">
        <v>582</v>
      </c>
      <c r="E27" s="13" t="s">
        <v>13</v>
      </c>
      <c r="F27" s="15" t="s">
        <v>14</v>
      </c>
      <c r="G27" s="15" t="s">
        <v>15</v>
      </c>
      <c r="H27" s="16">
        <v>5</v>
      </c>
      <c r="I27" s="17">
        <v>60360</v>
      </c>
      <c r="J27" s="17">
        <v>0</v>
      </c>
      <c r="K27" s="17">
        <v>0</v>
      </c>
      <c r="L27" s="15" t="s">
        <v>607</v>
      </c>
    </row>
    <row r="28" spans="1:12" s="18" customFormat="1" x14ac:dyDescent="0.25">
      <c r="A28" s="10">
        <v>23</v>
      </c>
      <c r="B28" s="11">
        <v>45951</v>
      </c>
      <c r="C28" s="12" t="s">
        <v>620</v>
      </c>
      <c r="D28" s="13" t="s">
        <v>582</v>
      </c>
      <c r="E28" s="13" t="s">
        <v>13</v>
      </c>
      <c r="F28" s="15" t="s">
        <v>14</v>
      </c>
      <c r="G28" s="15" t="s">
        <v>15</v>
      </c>
      <c r="H28" s="16">
        <v>4</v>
      </c>
      <c r="I28" s="17">
        <v>240224</v>
      </c>
      <c r="J28" s="17">
        <v>0</v>
      </c>
      <c r="K28" s="17">
        <v>0</v>
      </c>
      <c r="L28" s="15" t="s">
        <v>607</v>
      </c>
    </row>
    <row r="29" spans="1:12" s="18" customFormat="1" x14ac:dyDescent="0.25">
      <c r="A29" s="10">
        <v>24</v>
      </c>
      <c r="B29" s="11">
        <v>45952</v>
      </c>
      <c r="C29" s="12" t="s">
        <v>621</v>
      </c>
      <c r="D29" s="13" t="s">
        <v>582</v>
      </c>
      <c r="E29" s="13" t="s">
        <v>13</v>
      </c>
      <c r="F29" s="15" t="s">
        <v>14</v>
      </c>
      <c r="G29" s="15" t="s">
        <v>15</v>
      </c>
      <c r="H29" s="16">
        <v>3</v>
      </c>
      <c r="I29" s="17">
        <v>48795</v>
      </c>
      <c r="J29" s="17">
        <v>0</v>
      </c>
      <c r="K29" s="17">
        <v>0</v>
      </c>
      <c r="L29" s="15" t="s">
        <v>607</v>
      </c>
    </row>
    <row r="30" spans="1:12" s="18" customFormat="1" x14ac:dyDescent="0.25">
      <c r="A30" s="10">
        <v>25</v>
      </c>
      <c r="B30" s="11">
        <v>45953</v>
      </c>
      <c r="C30" s="12" t="s">
        <v>622</v>
      </c>
      <c r="D30" s="13" t="s">
        <v>582</v>
      </c>
      <c r="E30" s="13" t="s">
        <v>13</v>
      </c>
      <c r="F30" s="15" t="s">
        <v>14</v>
      </c>
      <c r="G30" s="15" t="s">
        <v>15</v>
      </c>
      <c r="H30" s="16">
        <v>2</v>
      </c>
      <c r="I30" s="17">
        <v>31447</v>
      </c>
      <c r="J30" s="17">
        <v>0</v>
      </c>
      <c r="K30" s="17">
        <v>0</v>
      </c>
      <c r="L30" s="15" t="s">
        <v>607</v>
      </c>
    </row>
    <row r="31" spans="1:12" s="18" customFormat="1" x14ac:dyDescent="0.25">
      <c r="A31" s="10">
        <v>26</v>
      </c>
      <c r="B31" s="11">
        <v>45953</v>
      </c>
      <c r="C31" s="12" t="s">
        <v>623</v>
      </c>
      <c r="D31" s="13" t="s">
        <v>582</v>
      </c>
      <c r="E31" s="13" t="s">
        <v>13</v>
      </c>
      <c r="F31" s="15" t="s">
        <v>14</v>
      </c>
      <c r="G31" s="15" t="s">
        <v>15</v>
      </c>
      <c r="H31" s="16">
        <v>2</v>
      </c>
      <c r="I31" s="17">
        <v>74500</v>
      </c>
      <c r="J31" s="17">
        <v>0</v>
      </c>
      <c r="K31" s="17">
        <v>0</v>
      </c>
      <c r="L31" s="15" t="s">
        <v>607</v>
      </c>
    </row>
    <row r="32" spans="1:12" s="18" customFormat="1" x14ac:dyDescent="0.25">
      <c r="A32" s="10">
        <v>27</v>
      </c>
      <c r="B32" s="11">
        <v>45953</v>
      </c>
      <c r="C32" s="12" t="s">
        <v>624</v>
      </c>
      <c r="D32" s="13" t="s">
        <v>582</v>
      </c>
      <c r="E32" s="13" t="s">
        <v>13</v>
      </c>
      <c r="F32" s="15" t="s">
        <v>14</v>
      </c>
      <c r="G32" s="15" t="s">
        <v>15</v>
      </c>
      <c r="H32" s="16">
        <v>2</v>
      </c>
      <c r="I32" s="17">
        <v>107905</v>
      </c>
      <c r="J32" s="17">
        <v>0</v>
      </c>
      <c r="K32" s="17">
        <v>0</v>
      </c>
      <c r="L32" s="15" t="s">
        <v>607</v>
      </c>
    </row>
    <row r="33" spans="1:14" s="18" customFormat="1" x14ac:dyDescent="0.25">
      <c r="A33" s="10">
        <v>28</v>
      </c>
      <c r="B33" s="11">
        <v>45953</v>
      </c>
      <c r="C33" s="12" t="s">
        <v>625</v>
      </c>
      <c r="D33" s="13" t="s">
        <v>582</v>
      </c>
      <c r="E33" s="13" t="s">
        <v>13</v>
      </c>
      <c r="F33" s="15" t="s">
        <v>14</v>
      </c>
      <c r="G33" s="15" t="s">
        <v>15</v>
      </c>
      <c r="H33" s="16">
        <v>2</v>
      </c>
      <c r="I33" s="17">
        <v>194000</v>
      </c>
      <c r="J33" s="17">
        <v>0</v>
      </c>
      <c r="K33" s="17">
        <v>0</v>
      </c>
      <c r="L33" s="15" t="s">
        <v>607</v>
      </c>
    </row>
    <row r="34" spans="1:14" s="18" customFormat="1" x14ac:dyDescent="0.25">
      <c r="A34" s="10">
        <v>29</v>
      </c>
      <c r="B34" s="11">
        <v>45954</v>
      </c>
      <c r="C34" s="12" t="s">
        <v>626</v>
      </c>
      <c r="D34" s="13" t="s">
        <v>582</v>
      </c>
      <c r="E34" s="13" t="s">
        <v>13</v>
      </c>
      <c r="F34" s="15" t="s">
        <v>14</v>
      </c>
      <c r="G34" s="15" t="s">
        <v>15</v>
      </c>
      <c r="H34" s="16">
        <v>1</v>
      </c>
      <c r="I34" s="17">
        <v>41050</v>
      </c>
      <c r="J34" s="17">
        <v>0</v>
      </c>
      <c r="K34" s="17">
        <v>0</v>
      </c>
      <c r="L34" s="15" t="s">
        <v>607</v>
      </c>
    </row>
    <row r="35" spans="1:14" s="18" customFormat="1" x14ac:dyDescent="0.25">
      <c r="A35" s="10">
        <v>30</v>
      </c>
      <c r="B35" s="11">
        <v>45954</v>
      </c>
      <c r="C35" s="12" t="s">
        <v>627</v>
      </c>
      <c r="D35" s="13" t="s">
        <v>582</v>
      </c>
      <c r="E35" s="13" t="s">
        <v>13</v>
      </c>
      <c r="F35" s="15" t="s">
        <v>14</v>
      </c>
      <c r="G35" s="15" t="s">
        <v>15</v>
      </c>
      <c r="H35" s="16">
        <v>1</v>
      </c>
      <c r="I35" s="17">
        <v>102765</v>
      </c>
      <c r="J35" s="17">
        <v>0</v>
      </c>
      <c r="K35" s="17">
        <v>0</v>
      </c>
      <c r="L35" s="15" t="s">
        <v>607</v>
      </c>
    </row>
    <row r="36" spans="1:14" s="18" customFormat="1" x14ac:dyDescent="0.25">
      <c r="A36" s="10">
        <v>31</v>
      </c>
      <c r="B36" s="11">
        <v>45954</v>
      </c>
      <c r="C36" s="12" t="s">
        <v>628</v>
      </c>
      <c r="D36" s="13" t="s">
        <v>582</v>
      </c>
      <c r="E36" s="13" t="s">
        <v>13</v>
      </c>
      <c r="F36" s="15" t="s">
        <v>14</v>
      </c>
      <c r="G36" s="15" t="s">
        <v>15</v>
      </c>
      <c r="H36" s="16">
        <v>1</v>
      </c>
      <c r="I36" s="17">
        <v>174725</v>
      </c>
      <c r="J36" s="17">
        <v>0</v>
      </c>
      <c r="K36" s="17">
        <v>0</v>
      </c>
      <c r="L36" s="15" t="s">
        <v>607</v>
      </c>
    </row>
    <row r="37" spans="1:14" s="18" customFormat="1" x14ac:dyDescent="0.25">
      <c r="A37" s="10">
        <v>32</v>
      </c>
      <c r="B37" s="11">
        <v>45954</v>
      </c>
      <c r="C37" s="12" t="s">
        <v>629</v>
      </c>
      <c r="D37" s="13" t="s">
        <v>582</v>
      </c>
      <c r="E37" s="13" t="s">
        <v>13</v>
      </c>
      <c r="F37" s="15" t="s">
        <v>14</v>
      </c>
      <c r="G37" s="15" t="s">
        <v>15</v>
      </c>
      <c r="H37" s="16">
        <v>1</v>
      </c>
      <c r="I37" s="17">
        <v>213275</v>
      </c>
      <c r="J37" s="17">
        <v>0</v>
      </c>
      <c r="K37" s="17">
        <v>0</v>
      </c>
      <c r="L37" s="15" t="s">
        <v>607</v>
      </c>
    </row>
    <row r="38" spans="1:14" s="18" customFormat="1" x14ac:dyDescent="0.25">
      <c r="A38" s="10">
        <v>33</v>
      </c>
      <c r="B38" s="11">
        <v>45950</v>
      </c>
      <c r="C38" s="12" t="s">
        <v>631</v>
      </c>
      <c r="D38" s="13" t="s">
        <v>582</v>
      </c>
      <c r="E38" s="13" t="s">
        <v>13</v>
      </c>
      <c r="F38" s="15" t="s">
        <v>14</v>
      </c>
      <c r="G38" s="15" t="s">
        <v>15</v>
      </c>
      <c r="H38" s="16">
        <v>-55</v>
      </c>
      <c r="I38" s="17">
        <v>109190</v>
      </c>
      <c r="J38" s="17">
        <v>0</v>
      </c>
      <c r="K38" s="17">
        <v>0</v>
      </c>
      <c r="L38" s="15" t="s">
        <v>607</v>
      </c>
    </row>
    <row r="39" spans="1:14" s="18" customFormat="1" x14ac:dyDescent="0.25">
      <c r="A39" s="66"/>
      <c r="B39" s="67"/>
      <c r="C39" s="66"/>
      <c r="D39" s="68"/>
      <c r="E39" s="68"/>
      <c r="F39" s="58" t="s">
        <v>349</v>
      </c>
      <c r="G39" s="69"/>
      <c r="H39" s="69"/>
      <c r="I39" s="19">
        <f>SUM(I3:I38)</f>
        <v>3310722</v>
      </c>
      <c r="J39" s="77">
        <f>SUM(J6:J38)</f>
        <v>1290860.4850000001</v>
      </c>
      <c r="K39" s="77">
        <f>SUM(K6:K38)</f>
        <v>298408.51500000001</v>
      </c>
      <c r="L39" s="58"/>
    </row>
    <row r="40" spans="1:14" s="18" customFormat="1" x14ac:dyDescent="0.25">
      <c r="A40" s="10">
        <v>1</v>
      </c>
      <c r="B40" s="11">
        <v>45931</v>
      </c>
      <c r="C40" s="12" t="s">
        <v>561</v>
      </c>
      <c r="D40" s="13" t="s">
        <v>582</v>
      </c>
      <c r="E40" s="13" t="s">
        <v>351</v>
      </c>
      <c r="F40" s="15" t="s">
        <v>352</v>
      </c>
      <c r="G40" s="15" t="s">
        <v>15</v>
      </c>
      <c r="H40" s="16">
        <v>24</v>
      </c>
      <c r="I40" s="45">
        <v>54950</v>
      </c>
      <c r="J40" s="17">
        <f t="shared" ref="J40:J43" si="2">+I40-K40-1250</f>
        <v>43534.25</v>
      </c>
      <c r="K40" s="17">
        <f t="shared" ref="K40:K41" si="3">I40/100*18.5</f>
        <v>10165.75</v>
      </c>
      <c r="L40" s="15"/>
      <c r="N40"/>
    </row>
    <row r="41" spans="1:14" s="18" customFormat="1" x14ac:dyDescent="0.25">
      <c r="A41" s="10">
        <v>2</v>
      </c>
      <c r="B41" s="11">
        <v>45931</v>
      </c>
      <c r="C41" s="12" t="s">
        <v>560</v>
      </c>
      <c r="D41" s="13" t="s">
        <v>582</v>
      </c>
      <c r="E41" s="13" t="s">
        <v>351</v>
      </c>
      <c r="F41" s="15" t="s">
        <v>352</v>
      </c>
      <c r="G41" s="15" t="s">
        <v>15</v>
      </c>
      <c r="H41" s="16">
        <v>24</v>
      </c>
      <c r="I41" s="45">
        <v>86950</v>
      </c>
      <c r="J41" s="17">
        <f t="shared" si="2"/>
        <v>69614.25</v>
      </c>
      <c r="K41" s="17">
        <f t="shared" si="3"/>
        <v>16085.75</v>
      </c>
      <c r="L41" s="15"/>
      <c r="N41"/>
    </row>
    <row r="42" spans="1:14" s="18" customFormat="1" x14ac:dyDescent="0.25">
      <c r="A42" s="10">
        <v>3</v>
      </c>
      <c r="B42" s="11">
        <v>45941</v>
      </c>
      <c r="C42" s="12" t="s">
        <v>604</v>
      </c>
      <c r="D42" s="13" t="s">
        <v>582</v>
      </c>
      <c r="E42" s="13" t="s">
        <v>351</v>
      </c>
      <c r="F42" s="15" t="s">
        <v>352</v>
      </c>
      <c r="G42" s="15" t="s">
        <v>15</v>
      </c>
      <c r="H42" s="16">
        <v>14</v>
      </c>
      <c r="I42" s="45">
        <v>118220</v>
      </c>
      <c r="J42" s="17"/>
      <c r="K42" s="17"/>
      <c r="L42" s="15" t="s">
        <v>607</v>
      </c>
      <c r="N42"/>
    </row>
    <row r="43" spans="1:14" s="18" customFormat="1" x14ac:dyDescent="0.25">
      <c r="A43" s="10">
        <v>4</v>
      </c>
      <c r="B43" s="11">
        <v>45945</v>
      </c>
      <c r="C43" s="12" t="s">
        <v>605</v>
      </c>
      <c r="D43" s="13" t="s">
        <v>582</v>
      </c>
      <c r="E43" s="13" t="s">
        <v>351</v>
      </c>
      <c r="F43" s="15" t="s">
        <v>352</v>
      </c>
      <c r="G43" s="15" t="s">
        <v>15</v>
      </c>
      <c r="H43" s="16">
        <v>10</v>
      </c>
      <c r="I43" s="45">
        <v>118220</v>
      </c>
      <c r="J43" s="17">
        <f t="shared" si="2"/>
        <v>95099.3</v>
      </c>
      <c r="K43" s="17">
        <f t="shared" ref="K43" si="4">I43/100*18.5</f>
        <v>21870.7</v>
      </c>
      <c r="L43" s="15"/>
    </row>
    <row r="44" spans="1:14" s="18" customFormat="1" x14ac:dyDescent="0.25">
      <c r="A44" s="10">
        <v>5</v>
      </c>
      <c r="B44" s="11">
        <v>45948</v>
      </c>
      <c r="C44" s="12" t="s">
        <v>632</v>
      </c>
      <c r="D44" s="13" t="s">
        <v>582</v>
      </c>
      <c r="E44" s="13" t="s">
        <v>351</v>
      </c>
      <c r="F44" s="15" t="s">
        <v>352</v>
      </c>
      <c r="G44" s="15" t="s">
        <v>15</v>
      </c>
      <c r="H44" s="16">
        <v>7</v>
      </c>
      <c r="I44" s="45">
        <v>101950</v>
      </c>
      <c r="J44" s="17"/>
      <c r="K44" s="17"/>
      <c r="L44" s="15" t="s">
        <v>607</v>
      </c>
    </row>
    <row r="45" spans="1:14" s="18" customFormat="1" x14ac:dyDescent="0.25">
      <c r="A45" s="10">
        <v>6</v>
      </c>
      <c r="B45" s="11">
        <v>45951</v>
      </c>
      <c r="C45" s="12" t="s">
        <v>633</v>
      </c>
      <c r="D45" s="13" t="s">
        <v>582</v>
      </c>
      <c r="E45" s="13" t="s">
        <v>351</v>
      </c>
      <c r="F45" s="15" t="s">
        <v>352</v>
      </c>
      <c r="G45" s="15" t="s">
        <v>15</v>
      </c>
      <c r="H45" s="16">
        <v>4</v>
      </c>
      <c r="I45" s="17">
        <v>57147</v>
      </c>
      <c r="J45" s="17"/>
      <c r="K45" s="17"/>
      <c r="L45" s="15" t="s">
        <v>607</v>
      </c>
    </row>
    <row r="46" spans="1:14" s="18" customFormat="1" x14ac:dyDescent="0.25">
      <c r="A46" s="10">
        <v>7</v>
      </c>
      <c r="B46" s="11">
        <v>45951</v>
      </c>
      <c r="C46" s="12" t="s">
        <v>634</v>
      </c>
      <c r="D46" s="13" t="s">
        <v>582</v>
      </c>
      <c r="E46" s="13" t="s">
        <v>351</v>
      </c>
      <c r="F46" s="15" t="s">
        <v>352</v>
      </c>
      <c r="G46" s="15" t="s">
        <v>15</v>
      </c>
      <c r="H46" s="16">
        <v>4</v>
      </c>
      <c r="I46" s="17">
        <v>101950</v>
      </c>
      <c r="J46" s="17"/>
      <c r="K46" s="17"/>
      <c r="L46" s="15" t="s">
        <v>607</v>
      </c>
    </row>
    <row r="47" spans="1:14" s="18" customFormat="1" x14ac:dyDescent="0.25">
      <c r="A47" s="10">
        <v>8</v>
      </c>
      <c r="B47" s="11">
        <v>45952</v>
      </c>
      <c r="C47" s="12" t="s">
        <v>635</v>
      </c>
      <c r="D47" s="13" t="s">
        <v>582</v>
      </c>
      <c r="E47" s="13" t="s">
        <v>351</v>
      </c>
      <c r="F47" s="15" t="s">
        <v>352</v>
      </c>
      <c r="G47" s="15" t="s">
        <v>15</v>
      </c>
      <c r="H47" s="16">
        <v>3</v>
      </c>
      <c r="I47" s="17">
        <v>91950</v>
      </c>
      <c r="J47" s="17"/>
      <c r="K47" s="17"/>
      <c r="L47" s="15" t="s">
        <v>607</v>
      </c>
    </row>
    <row r="48" spans="1:14" s="18" customFormat="1" x14ac:dyDescent="0.25">
      <c r="A48" s="10">
        <v>9</v>
      </c>
      <c r="B48" s="11">
        <v>45953</v>
      </c>
      <c r="C48" s="12" t="s">
        <v>636</v>
      </c>
      <c r="D48" s="13" t="s">
        <v>582</v>
      </c>
      <c r="E48" s="13" t="s">
        <v>351</v>
      </c>
      <c r="F48" s="15" t="s">
        <v>352</v>
      </c>
      <c r="G48" s="15" t="s">
        <v>15</v>
      </c>
      <c r="H48" s="16">
        <v>2</v>
      </c>
      <c r="I48" s="17">
        <v>62950</v>
      </c>
      <c r="J48" s="17"/>
      <c r="K48" s="17"/>
      <c r="L48" s="15" t="s">
        <v>607</v>
      </c>
    </row>
    <row r="49" spans="1:12" s="18" customFormat="1" x14ac:dyDescent="0.25">
      <c r="A49" s="10">
        <v>10</v>
      </c>
      <c r="B49" s="11">
        <v>45954</v>
      </c>
      <c r="C49" s="12" t="s">
        <v>637</v>
      </c>
      <c r="D49" s="13" t="s">
        <v>582</v>
      </c>
      <c r="E49" s="13" t="s">
        <v>351</v>
      </c>
      <c r="F49" s="15" t="s">
        <v>352</v>
      </c>
      <c r="G49" s="15" t="s">
        <v>15</v>
      </c>
      <c r="H49" s="53">
        <v>1</v>
      </c>
      <c r="I49" s="17">
        <v>112950</v>
      </c>
      <c r="J49" s="17"/>
      <c r="K49" s="17"/>
      <c r="L49" s="15" t="s">
        <v>607</v>
      </c>
    </row>
    <row r="50" spans="1:12" x14ac:dyDescent="0.25">
      <c r="A50" s="66"/>
      <c r="B50" s="67"/>
      <c r="C50" s="66"/>
      <c r="D50" s="68"/>
      <c r="E50" s="68"/>
      <c r="F50" s="58" t="s">
        <v>349</v>
      </c>
      <c r="G50" s="69"/>
      <c r="H50" s="69"/>
      <c r="I50" s="19">
        <f>SUM(I40:I49)</f>
        <v>907237</v>
      </c>
      <c r="J50" s="19">
        <f t="shared" ref="J50:K50" si="5">SUM(J40:J49)</f>
        <v>208247.8</v>
      </c>
      <c r="K50" s="19">
        <f t="shared" si="5"/>
        <v>48122.2</v>
      </c>
      <c r="L50" s="58"/>
    </row>
  </sheetData>
  <sortState ref="A6:M38">
    <sortCondition ref="M6:M38"/>
  </sortState>
  <conditionalFormatting sqref="J6:K38 J40:K49">
    <cfRule type="expression" dxfId="35" priority="12">
      <formula>AND(#REF!&gt;0,$H6&gt;89)</formula>
    </cfRule>
    <cfRule type="expression" dxfId="34" priority="13">
      <formula>AND(#REF!&gt;0,$H6&gt;59)</formula>
    </cfRule>
    <cfRule type="expression" dxfId="33" priority="14">
      <formula>AND(#REF!&gt;0,$H6&gt;44)</formula>
    </cfRule>
  </conditionalFormatting>
  <conditionalFormatting sqref="H6:H38 H40:H49">
    <cfRule type="cellIs" dxfId="32" priority="16" operator="greaterThan">
      <formula>0</formula>
    </cfRule>
  </conditionalFormatting>
  <conditionalFormatting sqref="B6:I38 B40:I49">
    <cfRule type="expression" dxfId="31" priority="17">
      <formula>AND(#REF!&gt;0,$H6&gt;89)</formula>
    </cfRule>
    <cfRule type="expression" dxfId="30" priority="18">
      <formula>AND(#REF!&gt;0,$H6&gt;59)</formula>
    </cfRule>
    <cfRule type="expression" dxfId="29" priority="19">
      <formula>AND(#REF!&gt;0,$H6&gt;44)</formula>
    </cfRule>
  </conditionalFormatting>
  <conditionalFormatting sqref="H5">
    <cfRule type="cellIs" dxfId="28" priority="15" operator="greaterThan">
      <formula>0</formula>
    </cfRule>
  </conditionalFormatting>
  <conditionalFormatting sqref="L6:L38 L40:L49">
    <cfRule type="expression" dxfId="27" priority="9">
      <formula>AND(#REF!&gt;0,$H6&gt;89)</formula>
    </cfRule>
    <cfRule type="expression" dxfId="26" priority="10">
      <formula>AND(#REF!&gt;0,$H6&gt;59)</formula>
    </cfRule>
    <cfRule type="expression" dxfId="25" priority="11">
      <formula>AND(#REF!&gt;0,$H6&gt;44)</formula>
    </cfRule>
  </conditionalFormatting>
  <conditionalFormatting sqref="G39:H39">
    <cfRule type="cellIs" dxfId="24" priority="5" operator="greaterThan">
      <formula>0</formula>
    </cfRule>
  </conditionalFormatting>
  <conditionalFormatting sqref="B39:L39">
    <cfRule type="expression" dxfId="23" priority="6">
      <formula>AND(#REF!&gt;0,$G39&gt;89)</formula>
    </cfRule>
    <cfRule type="expression" dxfId="22" priority="7">
      <formula>AND(#REF!&gt;0,$G39&gt;59)</formula>
    </cfRule>
    <cfRule type="expression" dxfId="21" priority="8">
      <formula>AND(#REF!&gt;0,$G39&gt;44)</formula>
    </cfRule>
  </conditionalFormatting>
  <conditionalFormatting sqref="G50:H50">
    <cfRule type="cellIs" dxfId="20" priority="1" operator="greaterThan">
      <formula>0</formula>
    </cfRule>
  </conditionalFormatting>
  <conditionalFormatting sqref="B50:L50">
    <cfRule type="expression" dxfId="19" priority="2">
      <formula>AND(#REF!&gt;0,$G50&gt;89)</formula>
    </cfRule>
    <cfRule type="expression" dxfId="18" priority="3">
      <formula>AND(#REF!&gt;0,$G50&gt;59)</formula>
    </cfRule>
    <cfRule type="expression" dxfId="17" priority="4">
      <formula>AND(#REF!&gt;0,$G50&gt;44)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tabSelected="1" topLeftCell="A46" zoomScale="89" zoomScaleNormal="89" workbookViewId="0">
      <selection activeCell="K29" sqref="K29"/>
    </sheetView>
  </sheetViews>
  <sheetFormatPr defaultColWidth="9.140625" defaultRowHeight="15" x14ac:dyDescent="0.25"/>
  <cols>
    <col min="1" max="1" width="5" customWidth="1"/>
    <col min="4" max="5" width="9.140625" customWidth="1"/>
    <col min="6" max="6" width="22.7109375" customWidth="1"/>
    <col min="7" max="7" width="19.28515625" bestFit="1" customWidth="1"/>
    <col min="8" max="8" width="10.85546875" bestFit="1" customWidth="1"/>
    <col min="9" max="9" width="14.85546875" customWidth="1"/>
    <col min="10" max="10" width="21.42578125" bestFit="1" customWidth="1"/>
    <col min="11" max="11" width="15.140625" bestFit="1" customWidth="1"/>
    <col min="12" max="12" width="14.42578125" bestFit="1" customWidth="1"/>
    <col min="13" max="13" width="23.7109375" style="80" bestFit="1" customWidth="1"/>
    <col min="14" max="14" width="16.28515625" bestFit="1" customWidth="1"/>
  </cols>
  <sheetData>
    <row r="1" spans="1:13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3" x14ac:dyDescent="0.25">
      <c r="A4" s="2" t="s">
        <v>671</v>
      </c>
      <c r="B4" s="3"/>
      <c r="C4" s="4"/>
      <c r="D4" s="4"/>
      <c r="E4" s="4"/>
      <c r="F4" s="4"/>
      <c r="G4" s="4"/>
      <c r="H4" s="4"/>
      <c r="I4" s="4"/>
    </row>
    <row r="5" spans="1:13" ht="27.75" customHeight="1" x14ac:dyDescent="0.25">
      <c r="A5" s="74" t="s">
        <v>0</v>
      </c>
      <c r="B5" s="75" t="s">
        <v>538</v>
      </c>
      <c r="C5" s="75" t="s">
        <v>2</v>
      </c>
      <c r="D5" s="75" t="s">
        <v>3</v>
      </c>
      <c r="E5" s="75" t="s">
        <v>5</v>
      </c>
      <c r="F5" s="75" t="s">
        <v>6</v>
      </c>
      <c r="G5" s="66" t="s">
        <v>539</v>
      </c>
      <c r="H5" s="76" t="s">
        <v>540</v>
      </c>
      <c r="I5" s="19" t="s">
        <v>377</v>
      </c>
      <c r="J5" s="19" t="s">
        <v>611</v>
      </c>
      <c r="K5" s="19" t="s">
        <v>639</v>
      </c>
      <c r="L5" s="19" t="s">
        <v>610</v>
      </c>
      <c r="M5" s="81"/>
    </row>
    <row r="6" spans="1:13" s="18" customFormat="1" x14ac:dyDescent="0.25">
      <c r="A6" s="10">
        <v>1</v>
      </c>
      <c r="B6" s="11">
        <v>45943</v>
      </c>
      <c r="C6" s="12" t="s">
        <v>590</v>
      </c>
      <c r="D6" s="13" t="s">
        <v>582</v>
      </c>
      <c r="E6" s="13" t="s">
        <v>13</v>
      </c>
      <c r="F6" s="15" t="s">
        <v>14</v>
      </c>
      <c r="G6" s="15" t="s">
        <v>15</v>
      </c>
      <c r="H6" s="16">
        <v>19</v>
      </c>
      <c r="I6" s="45">
        <v>59717</v>
      </c>
      <c r="J6" s="94">
        <f>+I6-K6-1250</f>
        <v>47419.355000000003</v>
      </c>
      <c r="K6" s="94">
        <f>I6/100*18.5</f>
        <v>11047.644999999999</v>
      </c>
      <c r="L6" s="78" t="str">
        <f>VLOOKUP(C6,[2]Rekap!$D$9:$Q$195,13,FALSE)</f>
        <v>Selesai</v>
      </c>
      <c r="M6" s="82"/>
    </row>
    <row r="7" spans="1:13" s="18" customFormat="1" x14ac:dyDescent="0.25">
      <c r="A7" s="10">
        <v>2</v>
      </c>
      <c r="B7" s="11">
        <v>45950</v>
      </c>
      <c r="C7" s="12" t="s">
        <v>617</v>
      </c>
      <c r="D7" s="13" t="s">
        <v>582</v>
      </c>
      <c r="E7" s="13" t="s">
        <v>13</v>
      </c>
      <c r="F7" s="15" t="s">
        <v>14</v>
      </c>
      <c r="G7" s="15" t="s">
        <v>15</v>
      </c>
      <c r="H7" s="16">
        <v>12</v>
      </c>
      <c r="I7" s="45">
        <v>60360</v>
      </c>
      <c r="J7" s="94">
        <f t="shared" ref="J7:J34" si="0">+I7-K7-1250</f>
        <v>47943.4</v>
      </c>
      <c r="K7" s="94">
        <f t="shared" ref="K7:K34" si="1">I7/100*18.5</f>
        <v>11166.6</v>
      </c>
      <c r="L7" s="78" t="str">
        <f>VLOOKUP(C7,[2]Rekap!$D$9:$Q$195,13,FALSE)</f>
        <v>Selesai</v>
      </c>
      <c r="M7" s="82"/>
    </row>
    <row r="8" spans="1:13" s="18" customFormat="1" x14ac:dyDescent="0.25">
      <c r="A8" s="10">
        <v>3</v>
      </c>
      <c r="B8" s="11">
        <v>45951</v>
      </c>
      <c r="C8" s="12" t="s">
        <v>620</v>
      </c>
      <c r="D8" s="13" t="s">
        <v>582</v>
      </c>
      <c r="E8" s="13" t="s">
        <v>13</v>
      </c>
      <c r="F8" s="15" t="s">
        <v>14</v>
      </c>
      <c r="G8" s="15" t="s">
        <v>15</v>
      </c>
      <c r="H8" s="16">
        <v>11</v>
      </c>
      <c r="I8" s="45">
        <v>240224</v>
      </c>
      <c r="J8" s="94">
        <f t="shared" si="0"/>
        <v>194532.56</v>
      </c>
      <c r="K8" s="94">
        <f t="shared" si="1"/>
        <v>44441.439999999995</v>
      </c>
      <c r="L8" s="78" t="str">
        <f>VLOOKUP(C8,[2]Rekap!$D$9:$Q$195,13,FALSE)</f>
        <v>Selesai</v>
      </c>
      <c r="M8" s="82"/>
    </row>
    <row r="9" spans="1:13" s="18" customFormat="1" x14ac:dyDescent="0.25">
      <c r="A9" s="10">
        <v>4</v>
      </c>
      <c r="B9" s="11">
        <v>45952</v>
      </c>
      <c r="C9" s="12" t="s">
        <v>621</v>
      </c>
      <c r="D9" s="13" t="s">
        <v>582</v>
      </c>
      <c r="E9" s="13" t="s">
        <v>13</v>
      </c>
      <c r="F9" s="15" t="s">
        <v>14</v>
      </c>
      <c r="G9" s="15" t="s">
        <v>15</v>
      </c>
      <c r="H9" s="16">
        <v>10</v>
      </c>
      <c r="I9" s="45">
        <v>48795</v>
      </c>
      <c r="J9" s="94">
        <f t="shared" si="0"/>
        <v>38517.925000000003</v>
      </c>
      <c r="K9" s="94">
        <f t="shared" si="1"/>
        <v>9027.0749999999989</v>
      </c>
      <c r="L9" s="78" t="str">
        <f>VLOOKUP(C9,[2]Rekap!$D$9:$Q$195,13,FALSE)</f>
        <v>Selesai</v>
      </c>
      <c r="M9" s="82"/>
    </row>
    <row r="10" spans="1:13" s="18" customFormat="1" x14ac:dyDescent="0.25">
      <c r="A10" s="10">
        <v>5</v>
      </c>
      <c r="B10" s="11">
        <v>45953</v>
      </c>
      <c r="C10" s="12" t="s">
        <v>622</v>
      </c>
      <c r="D10" s="13" t="s">
        <v>582</v>
      </c>
      <c r="E10" s="13" t="s">
        <v>13</v>
      </c>
      <c r="F10" s="15" t="s">
        <v>14</v>
      </c>
      <c r="G10" s="15" t="s">
        <v>15</v>
      </c>
      <c r="H10" s="16">
        <v>9</v>
      </c>
      <c r="I10" s="45">
        <v>31447</v>
      </c>
      <c r="J10" s="94">
        <f t="shared" si="0"/>
        <v>24379.305</v>
      </c>
      <c r="K10" s="94">
        <f t="shared" si="1"/>
        <v>5817.6950000000006</v>
      </c>
      <c r="L10" s="78" t="str">
        <f>VLOOKUP(C10,[2]Rekap!$D$9:$Q$195,13,FALSE)</f>
        <v>Selesai</v>
      </c>
      <c r="M10" s="82"/>
    </row>
    <row r="11" spans="1:13" s="18" customFormat="1" x14ac:dyDescent="0.25">
      <c r="A11" s="10">
        <v>6</v>
      </c>
      <c r="B11" s="11">
        <v>45953</v>
      </c>
      <c r="C11" s="12" t="s">
        <v>623</v>
      </c>
      <c r="D11" s="13" t="s">
        <v>582</v>
      </c>
      <c r="E11" s="13" t="s">
        <v>13</v>
      </c>
      <c r="F11" s="15" t="s">
        <v>14</v>
      </c>
      <c r="G11" s="15" t="s">
        <v>15</v>
      </c>
      <c r="H11" s="16">
        <v>9</v>
      </c>
      <c r="I11" s="45">
        <v>74500</v>
      </c>
      <c r="J11" s="94">
        <f t="shared" si="0"/>
        <v>59467.5</v>
      </c>
      <c r="K11" s="94">
        <f t="shared" si="1"/>
        <v>13782.5</v>
      </c>
      <c r="L11" s="78" t="str">
        <f>VLOOKUP(C11,[2]Rekap!$D$9:$Q$195,13,FALSE)</f>
        <v>Selesai</v>
      </c>
      <c r="M11" s="82"/>
    </row>
    <row r="12" spans="1:13" s="18" customFormat="1" x14ac:dyDescent="0.25">
      <c r="A12" s="10">
        <v>7</v>
      </c>
      <c r="B12" s="11">
        <v>45953</v>
      </c>
      <c r="C12" s="12" t="s">
        <v>624</v>
      </c>
      <c r="D12" s="13" t="s">
        <v>582</v>
      </c>
      <c r="E12" s="13" t="s">
        <v>13</v>
      </c>
      <c r="F12" s="15" t="s">
        <v>14</v>
      </c>
      <c r="G12" s="15" t="s">
        <v>15</v>
      </c>
      <c r="H12" s="16">
        <v>9</v>
      </c>
      <c r="I12" s="45">
        <v>107905</v>
      </c>
      <c r="J12" s="94">
        <f t="shared" si="0"/>
        <v>86692.574999999997</v>
      </c>
      <c r="K12" s="94">
        <f t="shared" si="1"/>
        <v>19962.424999999999</v>
      </c>
      <c r="L12" s="78" t="str">
        <f>VLOOKUP(C12,[2]Rekap!$D$9:$Q$195,13,FALSE)</f>
        <v>Telah Dikirim</v>
      </c>
      <c r="M12" s="82"/>
    </row>
    <row r="13" spans="1:13" s="18" customFormat="1" x14ac:dyDescent="0.25">
      <c r="A13" s="10">
        <v>8</v>
      </c>
      <c r="B13" s="11">
        <v>45953</v>
      </c>
      <c r="C13" s="12" t="s">
        <v>625</v>
      </c>
      <c r="D13" s="13" t="s">
        <v>582</v>
      </c>
      <c r="E13" s="13" t="s">
        <v>13</v>
      </c>
      <c r="F13" s="15" t="s">
        <v>14</v>
      </c>
      <c r="G13" s="15" t="s">
        <v>15</v>
      </c>
      <c r="H13" s="16">
        <v>9</v>
      </c>
      <c r="I13" s="45">
        <v>194000</v>
      </c>
      <c r="J13" s="94">
        <f t="shared" si="0"/>
        <v>156860</v>
      </c>
      <c r="K13" s="94">
        <f t="shared" si="1"/>
        <v>35890</v>
      </c>
      <c r="L13" s="78" t="str">
        <f>VLOOKUP(C13,[2]Rekap!$D$9:$Q$195,13,FALSE)</f>
        <v>Selesai</v>
      </c>
      <c r="M13" s="82"/>
    </row>
    <row r="14" spans="1:13" s="18" customFormat="1" x14ac:dyDescent="0.25">
      <c r="A14" s="10">
        <v>9</v>
      </c>
      <c r="B14" s="11">
        <v>45954</v>
      </c>
      <c r="C14" s="12" t="s">
        <v>626</v>
      </c>
      <c r="D14" s="13" t="s">
        <v>582</v>
      </c>
      <c r="E14" s="13" t="s">
        <v>13</v>
      </c>
      <c r="F14" s="15" t="s">
        <v>14</v>
      </c>
      <c r="G14" s="15" t="s">
        <v>15</v>
      </c>
      <c r="H14" s="16">
        <v>8</v>
      </c>
      <c r="I14" s="45">
        <v>41050</v>
      </c>
      <c r="J14" s="94">
        <f t="shared" si="0"/>
        <v>32205.75</v>
      </c>
      <c r="K14" s="94">
        <f t="shared" si="1"/>
        <v>7594.25</v>
      </c>
      <c r="L14" s="78" t="str">
        <f>VLOOKUP(C14,[2]Rekap!$D$9:$Q$195,13,FALSE)</f>
        <v>Selesai</v>
      </c>
      <c r="M14" s="82"/>
    </row>
    <row r="15" spans="1:13" s="18" customFormat="1" x14ac:dyDescent="0.25">
      <c r="A15" s="10">
        <v>10</v>
      </c>
      <c r="B15" s="11">
        <v>45954</v>
      </c>
      <c r="C15" s="12" t="s">
        <v>627</v>
      </c>
      <c r="D15" s="13" t="s">
        <v>582</v>
      </c>
      <c r="E15" s="13" t="s">
        <v>13</v>
      </c>
      <c r="F15" s="15" t="s">
        <v>14</v>
      </c>
      <c r="G15" s="15" t="s">
        <v>15</v>
      </c>
      <c r="H15" s="16">
        <v>8</v>
      </c>
      <c r="I15" s="45">
        <v>102765</v>
      </c>
      <c r="J15" s="94">
        <f t="shared" si="0"/>
        <v>82503.475000000006</v>
      </c>
      <c r="K15" s="94">
        <f t="shared" si="1"/>
        <v>19011.525000000001</v>
      </c>
      <c r="L15" s="78" t="str">
        <f>VLOOKUP(C15,[2]Rekap!$D$9:$Q$195,13,FALSE)</f>
        <v>Selesai</v>
      </c>
      <c r="M15" s="82"/>
    </row>
    <row r="16" spans="1:13" s="18" customFormat="1" x14ac:dyDescent="0.25">
      <c r="A16" s="10">
        <v>11</v>
      </c>
      <c r="B16" s="11">
        <v>45954</v>
      </c>
      <c r="C16" s="12" t="s">
        <v>628</v>
      </c>
      <c r="D16" s="13" t="s">
        <v>582</v>
      </c>
      <c r="E16" s="13" t="s">
        <v>13</v>
      </c>
      <c r="F16" s="15" t="s">
        <v>14</v>
      </c>
      <c r="G16" s="15" t="s">
        <v>15</v>
      </c>
      <c r="H16" s="16">
        <v>8</v>
      </c>
      <c r="I16" s="45">
        <v>174725</v>
      </c>
      <c r="J16" s="94">
        <f t="shared" si="0"/>
        <v>141150.875</v>
      </c>
      <c r="K16" s="94">
        <f t="shared" si="1"/>
        <v>32324.125</v>
      </c>
      <c r="L16" s="78" t="str">
        <f>VLOOKUP(C16,[2]Rekap!$D$9:$Q$195,13,FALSE)</f>
        <v>Selesai</v>
      </c>
      <c r="M16" s="82"/>
    </row>
    <row r="17" spans="1:13" s="18" customFormat="1" x14ac:dyDescent="0.25">
      <c r="A17" s="10">
        <v>12</v>
      </c>
      <c r="B17" s="11">
        <v>45954</v>
      </c>
      <c r="C17" s="12" t="s">
        <v>629</v>
      </c>
      <c r="D17" s="13" t="s">
        <v>582</v>
      </c>
      <c r="E17" s="13" t="s">
        <v>13</v>
      </c>
      <c r="F17" s="15" t="s">
        <v>14</v>
      </c>
      <c r="G17" s="15" t="s">
        <v>15</v>
      </c>
      <c r="H17" s="16">
        <v>8</v>
      </c>
      <c r="I17" s="45">
        <v>213275</v>
      </c>
      <c r="J17" s="94">
        <f t="shared" si="0"/>
        <v>172569.125</v>
      </c>
      <c r="K17" s="94">
        <f t="shared" si="1"/>
        <v>39455.875</v>
      </c>
      <c r="L17" s="78" t="str">
        <f>VLOOKUP(C17,[2]Rekap!$D$9:$Q$195,13,FALSE)</f>
        <v>Selesai</v>
      </c>
      <c r="M17" s="82"/>
    </row>
    <row r="18" spans="1:13" s="18" customFormat="1" x14ac:dyDescent="0.25">
      <c r="A18" s="10">
        <v>13</v>
      </c>
      <c r="B18" s="11">
        <v>45955</v>
      </c>
      <c r="C18" s="12" t="s">
        <v>641</v>
      </c>
      <c r="D18" s="13" t="s">
        <v>582</v>
      </c>
      <c r="E18" s="13" t="s">
        <v>13</v>
      </c>
      <c r="F18" s="15" t="s">
        <v>14</v>
      </c>
      <c r="G18" s="15" t="s">
        <v>15</v>
      </c>
      <c r="H18" s="16">
        <v>7</v>
      </c>
      <c r="I18" s="45">
        <v>55220</v>
      </c>
      <c r="J18" s="94">
        <f t="shared" si="0"/>
        <v>43754.3</v>
      </c>
      <c r="K18" s="94">
        <f t="shared" si="1"/>
        <v>10215.700000000001</v>
      </c>
      <c r="L18" s="78" t="str">
        <f>VLOOKUP(C18,[2]Rekap!$D$9:$Q$195,13,FALSE)</f>
        <v>Sedang Dikirim</v>
      </c>
      <c r="M18" s="82"/>
    </row>
    <row r="19" spans="1:13" s="18" customFormat="1" x14ac:dyDescent="0.25">
      <c r="A19" s="10">
        <v>14</v>
      </c>
      <c r="B19" s="11">
        <v>45955</v>
      </c>
      <c r="C19" s="12" t="s">
        <v>640</v>
      </c>
      <c r="D19" s="13" t="s">
        <v>582</v>
      </c>
      <c r="E19" s="13" t="s">
        <v>13</v>
      </c>
      <c r="F19" s="15" t="s">
        <v>14</v>
      </c>
      <c r="G19" s="15" t="s">
        <v>15</v>
      </c>
      <c r="H19" s="16">
        <v>7</v>
      </c>
      <c r="I19" s="45">
        <v>82380</v>
      </c>
      <c r="J19" s="94">
        <f t="shared" si="0"/>
        <v>65889.7</v>
      </c>
      <c r="K19" s="94">
        <f t="shared" si="1"/>
        <v>15240.3</v>
      </c>
      <c r="L19" s="78" t="str">
        <f>VLOOKUP(C19,[2]Rekap!$D$9:$Q$195,13,FALSE)</f>
        <v>Selesai</v>
      </c>
      <c r="M19" s="82"/>
    </row>
    <row r="20" spans="1:13" s="18" customFormat="1" x14ac:dyDescent="0.25">
      <c r="A20" s="10">
        <v>15</v>
      </c>
      <c r="B20" s="11">
        <v>45957</v>
      </c>
      <c r="C20" s="12" t="s">
        <v>646</v>
      </c>
      <c r="D20" s="13" t="s">
        <v>582</v>
      </c>
      <c r="E20" s="13" t="s">
        <v>13</v>
      </c>
      <c r="F20" s="15" t="s">
        <v>14</v>
      </c>
      <c r="G20" s="15" t="s">
        <v>15</v>
      </c>
      <c r="H20" s="16">
        <v>5</v>
      </c>
      <c r="I20" s="17">
        <v>18957</v>
      </c>
      <c r="J20" s="94">
        <f t="shared" si="0"/>
        <v>14199.955</v>
      </c>
      <c r="K20" s="94">
        <f t="shared" si="1"/>
        <v>3507.0450000000001</v>
      </c>
      <c r="L20" s="78" t="str">
        <f>VLOOKUP(C20,[2]Rekap!$D$9:$Q$195,13,FALSE)</f>
        <v>Selesai</v>
      </c>
      <c r="M20" s="82"/>
    </row>
    <row r="21" spans="1:13" s="18" customFormat="1" x14ac:dyDescent="0.25">
      <c r="A21" s="10">
        <v>16</v>
      </c>
      <c r="B21" s="11">
        <v>45957</v>
      </c>
      <c r="C21" s="12" t="s">
        <v>647</v>
      </c>
      <c r="D21" s="13" t="s">
        <v>582</v>
      </c>
      <c r="E21" s="13" t="s">
        <v>13</v>
      </c>
      <c r="F21" s="15" t="s">
        <v>14</v>
      </c>
      <c r="G21" s="15" t="s">
        <v>15</v>
      </c>
      <c r="H21" s="16">
        <v>5</v>
      </c>
      <c r="I21" s="17">
        <v>57147</v>
      </c>
      <c r="J21" s="94">
        <f t="shared" si="0"/>
        <v>45324.805</v>
      </c>
      <c r="K21" s="94">
        <f t="shared" si="1"/>
        <v>10572.195</v>
      </c>
      <c r="L21" s="78" t="e">
        <f>VLOOKUP(C21,[2]Rekap!$D$9:$Q$195,13,FALSE)</f>
        <v>#N/A</v>
      </c>
      <c r="M21" s="82"/>
    </row>
    <row r="22" spans="1:13" s="18" customFormat="1" x14ac:dyDescent="0.25">
      <c r="A22" s="10">
        <v>17</v>
      </c>
      <c r="B22" s="11">
        <v>45957</v>
      </c>
      <c r="C22" s="12" t="s">
        <v>642</v>
      </c>
      <c r="D22" s="13" t="s">
        <v>582</v>
      </c>
      <c r="E22" s="13" t="s">
        <v>13</v>
      </c>
      <c r="F22" s="15" t="s">
        <v>14</v>
      </c>
      <c r="G22" s="15" t="s">
        <v>15</v>
      </c>
      <c r="H22" s="16">
        <v>5</v>
      </c>
      <c r="I22" s="17">
        <v>80850</v>
      </c>
      <c r="J22" s="94">
        <f t="shared" si="0"/>
        <v>64642.75</v>
      </c>
      <c r="K22" s="94">
        <f t="shared" si="1"/>
        <v>14957.25</v>
      </c>
      <c r="L22" s="78" t="str">
        <f>VLOOKUP(C22,[2]Rekap!$D$9:$Q$195,13,FALSE)</f>
        <v>Sedang Dikirim</v>
      </c>
      <c r="M22" s="82"/>
    </row>
    <row r="23" spans="1:13" s="18" customFormat="1" x14ac:dyDescent="0.25">
      <c r="A23" s="10">
        <v>18</v>
      </c>
      <c r="B23" s="11">
        <v>45957</v>
      </c>
      <c r="C23" s="12" t="s">
        <v>643</v>
      </c>
      <c r="D23" s="13" t="s">
        <v>582</v>
      </c>
      <c r="E23" s="13" t="s">
        <v>13</v>
      </c>
      <c r="F23" s="15" t="s">
        <v>14</v>
      </c>
      <c r="G23" s="15" t="s">
        <v>15</v>
      </c>
      <c r="H23" s="16">
        <v>5</v>
      </c>
      <c r="I23" s="17">
        <v>98910</v>
      </c>
      <c r="J23" s="94">
        <f t="shared" si="0"/>
        <v>79361.649999999994</v>
      </c>
      <c r="K23" s="94">
        <f t="shared" si="1"/>
        <v>18298.350000000002</v>
      </c>
      <c r="L23" s="78" t="e">
        <f>VLOOKUP(C23,[2]Rekap!$D$9:$Q$195,13,FALSE)</f>
        <v>#N/A</v>
      </c>
      <c r="M23" s="82"/>
    </row>
    <row r="24" spans="1:13" s="18" customFormat="1" x14ac:dyDescent="0.25">
      <c r="A24" s="10">
        <v>19</v>
      </c>
      <c r="B24" s="11">
        <v>45957</v>
      </c>
      <c r="C24" s="12" t="s">
        <v>645</v>
      </c>
      <c r="D24" s="13" t="s">
        <v>582</v>
      </c>
      <c r="E24" s="13" t="s">
        <v>13</v>
      </c>
      <c r="F24" s="15" t="s">
        <v>14</v>
      </c>
      <c r="G24" s="15" t="s">
        <v>15</v>
      </c>
      <c r="H24" s="16">
        <v>5</v>
      </c>
      <c r="I24" s="17">
        <v>113616</v>
      </c>
      <c r="J24" s="94">
        <f t="shared" si="0"/>
        <v>91347.04</v>
      </c>
      <c r="K24" s="94">
        <f t="shared" si="1"/>
        <v>21018.960000000003</v>
      </c>
      <c r="L24" s="78" t="e">
        <f>VLOOKUP(C24,[2]Rekap!$D$9:$Q$195,13,FALSE)</f>
        <v>#N/A</v>
      </c>
      <c r="M24" s="82"/>
    </row>
    <row r="25" spans="1:13" s="18" customFormat="1" x14ac:dyDescent="0.25">
      <c r="A25" s="10">
        <v>20</v>
      </c>
      <c r="B25" s="11">
        <v>45957</v>
      </c>
      <c r="C25" s="12" t="s">
        <v>644</v>
      </c>
      <c r="D25" s="13" t="s">
        <v>582</v>
      </c>
      <c r="E25" s="13" t="s">
        <v>13</v>
      </c>
      <c r="F25" s="15" t="s">
        <v>14</v>
      </c>
      <c r="G25" s="15" t="s">
        <v>15</v>
      </c>
      <c r="H25" s="16">
        <v>5</v>
      </c>
      <c r="I25" s="17">
        <v>168300</v>
      </c>
      <c r="J25" s="94">
        <f t="shared" si="0"/>
        <v>135914.5</v>
      </c>
      <c r="K25" s="94">
        <f t="shared" si="1"/>
        <v>31135.5</v>
      </c>
      <c r="L25" s="78" t="e">
        <f>VLOOKUP(C25,[2]Rekap!$D$9:$Q$195,13,FALSE)</f>
        <v>#N/A</v>
      </c>
      <c r="M25" s="82"/>
    </row>
    <row r="26" spans="1:13" s="18" customFormat="1" x14ac:dyDescent="0.25">
      <c r="A26" s="10">
        <v>21</v>
      </c>
      <c r="B26" s="11">
        <v>45958</v>
      </c>
      <c r="C26" s="12" t="s">
        <v>648</v>
      </c>
      <c r="D26" s="13" t="s">
        <v>582</v>
      </c>
      <c r="E26" s="13" t="s">
        <v>13</v>
      </c>
      <c r="F26" s="15" t="s">
        <v>14</v>
      </c>
      <c r="G26" s="15" t="s">
        <v>15</v>
      </c>
      <c r="H26" s="16">
        <v>4</v>
      </c>
      <c r="I26" s="17">
        <v>78350</v>
      </c>
      <c r="J26" s="94">
        <f t="shared" si="0"/>
        <v>62605.25</v>
      </c>
      <c r="K26" s="94">
        <f t="shared" si="1"/>
        <v>14494.75</v>
      </c>
      <c r="L26" s="78" t="e">
        <f>VLOOKUP(C26,[2]Rekap!$D$9:$Q$195,13,FALSE)</f>
        <v>#N/A</v>
      </c>
      <c r="M26" s="82"/>
    </row>
    <row r="27" spans="1:13" s="18" customFormat="1" x14ac:dyDescent="0.25">
      <c r="A27" s="10">
        <v>22</v>
      </c>
      <c r="B27" s="11">
        <v>45959</v>
      </c>
      <c r="C27" s="12" t="s">
        <v>649</v>
      </c>
      <c r="D27" s="13" t="s">
        <v>582</v>
      </c>
      <c r="E27" s="13" t="s">
        <v>13</v>
      </c>
      <c r="F27" s="15" t="s">
        <v>14</v>
      </c>
      <c r="G27" s="15" t="s">
        <v>15</v>
      </c>
      <c r="H27" s="16">
        <v>3</v>
      </c>
      <c r="I27" s="17">
        <v>302500</v>
      </c>
      <c r="J27" s="94">
        <f t="shared" si="0"/>
        <v>245287.5</v>
      </c>
      <c r="K27" s="94">
        <f t="shared" si="1"/>
        <v>55962.5</v>
      </c>
      <c r="L27" s="78" t="str">
        <f>VLOOKUP(C27,[2]Rekap!$D$9:$Q$195,13,FALSE)</f>
        <v>Sedang Dikirim</v>
      </c>
      <c r="M27" s="82"/>
    </row>
    <row r="28" spans="1:13" s="18" customFormat="1" x14ac:dyDescent="0.25">
      <c r="A28" s="10">
        <v>23</v>
      </c>
      <c r="B28" s="11">
        <v>45960</v>
      </c>
      <c r="C28" s="12" t="s">
        <v>650</v>
      </c>
      <c r="D28" s="13" t="s">
        <v>582</v>
      </c>
      <c r="E28" s="13" t="s">
        <v>13</v>
      </c>
      <c r="F28" s="15" t="s">
        <v>14</v>
      </c>
      <c r="G28" s="15" t="s">
        <v>15</v>
      </c>
      <c r="H28" s="16">
        <v>2</v>
      </c>
      <c r="I28" s="17">
        <v>38515</v>
      </c>
      <c r="J28" s="94">
        <f t="shared" si="0"/>
        <v>30139.724999999999</v>
      </c>
      <c r="K28" s="94">
        <f t="shared" si="1"/>
        <v>7125.2749999999996</v>
      </c>
      <c r="L28" s="78" t="str">
        <f>VLOOKUP(C28,[2]Rekap!$D$9:$Q$195,13,FALSE)</f>
        <v>Sedang Dikirim</v>
      </c>
      <c r="M28" s="82"/>
    </row>
    <row r="29" spans="1:13" s="18" customFormat="1" x14ac:dyDescent="0.25">
      <c r="A29" s="10">
        <v>24</v>
      </c>
      <c r="B29" s="11">
        <v>45960</v>
      </c>
      <c r="C29" s="12" t="s">
        <v>651</v>
      </c>
      <c r="D29" s="13" t="s">
        <v>582</v>
      </c>
      <c r="E29" s="13" t="s">
        <v>13</v>
      </c>
      <c r="F29" s="15" t="s">
        <v>14</v>
      </c>
      <c r="G29" s="15" t="s">
        <v>15</v>
      </c>
      <c r="H29" s="16">
        <v>2</v>
      </c>
      <c r="I29" s="17">
        <v>38515</v>
      </c>
      <c r="J29" s="94">
        <f t="shared" si="0"/>
        <v>30139.724999999999</v>
      </c>
      <c r="K29" s="94">
        <f t="shared" si="1"/>
        <v>7125.2749999999996</v>
      </c>
      <c r="L29" s="78" t="str">
        <f>VLOOKUP(C29,[2]Rekap!$D$9:$Q$195,13,FALSE)</f>
        <v>Sedang Dikirim</v>
      </c>
      <c r="M29" s="82"/>
    </row>
    <row r="30" spans="1:13" s="18" customFormat="1" x14ac:dyDescent="0.25">
      <c r="A30" s="10">
        <v>25</v>
      </c>
      <c r="B30" s="11">
        <v>45960</v>
      </c>
      <c r="C30" s="12" t="s">
        <v>653</v>
      </c>
      <c r="D30" s="13" t="s">
        <v>582</v>
      </c>
      <c r="E30" s="13" t="s">
        <v>13</v>
      </c>
      <c r="F30" s="15" t="s">
        <v>14</v>
      </c>
      <c r="G30" s="15" t="s">
        <v>15</v>
      </c>
      <c r="H30" s="16">
        <v>2</v>
      </c>
      <c r="I30" s="17">
        <v>56470</v>
      </c>
      <c r="J30" s="94">
        <f t="shared" si="0"/>
        <v>44773.05</v>
      </c>
      <c r="K30" s="94">
        <f t="shared" si="1"/>
        <v>10446.950000000001</v>
      </c>
      <c r="L30" s="78" t="str">
        <f>VLOOKUP(C30,[2]Rekap!$D$9:$Q$195,13,FALSE)</f>
        <v>Telah Dikirim</v>
      </c>
      <c r="M30" s="82"/>
    </row>
    <row r="31" spans="1:13" s="18" customFormat="1" x14ac:dyDescent="0.25">
      <c r="A31" s="10">
        <v>26</v>
      </c>
      <c r="B31" s="11">
        <v>45960</v>
      </c>
      <c r="C31" s="12" t="s">
        <v>652</v>
      </c>
      <c r="D31" s="13" t="s">
        <v>582</v>
      </c>
      <c r="E31" s="13" t="s">
        <v>13</v>
      </c>
      <c r="F31" s="15" t="s">
        <v>14</v>
      </c>
      <c r="G31" s="15" t="s">
        <v>15</v>
      </c>
      <c r="H31" s="16">
        <v>2</v>
      </c>
      <c r="I31" s="17">
        <v>115615</v>
      </c>
      <c r="J31" s="94">
        <f t="shared" si="0"/>
        <v>92976.225000000006</v>
      </c>
      <c r="K31" s="94">
        <f t="shared" si="1"/>
        <v>21388.775000000001</v>
      </c>
      <c r="L31" s="78" t="str">
        <f>VLOOKUP(C31,[2]Rekap!$D$9:$Q$195,13,FALSE)</f>
        <v>Telah Dikirim</v>
      </c>
      <c r="M31" s="82"/>
    </row>
    <row r="32" spans="1:13" s="18" customFormat="1" x14ac:dyDescent="0.25">
      <c r="A32" s="10">
        <v>27</v>
      </c>
      <c r="B32" s="11">
        <v>45961</v>
      </c>
      <c r="C32" s="12" t="s">
        <v>655</v>
      </c>
      <c r="D32" s="13" t="s">
        <v>582</v>
      </c>
      <c r="E32" s="13" t="s">
        <v>13</v>
      </c>
      <c r="F32" s="15" t="s">
        <v>14</v>
      </c>
      <c r="G32" s="15" t="s">
        <v>15</v>
      </c>
      <c r="H32" s="16">
        <v>1</v>
      </c>
      <c r="I32" s="17">
        <v>31447</v>
      </c>
      <c r="J32" s="94">
        <f t="shared" si="0"/>
        <v>24379.305</v>
      </c>
      <c r="K32" s="94">
        <f t="shared" si="1"/>
        <v>5817.6950000000006</v>
      </c>
      <c r="L32" s="78" t="e">
        <f>VLOOKUP(C32,[2]Rekap!$D$9:$Q$195,13,FALSE)</f>
        <v>#N/A</v>
      </c>
      <c r="M32" s="82"/>
    </row>
    <row r="33" spans="1:13" s="18" customFormat="1" x14ac:dyDescent="0.25">
      <c r="A33" s="10">
        <v>28</v>
      </c>
      <c r="B33" s="11">
        <v>45961</v>
      </c>
      <c r="C33" s="12" t="s">
        <v>654</v>
      </c>
      <c r="D33" s="13" t="s">
        <v>582</v>
      </c>
      <c r="E33" s="13" t="s">
        <v>13</v>
      </c>
      <c r="F33" s="15" t="s">
        <v>14</v>
      </c>
      <c r="G33" s="15" t="s">
        <v>15</v>
      </c>
      <c r="H33" s="16">
        <v>1</v>
      </c>
      <c r="I33" s="17">
        <v>57147</v>
      </c>
      <c r="J33" s="94">
        <f t="shared" si="0"/>
        <v>45324.805</v>
      </c>
      <c r="K33" s="94">
        <f t="shared" si="1"/>
        <v>10572.195</v>
      </c>
      <c r="L33" s="78" t="e">
        <f>VLOOKUP(C33,[2]Rekap!$D$9:$Q$195,13,FALSE)</f>
        <v>#N/A</v>
      </c>
      <c r="M33" s="82"/>
    </row>
    <row r="34" spans="1:13" s="18" customFormat="1" x14ac:dyDescent="0.25">
      <c r="A34" s="10">
        <v>29</v>
      </c>
      <c r="B34" s="11">
        <v>45950</v>
      </c>
      <c r="C34" s="12" t="s">
        <v>631</v>
      </c>
      <c r="D34" s="13" t="s">
        <v>582</v>
      </c>
      <c r="E34" s="13" t="s">
        <v>13</v>
      </c>
      <c r="F34" s="15" t="s">
        <v>14</v>
      </c>
      <c r="G34" s="15" t="s">
        <v>15</v>
      </c>
      <c r="H34" s="53">
        <v>-48</v>
      </c>
      <c r="I34" s="17">
        <v>109190</v>
      </c>
      <c r="J34" s="94">
        <f t="shared" si="0"/>
        <v>87739.85</v>
      </c>
      <c r="K34" s="94">
        <f t="shared" si="1"/>
        <v>20200.150000000001</v>
      </c>
      <c r="L34" s="78" t="str">
        <f>VLOOKUP(C34,[2]Rekap!$D$9:$Q$195,13,FALSE)</f>
        <v>Selesai</v>
      </c>
      <c r="M34" s="82"/>
    </row>
    <row r="35" spans="1:13" s="18" customFormat="1" x14ac:dyDescent="0.25">
      <c r="A35" s="66"/>
      <c r="B35" s="67"/>
      <c r="C35" s="66"/>
      <c r="D35" s="68"/>
      <c r="E35" s="68"/>
      <c r="F35" s="58" t="s">
        <v>349</v>
      </c>
      <c r="G35" s="69"/>
      <c r="H35" s="69"/>
      <c r="I35" s="19">
        <f>SUM(I6:I34)</f>
        <v>2851892</v>
      </c>
      <c r="J35" s="94"/>
      <c r="K35" s="95"/>
      <c r="L35" s="78"/>
      <c r="M35" s="82"/>
    </row>
    <row r="36" spans="1:13" s="18" customFormat="1" ht="15.75" x14ac:dyDescent="0.25">
      <c r="A36" s="10">
        <v>1</v>
      </c>
      <c r="B36" s="11">
        <v>45941</v>
      </c>
      <c r="C36" s="12" t="s">
        <v>604</v>
      </c>
      <c r="D36" s="13" t="s">
        <v>582</v>
      </c>
      <c r="E36" s="13" t="s">
        <v>351</v>
      </c>
      <c r="F36" s="15" t="s">
        <v>352</v>
      </c>
      <c r="G36" s="15" t="s">
        <v>15</v>
      </c>
      <c r="H36" s="16">
        <v>21</v>
      </c>
      <c r="I36" s="45">
        <v>118220</v>
      </c>
      <c r="J36" s="94">
        <f>+I36-K36-1500</f>
        <v>98987</v>
      </c>
      <c r="K36" s="96">
        <f>I36/100*15</f>
        <v>17733</v>
      </c>
      <c r="L36" s="78" t="str">
        <f>VLOOKUP(C36,[2]Rekap!$D$9:$Q$195,13,FALSE)</f>
        <v>Dikirim</v>
      </c>
      <c r="M36" s="82"/>
    </row>
    <row r="37" spans="1:13" s="18" customFormat="1" ht="15.75" x14ac:dyDescent="0.25">
      <c r="A37" s="10">
        <v>2</v>
      </c>
      <c r="B37" s="11">
        <v>45948</v>
      </c>
      <c r="C37" s="12" t="s">
        <v>632</v>
      </c>
      <c r="D37" s="13" t="s">
        <v>582</v>
      </c>
      <c r="E37" s="13" t="s">
        <v>351</v>
      </c>
      <c r="F37" s="15" t="s">
        <v>352</v>
      </c>
      <c r="G37" s="15" t="s">
        <v>15</v>
      </c>
      <c r="H37" s="16">
        <v>14</v>
      </c>
      <c r="I37" s="45">
        <v>101950</v>
      </c>
      <c r="J37" s="94">
        <f t="shared" ref="J37:J57" si="2">+I37-K37-1500</f>
        <v>85157.5</v>
      </c>
      <c r="K37" s="96">
        <f t="shared" ref="K37:K57" si="3">I37/100*15</f>
        <v>15292.5</v>
      </c>
      <c r="L37" s="78" t="str">
        <f>VLOOKUP(C37,[2]Rekap!$D$9:$Q$195,13,FALSE)</f>
        <v>Dikirim</v>
      </c>
      <c r="M37" s="82"/>
    </row>
    <row r="38" spans="1:13" s="18" customFormat="1" ht="15.75" x14ac:dyDescent="0.25">
      <c r="A38" s="10">
        <v>3</v>
      </c>
      <c r="B38" s="11">
        <v>45951</v>
      </c>
      <c r="C38" s="12" t="s">
        <v>633</v>
      </c>
      <c r="D38" s="13" t="s">
        <v>582</v>
      </c>
      <c r="E38" s="13" t="s">
        <v>351</v>
      </c>
      <c r="F38" s="15" t="s">
        <v>352</v>
      </c>
      <c r="G38" s="15" t="s">
        <v>15</v>
      </c>
      <c r="H38" s="16">
        <v>11</v>
      </c>
      <c r="I38" s="45">
        <v>57147</v>
      </c>
      <c r="J38" s="94">
        <f t="shared" si="2"/>
        <v>47074.95</v>
      </c>
      <c r="K38" s="96">
        <f t="shared" si="3"/>
        <v>8572.0500000000011</v>
      </c>
      <c r="L38" s="78" t="str">
        <f>VLOOKUP(C38,[2]Rekap!$D$9:$Q$195,13,FALSE)</f>
        <v>Dikirim</v>
      </c>
      <c r="M38" s="82"/>
    </row>
    <row r="39" spans="1:13" s="18" customFormat="1" ht="15.75" x14ac:dyDescent="0.25">
      <c r="A39" s="10">
        <v>4</v>
      </c>
      <c r="B39" s="11">
        <v>45951</v>
      </c>
      <c r="C39" s="12" t="s">
        <v>634</v>
      </c>
      <c r="D39" s="13" t="s">
        <v>582</v>
      </c>
      <c r="E39" s="13" t="s">
        <v>351</v>
      </c>
      <c r="F39" s="15" t="s">
        <v>352</v>
      </c>
      <c r="G39" s="15" t="s">
        <v>15</v>
      </c>
      <c r="H39" s="16">
        <v>11</v>
      </c>
      <c r="I39" s="45">
        <v>101950</v>
      </c>
      <c r="J39" s="94">
        <f t="shared" si="2"/>
        <v>85157.5</v>
      </c>
      <c r="K39" s="96">
        <f t="shared" si="3"/>
        <v>15292.5</v>
      </c>
      <c r="L39" s="78" t="str">
        <f>VLOOKUP(C39,[2]Rekap!$D$9:$Q$195,13,FALSE)</f>
        <v>Dikirim</v>
      </c>
      <c r="M39" s="82"/>
    </row>
    <row r="40" spans="1:13" s="18" customFormat="1" ht="15.75" x14ac:dyDescent="0.25">
      <c r="A40" s="10">
        <v>5</v>
      </c>
      <c r="B40" s="11">
        <v>45952</v>
      </c>
      <c r="C40" s="12" t="s">
        <v>635</v>
      </c>
      <c r="D40" s="13" t="s">
        <v>582</v>
      </c>
      <c r="E40" s="13" t="s">
        <v>351</v>
      </c>
      <c r="F40" s="15" t="s">
        <v>352</v>
      </c>
      <c r="G40" s="15" t="s">
        <v>15</v>
      </c>
      <c r="H40" s="16">
        <v>10</v>
      </c>
      <c r="I40" s="45">
        <v>91950</v>
      </c>
      <c r="J40" s="94">
        <f t="shared" si="2"/>
        <v>76657.5</v>
      </c>
      <c r="K40" s="96">
        <f t="shared" si="3"/>
        <v>13792.5</v>
      </c>
      <c r="L40" s="78" t="str">
        <f>VLOOKUP(C40,[2]Rekap!$D$9:$Q$195,13,FALSE)</f>
        <v>Dikirim</v>
      </c>
      <c r="M40" s="82"/>
    </row>
    <row r="41" spans="1:13" s="18" customFormat="1" ht="15.75" x14ac:dyDescent="0.25">
      <c r="A41" s="10">
        <v>6</v>
      </c>
      <c r="B41" s="11">
        <v>45953</v>
      </c>
      <c r="C41" s="12" t="s">
        <v>636</v>
      </c>
      <c r="D41" s="13" t="s">
        <v>582</v>
      </c>
      <c r="E41" s="13" t="s">
        <v>351</v>
      </c>
      <c r="F41" s="15" t="s">
        <v>352</v>
      </c>
      <c r="G41" s="15" t="s">
        <v>15</v>
      </c>
      <c r="H41" s="16">
        <v>9</v>
      </c>
      <c r="I41" s="45">
        <v>62950</v>
      </c>
      <c r="J41" s="94">
        <f t="shared" si="2"/>
        <v>52007.5</v>
      </c>
      <c r="K41" s="96">
        <f t="shared" si="3"/>
        <v>9442.5</v>
      </c>
      <c r="L41" s="78" t="str">
        <f>VLOOKUP(C41,[2]Rekap!$D$9:$Q$195,13,FALSE)</f>
        <v>Dikirim</v>
      </c>
      <c r="M41" s="82"/>
    </row>
    <row r="42" spans="1:13" s="18" customFormat="1" ht="15.75" x14ac:dyDescent="0.25">
      <c r="A42" s="10">
        <v>7</v>
      </c>
      <c r="B42" s="11">
        <v>45954</v>
      </c>
      <c r="C42" s="12" t="s">
        <v>637</v>
      </c>
      <c r="D42" s="13" t="s">
        <v>582</v>
      </c>
      <c r="E42" s="13" t="s">
        <v>351</v>
      </c>
      <c r="F42" s="15" t="s">
        <v>352</v>
      </c>
      <c r="G42" s="15" t="s">
        <v>15</v>
      </c>
      <c r="H42" s="16">
        <v>8</v>
      </c>
      <c r="I42" s="45">
        <v>112950</v>
      </c>
      <c r="J42" s="94">
        <f t="shared" si="2"/>
        <v>94507.5</v>
      </c>
      <c r="K42" s="96">
        <f t="shared" si="3"/>
        <v>16942.5</v>
      </c>
      <c r="L42" s="78" t="str">
        <f>VLOOKUP(C42,[2]Rekap!$D$9:$Q$195,13,FALSE)</f>
        <v>Dikirim</v>
      </c>
      <c r="M42" s="82"/>
    </row>
    <row r="43" spans="1:13" s="18" customFormat="1" ht="15.75" x14ac:dyDescent="0.25">
      <c r="A43" s="10">
        <v>8</v>
      </c>
      <c r="B43" s="11">
        <v>45955</v>
      </c>
      <c r="C43" s="12" t="s">
        <v>656</v>
      </c>
      <c r="D43" s="13" t="s">
        <v>582</v>
      </c>
      <c r="E43" s="13" t="s">
        <v>351</v>
      </c>
      <c r="F43" s="15" t="s">
        <v>352</v>
      </c>
      <c r="G43" s="15" t="s">
        <v>15</v>
      </c>
      <c r="H43" s="16">
        <v>7</v>
      </c>
      <c r="I43" s="45">
        <v>35500</v>
      </c>
      <c r="J43" s="94">
        <f t="shared" si="2"/>
        <v>28675</v>
      </c>
      <c r="K43" s="96">
        <f t="shared" si="3"/>
        <v>5325</v>
      </c>
      <c r="L43" s="78" t="str">
        <f>VLOOKUP(C43,[2]Rekap!$D$9:$Q$195,13,FALSE)</f>
        <v>Perlu dikirim</v>
      </c>
      <c r="M43" s="82"/>
    </row>
    <row r="44" spans="1:13" s="18" customFormat="1" ht="15.75" x14ac:dyDescent="0.25">
      <c r="A44" s="10">
        <v>9</v>
      </c>
      <c r="B44" s="11">
        <v>45955</v>
      </c>
      <c r="C44" s="12" t="s">
        <v>657</v>
      </c>
      <c r="D44" s="13" t="s">
        <v>582</v>
      </c>
      <c r="E44" s="13" t="s">
        <v>351</v>
      </c>
      <c r="F44" s="15" t="s">
        <v>352</v>
      </c>
      <c r="G44" s="15" t="s">
        <v>15</v>
      </c>
      <c r="H44" s="16">
        <v>7</v>
      </c>
      <c r="I44" s="45">
        <v>101950</v>
      </c>
      <c r="J44" s="94">
        <f t="shared" si="2"/>
        <v>85157.5</v>
      </c>
      <c r="K44" s="96">
        <f t="shared" si="3"/>
        <v>15292.5</v>
      </c>
      <c r="L44" s="78" t="str">
        <f>VLOOKUP(C44,[2]Rekap!$D$9:$Q$195,13,FALSE)</f>
        <v>Perlu dikirim</v>
      </c>
      <c r="M44" s="82"/>
    </row>
    <row r="45" spans="1:13" s="18" customFormat="1" ht="15.75" x14ac:dyDescent="0.25">
      <c r="A45" s="10">
        <v>10</v>
      </c>
      <c r="B45" s="11">
        <v>45957</v>
      </c>
      <c r="C45" s="12" t="s">
        <v>660</v>
      </c>
      <c r="D45" s="13" t="s">
        <v>582</v>
      </c>
      <c r="E45" s="13" t="s">
        <v>351</v>
      </c>
      <c r="F45" s="15" t="s">
        <v>352</v>
      </c>
      <c r="G45" s="15" t="s">
        <v>15</v>
      </c>
      <c r="H45" s="16">
        <v>5</v>
      </c>
      <c r="I45" s="17">
        <v>3550</v>
      </c>
      <c r="J45" s="94">
        <f t="shared" si="2"/>
        <v>1517.5</v>
      </c>
      <c r="K45" s="96">
        <f t="shared" si="3"/>
        <v>532.5</v>
      </c>
      <c r="L45" s="78" t="e">
        <f>VLOOKUP(C45,[2]Rekap!$D$9:$Q$195,13,FALSE)</f>
        <v>#N/A</v>
      </c>
      <c r="M45" s="82"/>
    </row>
    <row r="46" spans="1:13" s="18" customFormat="1" ht="15.75" x14ac:dyDescent="0.25">
      <c r="A46" s="10">
        <v>11</v>
      </c>
      <c r="B46" s="11">
        <v>45957</v>
      </c>
      <c r="C46" s="12" t="s">
        <v>661</v>
      </c>
      <c r="D46" s="13" t="s">
        <v>582</v>
      </c>
      <c r="E46" s="13" t="s">
        <v>351</v>
      </c>
      <c r="F46" s="15" t="s">
        <v>352</v>
      </c>
      <c r="G46" s="15" t="s">
        <v>15</v>
      </c>
      <c r="H46" s="16">
        <v>5</v>
      </c>
      <c r="I46" s="17">
        <v>17750</v>
      </c>
      <c r="J46" s="94">
        <f t="shared" si="2"/>
        <v>13587.5</v>
      </c>
      <c r="K46" s="96">
        <f t="shared" si="3"/>
        <v>2662.5</v>
      </c>
      <c r="L46" s="78" t="e">
        <f>VLOOKUP(C46,[2]Rekap!$D$9:$Q$195,13,FALSE)</f>
        <v>#N/A</v>
      </c>
      <c r="M46" s="82"/>
    </row>
    <row r="47" spans="1:13" s="18" customFormat="1" ht="15.75" x14ac:dyDescent="0.25">
      <c r="A47" s="10">
        <v>12</v>
      </c>
      <c r="B47" s="11">
        <v>45957</v>
      </c>
      <c r="C47" s="12" t="s">
        <v>658</v>
      </c>
      <c r="D47" s="13" t="s">
        <v>582</v>
      </c>
      <c r="E47" s="13" t="s">
        <v>351</v>
      </c>
      <c r="F47" s="15" t="s">
        <v>352</v>
      </c>
      <c r="G47" s="15" t="s">
        <v>15</v>
      </c>
      <c r="H47" s="16">
        <v>5</v>
      </c>
      <c r="I47" s="17">
        <v>62950</v>
      </c>
      <c r="J47" s="94">
        <f t="shared" si="2"/>
        <v>52007.5</v>
      </c>
      <c r="K47" s="96">
        <f t="shared" si="3"/>
        <v>9442.5</v>
      </c>
      <c r="L47" s="78" t="str">
        <f>VLOOKUP(C47,[2]Rekap!$D$9:$Q$195,13,FALSE)</f>
        <v>Dikirim</v>
      </c>
      <c r="M47" s="82"/>
    </row>
    <row r="48" spans="1:13" s="18" customFormat="1" ht="15.75" x14ac:dyDescent="0.25">
      <c r="A48" s="10">
        <v>13</v>
      </c>
      <c r="B48" s="11">
        <v>45957</v>
      </c>
      <c r="C48" s="12" t="s">
        <v>659</v>
      </c>
      <c r="D48" s="13" t="s">
        <v>582</v>
      </c>
      <c r="E48" s="13" t="s">
        <v>351</v>
      </c>
      <c r="F48" s="15" t="s">
        <v>352</v>
      </c>
      <c r="G48" s="15" t="s">
        <v>15</v>
      </c>
      <c r="H48" s="16">
        <v>5</v>
      </c>
      <c r="I48" s="17">
        <v>71000</v>
      </c>
      <c r="J48" s="94">
        <f t="shared" si="2"/>
        <v>58850</v>
      </c>
      <c r="K48" s="96">
        <f t="shared" si="3"/>
        <v>10650</v>
      </c>
      <c r="L48" s="78" t="e">
        <f>VLOOKUP(C48,[2]Rekap!$D$9:$Q$195,13,FALSE)</f>
        <v>#N/A</v>
      </c>
      <c r="M48" s="82"/>
    </row>
    <row r="49" spans="1:14" s="18" customFormat="1" ht="15.75" x14ac:dyDescent="0.25">
      <c r="A49" s="10">
        <v>14</v>
      </c>
      <c r="B49" s="11">
        <v>45958</v>
      </c>
      <c r="C49" s="12" t="s">
        <v>665</v>
      </c>
      <c r="D49" s="13" t="s">
        <v>582</v>
      </c>
      <c r="E49" s="13" t="s">
        <v>351</v>
      </c>
      <c r="F49" s="15" t="s">
        <v>352</v>
      </c>
      <c r="G49" s="15" t="s">
        <v>15</v>
      </c>
      <c r="H49" s="16">
        <v>4</v>
      </c>
      <c r="I49" s="17">
        <v>49700</v>
      </c>
      <c r="J49" s="94">
        <f t="shared" si="2"/>
        <v>40745</v>
      </c>
      <c r="K49" s="96">
        <f t="shared" si="3"/>
        <v>7455</v>
      </c>
      <c r="L49" s="78" t="e">
        <f>VLOOKUP(C49,[2]Rekap!$D$9:$Q$195,13,FALSE)</f>
        <v>#N/A</v>
      </c>
      <c r="M49" s="82"/>
    </row>
    <row r="50" spans="1:14" s="18" customFormat="1" ht="15.75" x14ac:dyDescent="0.25">
      <c r="A50" s="10">
        <v>15</v>
      </c>
      <c r="B50" s="11">
        <v>45958</v>
      </c>
      <c r="C50" s="12" t="s">
        <v>662</v>
      </c>
      <c r="D50" s="13" t="s">
        <v>582</v>
      </c>
      <c r="E50" s="13" t="s">
        <v>351</v>
      </c>
      <c r="F50" s="15" t="s">
        <v>352</v>
      </c>
      <c r="G50" s="15" t="s">
        <v>15</v>
      </c>
      <c r="H50" s="16">
        <v>4</v>
      </c>
      <c r="I50" s="17">
        <v>115950</v>
      </c>
      <c r="J50" s="94">
        <f t="shared" si="2"/>
        <v>97057.5</v>
      </c>
      <c r="K50" s="96">
        <f t="shared" si="3"/>
        <v>17392.5</v>
      </c>
      <c r="L50" s="78" t="e">
        <f>VLOOKUP(C50,[2]Rekap!$D$9:$Q$195,13,FALSE)</f>
        <v>#N/A</v>
      </c>
      <c r="M50" s="82"/>
    </row>
    <row r="51" spans="1:14" s="18" customFormat="1" ht="15.75" x14ac:dyDescent="0.25">
      <c r="A51" s="10">
        <v>16</v>
      </c>
      <c r="B51" s="11">
        <v>45958</v>
      </c>
      <c r="C51" s="12" t="s">
        <v>663</v>
      </c>
      <c r="D51" s="13" t="s">
        <v>582</v>
      </c>
      <c r="E51" s="13" t="s">
        <v>351</v>
      </c>
      <c r="F51" s="15" t="s">
        <v>352</v>
      </c>
      <c r="G51" s="15" t="s">
        <v>15</v>
      </c>
      <c r="H51" s="16">
        <v>4</v>
      </c>
      <c r="I51" s="17">
        <v>115950</v>
      </c>
      <c r="J51" s="94">
        <f t="shared" si="2"/>
        <v>97057.5</v>
      </c>
      <c r="K51" s="96">
        <f t="shared" si="3"/>
        <v>17392.5</v>
      </c>
      <c r="L51" s="78" t="e">
        <f>VLOOKUP(C51,[2]Rekap!$D$9:$Q$195,13,FALSE)</f>
        <v>#N/A</v>
      </c>
      <c r="M51" s="82"/>
    </row>
    <row r="52" spans="1:14" s="18" customFormat="1" ht="15.75" x14ac:dyDescent="0.25">
      <c r="A52" s="10">
        <v>17</v>
      </c>
      <c r="B52" s="11">
        <v>45958</v>
      </c>
      <c r="C52" s="12" t="s">
        <v>664</v>
      </c>
      <c r="D52" s="13" t="s">
        <v>582</v>
      </c>
      <c r="E52" s="13" t="s">
        <v>351</v>
      </c>
      <c r="F52" s="15" t="s">
        <v>352</v>
      </c>
      <c r="G52" s="15" t="s">
        <v>15</v>
      </c>
      <c r="H52" s="16">
        <v>4</v>
      </c>
      <c r="I52" s="17">
        <v>115950</v>
      </c>
      <c r="J52" s="94">
        <f t="shared" si="2"/>
        <v>97057.5</v>
      </c>
      <c r="K52" s="96">
        <f t="shared" si="3"/>
        <v>17392.5</v>
      </c>
      <c r="L52" s="78" t="e">
        <f>VLOOKUP(C52,[2]Rekap!$D$9:$Q$195,13,FALSE)</f>
        <v>#N/A</v>
      </c>
      <c r="M52" s="82"/>
    </row>
    <row r="53" spans="1:14" s="18" customFormat="1" ht="15.75" x14ac:dyDescent="0.25">
      <c r="A53" s="10">
        <v>18</v>
      </c>
      <c r="B53" s="11">
        <v>45958</v>
      </c>
      <c r="C53" s="12" t="s">
        <v>666</v>
      </c>
      <c r="D53" s="13" t="s">
        <v>582</v>
      </c>
      <c r="E53" s="13" t="s">
        <v>351</v>
      </c>
      <c r="F53" s="15" t="s">
        <v>352</v>
      </c>
      <c r="G53" s="15" t="s">
        <v>15</v>
      </c>
      <c r="H53" s="16">
        <v>4</v>
      </c>
      <c r="I53" s="17">
        <v>149950</v>
      </c>
      <c r="J53" s="94">
        <f t="shared" si="2"/>
        <v>125957.5</v>
      </c>
      <c r="K53" s="96">
        <f t="shared" si="3"/>
        <v>22492.5</v>
      </c>
      <c r="L53" s="78" t="e">
        <f>VLOOKUP(C53,[2]Rekap!$D$9:$Q$195,13,FALSE)</f>
        <v>#N/A</v>
      </c>
      <c r="M53" s="82"/>
    </row>
    <row r="54" spans="1:14" s="18" customFormat="1" ht="15.75" x14ac:dyDescent="0.25">
      <c r="A54" s="10">
        <v>19</v>
      </c>
      <c r="B54" s="11">
        <v>45960</v>
      </c>
      <c r="C54" s="12" t="s">
        <v>667</v>
      </c>
      <c r="D54" s="13" t="s">
        <v>582</v>
      </c>
      <c r="E54" s="13" t="s">
        <v>351</v>
      </c>
      <c r="F54" s="15" t="s">
        <v>352</v>
      </c>
      <c r="G54" s="15" t="s">
        <v>15</v>
      </c>
      <c r="H54" s="16">
        <v>2</v>
      </c>
      <c r="I54" s="17">
        <v>105950</v>
      </c>
      <c r="J54" s="94">
        <f t="shared" si="2"/>
        <v>88557.5</v>
      </c>
      <c r="K54" s="96">
        <f t="shared" si="3"/>
        <v>15892.5</v>
      </c>
      <c r="L54" s="78" t="e">
        <f>VLOOKUP(C54,[2]Rekap!$D$9:$Q$195,13,FALSE)</f>
        <v>#N/A</v>
      </c>
      <c r="M54" s="82"/>
    </row>
    <row r="55" spans="1:14" s="18" customFormat="1" ht="15.75" x14ac:dyDescent="0.25">
      <c r="A55" s="10">
        <v>20</v>
      </c>
      <c r="B55" s="11">
        <v>45960</v>
      </c>
      <c r="C55" s="12" t="s">
        <v>668</v>
      </c>
      <c r="D55" s="13" t="s">
        <v>582</v>
      </c>
      <c r="E55" s="13" t="s">
        <v>351</v>
      </c>
      <c r="F55" s="15" t="s">
        <v>352</v>
      </c>
      <c r="G55" s="15" t="s">
        <v>15</v>
      </c>
      <c r="H55" s="16">
        <v>2</v>
      </c>
      <c r="I55" s="17">
        <v>299900</v>
      </c>
      <c r="J55" s="94">
        <f t="shared" si="2"/>
        <v>253415</v>
      </c>
      <c r="K55" s="96">
        <f t="shared" si="3"/>
        <v>44985</v>
      </c>
      <c r="L55" s="78" t="e">
        <f>VLOOKUP(C55,[2]Rekap!$D$9:$Q$195,13,FALSE)</f>
        <v>#N/A</v>
      </c>
      <c r="M55" s="82"/>
    </row>
    <row r="56" spans="1:14" s="18" customFormat="1" ht="15.75" x14ac:dyDescent="0.25">
      <c r="A56" s="10">
        <v>21</v>
      </c>
      <c r="B56" s="11">
        <v>45961</v>
      </c>
      <c r="C56" s="12" t="s">
        <v>669</v>
      </c>
      <c r="D56" s="13" t="s">
        <v>582</v>
      </c>
      <c r="E56" s="13" t="s">
        <v>351</v>
      </c>
      <c r="F56" s="15" t="s">
        <v>352</v>
      </c>
      <c r="G56" s="15" t="s">
        <v>15</v>
      </c>
      <c r="H56" s="16">
        <v>1</v>
      </c>
      <c r="I56" s="17">
        <v>105950</v>
      </c>
      <c r="J56" s="94">
        <f t="shared" si="2"/>
        <v>88557.5</v>
      </c>
      <c r="K56" s="96">
        <f t="shared" si="3"/>
        <v>15892.5</v>
      </c>
      <c r="L56" s="78" t="e">
        <f>VLOOKUP(C56,[2]Rekap!$D$9:$Q$195,13,FALSE)</f>
        <v>#N/A</v>
      </c>
      <c r="M56" s="82"/>
    </row>
    <row r="57" spans="1:14" s="18" customFormat="1" ht="15.75" x14ac:dyDescent="0.25">
      <c r="A57" s="10">
        <v>22</v>
      </c>
      <c r="B57" s="11">
        <v>45961</v>
      </c>
      <c r="C57" s="12" t="s">
        <v>670</v>
      </c>
      <c r="D57" s="13" t="s">
        <v>582</v>
      </c>
      <c r="E57" s="13" t="s">
        <v>351</v>
      </c>
      <c r="F57" s="15" t="s">
        <v>352</v>
      </c>
      <c r="G57" s="15" t="s">
        <v>15</v>
      </c>
      <c r="H57" s="16">
        <v>1</v>
      </c>
      <c r="I57" s="17">
        <v>105950</v>
      </c>
      <c r="J57" s="94">
        <f t="shared" si="2"/>
        <v>88557.5</v>
      </c>
      <c r="K57" s="96">
        <f t="shared" si="3"/>
        <v>15892.5</v>
      </c>
      <c r="L57" s="78" t="e">
        <f>VLOOKUP(C57,[2]Rekap!$D$9:$Q$195,13,FALSE)</f>
        <v>#N/A</v>
      </c>
      <c r="M57" s="82"/>
    </row>
    <row r="58" spans="1:14" s="18" customFormat="1" ht="15.75" x14ac:dyDescent="0.25">
      <c r="A58" s="66"/>
      <c r="B58" s="67"/>
      <c r="C58" s="66"/>
      <c r="D58" s="68"/>
      <c r="E58" s="68"/>
      <c r="F58" s="58" t="s">
        <v>349</v>
      </c>
      <c r="G58" s="69"/>
      <c r="H58" s="69"/>
      <c r="I58" s="19">
        <f>SUM(I36:I57)</f>
        <v>2105067</v>
      </c>
      <c r="J58" s="95">
        <f t="shared" ref="J58" si="4">SUM(J29:J57)</f>
        <v>2081639.91</v>
      </c>
      <c r="K58" s="96"/>
      <c r="L58" s="78"/>
      <c r="M58" s="82"/>
    </row>
    <row r="64" spans="1:14" x14ac:dyDescent="0.25">
      <c r="B64">
        <v>1</v>
      </c>
      <c r="C64">
        <v>45943</v>
      </c>
      <c r="D64" t="s">
        <v>590</v>
      </c>
      <c r="E64" t="s">
        <v>582</v>
      </c>
      <c r="F64" t="s">
        <v>13</v>
      </c>
      <c r="G64" t="s">
        <v>14</v>
      </c>
      <c r="H64" t="s">
        <v>15</v>
      </c>
      <c r="I64">
        <v>19</v>
      </c>
      <c r="J64">
        <v>59717</v>
      </c>
      <c r="M64" s="80" t="s">
        <v>673</v>
      </c>
      <c r="N64" s="80">
        <v>47419.354999999996</v>
      </c>
    </row>
    <row r="65" spans="2:14" x14ac:dyDescent="0.25">
      <c r="B65">
        <v>2</v>
      </c>
      <c r="C65">
        <v>45950</v>
      </c>
      <c r="D65" t="s">
        <v>617</v>
      </c>
      <c r="E65" t="s">
        <v>582</v>
      </c>
      <c r="F65" t="s">
        <v>13</v>
      </c>
      <c r="G65" t="s">
        <v>14</v>
      </c>
      <c r="H65" t="s">
        <v>15</v>
      </c>
      <c r="I65">
        <v>12</v>
      </c>
      <c r="J65">
        <v>60360</v>
      </c>
      <c r="M65" s="80" t="s">
        <v>673</v>
      </c>
      <c r="N65" s="80">
        <v>47943.4</v>
      </c>
    </row>
    <row r="66" spans="2:14" x14ac:dyDescent="0.25">
      <c r="B66">
        <v>3</v>
      </c>
      <c r="C66">
        <v>45951</v>
      </c>
      <c r="D66" t="s">
        <v>620</v>
      </c>
      <c r="E66" t="s">
        <v>582</v>
      </c>
      <c r="F66" t="s">
        <v>13</v>
      </c>
      <c r="G66" t="s">
        <v>14</v>
      </c>
      <c r="H66" t="s">
        <v>15</v>
      </c>
      <c r="I66">
        <v>11</v>
      </c>
      <c r="J66">
        <v>240224</v>
      </c>
      <c r="M66" s="80" t="s">
        <v>673</v>
      </c>
      <c r="N66" s="80">
        <v>194532.56</v>
      </c>
    </row>
    <row r="67" spans="2:14" x14ac:dyDescent="0.25">
      <c r="B67">
        <v>4</v>
      </c>
      <c r="C67">
        <v>45952</v>
      </c>
      <c r="D67" t="s">
        <v>621</v>
      </c>
      <c r="E67" t="s">
        <v>582</v>
      </c>
      <c r="F67" t="s">
        <v>13</v>
      </c>
      <c r="G67" t="s">
        <v>14</v>
      </c>
      <c r="H67" t="s">
        <v>15</v>
      </c>
      <c r="I67">
        <v>10</v>
      </c>
      <c r="J67">
        <v>48795</v>
      </c>
      <c r="M67" s="80" t="s">
        <v>673</v>
      </c>
      <c r="N67" s="80">
        <v>38517.925000000003</v>
      </c>
    </row>
    <row r="68" spans="2:14" x14ac:dyDescent="0.25">
      <c r="B68">
        <v>5</v>
      </c>
      <c r="C68">
        <v>45953</v>
      </c>
      <c r="D68" t="s">
        <v>622</v>
      </c>
      <c r="E68" t="s">
        <v>582</v>
      </c>
      <c r="F68" t="s">
        <v>13</v>
      </c>
      <c r="G68" t="s">
        <v>14</v>
      </c>
      <c r="H68" t="s">
        <v>15</v>
      </c>
      <c r="I68">
        <v>9</v>
      </c>
      <c r="J68">
        <v>31447</v>
      </c>
      <c r="M68" s="80" t="s">
        <v>673</v>
      </c>
      <c r="N68" s="80">
        <v>24379.305</v>
      </c>
    </row>
    <row r="69" spans="2:14" x14ac:dyDescent="0.25">
      <c r="B69">
        <v>6</v>
      </c>
      <c r="C69">
        <v>45953</v>
      </c>
      <c r="D69" t="s">
        <v>623</v>
      </c>
      <c r="E69" t="s">
        <v>582</v>
      </c>
      <c r="F69" t="s">
        <v>13</v>
      </c>
      <c r="G69" t="s">
        <v>14</v>
      </c>
      <c r="H69" t="s">
        <v>15</v>
      </c>
      <c r="I69">
        <v>9</v>
      </c>
      <c r="J69">
        <v>74500</v>
      </c>
      <c r="M69" s="80" t="s">
        <v>673</v>
      </c>
      <c r="N69" s="80">
        <v>59467.5</v>
      </c>
    </row>
    <row r="70" spans="2:14" x14ac:dyDescent="0.25">
      <c r="B70">
        <v>8</v>
      </c>
      <c r="C70">
        <v>45953</v>
      </c>
      <c r="D70" t="s">
        <v>625</v>
      </c>
      <c r="E70" t="s">
        <v>582</v>
      </c>
      <c r="F70" t="s">
        <v>13</v>
      </c>
      <c r="G70" t="s">
        <v>14</v>
      </c>
      <c r="H70" t="s">
        <v>15</v>
      </c>
      <c r="I70">
        <v>9</v>
      </c>
      <c r="J70">
        <v>194000</v>
      </c>
      <c r="M70" s="80" t="s">
        <v>673</v>
      </c>
      <c r="N70" s="80">
        <v>156860</v>
      </c>
    </row>
    <row r="71" spans="2:14" x14ac:dyDescent="0.25">
      <c r="B71">
        <v>9</v>
      </c>
      <c r="C71">
        <v>45954</v>
      </c>
      <c r="D71" t="s">
        <v>626</v>
      </c>
      <c r="E71" t="s">
        <v>582</v>
      </c>
      <c r="F71" t="s">
        <v>13</v>
      </c>
      <c r="G71" t="s">
        <v>14</v>
      </c>
      <c r="H71" t="s">
        <v>15</v>
      </c>
      <c r="I71">
        <v>8</v>
      </c>
      <c r="J71">
        <v>41050</v>
      </c>
      <c r="M71" s="80" t="s">
        <v>673</v>
      </c>
      <c r="N71" s="80">
        <v>32205.75</v>
      </c>
    </row>
    <row r="72" spans="2:14" x14ac:dyDescent="0.25">
      <c r="B72">
        <v>10</v>
      </c>
      <c r="C72">
        <v>45954</v>
      </c>
      <c r="D72" t="s">
        <v>627</v>
      </c>
      <c r="E72" t="s">
        <v>582</v>
      </c>
      <c r="F72" t="s">
        <v>13</v>
      </c>
      <c r="G72" t="s">
        <v>14</v>
      </c>
      <c r="H72" t="s">
        <v>15</v>
      </c>
      <c r="I72">
        <v>8</v>
      </c>
      <c r="J72">
        <v>102765</v>
      </c>
      <c r="M72" s="80" t="s">
        <v>673</v>
      </c>
      <c r="N72" s="80">
        <v>82503.475000000006</v>
      </c>
    </row>
    <row r="73" spans="2:14" x14ac:dyDescent="0.25">
      <c r="B73">
        <v>11</v>
      </c>
      <c r="C73">
        <v>45954</v>
      </c>
      <c r="D73" t="s">
        <v>628</v>
      </c>
      <c r="E73" t="s">
        <v>582</v>
      </c>
      <c r="F73" t="s">
        <v>13</v>
      </c>
      <c r="G73" t="s">
        <v>14</v>
      </c>
      <c r="H73" t="s">
        <v>15</v>
      </c>
      <c r="I73">
        <v>8</v>
      </c>
      <c r="J73">
        <v>174725</v>
      </c>
      <c r="M73" s="80" t="s">
        <v>673</v>
      </c>
      <c r="N73" s="80">
        <v>141150.875</v>
      </c>
    </row>
    <row r="74" spans="2:14" x14ac:dyDescent="0.25">
      <c r="B74">
        <v>12</v>
      </c>
      <c r="C74">
        <v>45954</v>
      </c>
      <c r="D74" t="s">
        <v>629</v>
      </c>
      <c r="E74" t="s">
        <v>582</v>
      </c>
      <c r="F74" t="s">
        <v>13</v>
      </c>
      <c r="G74" t="s">
        <v>14</v>
      </c>
      <c r="H74" t="s">
        <v>15</v>
      </c>
      <c r="I74">
        <v>8</v>
      </c>
      <c r="J74">
        <v>213275</v>
      </c>
      <c r="M74" s="80" t="s">
        <v>673</v>
      </c>
      <c r="N74" s="80">
        <v>172569.125</v>
      </c>
    </row>
    <row r="75" spans="2:14" x14ac:dyDescent="0.25">
      <c r="B75">
        <v>14</v>
      </c>
      <c r="C75">
        <v>45955</v>
      </c>
      <c r="D75" t="s">
        <v>640</v>
      </c>
      <c r="E75" t="s">
        <v>582</v>
      </c>
      <c r="F75" t="s">
        <v>13</v>
      </c>
      <c r="G75" t="s">
        <v>14</v>
      </c>
      <c r="H75" t="s">
        <v>15</v>
      </c>
      <c r="I75">
        <v>7</v>
      </c>
      <c r="J75">
        <v>82380</v>
      </c>
      <c r="M75" s="80" t="s">
        <v>673</v>
      </c>
      <c r="N75" s="80">
        <v>65889.7</v>
      </c>
    </row>
    <row r="76" spans="2:14" x14ac:dyDescent="0.25">
      <c r="B76">
        <v>15</v>
      </c>
      <c r="C76">
        <v>45957</v>
      </c>
      <c r="D76" t="s">
        <v>646</v>
      </c>
      <c r="E76" t="s">
        <v>582</v>
      </c>
      <c r="F76" t="s">
        <v>13</v>
      </c>
      <c r="G76" t="s">
        <v>14</v>
      </c>
      <c r="H76" t="s">
        <v>15</v>
      </c>
      <c r="I76">
        <v>5</v>
      </c>
      <c r="J76">
        <v>18957</v>
      </c>
      <c r="M76" s="80" t="s">
        <v>673</v>
      </c>
      <c r="N76" s="80">
        <v>14199.955</v>
      </c>
    </row>
    <row r="77" spans="2:14" x14ac:dyDescent="0.25">
      <c r="B77">
        <v>29</v>
      </c>
      <c r="C77">
        <v>45950</v>
      </c>
      <c r="D77" t="s">
        <v>631</v>
      </c>
      <c r="E77" t="s">
        <v>582</v>
      </c>
      <c r="F77" t="s">
        <v>13</v>
      </c>
      <c r="G77" t="s">
        <v>14</v>
      </c>
      <c r="H77" t="s">
        <v>15</v>
      </c>
      <c r="I77">
        <v>-48</v>
      </c>
      <c r="J77">
        <v>109190</v>
      </c>
      <c r="M77" s="80" t="s">
        <v>673</v>
      </c>
      <c r="N77" s="80">
        <v>87739.85</v>
      </c>
    </row>
    <row r="78" spans="2:14" s="92" customFormat="1" x14ac:dyDescent="0.25">
      <c r="M78" s="93" t="s">
        <v>674</v>
      </c>
      <c r="N78" s="93">
        <f>SUM(N64:N77)</f>
        <v>1165378.7750000001</v>
      </c>
    </row>
  </sheetData>
  <autoFilter ref="A5:M58"/>
  <sortState ref="A6:BH34">
    <sortCondition descending="1" ref="H6:H34"/>
  </sortState>
  <conditionalFormatting sqref="H6:H34 H36:H57">
    <cfRule type="cellIs" dxfId="16" priority="113" operator="greaterThan">
      <formula>0</formula>
    </cfRule>
  </conditionalFormatting>
  <conditionalFormatting sqref="B6:I34 B36:I57">
    <cfRule type="expression" dxfId="15" priority="155">
      <formula>AND(#REF!&gt;0,$H6&gt;89)</formula>
    </cfRule>
    <cfRule type="expression" dxfId="14" priority="156">
      <formula>AND(#REF!&gt;0,$H6&gt;59)</formula>
    </cfRule>
    <cfRule type="expression" dxfId="13" priority="157">
      <formula>AND(#REF!&gt;0,$H6&gt;44)</formula>
    </cfRule>
  </conditionalFormatting>
  <conditionalFormatting sqref="H5">
    <cfRule type="cellIs" dxfId="12" priority="9" operator="greaterThan">
      <formula>0</formula>
    </cfRule>
  </conditionalFormatting>
  <conditionalFormatting sqref="G35:H35">
    <cfRule type="cellIs" dxfId="11" priority="5" operator="greaterThan">
      <formula>0</formula>
    </cfRule>
  </conditionalFormatting>
  <conditionalFormatting sqref="B35:I35 K35:K58">
    <cfRule type="expression" dxfId="10" priority="6">
      <formula>AND(#REF!&gt;0,$G35&gt;89)</formula>
    </cfRule>
    <cfRule type="expression" dxfId="9" priority="7">
      <formula>AND(#REF!&gt;0,$G35&gt;59)</formula>
    </cfRule>
    <cfRule type="expression" dxfId="8" priority="8">
      <formula>AND(#REF!&gt;0,$G35&gt;44)</formula>
    </cfRule>
  </conditionalFormatting>
  <conditionalFormatting sqref="G58:H58">
    <cfRule type="cellIs" dxfId="7" priority="1" operator="greaterThan">
      <formula>0</formula>
    </cfRule>
  </conditionalFormatting>
  <conditionalFormatting sqref="B58:J58">
    <cfRule type="expression" dxfId="6" priority="2">
      <formula>AND(#REF!&gt;0,$G58&gt;89)</formula>
    </cfRule>
    <cfRule type="expression" dxfId="5" priority="3">
      <formula>AND(#REF!&gt;0,$G58&gt;59)</formula>
    </cfRule>
    <cfRule type="expression" dxfId="4" priority="4">
      <formula>AND(#REF!&gt;0,$G58&gt;44)</formula>
    </cfRule>
  </conditionalFormatting>
  <pageMargins left="0.7" right="0.7" top="0.75" bottom="0.75" header="0.3" footer="0.3"/>
  <pageSetup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" sqref="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Online shop</vt:lpstr>
      <vt:lpstr>30 08</vt:lpstr>
      <vt:lpstr>1909</vt:lpstr>
      <vt:lpstr>2409</vt:lpstr>
      <vt:lpstr>2709</vt:lpstr>
      <vt:lpstr>0410</vt:lpstr>
      <vt:lpstr>1110</vt:lpstr>
      <vt:lpstr>1810</vt:lpstr>
      <vt:lpstr>2510</vt:lpstr>
      <vt:lpstr>0111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Faisal Ammar Febryan</cp:lastModifiedBy>
  <dcterms:created xsi:type="dcterms:W3CDTF">2025-08-28T08:28:13Z</dcterms:created>
  <dcterms:modified xsi:type="dcterms:W3CDTF">2025-11-01T06:01:01Z</dcterms:modified>
</cp:coreProperties>
</file>